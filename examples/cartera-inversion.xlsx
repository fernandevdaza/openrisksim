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_openrisksim" state="veryHidden" r:id="rId5"/>
  </sheets>
  <calcPr calcId="171027" fullCalcOnLoad="1"/>
</workbook>
</file>

<file path=xl/sharedStrings.xml><?xml version="1.0" encoding="utf-8"?>
<sst xmlns="http://schemas.openxmlformats.org/spreadsheetml/2006/main" count="21" uniqueCount="21">
  <si>
    <t>Cartera de inversión / Investment portfolio</t>
  </si>
  <si>
    <t>Capital invertido / Invested capital</t>
  </si>
  <si>
    <t>Activo / Asset</t>
  </si>
  <si>
    <t>Retorno esperado / Expected return</t>
  </si>
  <si>
    <t>Volatilidad / Volatility</t>
  </si>
  <si>
    <t>Factor simulado (1+r) / Simulated factor</t>
  </si>
  <si>
    <t>Peso / Weight</t>
  </si>
  <si>
    <t>Retorno / Return</t>
  </si>
  <si>
    <t>Contribución / Contribution</t>
  </si>
  <si>
    <t>Acciones locales / Local equity</t>
  </si>
  <si>
    <t>Acciones internacionales / Global equity</t>
  </si>
  <si>
    <t>Bonos corporativos / Corporate bonds</t>
  </si>
  <si>
    <t>Depósitos a plazo / Term deposits</t>
  </si>
  <si>
    <t>Total</t>
  </si>
  <si>
    <t>Resultados / Results</t>
  </si>
  <si>
    <t>Retorno de la cartera / Portfolio return</t>
  </si>
  <si>
    <t>Valor final / Ending value</t>
  </si>
  <si>
    <t>Ganancia / Gain</t>
  </si>
  <si>
    <t>Retorno esperado (determinístico) / Expected return</t>
  </si>
  <si>
    <t>Volatilidad sin correlación / Volatility (uncorrelated)</t>
  </si>
  <si>
    <t>{"version":1,"assumptions":[{"id":"a_eq_local","name":"Acciones locales (1+r)","cell":{"sheet":"Cartera","address":"D6"},"distribution":{"id":"lognormal","params":{"mean":1.11,"stdDev":0.2}},"enabled":true},{"id":"a_eq_global","name":"Acciones internacionales (1+r)","cell":{"sheet":"Cartera","address":"D7"},"distribution":{"id":"lognormal","params":{"mean":1.09,"stdDev":0.16}},"enabled":true},{"id":"a_bonds","name":"Bonos corporativos (1+r)","cell":{"sheet":"Cartera","address":"D8"},"distribution":{"id":"normal","params":{"mean":1.055,"stdDev":0.06}},"enabled":true},{"id":"a_deposits","name":"Depósitos a plazo (1+r)","cell":{"sheet":"Cartera","address":"D9"},"distribution":{"id":"normal","params":{"mean":1.03,"stdDev":0.005}},"enabled":true}],"forecasts":[{"id":"f_return","name":"Retorno de la cartera","cell":{"sheet":"Cartera","address":"B13"},"format":"percent"},{"id":"f_value","name":"Valor final","cell":{"sheet":"Cartera","address":"B14"},"format":"currency"}],"decisions":[{"id":"d_w1","name":"Peso acciones locales","cell":{"sheet":"Cartera","address":"E6"},"type":"continuous","lower":0,"upper":1},{"id":"d_w2","name":"Peso acciones internacionales","cell":{"sheet":"Cartera","address":"E7"},"type":"continuous","lower":0,"upper":1},{"id":"d_w3","name":"Peso bonos","cell":{"sheet":"Cartera","address":"E8"},"type":"continuous","lower":0,"upper":1},{"id":"d_w4","name":"Peso depósitos","cell":{"sheet":"Cartera","address":"E9"},"type":"continuous","lower":0,"upper":1}],"correlations":[{"a":"a_eq_local","b":"a_eq_global","rho":0.6},{"a":"a_eq_local","b":"a_bonds","rho":-0.2}],"settings":{"trials":5000,"seed":12345,"sampling":"latinHypercube","applyCorrelations":true,"precisionControl":null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</si>
</sst>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000"/>
  </numFmts>
  <fonts count="3" x14ac:knownFonts="1">
    <font>
      <color theme="1"/>
      <family val="2"/>
      <scheme val="minor"/>
      <sz val="11"/>
      <name val="Calibri"/>
    </font>
    <font>
      <b/>
      <color rgb="FF1F3864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3" fontId="0" fillId="2" borderId="0" xfId="0" applyNumberFormat="1" applyFill="1"/>
    <xf numFmtId="0" fontId="2" fillId="3" borderId="0" xfId="0" applyFont="1" applyFill="1"/>
    <xf numFmtId="164" fontId="0" fillId="2" borderId="0" xfId="0" applyNumberFormat="1" applyFill="1"/>
    <xf numFmtId="165" fontId="0" fillId="0" borderId="0" xfId="0" applyNumberFormat="1"/>
    <xf numFmtId="164" fontId="0" fillId="0" borderId="0" xfId="0" applyNumberFormat="1"/>
    <xf numFmtId="0" fontId="2" fillId="0" borderId="0" xfId="0" applyFont="1"/>
    <xf numFmtId="164" fontId="2" fillId="0" borderId="0" xfId="0" applyNumberFormat="1" applyFont="1"/>
    <xf numFmtId="164" fontId="2" fillId="4" borderId="0" xfId="0" applyNumberFormat="1" applyFont="1" applyFill="1"/>
    <xf numFmtId="3" fontId="2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FormatPr defaultRowHeight="15" outlineLevelRow="0" outlineLevelCol="0" x14ac:dyDescent="55"/>
  <cols>
    <col min="1" max="1" width="34" customWidth="1"/>
    <col min="2" max="3" width="14" customWidth="1"/>
    <col min="4" max="4" width="16" customWidth="1"/>
    <col min="5" max="5" width="12" customWidth="1"/>
    <col min="6" max="7" width="14" customWidth="1"/>
  </cols>
  <sheetData>
    <row r="1" spans="1:1" x14ac:dyDescent="0.25">
      <c r="A1" s="1" t="s">
        <v>0</v>
      </c>
    </row>
    <row r="3" spans="1:2" x14ac:dyDescent="0.25">
      <c r="A3" t="s">
        <v>1</v>
      </c>
      <c r="B3" s="2">
        <v>100000</v>
      </c>
    </row>
    <row r="5" spans="1:7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</row>
    <row r="6" spans="1:7" x14ac:dyDescent="0.25">
      <c r="A6" t="s">
        <v>9</v>
      </c>
      <c r="B6" s="4">
        <v>0.11</v>
      </c>
      <c r="C6" s="4">
        <v>0.2</v>
      </c>
      <c r="D6" s="5">
        <f>1+B6</f>
        <v>1.11</v>
      </c>
      <c r="E6" s="4">
        <v>0.3</v>
      </c>
      <c r="F6" s="6">
        <f>D6-1</f>
        <v>0.11</v>
      </c>
      <c r="G6" s="6">
        <f>E6*F6/$E$10</f>
        <v>0.033</v>
      </c>
    </row>
    <row r="7" spans="1:7" x14ac:dyDescent="0.25">
      <c r="A7" t="s">
        <v>10</v>
      </c>
      <c r="B7" s="4">
        <v>0.09</v>
      </c>
      <c r="C7" s="4">
        <v>0.16</v>
      </c>
      <c r="D7" s="5">
        <f>1+B7</f>
        <v>1.09</v>
      </c>
      <c r="E7" s="4">
        <v>0.25</v>
      </c>
      <c r="F7" s="6">
        <f>D7-1</f>
        <v>0.0900000000000001</v>
      </c>
      <c r="G7" s="6">
        <f>E7*F7/$E$10</f>
        <v>0.0225</v>
      </c>
    </row>
    <row r="8" spans="1:7" x14ac:dyDescent="0.25">
      <c r="A8" t="s">
        <v>11</v>
      </c>
      <c r="B8" s="4">
        <v>0.055</v>
      </c>
      <c r="C8" s="4">
        <v>0.06</v>
      </c>
      <c r="D8" s="5">
        <f>1+B8</f>
        <v>1.055</v>
      </c>
      <c r="E8" s="4">
        <v>0.3</v>
      </c>
      <c r="F8" s="6">
        <f>D8-1</f>
        <v>0.0549999999999999</v>
      </c>
      <c r="G8" s="6">
        <f>E8*F8/$E$10</f>
        <v>0.0165</v>
      </c>
    </row>
    <row r="9" spans="1:7" x14ac:dyDescent="0.25">
      <c r="A9" t="s">
        <v>12</v>
      </c>
      <c r="B9" s="4">
        <v>0.03</v>
      </c>
      <c r="C9" s="4">
        <v>0.005</v>
      </c>
      <c r="D9" s="5">
        <f>1+B9</f>
        <v>1.03</v>
      </c>
      <c r="E9" s="4">
        <v>0.15</v>
      </c>
      <c r="F9" s="6">
        <f>D9-1</f>
        <v>0.03</v>
      </c>
      <c r="G9" s="6">
        <f>E9*F9/$E$10</f>
        <v>0.0045</v>
      </c>
    </row>
    <row r="10" spans="1:7" x14ac:dyDescent="0.25">
      <c r="A10" s="7" t="s">
        <v>13</v>
      </c>
      <c r="E10" s="8">
        <f>SUM(E6:E9)</f>
        <v>1</v>
      </c>
      <c r="G10" s="8">
        <f>SUM(G6:G9)</f>
        <v>0.0765</v>
      </c>
    </row>
    <row r="12" spans="1:1" x14ac:dyDescent="0.25">
      <c r="A12" s="1" t="s">
        <v>14</v>
      </c>
    </row>
    <row r="13" spans="1:2" x14ac:dyDescent="0.25">
      <c r="A13" t="s">
        <v>15</v>
      </c>
      <c r="B13" s="9">
        <f>SUMPRODUCT(E6:E9,F6:F9)/E10</f>
        <v>0.0765</v>
      </c>
    </row>
    <row r="14" spans="1:2" x14ac:dyDescent="0.25">
      <c r="A14" t="s">
        <v>16</v>
      </c>
      <c r="B14" s="10">
        <f>B3*(1+B13)</f>
        <v>107650</v>
      </c>
    </row>
    <row r="15" spans="1:2" x14ac:dyDescent="0.25">
      <c r="A15" t="s">
        <v>17</v>
      </c>
      <c r="B15" s="10">
        <f>B14-B3</f>
        <v>7650</v>
      </c>
    </row>
    <row r="16" spans="1:2" x14ac:dyDescent="0.25">
      <c r="A16" t="s">
        <v>18</v>
      </c>
      <c r="B16" s="6">
        <f>SUMPRODUCT(E6:E9,B6:B9)/E10</f>
        <v>0.0765</v>
      </c>
    </row>
    <row r="17" spans="1:2" x14ac:dyDescent="0.25">
      <c r="A17" t="s">
        <v>19</v>
      </c>
      <c r="B17" s="6">
        <f>SQRT(SUMPRODUCT(E6:E9,E6:E9,C6:C9,C6:C9))/E10</f>
        <v>0.0743274007348569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_openrisksim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OpenRiskSim</dc:creator>
  <dc:title/>
  <dc:subject/>
  <dc:description/>
  <cp:keywords/>
  <cp:category/>
  <cp:lastModifiedBy>Unknown</cp:lastModifiedBy>
  <dcterms:created xsi:type="dcterms:W3CDTF">2026-10-05T21:46:03Z</dcterms:created>
  <dcterms:modified xsi:type="dcterms:W3CDTF">2026-10-05T21:46:03Z</dcterms:modified>
</cp:coreProperties>
</file>