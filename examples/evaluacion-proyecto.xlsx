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" state="visible" r:id="rId4"/>
    <sheet sheetId="2" name="_openrisksim" state="veryHidden" r:id="rId5"/>
  </sheets>
  <calcPr calcId="171027" fullCalcOnLoad="1"/>
</workbook>
</file>

<file path=xl/sharedStrings.xml><?xml version="1.0" encoding="utf-8"?>
<sst xmlns="http://schemas.openxmlformats.org/spreadsheetml/2006/main" count="37" uniqueCount="37">
  <si>
    <t>Evaluación de proyecto de inversión / Project evaluation</t>
  </si>
  <si>
    <t>Celdas amarillas: entradas. Verde: supuestos (inciertos). Azul: pronósticos.</t>
  </si>
  <si>
    <t>Entradas / Inputs</t>
  </si>
  <si>
    <t>Unidades vendidas año 1 / Units sold year 1</t>
  </si>
  <si>
    <t>Crecimiento anual de unidades / Unit growth</t>
  </si>
  <si>
    <t>Precio unitario / Unit price</t>
  </si>
  <si>
    <t>Costo variable unitario / Unit variable cost</t>
  </si>
  <si>
    <t>Costos fijos anuales / Annual fixed costs</t>
  </si>
  <si>
    <t>Inversión inicial / Initial investment</t>
  </si>
  <si>
    <t>Vida útil (años) / Useful life (years)</t>
  </si>
  <si>
    <t>Valor de rescate / Salvage value</t>
  </si>
  <si>
    <t>Tasa de impuesto / Tax rate</t>
  </si>
  <si>
    <t>Capital de trabajo (% de ventas) / Working capital (% of sales)</t>
  </si>
  <si>
    <t>Tasa de descuento / Discount rate</t>
  </si>
  <si>
    <t>Inflación de precios y costos / Inflation</t>
  </si>
  <si>
    <t>Flujo de caja / Cash flow</t>
  </si>
  <si>
    <t>Unidades / Units</t>
  </si>
  <si>
    <t>Precio / Price</t>
  </si>
  <si>
    <t>Ingresos / Revenue</t>
  </si>
  <si>
    <t>Costos variables / Variable costs</t>
  </si>
  <si>
    <t>Costos fijos / Fixed costs</t>
  </si>
  <si>
    <t>Depreciación / Depreciation</t>
  </si>
  <si>
    <t>Utilidad antes de impuestos / EBT</t>
  </si>
  <si>
    <t>Impuestos / Taxes</t>
  </si>
  <si>
    <t>Utilidad neta / Net income</t>
  </si>
  <si>
    <t>(+) Depreciación / Depreciation add-back</t>
  </si>
  <si>
    <t>Inversión y rescate / Investment &amp; salvage</t>
  </si>
  <si>
    <t>Capital de trabajo / Working capital</t>
  </si>
  <si>
    <t>Flujo de caja libre / Free cash flow</t>
  </si>
  <si>
    <t>Flujo acumulado / Cumulative cash flow</t>
  </si>
  <si>
    <t>Indicadores / Indicators</t>
  </si>
  <si>
    <t>VAN / NPV</t>
  </si>
  <si>
    <t>TIR / IRR</t>
  </si>
  <si>
    <t>Periodo de recuperación (años) / Payback (years)</t>
  </si>
  <si>
    <t>Índice de rentabilidad / Profitability index</t>
  </si>
  <si>
    <t>VAN como anualidad / Equivalent annual annuity</t>
  </si>
  <si>
    <t>{"version":1,"assumptions":[{"id":"a_units","name":"Unidades vendidas año 1","cell":{"sheet":"Proyecto","address":"B4"},"distribution":{"id":"normal","params":{"mean":10000,"stdDev":1500},"truncate":{"min":0}},"enabled":true},{"id":"a_price","name":"Precio unitario","cell":{"sheet":"Proyecto","address":"B6"},"distribution":{"id":"normal","params":{"mean":26,"stdDev":2},"truncate":{"min":0}},"enabled":true},{"id":"a_varcost","name":"Costo variable unitario","cell":{"sheet":"Proyecto","address":"B7"},"distribution":{"id":"pert","params":{"min":10.5,"mode":12,"max":15}},"enabled":true},{"id":"a_invest","name":"Inversión inicial","cell":{"sheet":"Proyecto","address":"B9"},"distribution":{"id":"triangular","params":{"min":220000,"mode":250000,"max":310000}},"enabled":true},{"id":"a_rate","name":"Tasa de descuento","cell":{"sheet":"Proyecto","address":"B14"},"distribution":{"id":"uniform","params":{"min":0.1,"max":0.14}},"enabled":true}],"forecasts":[{"id":"f_npv","name":"VAN","cell":{"sheet":"Proyecto","address":"B34"},"format":"currency"},{"id":"f_irr","name":"TIR","cell":{"sheet":"Proyecto","address":"B35"},"format":"percent"}],"decisions":[],"correlations":[{"a":"a_price","b":"a_units","rho":-0.5}],"settings":{"trials":5000,"seed":12345,"sampling":"latinHypercube","applyCorrelations":true,"precisionControl"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</si>
</sst>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1F386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0" fillId="2" borderId="0" xfId="0" applyNumberFormat="1" applyFill="1"/>
    <xf numFmtId="164" fontId="0" fillId="2" borderId="0" xfId="0" applyNumberFormat="1" applyFill="1"/>
    <xf numFmtId="4" fontId="0" fillId="2" borderId="0" xfId="0" applyNumberFormat="1" applyFill="1"/>
    <xf numFmtId="0" fontId="2" fillId="3" borderId="0" xfId="0" applyFont="1" applyFill="1"/>
    <xf numFmtId="1" fontId="2" fillId="3" borderId="0" xfId="0" applyNumberFormat="1" applyFont="1" applyFill="1"/>
    <xf numFmtId="3" fontId="0" fillId="0" borderId="0" xfId="0" applyNumberFormat="1"/>
    <xf numFmtId="4" fontId="0" fillId="0" borderId="0" xfId="0" applyNumberFormat="1"/>
    <xf numFmtId="0" fontId="2" fillId="0" borderId="0" xfId="0" applyFont="1"/>
    <xf numFmtId="3" fontId="2" fillId="0" borderId="0" xfId="0" applyNumberFormat="1" applyFont="1"/>
    <xf numFmtId="3" fontId="2" fillId="4" borderId="0" xfId="0" applyNumberFormat="1" applyFont="1" applyFill="1"/>
    <xf numFmtId="164" fontId="2" fillId="4" borderId="0" xfId="0" applyNumberFormat="1" applyFont="1" applyFill="1"/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44" customWidth="1"/>
    <col min="2" max="2" width="14" customWidth="1"/>
    <col min="3" max="7" width="13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2" x14ac:dyDescent="0.25">
      <c r="A4" t="s">
        <v>3</v>
      </c>
      <c r="B4" s="2">
        <v>10000</v>
      </c>
    </row>
    <row r="5" spans="1:2" x14ac:dyDescent="0.25">
      <c r="A5" t="s">
        <v>4</v>
      </c>
      <c r="B5" s="3">
        <v>0.05</v>
      </c>
    </row>
    <row r="6" spans="1:2" x14ac:dyDescent="0.25">
      <c r="A6" t="s">
        <v>5</v>
      </c>
      <c r="B6" s="4">
        <v>26</v>
      </c>
    </row>
    <row r="7" spans="1:2" x14ac:dyDescent="0.25">
      <c r="A7" t="s">
        <v>6</v>
      </c>
      <c r="B7" s="4">
        <v>12</v>
      </c>
    </row>
    <row r="8" spans="1:2" x14ac:dyDescent="0.25">
      <c r="A8" t="s">
        <v>7</v>
      </c>
      <c r="B8" s="2">
        <v>60000</v>
      </c>
    </row>
    <row r="9" spans="1:2" x14ac:dyDescent="0.25">
      <c r="A9" t="s">
        <v>8</v>
      </c>
      <c r="B9" s="2">
        <v>250000</v>
      </c>
    </row>
    <row r="10" spans="1:2" x14ac:dyDescent="0.25">
      <c r="A10" t="s">
        <v>9</v>
      </c>
      <c r="B10" s="2">
        <v>5</v>
      </c>
    </row>
    <row r="11" spans="1:2" x14ac:dyDescent="0.25">
      <c r="A11" t="s">
        <v>10</v>
      </c>
      <c r="B11" s="2">
        <v>25000</v>
      </c>
    </row>
    <row r="12" spans="1:2" x14ac:dyDescent="0.25">
      <c r="A12" t="s">
        <v>11</v>
      </c>
      <c r="B12" s="3">
        <v>0.25</v>
      </c>
    </row>
    <row r="13" spans="1:2" x14ac:dyDescent="0.25">
      <c r="A13" t="s">
        <v>12</v>
      </c>
      <c r="B13" s="3">
        <v>0.1</v>
      </c>
    </row>
    <row r="14" spans="1:2" x14ac:dyDescent="0.25">
      <c r="A14" t="s">
        <v>13</v>
      </c>
      <c r="B14" s="3">
        <v>0.12</v>
      </c>
    </row>
    <row r="15" spans="1:2" x14ac:dyDescent="0.25">
      <c r="A15" t="s">
        <v>14</v>
      </c>
      <c r="B15" s="3">
        <v>0.03</v>
      </c>
    </row>
    <row r="17" spans="1:7" x14ac:dyDescent="0.25">
      <c r="A17" s="5" t="s">
        <v>15</v>
      </c>
      <c r="B17" s="6">
        <v>0</v>
      </c>
      <c r="C17" s="6">
        <v>1</v>
      </c>
      <c r="D17" s="6">
        <v>2</v>
      </c>
      <c r="E17" s="6">
        <v>3</v>
      </c>
      <c r="F17" s="6">
        <v>4</v>
      </c>
      <c r="G17" s="6">
        <v>5</v>
      </c>
    </row>
    <row r="18" spans="1:7" x14ac:dyDescent="0.25">
      <c r="A18" t="s">
        <v>16</v>
      </c>
      <c r="C18" s="7">
        <f>$B$4</f>
        <v>10000</v>
      </c>
      <c r="D18" s="7">
        <f>C18*(1+$B$5)</f>
        <v>10500</v>
      </c>
      <c r="E18" s="7">
        <f>D18*(1+$B$5)</f>
        <v>11025</v>
      </c>
      <c r="F18" s="7">
        <f>E18*(1+$B$5)</f>
        <v>11576.25</v>
      </c>
      <c r="G18" s="7">
        <f>F18*(1+$B$5)</f>
        <v>12155.0625</v>
      </c>
    </row>
    <row r="19" spans="1:7" x14ac:dyDescent="0.25">
      <c r="A19" t="s">
        <v>17</v>
      </c>
      <c r="C19" s="8">
        <f>$B$6</f>
        <v>26</v>
      </c>
      <c r="D19" s="8">
        <f>C19*(1+$B$15)</f>
        <v>26.78</v>
      </c>
      <c r="E19" s="8">
        <f>D19*(1+$B$15)</f>
        <v>27.5834</v>
      </c>
      <c r="F19" s="8">
        <f>E19*(1+$B$15)</f>
        <v>28.410902</v>
      </c>
      <c r="G19" s="8">
        <f>F19*(1+$B$15)</f>
        <v>29.26322906</v>
      </c>
    </row>
    <row r="20" spans="1:7" x14ac:dyDescent="0.25">
      <c r="A20" t="s">
        <v>18</v>
      </c>
      <c r="C20" s="7">
        <f>C18*C19</f>
        <v>260000</v>
      </c>
      <c r="D20" s="7">
        <f>D18*D19</f>
        <v>281190</v>
      </c>
      <c r="E20" s="7">
        <f>E18*E19</f>
        <v>304106.985</v>
      </c>
      <c r="F20" s="7">
        <f>F18*F19</f>
        <v>328891.7042775</v>
      </c>
      <c r="G20" s="7">
        <f>G18*G19</f>
        <v>355696.378176116</v>
      </c>
    </row>
    <row r="21" spans="1:7" x14ac:dyDescent="0.25">
      <c r="A21" t="s">
        <v>19</v>
      </c>
      <c r="C21" s="7">
        <f>-C18*$B$7*(1+$B$15)^(C$17-1)</f>
        <v>-120000</v>
      </c>
      <c r="D21" s="7">
        <f>-D18*$B$7*(1+$B$15)^(D$17-1)</f>
        <v>-129780</v>
      </c>
      <c r="E21" s="7">
        <f>-E18*$B$7*(1+$B$15)^(E$17-1)</f>
        <v>-140357.07</v>
      </c>
      <c r="F21" s="7">
        <f>-F18*$B$7*(1+$B$15)^(F$17-1)</f>
        <v>-151796.171205</v>
      </c>
      <c r="G21" s="7">
        <f>-G18*$B$7*(1+$B$15)^(G$17-1)</f>
        <v>-164167.559158208</v>
      </c>
    </row>
    <row r="22" spans="1:7" x14ac:dyDescent="0.25">
      <c r="A22" t="s">
        <v>20</v>
      </c>
      <c r="C22" s="7">
        <f>-$B$8*(1+$B$15)^(C$17-1)</f>
        <v>-60000</v>
      </c>
      <c r="D22" s="7">
        <f>-$B$8*(1+$B$15)^(D$17-1)</f>
        <v>-61800</v>
      </c>
      <c r="E22" s="7">
        <f>-$B$8*(1+$B$15)^(E$17-1)</f>
        <v>-63654</v>
      </c>
      <c r="F22" s="7">
        <f>-$B$8*(1+$B$15)^(F$17-1)</f>
        <v>-65563.62</v>
      </c>
      <c r="G22" s="7">
        <f>-$B$8*(1+$B$15)^(G$17-1)</f>
        <v>-67530.5286</v>
      </c>
    </row>
    <row r="23" spans="1:7" x14ac:dyDescent="0.25">
      <c r="A23" t="s">
        <v>21</v>
      </c>
      <c r="C23" s="7">
        <f>-IF(C$17&lt;=$B$10,($B$9-$B$11)/$B$10,0)</f>
        <v>-45000</v>
      </c>
      <c r="D23" s="7">
        <f>-IF(D$17&lt;=$B$10,($B$9-$B$11)/$B$10,0)</f>
        <v>-45000</v>
      </c>
      <c r="E23" s="7">
        <f>-IF(E$17&lt;=$B$10,($B$9-$B$11)/$B$10,0)</f>
        <v>-45000</v>
      </c>
      <c r="F23" s="7">
        <f>-IF(F$17&lt;=$B$10,($B$9-$B$11)/$B$10,0)</f>
        <v>-45000</v>
      </c>
      <c r="G23" s="7">
        <f>-IF(G$17&lt;=$B$10,($B$9-$B$11)/$B$10,0)</f>
        <v>-45000</v>
      </c>
    </row>
    <row r="24" spans="1:7" x14ac:dyDescent="0.25">
      <c r="A24" t="s">
        <v>22</v>
      </c>
      <c r="C24" s="7">
        <f>SUM(C20:C23)</f>
        <v>35000</v>
      </c>
      <c r="D24" s="7">
        <f>SUM(D20:D23)</f>
        <v>44610</v>
      </c>
      <c r="E24" s="7">
        <f>SUM(E20:E23)</f>
        <v>55095.915</v>
      </c>
      <c r="F24" s="7">
        <f>SUM(F20:F23)</f>
        <v>66531.9130725</v>
      </c>
      <c r="G24" s="7">
        <f>SUM(G20:G23)</f>
        <v>78998.2904179087</v>
      </c>
    </row>
    <row r="25" spans="1:7" x14ac:dyDescent="0.25">
      <c r="A25" t="s">
        <v>23</v>
      </c>
      <c r="C25" s="7">
        <f>-MAX(0,C24)*$B$12</f>
        <v>-8750</v>
      </c>
      <c r="D25" s="7">
        <f>-MAX(0,D24)*$B$12</f>
        <v>-11152.5</v>
      </c>
      <c r="E25" s="7">
        <f>-MAX(0,E24)*$B$12</f>
        <v>-13773.97875</v>
      </c>
      <c r="F25" s="7">
        <f>-MAX(0,F24)*$B$12</f>
        <v>-16632.978268125</v>
      </c>
      <c r="G25" s="7">
        <f>-MAX(0,G24)*$B$12</f>
        <v>-19749.5726044772</v>
      </c>
    </row>
    <row r="26" spans="1:7" x14ac:dyDescent="0.25">
      <c r="A26" t="s">
        <v>24</v>
      </c>
      <c r="C26" s="7">
        <f>C24+C25</f>
        <v>26250</v>
      </c>
      <c r="D26" s="7">
        <f>D24+D25</f>
        <v>33457.5</v>
      </c>
      <c r="E26" s="7">
        <f>E24+E25</f>
        <v>41321.93625</v>
      </c>
      <c r="F26" s="7">
        <f>F24+F25</f>
        <v>49898.934804375</v>
      </c>
      <c r="G26" s="7">
        <f>G24+G25</f>
        <v>59248.7178134316</v>
      </c>
    </row>
    <row r="27" spans="1:7" x14ac:dyDescent="0.25">
      <c r="A27" t="s">
        <v>25</v>
      </c>
      <c r="C27" s="7">
        <f>-C23</f>
        <v>45000</v>
      </c>
      <c r="D27" s="7">
        <f>-D23</f>
        <v>45000</v>
      </c>
      <c r="E27" s="7">
        <f>-E23</f>
        <v>45000</v>
      </c>
      <c r="F27" s="7">
        <f>-F23</f>
        <v>45000</v>
      </c>
      <c r="G27" s="7">
        <f>-G23</f>
        <v>45000</v>
      </c>
    </row>
    <row r="28" spans="1:7" x14ac:dyDescent="0.25">
      <c r="A28" t="s">
        <v>26</v>
      </c>
      <c r="B28" s="7">
        <f>-$B$9</f>
        <v>-250000</v>
      </c>
      <c r="C28" s="7">
        <f>0</f>
        <v>0</v>
      </c>
      <c r="D28" s="7">
        <f>0</f>
        <v>0</v>
      </c>
      <c r="E28" s="7">
        <f>0</f>
        <v>0</v>
      </c>
      <c r="F28" s="7">
        <f>0</f>
        <v>0</v>
      </c>
      <c r="G28" s="7">
        <f>$B$11</f>
        <v>25000</v>
      </c>
    </row>
    <row r="29" spans="1:7" x14ac:dyDescent="0.25">
      <c r="A29" t="s">
        <v>27</v>
      </c>
      <c r="B29" s="7">
        <f>-$B$13*C20</f>
        <v>-26000</v>
      </c>
      <c r="C29" s="7">
        <f>-$B$13*(D20-C20)</f>
        <v>-2119</v>
      </c>
      <c r="D29" s="7">
        <f>-$B$13*(E20-D20)</f>
        <v>-2291.6985</v>
      </c>
      <c r="E29" s="7">
        <f>-$B$13*(F20-E20)</f>
        <v>-2478.47192775</v>
      </c>
      <c r="F29" s="7">
        <f>-$B$13*(G20-F20)</f>
        <v>-2680.46738986163</v>
      </c>
      <c r="G29" s="7">
        <f>$B$13*G20</f>
        <v>35569.6378176116</v>
      </c>
    </row>
    <row r="30" spans="1:7" x14ac:dyDescent="0.25">
      <c r="A30" s="9" t="s">
        <v>28</v>
      </c>
      <c r="B30" s="10">
        <f>B28+B29</f>
        <v>-276000</v>
      </c>
      <c r="C30" s="10">
        <f>C26+C27+C28+C29</f>
        <v>69131</v>
      </c>
      <c r="D30" s="10">
        <f>D26+D27+D28+D29</f>
        <v>76165.8015</v>
      </c>
      <c r="E30" s="10">
        <f>E26+E27+E28+E29</f>
        <v>83843.46432225</v>
      </c>
      <c r="F30" s="10">
        <f>F26+F27+F28+F29</f>
        <v>92218.4674145134</v>
      </c>
      <c r="G30" s="10">
        <f>G26+G27+G28+G29</f>
        <v>164818.355631043</v>
      </c>
    </row>
    <row r="31" spans="1:7" x14ac:dyDescent="0.25">
      <c r="A31" t="s">
        <v>29</v>
      </c>
      <c r="B31" s="7">
        <f>B30</f>
        <v>-276000</v>
      </c>
      <c r="C31" s="7">
        <f>B31+C30</f>
        <v>-206869</v>
      </c>
      <c r="D31" s="7">
        <f>C31+D30</f>
        <v>-130703.1985</v>
      </c>
      <c r="E31" s="7">
        <f>D31+E30</f>
        <v>-46859.73417775</v>
      </c>
      <c r="F31" s="7">
        <f>E31+F30</f>
        <v>45358.7332367634</v>
      </c>
      <c r="G31" s="7">
        <f>F31+G30</f>
        <v>210177.088867807</v>
      </c>
    </row>
    <row r="33" spans="1:1" x14ac:dyDescent="0.25">
      <c r="A33" s="1" t="s">
        <v>30</v>
      </c>
    </row>
    <row r="34" spans="1:2" x14ac:dyDescent="0.25">
      <c r="A34" t="s">
        <v>31</v>
      </c>
      <c r="B34" s="11">
        <f>B30+NPV($B$14,C30:G30)</f>
        <v>58250.0040953922</v>
      </c>
    </row>
    <row r="35" spans="1:2" x14ac:dyDescent="0.25">
      <c r="A35" t="s">
        <v>32</v>
      </c>
      <c r="B35" s="12">
        <f>IRR(B30:G30)</f>
        <v>0.19096946344719</v>
      </c>
    </row>
    <row r="36" spans="1:2" x14ac:dyDescent="0.25">
      <c r="A36" t="s">
        <v>33</v>
      </c>
      <c r="B36" s="13">
        <f>IF(G31&lt;0,"&gt; 5",COUNTIF(C31:G31,"&lt;0")+(-INDEX(B31:G31,1,COUNTIF(C31:G31,"&lt;0")+1))/INDEX(C30:G30,1,COUNTIF(C31:G31,"&lt;0")+1))</f>
        <v>3.5081382882576</v>
      </c>
    </row>
    <row r="37" spans="1:2" x14ac:dyDescent="0.25">
      <c r="A37" t="s">
        <v>34</v>
      </c>
      <c r="B37" s="13">
        <f>NPV($B$14,C30:G30)/-B30</f>
        <v>1.21105073947606</v>
      </c>
    </row>
    <row r="38" spans="1:2" x14ac:dyDescent="0.25">
      <c r="A38" t="s">
        <v>35</v>
      </c>
      <c r="B38" s="11">
        <f>-PMT($B$14,$B$10,B34)</f>
        <v>16159.1180216677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Proyecto</vt:lpstr>
      <vt:lpstr>_openrisksim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OpenRiskSim</dc:creator>
  <dc:title/>
  <dc:subject/>
  <dc:description/>
  <cp:keywords/>
  <cp:category/>
  <cp:lastModifiedBy>Unknown</cp:lastModifiedBy>
  <dcterms:created xsi:type="dcterms:W3CDTF">2026-10-05T21:46:03Z</dcterms:created>
  <dcterms:modified xsi:type="dcterms:W3CDTF">2026-10-05T21:46:03Z</dcterms:modified>
</cp:coreProperties>
</file>