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tamo" state="visible" r:id="rId4"/>
    <sheet sheetId="2" name="_openrisksim" state="veryHidden" r:id="rId5"/>
  </sheets>
  <calcPr calcId="171027" fullCalcOnLoad="1"/>
</workbook>
</file>

<file path=xl/sharedStrings.xml><?xml version="1.0" encoding="utf-8"?>
<sst xmlns="http://schemas.openxmlformats.org/spreadsheetml/2006/main" count="31" uniqueCount="31">
  <si>
    <t>Flujo del inversionista con préstamo / Equity cash flow with a loan</t>
  </si>
  <si>
    <t>Entradas / Inputs</t>
  </si>
  <si>
    <t>Inversión total / Total investment</t>
  </si>
  <si>
    <t>Porcentaje financiado / Debt share</t>
  </si>
  <si>
    <t>Tasa base (referencial) / Base rate</t>
  </si>
  <si>
    <t>Margen del banco (spread) / Bank spread</t>
  </si>
  <si>
    <t>Plazo (años) / Term (years)</t>
  </si>
  <si>
    <t>EBITDA año 1 / EBITDA year 1</t>
  </si>
  <si>
    <t>Crecimiento del EBITDA / EBITDA growth</t>
  </si>
  <si>
    <t>Tasa de impuesto / Tax rate</t>
  </si>
  <si>
    <t>Costo del capital propio / Cost of equity</t>
  </si>
  <si>
    <t>Monto del préstamo / Loan amount</t>
  </si>
  <si>
    <t>Tasa del préstamo / Loan rate</t>
  </si>
  <si>
    <t>Cuota (sistema francés) / Payment (French)</t>
  </si>
  <si>
    <t>Año / Year</t>
  </si>
  <si>
    <t>Saldo inicial / Opening balance</t>
  </si>
  <si>
    <t>Interés / Interest</t>
  </si>
  <si>
    <t>Amortización / Principal</t>
  </si>
  <si>
    <t>Saldo final / Closing balance</t>
  </si>
  <si>
    <t>EBITDA</t>
  </si>
  <si>
    <t>Depreciación / Depreciation</t>
  </si>
  <si>
    <t>Utilidad antes de impuestos / EBT</t>
  </si>
  <si>
    <t>Impuestos / Taxes</t>
  </si>
  <si>
    <t>Flujo del inversionista / Equity cash flow</t>
  </si>
  <si>
    <t>Cobertura del servicio de deuda (DSCR)</t>
  </si>
  <si>
    <t>Indicadores / Indicators</t>
  </si>
  <si>
    <t>VAN del inversionista / Equity NPV</t>
  </si>
  <si>
    <t>TIR del inversionista / Equity IRR</t>
  </si>
  <si>
    <t>DSCR mínimo / Minimum DSCR</t>
  </si>
  <si>
    <t>Intereses totales pagados / Total interest paid</t>
  </si>
  <si>
    <t>{"version":1,"assumptions":[{"id":"a_base_rate","name":"Tasa base","cell":{"sheet":"Préstamo","address":"B6"},"distribution":{"id":"normal","params":{"mean":0.08,"stdDev":0.015},"truncate":{"min":0.02,"max":0.16}},"enabled":true},{"id":"a_ebitda","name":"EBITDA año 1","cell":{"sheet":"Préstamo","address":"B9"},"distribution":{"id":"normal","params":{"mean":160000,"stdDev":25000}},"enabled":true},{"id":"a_growth","name":"Crecimiento del EBITDA","cell":{"sheet":"Préstamo","address":"B10"},"distribution":{"id":"triangular","params":{"min":-0.02,"mode":0.03,"max":0.07}},"enabled":true}],"forecasts":[{"id":"f_equity_npv","name":"VAN del inversionista","cell":{"sheet":"Préstamo","address":"B30"},"format":"currency"},{"id":"f_equity_irr","name":"TIR del inversionista","cell":{"sheet":"Préstamo","address":"B31"},"format":"percent"},{"id":"f_dscr","name":"DSCR mínimo","cell":{"sheet":"Préstamo","address":"B32"},"format":"number"}],"decisions":[],"correlations":[{"a":"a_base_rate","b":"a_ebitda","rho":-0.3}],"settings":{"trials":5000,"seed":12345,"sampling":"latinHypercube","applyCorrelations":true,"precisionControl":null}}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</si>
</sst>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  <color rgb="FF1F3864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3" fontId="0" fillId="2" borderId="0" xfId="0" applyNumberFormat="1" applyFill="1"/>
    <xf numFmtId="164" fontId="0" fillId="2" borderId="0" xfId="0" applyNumberFormat="1" applyFill="1"/>
    <xf numFmtId="1" fontId="0" fillId="2" borderId="0" xfId="0" applyNumberFormat="1" applyFill="1"/>
    <xf numFmtId="3" fontId="0" fillId="0" borderId="0" xfId="0" applyNumberFormat="1"/>
    <xf numFmtId="164" fontId="0" fillId="0" borderId="0" xfId="0" applyNumberFormat="1"/>
    <xf numFmtId="0" fontId="2" fillId="3" borderId="0" xfId="0" applyFont="1" applyFill="1"/>
    <xf numFmtId="1" fontId="2" fillId="3" borderId="0" xfId="0" applyNumberFormat="1" applyFont="1" applyFill="1"/>
    <xf numFmtId="0" fontId="2" fillId="0" borderId="0" xfId="0" applyFont="1"/>
    <xf numFmtId="3" fontId="2" fillId="0" borderId="0" xfId="0" applyNumberFormat="1" applyFont="1"/>
    <xf numFmtId="2" fontId="0" fillId="0" borderId="0" xfId="0" applyNumberFormat="1"/>
    <xf numFmtId="3" fontId="2" fillId="4" borderId="0" xfId="0" applyNumberFormat="1" applyFont="1" applyFill="1"/>
    <xf numFmtId="164" fontId="2" fillId="4" borderId="0" xfId="0" applyNumberFormat="1" applyFont="1" applyFill="1"/>
    <xf numFmtId="2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46" customWidth="1"/>
    <col min="2" max="2" width="14" customWidth="1"/>
    <col min="3" max="7" width="13" customWidth="1"/>
  </cols>
  <sheetData>
    <row r="1" spans="1:1" x14ac:dyDescent="0.25">
      <c r="A1" s="1" t="s">
        <v>0</v>
      </c>
    </row>
    <row r="3" spans="1:1" x14ac:dyDescent="0.25">
      <c r="A3" s="1" t="s">
        <v>1</v>
      </c>
    </row>
    <row r="4" spans="1:2" x14ac:dyDescent="0.25">
      <c r="A4" t="s">
        <v>2</v>
      </c>
      <c r="B4" s="2">
        <v>500000</v>
      </c>
    </row>
    <row r="5" spans="1:2" x14ac:dyDescent="0.25">
      <c r="A5" t="s">
        <v>3</v>
      </c>
      <c r="B5" s="3">
        <v>0.6</v>
      </c>
    </row>
    <row r="6" spans="1:2" x14ac:dyDescent="0.25">
      <c r="A6" t="s">
        <v>4</v>
      </c>
      <c r="B6" s="3">
        <v>0.08</v>
      </c>
    </row>
    <row r="7" spans="1:2" x14ac:dyDescent="0.25">
      <c r="A7" t="s">
        <v>5</v>
      </c>
      <c r="B7" s="3">
        <v>0.03</v>
      </c>
    </row>
    <row r="8" spans="1:2" x14ac:dyDescent="0.25">
      <c r="A8" t="s">
        <v>6</v>
      </c>
      <c r="B8" s="4">
        <v>5</v>
      </c>
    </row>
    <row r="9" spans="1:2" x14ac:dyDescent="0.25">
      <c r="A9" t="s">
        <v>7</v>
      </c>
      <c r="B9" s="2">
        <v>160000</v>
      </c>
    </row>
    <row r="10" spans="1:2" x14ac:dyDescent="0.25">
      <c r="A10" t="s">
        <v>8</v>
      </c>
      <c r="B10" s="3">
        <v>0.03</v>
      </c>
    </row>
    <row r="11" spans="1:2" x14ac:dyDescent="0.25">
      <c r="A11" t="s">
        <v>9</v>
      </c>
      <c r="B11" s="3">
        <v>0.25</v>
      </c>
    </row>
    <row r="12" spans="1:2" x14ac:dyDescent="0.25">
      <c r="A12" t="s">
        <v>10</v>
      </c>
      <c r="B12" s="3">
        <v>0.15</v>
      </c>
    </row>
    <row r="13" spans="1:2" x14ac:dyDescent="0.25">
      <c r="A13" t="s">
        <v>11</v>
      </c>
      <c r="B13" s="5">
        <f>B4*B5</f>
        <v>300000</v>
      </c>
    </row>
    <row r="14" spans="1:2" x14ac:dyDescent="0.25">
      <c r="A14" t="s">
        <v>12</v>
      </c>
      <c r="B14" s="6">
        <f>B6+B7</f>
        <v>0.11</v>
      </c>
    </row>
    <row r="15" spans="1:2" x14ac:dyDescent="0.25">
      <c r="A15" t="s">
        <v>13</v>
      </c>
      <c r="B15" s="5">
        <f>PMT(B14,B8,-B13)</f>
        <v>81171.0928544203</v>
      </c>
    </row>
    <row r="17" spans="1:7" x14ac:dyDescent="0.25">
      <c r="A17" s="7" t="s">
        <v>14</v>
      </c>
      <c r="B17" s="8">
        <v>0</v>
      </c>
      <c r="C17" s="8">
        <v>1</v>
      </c>
      <c r="D17" s="8">
        <v>2</v>
      </c>
      <c r="E17" s="8">
        <v>3</v>
      </c>
      <c r="F17" s="8">
        <v>4</v>
      </c>
      <c r="G17" s="8">
        <v>5</v>
      </c>
    </row>
    <row r="18" spans="1:7" x14ac:dyDescent="0.25">
      <c r="A18" t="s">
        <v>15</v>
      </c>
      <c r="C18" s="5">
        <f>B21</f>
        <v>300000</v>
      </c>
      <c r="D18" s="5">
        <f>C21</f>
        <v>251828.90714558</v>
      </c>
      <c r="E18" s="5">
        <f>D21</f>
        <v>198358.994077173</v>
      </c>
      <c r="F18" s="5">
        <f>E21</f>
        <v>139007.390571242</v>
      </c>
      <c r="G18" s="5">
        <f>F21</f>
        <v>73127.1106796582</v>
      </c>
    </row>
    <row r="19" spans="1:7" x14ac:dyDescent="0.25">
      <c r="A19" t="s">
        <v>16</v>
      </c>
      <c r="C19" s="5">
        <f>C18*$B$14</f>
        <v>33000</v>
      </c>
      <c r="D19" s="5">
        <f>D18*$B$14</f>
        <v>27701.1797860138</v>
      </c>
      <c r="E19" s="5">
        <f>E18*$B$14</f>
        <v>21819.489348489</v>
      </c>
      <c r="F19" s="5">
        <f>F18*$B$14</f>
        <v>15290.8129628366</v>
      </c>
      <c r="G19" s="5">
        <f>G18*$B$14</f>
        <v>8043.9821747624</v>
      </c>
    </row>
    <row r="20" spans="1:7" x14ac:dyDescent="0.25">
      <c r="A20" t="s">
        <v>17</v>
      </c>
      <c r="C20" s="5">
        <f>IF(C$17&lt;=$B$8,$B$15-C19,0)</f>
        <v>48171.0928544203</v>
      </c>
      <c r="D20" s="5">
        <f>IF(D$17&lt;=$B$8,$B$15-D19,0)</f>
        <v>53469.9130684065</v>
      </c>
      <c r="E20" s="5">
        <f>IF(E$17&lt;=$B$8,$B$15-E19,0)</f>
        <v>59351.6035059313</v>
      </c>
      <c r="F20" s="5">
        <f>IF(F$17&lt;=$B$8,$B$15-F19,0)</f>
        <v>65880.2798915837</v>
      </c>
      <c r="G20" s="5">
        <f>IF(G$17&lt;=$B$8,$B$15-G19,0)</f>
        <v>73127.1106796579</v>
      </c>
    </row>
    <row r="21" spans="1:7" x14ac:dyDescent="0.25">
      <c r="A21" t="s">
        <v>18</v>
      </c>
      <c r="B21" s="5">
        <f>B13</f>
        <v>300000</v>
      </c>
      <c r="C21" s="5">
        <f>C18-C20</f>
        <v>251828.90714558</v>
      </c>
      <c r="D21" s="5">
        <f>D18-D20</f>
        <v>198358.994077173</v>
      </c>
      <c r="E21" s="5">
        <f>E18-E20</f>
        <v>139007.390571242</v>
      </c>
      <c r="F21" s="5">
        <f>F18-F20</f>
        <v>73127.1106796582</v>
      </c>
      <c r="G21" s="5">
        <f>G18-G20</f>
        <v>0</v>
      </c>
    </row>
    <row r="22" spans="1:7" x14ac:dyDescent="0.25">
      <c r="A22" t="s">
        <v>19</v>
      </c>
      <c r="C22" s="5">
        <f>$B$9</f>
        <v>160000</v>
      </c>
      <c r="D22" s="5">
        <f>C22*(1+$B$10)</f>
        <v>164800</v>
      </c>
      <c r="E22" s="5">
        <f>D22*(1+$B$10)</f>
        <v>169744</v>
      </c>
      <c r="F22" s="5">
        <f>E22*(1+$B$10)</f>
        <v>174836.32</v>
      </c>
      <c r="G22" s="5">
        <f>F22*(1+$B$10)</f>
        <v>180081.4096</v>
      </c>
    </row>
    <row r="23" spans="1:7" x14ac:dyDescent="0.25">
      <c r="A23" t="s">
        <v>20</v>
      </c>
      <c r="C23" s="5">
        <f>$B$4/5</f>
        <v>100000</v>
      </c>
      <c r="D23" s="5">
        <f>$B$4/5</f>
        <v>100000</v>
      </c>
      <c r="E23" s="5">
        <f>$B$4/5</f>
        <v>100000</v>
      </c>
      <c r="F23" s="5">
        <f>$B$4/5</f>
        <v>100000</v>
      </c>
      <c r="G23" s="5">
        <f>$B$4/5</f>
        <v>100000</v>
      </c>
    </row>
    <row r="24" spans="1:7" x14ac:dyDescent="0.25">
      <c r="A24" t="s">
        <v>21</v>
      </c>
      <c r="C24" s="5">
        <f>C22-C23-C19</f>
        <v>27000</v>
      </c>
      <c r="D24" s="5">
        <f>D22-D23-D19</f>
        <v>37098.8202139862</v>
      </c>
      <c r="E24" s="5">
        <f>E22-E23-E19</f>
        <v>47924.510651511</v>
      </c>
      <c r="F24" s="5">
        <f>F22-F23-F19</f>
        <v>59545.5070371634</v>
      </c>
      <c r="G24" s="5">
        <f>G22-G23-G19</f>
        <v>72037.4274252376</v>
      </c>
    </row>
    <row r="25" spans="1:7" x14ac:dyDescent="0.25">
      <c r="A25" t="s">
        <v>22</v>
      </c>
      <c r="C25" s="5">
        <f>-MAX(0,C24)*$B$11</f>
        <v>-6750</v>
      </c>
      <c r="D25" s="5">
        <f>-MAX(0,D24)*$B$11</f>
        <v>-9274.70505349656</v>
      </c>
      <c r="E25" s="5">
        <f>-MAX(0,E24)*$B$11</f>
        <v>-11981.1276628777</v>
      </c>
      <c r="F25" s="5">
        <f>-MAX(0,F24)*$B$11</f>
        <v>-14886.3767592909</v>
      </c>
      <c r="G25" s="5">
        <f>-MAX(0,G24)*$B$11</f>
        <v>-18009.3568563094</v>
      </c>
    </row>
    <row r="26" spans="1:7" x14ac:dyDescent="0.25">
      <c r="A26" s="9" t="s">
        <v>23</v>
      </c>
      <c r="B26" s="10">
        <f>-(B4-B13)</f>
        <v>-200000</v>
      </c>
      <c r="C26" s="10">
        <f>C22+C25-C19-C20</f>
        <v>72078.9071455797</v>
      </c>
      <c r="D26" s="10">
        <f>D22+D25-D19-D20</f>
        <v>74354.2020920831</v>
      </c>
      <c r="E26" s="10">
        <f>E22+E25-E19-E20</f>
        <v>76591.779482702</v>
      </c>
      <c r="F26" s="10">
        <f>F22+F25-F19-F20</f>
        <v>78778.8503862889</v>
      </c>
      <c r="G26" s="10">
        <f>G22+G25-G19-G20</f>
        <v>80900.9598892703</v>
      </c>
    </row>
    <row r="27" spans="1:7" x14ac:dyDescent="0.25">
      <c r="A27" t="s">
        <v>24</v>
      </c>
      <c r="C27" s="11">
        <f>IF((C19+C20)&gt;0,C22/(C19+C20),0)</f>
        <v>1.97114507607972</v>
      </c>
      <c r="D27" s="11">
        <f>IF((D19+D20)&gt;0,D22/(D19+D20),0)</f>
        <v>2.03027942836211</v>
      </c>
      <c r="E27" s="11">
        <f>IF((E19+E20)&gt;0,E22/(E19+E20),0)</f>
        <v>2.09118781121297</v>
      </c>
      <c r="F27" s="11">
        <f>IF((F19+F20)&gt;0,F22/(F19+F20),0)</f>
        <v>2.15392344554936</v>
      </c>
      <c r="G27" s="11">
        <f>IF((G19+G20)&gt;0,G22/(G19+G20),0)</f>
        <v>2.21854114891584</v>
      </c>
    </row>
    <row r="29" spans="1:1" x14ac:dyDescent="0.25">
      <c r="A29" s="1" t="s">
        <v>25</v>
      </c>
    </row>
    <row r="30" spans="1:2" x14ac:dyDescent="0.25">
      <c r="A30" t="s">
        <v>26</v>
      </c>
      <c r="B30" s="12">
        <f>B26+NPV(B12,C26:G26)</f>
        <v>54524.2464036296</v>
      </c>
    </row>
    <row r="31" spans="1:2" x14ac:dyDescent="0.25">
      <c r="A31" t="s">
        <v>27</v>
      </c>
      <c r="B31" s="13">
        <f>IRR(B26:G26)</f>
        <v>0.25771897116314</v>
      </c>
    </row>
    <row r="32" spans="1:2" x14ac:dyDescent="0.25">
      <c r="A32" t="s">
        <v>28</v>
      </c>
      <c r="B32" s="14">
        <f>MIN(C27:G27)</f>
        <v>1.97114507607972</v>
      </c>
    </row>
    <row r="33" spans="1:2" x14ac:dyDescent="0.25">
      <c r="A33" t="s">
        <v>29</v>
      </c>
      <c r="B33" s="5">
        <f>SUM(C19:G19)</f>
        <v>105855.464272102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Préstamo</vt:lpstr>
      <vt:lpstr>_openrisksim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OpenRiskSim</dc:creator>
  <dc:title/>
  <dc:subject/>
  <dc:description/>
  <cp:keywords/>
  <cp:category/>
  <cp:lastModifiedBy>Unknown</cp:lastModifiedBy>
  <dcterms:created xsi:type="dcterms:W3CDTF">2026-10-05T21:46:03Z</dcterms:created>
  <dcterms:modified xsi:type="dcterms:W3CDTF">2026-10-05T21:46:03Z</dcterms:modified>
</cp:coreProperties>
</file>