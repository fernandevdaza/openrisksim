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_openrisksim" state="veryHidden" r:id="rId5"/>
  </sheets>
  <calcPr calcId="171027" fullCalcOnLoad="1"/>
</workbook>
</file>

<file path=xl/sharedStrings.xml><?xml version="1.0" encoding="utf-8"?>
<sst xmlns="http://schemas.openxmlformats.org/spreadsheetml/2006/main" count="21" uniqueCount="21">
  <si>
    <t>Inventario: problema del vendedor de periódicos / Newsvendor</t>
  </si>
  <si>
    <t>Entradas / Inputs</t>
  </si>
  <si>
    <t>Demanda del periodo / Demand</t>
  </si>
  <si>
    <t>Precio de venta / Selling price</t>
  </si>
  <si>
    <t>Costo unitario de compra / Unit cost</t>
  </si>
  <si>
    <t>Valor de rescate por unidad sobrante / Salvage per unsold unit</t>
  </si>
  <si>
    <t>Costo por faltante (pérdida de imagen) / Shortage penalty</t>
  </si>
  <si>
    <t>Decisión / Decision</t>
  </si>
  <si>
    <t>Cantidad a pedir / Order quantity</t>
  </si>
  <si>
    <t>Resultados / Results</t>
  </si>
  <si>
    <t>Unidades vendidas / Units sold</t>
  </si>
  <si>
    <t>Unidades sobrantes / Leftover units</t>
  </si>
  <si>
    <t>Demanda insatisfecha / Unmet demand</t>
  </si>
  <si>
    <t>Ingresos por ventas / Sales revenue</t>
  </si>
  <si>
    <t>Costo de compra / Purchase cost</t>
  </si>
  <si>
    <t>Ingreso por rescate / Salvage income</t>
  </si>
  <si>
    <t>Penalización por faltante / Shortage penalty</t>
  </si>
  <si>
    <t>Utilidad / Profit</t>
  </si>
  <si>
    <t>Nivel de servicio / Fill rate</t>
  </si>
  <si>
    <t>Cantidad crítica (fractil) / Critical ratio</t>
  </si>
  <si>
    <t>{"version":1,"assumptions":[{"id":"a_demand","name":"Demanda","cell":{"sheet":"Inventario","address":"B4"},"distribution":{"id":"poisson","params":{"lambda":100}},"enabled":true}],"forecasts":[{"id":"f_profit","name":"Utilidad","cell":{"sheet":"Inventario","address":"B21"},"format":"currency"},{"id":"f_fill","name":"Nivel de servicio","cell":{"sheet":"Inventario","address":"B22"},"format":"percent"}],"decisions":[{"id":"d_order","name":"Cantidad a pedir","cell":{"sheet":"Inventario","address":"B11"},"type":"integer","lower":60,"upper":140}],"correlations":[],"settings":{"trials":5000,"seed":12345,"sampling":"latinHypercube","applyCorrelations":true,"precisionControl":null}}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</si>
</sst>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1F386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2" borderId="0" xfId="0" applyNumberFormat="1" applyFill="1"/>
    <xf numFmtId="4" fontId="0" fillId="2" borderId="0" xfId="0" applyNumberFormat="1" applyFill="1"/>
    <xf numFmtId="3" fontId="0" fillId="0" borderId="0" xfId="0" applyNumberFormat="1"/>
    <xf numFmtId="3" fontId="2" fillId="3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46" customWidth="1"/>
    <col min="2" max="2" width="14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2" x14ac:dyDescent="0.25">
      <c r="A4" t="s">
        <v>2</v>
      </c>
      <c r="B4" s="2">
        <v>100</v>
      </c>
    </row>
    <row r="5" spans="1:2" x14ac:dyDescent="0.25">
      <c r="A5" t="s">
        <v>3</v>
      </c>
      <c r="B5" s="3">
        <v>50</v>
      </c>
    </row>
    <row r="6" spans="1:2" x14ac:dyDescent="0.25">
      <c r="A6" t="s">
        <v>4</v>
      </c>
      <c r="B6" s="3">
        <v>30</v>
      </c>
    </row>
    <row r="7" spans="1:2" x14ac:dyDescent="0.25">
      <c r="A7" t="s">
        <v>5</v>
      </c>
      <c r="B7" s="3">
        <v>10</v>
      </c>
    </row>
    <row r="8" spans="1:2" x14ac:dyDescent="0.25">
      <c r="A8" t="s">
        <v>6</v>
      </c>
      <c r="B8" s="3">
        <v>5</v>
      </c>
    </row>
    <row r="10" spans="1:1" x14ac:dyDescent="0.25">
      <c r="A10" s="1" t="s">
        <v>7</v>
      </c>
    </row>
    <row r="11" spans="1:2" x14ac:dyDescent="0.25">
      <c r="A11" t="s">
        <v>8</v>
      </c>
      <c r="B11" s="2">
        <v>100</v>
      </c>
    </row>
    <row r="13" spans="1:1" x14ac:dyDescent="0.25">
      <c r="A13" s="1" t="s">
        <v>9</v>
      </c>
    </row>
    <row r="14" spans="1:2" x14ac:dyDescent="0.25">
      <c r="A14" t="s">
        <v>10</v>
      </c>
      <c r="B14" s="4">
        <f>MIN(B4,B11)</f>
        <v>100</v>
      </c>
    </row>
    <row r="15" spans="1:2" x14ac:dyDescent="0.25">
      <c r="A15" t="s">
        <v>11</v>
      </c>
      <c r="B15" s="4">
        <f>MAX(B11-B4,0)</f>
        <v>0</v>
      </c>
    </row>
    <row r="16" spans="1:2" x14ac:dyDescent="0.25">
      <c r="A16" t="s">
        <v>12</v>
      </c>
      <c r="B16" s="4">
        <f>MAX(B4-B11,0)</f>
        <v>0</v>
      </c>
    </row>
    <row r="17" spans="1:2" x14ac:dyDescent="0.25">
      <c r="A17" t="s">
        <v>13</v>
      </c>
      <c r="B17" s="4">
        <f>B14*B5</f>
        <v>5000</v>
      </c>
    </row>
    <row r="18" spans="1:2" x14ac:dyDescent="0.25">
      <c r="A18" t="s">
        <v>14</v>
      </c>
      <c r="B18" s="4">
        <f>-B11*B6</f>
        <v>-3000</v>
      </c>
    </row>
    <row r="19" spans="1:2" x14ac:dyDescent="0.25">
      <c r="A19" t="s">
        <v>15</v>
      </c>
      <c r="B19" s="4">
        <f>B15*B7</f>
        <v>0</v>
      </c>
    </row>
    <row r="20" spans="1:2" x14ac:dyDescent="0.25">
      <c r="A20" t="s">
        <v>16</v>
      </c>
      <c r="B20" s="4">
        <f>-B16*B8</f>
        <v>0</v>
      </c>
    </row>
    <row r="21" spans="1:2" x14ac:dyDescent="0.25">
      <c r="A21" t="s">
        <v>17</v>
      </c>
      <c r="B21" s="5">
        <f>SUM(B17:B20)</f>
        <v>2000</v>
      </c>
    </row>
    <row r="22" spans="1:2" x14ac:dyDescent="0.25">
      <c r="A22" t="s">
        <v>18</v>
      </c>
      <c r="B22" s="6">
        <f>IF(B4=0,1,B14/B4)</f>
        <v>1</v>
      </c>
    </row>
    <row r="24" spans="1:2" x14ac:dyDescent="0.25">
      <c r="A24" t="s">
        <v>19</v>
      </c>
      <c r="B24" s="7">
        <f>(B5-B6+B8)/(B5-B7+B8)</f>
        <v>0.555555555555556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_openrisksim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OpenRiskSim</dc:creator>
  <dc:title/>
  <dc:subject/>
  <dc:description/>
  <cp:keywords/>
  <cp:category/>
  <cp:lastModifiedBy>Unknown</cp:lastModifiedBy>
  <dcterms:created xsi:type="dcterms:W3CDTF">2026-10-05T21:46:03Z</dcterms:created>
  <dcterms:modified xsi:type="dcterms:W3CDTF">2026-10-05T21:46:03Z</dcterms:modified>
</cp:coreProperties>
</file>