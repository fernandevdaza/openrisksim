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zamiento" state="visible" r:id="rId4"/>
    <sheet sheetId="2" name="_openrisksim" state="veryHidden" r:id="rId5"/>
  </sheets>
  <calcPr calcId="171027" fullCalcOnLoad="1"/>
</workbook>
</file>

<file path=xl/sharedStrings.xml><?xml version="1.0" encoding="utf-8"?>
<sst xmlns="http://schemas.openxmlformats.org/spreadsheetml/2006/main" count="23" uniqueCount="23">
  <si>
    <t>Lanzamiento de producto / Product launch</t>
  </si>
  <si>
    <t>Entradas / Inputs</t>
  </si>
  <si>
    <t>Aprobación regulatoria (1 = sí) / Regulatory approval (1 = yes)</t>
  </si>
  <si>
    <t>Costo de desarrollo / Development cost</t>
  </si>
  <si>
    <t>Distribuidores que aceptan (de 20) / Distributors signing (of 20)</t>
  </si>
  <si>
    <t>Unidades por distribuidor (año 1) / Units per distributor (year 1)</t>
  </si>
  <si>
    <t>Precio unitario / Unit price</t>
  </si>
  <si>
    <t>Costo variable unitario / Unit variable cost</t>
  </si>
  <si>
    <t>Crecimiento anual / Annual growth</t>
  </si>
  <si>
    <t>Costo de lanzamiento comercial / Commercial launch cost</t>
  </si>
  <si>
    <t>Tasa de descuento / Discount rate</t>
  </si>
  <si>
    <t>Tasa de impuesto / Tax rate</t>
  </si>
  <si>
    <t>Año / Year</t>
  </si>
  <si>
    <t>Unidades / Units</t>
  </si>
  <si>
    <t>Margen de contribución / Contribution margin</t>
  </si>
  <si>
    <t>Impuestos / Taxes</t>
  </si>
  <si>
    <t>Inversión / Investment</t>
  </si>
  <si>
    <t>Flujo de caja / Cash flow</t>
  </si>
  <si>
    <t>Indicadores / Indicators</t>
  </si>
  <si>
    <t>VAN / NPV</t>
  </si>
  <si>
    <t>¿Proyecto exitoso? (VAN &gt; 0) / Success (NPV &gt; 0)</t>
  </si>
  <si>
    <t>Valor presente de los márgenes / PV of margins</t>
  </si>
  <si>
    <t>{"version":1,"assumptions":[{"id":"a_approval","name":"Aprobación regulatoria","cell":{"sheet":"Lanzamiento","address":"B4"},"distribution":{"id":"bernoulli","params":{"p":0.7}},"enabled":true},{"id":"a_devcost","name":"Costo de desarrollo","cell":{"sheet":"Lanzamiento","address":"B5"},"distribution":{"id":"triangular","params":{"min":400000,"mode":500000,"max":700000}},"enabled":true},{"id":"a_distributors","name":"Distribuidores que aceptan","cell":{"sheet":"Lanzamiento","address":"B6"},"distribution":{"id":"binomial","params":{"n":20,"p":0.4}},"enabled":true},{"id":"a_units","name":"Unidades por distribuidor","cell":{"sheet":"Lanzamiento","address":"B7"},"distribution":{"id":"normal","params":{"mean":2500,"stdDev":500},"truncate":{"min":0}},"enabled":true},{"id":"a_price","name":"Precio unitario","cell":{"sheet":"Lanzamiento","address":"B8"},"distribution":{"id":"pert","params":{"min":34,"mode":40,"max":44}},"enabled":true}],"forecasts":[{"id":"f_npv","name":"VAN del lanzamiento","cell":{"sheet":"Lanzamiento","address":"B23"},"format":"currency"},{"id":"f_success","name":"Éxito (VAN &gt; 0)","cell":{"sheet":"Lanzamiento","address":"B24"},"format":"number"}],"decisions":[],"correlations":[],"settings":{"trials":5000,"seed":12345,"sampling":"latinHypercube","applyCorrelations":true,"precisionControl":null}}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</si>
</sst>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1F386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0" fillId="2" borderId="0" xfId="0" applyNumberFormat="1" applyFill="1"/>
    <xf numFmtId="3" fontId="0" fillId="2" borderId="0" xfId="0" applyNumberFormat="1" applyFill="1"/>
    <xf numFmtId="4" fontId="0" fillId="2" borderId="0" xfId="0" applyNumberFormat="1" applyFill="1"/>
    <xf numFmtId="164" fontId="0" fillId="2" borderId="0" xfId="0" applyNumberFormat="1" applyFill="1"/>
    <xf numFmtId="0" fontId="2" fillId="3" borderId="0" xfId="0" applyFont="1" applyFill="1"/>
    <xf numFmtId="1" fontId="2" fillId="3" borderId="0" xfId="0" applyNumberFormat="1" applyFont="1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3" fontId="2" fillId="4" borderId="0" xfId="0" applyNumberFormat="1" applyFont="1" applyFill="1"/>
    <xf numFmtId="1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50" customWidth="1"/>
    <col min="2" max="2" width="14" customWidth="1"/>
    <col min="3" max="6" width="13" customWidth="1"/>
  </cols>
  <sheetData>
    <row r="1" spans="1:1" x14ac:dyDescent="0.25">
      <c r="A1" s="1" t="s">
        <v>0</v>
      </c>
    </row>
    <row r="3" spans="1:1" x14ac:dyDescent="0.25">
      <c r="A3" s="1" t="s">
        <v>1</v>
      </c>
    </row>
    <row r="4" spans="1:2" x14ac:dyDescent="0.25">
      <c r="A4" t="s">
        <v>2</v>
      </c>
      <c r="B4" s="2">
        <v>1</v>
      </c>
    </row>
    <row r="5" spans="1:2" x14ac:dyDescent="0.25">
      <c r="A5" t="s">
        <v>3</v>
      </c>
      <c r="B5" s="3">
        <v>500000</v>
      </c>
    </row>
    <row r="6" spans="1:2" x14ac:dyDescent="0.25">
      <c r="A6" t="s">
        <v>4</v>
      </c>
      <c r="B6" s="2">
        <v>8</v>
      </c>
    </row>
    <row r="7" spans="1:2" x14ac:dyDescent="0.25">
      <c r="A7" t="s">
        <v>5</v>
      </c>
      <c r="B7" s="3">
        <v>2500</v>
      </c>
    </row>
    <row r="8" spans="1:2" x14ac:dyDescent="0.25">
      <c r="A8" t="s">
        <v>6</v>
      </c>
      <c r="B8" s="4">
        <v>40</v>
      </c>
    </row>
    <row r="9" spans="1:2" x14ac:dyDescent="0.25">
      <c r="A9" t="s">
        <v>7</v>
      </c>
      <c r="B9" s="4">
        <v>22</v>
      </c>
    </row>
    <row r="10" spans="1:2" x14ac:dyDescent="0.25">
      <c r="A10" t="s">
        <v>8</v>
      </c>
      <c r="B10" s="5">
        <v>0.06</v>
      </c>
    </row>
    <row r="11" spans="1:2" x14ac:dyDescent="0.25">
      <c r="A11" t="s">
        <v>9</v>
      </c>
      <c r="B11" s="3">
        <v>150000</v>
      </c>
    </row>
    <row r="12" spans="1:2" x14ac:dyDescent="0.25">
      <c r="A12" t="s">
        <v>10</v>
      </c>
      <c r="B12" s="5">
        <v>0.1</v>
      </c>
    </row>
    <row r="13" spans="1:2" x14ac:dyDescent="0.25">
      <c r="A13" t="s">
        <v>11</v>
      </c>
      <c r="B13" s="5">
        <v>0.25</v>
      </c>
    </row>
    <row r="15" spans="1:6" x14ac:dyDescent="0.25">
      <c r="A15" s="6" t="s">
        <v>12</v>
      </c>
      <c r="B15" s="7">
        <v>0</v>
      </c>
      <c r="C15" s="7">
        <v>1</v>
      </c>
      <c r="D15" s="7">
        <v>2</v>
      </c>
      <c r="E15" s="7">
        <v>3</v>
      </c>
      <c r="F15" s="7">
        <v>4</v>
      </c>
    </row>
    <row r="16" spans="1:6" x14ac:dyDescent="0.25">
      <c r="A16" t="s">
        <v>13</v>
      </c>
      <c r="B16" s="8">
        <v>0</v>
      </c>
      <c r="C16" s="8">
        <f>IF($B$4&gt;=1,$B$6*$B$7,0)</f>
        <v>20000</v>
      </c>
      <c r="D16" s="8">
        <f>C16*(1+$B$10)</f>
        <v>21200</v>
      </c>
      <c r="E16" s="8">
        <f>D16*(1+$B$10)</f>
        <v>22472</v>
      </c>
      <c r="F16" s="8">
        <f>E16*(1+$B$10)</f>
        <v>23820.32</v>
      </c>
    </row>
    <row r="17" spans="1:6" x14ac:dyDescent="0.25">
      <c r="A17" t="s">
        <v>14</v>
      </c>
      <c r="B17" s="8">
        <v>0</v>
      </c>
      <c r="C17" s="8">
        <f>C16*($B$8-$B$9)</f>
        <v>360000</v>
      </c>
      <c r="D17" s="8">
        <f>D16*($B$8-$B$9)</f>
        <v>381600</v>
      </c>
      <c r="E17" s="8">
        <f>E16*($B$8-$B$9)</f>
        <v>404496</v>
      </c>
      <c r="F17" s="8">
        <f>F16*($B$8-$B$9)</f>
        <v>428765.76</v>
      </c>
    </row>
    <row r="18" spans="1:6" x14ac:dyDescent="0.25">
      <c r="A18" t="s">
        <v>15</v>
      </c>
      <c r="B18" s="8">
        <v>0</v>
      </c>
      <c r="C18" s="8">
        <f>-MAX(0,C17)*$B$13</f>
        <v>-90000</v>
      </c>
      <c r="D18" s="8">
        <f>-MAX(0,D17)*$B$13</f>
        <v>-95400</v>
      </c>
      <c r="E18" s="8">
        <f>-MAX(0,E17)*$B$13</f>
        <v>-101124</v>
      </c>
      <c r="F18" s="8">
        <f>-MAX(0,F17)*$B$13</f>
        <v>-107191.44</v>
      </c>
    </row>
    <row r="19" spans="1:6" x14ac:dyDescent="0.25">
      <c r="A19" t="s">
        <v>16</v>
      </c>
      <c r="B19" s="8">
        <f>-B5-IF(B4&gt;=1,B11,0)</f>
        <v>-650000</v>
      </c>
      <c r="C19" s="8">
        <v>0</v>
      </c>
      <c r="D19" s="8">
        <v>0</v>
      </c>
      <c r="E19" s="8">
        <v>0</v>
      </c>
      <c r="F19" s="8">
        <v>0</v>
      </c>
    </row>
    <row r="20" spans="1:6" x14ac:dyDescent="0.25">
      <c r="A20" s="9" t="s">
        <v>17</v>
      </c>
      <c r="B20" s="10">
        <f>SUM(B17:B19)</f>
        <v>-650000</v>
      </c>
      <c r="C20" s="10">
        <f>SUM(C17:C19)</f>
        <v>270000</v>
      </c>
      <c r="D20" s="10">
        <f>SUM(D17:D19)</f>
        <v>286200</v>
      </c>
      <c r="E20" s="10">
        <f>SUM(E17:E19)</f>
        <v>303372</v>
      </c>
      <c r="F20" s="10">
        <f>SUM(F17:F19)</f>
        <v>321574.32</v>
      </c>
    </row>
    <row r="22" spans="1:1" x14ac:dyDescent="0.25">
      <c r="A22" s="1" t="s">
        <v>18</v>
      </c>
    </row>
    <row r="23" spans="1:2" x14ac:dyDescent="0.25">
      <c r="A23" t="s">
        <v>19</v>
      </c>
      <c r="B23" s="11">
        <f>B20+NPV(B12,C20:F20)</f>
        <v>279550.932313366</v>
      </c>
    </row>
    <row r="24" spans="1:2" x14ac:dyDescent="0.25">
      <c r="A24" t="s">
        <v>20</v>
      </c>
      <c r="B24" s="12">
        <f>IF(B23&gt;0,1,0)</f>
        <v>1</v>
      </c>
    </row>
    <row r="25" spans="1:2" x14ac:dyDescent="0.25">
      <c r="A25" t="s">
        <v>21</v>
      </c>
      <c r="B25" s="8">
        <f>NPV(B12,C17:F17)</f>
        <v>1239401.24308449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Lanzamiento</vt:lpstr>
      <vt:lpstr>_openrisksim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OpenRiskSim</dc:creator>
  <dc:title/>
  <dc:subject/>
  <dc:description/>
  <cp:keywords/>
  <cp:category/>
  <cp:lastModifiedBy>Unknown</cp:lastModifiedBy>
  <dcterms:created xsi:type="dcterms:W3CDTF">2026-10-05T21:46:03Z</dcterms:created>
  <dcterms:modified xsi:type="dcterms:W3CDTF">2026-10-05T21:46:03Z</dcterms:modified>
</cp:coreProperties>
</file>