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Simul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sz val="10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2" fillId="0" borderId="1" pivotButton="0" quotePrefix="0" xfId="0"/>
    <xf numFmtId="9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164" fontId="2" fillId="0" borderId="0" pivotButton="0" quotePrefix="0" xfId="0"/>
    <xf numFmtId="164" fontId="2" fillId="0" borderId="1" pivotButton="0" quotePrefix="0" xfId="0"/>
    <xf numFmtId="0" fontId="2" fillId="0" borderId="0" pivotButton="0" quotePrefix="0" xfId="0"/>
    <xf numFmtId="165" fontId="6" fillId="3" borderId="1" pivotButton="0" quotePrefix="0" xfId="0"/>
    <xf numFmtId="49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0" fontId="2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3" fontId="6" fillId="0" borderId="1" pivotButton="0" quotePrefix="0" xfId="0"/>
    <xf numFmtId="3" fontId="6" fillId="3" borderId="1" pivotButton="0" quotePrefix="0" xfId="0"/>
    <xf numFmtId="164" fontId="6" fillId="0" borderId="1" pivotButton="0" quotePrefix="0" xfId="0"/>
    <xf numFmtId="164" fontId="6" fillId="3" borderId="1" pivotButton="0" quotePrefix="0" xfId="0"/>
    <xf numFmtId="0" fontId="2" fillId="4" borderId="0" pivotButton="0" quotePrefix="0" xfId="0"/>
    <xf numFmtId="0" fontId="0" fillId="4" borderId="0" pivotButton="0" quotePrefix="0" xfId="0"/>
    <xf numFmtId="166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VAN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'Resultados'!$C$25:$C$44</f>
            </numRef>
          </cat>
          <val>
            <numRef>
              <f>'Resultados'!$D$25:$D$44</f>
            </numRef>
          </val>
        </ser>
        <gapWidth val="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VAN (centro del intervalo)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Sensibilidad del VAN (correlación)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'Resultados'!B47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'Resultados'!$A$48:$A$54</f>
            </numRef>
          </cat>
          <val>
            <numRef>
              <f>'Resultados'!$B$48:$B$54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MiRiskSim – Simulación Monte Carlo de un proyecto</t>
        </is>
      </c>
    </row>
    <row r="3" ht="30" customHeight="1">
      <c r="A3" s="2" t="inlineStr">
        <is>
          <t>Qué es</t>
        </is>
      </c>
      <c r="B3" s="3" t="inlineStr">
        <is>
          <t>Simulador de riesgo para evaluación de proyectos hecho solo con fórmulas (sin macros). Funciona en Excel (Mac/Windows), LibreOffice y WPS.</t>
        </is>
      </c>
    </row>
    <row r="4" ht="90" customHeight="1">
      <c r="A4" s="2" t="inlineStr">
        <is>
          <t>Cómo se usa</t>
        </is>
      </c>
      <c r="B4" s="3" t="inlineStr">
        <is>
          <t>1) Ve a la hoja 'Supuestos' y edita las celdas azules/amarillas: distribución y parámetros de cada variable incierta.
2) Ve a 'Resultados': ahí aparecen estadísticos, probabilidades, histograma y sensibilidad.
3) Para volver a simular pulsa F9 (Excel Mac: fn+F9 o Cmd+=; LibreOffice: Ctrl+Shift+F9). Cada recálculo = 1000 nuevas corridas.</t>
        </is>
      </c>
    </row>
    <row r="5" ht="60" customHeight="1">
      <c r="A5" s="2" t="inlineStr">
        <is>
          <t>Modelo incluido</t>
        </is>
      </c>
      <c r="B5" s="3" t="inlineStr">
        <is>
          <t>Flujo de caja a 5 años:  Ingresos_t = Ingresos_1 × (1+g)^(t-1);  Flujo_t = Ingresos_t × (1 − Costos%) × (1 − Impuesto);  año 5 suma el valor de rescate.
VAN = −Inversión + Σ Flujo_t /(1+r)^t.   TIR calculada por cada corrida.</t>
        </is>
      </c>
    </row>
    <row r="6" ht="30" customHeight="1">
      <c r="A6" s="2" t="inlineStr">
        <is>
          <t>Distribuciones</t>
        </is>
      </c>
      <c r="B6" s="3" t="inlineStr">
        <is>
          <t>Normal (P1=media, P2=desv. estándar) · Triangular (P1=mínimo, P2=más probable, P3=máximo) · Uniforme (P1=mínimo, P2=máximo) · Lognormal (P1=media, P2=desv. estándar, ambas de la variable) · Fija (P1=valor).</t>
        </is>
      </c>
    </row>
    <row r="7" ht="30" customHeight="1">
      <c r="A7" s="2" t="inlineStr">
        <is>
          <t>Truncar</t>
        </is>
      </c>
      <c r="B7" s="3" t="inlineStr">
        <is>
          <t>Las columnas Mín/Máx recortan los valores simulados (por ejemplo, una tasa no puede ser negativa). Déjalas vacías si no quieres límites.</t>
        </is>
      </c>
    </row>
    <row r="8" ht="30" customHeight="1">
      <c r="A8" s="2" t="inlineStr">
        <is>
          <t>Congelar resultados</t>
        </is>
      </c>
      <c r="B8" s="3" t="inlineStr">
        <is>
          <t>RAND() cambia en cada recálculo. Para guardar una corrida para tu informe: selecciona Simulacion!I5:W1004, copia y pega como VALORES, o toma capturas.</t>
        </is>
      </c>
    </row>
    <row r="9" ht="45" customHeight="1">
      <c r="A9" s="2" t="inlineStr">
        <is>
          <t>Otro modelo</t>
        </is>
      </c>
      <c r="B9" s="3" t="inlineStr">
        <is>
          <t>Para tu propio proyecto cambia las fórmulas de las columnas P:W de la hoja 'Simulacion' (flujos, VAN, TIR) y agrega/quita variables en 'Supuestos'. Más corridas: arrastra hacia abajo la última fila de 'Simulacion' y amplía los rangos en 'Resultados'.</t>
        </is>
      </c>
    </row>
    <row r="10" ht="30" customHeight="1">
      <c r="A10" s="2" t="inlineStr">
        <is>
          <t>Limitaciones</t>
        </is>
      </c>
      <c r="B10" s="3" t="inlineStr">
        <is>
          <t>No incluye correlaciones entre variables ni optimización/pronóstico de series de tiempo como Risk Simulator. Las variables se muestrean de forma independiente.</t>
        </is>
      </c>
    </row>
    <row r="11" ht="30" customHeight="1">
      <c r="A11" s="2" t="inlineStr">
        <is>
          <t>Colores</t>
        </is>
      </c>
      <c r="B11" s="3" t="inlineStr">
        <is>
          <t>Texto azul = dato que puedes editar · Fondo amarillo = supuesto clave · Texto negro = fórmula.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Resultados de la simulación</t>
        </is>
      </c>
    </row>
    <row r="2">
      <c r="A2" s="4" t="inlineStr">
        <is>
          <t>Pulsa F9 para generar una nueva simulación. Los valores cambian ligeramente en cada corrida (es normal).</t>
        </is>
      </c>
    </row>
    <row r="4">
      <c r="A4" s="5" t="inlineStr">
        <is>
          <t>Estadístico (VAN)</t>
        </is>
      </c>
      <c r="B4" s="5" t="inlineStr">
        <is>
          <t>Valor</t>
        </is>
      </c>
      <c r="D4" s="5" t="inlineStr">
        <is>
          <t>Percentil</t>
        </is>
      </c>
      <c r="E4" s="5" t="inlineStr">
        <is>
          <t>VAN</t>
        </is>
      </c>
      <c r="F4" s="5" t="inlineStr">
        <is>
          <t>TIR</t>
        </is>
      </c>
    </row>
    <row r="5">
      <c r="A5" s="6" t="inlineStr">
        <is>
          <t>Nº de simulaciones</t>
        </is>
      </c>
      <c r="B5" s="7">
        <f>COUNT(Simulacion!$V$5:$V$1004)</f>
        <v/>
      </c>
      <c r="D5" s="8" t="n">
        <v>0.01</v>
      </c>
      <c r="E5" s="9">
        <f>PERCENTILE(Simulacion!$V$5:$V$1004,D5)</f>
        <v/>
      </c>
      <c r="F5" s="10">
        <f>IFERROR(PERCENTILE(Simulacion!$W$5:$W$1004,D5),"n/d")</f>
        <v/>
      </c>
    </row>
    <row r="6">
      <c r="A6" s="6" t="inlineStr">
        <is>
          <t>VAN determinista (caso base)</t>
        </is>
      </c>
      <c r="B6" s="11">
        <f>Supuestos!B21</f>
        <v/>
      </c>
      <c r="D6" s="8" t="n">
        <v>0.05</v>
      </c>
      <c r="E6" s="9">
        <f>PERCENTILE(Simulacion!$V$5:$V$1004,D6)</f>
        <v/>
      </c>
      <c r="F6" s="10">
        <f>IFERROR(PERCENTILE(Simulacion!$W$5:$W$1004,D6),"n/d")</f>
        <v/>
      </c>
    </row>
    <row r="7">
      <c r="A7" s="6" t="inlineStr">
        <is>
          <t>Media</t>
        </is>
      </c>
      <c r="B7" s="11">
        <f>AVERAGE(Simulacion!$V$5:$V$1004)</f>
        <v/>
      </c>
      <c r="D7" s="8" t="n">
        <v>0.1</v>
      </c>
      <c r="E7" s="9">
        <f>PERCENTILE(Simulacion!$V$5:$V$1004,D7)</f>
        <v/>
      </c>
      <c r="F7" s="10">
        <f>IFERROR(PERCENTILE(Simulacion!$W$5:$W$1004,D7),"n/d")</f>
        <v/>
      </c>
    </row>
    <row r="8">
      <c r="A8" s="6" t="inlineStr">
        <is>
          <t>Mediana</t>
        </is>
      </c>
      <c r="B8" s="11">
        <f>MEDIAN(Simulacion!$V$5:$V$1004)</f>
        <v/>
      </c>
      <c r="D8" s="8" t="n">
        <v>0.25</v>
      </c>
      <c r="E8" s="9">
        <f>PERCENTILE(Simulacion!$V$5:$V$1004,D8)</f>
        <v/>
      </c>
      <c r="F8" s="10">
        <f>IFERROR(PERCENTILE(Simulacion!$W$5:$W$1004,D8),"n/d")</f>
        <v/>
      </c>
    </row>
    <row r="9">
      <c r="A9" s="6" t="inlineStr">
        <is>
          <t>Desviación estándar</t>
        </is>
      </c>
      <c r="B9" s="11">
        <f>STDEV(Simulacion!$V$5:$V$1004)</f>
        <v/>
      </c>
      <c r="D9" s="8" t="n">
        <v>0.5</v>
      </c>
      <c r="E9" s="9">
        <f>PERCENTILE(Simulacion!$V$5:$V$1004,D9)</f>
        <v/>
      </c>
      <c r="F9" s="10">
        <f>IFERROR(PERCENTILE(Simulacion!$W$5:$W$1004,D9),"n/d")</f>
        <v/>
      </c>
    </row>
    <row r="10">
      <c r="A10" s="6" t="inlineStr">
        <is>
          <t>Coeficiente de variación</t>
        </is>
      </c>
      <c r="B10" s="12">
        <f>IFERROR(B9/B7,"n/d")</f>
        <v/>
      </c>
      <c r="D10" s="8" t="n">
        <v>0.75</v>
      </c>
      <c r="E10" s="9">
        <f>PERCENTILE(Simulacion!$V$5:$V$1004,D10)</f>
        <v/>
      </c>
      <c r="F10" s="10">
        <f>IFERROR(PERCENTILE(Simulacion!$W$5:$W$1004,D10),"n/d")</f>
        <v/>
      </c>
    </row>
    <row r="11">
      <c r="A11" s="6" t="inlineStr">
        <is>
          <t>Mínimo</t>
        </is>
      </c>
      <c r="B11" s="11">
        <f>MIN(Simulacion!$V$5:$V$1004)</f>
        <v/>
      </c>
      <c r="D11" s="8" t="n">
        <v>0.9</v>
      </c>
      <c r="E11" s="9">
        <f>PERCENTILE(Simulacion!$V$5:$V$1004,D11)</f>
        <v/>
      </c>
      <c r="F11" s="10">
        <f>IFERROR(PERCENTILE(Simulacion!$W$5:$W$1004,D11),"n/d")</f>
        <v/>
      </c>
    </row>
    <row r="12">
      <c r="A12" s="6" t="inlineStr">
        <is>
          <t>Máximo</t>
        </is>
      </c>
      <c r="B12" s="11">
        <f>MAX(Simulacion!$V$5:$V$1004)</f>
        <v/>
      </c>
      <c r="D12" s="8" t="n">
        <v>0.95</v>
      </c>
      <c r="E12" s="9">
        <f>PERCENTILE(Simulacion!$V$5:$V$1004,D12)</f>
        <v/>
      </c>
      <c r="F12" s="10">
        <f>IFERROR(PERCENTILE(Simulacion!$W$5:$W$1004,D12),"n/d")</f>
        <v/>
      </c>
    </row>
    <row r="13">
      <c r="A13" s="6" t="inlineStr">
        <is>
          <t>Asimetría (skew)</t>
        </is>
      </c>
      <c r="B13" s="13">
        <f>SKEW(Simulacion!$V$5:$V$1004)</f>
        <v/>
      </c>
      <c r="D13" s="8" t="n">
        <v>0.99</v>
      </c>
      <c r="E13" s="9">
        <f>PERCENTILE(Simulacion!$V$5:$V$1004,D13)</f>
        <v/>
      </c>
      <c r="F13" s="10">
        <f>IFERROR(PERCENTILE(Simulacion!$W$5:$W$1004,D13),"n/d")</f>
        <v/>
      </c>
    </row>
    <row r="14">
      <c r="A14" s="6" t="inlineStr">
        <is>
          <t>Curtosis (exceso)</t>
        </is>
      </c>
      <c r="B14" s="13">
        <f>KURT(Simulacion!$V$5:$V$1004)</f>
        <v/>
      </c>
    </row>
    <row r="15">
      <c r="A15" s="6" t="inlineStr">
        <is>
          <t>IC 95% de la media – inferior</t>
        </is>
      </c>
      <c r="B15" s="11">
        <f>B7-1.96*B9/SQRT(B5)</f>
        <v/>
      </c>
      <c r="D15" s="14" t="inlineStr">
        <is>
          <t>TIR media</t>
        </is>
      </c>
      <c r="F15" s="15">
        <f>IFERROR(AVERAGE(Simulacion!$W$5:$W$1004),"n/d")</f>
        <v/>
      </c>
    </row>
    <row r="16">
      <c r="A16" s="6" t="inlineStr">
        <is>
          <t>IC 95% de la media – superior</t>
        </is>
      </c>
      <c r="B16" s="11">
        <f>B7+1.96*B9/SQRT(B5)</f>
        <v/>
      </c>
      <c r="D16" s="14" t="inlineStr">
        <is>
          <t>TIR determinista</t>
        </is>
      </c>
      <c r="F16" s="15">
        <f>Supuestos!B22</f>
        <v/>
      </c>
    </row>
    <row r="17">
      <c r="A17" s="6" t="inlineStr">
        <is>
          <t>Prob. VAN &lt; 0  (pérdida)</t>
        </is>
      </c>
      <c r="B17" s="16">
        <f>COUNTIF(Simulacion!$V$5:$V$1004,"&lt;0")/COUNT(Simulacion!$V$5:$V$1004)</f>
        <v/>
      </c>
      <c r="D17" s="14" t="inlineStr">
        <is>
          <t>Corridas con TIR válida</t>
        </is>
      </c>
      <c r="F17" s="17">
        <f>COUNT(Simulacion!$W$5:$W$1004)</f>
        <v/>
      </c>
    </row>
    <row r="18">
      <c r="A18" s="6" t="inlineStr">
        <is>
          <t>Prob. VAN ≥ 0  (proyecto viable)</t>
        </is>
      </c>
      <c r="B18" s="16">
        <f>1-B17</f>
        <v/>
      </c>
    </row>
    <row r="19">
      <c r="A19" s="6" t="inlineStr">
        <is>
          <t>Valor objetivo del VAN (edítalo)</t>
        </is>
      </c>
      <c r="B19" s="18" t="n">
        <v>20000</v>
      </c>
    </row>
    <row r="20">
      <c r="A20" s="6" t="inlineStr">
        <is>
          <t>Prob. VAN ≥ valor objetivo</t>
        </is>
      </c>
      <c r="B20" s="16">
        <f>COUNTIF(Simulacion!$V$5:$V$1004,"&gt;="&amp;B19)/COUNT(Simulacion!$V$5:$V$1004)</f>
        <v/>
      </c>
    </row>
    <row r="23">
      <c r="A23" s="17" t="inlineStr">
        <is>
          <t>Histograma del VAN</t>
        </is>
      </c>
    </row>
    <row r="24">
      <c r="A24" s="5" t="inlineStr">
        <is>
          <t>Desde</t>
        </is>
      </c>
      <c r="B24" s="5" t="inlineStr">
        <is>
          <t>Hasta</t>
        </is>
      </c>
      <c r="C24" s="5" t="inlineStr">
        <is>
          <t>Centro</t>
        </is>
      </c>
      <c r="D24" s="5" t="inlineStr">
        <is>
          <t>Frecuencia</t>
        </is>
      </c>
      <c r="E24" s="5" t="inlineStr">
        <is>
          <t>% corridas</t>
        </is>
      </c>
      <c r="F24" s="5" t="inlineStr">
        <is>
          <t>% acumulado</t>
        </is>
      </c>
    </row>
    <row r="25">
      <c r="A25" s="9">
        <f>$B$11</f>
        <v/>
      </c>
      <c r="B25" s="9">
        <f>A25+($B$12-$B$11)/20</f>
        <v/>
      </c>
      <c r="C25" s="19">
        <f>TEXT((A25+B25)/2,"#,##0")</f>
        <v/>
      </c>
      <c r="D25" s="20">
        <f>COUNTIFS(Simulacion!$V$5:$V$1004,"&gt;="&amp;A25,Simulacion!$V$5:$V$1004,"&lt;"&amp;B25)</f>
        <v/>
      </c>
      <c r="E25" s="10">
        <f>D25/$B$5</f>
        <v/>
      </c>
      <c r="F25" s="10">
        <f>SUM($E$25:E25)</f>
        <v/>
      </c>
    </row>
    <row r="26">
      <c r="A26" s="9">
        <f>B25</f>
        <v/>
      </c>
      <c r="B26" s="9">
        <f>A26+($B$12-$B$11)/20</f>
        <v/>
      </c>
      <c r="C26" s="19">
        <f>TEXT((A26+B26)/2,"#,##0")</f>
        <v/>
      </c>
      <c r="D26" s="20">
        <f>COUNTIFS(Simulacion!$V$5:$V$1004,"&gt;="&amp;A26,Simulacion!$V$5:$V$1004,"&lt;"&amp;B26)</f>
        <v/>
      </c>
      <c r="E26" s="10">
        <f>D26/$B$5</f>
        <v/>
      </c>
      <c r="F26" s="10">
        <f>SUM($E$25:E26)</f>
        <v/>
      </c>
    </row>
    <row r="27">
      <c r="A27" s="9">
        <f>B26</f>
        <v/>
      </c>
      <c r="B27" s="9">
        <f>A27+($B$12-$B$11)/20</f>
        <v/>
      </c>
      <c r="C27" s="19">
        <f>TEXT((A27+B27)/2,"#,##0")</f>
        <v/>
      </c>
      <c r="D27" s="20">
        <f>COUNTIFS(Simulacion!$V$5:$V$1004,"&gt;="&amp;A27,Simulacion!$V$5:$V$1004,"&lt;"&amp;B27)</f>
        <v/>
      </c>
      <c r="E27" s="10">
        <f>D27/$B$5</f>
        <v/>
      </c>
      <c r="F27" s="10">
        <f>SUM($E$25:E27)</f>
        <v/>
      </c>
    </row>
    <row r="28">
      <c r="A28" s="9">
        <f>B27</f>
        <v/>
      </c>
      <c r="B28" s="9">
        <f>A28+($B$12-$B$11)/20</f>
        <v/>
      </c>
      <c r="C28" s="19">
        <f>TEXT((A28+B28)/2,"#,##0")</f>
        <v/>
      </c>
      <c r="D28" s="20">
        <f>COUNTIFS(Simulacion!$V$5:$V$1004,"&gt;="&amp;A28,Simulacion!$V$5:$V$1004,"&lt;"&amp;B28)</f>
        <v/>
      </c>
      <c r="E28" s="10">
        <f>D28/$B$5</f>
        <v/>
      </c>
      <c r="F28" s="10">
        <f>SUM($E$25:E28)</f>
        <v/>
      </c>
    </row>
    <row r="29">
      <c r="A29" s="9">
        <f>B28</f>
        <v/>
      </c>
      <c r="B29" s="9">
        <f>A29+($B$12-$B$11)/20</f>
        <v/>
      </c>
      <c r="C29" s="19">
        <f>TEXT((A29+B29)/2,"#,##0")</f>
        <v/>
      </c>
      <c r="D29" s="20">
        <f>COUNTIFS(Simulacion!$V$5:$V$1004,"&gt;="&amp;A29,Simulacion!$V$5:$V$1004,"&lt;"&amp;B29)</f>
        <v/>
      </c>
      <c r="E29" s="10">
        <f>D29/$B$5</f>
        <v/>
      </c>
      <c r="F29" s="10">
        <f>SUM($E$25:E29)</f>
        <v/>
      </c>
    </row>
    <row r="30">
      <c r="A30" s="9">
        <f>B29</f>
        <v/>
      </c>
      <c r="B30" s="9">
        <f>A30+($B$12-$B$11)/20</f>
        <v/>
      </c>
      <c r="C30" s="19">
        <f>TEXT((A30+B30)/2,"#,##0")</f>
        <v/>
      </c>
      <c r="D30" s="20">
        <f>COUNTIFS(Simulacion!$V$5:$V$1004,"&gt;="&amp;A30,Simulacion!$V$5:$V$1004,"&lt;"&amp;B30)</f>
        <v/>
      </c>
      <c r="E30" s="10">
        <f>D30/$B$5</f>
        <v/>
      </c>
      <c r="F30" s="10">
        <f>SUM($E$25:E30)</f>
        <v/>
      </c>
    </row>
    <row r="31">
      <c r="A31" s="9">
        <f>B30</f>
        <v/>
      </c>
      <c r="B31" s="9">
        <f>A31+($B$12-$B$11)/20</f>
        <v/>
      </c>
      <c r="C31" s="19">
        <f>TEXT((A31+B31)/2,"#,##0")</f>
        <v/>
      </c>
      <c r="D31" s="20">
        <f>COUNTIFS(Simulacion!$V$5:$V$1004,"&gt;="&amp;A31,Simulacion!$V$5:$V$1004,"&lt;"&amp;B31)</f>
        <v/>
      </c>
      <c r="E31" s="10">
        <f>D31/$B$5</f>
        <v/>
      </c>
      <c r="F31" s="10">
        <f>SUM($E$25:E31)</f>
        <v/>
      </c>
    </row>
    <row r="32">
      <c r="A32" s="9">
        <f>B31</f>
        <v/>
      </c>
      <c r="B32" s="9">
        <f>A32+($B$12-$B$11)/20</f>
        <v/>
      </c>
      <c r="C32" s="19">
        <f>TEXT((A32+B32)/2,"#,##0")</f>
        <v/>
      </c>
      <c r="D32" s="20">
        <f>COUNTIFS(Simulacion!$V$5:$V$1004,"&gt;="&amp;A32,Simulacion!$V$5:$V$1004,"&lt;"&amp;B32)</f>
        <v/>
      </c>
      <c r="E32" s="10">
        <f>D32/$B$5</f>
        <v/>
      </c>
      <c r="F32" s="10">
        <f>SUM($E$25:E32)</f>
        <v/>
      </c>
    </row>
    <row r="33">
      <c r="A33" s="9">
        <f>B32</f>
        <v/>
      </c>
      <c r="B33" s="9">
        <f>A33+($B$12-$B$11)/20</f>
        <v/>
      </c>
      <c r="C33" s="19">
        <f>TEXT((A33+B33)/2,"#,##0")</f>
        <v/>
      </c>
      <c r="D33" s="20">
        <f>COUNTIFS(Simulacion!$V$5:$V$1004,"&gt;="&amp;A33,Simulacion!$V$5:$V$1004,"&lt;"&amp;B33)</f>
        <v/>
      </c>
      <c r="E33" s="10">
        <f>D33/$B$5</f>
        <v/>
      </c>
      <c r="F33" s="10">
        <f>SUM($E$25:E33)</f>
        <v/>
      </c>
    </row>
    <row r="34">
      <c r="A34" s="9">
        <f>B33</f>
        <v/>
      </c>
      <c r="B34" s="9">
        <f>A34+($B$12-$B$11)/20</f>
        <v/>
      </c>
      <c r="C34" s="19">
        <f>TEXT((A34+B34)/2,"#,##0")</f>
        <v/>
      </c>
      <c r="D34" s="20">
        <f>COUNTIFS(Simulacion!$V$5:$V$1004,"&gt;="&amp;A34,Simulacion!$V$5:$V$1004,"&lt;"&amp;B34)</f>
        <v/>
      </c>
      <c r="E34" s="10">
        <f>D34/$B$5</f>
        <v/>
      </c>
      <c r="F34" s="10">
        <f>SUM($E$25:E34)</f>
        <v/>
      </c>
    </row>
    <row r="35">
      <c r="A35" s="9">
        <f>B34</f>
        <v/>
      </c>
      <c r="B35" s="9">
        <f>A35+($B$12-$B$11)/20</f>
        <v/>
      </c>
      <c r="C35" s="19">
        <f>TEXT((A35+B35)/2,"#,##0")</f>
        <v/>
      </c>
      <c r="D35" s="20">
        <f>COUNTIFS(Simulacion!$V$5:$V$1004,"&gt;="&amp;A35,Simulacion!$V$5:$V$1004,"&lt;"&amp;B35)</f>
        <v/>
      </c>
      <c r="E35" s="10">
        <f>D35/$B$5</f>
        <v/>
      </c>
      <c r="F35" s="10">
        <f>SUM($E$25:E35)</f>
        <v/>
      </c>
    </row>
    <row r="36">
      <c r="A36" s="9">
        <f>B35</f>
        <v/>
      </c>
      <c r="B36" s="9">
        <f>A36+($B$12-$B$11)/20</f>
        <v/>
      </c>
      <c r="C36" s="19">
        <f>TEXT((A36+B36)/2,"#,##0")</f>
        <v/>
      </c>
      <c r="D36" s="20">
        <f>COUNTIFS(Simulacion!$V$5:$V$1004,"&gt;="&amp;A36,Simulacion!$V$5:$V$1004,"&lt;"&amp;B36)</f>
        <v/>
      </c>
      <c r="E36" s="10">
        <f>D36/$B$5</f>
        <v/>
      </c>
      <c r="F36" s="10">
        <f>SUM($E$25:E36)</f>
        <v/>
      </c>
    </row>
    <row r="37">
      <c r="A37" s="9">
        <f>B36</f>
        <v/>
      </c>
      <c r="B37" s="9">
        <f>A37+($B$12-$B$11)/20</f>
        <v/>
      </c>
      <c r="C37" s="19">
        <f>TEXT((A37+B37)/2,"#,##0")</f>
        <v/>
      </c>
      <c r="D37" s="20">
        <f>COUNTIFS(Simulacion!$V$5:$V$1004,"&gt;="&amp;A37,Simulacion!$V$5:$V$1004,"&lt;"&amp;B37)</f>
        <v/>
      </c>
      <c r="E37" s="10">
        <f>D37/$B$5</f>
        <v/>
      </c>
      <c r="F37" s="10">
        <f>SUM($E$25:E37)</f>
        <v/>
      </c>
    </row>
    <row r="38">
      <c r="A38" s="9">
        <f>B37</f>
        <v/>
      </c>
      <c r="B38" s="9">
        <f>A38+($B$12-$B$11)/20</f>
        <v/>
      </c>
      <c r="C38" s="19">
        <f>TEXT((A38+B38)/2,"#,##0")</f>
        <v/>
      </c>
      <c r="D38" s="20">
        <f>COUNTIFS(Simulacion!$V$5:$V$1004,"&gt;="&amp;A38,Simulacion!$V$5:$V$1004,"&lt;"&amp;B38)</f>
        <v/>
      </c>
      <c r="E38" s="10">
        <f>D38/$B$5</f>
        <v/>
      </c>
      <c r="F38" s="10">
        <f>SUM($E$25:E38)</f>
        <v/>
      </c>
    </row>
    <row r="39">
      <c r="A39" s="9">
        <f>B38</f>
        <v/>
      </c>
      <c r="B39" s="9">
        <f>A39+($B$12-$B$11)/20</f>
        <v/>
      </c>
      <c r="C39" s="19">
        <f>TEXT((A39+B39)/2,"#,##0")</f>
        <v/>
      </c>
      <c r="D39" s="20">
        <f>COUNTIFS(Simulacion!$V$5:$V$1004,"&gt;="&amp;A39,Simulacion!$V$5:$V$1004,"&lt;"&amp;B39)</f>
        <v/>
      </c>
      <c r="E39" s="10">
        <f>D39/$B$5</f>
        <v/>
      </c>
      <c r="F39" s="10">
        <f>SUM($E$25:E39)</f>
        <v/>
      </c>
    </row>
    <row r="40">
      <c r="A40" s="9">
        <f>B39</f>
        <v/>
      </c>
      <c r="B40" s="9">
        <f>A40+($B$12-$B$11)/20</f>
        <v/>
      </c>
      <c r="C40" s="19">
        <f>TEXT((A40+B40)/2,"#,##0")</f>
        <v/>
      </c>
      <c r="D40" s="20">
        <f>COUNTIFS(Simulacion!$V$5:$V$1004,"&gt;="&amp;A40,Simulacion!$V$5:$V$1004,"&lt;"&amp;B40)</f>
        <v/>
      </c>
      <c r="E40" s="10">
        <f>D40/$B$5</f>
        <v/>
      </c>
      <c r="F40" s="10">
        <f>SUM($E$25:E40)</f>
        <v/>
      </c>
    </row>
    <row r="41">
      <c r="A41" s="9">
        <f>B40</f>
        <v/>
      </c>
      <c r="B41" s="9">
        <f>A41+($B$12-$B$11)/20</f>
        <v/>
      </c>
      <c r="C41" s="19">
        <f>TEXT((A41+B41)/2,"#,##0")</f>
        <v/>
      </c>
      <c r="D41" s="20">
        <f>COUNTIFS(Simulacion!$V$5:$V$1004,"&gt;="&amp;A41,Simulacion!$V$5:$V$1004,"&lt;"&amp;B41)</f>
        <v/>
      </c>
      <c r="E41" s="10">
        <f>D41/$B$5</f>
        <v/>
      </c>
      <c r="F41" s="10">
        <f>SUM($E$25:E41)</f>
        <v/>
      </c>
    </row>
    <row r="42">
      <c r="A42" s="9">
        <f>B41</f>
        <v/>
      </c>
      <c r="B42" s="9">
        <f>A42+($B$12-$B$11)/20</f>
        <v/>
      </c>
      <c r="C42" s="19">
        <f>TEXT((A42+B42)/2,"#,##0")</f>
        <v/>
      </c>
      <c r="D42" s="20">
        <f>COUNTIFS(Simulacion!$V$5:$V$1004,"&gt;="&amp;A42,Simulacion!$V$5:$V$1004,"&lt;"&amp;B42)</f>
        <v/>
      </c>
      <c r="E42" s="10">
        <f>D42/$B$5</f>
        <v/>
      </c>
      <c r="F42" s="10">
        <f>SUM($E$25:E42)</f>
        <v/>
      </c>
    </row>
    <row r="43">
      <c r="A43" s="9">
        <f>B42</f>
        <v/>
      </c>
      <c r="B43" s="9">
        <f>A43+($B$12-$B$11)/20</f>
        <v/>
      </c>
      <c r="C43" s="19">
        <f>TEXT((A43+B43)/2,"#,##0")</f>
        <v/>
      </c>
      <c r="D43" s="20">
        <f>COUNTIFS(Simulacion!$V$5:$V$1004,"&gt;="&amp;A43,Simulacion!$V$5:$V$1004,"&lt;"&amp;B43)</f>
        <v/>
      </c>
      <c r="E43" s="10">
        <f>D43/$B$5</f>
        <v/>
      </c>
      <c r="F43" s="10">
        <f>SUM($E$25:E43)</f>
        <v/>
      </c>
    </row>
    <row r="44">
      <c r="A44" s="9">
        <f>B43</f>
        <v/>
      </c>
      <c r="B44" s="9">
        <f>A44+($B$12-$B$11)/20</f>
        <v/>
      </c>
      <c r="C44" s="19">
        <f>TEXT((A44+B44)/2,"#,##0")</f>
        <v/>
      </c>
      <c r="D44" s="20">
        <f>COUNTIFS(Simulacion!$V$5:$V$1004,"&gt;="&amp;A44,Simulacion!$V$5:$V$1004,"&lt;="&amp;B44)</f>
        <v/>
      </c>
      <c r="E44" s="10">
        <f>D44/$B$5</f>
        <v/>
      </c>
      <c r="F44" s="10">
        <f>SUM($E$25:E44)</f>
        <v/>
      </c>
    </row>
    <row r="46">
      <c r="A46" s="17" t="inlineStr">
        <is>
          <t>Sensibilidad: correlación de cada variable con el VAN</t>
        </is>
      </c>
    </row>
    <row r="47">
      <c r="A47" s="5" t="inlineStr">
        <is>
          <t>Variable</t>
        </is>
      </c>
      <c r="B47" s="5" t="inlineStr">
        <is>
          <t>Correlación</t>
        </is>
      </c>
      <c r="C47" s="5" t="inlineStr">
        <is>
          <t>|Corr.|</t>
        </is>
      </c>
    </row>
    <row r="48">
      <c r="A48" s="6" t="inlineStr">
        <is>
          <t>Inversión inicial</t>
        </is>
      </c>
      <c r="B48" s="12">
        <f>IFERROR(CORREL(Simulacion!$I$5:$I$1004,Simulacion!$V$5:$V$1004),0)</f>
        <v/>
      </c>
      <c r="C48" s="21">
        <f>ABS(B48)</f>
        <v/>
      </c>
    </row>
    <row r="49">
      <c r="A49" s="6" t="inlineStr">
        <is>
          <t>Ingresos año 1</t>
        </is>
      </c>
      <c r="B49" s="12">
        <f>IFERROR(CORREL(Simulacion!$J$5:$J$1004,Simulacion!$V$5:$V$1004),0)</f>
        <v/>
      </c>
      <c r="C49" s="21">
        <f>ABS(B49)</f>
        <v/>
      </c>
    </row>
    <row r="50">
      <c r="A50" s="6" t="inlineStr">
        <is>
          <t>Crecimiento anual ingresos</t>
        </is>
      </c>
      <c r="B50" s="12">
        <f>IFERROR(CORREL(Simulacion!$K$5:$K$1004,Simulacion!$V$5:$V$1004),0)</f>
        <v/>
      </c>
      <c r="C50" s="21">
        <f>ABS(B50)</f>
        <v/>
      </c>
    </row>
    <row r="51">
      <c r="A51" s="6" t="inlineStr">
        <is>
          <t>Costos (% de ingresos)</t>
        </is>
      </c>
      <c r="B51" s="12">
        <f>IFERROR(CORREL(Simulacion!$L$5:$L$1004,Simulacion!$V$5:$V$1004),0)</f>
        <v/>
      </c>
      <c r="C51" s="21">
        <f>ABS(B51)</f>
        <v/>
      </c>
    </row>
    <row r="52">
      <c r="A52" s="6" t="inlineStr">
        <is>
          <t>Tasa de impuesto</t>
        </is>
      </c>
      <c r="B52" s="12">
        <f>IFERROR(CORREL(Simulacion!$M$5:$M$1004,Simulacion!$V$5:$V$1004),0)</f>
        <v/>
      </c>
      <c r="C52" s="21">
        <f>ABS(B52)</f>
        <v/>
      </c>
    </row>
    <row r="53">
      <c r="A53" s="6" t="inlineStr">
        <is>
          <t>Tasa de descuento</t>
        </is>
      </c>
      <c r="B53" s="12">
        <f>IFERROR(CORREL(Simulacion!$N$5:$N$1004,Simulacion!$V$5:$V$1004),0)</f>
        <v/>
      </c>
      <c r="C53" s="21">
        <f>ABS(B53)</f>
        <v/>
      </c>
    </row>
    <row r="54">
      <c r="A54" s="6" t="inlineStr">
        <is>
          <t>Valor de rescate (año 5)</t>
        </is>
      </c>
      <c r="B54" s="12">
        <f>IFERROR(CORREL(Simulacion!$O$5:$O$1004,Simulacion!$V$5:$V$1004),0)</f>
        <v/>
      </c>
      <c r="C54" s="21">
        <f>ABS(B54)</f>
        <v/>
      </c>
    </row>
    <row r="55">
      <c r="A55" s="4" t="inlineStr">
        <is>
          <t>Lectura: cuanto mayor es |correlación|, más influye esa variable en la incertidumbre del VAN.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Supuestos y variables inciertas</t>
        </is>
      </c>
    </row>
    <row r="2">
      <c r="A2" s="4" t="inlineStr">
        <is>
          <t>Edita las celdas azules. Los valores base alimentan el caso determinista; la simulación usa la distribución elegida.</t>
        </is>
      </c>
    </row>
    <row r="4">
      <c r="A4" s="5" t="inlineStr">
        <is>
          <t>Variable</t>
        </is>
      </c>
      <c r="B4" s="5" t="inlineStr">
        <is>
          <t>Unidad</t>
        </is>
      </c>
      <c r="C4" s="5" t="inlineStr">
        <is>
          <t>Distribución</t>
        </is>
      </c>
      <c r="D4" s="5" t="inlineStr">
        <is>
          <t>P1</t>
        </is>
      </c>
      <c r="E4" s="5" t="inlineStr">
        <is>
          <t>P2</t>
        </is>
      </c>
      <c r="F4" s="5" t="inlineStr">
        <is>
          <t>P3</t>
        </is>
      </c>
      <c r="G4" s="5" t="inlineStr">
        <is>
          <t>Mín (truncar)</t>
        </is>
      </c>
      <c r="H4" s="5" t="inlineStr">
        <is>
          <t>Máx (truncar)</t>
        </is>
      </c>
      <c r="I4" s="5" t="inlineStr">
        <is>
          <t>Valor base</t>
        </is>
      </c>
      <c r="J4" s="5" t="inlineStr">
        <is>
          <t>Significado de P1 / P2 / P3</t>
        </is>
      </c>
    </row>
    <row r="5">
      <c r="A5" s="22" t="inlineStr">
        <is>
          <t>Inversión inicial</t>
        </is>
      </c>
      <c r="B5" s="6" t="inlineStr">
        <is>
          <t>u.m.</t>
        </is>
      </c>
      <c r="C5" s="23" t="inlineStr">
        <is>
          <t>Triangular</t>
        </is>
      </c>
      <c r="D5" s="24" t="n">
        <v>90000</v>
      </c>
      <c r="E5" s="24" t="n">
        <v>100000</v>
      </c>
      <c r="F5" s="24" t="n">
        <v>125000</v>
      </c>
      <c r="G5" s="24" t="n"/>
      <c r="H5" s="24" t="n"/>
      <c r="I5" s="25" t="n">
        <v>100000</v>
      </c>
      <c r="J5" s="6">
        <f>IF(C5="Triangular","mín / más probable / máx",IF(C5="Normal","media / desv. estándar",IF(C5="Uniforme","mín / máx",IF(C5="Lognormal","media / desv. estándar","valor"))))</f>
        <v/>
      </c>
    </row>
    <row r="6">
      <c r="A6" s="22" t="inlineStr">
        <is>
          <t>Ingresos año 1</t>
        </is>
      </c>
      <c r="B6" s="6" t="inlineStr">
        <is>
          <t>u.m.</t>
        </is>
      </c>
      <c r="C6" s="23" t="inlineStr">
        <is>
          <t>Normal</t>
        </is>
      </c>
      <c r="D6" s="24" t="n">
        <v>65000</v>
      </c>
      <c r="E6" s="24" t="n">
        <v>10000</v>
      </c>
      <c r="F6" s="24" t="n"/>
      <c r="G6" s="24" t="n">
        <v>0</v>
      </c>
      <c r="H6" s="24" t="n"/>
      <c r="I6" s="25" t="n">
        <v>65000</v>
      </c>
      <c r="J6" s="6">
        <f>IF(C6="Triangular","mín / más probable / máx",IF(C6="Normal","media / desv. estándar",IF(C6="Uniforme","mín / máx",IF(C6="Lognormal","media / desv. estándar","valor"))))</f>
        <v/>
      </c>
    </row>
    <row r="7">
      <c r="A7" s="22" t="inlineStr">
        <is>
          <t>Crecimiento anual ingresos</t>
        </is>
      </c>
      <c r="B7" s="6" t="inlineStr">
        <is>
          <t>%</t>
        </is>
      </c>
      <c r="C7" s="23" t="inlineStr">
        <is>
          <t>Uniforme</t>
        </is>
      </c>
      <c r="D7" s="26" t="n">
        <v>0</v>
      </c>
      <c r="E7" s="26" t="n">
        <v>0.08</v>
      </c>
      <c r="F7" s="26" t="n"/>
      <c r="G7" s="26" t="n"/>
      <c r="H7" s="26" t="n"/>
      <c r="I7" s="27" t="n">
        <v>0.04</v>
      </c>
      <c r="J7" s="6">
        <f>IF(C7="Triangular","mín / más probable / máx",IF(C7="Normal","media / desv. estándar",IF(C7="Uniforme","mín / máx",IF(C7="Lognormal","media / desv. estándar","valor"))))</f>
        <v/>
      </c>
    </row>
    <row r="8">
      <c r="A8" s="22" t="inlineStr">
        <is>
          <t>Costos (% de ingresos)</t>
        </is>
      </c>
      <c r="B8" s="6" t="inlineStr">
        <is>
          <t>%</t>
        </is>
      </c>
      <c r="C8" s="23" t="inlineStr">
        <is>
          <t>Triangular</t>
        </is>
      </c>
      <c r="D8" s="26" t="n">
        <v>0.38</v>
      </c>
      <c r="E8" s="26" t="n">
        <v>0.45</v>
      </c>
      <c r="F8" s="26" t="n">
        <v>0.6</v>
      </c>
      <c r="G8" s="26" t="n">
        <v>0</v>
      </c>
      <c r="H8" s="26" t="n">
        <v>1</v>
      </c>
      <c r="I8" s="27" t="n">
        <v>0.45</v>
      </c>
      <c r="J8" s="6">
        <f>IF(C8="Triangular","mín / más probable / máx",IF(C8="Normal","media / desv. estándar",IF(C8="Uniforme","mín / máx",IF(C8="Lognormal","media / desv. estándar","valor"))))</f>
        <v/>
      </c>
    </row>
    <row r="9">
      <c r="A9" s="22" t="inlineStr">
        <is>
          <t>Tasa de impuesto</t>
        </is>
      </c>
      <c r="B9" s="6" t="inlineStr">
        <is>
          <t>%</t>
        </is>
      </c>
      <c r="C9" s="23" t="inlineStr">
        <is>
          <t>Fija</t>
        </is>
      </c>
      <c r="D9" s="26" t="n">
        <v>0.25</v>
      </c>
      <c r="E9" s="26" t="n"/>
      <c r="F9" s="26" t="n"/>
      <c r="G9" s="26" t="n"/>
      <c r="H9" s="26" t="n"/>
      <c r="I9" s="27" t="n">
        <v>0.25</v>
      </c>
      <c r="J9" s="6">
        <f>IF(C9="Triangular","mín / más probable / máx",IF(C9="Normal","media / desv. estándar",IF(C9="Uniforme","mín / máx",IF(C9="Lognormal","media / desv. estándar","valor"))))</f>
        <v/>
      </c>
    </row>
    <row r="10">
      <c r="A10" s="22" t="inlineStr">
        <is>
          <t>Tasa de descuento</t>
        </is>
      </c>
      <c r="B10" s="6" t="inlineStr">
        <is>
          <t>%</t>
        </is>
      </c>
      <c r="C10" s="23" t="inlineStr">
        <is>
          <t>Normal</t>
        </is>
      </c>
      <c r="D10" s="26" t="n">
        <v>0.12</v>
      </c>
      <c r="E10" s="26" t="n">
        <v>0.015</v>
      </c>
      <c r="F10" s="26" t="n"/>
      <c r="G10" s="26" t="n">
        <v>0.01</v>
      </c>
      <c r="H10" s="26" t="n"/>
      <c r="I10" s="27" t="n">
        <v>0.12</v>
      </c>
      <c r="J10" s="6">
        <f>IF(C10="Triangular","mín / más probable / máx",IF(C10="Normal","media / desv. estándar",IF(C10="Uniforme","mín / máx",IF(C10="Lognormal","media / desv. estándar","valor"))))</f>
        <v/>
      </c>
    </row>
    <row r="11">
      <c r="A11" s="22" t="inlineStr">
        <is>
          <t>Valor de rescate (año 5)</t>
        </is>
      </c>
      <c r="B11" s="6" t="inlineStr">
        <is>
          <t>u.m.</t>
        </is>
      </c>
      <c r="C11" s="23" t="inlineStr">
        <is>
          <t>Lognormal</t>
        </is>
      </c>
      <c r="D11" s="24" t="n">
        <v>15000</v>
      </c>
      <c r="E11" s="24" t="n">
        <v>5000</v>
      </c>
      <c r="F11" s="24" t="n"/>
      <c r="G11" s="24" t="n">
        <v>0</v>
      </c>
      <c r="H11" s="24" t="n"/>
      <c r="I11" s="25" t="n">
        <v>15000</v>
      </c>
      <c r="J11" s="6">
        <f>IF(C11="Triangular","mín / más probable / máx",IF(C11="Normal","media / desv. estándar",IF(C11="Uniforme","mín / máx",IF(C11="Lognormal","media / desv. estándar","valor"))))</f>
        <v/>
      </c>
    </row>
    <row r="13">
      <c r="A13" s="4" t="inlineStr">
        <is>
          <t>Nota: 'u.m.' = unidades monetarias (usa tu moneda). Valores de ejemplo, reemplázalos por los de tu proyecto.</t>
        </is>
      </c>
    </row>
    <row r="15">
      <c r="A15" s="28" t="inlineStr">
        <is>
          <t>Caso determinista (con valores base)</t>
        </is>
      </c>
      <c r="B15" s="29" t="n"/>
      <c r="C15" s="29" t="n"/>
      <c r="D15" s="29" t="n"/>
      <c r="E15" s="29" t="n"/>
      <c r="F15" s="29" t="n"/>
      <c r="G15" s="29" t="n"/>
    </row>
    <row r="16">
      <c r="A16" s="5" t="inlineStr">
        <is>
          <t>Concepto</t>
        </is>
      </c>
      <c r="B16" s="5" t="inlineStr">
        <is>
          <t>Año 0</t>
        </is>
      </c>
      <c r="C16" s="5" t="inlineStr">
        <is>
          <t>Año 1</t>
        </is>
      </c>
      <c r="D16" s="5" t="inlineStr">
        <is>
          <t>Año 2</t>
        </is>
      </c>
      <c r="E16" s="5" t="inlineStr">
        <is>
          <t>Año 3</t>
        </is>
      </c>
      <c r="F16" s="5" t="inlineStr">
        <is>
          <t>Año 4</t>
        </is>
      </c>
      <c r="G16" s="5" t="inlineStr">
        <is>
          <t>Año 5</t>
        </is>
      </c>
    </row>
    <row r="17">
      <c r="A17" s="22" t="inlineStr">
        <is>
          <t>Ingresos</t>
        </is>
      </c>
      <c r="B17" s="9" t="n">
        <v>0</v>
      </c>
      <c r="C17" s="9">
        <f>$I$6*(1+$I$7)^(1-1)</f>
        <v/>
      </c>
      <c r="D17" s="9">
        <f>$I$6*(1+$I$7)^(2-1)</f>
        <v/>
      </c>
      <c r="E17" s="9">
        <f>$I$6*(1+$I$7)^(3-1)</f>
        <v/>
      </c>
      <c r="F17" s="9">
        <f>$I$6*(1+$I$7)^(4-1)</f>
        <v/>
      </c>
      <c r="G17" s="9">
        <f>$I$6*(1+$I$7)^(5-1)</f>
        <v/>
      </c>
    </row>
    <row r="18">
      <c r="A18" s="22" t="inlineStr">
        <is>
          <t>Flujo neto</t>
        </is>
      </c>
      <c r="B18" s="9">
        <f>-$I$5</f>
        <v/>
      </c>
      <c r="C18" s="9">
        <f>C17*(1-$I$8)*(1-$I$9)</f>
        <v/>
      </c>
      <c r="D18" s="9">
        <f>D17*(1-$I$8)*(1-$I$9)</f>
        <v/>
      </c>
      <c r="E18" s="9">
        <f>E17*(1-$I$8)*(1-$I$9)</f>
        <v/>
      </c>
      <c r="F18" s="9">
        <f>F17*(1-$I$8)*(1-$I$9)</f>
        <v/>
      </c>
      <c r="G18" s="9">
        <f>G17*(1-$I$8)*(1-$I$9)+$I$11</f>
        <v/>
      </c>
    </row>
    <row r="19">
      <c r="A19" s="22" t="inlineStr">
        <is>
          <t>Flujo para TIR/VAN</t>
        </is>
      </c>
      <c r="B19" s="9">
        <f>B18</f>
        <v/>
      </c>
      <c r="C19" s="9">
        <f>C18</f>
        <v/>
      </c>
      <c r="D19" s="9">
        <f>D18</f>
        <v/>
      </c>
      <c r="E19" s="9">
        <f>E18</f>
        <v/>
      </c>
      <c r="F19" s="9">
        <f>F18</f>
        <v/>
      </c>
      <c r="G19" s="9">
        <f>G18</f>
        <v/>
      </c>
    </row>
    <row r="21">
      <c r="A21" s="17" t="inlineStr">
        <is>
          <t>VAN base</t>
        </is>
      </c>
      <c r="B21" s="11">
        <f>B19+NPV($I$10,C19:G19)</f>
        <v/>
      </c>
    </row>
    <row r="22">
      <c r="A22" s="17" t="inlineStr">
        <is>
          <t>TIR base</t>
        </is>
      </c>
      <c r="B22" s="16">
        <f>IFERROR(IRR(B19:G19,0.1),"n/d")</f>
        <v/>
      </c>
    </row>
  </sheetData>
  <dataValidations count="1">
    <dataValidation sqref="C5 C6 C7 C8 C9 C10 C11" showDropDown="0" showInputMessage="0" showErrorMessage="0" allowBlank="0" type="list">
      <formula1>"Normal,Triangular,Uniforme,Lognormal,Fija"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hidden="1" outlineLevel="1" width="11" customWidth="1" min="2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Corridas Monte Carlo (cada fila es un escenario completo)</t>
        </is>
      </c>
    </row>
    <row r="2">
      <c r="A2" s="4" t="inlineStr">
        <is>
          <t>Se recalcula con F9. Columnas B:H = números aleatorios · I:O = valores muestreados · P:U = flujos · V = VAN · W = TIR</t>
        </is>
      </c>
    </row>
    <row r="4" ht="42" customHeight="1">
      <c r="A4" s="5" t="inlineStr">
        <is>
          <t>#</t>
        </is>
      </c>
      <c r="B4" s="5" t="inlineStr">
        <is>
          <t>U Inversión inic</t>
        </is>
      </c>
      <c r="C4" s="5" t="inlineStr">
        <is>
          <t>U Ingresos año 1</t>
        </is>
      </c>
      <c r="D4" s="5" t="inlineStr">
        <is>
          <t>U Crecimiento an</t>
        </is>
      </c>
      <c r="E4" s="5" t="inlineStr">
        <is>
          <t>U Costos (% de i</t>
        </is>
      </c>
      <c r="F4" s="5" t="inlineStr">
        <is>
          <t>U Tasa de impues</t>
        </is>
      </c>
      <c r="G4" s="5" t="inlineStr">
        <is>
          <t>U Tasa de descue</t>
        </is>
      </c>
      <c r="H4" s="5" t="inlineStr">
        <is>
          <t>U Valor de resca</t>
        </is>
      </c>
      <c r="I4" s="5" t="inlineStr">
        <is>
          <t>Inversión inicial</t>
        </is>
      </c>
      <c r="J4" s="5" t="inlineStr">
        <is>
          <t>Ingresos año 1</t>
        </is>
      </c>
      <c r="K4" s="5" t="inlineStr">
        <is>
          <t>Crecimiento anual ingresos</t>
        </is>
      </c>
      <c r="L4" s="5" t="inlineStr">
        <is>
          <t>Costos (% de ingresos)</t>
        </is>
      </c>
      <c r="M4" s="5" t="inlineStr">
        <is>
          <t>Tasa de impuesto</t>
        </is>
      </c>
      <c r="N4" s="5" t="inlineStr">
        <is>
          <t>Tasa de descuento</t>
        </is>
      </c>
      <c r="O4" s="5" t="inlineStr">
        <is>
          <t>Valor de rescate (año 5)</t>
        </is>
      </c>
      <c r="P4" s="5" t="inlineStr">
        <is>
          <t>Flujo 0</t>
        </is>
      </c>
      <c r="Q4" s="5" t="inlineStr">
        <is>
          <t>Flujo 1</t>
        </is>
      </c>
      <c r="R4" s="5" t="inlineStr">
        <is>
          <t>Flujo 2</t>
        </is>
      </c>
      <c r="S4" s="5" t="inlineStr">
        <is>
          <t>Flujo 3</t>
        </is>
      </c>
      <c r="T4" s="5" t="inlineStr">
        <is>
          <t>Flujo 4</t>
        </is>
      </c>
      <c r="U4" s="5" t="inlineStr">
        <is>
          <t>Flujo 5</t>
        </is>
      </c>
      <c r="V4" s="5" t="inlineStr">
        <is>
          <t>VAN</t>
        </is>
      </c>
      <c r="W4" s="5" t="inlineStr">
        <is>
          <t>TIR</t>
        </is>
      </c>
    </row>
    <row r="5">
      <c r="A5" s="14" t="n">
        <v>1</v>
      </c>
      <c r="B5" s="30">
        <f>RAND()*(1-2E-6)+1E-6</f>
        <v/>
      </c>
      <c r="C5" s="30">
        <f>RAND()*(1-2E-6)+1E-6</f>
        <v/>
      </c>
      <c r="D5" s="30">
        <f>RAND()*(1-2E-6)+1E-6</f>
        <v/>
      </c>
      <c r="E5" s="30">
        <f>RAND()*(1-2E-6)+1E-6</f>
        <v/>
      </c>
      <c r="F5" s="30">
        <f>RAND()*(1-2E-6)+1E-6</f>
        <v/>
      </c>
      <c r="G5" s="30">
        <f>RAND()*(1-2E-6)+1E-6</f>
        <v/>
      </c>
      <c r="H5" s="30">
        <f>RAND()*(1-2E-6)+1E-6</f>
        <v/>
      </c>
      <c r="I5" s="31">
        <f>MIN(IF(Supuestos!$H$5="",1E+99,Supuestos!$H$5),MAX(IF(Supuestos!$G$5="",-1E+99,Supuestos!$G$5),IF(Supuestos!$C$5="Normal",NORMINV(B5,Supuestos!$D$5,Supuestos!$E$5),IF(Supuestos!$C$5="Triangular",IF(B5&lt;(Supuestos!$E$5-Supuestos!$D$5)/(Supuestos!$F$5-Supuestos!$D$5),Supuestos!$D$5+SQRT(B5*(Supuestos!$F$5-Supuestos!$D$5)*(Supuestos!$E$5-Supuestos!$D$5)),Supuestos!$F$5-SQRT((1-B5)*(Supuestos!$F$5-Supuestos!$D$5)*(Supuestos!$F$5-Supuestos!$E$5))),IF(Supuestos!$C$5="Uniforme",Supuestos!$D$5+B5*(Supuestos!$E$5-Supuestos!$D$5),IF(Supuestos!$C$5="Lognormal",LOGINV(B5,LN(Supuestos!$D$5)-LN(1+Supuestos!$E$5^2/Supuestos!$D$5^2)/2,SQRT(LN(1+Supuestos!$E$5^2/Supuestos!$D$5^2))),Supuestos!$D$5))))))</f>
        <v/>
      </c>
      <c r="J5" s="31">
        <f>MIN(IF(Supuestos!$H$6="",1E+99,Supuestos!$H$6),MAX(IF(Supuestos!$G$6="",-1E+99,Supuestos!$G$6),IF(Supuestos!$C$6="Normal",NORMINV(C5,Supuestos!$D$6,Supuestos!$E$6),IF(Supuestos!$C$6="Triangular",IF(C5&lt;(Supuestos!$E$6-Supuestos!$D$6)/(Supuestos!$F$6-Supuestos!$D$6),Supuestos!$D$6+SQRT(C5*(Supuestos!$F$6-Supuestos!$D$6)*(Supuestos!$E$6-Supuestos!$D$6)),Supuestos!$F$6-SQRT((1-C5)*(Supuestos!$F$6-Supuestos!$D$6)*(Supuestos!$F$6-Supuestos!$E$6))),IF(Supuestos!$C$6="Uniforme",Supuestos!$D$6+C5*(Supuestos!$E$6-Supuestos!$D$6),IF(Supuestos!$C$6="Lognormal",LOGINV(C5,LN(Supuestos!$D$6)-LN(1+Supuestos!$E$6^2/Supuestos!$D$6^2)/2,SQRT(LN(1+Supuestos!$E$6^2/Supuestos!$D$6^2))),Supuestos!$D$6))))))</f>
        <v/>
      </c>
      <c r="K5" s="32">
        <f>MIN(IF(Supuestos!$H$7="",1E+99,Supuestos!$H$7),MAX(IF(Supuestos!$G$7="",-1E+99,Supuestos!$G$7),IF(Supuestos!$C$7="Normal",NORMINV(D5,Supuestos!$D$7,Supuestos!$E$7),IF(Supuestos!$C$7="Triangular",IF(D5&lt;(Supuestos!$E$7-Supuestos!$D$7)/(Supuestos!$F$7-Supuestos!$D$7),Supuestos!$D$7+SQRT(D5*(Supuestos!$F$7-Supuestos!$D$7)*(Supuestos!$E$7-Supuestos!$D$7)),Supuestos!$F$7-SQRT((1-D5)*(Supuestos!$F$7-Supuestos!$D$7)*(Supuestos!$F$7-Supuestos!$E$7))),IF(Supuestos!$C$7="Uniforme",Supuestos!$D$7+D5*(Supuestos!$E$7-Supuestos!$D$7),IF(Supuestos!$C$7="Lognormal",LOGINV(D5,LN(Supuestos!$D$7)-LN(1+Supuestos!$E$7^2/Supuestos!$D$7^2)/2,SQRT(LN(1+Supuestos!$E$7^2/Supuestos!$D$7^2))),Supuestos!$D$7))))))</f>
        <v/>
      </c>
      <c r="L5" s="32">
        <f>MIN(IF(Supuestos!$H$8="",1E+99,Supuestos!$H$8),MAX(IF(Supuestos!$G$8="",-1E+99,Supuestos!$G$8),IF(Supuestos!$C$8="Normal",NORMINV(E5,Supuestos!$D$8,Supuestos!$E$8),IF(Supuestos!$C$8="Triangular",IF(E5&lt;(Supuestos!$E$8-Supuestos!$D$8)/(Supuestos!$F$8-Supuestos!$D$8),Supuestos!$D$8+SQRT(E5*(Supuestos!$F$8-Supuestos!$D$8)*(Supuestos!$E$8-Supuestos!$D$8)),Supuestos!$F$8-SQRT((1-E5)*(Supuestos!$F$8-Supuestos!$D$8)*(Supuestos!$F$8-Supuestos!$E$8))),IF(Supuestos!$C$8="Uniforme",Supuestos!$D$8+E5*(Supuestos!$E$8-Supuestos!$D$8),IF(Supuestos!$C$8="Lognormal",LOGINV(E5,LN(Supuestos!$D$8)-LN(1+Supuestos!$E$8^2/Supuestos!$D$8^2)/2,SQRT(LN(1+Supuestos!$E$8^2/Supuestos!$D$8^2))),Supuestos!$D$8))))))</f>
        <v/>
      </c>
      <c r="M5" s="32">
        <f>MIN(IF(Supuestos!$H$9="",1E+99,Supuestos!$H$9),MAX(IF(Supuestos!$G$9="",-1E+99,Supuestos!$G$9),IF(Supuestos!$C$9="Normal",NORMINV(F5,Supuestos!$D$9,Supuestos!$E$9),IF(Supuestos!$C$9="Triangular",IF(F5&lt;(Supuestos!$E$9-Supuestos!$D$9)/(Supuestos!$F$9-Supuestos!$D$9),Supuestos!$D$9+SQRT(F5*(Supuestos!$F$9-Supuestos!$D$9)*(Supuestos!$E$9-Supuestos!$D$9)),Supuestos!$F$9-SQRT((1-F5)*(Supuestos!$F$9-Supuestos!$D$9)*(Supuestos!$F$9-Supuestos!$E$9))),IF(Supuestos!$C$9="Uniforme",Supuestos!$D$9+F5*(Supuestos!$E$9-Supuestos!$D$9),IF(Supuestos!$C$9="Lognormal",LOGINV(F5,LN(Supuestos!$D$9)-LN(1+Supuestos!$E$9^2/Supuestos!$D$9^2)/2,SQRT(LN(1+Supuestos!$E$9^2/Supuestos!$D$9^2))),Supuestos!$D$9))))))</f>
        <v/>
      </c>
      <c r="N5" s="32">
        <f>MIN(IF(Supuestos!$H$10="",1E+99,Supuestos!$H$10),MAX(IF(Supuestos!$G$10="",-1E+99,Supuestos!$G$10),IF(Supuestos!$C$10="Normal",NORMINV(G5,Supuestos!$D$10,Supuestos!$E$10),IF(Supuestos!$C$10="Triangular",IF(G5&lt;(Supuestos!$E$10-Supuestos!$D$10)/(Supuestos!$F$10-Supuestos!$D$10),Supuestos!$D$10+SQRT(G5*(Supuestos!$F$10-Supuestos!$D$10)*(Supuestos!$E$10-Supuestos!$D$10)),Supuestos!$F$10-SQRT((1-G5)*(Supuestos!$F$10-Supuestos!$D$10)*(Supuestos!$F$10-Supuestos!$E$10))),IF(Supuestos!$C$10="Uniforme",Supuestos!$D$10+G5*(Supuestos!$E$10-Supuestos!$D$10),IF(Supuestos!$C$10="Lognormal",LOGINV(G5,LN(Supuestos!$D$10)-LN(1+Supuestos!$E$10^2/Supuestos!$D$10^2)/2,SQRT(LN(1+Supuestos!$E$10^2/Supuestos!$D$10^2))),Supuestos!$D$10))))))</f>
        <v/>
      </c>
      <c r="O5" s="31">
        <f>MIN(IF(Supuestos!$H$11="",1E+99,Supuestos!$H$11),MAX(IF(Supuestos!$G$11="",-1E+99,Supuestos!$G$11),IF(Supuestos!$C$11="Normal",NORMINV(H5,Supuestos!$D$11,Supuestos!$E$11),IF(Supuestos!$C$11="Triangular",IF(H5&lt;(Supuestos!$E$11-Supuestos!$D$11)/(Supuestos!$F$11-Supuestos!$D$11),Supuestos!$D$11+SQRT(H5*(Supuestos!$F$11-Supuestos!$D$11)*(Supuestos!$E$11-Supuestos!$D$11)),Supuestos!$F$11-SQRT((1-H5)*(Supuestos!$F$11-Supuestos!$D$11)*(Supuestos!$F$11-Supuestos!$E$11))),IF(Supuestos!$C$11="Uniforme",Supuestos!$D$11+H5*(Supuestos!$E$11-Supuestos!$D$11),IF(Supuestos!$C$11="Lognormal",LOGINV(H5,LN(Supuestos!$D$11)-LN(1+Supuestos!$E$11^2/Supuestos!$D$11^2)/2,SQRT(LN(1+Supuestos!$E$11^2/Supuestos!$D$11^2))),Supuestos!$D$11))))))</f>
        <v/>
      </c>
      <c r="P5" s="33">
        <f>-I5</f>
        <v/>
      </c>
      <c r="Q5" s="33">
        <f>$J5*(1+$K5)^(1-1)*(1-$L5)*(1-$M5)</f>
        <v/>
      </c>
      <c r="R5" s="33">
        <f>$J5*(1+$K5)^(2-1)*(1-$L5)*(1-$M5)</f>
        <v/>
      </c>
      <c r="S5" s="33">
        <f>$J5*(1+$K5)^(3-1)*(1-$L5)*(1-$M5)</f>
        <v/>
      </c>
      <c r="T5" s="33">
        <f>$J5*(1+$K5)^(4-1)*(1-$L5)*(1-$M5)</f>
        <v/>
      </c>
      <c r="U5" s="33">
        <f>$J5*(1+$K5)^(5-1)*(1-$L5)*(1-$M5)+$O5</f>
        <v/>
      </c>
      <c r="V5" s="33">
        <f>P5+NPV($N5,Q5:U5)</f>
        <v/>
      </c>
      <c r="W5" s="32">
        <f>IFERROR(IRR(P5:U5,0.1),"")</f>
        <v/>
      </c>
    </row>
    <row r="6">
      <c r="A6" s="14" t="n">
        <v>2</v>
      </c>
      <c r="B6" s="30">
        <f>RAND()*(1-2E-6)+1E-6</f>
        <v/>
      </c>
      <c r="C6" s="30">
        <f>RAND()*(1-2E-6)+1E-6</f>
        <v/>
      </c>
      <c r="D6" s="30">
        <f>RAND()*(1-2E-6)+1E-6</f>
        <v/>
      </c>
      <c r="E6" s="30">
        <f>RAND()*(1-2E-6)+1E-6</f>
        <v/>
      </c>
      <c r="F6" s="30">
        <f>RAND()*(1-2E-6)+1E-6</f>
        <v/>
      </c>
      <c r="G6" s="30">
        <f>RAND()*(1-2E-6)+1E-6</f>
        <v/>
      </c>
      <c r="H6" s="30">
        <f>RAND()*(1-2E-6)+1E-6</f>
        <v/>
      </c>
      <c r="I6" s="31">
        <f>MIN(IF(Supuestos!$H$5="",1E+99,Supuestos!$H$5),MAX(IF(Supuestos!$G$5="",-1E+99,Supuestos!$G$5),IF(Supuestos!$C$5="Normal",NORMINV(B6,Supuestos!$D$5,Supuestos!$E$5),IF(Supuestos!$C$5="Triangular",IF(B6&lt;(Supuestos!$E$5-Supuestos!$D$5)/(Supuestos!$F$5-Supuestos!$D$5),Supuestos!$D$5+SQRT(B6*(Supuestos!$F$5-Supuestos!$D$5)*(Supuestos!$E$5-Supuestos!$D$5)),Supuestos!$F$5-SQRT((1-B6)*(Supuestos!$F$5-Supuestos!$D$5)*(Supuestos!$F$5-Supuestos!$E$5))),IF(Supuestos!$C$5="Uniforme",Supuestos!$D$5+B6*(Supuestos!$E$5-Supuestos!$D$5),IF(Supuestos!$C$5="Lognormal",LOGINV(B6,LN(Supuestos!$D$5)-LN(1+Supuestos!$E$5^2/Supuestos!$D$5^2)/2,SQRT(LN(1+Supuestos!$E$5^2/Supuestos!$D$5^2))),Supuestos!$D$5))))))</f>
        <v/>
      </c>
      <c r="J6" s="31">
        <f>MIN(IF(Supuestos!$H$6="",1E+99,Supuestos!$H$6),MAX(IF(Supuestos!$G$6="",-1E+99,Supuestos!$G$6),IF(Supuestos!$C$6="Normal",NORMINV(C6,Supuestos!$D$6,Supuestos!$E$6),IF(Supuestos!$C$6="Triangular",IF(C6&lt;(Supuestos!$E$6-Supuestos!$D$6)/(Supuestos!$F$6-Supuestos!$D$6),Supuestos!$D$6+SQRT(C6*(Supuestos!$F$6-Supuestos!$D$6)*(Supuestos!$E$6-Supuestos!$D$6)),Supuestos!$F$6-SQRT((1-C6)*(Supuestos!$F$6-Supuestos!$D$6)*(Supuestos!$F$6-Supuestos!$E$6))),IF(Supuestos!$C$6="Uniforme",Supuestos!$D$6+C6*(Supuestos!$E$6-Supuestos!$D$6),IF(Supuestos!$C$6="Lognormal",LOGINV(C6,LN(Supuestos!$D$6)-LN(1+Supuestos!$E$6^2/Supuestos!$D$6^2)/2,SQRT(LN(1+Supuestos!$E$6^2/Supuestos!$D$6^2))),Supuestos!$D$6))))))</f>
        <v/>
      </c>
      <c r="K6" s="32">
        <f>MIN(IF(Supuestos!$H$7="",1E+99,Supuestos!$H$7),MAX(IF(Supuestos!$G$7="",-1E+99,Supuestos!$G$7),IF(Supuestos!$C$7="Normal",NORMINV(D6,Supuestos!$D$7,Supuestos!$E$7),IF(Supuestos!$C$7="Triangular",IF(D6&lt;(Supuestos!$E$7-Supuestos!$D$7)/(Supuestos!$F$7-Supuestos!$D$7),Supuestos!$D$7+SQRT(D6*(Supuestos!$F$7-Supuestos!$D$7)*(Supuestos!$E$7-Supuestos!$D$7)),Supuestos!$F$7-SQRT((1-D6)*(Supuestos!$F$7-Supuestos!$D$7)*(Supuestos!$F$7-Supuestos!$E$7))),IF(Supuestos!$C$7="Uniforme",Supuestos!$D$7+D6*(Supuestos!$E$7-Supuestos!$D$7),IF(Supuestos!$C$7="Lognormal",LOGINV(D6,LN(Supuestos!$D$7)-LN(1+Supuestos!$E$7^2/Supuestos!$D$7^2)/2,SQRT(LN(1+Supuestos!$E$7^2/Supuestos!$D$7^2))),Supuestos!$D$7))))))</f>
        <v/>
      </c>
      <c r="L6" s="32">
        <f>MIN(IF(Supuestos!$H$8="",1E+99,Supuestos!$H$8),MAX(IF(Supuestos!$G$8="",-1E+99,Supuestos!$G$8),IF(Supuestos!$C$8="Normal",NORMINV(E6,Supuestos!$D$8,Supuestos!$E$8),IF(Supuestos!$C$8="Triangular",IF(E6&lt;(Supuestos!$E$8-Supuestos!$D$8)/(Supuestos!$F$8-Supuestos!$D$8),Supuestos!$D$8+SQRT(E6*(Supuestos!$F$8-Supuestos!$D$8)*(Supuestos!$E$8-Supuestos!$D$8)),Supuestos!$F$8-SQRT((1-E6)*(Supuestos!$F$8-Supuestos!$D$8)*(Supuestos!$F$8-Supuestos!$E$8))),IF(Supuestos!$C$8="Uniforme",Supuestos!$D$8+E6*(Supuestos!$E$8-Supuestos!$D$8),IF(Supuestos!$C$8="Lognormal",LOGINV(E6,LN(Supuestos!$D$8)-LN(1+Supuestos!$E$8^2/Supuestos!$D$8^2)/2,SQRT(LN(1+Supuestos!$E$8^2/Supuestos!$D$8^2))),Supuestos!$D$8))))))</f>
        <v/>
      </c>
      <c r="M6" s="32">
        <f>MIN(IF(Supuestos!$H$9="",1E+99,Supuestos!$H$9),MAX(IF(Supuestos!$G$9="",-1E+99,Supuestos!$G$9),IF(Supuestos!$C$9="Normal",NORMINV(F6,Supuestos!$D$9,Supuestos!$E$9),IF(Supuestos!$C$9="Triangular",IF(F6&lt;(Supuestos!$E$9-Supuestos!$D$9)/(Supuestos!$F$9-Supuestos!$D$9),Supuestos!$D$9+SQRT(F6*(Supuestos!$F$9-Supuestos!$D$9)*(Supuestos!$E$9-Supuestos!$D$9)),Supuestos!$F$9-SQRT((1-F6)*(Supuestos!$F$9-Supuestos!$D$9)*(Supuestos!$F$9-Supuestos!$E$9))),IF(Supuestos!$C$9="Uniforme",Supuestos!$D$9+F6*(Supuestos!$E$9-Supuestos!$D$9),IF(Supuestos!$C$9="Lognormal",LOGINV(F6,LN(Supuestos!$D$9)-LN(1+Supuestos!$E$9^2/Supuestos!$D$9^2)/2,SQRT(LN(1+Supuestos!$E$9^2/Supuestos!$D$9^2))),Supuestos!$D$9))))))</f>
        <v/>
      </c>
      <c r="N6" s="32">
        <f>MIN(IF(Supuestos!$H$10="",1E+99,Supuestos!$H$10),MAX(IF(Supuestos!$G$10="",-1E+99,Supuestos!$G$10),IF(Supuestos!$C$10="Normal",NORMINV(G6,Supuestos!$D$10,Supuestos!$E$10),IF(Supuestos!$C$10="Triangular",IF(G6&lt;(Supuestos!$E$10-Supuestos!$D$10)/(Supuestos!$F$10-Supuestos!$D$10),Supuestos!$D$10+SQRT(G6*(Supuestos!$F$10-Supuestos!$D$10)*(Supuestos!$E$10-Supuestos!$D$10)),Supuestos!$F$10-SQRT((1-G6)*(Supuestos!$F$10-Supuestos!$D$10)*(Supuestos!$F$10-Supuestos!$E$10))),IF(Supuestos!$C$10="Uniforme",Supuestos!$D$10+G6*(Supuestos!$E$10-Supuestos!$D$10),IF(Supuestos!$C$10="Lognormal",LOGINV(G6,LN(Supuestos!$D$10)-LN(1+Supuestos!$E$10^2/Supuestos!$D$10^2)/2,SQRT(LN(1+Supuestos!$E$10^2/Supuestos!$D$10^2))),Supuestos!$D$10))))))</f>
        <v/>
      </c>
      <c r="O6" s="31">
        <f>MIN(IF(Supuestos!$H$11="",1E+99,Supuestos!$H$11),MAX(IF(Supuestos!$G$11="",-1E+99,Supuestos!$G$11),IF(Supuestos!$C$11="Normal",NORMINV(H6,Supuestos!$D$11,Supuestos!$E$11),IF(Supuestos!$C$11="Triangular",IF(H6&lt;(Supuestos!$E$11-Supuestos!$D$11)/(Supuestos!$F$11-Supuestos!$D$11),Supuestos!$D$11+SQRT(H6*(Supuestos!$F$11-Supuestos!$D$11)*(Supuestos!$E$11-Supuestos!$D$11)),Supuestos!$F$11-SQRT((1-H6)*(Supuestos!$F$11-Supuestos!$D$11)*(Supuestos!$F$11-Supuestos!$E$11))),IF(Supuestos!$C$11="Uniforme",Supuestos!$D$11+H6*(Supuestos!$E$11-Supuestos!$D$11),IF(Supuestos!$C$11="Lognormal",LOGINV(H6,LN(Supuestos!$D$11)-LN(1+Supuestos!$E$11^2/Supuestos!$D$11^2)/2,SQRT(LN(1+Supuestos!$E$11^2/Supuestos!$D$11^2))),Supuestos!$D$11))))))</f>
        <v/>
      </c>
      <c r="P6" s="33">
        <f>-I6</f>
        <v/>
      </c>
      <c r="Q6" s="33">
        <f>$J6*(1+$K6)^(1-1)*(1-$L6)*(1-$M6)</f>
        <v/>
      </c>
      <c r="R6" s="33">
        <f>$J6*(1+$K6)^(2-1)*(1-$L6)*(1-$M6)</f>
        <v/>
      </c>
      <c r="S6" s="33">
        <f>$J6*(1+$K6)^(3-1)*(1-$L6)*(1-$M6)</f>
        <v/>
      </c>
      <c r="T6" s="33">
        <f>$J6*(1+$K6)^(4-1)*(1-$L6)*(1-$M6)</f>
        <v/>
      </c>
      <c r="U6" s="33">
        <f>$J6*(1+$K6)^(5-1)*(1-$L6)*(1-$M6)+$O6</f>
        <v/>
      </c>
      <c r="V6" s="33">
        <f>P6+NPV($N6,Q6:U6)</f>
        <v/>
      </c>
      <c r="W6" s="32">
        <f>IFERROR(IRR(P6:U6,0.1),"")</f>
        <v/>
      </c>
    </row>
    <row r="7">
      <c r="A7" s="14" t="n">
        <v>3</v>
      </c>
      <c r="B7" s="30">
        <f>RAND()*(1-2E-6)+1E-6</f>
        <v/>
      </c>
      <c r="C7" s="30">
        <f>RAND()*(1-2E-6)+1E-6</f>
        <v/>
      </c>
      <c r="D7" s="30">
        <f>RAND()*(1-2E-6)+1E-6</f>
        <v/>
      </c>
      <c r="E7" s="30">
        <f>RAND()*(1-2E-6)+1E-6</f>
        <v/>
      </c>
      <c r="F7" s="30">
        <f>RAND()*(1-2E-6)+1E-6</f>
        <v/>
      </c>
      <c r="G7" s="30">
        <f>RAND()*(1-2E-6)+1E-6</f>
        <v/>
      </c>
      <c r="H7" s="30">
        <f>RAND()*(1-2E-6)+1E-6</f>
        <v/>
      </c>
      <c r="I7" s="31">
        <f>MIN(IF(Supuestos!$H$5="",1E+99,Supuestos!$H$5),MAX(IF(Supuestos!$G$5="",-1E+99,Supuestos!$G$5),IF(Supuestos!$C$5="Normal",NORMINV(B7,Supuestos!$D$5,Supuestos!$E$5),IF(Supuestos!$C$5="Triangular",IF(B7&lt;(Supuestos!$E$5-Supuestos!$D$5)/(Supuestos!$F$5-Supuestos!$D$5),Supuestos!$D$5+SQRT(B7*(Supuestos!$F$5-Supuestos!$D$5)*(Supuestos!$E$5-Supuestos!$D$5)),Supuestos!$F$5-SQRT((1-B7)*(Supuestos!$F$5-Supuestos!$D$5)*(Supuestos!$F$5-Supuestos!$E$5))),IF(Supuestos!$C$5="Uniforme",Supuestos!$D$5+B7*(Supuestos!$E$5-Supuestos!$D$5),IF(Supuestos!$C$5="Lognormal",LOGINV(B7,LN(Supuestos!$D$5)-LN(1+Supuestos!$E$5^2/Supuestos!$D$5^2)/2,SQRT(LN(1+Supuestos!$E$5^2/Supuestos!$D$5^2))),Supuestos!$D$5))))))</f>
        <v/>
      </c>
      <c r="J7" s="31">
        <f>MIN(IF(Supuestos!$H$6="",1E+99,Supuestos!$H$6),MAX(IF(Supuestos!$G$6="",-1E+99,Supuestos!$G$6),IF(Supuestos!$C$6="Normal",NORMINV(C7,Supuestos!$D$6,Supuestos!$E$6),IF(Supuestos!$C$6="Triangular",IF(C7&lt;(Supuestos!$E$6-Supuestos!$D$6)/(Supuestos!$F$6-Supuestos!$D$6),Supuestos!$D$6+SQRT(C7*(Supuestos!$F$6-Supuestos!$D$6)*(Supuestos!$E$6-Supuestos!$D$6)),Supuestos!$F$6-SQRT((1-C7)*(Supuestos!$F$6-Supuestos!$D$6)*(Supuestos!$F$6-Supuestos!$E$6))),IF(Supuestos!$C$6="Uniforme",Supuestos!$D$6+C7*(Supuestos!$E$6-Supuestos!$D$6),IF(Supuestos!$C$6="Lognormal",LOGINV(C7,LN(Supuestos!$D$6)-LN(1+Supuestos!$E$6^2/Supuestos!$D$6^2)/2,SQRT(LN(1+Supuestos!$E$6^2/Supuestos!$D$6^2))),Supuestos!$D$6))))))</f>
        <v/>
      </c>
      <c r="K7" s="32">
        <f>MIN(IF(Supuestos!$H$7="",1E+99,Supuestos!$H$7),MAX(IF(Supuestos!$G$7="",-1E+99,Supuestos!$G$7),IF(Supuestos!$C$7="Normal",NORMINV(D7,Supuestos!$D$7,Supuestos!$E$7),IF(Supuestos!$C$7="Triangular",IF(D7&lt;(Supuestos!$E$7-Supuestos!$D$7)/(Supuestos!$F$7-Supuestos!$D$7),Supuestos!$D$7+SQRT(D7*(Supuestos!$F$7-Supuestos!$D$7)*(Supuestos!$E$7-Supuestos!$D$7)),Supuestos!$F$7-SQRT((1-D7)*(Supuestos!$F$7-Supuestos!$D$7)*(Supuestos!$F$7-Supuestos!$E$7))),IF(Supuestos!$C$7="Uniforme",Supuestos!$D$7+D7*(Supuestos!$E$7-Supuestos!$D$7),IF(Supuestos!$C$7="Lognormal",LOGINV(D7,LN(Supuestos!$D$7)-LN(1+Supuestos!$E$7^2/Supuestos!$D$7^2)/2,SQRT(LN(1+Supuestos!$E$7^2/Supuestos!$D$7^2))),Supuestos!$D$7))))))</f>
        <v/>
      </c>
      <c r="L7" s="32">
        <f>MIN(IF(Supuestos!$H$8="",1E+99,Supuestos!$H$8),MAX(IF(Supuestos!$G$8="",-1E+99,Supuestos!$G$8),IF(Supuestos!$C$8="Normal",NORMINV(E7,Supuestos!$D$8,Supuestos!$E$8),IF(Supuestos!$C$8="Triangular",IF(E7&lt;(Supuestos!$E$8-Supuestos!$D$8)/(Supuestos!$F$8-Supuestos!$D$8),Supuestos!$D$8+SQRT(E7*(Supuestos!$F$8-Supuestos!$D$8)*(Supuestos!$E$8-Supuestos!$D$8)),Supuestos!$F$8-SQRT((1-E7)*(Supuestos!$F$8-Supuestos!$D$8)*(Supuestos!$F$8-Supuestos!$E$8))),IF(Supuestos!$C$8="Uniforme",Supuestos!$D$8+E7*(Supuestos!$E$8-Supuestos!$D$8),IF(Supuestos!$C$8="Lognormal",LOGINV(E7,LN(Supuestos!$D$8)-LN(1+Supuestos!$E$8^2/Supuestos!$D$8^2)/2,SQRT(LN(1+Supuestos!$E$8^2/Supuestos!$D$8^2))),Supuestos!$D$8))))))</f>
        <v/>
      </c>
      <c r="M7" s="32">
        <f>MIN(IF(Supuestos!$H$9="",1E+99,Supuestos!$H$9),MAX(IF(Supuestos!$G$9="",-1E+99,Supuestos!$G$9),IF(Supuestos!$C$9="Normal",NORMINV(F7,Supuestos!$D$9,Supuestos!$E$9),IF(Supuestos!$C$9="Triangular",IF(F7&lt;(Supuestos!$E$9-Supuestos!$D$9)/(Supuestos!$F$9-Supuestos!$D$9),Supuestos!$D$9+SQRT(F7*(Supuestos!$F$9-Supuestos!$D$9)*(Supuestos!$E$9-Supuestos!$D$9)),Supuestos!$F$9-SQRT((1-F7)*(Supuestos!$F$9-Supuestos!$D$9)*(Supuestos!$F$9-Supuestos!$E$9))),IF(Supuestos!$C$9="Uniforme",Supuestos!$D$9+F7*(Supuestos!$E$9-Supuestos!$D$9),IF(Supuestos!$C$9="Lognormal",LOGINV(F7,LN(Supuestos!$D$9)-LN(1+Supuestos!$E$9^2/Supuestos!$D$9^2)/2,SQRT(LN(1+Supuestos!$E$9^2/Supuestos!$D$9^2))),Supuestos!$D$9))))))</f>
        <v/>
      </c>
      <c r="N7" s="32">
        <f>MIN(IF(Supuestos!$H$10="",1E+99,Supuestos!$H$10),MAX(IF(Supuestos!$G$10="",-1E+99,Supuestos!$G$10),IF(Supuestos!$C$10="Normal",NORMINV(G7,Supuestos!$D$10,Supuestos!$E$10),IF(Supuestos!$C$10="Triangular",IF(G7&lt;(Supuestos!$E$10-Supuestos!$D$10)/(Supuestos!$F$10-Supuestos!$D$10),Supuestos!$D$10+SQRT(G7*(Supuestos!$F$10-Supuestos!$D$10)*(Supuestos!$E$10-Supuestos!$D$10)),Supuestos!$F$10-SQRT((1-G7)*(Supuestos!$F$10-Supuestos!$D$10)*(Supuestos!$F$10-Supuestos!$E$10))),IF(Supuestos!$C$10="Uniforme",Supuestos!$D$10+G7*(Supuestos!$E$10-Supuestos!$D$10),IF(Supuestos!$C$10="Lognormal",LOGINV(G7,LN(Supuestos!$D$10)-LN(1+Supuestos!$E$10^2/Supuestos!$D$10^2)/2,SQRT(LN(1+Supuestos!$E$10^2/Supuestos!$D$10^2))),Supuestos!$D$10))))))</f>
        <v/>
      </c>
      <c r="O7" s="31">
        <f>MIN(IF(Supuestos!$H$11="",1E+99,Supuestos!$H$11),MAX(IF(Supuestos!$G$11="",-1E+99,Supuestos!$G$11),IF(Supuestos!$C$11="Normal",NORMINV(H7,Supuestos!$D$11,Supuestos!$E$11),IF(Supuestos!$C$11="Triangular",IF(H7&lt;(Supuestos!$E$11-Supuestos!$D$11)/(Supuestos!$F$11-Supuestos!$D$11),Supuestos!$D$11+SQRT(H7*(Supuestos!$F$11-Supuestos!$D$11)*(Supuestos!$E$11-Supuestos!$D$11)),Supuestos!$F$11-SQRT((1-H7)*(Supuestos!$F$11-Supuestos!$D$11)*(Supuestos!$F$11-Supuestos!$E$11))),IF(Supuestos!$C$11="Uniforme",Supuestos!$D$11+H7*(Supuestos!$E$11-Supuestos!$D$11),IF(Supuestos!$C$11="Lognormal",LOGINV(H7,LN(Supuestos!$D$11)-LN(1+Supuestos!$E$11^2/Supuestos!$D$11^2)/2,SQRT(LN(1+Supuestos!$E$11^2/Supuestos!$D$11^2))),Supuestos!$D$11))))))</f>
        <v/>
      </c>
      <c r="P7" s="33">
        <f>-I7</f>
        <v/>
      </c>
      <c r="Q7" s="33">
        <f>$J7*(1+$K7)^(1-1)*(1-$L7)*(1-$M7)</f>
        <v/>
      </c>
      <c r="R7" s="33">
        <f>$J7*(1+$K7)^(2-1)*(1-$L7)*(1-$M7)</f>
        <v/>
      </c>
      <c r="S7" s="33">
        <f>$J7*(1+$K7)^(3-1)*(1-$L7)*(1-$M7)</f>
        <v/>
      </c>
      <c r="T7" s="33">
        <f>$J7*(1+$K7)^(4-1)*(1-$L7)*(1-$M7)</f>
        <v/>
      </c>
      <c r="U7" s="33">
        <f>$J7*(1+$K7)^(5-1)*(1-$L7)*(1-$M7)+$O7</f>
        <v/>
      </c>
      <c r="V7" s="33">
        <f>P7+NPV($N7,Q7:U7)</f>
        <v/>
      </c>
      <c r="W7" s="32">
        <f>IFERROR(IRR(P7:U7,0.1),"")</f>
        <v/>
      </c>
    </row>
    <row r="8">
      <c r="A8" s="14" t="n">
        <v>4</v>
      </c>
      <c r="B8" s="30">
        <f>RAND()*(1-2E-6)+1E-6</f>
        <v/>
      </c>
      <c r="C8" s="30">
        <f>RAND()*(1-2E-6)+1E-6</f>
        <v/>
      </c>
      <c r="D8" s="30">
        <f>RAND()*(1-2E-6)+1E-6</f>
        <v/>
      </c>
      <c r="E8" s="30">
        <f>RAND()*(1-2E-6)+1E-6</f>
        <v/>
      </c>
      <c r="F8" s="30">
        <f>RAND()*(1-2E-6)+1E-6</f>
        <v/>
      </c>
      <c r="G8" s="30">
        <f>RAND()*(1-2E-6)+1E-6</f>
        <v/>
      </c>
      <c r="H8" s="30">
        <f>RAND()*(1-2E-6)+1E-6</f>
        <v/>
      </c>
      <c r="I8" s="31">
        <f>MIN(IF(Supuestos!$H$5="",1E+99,Supuestos!$H$5),MAX(IF(Supuestos!$G$5="",-1E+99,Supuestos!$G$5),IF(Supuestos!$C$5="Normal",NORMINV(B8,Supuestos!$D$5,Supuestos!$E$5),IF(Supuestos!$C$5="Triangular",IF(B8&lt;(Supuestos!$E$5-Supuestos!$D$5)/(Supuestos!$F$5-Supuestos!$D$5),Supuestos!$D$5+SQRT(B8*(Supuestos!$F$5-Supuestos!$D$5)*(Supuestos!$E$5-Supuestos!$D$5)),Supuestos!$F$5-SQRT((1-B8)*(Supuestos!$F$5-Supuestos!$D$5)*(Supuestos!$F$5-Supuestos!$E$5))),IF(Supuestos!$C$5="Uniforme",Supuestos!$D$5+B8*(Supuestos!$E$5-Supuestos!$D$5),IF(Supuestos!$C$5="Lognormal",LOGINV(B8,LN(Supuestos!$D$5)-LN(1+Supuestos!$E$5^2/Supuestos!$D$5^2)/2,SQRT(LN(1+Supuestos!$E$5^2/Supuestos!$D$5^2))),Supuestos!$D$5))))))</f>
        <v/>
      </c>
      <c r="J8" s="31">
        <f>MIN(IF(Supuestos!$H$6="",1E+99,Supuestos!$H$6),MAX(IF(Supuestos!$G$6="",-1E+99,Supuestos!$G$6),IF(Supuestos!$C$6="Normal",NORMINV(C8,Supuestos!$D$6,Supuestos!$E$6),IF(Supuestos!$C$6="Triangular",IF(C8&lt;(Supuestos!$E$6-Supuestos!$D$6)/(Supuestos!$F$6-Supuestos!$D$6),Supuestos!$D$6+SQRT(C8*(Supuestos!$F$6-Supuestos!$D$6)*(Supuestos!$E$6-Supuestos!$D$6)),Supuestos!$F$6-SQRT((1-C8)*(Supuestos!$F$6-Supuestos!$D$6)*(Supuestos!$F$6-Supuestos!$E$6))),IF(Supuestos!$C$6="Uniforme",Supuestos!$D$6+C8*(Supuestos!$E$6-Supuestos!$D$6),IF(Supuestos!$C$6="Lognormal",LOGINV(C8,LN(Supuestos!$D$6)-LN(1+Supuestos!$E$6^2/Supuestos!$D$6^2)/2,SQRT(LN(1+Supuestos!$E$6^2/Supuestos!$D$6^2))),Supuestos!$D$6))))))</f>
        <v/>
      </c>
      <c r="K8" s="32">
        <f>MIN(IF(Supuestos!$H$7="",1E+99,Supuestos!$H$7),MAX(IF(Supuestos!$G$7="",-1E+99,Supuestos!$G$7),IF(Supuestos!$C$7="Normal",NORMINV(D8,Supuestos!$D$7,Supuestos!$E$7),IF(Supuestos!$C$7="Triangular",IF(D8&lt;(Supuestos!$E$7-Supuestos!$D$7)/(Supuestos!$F$7-Supuestos!$D$7),Supuestos!$D$7+SQRT(D8*(Supuestos!$F$7-Supuestos!$D$7)*(Supuestos!$E$7-Supuestos!$D$7)),Supuestos!$F$7-SQRT((1-D8)*(Supuestos!$F$7-Supuestos!$D$7)*(Supuestos!$F$7-Supuestos!$E$7))),IF(Supuestos!$C$7="Uniforme",Supuestos!$D$7+D8*(Supuestos!$E$7-Supuestos!$D$7),IF(Supuestos!$C$7="Lognormal",LOGINV(D8,LN(Supuestos!$D$7)-LN(1+Supuestos!$E$7^2/Supuestos!$D$7^2)/2,SQRT(LN(1+Supuestos!$E$7^2/Supuestos!$D$7^2))),Supuestos!$D$7))))))</f>
        <v/>
      </c>
      <c r="L8" s="32">
        <f>MIN(IF(Supuestos!$H$8="",1E+99,Supuestos!$H$8),MAX(IF(Supuestos!$G$8="",-1E+99,Supuestos!$G$8),IF(Supuestos!$C$8="Normal",NORMINV(E8,Supuestos!$D$8,Supuestos!$E$8),IF(Supuestos!$C$8="Triangular",IF(E8&lt;(Supuestos!$E$8-Supuestos!$D$8)/(Supuestos!$F$8-Supuestos!$D$8),Supuestos!$D$8+SQRT(E8*(Supuestos!$F$8-Supuestos!$D$8)*(Supuestos!$E$8-Supuestos!$D$8)),Supuestos!$F$8-SQRT((1-E8)*(Supuestos!$F$8-Supuestos!$D$8)*(Supuestos!$F$8-Supuestos!$E$8))),IF(Supuestos!$C$8="Uniforme",Supuestos!$D$8+E8*(Supuestos!$E$8-Supuestos!$D$8),IF(Supuestos!$C$8="Lognormal",LOGINV(E8,LN(Supuestos!$D$8)-LN(1+Supuestos!$E$8^2/Supuestos!$D$8^2)/2,SQRT(LN(1+Supuestos!$E$8^2/Supuestos!$D$8^2))),Supuestos!$D$8))))))</f>
        <v/>
      </c>
      <c r="M8" s="32">
        <f>MIN(IF(Supuestos!$H$9="",1E+99,Supuestos!$H$9),MAX(IF(Supuestos!$G$9="",-1E+99,Supuestos!$G$9),IF(Supuestos!$C$9="Normal",NORMINV(F8,Supuestos!$D$9,Supuestos!$E$9),IF(Supuestos!$C$9="Triangular",IF(F8&lt;(Supuestos!$E$9-Supuestos!$D$9)/(Supuestos!$F$9-Supuestos!$D$9),Supuestos!$D$9+SQRT(F8*(Supuestos!$F$9-Supuestos!$D$9)*(Supuestos!$E$9-Supuestos!$D$9)),Supuestos!$F$9-SQRT((1-F8)*(Supuestos!$F$9-Supuestos!$D$9)*(Supuestos!$F$9-Supuestos!$E$9))),IF(Supuestos!$C$9="Uniforme",Supuestos!$D$9+F8*(Supuestos!$E$9-Supuestos!$D$9),IF(Supuestos!$C$9="Lognormal",LOGINV(F8,LN(Supuestos!$D$9)-LN(1+Supuestos!$E$9^2/Supuestos!$D$9^2)/2,SQRT(LN(1+Supuestos!$E$9^2/Supuestos!$D$9^2))),Supuestos!$D$9))))))</f>
        <v/>
      </c>
      <c r="N8" s="32">
        <f>MIN(IF(Supuestos!$H$10="",1E+99,Supuestos!$H$10),MAX(IF(Supuestos!$G$10="",-1E+99,Supuestos!$G$10),IF(Supuestos!$C$10="Normal",NORMINV(G8,Supuestos!$D$10,Supuestos!$E$10),IF(Supuestos!$C$10="Triangular",IF(G8&lt;(Supuestos!$E$10-Supuestos!$D$10)/(Supuestos!$F$10-Supuestos!$D$10),Supuestos!$D$10+SQRT(G8*(Supuestos!$F$10-Supuestos!$D$10)*(Supuestos!$E$10-Supuestos!$D$10)),Supuestos!$F$10-SQRT((1-G8)*(Supuestos!$F$10-Supuestos!$D$10)*(Supuestos!$F$10-Supuestos!$E$10))),IF(Supuestos!$C$10="Uniforme",Supuestos!$D$10+G8*(Supuestos!$E$10-Supuestos!$D$10),IF(Supuestos!$C$10="Lognormal",LOGINV(G8,LN(Supuestos!$D$10)-LN(1+Supuestos!$E$10^2/Supuestos!$D$10^2)/2,SQRT(LN(1+Supuestos!$E$10^2/Supuestos!$D$10^2))),Supuestos!$D$10))))))</f>
        <v/>
      </c>
      <c r="O8" s="31">
        <f>MIN(IF(Supuestos!$H$11="",1E+99,Supuestos!$H$11),MAX(IF(Supuestos!$G$11="",-1E+99,Supuestos!$G$11),IF(Supuestos!$C$11="Normal",NORMINV(H8,Supuestos!$D$11,Supuestos!$E$11),IF(Supuestos!$C$11="Triangular",IF(H8&lt;(Supuestos!$E$11-Supuestos!$D$11)/(Supuestos!$F$11-Supuestos!$D$11),Supuestos!$D$11+SQRT(H8*(Supuestos!$F$11-Supuestos!$D$11)*(Supuestos!$E$11-Supuestos!$D$11)),Supuestos!$F$11-SQRT((1-H8)*(Supuestos!$F$11-Supuestos!$D$11)*(Supuestos!$F$11-Supuestos!$E$11))),IF(Supuestos!$C$11="Uniforme",Supuestos!$D$11+H8*(Supuestos!$E$11-Supuestos!$D$11),IF(Supuestos!$C$11="Lognormal",LOGINV(H8,LN(Supuestos!$D$11)-LN(1+Supuestos!$E$11^2/Supuestos!$D$11^2)/2,SQRT(LN(1+Supuestos!$E$11^2/Supuestos!$D$11^2))),Supuestos!$D$11))))))</f>
        <v/>
      </c>
      <c r="P8" s="33">
        <f>-I8</f>
        <v/>
      </c>
      <c r="Q8" s="33">
        <f>$J8*(1+$K8)^(1-1)*(1-$L8)*(1-$M8)</f>
        <v/>
      </c>
      <c r="R8" s="33">
        <f>$J8*(1+$K8)^(2-1)*(1-$L8)*(1-$M8)</f>
        <v/>
      </c>
      <c r="S8" s="33">
        <f>$J8*(1+$K8)^(3-1)*(1-$L8)*(1-$M8)</f>
        <v/>
      </c>
      <c r="T8" s="33">
        <f>$J8*(1+$K8)^(4-1)*(1-$L8)*(1-$M8)</f>
        <v/>
      </c>
      <c r="U8" s="33">
        <f>$J8*(1+$K8)^(5-1)*(1-$L8)*(1-$M8)+$O8</f>
        <v/>
      </c>
      <c r="V8" s="33">
        <f>P8+NPV($N8,Q8:U8)</f>
        <v/>
      </c>
      <c r="W8" s="32">
        <f>IFERROR(IRR(P8:U8,0.1),"")</f>
        <v/>
      </c>
    </row>
    <row r="9">
      <c r="A9" s="14" t="n">
        <v>5</v>
      </c>
      <c r="B9" s="30">
        <f>RAND()*(1-2E-6)+1E-6</f>
        <v/>
      </c>
      <c r="C9" s="30">
        <f>RAND()*(1-2E-6)+1E-6</f>
        <v/>
      </c>
      <c r="D9" s="30">
        <f>RAND()*(1-2E-6)+1E-6</f>
        <v/>
      </c>
      <c r="E9" s="30">
        <f>RAND()*(1-2E-6)+1E-6</f>
        <v/>
      </c>
      <c r="F9" s="30">
        <f>RAND()*(1-2E-6)+1E-6</f>
        <v/>
      </c>
      <c r="G9" s="30">
        <f>RAND()*(1-2E-6)+1E-6</f>
        <v/>
      </c>
      <c r="H9" s="30">
        <f>RAND()*(1-2E-6)+1E-6</f>
        <v/>
      </c>
      <c r="I9" s="31">
        <f>MIN(IF(Supuestos!$H$5="",1E+99,Supuestos!$H$5),MAX(IF(Supuestos!$G$5="",-1E+99,Supuestos!$G$5),IF(Supuestos!$C$5="Normal",NORMINV(B9,Supuestos!$D$5,Supuestos!$E$5),IF(Supuestos!$C$5="Triangular",IF(B9&lt;(Supuestos!$E$5-Supuestos!$D$5)/(Supuestos!$F$5-Supuestos!$D$5),Supuestos!$D$5+SQRT(B9*(Supuestos!$F$5-Supuestos!$D$5)*(Supuestos!$E$5-Supuestos!$D$5)),Supuestos!$F$5-SQRT((1-B9)*(Supuestos!$F$5-Supuestos!$D$5)*(Supuestos!$F$5-Supuestos!$E$5))),IF(Supuestos!$C$5="Uniforme",Supuestos!$D$5+B9*(Supuestos!$E$5-Supuestos!$D$5),IF(Supuestos!$C$5="Lognormal",LOGINV(B9,LN(Supuestos!$D$5)-LN(1+Supuestos!$E$5^2/Supuestos!$D$5^2)/2,SQRT(LN(1+Supuestos!$E$5^2/Supuestos!$D$5^2))),Supuestos!$D$5))))))</f>
        <v/>
      </c>
      <c r="J9" s="31">
        <f>MIN(IF(Supuestos!$H$6="",1E+99,Supuestos!$H$6),MAX(IF(Supuestos!$G$6="",-1E+99,Supuestos!$G$6),IF(Supuestos!$C$6="Normal",NORMINV(C9,Supuestos!$D$6,Supuestos!$E$6),IF(Supuestos!$C$6="Triangular",IF(C9&lt;(Supuestos!$E$6-Supuestos!$D$6)/(Supuestos!$F$6-Supuestos!$D$6),Supuestos!$D$6+SQRT(C9*(Supuestos!$F$6-Supuestos!$D$6)*(Supuestos!$E$6-Supuestos!$D$6)),Supuestos!$F$6-SQRT((1-C9)*(Supuestos!$F$6-Supuestos!$D$6)*(Supuestos!$F$6-Supuestos!$E$6))),IF(Supuestos!$C$6="Uniforme",Supuestos!$D$6+C9*(Supuestos!$E$6-Supuestos!$D$6),IF(Supuestos!$C$6="Lognormal",LOGINV(C9,LN(Supuestos!$D$6)-LN(1+Supuestos!$E$6^2/Supuestos!$D$6^2)/2,SQRT(LN(1+Supuestos!$E$6^2/Supuestos!$D$6^2))),Supuestos!$D$6))))))</f>
        <v/>
      </c>
      <c r="K9" s="32">
        <f>MIN(IF(Supuestos!$H$7="",1E+99,Supuestos!$H$7),MAX(IF(Supuestos!$G$7="",-1E+99,Supuestos!$G$7),IF(Supuestos!$C$7="Normal",NORMINV(D9,Supuestos!$D$7,Supuestos!$E$7),IF(Supuestos!$C$7="Triangular",IF(D9&lt;(Supuestos!$E$7-Supuestos!$D$7)/(Supuestos!$F$7-Supuestos!$D$7),Supuestos!$D$7+SQRT(D9*(Supuestos!$F$7-Supuestos!$D$7)*(Supuestos!$E$7-Supuestos!$D$7)),Supuestos!$F$7-SQRT((1-D9)*(Supuestos!$F$7-Supuestos!$D$7)*(Supuestos!$F$7-Supuestos!$E$7))),IF(Supuestos!$C$7="Uniforme",Supuestos!$D$7+D9*(Supuestos!$E$7-Supuestos!$D$7),IF(Supuestos!$C$7="Lognormal",LOGINV(D9,LN(Supuestos!$D$7)-LN(1+Supuestos!$E$7^2/Supuestos!$D$7^2)/2,SQRT(LN(1+Supuestos!$E$7^2/Supuestos!$D$7^2))),Supuestos!$D$7))))))</f>
        <v/>
      </c>
      <c r="L9" s="32">
        <f>MIN(IF(Supuestos!$H$8="",1E+99,Supuestos!$H$8),MAX(IF(Supuestos!$G$8="",-1E+99,Supuestos!$G$8),IF(Supuestos!$C$8="Normal",NORMINV(E9,Supuestos!$D$8,Supuestos!$E$8),IF(Supuestos!$C$8="Triangular",IF(E9&lt;(Supuestos!$E$8-Supuestos!$D$8)/(Supuestos!$F$8-Supuestos!$D$8),Supuestos!$D$8+SQRT(E9*(Supuestos!$F$8-Supuestos!$D$8)*(Supuestos!$E$8-Supuestos!$D$8)),Supuestos!$F$8-SQRT((1-E9)*(Supuestos!$F$8-Supuestos!$D$8)*(Supuestos!$F$8-Supuestos!$E$8))),IF(Supuestos!$C$8="Uniforme",Supuestos!$D$8+E9*(Supuestos!$E$8-Supuestos!$D$8),IF(Supuestos!$C$8="Lognormal",LOGINV(E9,LN(Supuestos!$D$8)-LN(1+Supuestos!$E$8^2/Supuestos!$D$8^2)/2,SQRT(LN(1+Supuestos!$E$8^2/Supuestos!$D$8^2))),Supuestos!$D$8))))))</f>
        <v/>
      </c>
      <c r="M9" s="32">
        <f>MIN(IF(Supuestos!$H$9="",1E+99,Supuestos!$H$9),MAX(IF(Supuestos!$G$9="",-1E+99,Supuestos!$G$9),IF(Supuestos!$C$9="Normal",NORMINV(F9,Supuestos!$D$9,Supuestos!$E$9),IF(Supuestos!$C$9="Triangular",IF(F9&lt;(Supuestos!$E$9-Supuestos!$D$9)/(Supuestos!$F$9-Supuestos!$D$9),Supuestos!$D$9+SQRT(F9*(Supuestos!$F$9-Supuestos!$D$9)*(Supuestos!$E$9-Supuestos!$D$9)),Supuestos!$F$9-SQRT((1-F9)*(Supuestos!$F$9-Supuestos!$D$9)*(Supuestos!$F$9-Supuestos!$E$9))),IF(Supuestos!$C$9="Uniforme",Supuestos!$D$9+F9*(Supuestos!$E$9-Supuestos!$D$9),IF(Supuestos!$C$9="Lognormal",LOGINV(F9,LN(Supuestos!$D$9)-LN(1+Supuestos!$E$9^2/Supuestos!$D$9^2)/2,SQRT(LN(1+Supuestos!$E$9^2/Supuestos!$D$9^2))),Supuestos!$D$9))))))</f>
        <v/>
      </c>
      <c r="N9" s="32">
        <f>MIN(IF(Supuestos!$H$10="",1E+99,Supuestos!$H$10),MAX(IF(Supuestos!$G$10="",-1E+99,Supuestos!$G$10),IF(Supuestos!$C$10="Normal",NORMINV(G9,Supuestos!$D$10,Supuestos!$E$10),IF(Supuestos!$C$10="Triangular",IF(G9&lt;(Supuestos!$E$10-Supuestos!$D$10)/(Supuestos!$F$10-Supuestos!$D$10),Supuestos!$D$10+SQRT(G9*(Supuestos!$F$10-Supuestos!$D$10)*(Supuestos!$E$10-Supuestos!$D$10)),Supuestos!$F$10-SQRT((1-G9)*(Supuestos!$F$10-Supuestos!$D$10)*(Supuestos!$F$10-Supuestos!$E$10))),IF(Supuestos!$C$10="Uniforme",Supuestos!$D$10+G9*(Supuestos!$E$10-Supuestos!$D$10),IF(Supuestos!$C$10="Lognormal",LOGINV(G9,LN(Supuestos!$D$10)-LN(1+Supuestos!$E$10^2/Supuestos!$D$10^2)/2,SQRT(LN(1+Supuestos!$E$10^2/Supuestos!$D$10^2))),Supuestos!$D$10))))))</f>
        <v/>
      </c>
      <c r="O9" s="31">
        <f>MIN(IF(Supuestos!$H$11="",1E+99,Supuestos!$H$11),MAX(IF(Supuestos!$G$11="",-1E+99,Supuestos!$G$11),IF(Supuestos!$C$11="Normal",NORMINV(H9,Supuestos!$D$11,Supuestos!$E$11),IF(Supuestos!$C$11="Triangular",IF(H9&lt;(Supuestos!$E$11-Supuestos!$D$11)/(Supuestos!$F$11-Supuestos!$D$11),Supuestos!$D$11+SQRT(H9*(Supuestos!$F$11-Supuestos!$D$11)*(Supuestos!$E$11-Supuestos!$D$11)),Supuestos!$F$11-SQRT((1-H9)*(Supuestos!$F$11-Supuestos!$D$11)*(Supuestos!$F$11-Supuestos!$E$11))),IF(Supuestos!$C$11="Uniforme",Supuestos!$D$11+H9*(Supuestos!$E$11-Supuestos!$D$11),IF(Supuestos!$C$11="Lognormal",LOGINV(H9,LN(Supuestos!$D$11)-LN(1+Supuestos!$E$11^2/Supuestos!$D$11^2)/2,SQRT(LN(1+Supuestos!$E$11^2/Supuestos!$D$11^2))),Supuestos!$D$11))))))</f>
        <v/>
      </c>
      <c r="P9" s="33">
        <f>-I9</f>
        <v/>
      </c>
      <c r="Q9" s="33">
        <f>$J9*(1+$K9)^(1-1)*(1-$L9)*(1-$M9)</f>
        <v/>
      </c>
      <c r="R9" s="33">
        <f>$J9*(1+$K9)^(2-1)*(1-$L9)*(1-$M9)</f>
        <v/>
      </c>
      <c r="S9" s="33">
        <f>$J9*(1+$K9)^(3-1)*(1-$L9)*(1-$M9)</f>
        <v/>
      </c>
      <c r="T9" s="33">
        <f>$J9*(1+$K9)^(4-1)*(1-$L9)*(1-$M9)</f>
        <v/>
      </c>
      <c r="U9" s="33">
        <f>$J9*(1+$K9)^(5-1)*(1-$L9)*(1-$M9)+$O9</f>
        <v/>
      </c>
      <c r="V9" s="33">
        <f>P9+NPV($N9,Q9:U9)</f>
        <v/>
      </c>
      <c r="W9" s="32">
        <f>IFERROR(IRR(P9:U9,0.1),"")</f>
        <v/>
      </c>
    </row>
    <row r="10">
      <c r="A10" s="14" t="n">
        <v>6</v>
      </c>
      <c r="B10" s="30">
        <f>RAND()*(1-2E-6)+1E-6</f>
        <v/>
      </c>
      <c r="C10" s="30">
        <f>RAND()*(1-2E-6)+1E-6</f>
        <v/>
      </c>
      <c r="D10" s="30">
        <f>RAND()*(1-2E-6)+1E-6</f>
        <v/>
      </c>
      <c r="E10" s="30">
        <f>RAND()*(1-2E-6)+1E-6</f>
        <v/>
      </c>
      <c r="F10" s="30">
        <f>RAND()*(1-2E-6)+1E-6</f>
        <v/>
      </c>
      <c r="G10" s="30">
        <f>RAND()*(1-2E-6)+1E-6</f>
        <v/>
      </c>
      <c r="H10" s="30">
        <f>RAND()*(1-2E-6)+1E-6</f>
        <v/>
      </c>
      <c r="I10" s="31">
        <f>MIN(IF(Supuestos!$H$5="",1E+99,Supuestos!$H$5),MAX(IF(Supuestos!$G$5="",-1E+99,Supuestos!$G$5),IF(Supuestos!$C$5="Normal",NORMINV(B10,Supuestos!$D$5,Supuestos!$E$5),IF(Supuestos!$C$5="Triangular",IF(B10&lt;(Supuestos!$E$5-Supuestos!$D$5)/(Supuestos!$F$5-Supuestos!$D$5),Supuestos!$D$5+SQRT(B10*(Supuestos!$F$5-Supuestos!$D$5)*(Supuestos!$E$5-Supuestos!$D$5)),Supuestos!$F$5-SQRT((1-B10)*(Supuestos!$F$5-Supuestos!$D$5)*(Supuestos!$F$5-Supuestos!$E$5))),IF(Supuestos!$C$5="Uniforme",Supuestos!$D$5+B10*(Supuestos!$E$5-Supuestos!$D$5),IF(Supuestos!$C$5="Lognormal",LOGINV(B10,LN(Supuestos!$D$5)-LN(1+Supuestos!$E$5^2/Supuestos!$D$5^2)/2,SQRT(LN(1+Supuestos!$E$5^2/Supuestos!$D$5^2))),Supuestos!$D$5))))))</f>
        <v/>
      </c>
      <c r="J10" s="31">
        <f>MIN(IF(Supuestos!$H$6="",1E+99,Supuestos!$H$6),MAX(IF(Supuestos!$G$6="",-1E+99,Supuestos!$G$6),IF(Supuestos!$C$6="Normal",NORMINV(C10,Supuestos!$D$6,Supuestos!$E$6),IF(Supuestos!$C$6="Triangular",IF(C10&lt;(Supuestos!$E$6-Supuestos!$D$6)/(Supuestos!$F$6-Supuestos!$D$6),Supuestos!$D$6+SQRT(C10*(Supuestos!$F$6-Supuestos!$D$6)*(Supuestos!$E$6-Supuestos!$D$6)),Supuestos!$F$6-SQRT((1-C10)*(Supuestos!$F$6-Supuestos!$D$6)*(Supuestos!$F$6-Supuestos!$E$6))),IF(Supuestos!$C$6="Uniforme",Supuestos!$D$6+C10*(Supuestos!$E$6-Supuestos!$D$6),IF(Supuestos!$C$6="Lognormal",LOGINV(C10,LN(Supuestos!$D$6)-LN(1+Supuestos!$E$6^2/Supuestos!$D$6^2)/2,SQRT(LN(1+Supuestos!$E$6^2/Supuestos!$D$6^2))),Supuestos!$D$6))))))</f>
        <v/>
      </c>
      <c r="K10" s="32">
        <f>MIN(IF(Supuestos!$H$7="",1E+99,Supuestos!$H$7),MAX(IF(Supuestos!$G$7="",-1E+99,Supuestos!$G$7),IF(Supuestos!$C$7="Normal",NORMINV(D10,Supuestos!$D$7,Supuestos!$E$7),IF(Supuestos!$C$7="Triangular",IF(D10&lt;(Supuestos!$E$7-Supuestos!$D$7)/(Supuestos!$F$7-Supuestos!$D$7),Supuestos!$D$7+SQRT(D10*(Supuestos!$F$7-Supuestos!$D$7)*(Supuestos!$E$7-Supuestos!$D$7)),Supuestos!$F$7-SQRT((1-D10)*(Supuestos!$F$7-Supuestos!$D$7)*(Supuestos!$F$7-Supuestos!$E$7))),IF(Supuestos!$C$7="Uniforme",Supuestos!$D$7+D10*(Supuestos!$E$7-Supuestos!$D$7),IF(Supuestos!$C$7="Lognormal",LOGINV(D10,LN(Supuestos!$D$7)-LN(1+Supuestos!$E$7^2/Supuestos!$D$7^2)/2,SQRT(LN(1+Supuestos!$E$7^2/Supuestos!$D$7^2))),Supuestos!$D$7))))))</f>
        <v/>
      </c>
      <c r="L10" s="32">
        <f>MIN(IF(Supuestos!$H$8="",1E+99,Supuestos!$H$8),MAX(IF(Supuestos!$G$8="",-1E+99,Supuestos!$G$8),IF(Supuestos!$C$8="Normal",NORMINV(E10,Supuestos!$D$8,Supuestos!$E$8),IF(Supuestos!$C$8="Triangular",IF(E10&lt;(Supuestos!$E$8-Supuestos!$D$8)/(Supuestos!$F$8-Supuestos!$D$8),Supuestos!$D$8+SQRT(E10*(Supuestos!$F$8-Supuestos!$D$8)*(Supuestos!$E$8-Supuestos!$D$8)),Supuestos!$F$8-SQRT((1-E10)*(Supuestos!$F$8-Supuestos!$D$8)*(Supuestos!$F$8-Supuestos!$E$8))),IF(Supuestos!$C$8="Uniforme",Supuestos!$D$8+E10*(Supuestos!$E$8-Supuestos!$D$8),IF(Supuestos!$C$8="Lognormal",LOGINV(E10,LN(Supuestos!$D$8)-LN(1+Supuestos!$E$8^2/Supuestos!$D$8^2)/2,SQRT(LN(1+Supuestos!$E$8^2/Supuestos!$D$8^2))),Supuestos!$D$8))))))</f>
        <v/>
      </c>
      <c r="M10" s="32">
        <f>MIN(IF(Supuestos!$H$9="",1E+99,Supuestos!$H$9),MAX(IF(Supuestos!$G$9="",-1E+99,Supuestos!$G$9),IF(Supuestos!$C$9="Normal",NORMINV(F10,Supuestos!$D$9,Supuestos!$E$9),IF(Supuestos!$C$9="Triangular",IF(F10&lt;(Supuestos!$E$9-Supuestos!$D$9)/(Supuestos!$F$9-Supuestos!$D$9),Supuestos!$D$9+SQRT(F10*(Supuestos!$F$9-Supuestos!$D$9)*(Supuestos!$E$9-Supuestos!$D$9)),Supuestos!$F$9-SQRT((1-F10)*(Supuestos!$F$9-Supuestos!$D$9)*(Supuestos!$F$9-Supuestos!$E$9))),IF(Supuestos!$C$9="Uniforme",Supuestos!$D$9+F10*(Supuestos!$E$9-Supuestos!$D$9),IF(Supuestos!$C$9="Lognormal",LOGINV(F10,LN(Supuestos!$D$9)-LN(1+Supuestos!$E$9^2/Supuestos!$D$9^2)/2,SQRT(LN(1+Supuestos!$E$9^2/Supuestos!$D$9^2))),Supuestos!$D$9))))))</f>
        <v/>
      </c>
      <c r="N10" s="32">
        <f>MIN(IF(Supuestos!$H$10="",1E+99,Supuestos!$H$10),MAX(IF(Supuestos!$G$10="",-1E+99,Supuestos!$G$10),IF(Supuestos!$C$10="Normal",NORMINV(G10,Supuestos!$D$10,Supuestos!$E$10),IF(Supuestos!$C$10="Triangular",IF(G10&lt;(Supuestos!$E$10-Supuestos!$D$10)/(Supuestos!$F$10-Supuestos!$D$10),Supuestos!$D$10+SQRT(G10*(Supuestos!$F$10-Supuestos!$D$10)*(Supuestos!$E$10-Supuestos!$D$10)),Supuestos!$F$10-SQRT((1-G10)*(Supuestos!$F$10-Supuestos!$D$10)*(Supuestos!$F$10-Supuestos!$E$10))),IF(Supuestos!$C$10="Uniforme",Supuestos!$D$10+G10*(Supuestos!$E$10-Supuestos!$D$10),IF(Supuestos!$C$10="Lognormal",LOGINV(G10,LN(Supuestos!$D$10)-LN(1+Supuestos!$E$10^2/Supuestos!$D$10^2)/2,SQRT(LN(1+Supuestos!$E$10^2/Supuestos!$D$10^2))),Supuestos!$D$10))))))</f>
        <v/>
      </c>
      <c r="O10" s="31">
        <f>MIN(IF(Supuestos!$H$11="",1E+99,Supuestos!$H$11),MAX(IF(Supuestos!$G$11="",-1E+99,Supuestos!$G$11),IF(Supuestos!$C$11="Normal",NORMINV(H10,Supuestos!$D$11,Supuestos!$E$11),IF(Supuestos!$C$11="Triangular",IF(H10&lt;(Supuestos!$E$11-Supuestos!$D$11)/(Supuestos!$F$11-Supuestos!$D$11),Supuestos!$D$11+SQRT(H10*(Supuestos!$F$11-Supuestos!$D$11)*(Supuestos!$E$11-Supuestos!$D$11)),Supuestos!$F$11-SQRT((1-H10)*(Supuestos!$F$11-Supuestos!$D$11)*(Supuestos!$F$11-Supuestos!$E$11))),IF(Supuestos!$C$11="Uniforme",Supuestos!$D$11+H10*(Supuestos!$E$11-Supuestos!$D$11),IF(Supuestos!$C$11="Lognormal",LOGINV(H10,LN(Supuestos!$D$11)-LN(1+Supuestos!$E$11^2/Supuestos!$D$11^2)/2,SQRT(LN(1+Supuestos!$E$11^2/Supuestos!$D$11^2))),Supuestos!$D$11))))))</f>
        <v/>
      </c>
      <c r="P10" s="33">
        <f>-I10</f>
        <v/>
      </c>
      <c r="Q10" s="33">
        <f>$J10*(1+$K10)^(1-1)*(1-$L10)*(1-$M10)</f>
        <v/>
      </c>
      <c r="R10" s="33">
        <f>$J10*(1+$K10)^(2-1)*(1-$L10)*(1-$M10)</f>
        <v/>
      </c>
      <c r="S10" s="33">
        <f>$J10*(1+$K10)^(3-1)*(1-$L10)*(1-$M10)</f>
        <v/>
      </c>
      <c r="T10" s="33">
        <f>$J10*(1+$K10)^(4-1)*(1-$L10)*(1-$M10)</f>
        <v/>
      </c>
      <c r="U10" s="33">
        <f>$J10*(1+$K10)^(5-1)*(1-$L10)*(1-$M10)+$O10</f>
        <v/>
      </c>
      <c r="V10" s="33">
        <f>P10+NPV($N10,Q10:U10)</f>
        <v/>
      </c>
      <c r="W10" s="32">
        <f>IFERROR(IRR(P10:U10,0.1),"")</f>
        <v/>
      </c>
    </row>
    <row r="11">
      <c r="A11" s="14" t="n">
        <v>7</v>
      </c>
      <c r="B11" s="30">
        <f>RAND()*(1-2E-6)+1E-6</f>
        <v/>
      </c>
      <c r="C11" s="30">
        <f>RAND()*(1-2E-6)+1E-6</f>
        <v/>
      </c>
      <c r="D11" s="30">
        <f>RAND()*(1-2E-6)+1E-6</f>
        <v/>
      </c>
      <c r="E11" s="30">
        <f>RAND()*(1-2E-6)+1E-6</f>
        <v/>
      </c>
      <c r="F11" s="30">
        <f>RAND()*(1-2E-6)+1E-6</f>
        <v/>
      </c>
      <c r="G11" s="30">
        <f>RAND()*(1-2E-6)+1E-6</f>
        <v/>
      </c>
      <c r="H11" s="30">
        <f>RAND()*(1-2E-6)+1E-6</f>
        <v/>
      </c>
      <c r="I11" s="31">
        <f>MIN(IF(Supuestos!$H$5="",1E+99,Supuestos!$H$5),MAX(IF(Supuestos!$G$5="",-1E+99,Supuestos!$G$5),IF(Supuestos!$C$5="Normal",NORMINV(B11,Supuestos!$D$5,Supuestos!$E$5),IF(Supuestos!$C$5="Triangular",IF(B11&lt;(Supuestos!$E$5-Supuestos!$D$5)/(Supuestos!$F$5-Supuestos!$D$5),Supuestos!$D$5+SQRT(B11*(Supuestos!$F$5-Supuestos!$D$5)*(Supuestos!$E$5-Supuestos!$D$5)),Supuestos!$F$5-SQRT((1-B11)*(Supuestos!$F$5-Supuestos!$D$5)*(Supuestos!$F$5-Supuestos!$E$5))),IF(Supuestos!$C$5="Uniforme",Supuestos!$D$5+B11*(Supuestos!$E$5-Supuestos!$D$5),IF(Supuestos!$C$5="Lognormal",LOGINV(B11,LN(Supuestos!$D$5)-LN(1+Supuestos!$E$5^2/Supuestos!$D$5^2)/2,SQRT(LN(1+Supuestos!$E$5^2/Supuestos!$D$5^2))),Supuestos!$D$5))))))</f>
        <v/>
      </c>
      <c r="J11" s="31">
        <f>MIN(IF(Supuestos!$H$6="",1E+99,Supuestos!$H$6),MAX(IF(Supuestos!$G$6="",-1E+99,Supuestos!$G$6),IF(Supuestos!$C$6="Normal",NORMINV(C11,Supuestos!$D$6,Supuestos!$E$6),IF(Supuestos!$C$6="Triangular",IF(C11&lt;(Supuestos!$E$6-Supuestos!$D$6)/(Supuestos!$F$6-Supuestos!$D$6),Supuestos!$D$6+SQRT(C11*(Supuestos!$F$6-Supuestos!$D$6)*(Supuestos!$E$6-Supuestos!$D$6)),Supuestos!$F$6-SQRT((1-C11)*(Supuestos!$F$6-Supuestos!$D$6)*(Supuestos!$F$6-Supuestos!$E$6))),IF(Supuestos!$C$6="Uniforme",Supuestos!$D$6+C11*(Supuestos!$E$6-Supuestos!$D$6),IF(Supuestos!$C$6="Lognormal",LOGINV(C11,LN(Supuestos!$D$6)-LN(1+Supuestos!$E$6^2/Supuestos!$D$6^2)/2,SQRT(LN(1+Supuestos!$E$6^2/Supuestos!$D$6^2))),Supuestos!$D$6))))))</f>
        <v/>
      </c>
      <c r="K11" s="32">
        <f>MIN(IF(Supuestos!$H$7="",1E+99,Supuestos!$H$7),MAX(IF(Supuestos!$G$7="",-1E+99,Supuestos!$G$7),IF(Supuestos!$C$7="Normal",NORMINV(D11,Supuestos!$D$7,Supuestos!$E$7),IF(Supuestos!$C$7="Triangular",IF(D11&lt;(Supuestos!$E$7-Supuestos!$D$7)/(Supuestos!$F$7-Supuestos!$D$7),Supuestos!$D$7+SQRT(D11*(Supuestos!$F$7-Supuestos!$D$7)*(Supuestos!$E$7-Supuestos!$D$7)),Supuestos!$F$7-SQRT((1-D11)*(Supuestos!$F$7-Supuestos!$D$7)*(Supuestos!$F$7-Supuestos!$E$7))),IF(Supuestos!$C$7="Uniforme",Supuestos!$D$7+D11*(Supuestos!$E$7-Supuestos!$D$7),IF(Supuestos!$C$7="Lognormal",LOGINV(D11,LN(Supuestos!$D$7)-LN(1+Supuestos!$E$7^2/Supuestos!$D$7^2)/2,SQRT(LN(1+Supuestos!$E$7^2/Supuestos!$D$7^2))),Supuestos!$D$7))))))</f>
        <v/>
      </c>
      <c r="L11" s="32">
        <f>MIN(IF(Supuestos!$H$8="",1E+99,Supuestos!$H$8),MAX(IF(Supuestos!$G$8="",-1E+99,Supuestos!$G$8),IF(Supuestos!$C$8="Normal",NORMINV(E11,Supuestos!$D$8,Supuestos!$E$8),IF(Supuestos!$C$8="Triangular",IF(E11&lt;(Supuestos!$E$8-Supuestos!$D$8)/(Supuestos!$F$8-Supuestos!$D$8),Supuestos!$D$8+SQRT(E11*(Supuestos!$F$8-Supuestos!$D$8)*(Supuestos!$E$8-Supuestos!$D$8)),Supuestos!$F$8-SQRT((1-E11)*(Supuestos!$F$8-Supuestos!$D$8)*(Supuestos!$F$8-Supuestos!$E$8))),IF(Supuestos!$C$8="Uniforme",Supuestos!$D$8+E11*(Supuestos!$E$8-Supuestos!$D$8),IF(Supuestos!$C$8="Lognormal",LOGINV(E11,LN(Supuestos!$D$8)-LN(1+Supuestos!$E$8^2/Supuestos!$D$8^2)/2,SQRT(LN(1+Supuestos!$E$8^2/Supuestos!$D$8^2))),Supuestos!$D$8))))))</f>
        <v/>
      </c>
      <c r="M11" s="32">
        <f>MIN(IF(Supuestos!$H$9="",1E+99,Supuestos!$H$9),MAX(IF(Supuestos!$G$9="",-1E+99,Supuestos!$G$9),IF(Supuestos!$C$9="Normal",NORMINV(F11,Supuestos!$D$9,Supuestos!$E$9),IF(Supuestos!$C$9="Triangular",IF(F11&lt;(Supuestos!$E$9-Supuestos!$D$9)/(Supuestos!$F$9-Supuestos!$D$9),Supuestos!$D$9+SQRT(F11*(Supuestos!$F$9-Supuestos!$D$9)*(Supuestos!$E$9-Supuestos!$D$9)),Supuestos!$F$9-SQRT((1-F11)*(Supuestos!$F$9-Supuestos!$D$9)*(Supuestos!$F$9-Supuestos!$E$9))),IF(Supuestos!$C$9="Uniforme",Supuestos!$D$9+F11*(Supuestos!$E$9-Supuestos!$D$9),IF(Supuestos!$C$9="Lognormal",LOGINV(F11,LN(Supuestos!$D$9)-LN(1+Supuestos!$E$9^2/Supuestos!$D$9^2)/2,SQRT(LN(1+Supuestos!$E$9^2/Supuestos!$D$9^2))),Supuestos!$D$9))))))</f>
        <v/>
      </c>
      <c r="N11" s="32">
        <f>MIN(IF(Supuestos!$H$10="",1E+99,Supuestos!$H$10),MAX(IF(Supuestos!$G$10="",-1E+99,Supuestos!$G$10),IF(Supuestos!$C$10="Normal",NORMINV(G11,Supuestos!$D$10,Supuestos!$E$10),IF(Supuestos!$C$10="Triangular",IF(G11&lt;(Supuestos!$E$10-Supuestos!$D$10)/(Supuestos!$F$10-Supuestos!$D$10),Supuestos!$D$10+SQRT(G11*(Supuestos!$F$10-Supuestos!$D$10)*(Supuestos!$E$10-Supuestos!$D$10)),Supuestos!$F$10-SQRT((1-G11)*(Supuestos!$F$10-Supuestos!$D$10)*(Supuestos!$F$10-Supuestos!$E$10))),IF(Supuestos!$C$10="Uniforme",Supuestos!$D$10+G11*(Supuestos!$E$10-Supuestos!$D$10),IF(Supuestos!$C$10="Lognormal",LOGINV(G11,LN(Supuestos!$D$10)-LN(1+Supuestos!$E$10^2/Supuestos!$D$10^2)/2,SQRT(LN(1+Supuestos!$E$10^2/Supuestos!$D$10^2))),Supuestos!$D$10))))))</f>
        <v/>
      </c>
      <c r="O11" s="31">
        <f>MIN(IF(Supuestos!$H$11="",1E+99,Supuestos!$H$11),MAX(IF(Supuestos!$G$11="",-1E+99,Supuestos!$G$11),IF(Supuestos!$C$11="Normal",NORMINV(H11,Supuestos!$D$11,Supuestos!$E$11),IF(Supuestos!$C$11="Triangular",IF(H11&lt;(Supuestos!$E$11-Supuestos!$D$11)/(Supuestos!$F$11-Supuestos!$D$11),Supuestos!$D$11+SQRT(H11*(Supuestos!$F$11-Supuestos!$D$11)*(Supuestos!$E$11-Supuestos!$D$11)),Supuestos!$F$11-SQRT((1-H11)*(Supuestos!$F$11-Supuestos!$D$11)*(Supuestos!$F$11-Supuestos!$E$11))),IF(Supuestos!$C$11="Uniforme",Supuestos!$D$11+H11*(Supuestos!$E$11-Supuestos!$D$11),IF(Supuestos!$C$11="Lognormal",LOGINV(H11,LN(Supuestos!$D$11)-LN(1+Supuestos!$E$11^2/Supuestos!$D$11^2)/2,SQRT(LN(1+Supuestos!$E$11^2/Supuestos!$D$11^2))),Supuestos!$D$11))))))</f>
        <v/>
      </c>
      <c r="P11" s="33">
        <f>-I11</f>
        <v/>
      </c>
      <c r="Q11" s="33">
        <f>$J11*(1+$K11)^(1-1)*(1-$L11)*(1-$M11)</f>
        <v/>
      </c>
      <c r="R11" s="33">
        <f>$J11*(1+$K11)^(2-1)*(1-$L11)*(1-$M11)</f>
        <v/>
      </c>
      <c r="S11" s="33">
        <f>$J11*(1+$K11)^(3-1)*(1-$L11)*(1-$M11)</f>
        <v/>
      </c>
      <c r="T11" s="33">
        <f>$J11*(1+$K11)^(4-1)*(1-$L11)*(1-$M11)</f>
        <v/>
      </c>
      <c r="U11" s="33">
        <f>$J11*(1+$K11)^(5-1)*(1-$L11)*(1-$M11)+$O11</f>
        <v/>
      </c>
      <c r="V11" s="33">
        <f>P11+NPV($N11,Q11:U11)</f>
        <v/>
      </c>
      <c r="W11" s="32">
        <f>IFERROR(IRR(P11:U11,0.1),"")</f>
        <v/>
      </c>
    </row>
    <row r="12">
      <c r="A12" s="14" t="n">
        <v>8</v>
      </c>
      <c r="B12" s="30">
        <f>RAND()*(1-2E-6)+1E-6</f>
        <v/>
      </c>
      <c r="C12" s="30">
        <f>RAND()*(1-2E-6)+1E-6</f>
        <v/>
      </c>
      <c r="D12" s="30">
        <f>RAND()*(1-2E-6)+1E-6</f>
        <v/>
      </c>
      <c r="E12" s="30">
        <f>RAND()*(1-2E-6)+1E-6</f>
        <v/>
      </c>
      <c r="F12" s="30">
        <f>RAND()*(1-2E-6)+1E-6</f>
        <v/>
      </c>
      <c r="G12" s="30">
        <f>RAND()*(1-2E-6)+1E-6</f>
        <v/>
      </c>
      <c r="H12" s="30">
        <f>RAND()*(1-2E-6)+1E-6</f>
        <v/>
      </c>
      <c r="I12" s="31">
        <f>MIN(IF(Supuestos!$H$5="",1E+99,Supuestos!$H$5),MAX(IF(Supuestos!$G$5="",-1E+99,Supuestos!$G$5),IF(Supuestos!$C$5="Normal",NORMINV(B12,Supuestos!$D$5,Supuestos!$E$5),IF(Supuestos!$C$5="Triangular",IF(B12&lt;(Supuestos!$E$5-Supuestos!$D$5)/(Supuestos!$F$5-Supuestos!$D$5),Supuestos!$D$5+SQRT(B12*(Supuestos!$F$5-Supuestos!$D$5)*(Supuestos!$E$5-Supuestos!$D$5)),Supuestos!$F$5-SQRT((1-B12)*(Supuestos!$F$5-Supuestos!$D$5)*(Supuestos!$F$5-Supuestos!$E$5))),IF(Supuestos!$C$5="Uniforme",Supuestos!$D$5+B12*(Supuestos!$E$5-Supuestos!$D$5),IF(Supuestos!$C$5="Lognormal",LOGINV(B12,LN(Supuestos!$D$5)-LN(1+Supuestos!$E$5^2/Supuestos!$D$5^2)/2,SQRT(LN(1+Supuestos!$E$5^2/Supuestos!$D$5^2))),Supuestos!$D$5))))))</f>
        <v/>
      </c>
      <c r="J12" s="31">
        <f>MIN(IF(Supuestos!$H$6="",1E+99,Supuestos!$H$6),MAX(IF(Supuestos!$G$6="",-1E+99,Supuestos!$G$6),IF(Supuestos!$C$6="Normal",NORMINV(C12,Supuestos!$D$6,Supuestos!$E$6),IF(Supuestos!$C$6="Triangular",IF(C12&lt;(Supuestos!$E$6-Supuestos!$D$6)/(Supuestos!$F$6-Supuestos!$D$6),Supuestos!$D$6+SQRT(C12*(Supuestos!$F$6-Supuestos!$D$6)*(Supuestos!$E$6-Supuestos!$D$6)),Supuestos!$F$6-SQRT((1-C12)*(Supuestos!$F$6-Supuestos!$D$6)*(Supuestos!$F$6-Supuestos!$E$6))),IF(Supuestos!$C$6="Uniforme",Supuestos!$D$6+C12*(Supuestos!$E$6-Supuestos!$D$6),IF(Supuestos!$C$6="Lognormal",LOGINV(C12,LN(Supuestos!$D$6)-LN(1+Supuestos!$E$6^2/Supuestos!$D$6^2)/2,SQRT(LN(1+Supuestos!$E$6^2/Supuestos!$D$6^2))),Supuestos!$D$6))))))</f>
        <v/>
      </c>
      <c r="K12" s="32">
        <f>MIN(IF(Supuestos!$H$7="",1E+99,Supuestos!$H$7),MAX(IF(Supuestos!$G$7="",-1E+99,Supuestos!$G$7),IF(Supuestos!$C$7="Normal",NORMINV(D12,Supuestos!$D$7,Supuestos!$E$7),IF(Supuestos!$C$7="Triangular",IF(D12&lt;(Supuestos!$E$7-Supuestos!$D$7)/(Supuestos!$F$7-Supuestos!$D$7),Supuestos!$D$7+SQRT(D12*(Supuestos!$F$7-Supuestos!$D$7)*(Supuestos!$E$7-Supuestos!$D$7)),Supuestos!$F$7-SQRT((1-D12)*(Supuestos!$F$7-Supuestos!$D$7)*(Supuestos!$F$7-Supuestos!$E$7))),IF(Supuestos!$C$7="Uniforme",Supuestos!$D$7+D12*(Supuestos!$E$7-Supuestos!$D$7),IF(Supuestos!$C$7="Lognormal",LOGINV(D12,LN(Supuestos!$D$7)-LN(1+Supuestos!$E$7^2/Supuestos!$D$7^2)/2,SQRT(LN(1+Supuestos!$E$7^2/Supuestos!$D$7^2))),Supuestos!$D$7))))))</f>
        <v/>
      </c>
      <c r="L12" s="32">
        <f>MIN(IF(Supuestos!$H$8="",1E+99,Supuestos!$H$8),MAX(IF(Supuestos!$G$8="",-1E+99,Supuestos!$G$8),IF(Supuestos!$C$8="Normal",NORMINV(E12,Supuestos!$D$8,Supuestos!$E$8),IF(Supuestos!$C$8="Triangular",IF(E12&lt;(Supuestos!$E$8-Supuestos!$D$8)/(Supuestos!$F$8-Supuestos!$D$8),Supuestos!$D$8+SQRT(E12*(Supuestos!$F$8-Supuestos!$D$8)*(Supuestos!$E$8-Supuestos!$D$8)),Supuestos!$F$8-SQRT((1-E12)*(Supuestos!$F$8-Supuestos!$D$8)*(Supuestos!$F$8-Supuestos!$E$8))),IF(Supuestos!$C$8="Uniforme",Supuestos!$D$8+E12*(Supuestos!$E$8-Supuestos!$D$8),IF(Supuestos!$C$8="Lognormal",LOGINV(E12,LN(Supuestos!$D$8)-LN(1+Supuestos!$E$8^2/Supuestos!$D$8^2)/2,SQRT(LN(1+Supuestos!$E$8^2/Supuestos!$D$8^2))),Supuestos!$D$8))))))</f>
        <v/>
      </c>
      <c r="M12" s="32">
        <f>MIN(IF(Supuestos!$H$9="",1E+99,Supuestos!$H$9),MAX(IF(Supuestos!$G$9="",-1E+99,Supuestos!$G$9),IF(Supuestos!$C$9="Normal",NORMINV(F12,Supuestos!$D$9,Supuestos!$E$9),IF(Supuestos!$C$9="Triangular",IF(F12&lt;(Supuestos!$E$9-Supuestos!$D$9)/(Supuestos!$F$9-Supuestos!$D$9),Supuestos!$D$9+SQRT(F12*(Supuestos!$F$9-Supuestos!$D$9)*(Supuestos!$E$9-Supuestos!$D$9)),Supuestos!$F$9-SQRT((1-F12)*(Supuestos!$F$9-Supuestos!$D$9)*(Supuestos!$F$9-Supuestos!$E$9))),IF(Supuestos!$C$9="Uniforme",Supuestos!$D$9+F12*(Supuestos!$E$9-Supuestos!$D$9),IF(Supuestos!$C$9="Lognormal",LOGINV(F12,LN(Supuestos!$D$9)-LN(1+Supuestos!$E$9^2/Supuestos!$D$9^2)/2,SQRT(LN(1+Supuestos!$E$9^2/Supuestos!$D$9^2))),Supuestos!$D$9))))))</f>
        <v/>
      </c>
      <c r="N12" s="32">
        <f>MIN(IF(Supuestos!$H$10="",1E+99,Supuestos!$H$10),MAX(IF(Supuestos!$G$10="",-1E+99,Supuestos!$G$10),IF(Supuestos!$C$10="Normal",NORMINV(G12,Supuestos!$D$10,Supuestos!$E$10),IF(Supuestos!$C$10="Triangular",IF(G12&lt;(Supuestos!$E$10-Supuestos!$D$10)/(Supuestos!$F$10-Supuestos!$D$10),Supuestos!$D$10+SQRT(G12*(Supuestos!$F$10-Supuestos!$D$10)*(Supuestos!$E$10-Supuestos!$D$10)),Supuestos!$F$10-SQRT((1-G12)*(Supuestos!$F$10-Supuestos!$D$10)*(Supuestos!$F$10-Supuestos!$E$10))),IF(Supuestos!$C$10="Uniforme",Supuestos!$D$10+G12*(Supuestos!$E$10-Supuestos!$D$10),IF(Supuestos!$C$10="Lognormal",LOGINV(G12,LN(Supuestos!$D$10)-LN(1+Supuestos!$E$10^2/Supuestos!$D$10^2)/2,SQRT(LN(1+Supuestos!$E$10^2/Supuestos!$D$10^2))),Supuestos!$D$10))))))</f>
        <v/>
      </c>
      <c r="O12" s="31">
        <f>MIN(IF(Supuestos!$H$11="",1E+99,Supuestos!$H$11),MAX(IF(Supuestos!$G$11="",-1E+99,Supuestos!$G$11),IF(Supuestos!$C$11="Normal",NORMINV(H12,Supuestos!$D$11,Supuestos!$E$11),IF(Supuestos!$C$11="Triangular",IF(H12&lt;(Supuestos!$E$11-Supuestos!$D$11)/(Supuestos!$F$11-Supuestos!$D$11),Supuestos!$D$11+SQRT(H12*(Supuestos!$F$11-Supuestos!$D$11)*(Supuestos!$E$11-Supuestos!$D$11)),Supuestos!$F$11-SQRT((1-H12)*(Supuestos!$F$11-Supuestos!$D$11)*(Supuestos!$F$11-Supuestos!$E$11))),IF(Supuestos!$C$11="Uniforme",Supuestos!$D$11+H12*(Supuestos!$E$11-Supuestos!$D$11),IF(Supuestos!$C$11="Lognormal",LOGINV(H12,LN(Supuestos!$D$11)-LN(1+Supuestos!$E$11^2/Supuestos!$D$11^2)/2,SQRT(LN(1+Supuestos!$E$11^2/Supuestos!$D$11^2))),Supuestos!$D$11))))))</f>
        <v/>
      </c>
      <c r="P12" s="33">
        <f>-I12</f>
        <v/>
      </c>
      <c r="Q12" s="33">
        <f>$J12*(1+$K12)^(1-1)*(1-$L12)*(1-$M12)</f>
        <v/>
      </c>
      <c r="R12" s="33">
        <f>$J12*(1+$K12)^(2-1)*(1-$L12)*(1-$M12)</f>
        <v/>
      </c>
      <c r="S12" s="33">
        <f>$J12*(1+$K12)^(3-1)*(1-$L12)*(1-$M12)</f>
        <v/>
      </c>
      <c r="T12" s="33">
        <f>$J12*(1+$K12)^(4-1)*(1-$L12)*(1-$M12)</f>
        <v/>
      </c>
      <c r="U12" s="33">
        <f>$J12*(1+$K12)^(5-1)*(1-$L12)*(1-$M12)+$O12</f>
        <v/>
      </c>
      <c r="V12" s="33">
        <f>P12+NPV($N12,Q12:U12)</f>
        <v/>
      </c>
      <c r="W12" s="32">
        <f>IFERROR(IRR(P12:U12,0.1),"")</f>
        <v/>
      </c>
    </row>
    <row r="13">
      <c r="A13" s="14" t="n">
        <v>9</v>
      </c>
      <c r="B13" s="30">
        <f>RAND()*(1-2E-6)+1E-6</f>
        <v/>
      </c>
      <c r="C13" s="30">
        <f>RAND()*(1-2E-6)+1E-6</f>
        <v/>
      </c>
      <c r="D13" s="30">
        <f>RAND()*(1-2E-6)+1E-6</f>
        <v/>
      </c>
      <c r="E13" s="30">
        <f>RAND()*(1-2E-6)+1E-6</f>
        <v/>
      </c>
      <c r="F13" s="30">
        <f>RAND()*(1-2E-6)+1E-6</f>
        <v/>
      </c>
      <c r="G13" s="30">
        <f>RAND()*(1-2E-6)+1E-6</f>
        <v/>
      </c>
      <c r="H13" s="30">
        <f>RAND()*(1-2E-6)+1E-6</f>
        <v/>
      </c>
      <c r="I13" s="31">
        <f>MIN(IF(Supuestos!$H$5="",1E+99,Supuestos!$H$5),MAX(IF(Supuestos!$G$5="",-1E+99,Supuestos!$G$5),IF(Supuestos!$C$5="Normal",NORMINV(B13,Supuestos!$D$5,Supuestos!$E$5),IF(Supuestos!$C$5="Triangular",IF(B13&lt;(Supuestos!$E$5-Supuestos!$D$5)/(Supuestos!$F$5-Supuestos!$D$5),Supuestos!$D$5+SQRT(B13*(Supuestos!$F$5-Supuestos!$D$5)*(Supuestos!$E$5-Supuestos!$D$5)),Supuestos!$F$5-SQRT((1-B13)*(Supuestos!$F$5-Supuestos!$D$5)*(Supuestos!$F$5-Supuestos!$E$5))),IF(Supuestos!$C$5="Uniforme",Supuestos!$D$5+B13*(Supuestos!$E$5-Supuestos!$D$5),IF(Supuestos!$C$5="Lognormal",LOGINV(B13,LN(Supuestos!$D$5)-LN(1+Supuestos!$E$5^2/Supuestos!$D$5^2)/2,SQRT(LN(1+Supuestos!$E$5^2/Supuestos!$D$5^2))),Supuestos!$D$5))))))</f>
        <v/>
      </c>
      <c r="J13" s="31">
        <f>MIN(IF(Supuestos!$H$6="",1E+99,Supuestos!$H$6),MAX(IF(Supuestos!$G$6="",-1E+99,Supuestos!$G$6),IF(Supuestos!$C$6="Normal",NORMINV(C13,Supuestos!$D$6,Supuestos!$E$6),IF(Supuestos!$C$6="Triangular",IF(C13&lt;(Supuestos!$E$6-Supuestos!$D$6)/(Supuestos!$F$6-Supuestos!$D$6),Supuestos!$D$6+SQRT(C13*(Supuestos!$F$6-Supuestos!$D$6)*(Supuestos!$E$6-Supuestos!$D$6)),Supuestos!$F$6-SQRT((1-C13)*(Supuestos!$F$6-Supuestos!$D$6)*(Supuestos!$F$6-Supuestos!$E$6))),IF(Supuestos!$C$6="Uniforme",Supuestos!$D$6+C13*(Supuestos!$E$6-Supuestos!$D$6),IF(Supuestos!$C$6="Lognormal",LOGINV(C13,LN(Supuestos!$D$6)-LN(1+Supuestos!$E$6^2/Supuestos!$D$6^2)/2,SQRT(LN(1+Supuestos!$E$6^2/Supuestos!$D$6^2))),Supuestos!$D$6))))))</f>
        <v/>
      </c>
      <c r="K13" s="32">
        <f>MIN(IF(Supuestos!$H$7="",1E+99,Supuestos!$H$7),MAX(IF(Supuestos!$G$7="",-1E+99,Supuestos!$G$7),IF(Supuestos!$C$7="Normal",NORMINV(D13,Supuestos!$D$7,Supuestos!$E$7),IF(Supuestos!$C$7="Triangular",IF(D13&lt;(Supuestos!$E$7-Supuestos!$D$7)/(Supuestos!$F$7-Supuestos!$D$7),Supuestos!$D$7+SQRT(D13*(Supuestos!$F$7-Supuestos!$D$7)*(Supuestos!$E$7-Supuestos!$D$7)),Supuestos!$F$7-SQRT((1-D13)*(Supuestos!$F$7-Supuestos!$D$7)*(Supuestos!$F$7-Supuestos!$E$7))),IF(Supuestos!$C$7="Uniforme",Supuestos!$D$7+D13*(Supuestos!$E$7-Supuestos!$D$7),IF(Supuestos!$C$7="Lognormal",LOGINV(D13,LN(Supuestos!$D$7)-LN(1+Supuestos!$E$7^2/Supuestos!$D$7^2)/2,SQRT(LN(1+Supuestos!$E$7^2/Supuestos!$D$7^2))),Supuestos!$D$7))))))</f>
        <v/>
      </c>
      <c r="L13" s="32">
        <f>MIN(IF(Supuestos!$H$8="",1E+99,Supuestos!$H$8),MAX(IF(Supuestos!$G$8="",-1E+99,Supuestos!$G$8),IF(Supuestos!$C$8="Normal",NORMINV(E13,Supuestos!$D$8,Supuestos!$E$8),IF(Supuestos!$C$8="Triangular",IF(E13&lt;(Supuestos!$E$8-Supuestos!$D$8)/(Supuestos!$F$8-Supuestos!$D$8),Supuestos!$D$8+SQRT(E13*(Supuestos!$F$8-Supuestos!$D$8)*(Supuestos!$E$8-Supuestos!$D$8)),Supuestos!$F$8-SQRT((1-E13)*(Supuestos!$F$8-Supuestos!$D$8)*(Supuestos!$F$8-Supuestos!$E$8))),IF(Supuestos!$C$8="Uniforme",Supuestos!$D$8+E13*(Supuestos!$E$8-Supuestos!$D$8),IF(Supuestos!$C$8="Lognormal",LOGINV(E13,LN(Supuestos!$D$8)-LN(1+Supuestos!$E$8^2/Supuestos!$D$8^2)/2,SQRT(LN(1+Supuestos!$E$8^2/Supuestos!$D$8^2))),Supuestos!$D$8))))))</f>
        <v/>
      </c>
      <c r="M13" s="32">
        <f>MIN(IF(Supuestos!$H$9="",1E+99,Supuestos!$H$9),MAX(IF(Supuestos!$G$9="",-1E+99,Supuestos!$G$9),IF(Supuestos!$C$9="Normal",NORMINV(F13,Supuestos!$D$9,Supuestos!$E$9),IF(Supuestos!$C$9="Triangular",IF(F13&lt;(Supuestos!$E$9-Supuestos!$D$9)/(Supuestos!$F$9-Supuestos!$D$9),Supuestos!$D$9+SQRT(F13*(Supuestos!$F$9-Supuestos!$D$9)*(Supuestos!$E$9-Supuestos!$D$9)),Supuestos!$F$9-SQRT((1-F13)*(Supuestos!$F$9-Supuestos!$D$9)*(Supuestos!$F$9-Supuestos!$E$9))),IF(Supuestos!$C$9="Uniforme",Supuestos!$D$9+F13*(Supuestos!$E$9-Supuestos!$D$9),IF(Supuestos!$C$9="Lognormal",LOGINV(F13,LN(Supuestos!$D$9)-LN(1+Supuestos!$E$9^2/Supuestos!$D$9^2)/2,SQRT(LN(1+Supuestos!$E$9^2/Supuestos!$D$9^2))),Supuestos!$D$9))))))</f>
        <v/>
      </c>
      <c r="N13" s="32">
        <f>MIN(IF(Supuestos!$H$10="",1E+99,Supuestos!$H$10),MAX(IF(Supuestos!$G$10="",-1E+99,Supuestos!$G$10),IF(Supuestos!$C$10="Normal",NORMINV(G13,Supuestos!$D$10,Supuestos!$E$10),IF(Supuestos!$C$10="Triangular",IF(G13&lt;(Supuestos!$E$10-Supuestos!$D$10)/(Supuestos!$F$10-Supuestos!$D$10),Supuestos!$D$10+SQRT(G13*(Supuestos!$F$10-Supuestos!$D$10)*(Supuestos!$E$10-Supuestos!$D$10)),Supuestos!$F$10-SQRT((1-G13)*(Supuestos!$F$10-Supuestos!$D$10)*(Supuestos!$F$10-Supuestos!$E$10))),IF(Supuestos!$C$10="Uniforme",Supuestos!$D$10+G13*(Supuestos!$E$10-Supuestos!$D$10),IF(Supuestos!$C$10="Lognormal",LOGINV(G13,LN(Supuestos!$D$10)-LN(1+Supuestos!$E$10^2/Supuestos!$D$10^2)/2,SQRT(LN(1+Supuestos!$E$10^2/Supuestos!$D$10^2))),Supuestos!$D$10))))))</f>
        <v/>
      </c>
      <c r="O13" s="31">
        <f>MIN(IF(Supuestos!$H$11="",1E+99,Supuestos!$H$11),MAX(IF(Supuestos!$G$11="",-1E+99,Supuestos!$G$11),IF(Supuestos!$C$11="Normal",NORMINV(H13,Supuestos!$D$11,Supuestos!$E$11),IF(Supuestos!$C$11="Triangular",IF(H13&lt;(Supuestos!$E$11-Supuestos!$D$11)/(Supuestos!$F$11-Supuestos!$D$11),Supuestos!$D$11+SQRT(H13*(Supuestos!$F$11-Supuestos!$D$11)*(Supuestos!$E$11-Supuestos!$D$11)),Supuestos!$F$11-SQRT((1-H13)*(Supuestos!$F$11-Supuestos!$D$11)*(Supuestos!$F$11-Supuestos!$E$11))),IF(Supuestos!$C$11="Uniforme",Supuestos!$D$11+H13*(Supuestos!$E$11-Supuestos!$D$11),IF(Supuestos!$C$11="Lognormal",LOGINV(H13,LN(Supuestos!$D$11)-LN(1+Supuestos!$E$11^2/Supuestos!$D$11^2)/2,SQRT(LN(1+Supuestos!$E$11^2/Supuestos!$D$11^2))),Supuestos!$D$11))))))</f>
        <v/>
      </c>
      <c r="P13" s="33">
        <f>-I13</f>
        <v/>
      </c>
      <c r="Q13" s="33">
        <f>$J13*(1+$K13)^(1-1)*(1-$L13)*(1-$M13)</f>
        <v/>
      </c>
      <c r="R13" s="33">
        <f>$J13*(1+$K13)^(2-1)*(1-$L13)*(1-$M13)</f>
        <v/>
      </c>
      <c r="S13" s="33">
        <f>$J13*(1+$K13)^(3-1)*(1-$L13)*(1-$M13)</f>
        <v/>
      </c>
      <c r="T13" s="33">
        <f>$J13*(1+$K13)^(4-1)*(1-$L13)*(1-$M13)</f>
        <v/>
      </c>
      <c r="U13" s="33">
        <f>$J13*(1+$K13)^(5-1)*(1-$L13)*(1-$M13)+$O13</f>
        <v/>
      </c>
      <c r="V13" s="33">
        <f>P13+NPV($N13,Q13:U13)</f>
        <v/>
      </c>
      <c r="W13" s="32">
        <f>IFERROR(IRR(P13:U13,0.1),"")</f>
        <v/>
      </c>
    </row>
    <row r="14">
      <c r="A14" s="14" t="n">
        <v>10</v>
      </c>
      <c r="B14" s="30">
        <f>RAND()*(1-2E-6)+1E-6</f>
        <v/>
      </c>
      <c r="C14" s="30">
        <f>RAND()*(1-2E-6)+1E-6</f>
        <v/>
      </c>
      <c r="D14" s="30">
        <f>RAND()*(1-2E-6)+1E-6</f>
        <v/>
      </c>
      <c r="E14" s="30">
        <f>RAND()*(1-2E-6)+1E-6</f>
        <v/>
      </c>
      <c r="F14" s="30">
        <f>RAND()*(1-2E-6)+1E-6</f>
        <v/>
      </c>
      <c r="G14" s="30">
        <f>RAND()*(1-2E-6)+1E-6</f>
        <v/>
      </c>
      <c r="H14" s="30">
        <f>RAND()*(1-2E-6)+1E-6</f>
        <v/>
      </c>
      <c r="I14" s="31">
        <f>MIN(IF(Supuestos!$H$5="",1E+99,Supuestos!$H$5),MAX(IF(Supuestos!$G$5="",-1E+99,Supuestos!$G$5),IF(Supuestos!$C$5="Normal",NORMINV(B14,Supuestos!$D$5,Supuestos!$E$5),IF(Supuestos!$C$5="Triangular",IF(B14&lt;(Supuestos!$E$5-Supuestos!$D$5)/(Supuestos!$F$5-Supuestos!$D$5),Supuestos!$D$5+SQRT(B14*(Supuestos!$F$5-Supuestos!$D$5)*(Supuestos!$E$5-Supuestos!$D$5)),Supuestos!$F$5-SQRT((1-B14)*(Supuestos!$F$5-Supuestos!$D$5)*(Supuestos!$F$5-Supuestos!$E$5))),IF(Supuestos!$C$5="Uniforme",Supuestos!$D$5+B14*(Supuestos!$E$5-Supuestos!$D$5),IF(Supuestos!$C$5="Lognormal",LOGINV(B14,LN(Supuestos!$D$5)-LN(1+Supuestos!$E$5^2/Supuestos!$D$5^2)/2,SQRT(LN(1+Supuestos!$E$5^2/Supuestos!$D$5^2))),Supuestos!$D$5))))))</f>
        <v/>
      </c>
      <c r="J14" s="31">
        <f>MIN(IF(Supuestos!$H$6="",1E+99,Supuestos!$H$6),MAX(IF(Supuestos!$G$6="",-1E+99,Supuestos!$G$6),IF(Supuestos!$C$6="Normal",NORMINV(C14,Supuestos!$D$6,Supuestos!$E$6),IF(Supuestos!$C$6="Triangular",IF(C14&lt;(Supuestos!$E$6-Supuestos!$D$6)/(Supuestos!$F$6-Supuestos!$D$6),Supuestos!$D$6+SQRT(C14*(Supuestos!$F$6-Supuestos!$D$6)*(Supuestos!$E$6-Supuestos!$D$6)),Supuestos!$F$6-SQRT((1-C14)*(Supuestos!$F$6-Supuestos!$D$6)*(Supuestos!$F$6-Supuestos!$E$6))),IF(Supuestos!$C$6="Uniforme",Supuestos!$D$6+C14*(Supuestos!$E$6-Supuestos!$D$6),IF(Supuestos!$C$6="Lognormal",LOGINV(C14,LN(Supuestos!$D$6)-LN(1+Supuestos!$E$6^2/Supuestos!$D$6^2)/2,SQRT(LN(1+Supuestos!$E$6^2/Supuestos!$D$6^2))),Supuestos!$D$6))))))</f>
        <v/>
      </c>
      <c r="K14" s="32">
        <f>MIN(IF(Supuestos!$H$7="",1E+99,Supuestos!$H$7),MAX(IF(Supuestos!$G$7="",-1E+99,Supuestos!$G$7),IF(Supuestos!$C$7="Normal",NORMINV(D14,Supuestos!$D$7,Supuestos!$E$7),IF(Supuestos!$C$7="Triangular",IF(D14&lt;(Supuestos!$E$7-Supuestos!$D$7)/(Supuestos!$F$7-Supuestos!$D$7),Supuestos!$D$7+SQRT(D14*(Supuestos!$F$7-Supuestos!$D$7)*(Supuestos!$E$7-Supuestos!$D$7)),Supuestos!$F$7-SQRT((1-D14)*(Supuestos!$F$7-Supuestos!$D$7)*(Supuestos!$F$7-Supuestos!$E$7))),IF(Supuestos!$C$7="Uniforme",Supuestos!$D$7+D14*(Supuestos!$E$7-Supuestos!$D$7),IF(Supuestos!$C$7="Lognormal",LOGINV(D14,LN(Supuestos!$D$7)-LN(1+Supuestos!$E$7^2/Supuestos!$D$7^2)/2,SQRT(LN(1+Supuestos!$E$7^2/Supuestos!$D$7^2))),Supuestos!$D$7))))))</f>
        <v/>
      </c>
      <c r="L14" s="32">
        <f>MIN(IF(Supuestos!$H$8="",1E+99,Supuestos!$H$8),MAX(IF(Supuestos!$G$8="",-1E+99,Supuestos!$G$8),IF(Supuestos!$C$8="Normal",NORMINV(E14,Supuestos!$D$8,Supuestos!$E$8),IF(Supuestos!$C$8="Triangular",IF(E14&lt;(Supuestos!$E$8-Supuestos!$D$8)/(Supuestos!$F$8-Supuestos!$D$8),Supuestos!$D$8+SQRT(E14*(Supuestos!$F$8-Supuestos!$D$8)*(Supuestos!$E$8-Supuestos!$D$8)),Supuestos!$F$8-SQRT((1-E14)*(Supuestos!$F$8-Supuestos!$D$8)*(Supuestos!$F$8-Supuestos!$E$8))),IF(Supuestos!$C$8="Uniforme",Supuestos!$D$8+E14*(Supuestos!$E$8-Supuestos!$D$8),IF(Supuestos!$C$8="Lognormal",LOGINV(E14,LN(Supuestos!$D$8)-LN(1+Supuestos!$E$8^2/Supuestos!$D$8^2)/2,SQRT(LN(1+Supuestos!$E$8^2/Supuestos!$D$8^2))),Supuestos!$D$8))))))</f>
        <v/>
      </c>
      <c r="M14" s="32">
        <f>MIN(IF(Supuestos!$H$9="",1E+99,Supuestos!$H$9),MAX(IF(Supuestos!$G$9="",-1E+99,Supuestos!$G$9),IF(Supuestos!$C$9="Normal",NORMINV(F14,Supuestos!$D$9,Supuestos!$E$9),IF(Supuestos!$C$9="Triangular",IF(F14&lt;(Supuestos!$E$9-Supuestos!$D$9)/(Supuestos!$F$9-Supuestos!$D$9),Supuestos!$D$9+SQRT(F14*(Supuestos!$F$9-Supuestos!$D$9)*(Supuestos!$E$9-Supuestos!$D$9)),Supuestos!$F$9-SQRT((1-F14)*(Supuestos!$F$9-Supuestos!$D$9)*(Supuestos!$F$9-Supuestos!$E$9))),IF(Supuestos!$C$9="Uniforme",Supuestos!$D$9+F14*(Supuestos!$E$9-Supuestos!$D$9),IF(Supuestos!$C$9="Lognormal",LOGINV(F14,LN(Supuestos!$D$9)-LN(1+Supuestos!$E$9^2/Supuestos!$D$9^2)/2,SQRT(LN(1+Supuestos!$E$9^2/Supuestos!$D$9^2))),Supuestos!$D$9))))))</f>
        <v/>
      </c>
      <c r="N14" s="32">
        <f>MIN(IF(Supuestos!$H$10="",1E+99,Supuestos!$H$10),MAX(IF(Supuestos!$G$10="",-1E+99,Supuestos!$G$10),IF(Supuestos!$C$10="Normal",NORMINV(G14,Supuestos!$D$10,Supuestos!$E$10),IF(Supuestos!$C$10="Triangular",IF(G14&lt;(Supuestos!$E$10-Supuestos!$D$10)/(Supuestos!$F$10-Supuestos!$D$10),Supuestos!$D$10+SQRT(G14*(Supuestos!$F$10-Supuestos!$D$10)*(Supuestos!$E$10-Supuestos!$D$10)),Supuestos!$F$10-SQRT((1-G14)*(Supuestos!$F$10-Supuestos!$D$10)*(Supuestos!$F$10-Supuestos!$E$10))),IF(Supuestos!$C$10="Uniforme",Supuestos!$D$10+G14*(Supuestos!$E$10-Supuestos!$D$10),IF(Supuestos!$C$10="Lognormal",LOGINV(G14,LN(Supuestos!$D$10)-LN(1+Supuestos!$E$10^2/Supuestos!$D$10^2)/2,SQRT(LN(1+Supuestos!$E$10^2/Supuestos!$D$10^2))),Supuestos!$D$10))))))</f>
        <v/>
      </c>
      <c r="O14" s="31">
        <f>MIN(IF(Supuestos!$H$11="",1E+99,Supuestos!$H$11),MAX(IF(Supuestos!$G$11="",-1E+99,Supuestos!$G$11),IF(Supuestos!$C$11="Normal",NORMINV(H14,Supuestos!$D$11,Supuestos!$E$11),IF(Supuestos!$C$11="Triangular",IF(H14&lt;(Supuestos!$E$11-Supuestos!$D$11)/(Supuestos!$F$11-Supuestos!$D$11),Supuestos!$D$11+SQRT(H14*(Supuestos!$F$11-Supuestos!$D$11)*(Supuestos!$E$11-Supuestos!$D$11)),Supuestos!$F$11-SQRT((1-H14)*(Supuestos!$F$11-Supuestos!$D$11)*(Supuestos!$F$11-Supuestos!$E$11))),IF(Supuestos!$C$11="Uniforme",Supuestos!$D$11+H14*(Supuestos!$E$11-Supuestos!$D$11),IF(Supuestos!$C$11="Lognormal",LOGINV(H14,LN(Supuestos!$D$11)-LN(1+Supuestos!$E$11^2/Supuestos!$D$11^2)/2,SQRT(LN(1+Supuestos!$E$11^2/Supuestos!$D$11^2))),Supuestos!$D$11))))))</f>
        <v/>
      </c>
      <c r="P14" s="33">
        <f>-I14</f>
        <v/>
      </c>
      <c r="Q14" s="33">
        <f>$J14*(1+$K14)^(1-1)*(1-$L14)*(1-$M14)</f>
        <v/>
      </c>
      <c r="R14" s="33">
        <f>$J14*(1+$K14)^(2-1)*(1-$L14)*(1-$M14)</f>
        <v/>
      </c>
      <c r="S14" s="33">
        <f>$J14*(1+$K14)^(3-1)*(1-$L14)*(1-$M14)</f>
        <v/>
      </c>
      <c r="T14" s="33">
        <f>$J14*(1+$K14)^(4-1)*(1-$L14)*(1-$M14)</f>
        <v/>
      </c>
      <c r="U14" s="33">
        <f>$J14*(1+$K14)^(5-1)*(1-$L14)*(1-$M14)+$O14</f>
        <v/>
      </c>
      <c r="V14" s="33">
        <f>P14+NPV($N14,Q14:U14)</f>
        <v/>
      </c>
      <c r="W14" s="32">
        <f>IFERROR(IRR(P14:U14,0.1),"")</f>
        <v/>
      </c>
    </row>
    <row r="15">
      <c r="A15" s="14" t="n">
        <v>11</v>
      </c>
      <c r="B15" s="30">
        <f>RAND()*(1-2E-6)+1E-6</f>
        <v/>
      </c>
      <c r="C15" s="30">
        <f>RAND()*(1-2E-6)+1E-6</f>
        <v/>
      </c>
      <c r="D15" s="30">
        <f>RAND()*(1-2E-6)+1E-6</f>
        <v/>
      </c>
      <c r="E15" s="30">
        <f>RAND()*(1-2E-6)+1E-6</f>
        <v/>
      </c>
      <c r="F15" s="30">
        <f>RAND()*(1-2E-6)+1E-6</f>
        <v/>
      </c>
      <c r="G15" s="30">
        <f>RAND()*(1-2E-6)+1E-6</f>
        <v/>
      </c>
      <c r="H15" s="30">
        <f>RAND()*(1-2E-6)+1E-6</f>
        <v/>
      </c>
      <c r="I15" s="31">
        <f>MIN(IF(Supuestos!$H$5="",1E+99,Supuestos!$H$5),MAX(IF(Supuestos!$G$5="",-1E+99,Supuestos!$G$5),IF(Supuestos!$C$5="Normal",NORMINV(B15,Supuestos!$D$5,Supuestos!$E$5),IF(Supuestos!$C$5="Triangular",IF(B15&lt;(Supuestos!$E$5-Supuestos!$D$5)/(Supuestos!$F$5-Supuestos!$D$5),Supuestos!$D$5+SQRT(B15*(Supuestos!$F$5-Supuestos!$D$5)*(Supuestos!$E$5-Supuestos!$D$5)),Supuestos!$F$5-SQRT((1-B15)*(Supuestos!$F$5-Supuestos!$D$5)*(Supuestos!$F$5-Supuestos!$E$5))),IF(Supuestos!$C$5="Uniforme",Supuestos!$D$5+B15*(Supuestos!$E$5-Supuestos!$D$5),IF(Supuestos!$C$5="Lognormal",LOGINV(B15,LN(Supuestos!$D$5)-LN(1+Supuestos!$E$5^2/Supuestos!$D$5^2)/2,SQRT(LN(1+Supuestos!$E$5^2/Supuestos!$D$5^2))),Supuestos!$D$5))))))</f>
        <v/>
      </c>
      <c r="J15" s="31">
        <f>MIN(IF(Supuestos!$H$6="",1E+99,Supuestos!$H$6),MAX(IF(Supuestos!$G$6="",-1E+99,Supuestos!$G$6),IF(Supuestos!$C$6="Normal",NORMINV(C15,Supuestos!$D$6,Supuestos!$E$6),IF(Supuestos!$C$6="Triangular",IF(C15&lt;(Supuestos!$E$6-Supuestos!$D$6)/(Supuestos!$F$6-Supuestos!$D$6),Supuestos!$D$6+SQRT(C15*(Supuestos!$F$6-Supuestos!$D$6)*(Supuestos!$E$6-Supuestos!$D$6)),Supuestos!$F$6-SQRT((1-C15)*(Supuestos!$F$6-Supuestos!$D$6)*(Supuestos!$F$6-Supuestos!$E$6))),IF(Supuestos!$C$6="Uniforme",Supuestos!$D$6+C15*(Supuestos!$E$6-Supuestos!$D$6),IF(Supuestos!$C$6="Lognormal",LOGINV(C15,LN(Supuestos!$D$6)-LN(1+Supuestos!$E$6^2/Supuestos!$D$6^2)/2,SQRT(LN(1+Supuestos!$E$6^2/Supuestos!$D$6^2))),Supuestos!$D$6))))))</f>
        <v/>
      </c>
      <c r="K15" s="32">
        <f>MIN(IF(Supuestos!$H$7="",1E+99,Supuestos!$H$7),MAX(IF(Supuestos!$G$7="",-1E+99,Supuestos!$G$7),IF(Supuestos!$C$7="Normal",NORMINV(D15,Supuestos!$D$7,Supuestos!$E$7),IF(Supuestos!$C$7="Triangular",IF(D15&lt;(Supuestos!$E$7-Supuestos!$D$7)/(Supuestos!$F$7-Supuestos!$D$7),Supuestos!$D$7+SQRT(D15*(Supuestos!$F$7-Supuestos!$D$7)*(Supuestos!$E$7-Supuestos!$D$7)),Supuestos!$F$7-SQRT((1-D15)*(Supuestos!$F$7-Supuestos!$D$7)*(Supuestos!$F$7-Supuestos!$E$7))),IF(Supuestos!$C$7="Uniforme",Supuestos!$D$7+D15*(Supuestos!$E$7-Supuestos!$D$7),IF(Supuestos!$C$7="Lognormal",LOGINV(D15,LN(Supuestos!$D$7)-LN(1+Supuestos!$E$7^2/Supuestos!$D$7^2)/2,SQRT(LN(1+Supuestos!$E$7^2/Supuestos!$D$7^2))),Supuestos!$D$7))))))</f>
        <v/>
      </c>
      <c r="L15" s="32">
        <f>MIN(IF(Supuestos!$H$8="",1E+99,Supuestos!$H$8),MAX(IF(Supuestos!$G$8="",-1E+99,Supuestos!$G$8),IF(Supuestos!$C$8="Normal",NORMINV(E15,Supuestos!$D$8,Supuestos!$E$8),IF(Supuestos!$C$8="Triangular",IF(E15&lt;(Supuestos!$E$8-Supuestos!$D$8)/(Supuestos!$F$8-Supuestos!$D$8),Supuestos!$D$8+SQRT(E15*(Supuestos!$F$8-Supuestos!$D$8)*(Supuestos!$E$8-Supuestos!$D$8)),Supuestos!$F$8-SQRT((1-E15)*(Supuestos!$F$8-Supuestos!$D$8)*(Supuestos!$F$8-Supuestos!$E$8))),IF(Supuestos!$C$8="Uniforme",Supuestos!$D$8+E15*(Supuestos!$E$8-Supuestos!$D$8),IF(Supuestos!$C$8="Lognormal",LOGINV(E15,LN(Supuestos!$D$8)-LN(1+Supuestos!$E$8^2/Supuestos!$D$8^2)/2,SQRT(LN(1+Supuestos!$E$8^2/Supuestos!$D$8^2))),Supuestos!$D$8))))))</f>
        <v/>
      </c>
      <c r="M15" s="32">
        <f>MIN(IF(Supuestos!$H$9="",1E+99,Supuestos!$H$9),MAX(IF(Supuestos!$G$9="",-1E+99,Supuestos!$G$9),IF(Supuestos!$C$9="Normal",NORMINV(F15,Supuestos!$D$9,Supuestos!$E$9),IF(Supuestos!$C$9="Triangular",IF(F15&lt;(Supuestos!$E$9-Supuestos!$D$9)/(Supuestos!$F$9-Supuestos!$D$9),Supuestos!$D$9+SQRT(F15*(Supuestos!$F$9-Supuestos!$D$9)*(Supuestos!$E$9-Supuestos!$D$9)),Supuestos!$F$9-SQRT((1-F15)*(Supuestos!$F$9-Supuestos!$D$9)*(Supuestos!$F$9-Supuestos!$E$9))),IF(Supuestos!$C$9="Uniforme",Supuestos!$D$9+F15*(Supuestos!$E$9-Supuestos!$D$9),IF(Supuestos!$C$9="Lognormal",LOGINV(F15,LN(Supuestos!$D$9)-LN(1+Supuestos!$E$9^2/Supuestos!$D$9^2)/2,SQRT(LN(1+Supuestos!$E$9^2/Supuestos!$D$9^2))),Supuestos!$D$9))))))</f>
        <v/>
      </c>
      <c r="N15" s="32">
        <f>MIN(IF(Supuestos!$H$10="",1E+99,Supuestos!$H$10),MAX(IF(Supuestos!$G$10="",-1E+99,Supuestos!$G$10),IF(Supuestos!$C$10="Normal",NORMINV(G15,Supuestos!$D$10,Supuestos!$E$10),IF(Supuestos!$C$10="Triangular",IF(G15&lt;(Supuestos!$E$10-Supuestos!$D$10)/(Supuestos!$F$10-Supuestos!$D$10),Supuestos!$D$10+SQRT(G15*(Supuestos!$F$10-Supuestos!$D$10)*(Supuestos!$E$10-Supuestos!$D$10)),Supuestos!$F$10-SQRT((1-G15)*(Supuestos!$F$10-Supuestos!$D$10)*(Supuestos!$F$10-Supuestos!$E$10))),IF(Supuestos!$C$10="Uniforme",Supuestos!$D$10+G15*(Supuestos!$E$10-Supuestos!$D$10),IF(Supuestos!$C$10="Lognormal",LOGINV(G15,LN(Supuestos!$D$10)-LN(1+Supuestos!$E$10^2/Supuestos!$D$10^2)/2,SQRT(LN(1+Supuestos!$E$10^2/Supuestos!$D$10^2))),Supuestos!$D$10))))))</f>
        <v/>
      </c>
      <c r="O15" s="31">
        <f>MIN(IF(Supuestos!$H$11="",1E+99,Supuestos!$H$11),MAX(IF(Supuestos!$G$11="",-1E+99,Supuestos!$G$11),IF(Supuestos!$C$11="Normal",NORMINV(H15,Supuestos!$D$11,Supuestos!$E$11),IF(Supuestos!$C$11="Triangular",IF(H15&lt;(Supuestos!$E$11-Supuestos!$D$11)/(Supuestos!$F$11-Supuestos!$D$11),Supuestos!$D$11+SQRT(H15*(Supuestos!$F$11-Supuestos!$D$11)*(Supuestos!$E$11-Supuestos!$D$11)),Supuestos!$F$11-SQRT((1-H15)*(Supuestos!$F$11-Supuestos!$D$11)*(Supuestos!$F$11-Supuestos!$E$11))),IF(Supuestos!$C$11="Uniforme",Supuestos!$D$11+H15*(Supuestos!$E$11-Supuestos!$D$11),IF(Supuestos!$C$11="Lognormal",LOGINV(H15,LN(Supuestos!$D$11)-LN(1+Supuestos!$E$11^2/Supuestos!$D$11^2)/2,SQRT(LN(1+Supuestos!$E$11^2/Supuestos!$D$11^2))),Supuestos!$D$11))))))</f>
        <v/>
      </c>
      <c r="P15" s="33">
        <f>-I15</f>
        <v/>
      </c>
      <c r="Q15" s="33">
        <f>$J15*(1+$K15)^(1-1)*(1-$L15)*(1-$M15)</f>
        <v/>
      </c>
      <c r="R15" s="33">
        <f>$J15*(1+$K15)^(2-1)*(1-$L15)*(1-$M15)</f>
        <v/>
      </c>
      <c r="S15" s="33">
        <f>$J15*(1+$K15)^(3-1)*(1-$L15)*(1-$M15)</f>
        <v/>
      </c>
      <c r="T15" s="33">
        <f>$J15*(1+$K15)^(4-1)*(1-$L15)*(1-$M15)</f>
        <v/>
      </c>
      <c r="U15" s="33">
        <f>$J15*(1+$K15)^(5-1)*(1-$L15)*(1-$M15)+$O15</f>
        <v/>
      </c>
      <c r="V15" s="33">
        <f>P15+NPV($N15,Q15:U15)</f>
        <v/>
      </c>
      <c r="W15" s="32">
        <f>IFERROR(IRR(P15:U15,0.1),"")</f>
        <v/>
      </c>
    </row>
    <row r="16">
      <c r="A16" s="14" t="n">
        <v>12</v>
      </c>
      <c r="B16" s="30">
        <f>RAND()*(1-2E-6)+1E-6</f>
        <v/>
      </c>
      <c r="C16" s="30">
        <f>RAND()*(1-2E-6)+1E-6</f>
        <v/>
      </c>
      <c r="D16" s="30">
        <f>RAND()*(1-2E-6)+1E-6</f>
        <v/>
      </c>
      <c r="E16" s="30">
        <f>RAND()*(1-2E-6)+1E-6</f>
        <v/>
      </c>
      <c r="F16" s="30">
        <f>RAND()*(1-2E-6)+1E-6</f>
        <v/>
      </c>
      <c r="G16" s="30">
        <f>RAND()*(1-2E-6)+1E-6</f>
        <v/>
      </c>
      <c r="H16" s="30">
        <f>RAND()*(1-2E-6)+1E-6</f>
        <v/>
      </c>
      <c r="I16" s="31">
        <f>MIN(IF(Supuestos!$H$5="",1E+99,Supuestos!$H$5),MAX(IF(Supuestos!$G$5="",-1E+99,Supuestos!$G$5),IF(Supuestos!$C$5="Normal",NORMINV(B16,Supuestos!$D$5,Supuestos!$E$5),IF(Supuestos!$C$5="Triangular",IF(B16&lt;(Supuestos!$E$5-Supuestos!$D$5)/(Supuestos!$F$5-Supuestos!$D$5),Supuestos!$D$5+SQRT(B16*(Supuestos!$F$5-Supuestos!$D$5)*(Supuestos!$E$5-Supuestos!$D$5)),Supuestos!$F$5-SQRT((1-B16)*(Supuestos!$F$5-Supuestos!$D$5)*(Supuestos!$F$5-Supuestos!$E$5))),IF(Supuestos!$C$5="Uniforme",Supuestos!$D$5+B16*(Supuestos!$E$5-Supuestos!$D$5),IF(Supuestos!$C$5="Lognormal",LOGINV(B16,LN(Supuestos!$D$5)-LN(1+Supuestos!$E$5^2/Supuestos!$D$5^2)/2,SQRT(LN(1+Supuestos!$E$5^2/Supuestos!$D$5^2))),Supuestos!$D$5))))))</f>
        <v/>
      </c>
      <c r="J16" s="31">
        <f>MIN(IF(Supuestos!$H$6="",1E+99,Supuestos!$H$6),MAX(IF(Supuestos!$G$6="",-1E+99,Supuestos!$G$6),IF(Supuestos!$C$6="Normal",NORMINV(C16,Supuestos!$D$6,Supuestos!$E$6),IF(Supuestos!$C$6="Triangular",IF(C16&lt;(Supuestos!$E$6-Supuestos!$D$6)/(Supuestos!$F$6-Supuestos!$D$6),Supuestos!$D$6+SQRT(C16*(Supuestos!$F$6-Supuestos!$D$6)*(Supuestos!$E$6-Supuestos!$D$6)),Supuestos!$F$6-SQRT((1-C16)*(Supuestos!$F$6-Supuestos!$D$6)*(Supuestos!$F$6-Supuestos!$E$6))),IF(Supuestos!$C$6="Uniforme",Supuestos!$D$6+C16*(Supuestos!$E$6-Supuestos!$D$6),IF(Supuestos!$C$6="Lognormal",LOGINV(C16,LN(Supuestos!$D$6)-LN(1+Supuestos!$E$6^2/Supuestos!$D$6^2)/2,SQRT(LN(1+Supuestos!$E$6^2/Supuestos!$D$6^2))),Supuestos!$D$6))))))</f>
        <v/>
      </c>
      <c r="K16" s="32">
        <f>MIN(IF(Supuestos!$H$7="",1E+99,Supuestos!$H$7),MAX(IF(Supuestos!$G$7="",-1E+99,Supuestos!$G$7),IF(Supuestos!$C$7="Normal",NORMINV(D16,Supuestos!$D$7,Supuestos!$E$7),IF(Supuestos!$C$7="Triangular",IF(D16&lt;(Supuestos!$E$7-Supuestos!$D$7)/(Supuestos!$F$7-Supuestos!$D$7),Supuestos!$D$7+SQRT(D16*(Supuestos!$F$7-Supuestos!$D$7)*(Supuestos!$E$7-Supuestos!$D$7)),Supuestos!$F$7-SQRT((1-D16)*(Supuestos!$F$7-Supuestos!$D$7)*(Supuestos!$F$7-Supuestos!$E$7))),IF(Supuestos!$C$7="Uniforme",Supuestos!$D$7+D16*(Supuestos!$E$7-Supuestos!$D$7),IF(Supuestos!$C$7="Lognormal",LOGINV(D16,LN(Supuestos!$D$7)-LN(1+Supuestos!$E$7^2/Supuestos!$D$7^2)/2,SQRT(LN(1+Supuestos!$E$7^2/Supuestos!$D$7^2))),Supuestos!$D$7))))))</f>
        <v/>
      </c>
      <c r="L16" s="32">
        <f>MIN(IF(Supuestos!$H$8="",1E+99,Supuestos!$H$8),MAX(IF(Supuestos!$G$8="",-1E+99,Supuestos!$G$8),IF(Supuestos!$C$8="Normal",NORMINV(E16,Supuestos!$D$8,Supuestos!$E$8),IF(Supuestos!$C$8="Triangular",IF(E16&lt;(Supuestos!$E$8-Supuestos!$D$8)/(Supuestos!$F$8-Supuestos!$D$8),Supuestos!$D$8+SQRT(E16*(Supuestos!$F$8-Supuestos!$D$8)*(Supuestos!$E$8-Supuestos!$D$8)),Supuestos!$F$8-SQRT((1-E16)*(Supuestos!$F$8-Supuestos!$D$8)*(Supuestos!$F$8-Supuestos!$E$8))),IF(Supuestos!$C$8="Uniforme",Supuestos!$D$8+E16*(Supuestos!$E$8-Supuestos!$D$8),IF(Supuestos!$C$8="Lognormal",LOGINV(E16,LN(Supuestos!$D$8)-LN(1+Supuestos!$E$8^2/Supuestos!$D$8^2)/2,SQRT(LN(1+Supuestos!$E$8^2/Supuestos!$D$8^2))),Supuestos!$D$8))))))</f>
        <v/>
      </c>
      <c r="M16" s="32">
        <f>MIN(IF(Supuestos!$H$9="",1E+99,Supuestos!$H$9),MAX(IF(Supuestos!$G$9="",-1E+99,Supuestos!$G$9),IF(Supuestos!$C$9="Normal",NORMINV(F16,Supuestos!$D$9,Supuestos!$E$9),IF(Supuestos!$C$9="Triangular",IF(F16&lt;(Supuestos!$E$9-Supuestos!$D$9)/(Supuestos!$F$9-Supuestos!$D$9),Supuestos!$D$9+SQRT(F16*(Supuestos!$F$9-Supuestos!$D$9)*(Supuestos!$E$9-Supuestos!$D$9)),Supuestos!$F$9-SQRT((1-F16)*(Supuestos!$F$9-Supuestos!$D$9)*(Supuestos!$F$9-Supuestos!$E$9))),IF(Supuestos!$C$9="Uniforme",Supuestos!$D$9+F16*(Supuestos!$E$9-Supuestos!$D$9),IF(Supuestos!$C$9="Lognormal",LOGINV(F16,LN(Supuestos!$D$9)-LN(1+Supuestos!$E$9^2/Supuestos!$D$9^2)/2,SQRT(LN(1+Supuestos!$E$9^2/Supuestos!$D$9^2))),Supuestos!$D$9))))))</f>
        <v/>
      </c>
      <c r="N16" s="32">
        <f>MIN(IF(Supuestos!$H$10="",1E+99,Supuestos!$H$10),MAX(IF(Supuestos!$G$10="",-1E+99,Supuestos!$G$10),IF(Supuestos!$C$10="Normal",NORMINV(G16,Supuestos!$D$10,Supuestos!$E$10),IF(Supuestos!$C$10="Triangular",IF(G16&lt;(Supuestos!$E$10-Supuestos!$D$10)/(Supuestos!$F$10-Supuestos!$D$10),Supuestos!$D$10+SQRT(G16*(Supuestos!$F$10-Supuestos!$D$10)*(Supuestos!$E$10-Supuestos!$D$10)),Supuestos!$F$10-SQRT((1-G16)*(Supuestos!$F$10-Supuestos!$D$10)*(Supuestos!$F$10-Supuestos!$E$10))),IF(Supuestos!$C$10="Uniforme",Supuestos!$D$10+G16*(Supuestos!$E$10-Supuestos!$D$10),IF(Supuestos!$C$10="Lognormal",LOGINV(G16,LN(Supuestos!$D$10)-LN(1+Supuestos!$E$10^2/Supuestos!$D$10^2)/2,SQRT(LN(1+Supuestos!$E$10^2/Supuestos!$D$10^2))),Supuestos!$D$10))))))</f>
        <v/>
      </c>
      <c r="O16" s="31">
        <f>MIN(IF(Supuestos!$H$11="",1E+99,Supuestos!$H$11),MAX(IF(Supuestos!$G$11="",-1E+99,Supuestos!$G$11),IF(Supuestos!$C$11="Normal",NORMINV(H16,Supuestos!$D$11,Supuestos!$E$11),IF(Supuestos!$C$11="Triangular",IF(H16&lt;(Supuestos!$E$11-Supuestos!$D$11)/(Supuestos!$F$11-Supuestos!$D$11),Supuestos!$D$11+SQRT(H16*(Supuestos!$F$11-Supuestos!$D$11)*(Supuestos!$E$11-Supuestos!$D$11)),Supuestos!$F$11-SQRT((1-H16)*(Supuestos!$F$11-Supuestos!$D$11)*(Supuestos!$F$11-Supuestos!$E$11))),IF(Supuestos!$C$11="Uniforme",Supuestos!$D$11+H16*(Supuestos!$E$11-Supuestos!$D$11),IF(Supuestos!$C$11="Lognormal",LOGINV(H16,LN(Supuestos!$D$11)-LN(1+Supuestos!$E$11^2/Supuestos!$D$11^2)/2,SQRT(LN(1+Supuestos!$E$11^2/Supuestos!$D$11^2))),Supuestos!$D$11))))))</f>
        <v/>
      </c>
      <c r="P16" s="33">
        <f>-I16</f>
        <v/>
      </c>
      <c r="Q16" s="33">
        <f>$J16*(1+$K16)^(1-1)*(1-$L16)*(1-$M16)</f>
        <v/>
      </c>
      <c r="R16" s="33">
        <f>$J16*(1+$K16)^(2-1)*(1-$L16)*(1-$M16)</f>
        <v/>
      </c>
      <c r="S16" s="33">
        <f>$J16*(1+$K16)^(3-1)*(1-$L16)*(1-$M16)</f>
        <v/>
      </c>
      <c r="T16" s="33">
        <f>$J16*(1+$K16)^(4-1)*(1-$L16)*(1-$M16)</f>
        <v/>
      </c>
      <c r="U16" s="33">
        <f>$J16*(1+$K16)^(5-1)*(1-$L16)*(1-$M16)+$O16</f>
        <v/>
      </c>
      <c r="V16" s="33">
        <f>P16+NPV($N16,Q16:U16)</f>
        <v/>
      </c>
      <c r="W16" s="32">
        <f>IFERROR(IRR(P16:U16,0.1),"")</f>
        <v/>
      </c>
    </row>
    <row r="17">
      <c r="A17" s="14" t="n">
        <v>13</v>
      </c>
      <c r="B17" s="30">
        <f>RAND()*(1-2E-6)+1E-6</f>
        <v/>
      </c>
      <c r="C17" s="30">
        <f>RAND()*(1-2E-6)+1E-6</f>
        <v/>
      </c>
      <c r="D17" s="30">
        <f>RAND()*(1-2E-6)+1E-6</f>
        <v/>
      </c>
      <c r="E17" s="30">
        <f>RAND()*(1-2E-6)+1E-6</f>
        <v/>
      </c>
      <c r="F17" s="30">
        <f>RAND()*(1-2E-6)+1E-6</f>
        <v/>
      </c>
      <c r="G17" s="30">
        <f>RAND()*(1-2E-6)+1E-6</f>
        <v/>
      </c>
      <c r="H17" s="30">
        <f>RAND()*(1-2E-6)+1E-6</f>
        <v/>
      </c>
      <c r="I17" s="31">
        <f>MIN(IF(Supuestos!$H$5="",1E+99,Supuestos!$H$5),MAX(IF(Supuestos!$G$5="",-1E+99,Supuestos!$G$5),IF(Supuestos!$C$5="Normal",NORMINV(B17,Supuestos!$D$5,Supuestos!$E$5),IF(Supuestos!$C$5="Triangular",IF(B17&lt;(Supuestos!$E$5-Supuestos!$D$5)/(Supuestos!$F$5-Supuestos!$D$5),Supuestos!$D$5+SQRT(B17*(Supuestos!$F$5-Supuestos!$D$5)*(Supuestos!$E$5-Supuestos!$D$5)),Supuestos!$F$5-SQRT((1-B17)*(Supuestos!$F$5-Supuestos!$D$5)*(Supuestos!$F$5-Supuestos!$E$5))),IF(Supuestos!$C$5="Uniforme",Supuestos!$D$5+B17*(Supuestos!$E$5-Supuestos!$D$5),IF(Supuestos!$C$5="Lognormal",LOGINV(B17,LN(Supuestos!$D$5)-LN(1+Supuestos!$E$5^2/Supuestos!$D$5^2)/2,SQRT(LN(1+Supuestos!$E$5^2/Supuestos!$D$5^2))),Supuestos!$D$5))))))</f>
        <v/>
      </c>
      <c r="J17" s="31">
        <f>MIN(IF(Supuestos!$H$6="",1E+99,Supuestos!$H$6),MAX(IF(Supuestos!$G$6="",-1E+99,Supuestos!$G$6),IF(Supuestos!$C$6="Normal",NORMINV(C17,Supuestos!$D$6,Supuestos!$E$6),IF(Supuestos!$C$6="Triangular",IF(C17&lt;(Supuestos!$E$6-Supuestos!$D$6)/(Supuestos!$F$6-Supuestos!$D$6),Supuestos!$D$6+SQRT(C17*(Supuestos!$F$6-Supuestos!$D$6)*(Supuestos!$E$6-Supuestos!$D$6)),Supuestos!$F$6-SQRT((1-C17)*(Supuestos!$F$6-Supuestos!$D$6)*(Supuestos!$F$6-Supuestos!$E$6))),IF(Supuestos!$C$6="Uniforme",Supuestos!$D$6+C17*(Supuestos!$E$6-Supuestos!$D$6),IF(Supuestos!$C$6="Lognormal",LOGINV(C17,LN(Supuestos!$D$6)-LN(1+Supuestos!$E$6^2/Supuestos!$D$6^2)/2,SQRT(LN(1+Supuestos!$E$6^2/Supuestos!$D$6^2))),Supuestos!$D$6))))))</f>
        <v/>
      </c>
      <c r="K17" s="32">
        <f>MIN(IF(Supuestos!$H$7="",1E+99,Supuestos!$H$7),MAX(IF(Supuestos!$G$7="",-1E+99,Supuestos!$G$7),IF(Supuestos!$C$7="Normal",NORMINV(D17,Supuestos!$D$7,Supuestos!$E$7),IF(Supuestos!$C$7="Triangular",IF(D17&lt;(Supuestos!$E$7-Supuestos!$D$7)/(Supuestos!$F$7-Supuestos!$D$7),Supuestos!$D$7+SQRT(D17*(Supuestos!$F$7-Supuestos!$D$7)*(Supuestos!$E$7-Supuestos!$D$7)),Supuestos!$F$7-SQRT((1-D17)*(Supuestos!$F$7-Supuestos!$D$7)*(Supuestos!$F$7-Supuestos!$E$7))),IF(Supuestos!$C$7="Uniforme",Supuestos!$D$7+D17*(Supuestos!$E$7-Supuestos!$D$7),IF(Supuestos!$C$7="Lognormal",LOGINV(D17,LN(Supuestos!$D$7)-LN(1+Supuestos!$E$7^2/Supuestos!$D$7^2)/2,SQRT(LN(1+Supuestos!$E$7^2/Supuestos!$D$7^2))),Supuestos!$D$7))))))</f>
        <v/>
      </c>
      <c r="L17" s="32">
        <f>MIN(IF(Supuestos!$H$8="",1E+99,Supuestos!$H$8),MAX(IF(Supuestos!$G$8="",-1E+99,Supuestos!$G$8),IF(Supuestos!$C$8="Normal",NORMINV(E17,Supuestos!$D$8,Supuestos!$E$8),IF(Supuestos!$C$8="Triangular",IF(E17&lt;(Supuestos!$E$8-Supuestos!$D$8)/(Supuestos!$F$8-Supuestos!$D$8),Supuestos!$D$8+SQRT(E17*(Supuestos!$F$8-Supuestos!$D$8)*(Supuestos!$E$8-Supuestos!$D$8)),Supuestos!$F$8-SQRT((1-E17)*(Supuestos!$F$8-Supuestos!$D$8)*(Supuestos!$F$8-Supuestos!$E$8))),IF(Supuestos!$C$8="Uniforme",Supuestos!$D$8+E17*(Supuestos!$E$8-Supuestos!$D$8),IF(Supuestos!$C$8="Lognormal",LOGINV(E17,LN(Supuestos!$D$8)-LN(1+Supuestos!$E$8^2/Supuestos!$D$8^2)/2,SQRT(LN(1+Supuestos!$E$8^2/Supuestos!$D$8^2))),Supuestos!$D$8))))))</f>
        <v/>
      </c>
      <c r="M17" s="32">
        <f>MIN(IF(Supuestos!$H$9="",1E+99,Supuestos!$H$9),MAX(IF(Supuestos!$G$9="",-1E+99,Supuestos!$G$9),IF(Supuestos!$C$9="Normal",NORMINV(F17,Supuestos!$D$9,Supuestos!$E$9),IF(Supuestos!$C$9="Triangular",IF(F17&lt;(Supuestos!$E$9-Supuestos!$D$9)/(Supuestos!$F$9-Supuestos!$D$9),Supuestos!$D$9+SQRT(F17*(Supuestos!$F$9-Supuestos!$D$9)*(Supuestos!$E$9-Supuestos!$D$9)),Supuestos!$F$9-SQRT((1-F17)*(Supuestos!$F$9-Supuestos!$D$9)*(Supuestos!$F$9-Supuestos!$E$9))),IF(Supuestos!$C$9="Uniforme",Supuestos!$D$9+F17*(Supuestos!$E$9-Supuestos!$D$9),IF(Supuestos!$C$9="Lognormal",LOGINV(F17,LN(Supuestos!$D$9)-LN(1+Supuestos!$E$9^2/Supuestos!$D$9^2)/2,SQRT(LN(1+Supuestos!$E$9^2/Supuestos!$D$9^2))),Supuestos!$D$9))))))</f>
        <v/>
      </c>
      <c r="N17" s="32">
        <f>MIN(IF(Supuestos!$H$10="",1E+99,Supuestos!$H$10),MAX(IF(Supuestos!$G$10="",-1E+99,Supuestos!$G$10),IF(Supuestos!$C$10="Normal",NORMINV(G17,Supuestos!$D$10,Supuestos!$E$10),IF(Supuestos!$C$10="Triangular",IF(G17&lt;(Supuestos!$E$10-Supuestos!$D$10)/(Supuestos!$F$10-Supuestos!$D$10),Supuestos!$D$10+SQRT(G17*(Supuestos!$F$10-Supuestos!$D$10)*(Supuestos!$E$10-Supuestos!$D$10)),Supuestos!$F$10-SQRT((1-G17)*(Supuestos!$F$10-Supuestos!$D$10)*(Supuestos!$F$10-Supuestos!$E$10))),IF(Supuestos!$C$10="Uniforme",Supuestos!$D$10+G17*(Supuestos!$E$10-Supuestos!$D$10),IF(Supuestos!$C$10="Lognormal",LOGINV(G17,LN(Supuestos!$D$10)-LN(1+Supuestos!$E$10^2/Supuestos!$D$10^2)/2,SQRT(LN(1+Supuestos!$E$10^2/Supuestos!$D$10^2))),Supuestos!$D$10))))))</f>
        <v/>
      </c>
      <c r="O17" s="31">
        <f>MIN(IF(Supuestos!$H$11="",1E+99,Supuestos!$H$11),MAX(IF(Supuestos!$G$11="",-1E+99,Supuestos!$G$11),IF(Supuestos!$C$11="Normal",NORMINV(H17,Supuestos!$D$11,Supuestos!$E$11),IF(Supuestos!$C$11="Triangular",IF(H17&lt;(Supuestos!$E$11-Supuestos!$D$11)/(Supuestos!$F$11-Supuestos!$D$11),Supuestos!$D$11+SQRT(H17*(Supuestos!$F$11-Supuestos!$D$11)*(Supuestos!$E$11-Supuestos!$D$11)),Supuestos!$F$11-SQRT((1-H17)*(Supuestos!$F$11-Supuestos!$D$11)*(Supuestos!$F$11-Supuestos!$E$11))),IF(Supuestos!$C$11="Uniforme",Supuestos!$D$11+H17*(Supuestos!$E$11-Supuestos!$D$11),IF(Supuestos!$C$11="Lognormal",LOGINV(H17,LN(Supuestos!$D$11)-LN(1+Supuestos!$E$11^2/Supuestos!$D$11^2)/2,SQRT(LN(1+Supuestos!$E$11^2/Supuestos!$D$11^2))),Supuestos!$D$11))))))</f>
        <v/>
      </c>
      <c r="P17" s="33">
        <f>-I17</f>
        <v/>
      </c>
      <c r="Q17" s="33">
        <f>$J17*(1+$K17)^(1-1)*(1-$L17)*(1-$M17)</f>
        <v/>
      </c>
      <c r="R17" s="33">
        <f>$J17*(1+$K17)^(2-1)*(1-$L17)*(1-$M17)</f>
        <v/>
      </c>
      <c r="S17" s="33">
        <f>$J17*(1+$K17)^(3-1)*(1-$L17)*(1-$M17)</f>
        <v/>
      </c>
      <c r="T17" s="33">
        <f>$J17*(1+$K17)^(4-1)*(1-$L17)*(1-$M17)</f>
        <v/>
      </c>
      <c r="U17" s="33">
        <f>$J17*(1+$K17)^(5-1)*(1-$L17)*(1-$M17)+$O17</f>
        <v/>
      </c>
      <c r="V17" s="33">
        <f>P17+NPV($N17,Q17:U17)</f>
        <v/>
      </c>
      <c r="W17" s="32">
        <f>IFERROR(IRR(P17:U17,0.1),"")</f>
        <v/>
      </c>
    </row>
    <row r="18">
      <c r="A18" s="14" t="n">
        <v>14</v>
      </c>
      <c r="B18" s="30">
        <f>RAND()*(1-2E-6)+1E-6</f>
        <v/>
      </c>
      <c r="C18" s="30">
        <f>RAND()*(1-2E-6)+1E-6</f>
        <v/>
      </c>
      <c r="D18" s="30">
        <f>RAND()*(1-2E-6)+1E-6</f>
        <v/>
      </c>
      <c r="E18" s="30">
        <f>RAND()*(1-2E-6)+1E-6</f>
        <v/>
      </c>
      <c r="F18" s="30">
        <f>RAND()*(1-2E-6)+1E-6</f>
        <v/>
      </c>
      <c r="G18" s="30">
        <f>RAND()*(1-2E-6)+1E-6</f>
        <v/>
      </c>
      <c r="H18" s="30">
        <f>RAND()*(1-2E-6)+1E-6</f>
        <v/>
      </c>
      <c r="I18" s="31">
        <f>MIN(IF(Supuestos!$H$5="",1E+99,Supuestos!$H$5),MAX(IF(Supuestos!$G$5="",-1E+99,Supuestos!$G$5),IF(Supuestos!$C$5="Normal",NORMINV(B18,Supuestos!$D$5,Supuestos!$E$5),IF(Supuestos!$C$5="Triangular",IF(B18&lt;(Supuestos!$E$5-Supuestos!$D$5)/(Supuestos!$F$5-Supuestos!$D$5),Supuestos!$D$5+SQRT(B18*(Supuestos!$F$5-Supuestos!$D$5)*(Supuestos!$E$5-Supuestos!$D$5)),Supuestos!$F$5-SQRT((1-B18)*(Supuestos!$F$5-Supuestos!$D$5)*(Supuestos!$F$5-Supuestos!$E$5))),IF(Supuestos!$C$5="Uniforme",Supuestos!$D$5+B18*(Supuestos!$E$5-Supuestos!$D$5),IF(Supuestos!$C$5="Lognormal",LOGINV(B18,LN(Supuestos!$D$5)-LN(1+Supuestos!$E$5^2/Supuestos!$D$5^2)/2,SQRT(LN(1+Supuestos!$E$5^2/Supuestos!$D$5^2))),Supuestos!$D$5))))))</f>
        <v/>
      </c>
      <c r="J18" s="31">
        <f>MIN(IF(Supuestos!$H$6="",1E+99,Supuestos!$H$6),MAX(IF(Supuestos!$G$6="",-1E+99,Supuestos!$G$6),IF(Supuestos!$C$6="Normal",NORMINV(C18,Supuestos!$D$6,Supuestos!$E$6),IF(Supuestos!$C$6="Triangular",IF(C18&lt;(Supuestos!$E$6-Supuestos!$D$6)/(Supuestos!$F$6-Supuestos!$D$6),Supuestos!$D$6+SQRT(C18*(Supuestos!$F$6-Supuestos!$D$6)*(Supuestos!$E$6-Supuestos!$D$6)),Supuestos!$F$6-SQRT((1-C18)*(Supuestos!$F$6-Supuestos!$D$6)*(Supuestos!$F$6-Supuestos!$E$6))),IF(Supuestos!$C$6="Uniforme",Supuestos!$D$6+C18*(Supuestos!$E$6-Supuestos!$D$6),IF(Supuestos!$C$6="Lognormal",LOGINV(C18,LN(Supuestos!$D$6)-LN(1+Supuestos!$E$6^2/Supuestos!$D$6^2)/2,SQRT(LN(1+Supuestos!$E$6^2/Supuestos!$D$6^2))),Supuestos!$D$6))))))</f>
        <v/>
      </c>
      <c r="K18" s="32">
        <f>MIN(IF(Supuestos!$H$7="",1E+99,Supuestos!$H$7),MAX(IF(Supuestos!$G$7="",-1E+99,Supuestos!$G$7),IF(Supuestos!$C$7="Normal",NORMINV(D18,Supuestos!$D$7,Supuestos!$E$7),IF(Supuestos!$C$7="Triangular",IF(D18&lt;(Supuestos!$E$7-Supuestos!$D$7)/(Supuestos!$F$7-Supuestos!$D$7),Supuestos!$D$7+SQRT(D18*(Supuestos!$F$7-Supuestos!$D$7)*(Supuestos!$E$7-Supuestos!$D$7)),Supuestos!$F$7-SQRT((1-D18)*(Supuestos!$F$7-Supuestos!$D$7)*(Supuestos!$F$7-Supuestos!$E$7))),IF(Supuestos!$C$7="Uniforme",Supuestos!$D$7+D18*(Supuestos!$E$7-Supuestos!$D$7),IF(Supuestos!$C$7="Lognormal",LOGINV(D18,LN(Supuestos!$D$7)-LN(1+Supuestos!$E$7^2/Supuestos!$D$7^2)/2,SQRT(LN(1+Supuestos!$E$7^2/Supuestos!$D$7^2))),Supuestos!$D$7))))))</f>
        <v/>
      </c>
      <c r="L18" s="32">
        <f>MIN(IF(Supuestos!$H$8="",1E+99,Supuestos!$H$8),MAX(IF(Supuestos!$G$8="",-1E+99,Supuestos!$G$8),IF(Supuestos!$C$8="Normal",NORMINV(E18,Supuestos!$D$8,Supuestos!$E$8),IF(Supuestos!$C$8="Triangular",IF(E18&lt;(Supuestos!$E$8-Supuestos!$D$8)/(Supuestos!$F$8-Supuestos!$D$8),Supuestos!$D$8+SQRT(E18*(Supuestos!$F$8-Supuestos!$D$8)*(Supuestos!$E$8-Supuestos!$D$8)),Supuestos!$F$8-SQRT((1-E18)*(Supuestos!$F$8-Supuestos!$D$8)*(Supuestos!$F$8-Supuestos!$E$8))),IF(Supuestos!$C$8="Uniforme",Supuestos!$D$8+E18*(Supuestos!$E$8-Supuestos!$D$8),IF(Supuestos!$C$8="Lognormal",LOGINV(E18,LN(Supuestos!$D$8)-LN(1+Supuestos!$E$8^2/Supuestos!$D$8^2)/2,SQRT(LN(1+Supuestos!$E$8^2/Supuestos!$D$8^2))),Supuestos!$D$8))))))</f>
        <v/>
      </c>
      <c r="M18" s="32">
        <f>MIN(IF(Supuestos!$H$9="",1E+99,Supuestos!$H$9),MAX(IF(Supuestos!$G$9="",-1E+99,Supuestos!$G$9),IF(Supuestos!$C$9="Normal",NORMINV(F18,Supuestos!$D$9,Supuestos!$E$9),IF(Supuestos!$C$9="Triangular",IF(F18&lt;(Supuestos!$E$9-Supuestos!$D$9)/(Supuestos!$F$9-Supuestos!$D$9),Supuestos!$D$9+SQRT(F18*(Supuestos!$F$9-Supuestos!$D$9)*(Supuestos!$E$9-Supuestos!$D$9)),Supuestos!$F$9-SQRT((1-F18)*(Supuestos!$F$9-Supuestos!$D$9)*(Supuestos!$F$9-Supuestos!$E$9))),IF(Supuestos!$C$9="Uniforme",Supuestos!$D$9+F18*(Supuestos!$E$9-Supuestos!$D$9),IF(Supuestos!$C$9="Lognormal",LOGINV(F18,LN(Supuestos!$D$9)-LN(1+Supuestos!$E$9^2/Supuestos!$D$9^2)/2,SQRT(LN(1+Supuestos!$E$9^2/Supuestos!$D$9^2))),Supuestos!$D$9))))))</f>
        <v/>
      </c>
      <c r="N18" s="32">
        <f>MIN(IF(Supuestos!$H$10="",1E+99,Supuestos!$H$10),MAX(IF(Supuestos!$G$10="",-1E+99,Supuestos!$G$10),IF(Supuestos!$C$10="Normal",NORMINV(G18,Supuestos!$D$10,Supuestos!$E$10),IF(Supuestos!$C$10="Triangular",IF(G18&lt;(Supuestos!$E$10-Supuestos!$D$10)/(Supuestos!$F$10-Supuestos!$D$10),Supuestos!$D$10+SQRT(G18*(Supuestos!$F$10-Supuestos!$D$10)*(Supuestos!$E$10-Supuestos!$D$10)),Supuestos!$F$10-SQRT((1-G18)*(Supuestos!$F$10-Supuestos!$D$10)*(Supuestos!$F$10-Supuestos!$E$10))),IF(Supuestos!$C$10="Uniforme",Supuestos!$D$10+G18*(Supuestos!$E$10-Supuestos!$D$10),IF(Supuestos!$C$10="Lognormal",LOGINV(G18,LN(Supuestos!$D$10)-LN(1+Supuestos!$E$10^2/Supuestos!$D$10^2)/2,SQRT(LN(1+Supuestos!$E$10^2/Supuestos!$D$10^2))),Supuestos!$D$10))))))</f>
        <v/>
      </c>
      <c r="O18" s="31">
        <f>MIN(IF(Supuestos!$H$11="",1E+99,Supuestos!$H$11),MAX(IF(Supuestos!$G$11="",-1E+99,Supuestos!$G$11),IF(Supuestos!$C$11="Normal",NORMINV(H18,Supuestos!$D$11,Supuestos!$E$11),IF(Supuestos!$C$11="Triangular",IF(H18&lt;(Supuestos!$E$11-Supuestos!$D$11)/(Supuestos!$F$11-Supuestos!$D$11),Supuestos!$D$11+SQRT(H18*(Supuestos!$F$11-Supuestos!$D$11)*(Supuestos!$E$11-Supuestos!$D$11)),Supuestos!$F$11-SQRT((1-H18)*(Supuestos!$F$11-Supuestos!$D$11)*(Supuestos!$F$11-Supuestos!$E$11))),IF(Supuestos!$C$11="Uniforme",Supuestos!$D$11+H18*(Supuestos!$E$11-Supuestos!$D$11),IF(Supuestos!$C$11="Lognormal",LOGINV(H18,LN(Supuestos!$D$11)-LN(1+Supuestos!$E$11^2/Supuestos!$D$11^2)/2,SQRT(LN(1+Supuestos!$E$11^2/Supuestos!$D$11^2))),Supuestos!$D$11))))))</f>
        <v/>
      </c>
      <c r="P18" s="33">
        <f>-I18</f>
        <v/>
      </c>
      <c r="Q18" s="33">
        <f>$J18*(1+$K18)^(1-1)*(1-$L18)*(1-$M18)</f>
        <v/>
      </c>
      <c r="R18" s="33">
        <f>$J18*(1+$K18)^(2-1)*(1-$L18)*(1-$M18)</f>
        <v/>
      </c>
      <c r="S18" s="33">
        <f>$J18*(1+$K18)^(3-1)*(1-$L18)*(1-$M18)</f>
        <v/>
      </c>
      <c r="T18" s="33">
        <f>$J18*(1+$K18)^(4-1)*(1-$L18)*(1-$M18)</f>
        <v/>
      </c>
      <c r="U18" s="33">
        <f>$J18*(1+$K18)^(5-1)*(1-$L18)*(1-$M18)+$O18</f>
        <v/>
      </c>
      <c r="V18" s="33">
        <f>P18+NPV($N18,Q18:U18)</f>
        <v/>
      </c>
      <c r="W18" s="32">
        <f>IFERROR(IRR(P18:U18,0.1),"")</f>
        <v/>
      </c>
    </row>
    <row r="19">
      <c r="A19" s="14" t="n">
        <v>15</v>
      </c>
      <c r="B19" s="30">
        <f>RAND()*(1-2E-6)+1E-6</f>
        <v/>
      </c>
      <c r="C19" s="30">
        <f>RAND()*(1-2E-6)+1E-6</f>
        <v/>
      </c>
      <c r="D19" s="30">
        <f>RAND()*(1-2E-6)+1E-6</f>
        <v/>
      </c>
      <c r="E19" s="30">
        <f>RAND()*(1-2E-6)+1E-6</f>
        <v/>
      </c>
      <c r="F19" s="30">
        <f>RAND()*(1-2E-6)+1E-6</f>
        <v/>
      </c>
      <c r="G19" s="30">
        <f>RAND()*(1-2E-6)+1E-6</f>
        <v/>
      </c>
      <c r="H19" s="30">
        <f>RAND()*(1-2E-6)+1E-6</f>
        <v/>
      </c>
      <c r="I19" s="31">
        <f>MIN(IF(Supuestos!$H$5="",1E+99,Supuestos!$H$5),MAX(IF(Supuestos!$G$5="",-1E+99,Supuestos!$G$5),IF(Supuestos!$C$5="Normal",NORMINV(B19,Supuestos!$D$5,Supuestos!$E$5),IF(Supuestos!$C$5="Triangular",IF(B19&lt;(Supuestos!$E$5-Supuestos!$D$5)/(Supuestos!$F$5-Supuestos!$D$5),Supuestos!$D$5+SQRT(B19*(Supuestos!$F$5-Supuestos!$D$5)*(Supuestos!$E$5-Supuestos!$D$5)),Supuestos!$F$5-SQRT((1-B19)*(Supuestos!$F$5-Supuestos!$D$5)*(Supuestos!$F$5-Supuestos!$E$5))),IF(Supuestos!$C$5="Uniforme",Supuestos!$D$5+B19*(Supuestos!$E$5-Supuestos!$D$5),IF(Supuestos!$C$5="Lognormal",LOGINV(B19,LN(Supuestos!$D$5)-LN(1+Supuestos!$E$5^2/Supuestos!$D$5^2)/2,SQRT(LN(1+Supuestos!$E$5^2/Supuestos!$D$5^2))),Supuestos!$D$5))))))</f>
        <v/>
      </c>
      <c r="J19" s="31">
        <f>MIN(IF(Supuestos!$H$6="",1E+99,Supuestos!$H$6),MAX(IF(Supuestos!$G$6="",-1E+99,Supuestos!$G$6),IF(Supuestos!$C$6="Normal",NORMINV(C19,Supuestos!$D$6,Supuestos!$E$6),IF(Supuestos!$C$6="Triangular",IF(C19&lt;(Supuestos!$E$6-Supuestos!$D$6)/(Supuestos!$F$6-Supuestos!$D$6),Supuestos!$D$6+SQRT(C19*(Supuestos!$F$6-Supuestos!$D$6)*(Supuestos!$E$6-Supuestos!$D$6)),Supuestos!$F$6-SQRT((1-C19)*(Supuestos!$F$6-Supuestos!$D$6)*(Supuestos!$F$6-Supuestos!$E$6))),IF(Supuestos!$C$6="Uniforme",Supuestos!$D$6+C19*(Supuestos!$E$6-Supuestos!$D$6),IF(Supuestos!$C$6="Lognormal",LOGINV(C19,LN(Supuestos!$D$6)-LN(1+Supuestos!$E$6^2/Supuestos!$D$6^2)/2,SQRT(LN(1+Supuestos!$E$6^2/Supuestos!$D$6^2))),Supuestos!$D$6))))))</f>
        <v/>
      </c>
      <c r="K19" s="32">
        <f>MIN(IF(Supuestos!$H$7="",1E+99,Supuestos!$H$7),MAX(IF(Supuestos!$G$7="",-1E+99,Supuestos!$G$7),IF(Supuestos!$C$7="Normal",NORMINV(D19,Supuestos!$D$7,Supuestos!$E$7),IF(Supuestos!$C$7="Triangular",IF(D19&lt;(Supuestos!$E$7-Supuestos!$D$7)/(Supuestos!$F$7-Supuestos!$D$7),Supuestos!$D$7+SQRT(D19*(Supuestos!$F$7-Supuestos!$D$7)*(Supuestos!$E$7-Supuestos!$D$7)),Supuestos!$F$7-SQRT((1-D19)*(Supuestos!$F$7-Supuestos!$D$7)*(Supuestos!$F$7-Supuestos!$E$7))),IF(Supuestos!$C$7="Uniforme",Supuestos!$D$7+D19*(Supuestos!$E$7-Supuestos!$D$7),IF(Supuestos!$C$7="Lognormal",LOGINV(D19,LN(Supuestos!$D$7)-LN(1+Supuestos!$E$7^2/Supuestos!$D$7^2)/2,SQRT(LN(1+Supuestos!$E$7^2/Supuestos!$D$7^2))),Supuestos!$D$7))))))</f>
        <v/>
      </c>
      <c r="L19" s="32">
        <f>MIN(IF(Supuestos!$H$8="",1E+99,Supuestos!$H$8),MAX(IF(Supuestos!$G$8="",-1E+99,Supuestos!$G$8),IF(Supuestos!$C$8="Normal",NORMINV(E19,Supuestos!$D$8,Supuestos!$E$8),IF(Supuestos!$C$8="Triangular",IF(E19&lt;(Supuestos!$E$8-Supuestos!$D$8)/(Supuestos!$F$8-Supuestos!$D$8),Supuestos!$D$8+SQRT(E19*(Supuestos!$F$8-Supuestos!$D$8)*(Supuestos!$E$8-Supuestos!$D$8)),Supuestos!$F$8-SQRT((1-E19)*(Supuestos!$F$8-Supuestos!$D$8)*(Supuestos!$F$8-Supuestos!$E$8))),IF(Supuestos!$C$8="Uniforme",Supuestos!$D$8+E19*(Supuestos!$E$8-Supuestos!$D$8),IF(Supuestos!$C$8="Lognormal",LOGINV(E19,LN(Supuestos!$D$8)-LN(1+Supuestos!$E$8^2/Supuestos!$D$8^2)/2,SQRT(LN(1+Supuestos!$E$8^2/Supuestos!$D$8^2))),Supuestos!$D$8))))))</f>
        <v/>
      </c>
      <c r="M19" s="32">
        <f>MIN(IF(Supuestos!$H$9="",1E+99,Supuestos!$H$9),MAX(IF(Supuestos!$G$9="",-1E+99,Supuestos!$G$9),IF(Supuestos!$C$9="Normal",NORMINV(F19,Supuestos!$D$9,Supuestos!$E$9),IF(Supuestos!$C$9="Triangular",IF(F19&lt;(Supuestos!$E$9-Supuestos!$D$9)/(Supuestos!$F$9-Supuestos!$D$9),Supuestos!$D$9+SQRT(F19*(Supuestos!$F$9-Supuestos!$D$9)*(Supuestos!$E$9-Supuestos!$D$9)),Supuestos!$F$9-SQRT((1-F19)*(Supuestos!$F$9-Supuestos!$D$9)*(Supuestos!$F$9-Supuestos!$E$9))),IF(Supuestos!$C$9="Uniforme",Supuestos!$D$9+F19*(Supuestos!$E$9-Supuestos!$D$9),IF(Supuestos!$C$9="Lognormal",LOGINV(F19,LN(Supuestos!$D$9)-LN(1+Supuestos!$E$9^2/Supuestos!$D$9^2)/2,SQRT(LN(1+Supuestos!$E$9^2/Supuestos!$D$9^2))),Supuestos!$D$9))))))</f>
        <v/>
      </c>
      <c r="N19" s="32">
        <f>MIN(IF(Supuestos!$H$10="",1E+99,Supuestos!$H$10),MAX(IF(Supuestos!$G$10="",-1E+99,Supuestos!$G$10),IF(Supuestos!$C$10="Normal",NORMINV(G19,Supuestos!$D$10,Supuestos!$E$10),IF(Supuestos!$C$10="Triangular",IF(G19&lt;(Supuestos!$E$10-Supuestos!$D$10)/(Supuestos!$F$10-Supuestos!$D$10),Supuestos!$D$10+SQRT(G19*(Supuestos!$F$10-Supuestos!$D$10)*(Supuestos!$E$10-Supuestos!$D$10)),Supuestos!$F$10-SQRT((1-G19)*(Supuestos!$F$10-Supuestos!$D$10)*(Supuestos!$F$10-Supuestos!$E$10))),IF(Supuestos!$C$10="Uniforme",Supuestos!$D$10+G19*(Supuestos!$E$10-Supuestos!$D$10),IF(Supuestos!$C$10="Lognormal",LOGINV(G19,LN(Supuestos!$D$10)-LN(1+Supuestos!$E$10^2/Supuestos!$D$10^2)/2,SQRT(LN(1+Supuestos!$E$10^2/Supuestos!$D$10^2))),Supuestos!$D$10))))))</f>
        <v/>
      </c>
      <c r="O19" s="31">
        <f>MIN(IF(Supuestos!$H$11="",1E+99,Supuestos!$H$11),MAX(IF(Supuestos!$G$11="",-1E+99,Supuestos!$G$11),IF(Supuestos!$C$11="Normal",NORMINV(H19,Supuestos!$D$11,Supuestos!$E$11),IF(Supuestos!$C$11="Triangular",IF(H19&lt;(Supuestos!$E$11-Supuestos!$D$11)/(Supuestos!$F$11-Supuestos!$D$11),Supuestos!$D$11+SQRT(H19*(Supuestos!$F$11-Supuestos!$D$11)*(Supuestos!$E$11-Supuestos!$D$11)),Supuestos!$F$11-SQRT((1-H19)*(Supuestos!$F$11-Supuestos!$D$11)*(Supuestos!$F$11-Supuestos!$E$11))),IF(Supuestos!$C$11="Uniforme",Supuestos!$D$11+H19*(Supuestos!$E$11-Supuestos!$D$11),IF(Supuestos!$C$11="Lognormal",LOGINV(H19,LN(Supuestos!$D$11)-LN(1+Supuestos!$E$11^2/Supuestos!$D$11^2)/2,SQRT(LN(1+Supuestos!$E$11^2/Supuestos!$D$11^2))),Supuestos!$D$11))))))</f>
        <v/>
      </c>
      <c r="P19" s="33">
        <f>-I19</f>
        <v/>
      </c>
      <c r="Q19" s="33">
        <f>$J19*(1+$K19)^(1-1)*(1-$L19)*(1-$M19)</f>
        <v/>
      </c>
      <c r="R19" s="33">
        <f>$J19*(1+$K19)^(2-1)*(1-$L19)*(1-$M19)</f>
        <v/>
      </c>
      <c r="S19" s="33">
        <f>$J19*(1+$K19)^(3-1)*(1-$L19)*(1-$M19)</f>
        <v/>
      </c>
      <c r="T19" s="33">
        <f>$J19*(1+$K19)^(4-1)*(1-$L19)*(1-$M19)</f>
        <v/>
      </c>
      <c r="U19" s="33">
        <f>$J19*(1+$K19)^(5-1)*(1-$L19)*(1-$M19)+$O19</f>
        <v/>
      </c>
      <c r="V19" s="33">
        <f>P19+NPV($N19,Q19:U19)</f>
        <v/>
      </c>
      <c r="W19" s="32">
        <f>IFERROR(IRR(P19:U19,0.1),"")</f>
        <v/>
      </c>
    </row>
    <row r="20">
      <c r="A20" s="14" t="n">
        <v>16</v>
      </c>
      <c r="B20" s="30">
        <f>RAND()*(1-2E-6)+1E-6</f>
        <v/>
      </c>
      <c r="C20" s="30">
        <f>RAND()*(1-2E-6)+1E-6</f>
        <v/>
      </c>
      <c r="D20" s="30">
        <f>RAND()*(1-2E-6)+1E-6</f>
        <v/>
      </c>
      <c r="E20" s="30">
        <f>RAND()*(1-2E-6)+1E-6</f>
        <v/>
      </c>
      <c r="F20" s="30">
        <f>RAND()*(1-2E-6)+1E-6</f>
        <v/>
      </c>
      <c r="G20" s="30">
        <f>RAND()*(1-2E-6)+1E-6</f>
        <v/>
      </c>
      <c r="H20" s="30">
        <f>RAND()*(1-2E-6)+1E-6</f>
        <v/>
      </c>
      <c r="I20" s="31">
        <f>MIN(IF(Supuestos!$H$5="",1E+99,Supuestos!$H$5),MAX(IF(Supuestos!$G$5="",-1E+99,Supuestos!$G$5),IF(Supuestos!$C$5="Normal",NORMINV(B20,Supuestos!$D$5,Supuestos!$E$5),IF(Supuestos!$C$5="Triangular",IF(B20&lt;(Supuestos!$E$5-Supuestos!$D$5)/(Supuestos!$F$5-Supuestos!$D$5),Supuestos!$D$5+SQRT(B20*(Supuestos!$F$5-Supuestos!$D$5)*(Supuestos!$E$5-Supuestos!$D$5)),Supuestos!$F$5-SQRT((1-B20)*(Supuestos!$F$5-Supuestos!$D$5)*(Supuestos!$F$5-Supuestos!$E$5))),IF(Supuestos!$C$5="Uniforme",Supuestos!$D$5+B20*(Supuestos!$E$5-Supuestos!$D$5),IF(Supuestos!$C$5="Lognormal",LOGINV(B20,LN(Supuestos!$D$5)-LN(1+Supuestos!$E$5^2/Supuestos!$D$5^2)/2,SQRT(LN(1+Supuestos!$E$5^2/Supuestos!$D$5^2))),Supuestos!$D$5))))))</f>
        <v/>
      </c>
      <c r="J20" s="31">
        <f>MIN(IF(Supuestos!$H$6="",1E+99,Supuestos!$H$6),MAX(IF(Supuestos!$G$6="",-1E+99,Supuestos!$G$6),IF(Supuestos!$C$6="Normal",NORMINV(C20,Supuestos!$D$6,Supuestos!$E$6),IF(Supuestos!$C$6="Triangular",IF(C20&lt;(Supuestos!$E$6-Supuestos!$D$6)/(Supuestos!$F$6-Supuestos!$D$6),Supuestos!$D$6+SQRT(C20*(Supuestos!$F$6-Supuestos!$D$6)*(Supuestos!$E$6-Supuestos!$D$6)),Supuestos!$F$6-SQRT((1-C20)*(Supuestos!$F$6-Supuestos!$D$6)*(Supuestos!$F$6-Supuestos!$E$6))),IF(Supuestos!$C$6="Uniforme",Supuestos!$D$6+C20*(Supuestos!$E$6-Supuestos!$D$6),IF(Supuestos!$C$6="Lognormal",LOGINV(C20,LN(Supuestos!$D$6)-LN(1+Supuestos!$E$6^2/Supuestos!$D$6^2)/2,SQRT(LN(1+Supuestos!$E$6^2/Supuestos!$D$6^2))),Supuestos!$D$6))))))</f>
        <v/>
      </c>
      <c r="K20" s="32">
        <f>MIN(IF(Supuestos!$H$7="",1E+99,Supuestos!$H$7),MAX(IF(Supuestos!$G$7="",-1E+99,Supuestos!$G$7),IF(Supuestos!$C$7="Normal",NORMINV(D20,Supuestos!$D$7,Supuestos!$E$7),IF(Supuestos!$C$7="Triangular",IF(D20&lt;(Supuestos!$E$7-Supuestos!$D$7)/(Supuestos!$F$7-Supuestos!$D$7),Supuestos!$D$7+SQRT(D20*(Supuestos!$F$7-Supuestos!$D$7)*(Supuestos!$E$7-Supuestos!$D$7)),Supuestos!$F$7-SQRT((1-D20)*(Supuestos!$F$7-Supuestos!$D$7)*(Supuestos!$F$7-Supuestos!$E$7))),IF(Supuestos!$C$7="Uniforme",Supuestos!$D$7+D20*(Supuestos!$E$7-Supuestos!$D$7),IF(Supuestos!$C$7="Lognormal",LOGINV(D20,LN(Supuestos!$D$7)-LN(1+Supuestos!$E$7^2/Supuestos!$D$7^2)/2,SQRT(LN(1+Supuestos!$E$7^2/Supuestos!$D$7^2))),Supuestos!$D$7))))))</f>
        <v/>
      </c>
      <c r="L20" s="32">
        <f>MIN(IF(Supuestos!$H$8="",1E+99,Supuestos!$H$8),MAX(IF(Supuestos!$G$8="",-1E+99,Supuestos!$G$8),IF(Supuestos!$C$8="Normal",NORMINV(E20,Supuestos!$D$8,Supuestos!$E$8),IF(Supuestos!$C$8="Triangular",IF(E20&lt;(Supuestos!$E$8-Supuestos!$D$8)/(Supuestos!$F$8-Supuestos!$D$8),Supuestos!$D$8+SQRT(E20*(Supuestos!$F$8-Supuestos!$D$8)*(Supuestos!$E$8-Supuestos!$D$8)),Supuestos!$F$8-SQRT((1-E20)*(Supuestos!$F$8-Supuestos!$D$8)*(Supuestos!$F$8-Supuestos!$E$8))),IF(Supuestos!$C$8="Uniforme",Supuestos!$D$8+E20*(Supuestos!$E$8-Supuestos!$D$8),IF(Supuestos!$C$8="Lognormal",LOGINV(E20,LN(Supuestos!$D$8)-LN(1+Supuestos!$E$8^2/Supuestos!$D$8^2)/2,SQRT(LN(1+Supuestos!$E$8^2/Supuestos!$D$8^2))),Supuestos!$D$8))))))</f>
        <v/>
      </c>
      <c r="M20" s="32">
        <f>MIN(IF(Supuestos!$H$9="",1E+99,Supuestos!$H$9),MAX(IF(Supuestos!$G$9="",-1E+99,Supuestos!$G$9),IF(Supuestos!$C$9="Normal",NORMINV(F20,Supuestos!$D$9,Supuestos!$E$9),IF(Supuestos!$C$9="Triangular",IF(F20&lt;(Supuestos!$E$9-Supuestos!$D$9)/(Supuestos!$F$9-Supuestos!$D$9),Supuestos!$D$9+SQRT(F20*(Supuestos!$F$9-Supuestos!$D$9)*(Supuestos!$E$9-Supuestos!$D$9)),Supuestos!$F$9-SQRT((1-F20)*(Supuestos!$F$9-Supuestos!$D$9)*(Supuestos!$F$9-Supuestos!$E$9))),IF(Supuestos!$C$9="Uniforme",Supuestos!$D$9+F20*(Supuestos!$E$9-Supuestos!$D$9),IF(Supuestos!$C$9="Lognormal",LOGINV(F20,LN(Supuestos!$D$9)-LN(1+Supuestos!$E$9^2/Supuestos!$D$9^2)/2,SQRT(LN(1+Supuestos!$E$9^2/Supuestos!$D$9^2))),Supuestos!$D$9))))))</f>
        <v/>
      </c>
      <c r="N20" s="32">
        <f>MIN(IF(Supuestos!$H$10="",1E+99,Supuestos!$H$10),MAX(IF(Supuestos!$G$10="",-1E+99,Supuestos!$G$10),IF(Supuestos!$C$10="Normal",NORMINV(G20,Supuestos!$D$10,Supuestos!$E$10),IF(Supuestos!$C$10="Triangular",IF(G20&lt;(Supuestos!$E$10-Supuestos!$D$10)/(Supuestos!$F$10-Supuestos!$D$10),Supuestos!$D$10+SQRT(G20*(Supuestos!$F$10-Supuestos!$D$10)*(Supuestos!$E$10-Supuestos!$D$10)),Supuestos!$F$10-SQRT((1-G20)*(Supuestos!$F$10-Supuestos!$D$10)*(Supuestos!$F$10-Supuestos!$E$10))),IF(Supuestos!$C$10="Uniforme",Supuestos!$D$10+G20*(Supuestos!$E$10-Supuestos!$D$10),IF(Supuestos!$C$10="Lognormal",LOGINV(G20,LN(Supuestos!$D$10)-LN(1+Supuestos!$E$10^2/Supuestos!$D$10^2)/2,SQRT(LN(1+Supuestos!$E$10^2/Supuestos!$D$10^2))),Supuestos!$D$10))))))</f>
        <v/>
      </c>
      <c r="O20" s="31">
        <f>MIN(IF(Supuestos!$H$11="",1E+99,Supuestos!$H$11),MAX(IF(Supuestos!$G$11="",-1E+99,Supuestos!$G$11),IF(Supuestos!$C$11="Normal",NORMINV(H20,Supuestos!$D$11,Supuestos!$E$11),IF(Supuestos!$C$11="Triangular",IF(H20&lt;(Supuestos!$E$11-Supuestos!$D$11)/(Supuestos!$F$11-Supuestos!$D$11),Supuestos!$D$11+SQRT(H20*(Supuestos!$F$11-Supuestos!$D$11)*(Supuestos!$E$11-Supuestos!$D$11)),Supuestos!$F$11-SQRT((1-H20)*(Supuestos!$F$11-Supuestos!$D$11)*(Supuestos!$F$11-Supuestos!$E$11))),IF(Supuestos!$C$11="Uniforme",Supuestos!$D$11+H20*(Supuestos!$E$11-Supuestos!$D$11),IF(Supuestos!$C$11="Lognormal",LOGINV(H20,LN(Supuestos!$D$11)-LN(1+Supuestos!$E$11^2/Supuestos!$D$11^2)/2,SQRT(LN(1+Supuestos!$E$11^2/Supuestos!$D$11^2))),Supuestos!$D$11))))))</f>
        <v/>
      </c>
      <c r="P20" s="33">
        <f>-I20</f>
        <v/>
      </c>
      <c r="Q20" s="33">
        <f>$J20*(1+$K20)^(1-1)*(1-$L20)*(1-$M20)</f>
        <v/>
      </c>
      <c r="R20" s="33">
        <f>$J20*(1+$K20)^(2-1)*(1-$L20)*(1-$M20)</f>
        <v/>
      </c>
      <c r="S20" s="33">
        <f>$J20*(1+$K20)^(3-1)*(1-$L20)*(1-$M20)</f>
        <v/>
      </c>
      <c r="T20" s="33">
        <f>$J20*(1+$K20)^(4-1)*(1-$L20)*(1-$M20)</f>
        <v/>
      </c>
      <c r="U20" s="33">
        <f>$J20*(1+$K20)^(5-1)*(1-$L20)*(1-$M20)+$O20</f>
        <v/>
      </c>
      <c r="V20" s="33">
        <f>P20+NPV($N20,Q20:U20)</f>
        <v/>
      </c>
      <c r="W20" s="32">
        <f>IFERROR(IRR(P20:U20,0.1),"")</f>
        <v/>
      </c>
    </row>
    <row r="21">
      <c r="A21" s="14" t="n">
        <v>17</v>
      </c>
      <c r="B21" s="30">
        <f>RAND()*(1-2E-6)+1E-6</f>
        <v/>
      </c>
      <c r="C21" s="30">
        <f>RAND()*(1-2E-6)+1E-6</f>
        <v/>
      </c>
      <c r="D21" s="30">
        <f>RAND()*(1-2E-6)+1E-6</f>
        <v/>
      </c>
      <c r="E21" s="30">
        <f>RAND()*(1-2E-6)+1E-6</f>
        <v/>
      </c>
      <c r="F21" s="30">
        <f>RAND()*(1-2E-6)+1E-6</f>
        <v/>
      </c>
      <c r="G21" s="30">
        <f>RAND()*(1-2E-6)+1E-6</f>
        <v/>
      </c>
      <c r="H21" s="30">
        <f>RAND()*(1-2E-6)+1E-6</f>
        <v/>
      </c>
      <c r="I21" s="31">
        <f>MIN(IF(Supuestos!$H$5="",1E+99,Supuestos!$H$5),MAX(IF(Supuestos!$G$5="",-1E+99,Supuestos!$G$5),IF(Supuestos!$C$5="Normal",NORMINV(B21,Supuestos!$D$5,Supuestos!$E$5),IF(Supuestos!$C$5="Triangular",IF(B21&lt;(Supuestos!$E$5-Supuestos!$D$5)/(Supuestos!$F$5-Supuestos!$D$5),Supuestos!$D$5+SQRT(B21*(Supuestos!$F$5-Supuestos!$D$5)*(Supuestos!$E$5-Supuestos!$D$5)),Supuestos!$F$5-SQRT((1-B21)*(Supuestos!$F$5-Supuestos!$D$5)*(Supuestos!$F$5-Supuestos!$E$5))),IF(Supuestos!$C$5="Uniforme",Supuestos!$D$5+B21*(Supuestos!$E$5-Supuestos!$D$5),IF(Supuestos!$C$5="Lognormal",LOGINV(B21,LN(Supuestos!$D$5)-LN(1+Supuestos!$E$5^2/Supuestos!$D$5^2)/2,SQRT(LN(1+Supuestos!$E$5^2/Supuestos!$D$5^2))),Supuestos!$D$5))))))</f>
        <v/>
      </c>
      <c r="J21" s="31">
        <f>MIN(IF(Supuestos!$H$6="",1E+99,Supuestos!$H$6),MAX(IF(Supuestos!$G$6="",-1E+99,Supuestos!$G$6),IF(Supuestos!$C$6="Normal",NORMINV(C21,Supuestos!$D$6,Supuestos!$E$6),IF(Supuestos!$C$6="Triangular",IF(C21&lt;(Supuestos!$E$6-Supuestos!$D$6)/(Supuestos!$F$6-Supuestos!$D$6),Supuestos!$D$6+SQRT(C21*(Supuestos!$F$6-Supuestos!$D$6)*(Supuestos!$E$6-Supuestos!$D$6)),Supuestos!$F$6-SQRT((1-C21)*(Supuestos!$F$6-Supuestos!$D$6)*(Supuestos!$F$6-Supuestos!$E$6))),IF(Supuestos!$C$6="Uniforme",Supuestos!$D$6+C21*(Supuestos!$E$6-Supuestos!$D$6),IF(Supuestos!$C$6="Lognormal",LOGINV(C21,LN(Supuestos!$D$6)-LN(1+Supuestos!$E$6^2/Supuestos!$D$6^2)/2,SQRT(LN(1+Supuestos!$E$6^2/Supuestos!$D$6^2))),Supuestos!$D$6))))))</f>
        <v/>
      </c>
      <c r="K21" s="32">
        <f>MIN(IF(Supuestos!$H$7="",1E+99,Supuestos!$H$7),MAX(IF(Supuestos!$G$7="",-1E+99,Supuestos!$G$7),IF(Supuestos!$C$7="Normal",NORMINV(D21,Supuestos!$D$7,Supuestos!$E$7),IF(Supuestos!$C$7="Triangular",IF(D21&lt;(Supuestos!$E$7-Supuestos!$D$7)/(Supuestos!$F$7-Supuestos!$D$7),Supuestos!$D$7+SQRT(D21*(Supuestos!$F$7-Supuestos!$D$7)*(Supuestos!$E$7-Supuestos!$D$7)),Supuestos!$F$7-SQRT((1-D21)*(Supuestos!$F$7-Supuestos!$D$7)*(Supuestos!$F$7-Supuestos!$E$7))),IF(Supuestos!$C$7="Uniforme",Supuestos!$D$7+D21*(Supuestos!$E$7-Supuestos!$D$7),IF(Supuestos!$C$7="Lognormal",LOGINV(D21,LN(Supuestos!$D$7)-LN(1+Supuestos!$E$7^2/Supuestos!$D$7^2)/2,SQRT(LN(1+Supuestos!$E$7^2/Supuestos!$D$7^2))),Supuestos!$D$7))))))</f>
        <v/>
      </c>
      <c r="L21" s="32">
        <f>MIN(IF(Supuestos!$H$8="",1E+99,Supuestos!$H$8),MAX(IF(Supuestos!$G$8="",-1E+99,Supuestos!$G$8),IF(Supuestos!$C$8="Normal",NORMINV(E21,Supuestos!$D$8,Supuestos!$E$8),IF(Supuestos!$C$8="Triangular",IF(E21&lt;(Supuestos!$E$8-Supuestos!$D$8)/(Supuestos!$F$8-Supuestos!$D$8),Supuestos!$D$8+SQRT(E21*(Supuestos!$F$8-Supuestos!$D$8)*(Supuestos!$E$8-Supuestos!$D$8)),Supuestos!$F$8-SQRT((1-E21)*(Supuestos!$F$8-Supuestos!$D$8)*(Supuestos!$F$8-Supuestos!$E$8))),IF(Supuestos!$C$8="Uniforme",Supuestos!$D$8+E21*(Supuestos!$E$8-Supuestos!$D$8),IF(Supuestos!$C$8="Lognormal",LOGINV(E21,LN(Supuestos!$D$8)-LN(1+Supuestos!$E$8^2/Supuestos!$D$8^2)/2,SQRT(LN(1+Supuestos!$E$8^2/Supuestos!$D$8^2))),Supuestos!$D$8))))))</f>
        <v/>
      </c>
      <c r="M21" s="32">
        <f>MIN(IF(Supuestos!$H$9="",1E+99,Supuestos!$H$9),MAX(IF(Supuestos!$G$9="",-1E+99,Supuestos!$G$9),IF(Supuestos!$C$9="Normal",NORMINV(F21,Supuestos!$D$9,Supuestos!$E$9),IF(Supuestos!$C$9="Triangular",IF(F21&lt;(Supuestos!$E$9-Supuestos!$D$9)/(Supuestos!$F$9-Supuestos!$D$9),Supuestos!$D$9+SQRT(F21*(Supuestos!$F$9-Supuestos!$D$9)*(Supuestos!$E$9-Supuestos!$D$9)),Supuestos!$F$9-SQRT((1-F21)*(Supuestos!$F$9-Supuestos!$D$9)*(Supuestos!$F$9-Supuestos!$E$9))),IF(Supuestos!$C$9="Uniforme",Supuestos!$D$9+F21*(Supuestos!$E$9-Supuestos!$D$9),IF(Supuestos!$C$9="Lognormal",LOGINV(F21,LN(Supuestos!$D$9)-LN(1+Supuestos!$E$9^2/Supuestos!$D$9^2)/2,SQRT(LN(1+Supuestos!$E$9^2/Supuestos!$D$9^2))),Supuestos!$D$9))))))</f>
        <v/>
      </c>
      <c r="N21" s="32">
        <f>MIN(IF(Supuestos!$H$10="",1E+99,Supuestos!$H$10),MAX(IF(Supuestos!$G$10="",-1E+99,Supuestos!$G$10),IF(Supuestos!$C$10="Normal",NORMINV(G21,Supuestos!$D$10,Supuestos!$E$10),IF(Supuestos!$C$10="Triangular",IF(G21&lt;(Supuestos!$E$10-Supuestos!$D$10)/(Supuestos!$F$10-Supuestos!$D$10),Supuestos!$D$10+SQRT(G21*(Supuestos!$F$10-Supuestos!$D$10)*(Supuestos!$E$10-Supuestos!$D$10)),Supuestos!$F$10-SQRT((1-G21)*(Supuestos!$F$10-Supuestos!$D$10)*(Supuestos!$F$10-Supuestos!$E$10))),IF(Supuestos!$C$10="Uniforme",Supuestos!$D$10+G21*(Supuestos!$E$10-Supuestos!$D$10),IF(Supuestos!$C$10="Lognormal",LOGINV(G21,LN(Supuestos!$D$10)-LN(1+Supuestos!$E$10^2/Supuestos!$D$10^2)/2,SQRT(LN(1+Supuestos!$E$10^2/Supuestos!$D$10^2))),Supuestos!$D$10))))))</f>
        <v/>
      </c>
      <c r="O21" s="31">
        <f>MIN(IF(Supuestos!$H$11="",1E+99,Supuestos!$H$11),MAX(IF(Supuestos!$G$11="",-1E+99,Supuestos!$G$11),IF(Supuestos!$C$11="Normal",NORMINV(H21,Supuestos!$D$11,Supuestos!$E$11),IF(Supuestos!$C$11="Triangular",IF(H21&lt;(Supuestos!$E$11-Supuestos!$D$11)/(Supuestos!$F$11-Supuestos!$D$11),Supuestos!$D$11+SQRT(H21*(Supuestos!$F$11-Supuestos!$D$11)*(Supuestos!$E$11-Supuestos!$D$11)),Supuestos!$F$11-SQRT((1-H21)*(Supuestos!$F$11-Supuestos!$D$11)*(Supuestos!$F$11-Supuestos!$E$11))),IF(Supuestos!$C$11="Uniforme",Supuestos!$D$11+H21*(Supuestos!$E$11-Supuestos!$D$11),IF(Supuestos!$C$11="Lognormal",LOGINV(H21,LN(Supuestos!$D$11)-LN(1+Supuestos!$E$11^2/Supuestos!$D$11^2)/2,SQRT(LN(1+Supuestos!$E$11^2/Supuestos!$D$11^2))),Supuestos!$D$11))))))</f>
        <v/>
      </c>
      <c r="P21" s="33">
        <f>-I21</f>
        <v/>
      </c>
      <c r="Q21" s="33">
        <f>$J21*(1+$K21)^(1-1)*(1-$L21)*(1-$M21)</f>
        <v/>
      </c>
      <c r="R21" s="33">
        <f>$J21*(1+$K21)^(2-1)*(1-$L21)*(1-$M21)</f>
        <v/>
      </c>
      <c r="S21" s="33">
        <f>$J21*(1+$K21)^(3-1)*(1-$L21)*(1-$M21)</f>
        <v/>
      </c>
      <c r="T21" s="33">
        <f>$J21*(1+$K21)^(4-1)*(1-$L21)*(1-$M21)</f>
        <v/>
      </c>
      <c r="U21" s="33">
        <f>$J21*(1+$K21)^(5-1)*(1-$L21)*(1-$M21)+$O21</f>
        <v/>
      </c>
      <c r="V21" s="33">
        <f>P21+NPV($N21,Q21:U21)</f>
        <v/>
      </c>
      <c r="W21" s="32">
        <f>IFERROR(IRR(P21:U21,0.1),"")</f>
        <v/>
      </c>
    </row>
    <row r="22">
      <c r="A22" s="14" t="n">
        <v>18</v>
      </c>
      <c r="B22" s="30">
        <f>RAND()*(1-2E-6)+1E-6</f>
        <v/>
      </c>
      <c r="C22" s="30">
        <f>RAND()*(1-2E-6)+1E-6</f>
        <v/>
      </c>
      <c r="D22" s="30">
        <f>RAND()*(1-2E-6)+1E-6</f>
        <v/>
      </c>
      <c r="E22" s="30">
        <f>RAND()*(1-2E-6)+1E-6</f>
        <v/>
      </c>
      <c r="F22" s="30">
        <f>RAND()*(1-2E-6)+1E-6</f>
        <v/>
      </c>
      <c r="G22" s="30">
        <f>RAND()*(1-2E-6)+1E-6</f>
        <v/>
      </c>
      <c r="H22" s="30">
        <f>RAND()*(1-2E-6)+1E-6</f>
        <v/>
      </c>
      <c r="I22" s="31">
        <f>MIN(IF(Supuestos!$H$5="",1E+99,Supuestos!$H$5),MAX(IF(Supuestos!$G$5="",-1E+99,Supuestos!$G$5),IF(Supuestos!$C$5="Normal",NORMINV(B22,Supuestos!$D$5,Supuestos!$E$5),IF(Supuestos!$C$5="Triangular",IF(B22&lt;(Supuestos!$E$5-Supuestos!$D$5)/(Supuestos!$F$5-Supuestos!$D$5),Supuestos!$D$5+SQRT(B22*(Supuestos!$F$5-Supuestos!$D$5)*(Supuestos!$E$5-Supuestos!$D$5)),Supuestos!$F$5-SQRT((1-B22)*(Supuestos!$F$5-Supuestos!$D$5)*(Supuestos!$F$5-Supuestos!$E$5))),IF(Supuestos!$C$5="Uniforme",Supuestos!$D$5+B22*(Supuestos!$E$5-Supuestos!$D$5),IF(Supuestos!$C$5="Lognormal",LOGINV(B22,LN(Supuestos!$D$5)-LN(1+Supuestos!$E$5^2/Supuestos!$D$5^2)/2,SQRT(LN(1+Supuestos!$E$5^2/Supuestos!$D$5^2))),Supuestos!$D$5))))))</f>
        <v/>
      </c>
      <c r="J22" s="31">
        <f>MIN(IF(Supuestos!$H$6="",1E+99,Supuestos!$H$6),MAX(IF(Supuestos!$G$6="",-1E+99,Supuestos!$G$6),IF(Supuestos!$C$6="Normal",NORMINV(C22,Supuestos!$D$6,Supuestos!$E$6),IF(Supuestos!$C$6="Triangular",IF(C22&lt;(Supuestos!$E$6-Supuestos!$D$6)/(Supuestos!$F$6-Supuestos!$D$6),Supuestos!$D$6+SQRT(C22*(Supuestos!$F$6-Supuestos!$D$6)*(Supuestos!$E$6-Supuestos!$D$6)),Supuestos!$F$6-SQRT((1-C22)*(Supuestos!$F$6-Supuestos!$D$6)*(Supuestos!$F$6-Supuestos!$E$6))),IF(Supuestos!$C$6="Uniforme",Supuestos!$D$6+C22*(Supuestos!$E$6-Supuestos!$D$6),IF(Supuestos!$C$6="Lognormal",LOGINV(C22,LN(Supuestos!$D$6)-LN(1+Supuestos!$E$6^2/Supuestos!$D$6^2)/2,SQRT(LN(1+Supuestos!$E$6^2/Supuestos!$D$6^2))),Supuestos!$D$6))))))</f>
        <v/>
      </c>
      <c r="K22" s="32">
        <f>MIN(IF(Supuestos!$H$7="",1E+99,Supuestos!$H$7),MAX(IF(Supuestos!$G$7="",-1E+99,Supuestos!$G$7),IF(Supuestos!$C$7="Normal",NORMINV(D22,Supuestos!$D$7,Supuestos!$E$7),IF(Supuestos!$C$7="Triangular",IF(D22&lt;(Supuestos!$E$7-Supuestos!$D$7)/(Supuestos!$F$7-Supuestos!$D$7),Supuestos!$D$7+SQRT(D22*(Supuestos!$F$7-Supuestos!$D$7)*(Supuestos!$E$7-Supuestos!$D$7)),Supuestos!$F$7-SQRT((1-D22)*(Supuestos!$F$7-Supuestos!$D$7)*(Supuestos!$F$7-Supuestos!$E$7))),IF(Supuestos!$C$7="Uniforme",Supuestos!$D$7+D22*(Supuestos!$E$7-Supuestos!$D$7),IF(Supuestos!$C$7="Lognormal",LOGINV(D22,LN(Supuestos!$D$7)-LN(1+Supuestos!$E$7^2/Supuestos!$D$7^2)/2,SQRT(LN(1+Supuestos!$E$7^2/Supuestos!$D$7^2))),Supuestos!$D$7))))))</f>
        <v/>
      </c>
      <c r="L22" s="32">
        <f>MIN(IF(Supuestos!$H$8="",1E+99,Supuestos!$H$8),MAX(IF(Supuestos!$G$8="",-1E+99,Supuestos!$G$8),IF(Supuestos!$C$8="Normal",NORMINV(E22,Supuestos!$D$8,Supuestos!$E$8),IF(Supuestos!$C$8="Triangular",IF(E22&lt;(Supuestos!$E$8-Supuestos!$D$8)/(Supuestos!$F$8-Supuestos!$D$8),Supuestos!$D$8+SQRT(E22*(Supuestos!$F$8-Supuestos!$D$8)*(Supuestos!$E$8-Supuestos!$D$8)),Supuestos!$F$8-SQRT((1-E22)*(Supuestos!$F$8-Supuestos!$D$8)*(Supuestos!$F$8-Supuestos!$E$8))),IF(Supuestos!$C$8="Uniforme",Supuestos!$D$8+E22*(Supuestos!$E$8-Supuestos!$D$8),IF(Supuestos!$C$8="Lognormal",LOGINV(E22,LN(Supuestos!$D$8)-LN(1+Supuestos!$E$8^2/Supuestos!$D$8^2)/2,SQRT(LN(1+Supuestos!$E$8^2/Supuestos!$D$8^2))),Supuestos!$D$8))))))</f>
        <v/>
      </c>
      <c r="M22" s="32">
        <f>MIN(IF(Supuestos!$H$9="",1E+99,Supuestos!$H$9),MAX(IF(Supuestos!$G$9="",-1E+99,Supuestos!$G$9),IF(Supuestos!$C$9="Normal",NORMINV(F22,Supuestos!$D$9,Supuestos!$E$9),IF(Supuestos!$C$9="Triangular",IF(F22&lt;(Supuestos!$E$9-Supuestos!$D$9)/(Supuestos!$F$9-Supuestos!$D$9),Supuestos!$D$9+SQRT(F22*(Supuestos!$F$9-Supuestos!$D$9)*(Supuestos!$E$9-Supuestos!$D$9)),Supuestos!$F$9-SQRT((1-F22)*(Supuestos!$F$9-Supuestos!$D$9)*(Supuestos!$F$9-Supuestos!$E$9))),IF(Supuestos!$C$9="Uniforme",Supuestos!$D$9+F22*(Supuestos!$E$9-Supuestos!$D$9),IF(Supuestos!$C$9="Lognormal",LOGINV(F22,LN(Supuestos!$D$9)-LN(1+Supuestos!$E$9^2/Supuestos!$D$9^2)/2,SQRT(LN(1+Supuestos!$E$9^2/Supuestos!$D$9^2))),Supuestos!$D$9))))))</f>
        <v/>
      </c>
      <c r="N22" s="32">
        <f>MIN(IF(Supuestos!$H$10="",1E+99,Supuestos!$H$10),MAX(IF(Supuestos!$G$10="",-1E+99,Supuestos!$G$10),IF(Supuestos!$C$10="Normal",NORMINV(G22,Supuestos!$D$10,Supuestos!$E$10),IF(Supuestos!$C$10="Triangular",IF(G22&lt;(Supuestos!$E$10-Supuestos!$D$10)/(Supuestos!$F$10-Supuestos!$D$10),Supuestos!$D$10+SQRT(G22*(Supuestos!$F$10-Supuestos!$D$10)*(Supuestos!$E$10-Supuestos!$D$10)),Supuestos!$F$10-SQRT((1-G22)*(Supuestos!$F$10-Supuestos!$D$10)*(Supuestos!$F$10-Supuestos!$E$10))),IF(Supuestos!$C$10="Uniforme",Supuestos!$D$10+G22*(Supuestos!$E$10-Supuestos!$D$10),IF(Supuestos!$C$10="Lognormal",LOGINV(G22,LN(Supuestos!$D$10)-LN(1+Supuestos!$E$10^2/Supuestos!$D$10^2)/2,SQRT(LN(1+Supuestos!$E$10^2/Supuestos!$D$10^2))),Supuestos!$D$10))))))</f>
        <v/>
      </c>
      <c r="O22" s="31">
        <f>MIN(IF(Supuestos!$H$11="",1E+99,Supuestos!$H$11),MAX(IF(Supuestos!$G$11="",-1E+99,Supuestos!$G$11),IF(Supuestos!$C$11="Normal",NORMINV(H22,Supuestos!$D$11,Supuestos!$E$11),IF(Supuestos!$C$11="Triangular",IF(H22&lt;(Supuestos!$E$11-Supuestos!$D$11)/(Supuestos!$F$11-Supuestos!$D$11),Supuestos!$D$11+SQRT(H22*(Supuestos!$F$11-Supuestos!$D$11)*(Supuestos!$E$11-Supuestos!$D$11)),Supuestos!$F$11-SQRT((1-H22)*(Supuestos!$F$11-Supuestos!$D$11)*(Supuestos!$F$11-Supuestos!$E$11))),IF(Supuestos!$C$11="Uniforme",Supuestos!$D$11+H22*(Supuestos!$E$11-Supuestos!$D$11),IF(Supuestos!$C$11="Lognormal",LOGINV(H22,LN(Supuestos!$D$11)-LN(1+Supuestos!$E$11^2/Supuestos!$D$11^2)/2,SQRT(LN(1+Supuestos!$E$11^2/Supuestos!$D$11^2))),Supuestos!$D$11))))))</f>
        <v/>
      </c>
      <c r="P22" s="33">
        <f>-I22</f>
        <v/>
      </c>
      <c r="Q22" s="33">
        <f>$J22*(1+$K22)^(1-1)*(1-$L22)*(1-$M22)</f>
        <v/>
      </c>
      <c r="R22" s="33">
        <f>$J22*(1+$K22)^(2-1)*(1-$L22)*(1-$M22)</f>
        <v/>
      </c>
      <c r="S22" s="33">
        <f>$J22*(1+$K22)^(3-1)*(1-$L22)*(1-$M22)</f>
        <v/>
      </c>
      <c r="T22" s="33">
        <f>$J22*(1+$K22)^(4-1)*(1-$L22)*(1-$M22)</f>
        <v/>
      </c>
      <c r="U22" s="33">
        <f>$J22*(1+$K22)^(5-1)*(1-$L22)*(1-$M22)+$O22</f>
        <v/>
      </c>
      <c r="V22" s="33">
        <f>P22+NPV($N22,Q22:U22)</f>
        <v/>
      </c>
      <c r="W22" s="32">
        <f>IFERROR(IRR(P22:U22,0.1),"")</f>
        <v/>
      </c>
    </row>
    <row r="23">
      <c r="A23" s="14" t="n">
        <v>19</v>
      </c>
      <c r="B23" s="30">
        <f>RAND()*(1-2E-6)+1E-6</f>
        <v/>
      </c>
      <c r="C23" s="30">
        <f>RAND()*(1-2E-6)+1E-6</f>
        <v/>
      </c>
      <c r="D23" s="30">
        <f>RAND()*(1-2E-6)+1E-6</f>
        <v/>
      </c>
      <c r="E23" s="30">
        <f>RAND()*(1-2E-6)+1E-6</f>
        <v/>
      </c>
      <c r="F23" s="30">
        <f>RAND()*(1-2E-6)+1E-6</f>
        <v/>
      </c>
      <c r="G23" s="30">
        <f>RAND()*(1-2E-6)+1E-6</f>
        <v/>
      </c>
      <c r="H23" s="30">
        <f>RAND()*(1-2E-6)+1E-6</f>
        <v/>
      </c>
      <c r="I23" s="31">
        <f>MIN(IF(Supuestos!$H$5="",1E+99,Supuestos!$H$5),MAX(IF(Supuestos!$G$5="",-1E+99,Supuestos!$G$5),IF(Supuestos!$C$5="Normal",NORMINV(B23,Supuestos!$D$5,Supuestos!$E$5),IF(Supuestos!$C$5="Triangular",IF(B23&lt;(Supuestos!$E$5-Supuestos!$D$5)/(Supuestos!$F$5-Supuestos!$D$5),Supuestos!$D$5+SQRT(B23*(Supuestos!$F$5-Supuestos!$D$5)*(Supuestos!$E$5-Supuestos!$D$5)),Supuestos!$F$5-SQRT((1-B23)*(Supuestos!$F$5-Supuestos!$D$5)*(Supuestos!$F$5-Supuestos!$E$5))),IF(Supuestos!$C$5="Uniforme",Supuestos!$D$5+B23*(Supuestos!$E$5-Supuestos!$D$5),IF(Supuestos!$C$5="Lognormal",LOGINV(B23,LN(Supuestos!$D$5)-LN(1+Supuestos!$E$5^2/Supuestos!$D$5^2)/2,SQRT(LN(1+Supuestos!$E$5^2/Supuestos!$D$5^2))),Supuestos!$D$5))))))</f>
        <v/>
      </c>
      <c r="J23" s="31">
        <f>MIN(IF(Supuestos!$H$6="",1E+99,Supuestos!$H$6),MAX(IF(Supuestos!$G$6="",-1E+99,Supuestos!$G$6),IF(Supuestos!$C$6="Normal",NORMINV(C23,Supuestos!$D$6,Supuestos!$E$6),IF(Supuestos!$C$6="Triangular",IF(C23&lt;(Supuestos!$E$6-Supuestos!$D$6)/(Supuestos!$F$6-Supuestos!$D$6),Supuestos!$D$6+SQRT(C23*(Supuestos!$F$6-Supuestos!$D$6)*(Supuestos!$E$6-Supuestos!$D$6)),Supuestos!$F$6-SQRT((1-C23)*(Supuestos!$F$6-Supuestos!$D$6)*(Supuestos!$F$6-Supuestos!$E$6))),IF(Supuestos!$C$6="Uniforme",Supuestos!$D$6+C23*(Supuestos!$E$6-Supuestos!$D$6),IF(Supuestos!$C$6="Lognormal",LOGINV(C23,LN(Supuestos!$D$6)-LN(1+Supuestos!$E$6^2/Supuestos!$D$6^2)/2,SQRT(LN(1+Supuestos!$E$6^2/Supuestos!$D$6^2))),Supuestos!$D$6))))))</f>
        <v/>
      </c>
      <c r="K23" s="32">
        <f>MIN(IF(Supuestos!$H$7="",1E+99,Supuestos!$H$7),MAX(IF(Supuestos!$G$7="",-1E+99,Supuestos!$G$7),IF(Supuestos!$C$7="Normal",NORMINV(D23,Supuestos!$D$7,Supuestos!$E$7),IF(Supuestos!$C$7="Triangular",IF(D23&lt;(Supuestos!$E$7-Supuestos!$D$7)/(Supuestos!$F$7-Supuestos!$D$7),Supuestos!$D$7+SQRT(D23*(Supuestos!$F$7-Supuestos!$D$7)*(Supuestos!$E$7-Supuestos!$D$7)),Supuestos!$F$7-SQRT((1-D23)*(Supuestos!$F$7-Supuestos!$D$7)*(Supuestos!$F$7-Supuestos!$E$7))),IF(Supuestos!$C$7="Uniforme",Supuestos!$D$7+D23*(Supuestos!$E$7-Supuestos!$D$7),IF(Supuestos!$C$7="Lognormal",LOGINV(D23,LN(Supuestos!$D$7)-LN(1+Supuestos!$E$7^2/Supuestos!$D$7^2)/2,SQRT(LN(1+Supuestos!$E$7^2/Supuestos!$D$7^2))),Supuestos!$D$7))))))</f>
        <v/>
      </c>
      <c r="L23" s="32">
        <f>MIN(IF(Supuestos!$H$8="",1E+99,Supuestos!$H$8),MAX(IF(Supuestos!$G$8="",-1E+99,Supuestos!$G$8),IF(Supuestos!$C$8="Normal",NORMINV(E23,Supuestos!$D$8,Supuestos!$E$8),IF(Supuestos!$C$8="Triangular",IF(E23&lt;(Supuestos!$E$8-Supuestos!$D$8)/(Supuestos!$F$8-Supuestos!$D$8),Supuestos!$D$8+SQRT(E23*(Supuestos!$F$8-Supuestos!$D$8)*(Supuestos!$E$8-Supuestos!$D$8)),Supuestos!$F$8-SQRT((1-E23)*(Supuestos!$F$8-Supuestos!$D$8)*(Supuestos!$F$8-Supuestos!$E$8))),IF(Supuestos!$C$8="Uniforme",Supuestos!$D$8+E23*(Supuestos!$E$8-Supuestos!$D$8),IF(Supuestos!$C$8="Lognormal",LOGINV(E23,LN(Supuestos!$D$8)-LN(1+Supuestos!$E$8^2/Supuestos!$D$8^2)/2,SQRT(LN(1+Supuestos!$E$8^2/Supuestos!$D$8^2))),Supuestos!$D$8))))))</f>
        <v/>
      </c>
      <c r="M23" s="32">
        <f>MIN(IF(Supuestos!$H$9="",1E+99,Supuestos!$H$9),MAX(IF(Supuestos!$G$9="",-1E+99,Supuestos!$G$9),IF(Supuestos!$C$9="Normal",NORMINV(F23,Supuestos!$D$9,Supuestos!$E$9),IF(Supuestos!$C$9="Triangular",IF(F23&lt;(Supuestos!$E$9-Supuestos!$D$9)/(Supuestos!$F$9-Supuestos!$D$9),Supuestos!$D$9+SQRT(F23*(Supuestos!$F$9-Supuestos!$D$9)*(Supuestos!$E$9-Supuestos!$D$9)),Supuestos!$F$9-SQRT((1-F23)*(Supuestos!$F$9-Supuestos!$D$9)*(Supuestos!$F$9-Supuestos!$E$9))),IF(Supuestos!$C$9="Uniforme",Supuestos!$D$9+F23*(Supuestos!$E$9-Supuestos!$D$9),IF(Supuestos!$C$9="Lognormal",LOGINV(F23,LN(Supuestos!$D$9)-LN(1+Supuestos!$E$9^2/Supuestos!$D$9^2)/2,SQRT(LN(1+Supuestos!$E$9^2/Supuestos!$D$9^2))),Supuestos!$D$9))))))</f>
        <v/>
      </c>
      <c r="N23" s="32">
        <f>MIN(IF(Supuestos!$H$10="",1E+99,Supuestos!$H$10),MAX(IF(Supuestos!$G$10="",-1E+99,Supuestos!$G$10),IF(Supuestos!$C$10="Normal",NORMINV(G23,Supuestos!$D$10,Supuestos!$E$10),IF(Supuestos!$C$10="Triangular",IF(G23&lt;(Supuestos!$E$10-Supuestos!$D$10)/(Supuestos!$F$10-Supuestos!$D$10),Supuestos!$D$10+SQRT(G23*(Supuestos!$F$10-Supuestos!$D$10)*(Supuestos!$E$10-Supuestos!$D$10)),Supuestos!$F$10-SQRT((1-G23)*(Supuestos!$F$10-Supuestos!$D$10)*(Supuestos!$F$10-Supuestos!$E$10))),IF(Supuestos!$C$10="Uniforme",Supuestos!$D$10+G23*(Supuestos!$E$10-Supuestos!$D$10),IF(Supuestos!$C$10="Lognormal",LOGINV(G23,LN(Supuestos!$D$10)-LN(1+Supuestos!$E$10^2/Supuestos!$D$10^2)/2,SQRT(LN(1+Supuestos!$E$10^2/Supuestos!$D$10^2))),Supuestos!$D$10))))))</f>
        <v/>
      </c>
      <c r="O23" s="31">
        <f>MIN(IF(Supuestos!$H$11="",1E+99,Supuestos!$H$11),MAX(IF(Supuestos!$G$11="",-1E+99,Supuestos!$G$11),IF(Supuestos!$C$11="Normal",NORMINV(H23,Supuestos!$D$11,Supuestos!$E$11),IF(Supuestos!$C$11="Triangular",IF(H23&lt;(Supuestos!$E$11-Supuestos!$D$11)/(Supuestos!$F$11-Supuestos!$D$11),Supuestos!$D$11+SQRT(H23*(Supuestos!$F$11-Supuestos!$D$11)*(Supuestos!$E$11-Supuestos!$D$11)),Supuestos!$F$11-SQRT((1-H23)*(Supuestos!$F$11-Supuestos!$D$11)*(Supuestos!$F$11-Supuestos!$E$11))),IF(Supuestos!$C$11="Uniforme",Supuestos!$D$11+H23*(Supuestos!$E$11-Supuestos!$D$11),IF(Supuestos!$C$11="Lognormal",LOGINV(H23,LN(Supuestos!$D$11)-LN(1+Supuestos!$E$11^2/Supuestos!$D$11^2)/2,SQRT(LN(1+Supuestos!$E$11^2/Supuestos!$D$11^2))),Supuestos!$D$11))))))</f>
        <v/>
      </c>
      <c r="P23" s="33">
        <f>-I23</f>
        <v/>
      </c>
      <c r="Q23" s="33">
        <f>$J23*(1+$K23)^(1-1)*(1-$L23)*(1-$M23)</f>
        <v/>
      </c>
      <c r="R23" s="33">
        <f>$J23*(1+$K23)^(2-1)*(1-$L23)*(1-$M23)</f>
        <v/>
      </c>
      <c r="S23" s="33">
        <f>$J23*(1+$K23)^(3-1)*(1-$L23)*(1-$M23)</f>
        <v/>
      </c>
      <c r="T23" s="33">
        <f>$J23*(1+$K23)^(4-1)*(1-$L23)*(1-$M23)</f>
        <v/>
      </c>
      <c r="U23" s="33">
        <f>$J23*(1+$K23)^(5-1)*(1-$L23)*(1-$M23)+$O23</f>
        <v/>
      </c>
      <c r="V23" s="33">
        <f>P23+NPV($N23,Q23:U23)</f>
        <v/>
      </c>
      <c r="W23" s="32">
        <f>IFERROR(IRR(P23:U23,0.1),"")</f>
        <v/>
      </c>
    </row>
    <row r="24">
      <c r="A24" s="14" t="n">
        <v>20</v>
      </c>
      <c r="B24" s="30">
        <f>RAND()*(1-2E-6)+1E-6</f>
        <v/>
      </c>
      <c r="C24" s="30">
        <f>RAND()*(1-2E-6)+1E-6</f>
        <v/>
      </c>
      <c r="D24" s="30">
        <f>RAND()*(1-2E-6)+1E-6</f>
        <v/>
      </c>
      <c r="E24" s="30">
        <f>RAND()*(1-2E-6)+1E-6</f>
        <v/>
      </c>
      <c r="F24" s="30">
        <f>RAND()*(1-2E-6)+1E-6</f>
        <v/>
      </c>
      <c r="G24" s="30">
        <f>RAND()*(1-2E-6)+1E-6</f>
        <v/>
      </c>
      <c r="H24" s="30">
        <f>RAND()*(1-2E-6)+1E-6</f>
        <v/>
      </c>
      <c r="I24" s="31">
        <f>MIN(IF(Supuestos!$H$5="",1E+99,Supuestos!$H$5),MAX(IF(Supuestos!$G$5="",-1E+99,Supuestos!$G$5),IF(Supuestos!$C$5="Normal",NORMINV(B24,Supuestos!$D$5,Supuestos!$E$5),IF(Supuestos!$C$5="Triangular",IF(B24&lt;(Supuestos!$E$5-Supuestos!$D$5)/(Supuestos!$F$5-Supuestos!$D$5),Supuestos!$D$5+SQRT(B24*(Supuestos!$F$5-Supuestos!$D$5)*(Supuestos!$E$5-Supuestos!$D$5)),Supuestos!$F$5-SQRT((1-B24)*(Supuestos!$F$5-Supuestos!$D$5)*(Supuestos!$F$5-Supuestos!$E$5))),IF(Supuestos!$C$5="Uniforme",Supuestos!$D$5+B24*(Supuestos!$E$5-Supuestos!$D$5),IF(Supuestos!$C$5="Lognormal",LOGINV(B24,LN(Supuestos!$D$5)-LN(1+Supuestos!$E$5^2/Supuestos!$D$5^2)/2,SQRT(LN(1+Supuestos!$E$5^2/Supuestos!$D$5^2))),Supuestos!$D$5))))))</f>
        <v/>
      </c>
      <c r="J24" s="31">
        <f>MIN(IF(Supuestos!$H$6="",1E+99,Supuestos!$H$6),MAX(IF(Supuestos!$G$6="",-1E+99,Supuestos!$G$6),IF(Supuestos!$C$6="Normal",NORMINV(C24,Supuestos!$D$6,Supuestos!$E$6),IF(Supuestos!$C$6="Triangular",IF(C24&lt;(Supuestos!$E$6-Supuestos!$D$6)/(Supuestos!$F$6-Supuestos!$D$6),Supuestos!$D$6+SQRT(C24*(Supuestos!$F$6-Supuestos!$D$6)*(Supuestos!$E$6-Supuestos!$D$6)),Supuestos!$F$6-SQRT((1-C24)*(Supuestos!$F$6-Supuestos!$D$6)*(Supuestos!$F$6-Supuestos!$E$6))),IF(Supuestos!$C$6="Uniforme",Supuestos!$D$6+C24*(Supuestos!$E$6-Supuestos!$D$6),IF(Supuestos!$C$6="Lognormal",LOGINV(C24,LN(Supuestos!$D$6)-LN(1+Supuestos!$E$6^2/Supuestos!$D$6^2)/2,SQRT(LN(1+Supuestos!$E$6^2/Supuestos!$D$6^2))),Supuestos!$D$6))))))</f>
        <v/>
      </c>
      <c r="K24" s="32">
        <f>MIN(IF(Supuestos!$H$7="",1E+99,Supuestos!$H$7),MAX(IF(Supuestos!$G$7="",-1E+99,Supuestos!$G$7),IF(Supuestos!$C$7="Normal",NORMINV(D24,Supuestos!$D$7,Supuestos!$E$7),IF(Supuestos!$C$7="Triangular",IF(D24&lt;(Supuestos!$E$7-Supuestos!$D$7)/(Supuestos!$F$7-Supuestos!$D$7),Supuestos!$D$7+SQRT(D24*(Supuestos!$F$7-Supuestos!$D$7)*(Supuestos!$E$7-Supuestos!$D$7)),Supuestos!$F$7-SQRT((1-D24)*(Supuestos!$F$7-Supuestos!$D$7)*(Supuestos!$F$7-Supuestos!$E$7))),IF(Supuestos!$C$7="Uniforme",Supuestos!$D$7+D24*(Supuestos!$E$7-Supuestos!$D$7),IF(Supuestos!$C$7="Lognormal",LOGINV(D24,LN(Supuestos!$D$7)-LN(1+Supuestos!$E$7^2/Supuestos!$D$7^2)/2,SQRT(LN(1+Supuestos!$E$7^2/Supuestos!$D$7^2))),Supuestos!$D$7))))))</f>
        <v/>
      </c>
      <c r="L24" s="32">
        <f>MIN(IF(Supuestos!$H$8="",1E+99,Supuestos!$H$8),MAX(IF(Supuestos!$G$8="",-1E+99,Supuestos!$G$8),IF(Supuestos!$C$8="Normal",NORMINV(E24,Supuestos!$D$8,Supuestos!$E$8),IF(Supuestos!$C$8="Triangular",IF(E24&lt;(Supuestos!$E$8-Supuestos!$D$8)/(Supuestos!$F$8-Supuestos!$D$8),Supuestos!$D$8+SQRT(E24*(Supuestos!$F$8-Supuestos!$D$8)*(Supuestos!$E$8-Supuestos!$D$8)),Supuestos!$F$8-SQRT((1-E24)*(Supuestos!$F$8-Supuestos!$D$8)*(Supuestos!$F$8-Supuestos!$E$8))),IF(Supuestos!$C$8="Uniforme",Supuestos!$D$8+E24*(Supuestos!$E$8-Supuestos!$D$8),IF(Supuestos!$C$8="Lognormal",LOGINV(E24,LN(Supuestos!$D$8)-LN(1+Supuestos!$E$8^2/Supuestos!$D$8^2)/2,SQRT(LN(1+Supuestos!$E$8^2/Supuestos!$D$8^2))),Supuestos!$D$8))))))</f>
        <v/>
      </c>
      <c r="M24" s="32">
        <f>MIN(IF(Supuestos!$H$9="",1E+99,Supuestos!$H$9),MAX(IF(Supuestos!$G$9="",-1E+99,Supuestos!$G$9),IF(Supuestos!$C$9="Normal",NORMINV(F24,Supuestos!$D$9,Supuestos!$E$9),IF(Supuestos!$C$9="Triangular",IF(F24&lt;(Supuestos!$E$9-Supuestos!$D$9)/(Supuestos!$F$9-Supuestos!$D$9),Supuestos!$D$9+SQRT(F24*(Supuestos!$F$9-Supuestos!$D$9)*(Supuestos!$E$9-Supuestos!$D$9)),Supuestos!$F$9-SQRT((1-F24)*(Supuestos!$F$9-Supuestos!$D$9)*(Supuestos!$F$9-Supuestos!$E$9))),IF(Supuestos!$C$9="Uniforme",Supuestos!$D$9+F24*(Supuestos!$E$9-Supuestos!$D$9),IF(Supuestos!$C$9="Lognormal",LOGINV(F24,LN(Supuestos!$D$9)-LN(1+Supuestos!$E$9^2/Supuestos!$D$9^2)/2,SQRT(LN(1+Supuestos!$E$9^2/Supuestos!$D$9^2))),Supuestos!$D$9))))))</f>
        <v/>
      </c>
      <c r="N24" s="32">
        <f>MIN(IF(Supuestos!$H$10="",1E+99,Supuestos!$H$10),MAX(IF(Supuestos!$G$10="",-1E+99,Supuestos!$G$10),IF(Supuestos!$C$10="Normal",NORMINV(G24,Supuestos!$D$10,Supuestos!$E$10),IF(Supuestos!$C$10="Triangular",IF(G24&lt;(Supuestos!$E$10-Supuestos!$D$10)/(Supuestos!$F$10-Supuestos!$D$10),Supuestos!$D$10+SQRT(G24*(Supuestos!$F$10-Supuestos!$D$10)*(Supuestos!$E$10-Supuestos!$D$10)),Supuestos!$F$10-SQRT((1-G24)*(Supuestos!$F$10-Supuestos!$D$10)*(Supuestos!$F$10-Supuestos!$E$10))),IF(Supuestos!$C$10="Uniforme",Supuestos!$D$10+G24*(Supuestos!$E$10-Supuestos!$D$10),IF(Supuestos!$C$10="Lognormal",LOGINV(G24,LN(Supuestos!$D$10)-LN(1+Supuestos!$E$10^2/Supuestos!$D$10^2)/2,SQRT(LN(1+Supuestos!$E$10^2/Supuestos!$D$10^2))),Supuestos!$D$10))))))</f>
        <v/>
      </c>
      <c r="O24" s="31">
        <f>MIN(IF(Supuestos!$H$11="",1E+99,Supuestos!$H$11),MAX(IF(Supuestos!$G$11="",-1E+99,Supuestos!$G$11),IF(Supuestos!$C$11="Normal",NORMINV(H24,Supuestos!$D$11,Supuestos!$E$11),IF(Supuestos!$C$11="Triangular",IF(H24&lt;(Supuestos!$E$11-Supuestos!$D$11)/(Supuestos!$F$11-Supuestos!$D$11),Supuestos!$D$11+SQRT(H24*(Supuestos!$F$11-Supuestos!$D$11)*(Supuestos!$E$11-Supuestos!$D$11)),Supuestos!$F$11-SQRT((1-H24)*(Supuestos!$F$11-Supuestos!$D$11)*(Supuestos!$F$11-Supuestos!$E$11))),IF(Supuestos!$C$11="Uniforme",Supuestos!$D$11+H24*(Supuestos!$E$11-Supuestos!$D$11),IF(Supuestos!$C$11="Lognormal",LOGINV(H24,LN(Supuestos!$D$11)-LN(1+Supuestos!$E$11^2/Supuestos!$D$11^2)/2,SQRT(LN(1+Supuestos!$E$11^2/Supuestos!$D$11^2))),Supuestos!$D$11))))))</f>
        <v/>
      </c>
      <c r="P24" s="33">
        <f>-I24</f>
        <v/>
      </c>
      <c r="Q24" s="33">
        <f>$J24*(1+$K24)^(1-1)*(1-$L24)*(1-$M24)</f>
        <v/>
      </c>
      <c r="R24" s="33">
        <f>$J24*(1+$K24)^(2-1)*(1-$L24)*(1-$M24)</f>
        <v/>
      </c>
      <c r="S24" s="33">
        <f>$J24*(1+$K24)^(3-1)*(1-$L24)*(1-$M24)</f>
        <v/>
      </c>
      <c r="T24" s="33">
        <f>$J24*(1+$K24)^(4-1)*(1-$L24)*(1-$M24)</f>
        <v/>
      </c>
      <c r="U24" s="33">
        <f>$J24*(1+$K24)^(5-1)*(1-$L24)*(1-$M24)+$O24</f>
        <v/>
      </c>
      <c r="V24" s="33">
        <f>P24+NPV($N24,Q24:U24)</f>
        <v/>
      </c>
      <c r="W24" s="32">
        <f>IFERROR(IRR(P24:U24,0.1),"")</f>
        <v/>
      </c>
    </row>
    <row r="25">
      <c r="A25" s="14" t="n">
        <v>21</v>
      </c>
      <c r="B25" s="30">
        <f>RAND()*(1-2E-6)+1E-6</f>
        <v/>
      </c>
      <c r="C25" s="30">
        <f>RAND()*(1-2E-6)+1E-6</f>
        <v/>
      </c>
      <c r="D25" s="30">
        <f>RAND()*(1-2E-6)+1E-6</f>
        <v/>
      </c>
      <c r="E25" s="30">
        <f>RAND()*(1-2E-6)+1E-6</f>
        <v/>
      </c>
      <c r="F25" s="30">
        <f>RAND()*(1-2E-6)+1E-6</f>
        <v/>
      </c>
      <c r="G25" s="30">
        <f>RAND()*(1-2E-6)+1E-6</f>
        <v/>
      </c>
      <c r="H25" s="30">
        <f>RAND()*(1-2E-6)+1E-6</f>
        <v/>
      </c>
      <c r="I25" s="31">
        <f>MIN(IF(Supuestos!$H$5="",1E+99,Supuestos!$H$5),MAX(IF(Supuestos!$G$5="",-1E+99,Supuestos!$G$5),IF(Supuestos!$C$5="Normal",NORMINV(B25,Supuestos!$D$5,Supuestos!$E$5),IF(Supuestos!$C$5="Triangular",IF(B25&lt;(Supuestos!$E$5-Supuestos!$D$5)/(Supuestos!$F$5-Supuestos!$D$5),Supuestos!$D$5+SQRT(B25*(Supuestos!$F$5-Supuestos!$D$5)*(Supuestos!$E$5-Supuestos!$D$5)),Supuestos!$F$5-SQRT((1-B25)*(Supuestos!$F$5-Supuestos!$D$5)*(Supuestos!$F$5-Supuestos!$E$5))),IF(Supuestos!$C$5="Uniforme",Supuestos!$D$5+B25*(Supuestos!$E$5-Supuestos!$D$5),IF(Supuestos!$C$5="Lognormal",LOGINV(B25,LN(Supuestos!$D$5)-LN(1+Supuestos!$E$5^2/Supuestos!$D$5^2)/2,SQRT(LN(1+Supuestos!$E$5^2/Supuestos!$D$5^2))),Supuestos!$D$5))))))</f>
        <v/>
      </c>
      <c r="J25" s="31">
        <f>MIN(IF(Supuestos!$H$6="",1E+99,Supuestos!$H$6),MAX(IF(Supuestos!$G$6="",-1E+99,Supuestos!$G$6),IF(Supuestos!$C$6="Normal",NORMINV(C25,Supuestos!$D$6,Supuestos!$E$6),IF(Supuestos!$C$6="Triangular",IF(C25&lt;(Supuestos!$E$6-Supuestos!$D$6)/(Supuestos!$F$6-Supuestos!$D$6),Supuestos!$D$6+SQRT(C25*(Supuestos!$F$6-Supuestos!$D$6)*(Supuestos!$E$6-Supuestos!$D$6)),Supuestos!$F$6-SQRT((1-C25)*(Supuestos!$F$6-Supuestos!$D$6)*(Supuestos!$F$6-Supuestos!$E$6))),IF(Supuestos!$C$6="Uniforme",Supuestos!$D$6+C25*(Supuestos!$E$6-Supuestos!$D$6),IF(Supuestos!$C$6="Lognormal",LOGINV(C25,LN(Supuestos!$D$6)-LN(1+Supuestos!$E$6^2/Supuestos!$D$6^2)/2,SQRT(LN(1+Supuestos!$E$6^2/Supuestos!$D$6^2))),Supuestos!$D$6))))))</f>
        <v/>
      </c>
      <c r="K25" s="32">
        <f>MIN(IF(Supuestos!$H$7="",1E+99,Supuestos!$H$7),MAX(IF(Supuestos!$G$7="",-1E+99,Supuestos!$G$7),IF(Supuestos!$C$7="Normal",NORMINV(D25,Supuestos!$D$7,Supuestos!$E$7),IF(Supuestos!$C$7="Triangular",IF(D25&lt;(Supuestos!$E$7-Supuestos!$D$7)/(Supuestos!$F$7-Supuestos!$D$7),Supuestos!$D$7+SQRT(D25*(Supuestos!$F$7-Supuestos!$D$7)*(Supuestos!$E$7-Supuestos!$D$7)),Supuestos!$F$7-SQRT((1-D25)*(Supuestos!$F$7-Supuestos!$D$7)*(Supuestos!$F$7-Supuestos!$E$7))),IF(Supuestos!$C$7="Uniforme",Supuestos!$D$7+D25*(Supuestos!$E$7-Supuestos!$D$7),IF(Supuestos!$C$7="Lognormal",LOGINV(D25,LN(Supuestos!$D$7)-LN(1+Supuestos!$E$7^2/Supuestos!$D$7^2)/2,SQRT(LN(1+Supuestos!$E$7^2/Supuestos!$D$7^2))),Supuestos!$D$7))))))</f>
        <v/>
      </c>
      <c r="L25" s="32">
        <f>MIN(IF(Supuestos!$H$8="",1E+99,Supuestos!$H$8),MAX(IF(Supuestos!$G$8="",-1E+99,Supuestos!$G$8),IF(Supuestos!$C$8="Normal",NORMINV(E25,Supuestos!$D$8,Supuestos!$E$8),IF(Supuestos!$C$8="Triangular",IF(E25&lt;(Supuestos!$E$8-Supuestos!$D$8)/(Supuestos!$F$8-Supuestos!$D$8),Supuestos!$D$8+SQRT(E25*(Supuestos!$F$8-Supuestos!$D$8)*(Supuestos!$E$8-Supuestos!$D$8)),Supuestos!$F$8-SQRT((1-E25)*(Supuestos!$F$8-Supuestos!$D$8)*(Supuestos!$F$8-Supuestos!$E$8))),IF(Supuestos!$C$8="Uniforme",Supuestos!$D$8+E25*(Supuestos!$E$8-Supuestos!$D$8),IF(Supuestos!$C$8="Lognormal",LOGINV(E25,LN(Supuestos!$D$8)-LN(1+Supuestos!$E$8^2/Supuestos!$D$8^2)/2,SQRT(LN(1+Supuestos!$E$8^2/Supuestos!$D$8^2))),Supuestos!$D$8))))))</f>
        <v/>
      </c>
      <c r="M25" s="32">
        <f>MIN(IF(Supuestos!$H$9="",1E+99,Supuestos!$H$9),MAX(IF(Supuestos!$G$9="",-1E+99,Supuestos!$G$9),IF(Supuestos!$C$9="Normal",NORMINV(F25,Supuestos!$D$9,Supuestos!$E$9),IF(Supuestos!$C$9="Triangular",IF(F25&lt;(Supuestos!$E$9-Supuestos!$D$9)/(Supuestos!$F$9-Supuestos!$D$9),Supuestos!$D$9+SQRT(F25*(Supuestos!$F$9-Supuestos!$D$9)*(Supuestos!$E$9-Supuestos!$D$9)),Supuestos!$F$9-SQRT((1-F25)*(Supuestos!$F$9-Supuestos!$D$9)*(Supuestos!$F$9-Supuestos!$E$9))),IF(Supuestos!$C$9="Uniforme",Supuestos!$D$9+F25*(Supuestos!$E$9-Supuestos!$D$9),IF(Supuestos!$C$9="Lognormal",LOGINV(F25,LN(Supuestos!$D$9)-LN(1+Supuestos!$E$9^2/Supuestos!$D$9^2)/2,SQRT(LN(1+Supuestos!$E$9^2/Supuestos!$D$9^2))),Supuestos!$D$9))))))</f>
        <v/>
      </c>
      <c r="N25" s="32">
        <f>MIN(IF(Supuestos!$H$10="",1E+99,Supuestos!$H$10),MAX(IF(Supuestos!$G$10="",-1E+99,Supuestos!$G$10),IF(Supuestos!$C$10="Normal",NORMINV(G25,Supuestos!$D$10,Supuestos!$E$10),IF(Supuestos!$C$10="Triangular",IF(G25&lt;(Supuestos!$E$10-Supuestos!$D$10)/(Supuestos!$F$10-Supuestos!$D$10),Supuestos!$D$10+SQRT(G25*(Supuestos!$F$10-Supuestos!$D$10)*(Supuestos!$E$10-Supuestos!$D$10)),Supuestos!$F$10-SQRT((1-G25)*(Supuestos!$F$10-Supuestos!$D$10)*(Supuestos!$F$10-Supuestos!$E$10))),IF(Supuestos!$C$10="Uniforme",Supuestos!$D$10+G25*(Supuestos!$E$10-Supuestos!$D$10),IF(Supuestos!$C$10="Lognormal",LOGINV(G25,LN(Supuestos!$D$10)-LN(1+Supuestos!$E$10^2/Supuestos!$D$10^2)/2,SQRT(LN(1+Supuestos!$E$10^2/Supuestos!$D$10^2))),Supuestos!$D$10))))))</f>
        <v/>
      </c>
      <c r="O25" s="31">
        <f>MIN(IF(Supuestos!$H$11="",1E+99,Supuestos!$H$11),MAX(IF(Supuestos!$G$11="",-1E+99,Supuestos!$G$11),IF(Supuestos!$C$11="Normal",NORMINV(H25,Supuestos!$D$11,Supuestos!$E$11),IF(Supuestos!$C$11="Triangular",IF(H25&lt;(Supuestos!$E$11-Supuestos!$D$11)/(Supuestos!$F$11-Supuestos!$D$11),Supuestos!$D$11+SQRT(H25*(Supuestos!$F$11-Supuestos!$D$11)*(Supuestos!$E$11-Supuestos!$D$11)),Supuestos!$F$11-SQRT((1-H25)*(Supuestos!$F$11-Supuestos!$D$11)*(Supuestos!$F$11-Supuestos!$E$11))),IF(Supuestos!$C$11="Uniforme",Supuestos!$D$11+H25*(Supuestos!$E$11-Supuestos!$D$11),IF(Supuestos!$C$11="Lognormal",LOGINV(H25,LN(Supuestos!$D$11)-LN(1+Supuestos!$E$11^2/Supuestos!$D$11^2)/2,SQRT(LN(1+Supuestos!$E$11^2/Supuestos!$D$11^2))),Supuestos!$D$11))))))</f>
        <v/>
      </c>
      <c r="P25" s="33">
        <f>-I25</f>
        <v/>
      </c>
      <c r="Q25" s="33">
        <f>$J25*(1+$K25)^(1-1)*(1-$L25)*(1-$M25)</f>
        <v/>
      </c>
      <c r="R25" s="33">
        <f>$J25*(1+$K25)^(2-1)*(1-$L25)*(1-$M25)</f>
        <v/>
      </c>
      <c r="S25" s="33">
        <f>$J25*(1+$K25)^(3-1)*(1-$L25)*(1-$M25)</f>
        <v/>
      </c>
      <c r="T25" s="33">
        <f>$J25*(1+$K25)^(4-1)*(1-$L25)*(1-$M25)</f>
        <v/>
      </c>
      <c r="U25" s="33">
        <f>$J25*(1+$K25)^(5-1)*(1-$L25)*(1-$M25)+$O25</f>
        <v/>
      </c>
      <c r="V25" s="33">
        <f>P25+NPV($N25,Q25:U25)</f>
        <v/>
      </c>
      <c r="W25" s="32">
        <f>IFERROR(IRR(P25:U25,0.1),"")</f>
        <v/>
      </c>
    </row>
    <row r="26">
      <c r="A26" s="14" t="n">
        <v>22</v>
      </c>
      <c r="B26" s="30">
        <f>RAND()*(1-2E-6)+1E-6</f>
        <v/>
      </c>
      <c r="C26" s="30">
        <f>RAND()*(1-2E-6)+1E-6</f>
        <v/>
      </c>
      <c r="D26" s="30">
        <f>RAND()*(1-2E-6)+1E-6</f>
        <v/>
      </c>
      <c r="E26" s="30">
        <f>RAND()*(1-2E-6)+1E-6</f>
        <v/>
      </c>
      <c r="F26" s="30">
        <f>RAND()*(1-2E-6)+1E-6</f>
        <v/>
      </c>
      <c r="G26" s="30">
        <f>RAND()*(1-2E-6)+1E-6</f>
        <v/>
      </c>
      <c r="H26" s="30">
        <f>RAND()*(1-2E-6)+1E-6</f>
        <v/>
      </c>
      <c r="I26" s="31">
        <f>MIN(IF(Supuestos!$H$5="",1E+99,Supuestos!$H$5),MAX(IF(Supuestos!$G$5="",-1E+99,Supuestos!$G$5),IF(Supuestos!$C$5="Normal",NORMINV(B26,Supuestos!$D$5,Supuestos!$E$5),IF(Supuestos!$C$5="Triangular",IF(B26&lt;(Supuestos!$E$5-Supuestos!$D$5)/(Supuestos!$F$5-Supuestos!$D$5),Supuestos!$D$5+SQRT(B26*(Supuestos!$F$5-Supuestos!$D$5)*(Supuestos!$E$5-Supuestos!$D$5)),Supuestos!$F$5-SQRT((1-B26)*(Supuestos!$F$5-Supuestos!$D$5)*(Supuestos!$F$5-Supuestos!$E$5))),IF(Supuestos!$C$5="Uniforme",Supuestos!$D$5+B26*(Supuestos!$E$5-Supuestos!$D$5),IF(Supuestos!$C$5="Lognormal",LOGINV(B26,LN(Supuestos!$D$5)-LN(1+Supuestos!$E$5^2/Supuestos!$D$5^2)/2,SQRT(LN(1+Supuestos!$E$5^2/Supuestos!$D$5^2))),Supuestos!$D$5))))))</f>
        <v/>
      </c>
      <c r="J26" s="31">
        <f>MIN(IF(Supuestos!$H$6="",1E+99,Supuestos!$H$6),MAX(IF(Supuestos!$G$6="",-1E+99,Supuestos!$G$6),IF(Supuestos!$C$6="Normal",NORMINV(C26,Supuestos!$D$6,Supuestos!$E$6),IF(Supuestos!$C$6="Triangular",IF(C26&lt;(Supuestos!$E$6-Supuestos!$D$6)/(Supuestos!$F$6-Supuestos!$D$6),Supuestos!$D$6+SQRT(C26*(Supuestos!$F$6-Supuestos!$D$6)*(Supuestos!$E$6-Supuestos!$D$6)),Supuestos!$F$6-SQRT((1-C26)*(Supuestos!$F$6-Supuestos!$D$6)*(Supuestos!$F$6-Supuestos!$E$6))),IF(Supuestos!$C$6="Uniforme",Supuestos!$D$6+C26*(Supuestos!$E$6-Supuestos!$D$6),IF(Supuestos!$C$6="Lognormal",LOGINV(C26,LN(Supuestos!$D$6)-LN(1+Supuestos!$E$6^2/Supuestos!$D$6^2)/2,SQRT(LN(1+Supuestos!$E$6^2/Supuestos!$D$6^2))),Supuestos!$D$6))))))</f>
        <v/>
      </c>
      <c r="K26" s="32">
        <f>MIN(IF(Supuestos!$H$7="",1E+99,Supuestos!$H$7),MAX(IF(Supuestos!$G$7="",-1E+99,Supuestos!$G$7),IF(Supuestos!$C$7="Normal",NORMINV(D26,Supuestos!$D$7,Supuestos!$E$7),IF(Supuestos!$C$7="Triangular",IF(D26&lt;(Supuestos!$E$7-Supuestos!$D$7)/(Supuestos!$F$7-Supuestos!$D$7),Supuestos!$D$7+SQRT(D26*(Supuestos!$F$7-Supuestos!$D$7)*(Supuestos!$E$7-Supuestos!$D$7)),Supuestos!$F$7-SQRT((1-D26)*(Supuestos!$F$7-Supuestos!$D$7)*(Supuestos!$F$7-Supuestos!$E$7))),IF(Supuestos!$C$7="Uniforme",Supuestos!$D$7+D26*(Supuestos!$E$7-Supuestos!$D$7),IF(Supuestos!$C$7="Lognormal",LOGINV(D26,LN(Supuestos!$D$7)-LN(1+Supuestos!$E$7^2/Supuestos!$D$7^2)/2,SQRT(LN(1+Supuestos!$E$7^2/Supuestos!$D$7^2))),Supuestos!$D$7))))))</f>
        <v/>
      </c>
      <c r="L26" s="32">
        <f>MIN(IF(Supuestos!$H$8="",1E+99,Supuestos!$H$8),MAX(IF(Supuestos!$G$8="",-1E+99,Supuestos!$G$8),IF(Supuestos!$C$8="Normal",NORMINV(E26,Supuestos!$D$8,Supuestos!$E$8),IF(Supuestos!$C$8="Triangular",IF(E26&lt;(Supuestos!$E$8-Supuestos!$D$8)/(Supuestos!$F$8-Supuestos!$D$8),Supuestos!$D$8+SQRT(E26*(Supuestos!$F$8-Supuestos!$D$8)*(Supuestos!$E$8-Supuestos!$D$8)),Supuestos!$F$8-SQRT((1-E26)*(Supuestos!$F$8-Supuestos!$D$8)*(Supuestos!$F$8-Supuestos!$E$8))),IF(Supuestos!$C$8="Uniforme",Supuestos!$D$8+E26*(Supuestos!$E$8-Supuestos!$D$8),IF(Supuestos!$C$8="Lognormal",LOGINV(E26,LN(Supuestos!$D$8)-LN(1+Supuestos!$E$8^2/Supuestos!$D$8^2)/2,SQRT(LN(1+Supuestos!$E$8^2/Supuestos!$D$8^2))),Supuestos!$D$8))))))</f>
        <v/>
      </c>
      <c r="M26" s="32">
        <f>MIN(IF(Supuestos!$H$9="",1E+99,Supuestos!$H$9),MAX(IF(Supuestos!$G$9="",-1E+99,Supuestos!$G$9),IF(Supuestos!$C$9="Normal",NORMINV(F26,Supuestos!$D$9,Supuestos!$E$9),IF(Supuestos!$C$9="Triangular",IF(F26&lt;(Supuestos!$E$9-Supuestos!$D$9)/(Supuestos!$F$9-Supuestos!$D$9),Supuestos!$D$9+SQRT(F26*(Supuestos!$F$9-Supuestos!$D$9)*(Supuestos!$E$9-Supuestos!$D$9)),Supuestos!$F$9-SQRT((1-F26)*(Supuestos!$F$9-Supuestos!$D$9)*(Supuestos!$F$9-Supuestos!$E$9))),IF(Supuestos!$C$9="Uniforme",Supuestos!$D$9+F26*(Supuestos!$E$9-Supuestos!$D$9),IF(Supuestos!$C$9="Lognormal",LOGINV(F26,LN(Supuestos!$D$9)-LN(1+Supuestos!$E$9^2/Supuestos!$D$9^2)/2,SQRT(LN(1+Supuestos!$E$9^2/Supuestos!$D$9^2))),Supuestos!$D$9))))))</f>
        <v/>
      </c>
      <c r="N26" s="32">
        <f>MIN(IF(Supuestos!$H$10="",1E+99,Supuestos!$H$10),MAX(IF(Supuestos!$G$10="",-1E+99,Supuestos!$G$10),IF(Supuestos!$C$10="Normal",NORMINV(G26,Supuestos!$D$10,Supuestos!$E$10),IF(Supuestos!$C$10="Triangular",IF(G26&lt;(Supuestos!$E$10-Supuestos!$D$10)/(Supuestos!$F$10-Supuestos!$D$10),Supuestos!$D$10+SQRT(G26*(Supuestos!$F$10-Supuestos!$D$10)*(Supuestos!$E$10-Supuestos!$D$10)),Supuestos!$F$10-SQRT((1-G26)*(Supuestos!$F$10-Supuestos!$D$10)*(Supuestos!$F$10-Supuestos!$E$10))),IF(Supuestos!$C$10="Uniforme",Supuestos!$D$10+G26*(Supuestos!$E$10-Supuestos!$D$10),IF(Supuestos!$C$10="Lognormal",LOGINV(G26,LN(Supuestos!$D$10)-LN(1+Supuestos!$E$10^2/Supuestos!$D$10^2)/2,SQRT(LN(1+Supuestos!$E$10^2/Supuestos!$D$10^2))),Supuestos!$D$10))))))</f>
        <v/>
      </c>
      <c r="O26" s="31">
        <f>MIN(IF(Supuestos!$H$11="",1E+99,Supuestos!$H$11),MAX(IF(Supuestos!$G$11="",-1E+99,Supuestos!$G$11),IF(Supuestos!$C$11="Normal",NORMINV(H26,Supuestos!$D$11,Supuestos!$E$11),IF(Supuestos!$C$11="Triangular",IF(H26&lt;(Supuestos!$E$11-Supuestos!$D$11)/(Supuestos!$F$11-Supuestos!$D$11),Supuestos!$D$11+SQRT(H26*(Supuestos!$F$11-Supuestos!$D$11)*(Supuestos!$E$11-Supuestos!$D$11)),Supuestos!$F$11-SQRT((1-H26)*(Supuestos!$F$11-Supuestos!$D$11)*(Supuestos!$F$11-Supuestos!$E$11))),IF(Supuestos!$C$11="Uniforme",Supuestos!$D$11+H26*(Supuestos!$E$11-Supuestos!$D$11),IF(Supuestos!$C$11="Lognormal",LOGINV(H26,LN(Supuestos!$D$11)-LN(1+Supuestos!$E$11^2/Supuestos!$D$11^2)/2,SQRT(LN(1+Supuestos!$E$11^2/Supuestos!$D$11^2))),Supuestos!$D$11))))))</f>
        <v/>
      </c>
      <c r="P26" s="33">
        <f>-I26</f>
        <v/>
      </c>
      <c r="Q26" s="33">
        <f>$J26*(1+$K26)^(1-1)*(1-$L26)*(1-$M26)</f>
        <v/>
      </c>
      <c r="R26" s="33">
        <f>$J26*(1+$K26)^(2-1)*(1-$L26)*(1-$M26)</f>
        <v/>
      </c>
      <c r="S26" s="33">
        <f>$J26*(1+$K26)^(3-1)*(1-$L26)*(1-$M26)</f>
        <v/>
      </c>
      <c r="T26" s="33">
        <f>$J26*(1+$K26)^(4-1)*(1-$L26)*(1-$M26)</f>
        <v/>
      </c>
      <c r="U26" s="33">
        <f>$J26*(1+$K26)^(5-1)*(1-$L26)*(1-$M26)+$O26</f>
        <v/>
      </c>
      <c r="V26" s="33">
        <f>P26+NPV($N26,Q26:U26)</f>
        <v/>
      </c>
      <c r="W26" s="32">
        <f>IFERROR(IRR(P26:U26,0.1),"")</f>
        <v/>
      </c>
    </row>
    <row r="27">
      <c r="A27" s="14" t="n">
        <v>23</v>
      </c>
      <c r="B27" s="30">
        <f>RAND()*(1-2E-6)+1E-6</f>
        <v/>
      </c>
      <c r="C27" s="30">
        <f>RAND()*(1-2E-6)+1E-6</f>
        <v/>
      </c>
      <c r="D27" s="30">
        <f>RAND()*(1-2E-6)+1E-6</f>
        <v/>
      </c>
      <c r="E27" s="30">
        <f>RAND()*(1-2E-6)+1E-6</f>
        <v/>
      </c>
      <c r="F27" s="30">
        <f>RAND()*(1-2E-6)+1E-6</f>
        <v/>
      </c>
      <c r="G27" s="30">
        <f>RAND()*(1-2E-6)+1E-6</f>
        <v/>
      </c>
      <c r="H27" s="30">
        <f>RAND()*(1-2E-6)+1E-6</f>
        <v/>
      </c>
      <c r="I27" s="31">
        <f>MIN(IF(Supuestos!$H$5="",1E+99,Supuestos!$H$5),MAX(IF(Supuestos!$G$5="",-1E+99,Supuestos!$G$5),IF(Supuestos!$C$5="Normal",NORMINV(B27,Supuestos!$D$5,Supuestos!$E$5),IF(Supuestos!$C$5="Triangular",IF(B27&lt;(Supuestos!$E$5-Supuestos!$D$5)/(Supuestos!$F$5-Supuestos!$D$5),Supuestos!$D$5+SQRT(B27*(Supuestos!$F$5-Supuestos!$D$5)*(Supuestos!$E$5-Supuestos!$D$5)),Supuestos!$F$5-SQRT((1-B27)*(Supuestos!$F$5-Supuestos!$D$5)*(Supuestos!$F$5-Supuestos!$E$5))),IF(Supuestos!$C$5="Uniforme",Supuestos!$D$5+B27*(Supuestos!$E$5-Supuestos!$D$5),IF(Supuestos!$C$5="Lognormal",LOGINV(B27,LN(Supuestos!$D$5)-LN(1+Supuestos!$E$5^2/Supuestos!$D$5^2)/2,SQRT(LN(1+Supuestos!$E$5^2/Supuestos!$D$5^2))),Supuestos!$D$5))))))</f>
        <v/>
      </c>
      <c r="J27" s="31">
        <f>MIN(IF(Supuestos!$H$6="",1E+99,Supuestos!$H$6),MAX(IF(Supuestos!$G$6="",-1E+99,Supuestos!$G$6),IF(Supuestos!$C$6="Normal",NORMINV(C27,Supuestos!$D$6,Supuestos!$E$6),IF(Supuestos!$C$6="Triangular",IF(C27&lt;(Supuestos!$E$6-Supuestos!$D$6)/(Supuestos!$F$6-Supuestos!$D$6),Supuestos!$D$6+SQRT(C27*(Supuestos!$F$6-Supuestos!$D$6)*(Supuestos!$E$6-Supuestos!$D$6)),Supuestos!$F$6-SQRT((1-C27)*(Supuestos!$F$6-Supuestos!$D$6)*(Supuestos!$F$6-Supuestos!$E$6))),IF(Supuestos!$C$6="Uniforme",Supuestos!$D$6+C27*(Supuestos!$E$6-Supuestos!$D$6),IF(Supuestos!$C$6="Lognormal",LOGINV(C27,LN(Supuestos!$D$6)-LN(1+Supuestos!$E$6^2/Supuestos!$D$6^2)/2,SQRT(LN(1+Supuestos!$E$6^2/Supuestos!$D$6^2))),Supuestos!$D$6))))))</f>
        <v/>
      </c>
      <c r="K27" s="32">
        <f>MIN(IF(Supuestos!$H$7="",1E+99,Supuestos!$H$7),MAX(IF(Supuestos!$G$7="",-1E+99,Supuestos!$G$7),IF(Supuestos!$C$7="Normal",NORMINV(D27,Supuestos!$D$7,Supuestos!$E$7),IF(Supuestos!$C$7="Triangular",IF(D27&lt;(Supuestos!$E$7-Supuestos!$D$7)/(Supuestos!$F$7-Supuestos!$D$7),Supuestos!$D$7+SQRT(D27*(Supuestos!$F$7-Supuestos!$D$7)*(Supuestos!$E$7-Supuestos!$D$7)),Supuestos!$F$7-SQRT((1-D27)*(Supuestos!$F$7-Supuestos!$D$7)*(Supuestos!$F$7-Supuestos!$E$7))),IF(Supuestos!$C$7="Uniforme",Supuestos!$D$7+D27*(Supuestos!$E$7-Supuestos!$D$7),IF(Supuestos!$C$7="Lognormal",LOGINV(D27,LN(Supuestos!$D$7)-LN(1+Supuestos!$E$7^2/Supuestos!$D$7^2)/2,SQRT(LN(1+Supuestos!$E$7^2/Supuestos!$D$7^2))),Supuestos!$D$7))))))</f>
        <v/>
      </c>
      <c r="L27" s="32">
        <f>MIN(IF(Supuestos!$H$8="",1E+99,Supuestos!$H$8),MAX(IF(Supuestos!$G$8="",-1E+99,Supuestos!$G$8),IF(Supuestos!$C$8="Normal",NORMINV(E27,Supuestos!$D$8,Supuestos!$E$8),IF(Supuestos!$C$8="Triangular",IF(E27&lt;(Supuestos!$E$8-Supuestos!$D$8)/(Supuestos!$F$8-Supuestos!$D$8),Supuestos!$D$8+SQRT(E27*(Supuestos!$F$8-Supuestos!$D$8)*(Supuestos!$E$8-Supuestos!$D$8)),Supuestos!$F$8-SQRT((1-E27)*(Supuestos!$F$8-Supuestos!$D$8)*(Supuestos!$F$8-Supuestos!$E$8))),IF(Supuestos!$C$8="Uniforme",Supuestos!$D$8+E27*(Supuestos!$E$8-Supuestos!$D$8),IF(Supuestos!$C$8="Lognormal",LOGINV(E27,LN(Supuestos!$D$8)-LN(1+Supuestos!$E$8^2/Supuestos!$D$8^2)/2,SQRT(LN(1+Supuestos!$E$8^2/Supuestos!$D$8^2))),Supuestos!$D$8))))))</f>
        <v/>
      </c>
      <c r="M27" s="32">
        <f>MIN(IF(Supuestos!$H$9="",1E+99,Supuestos!$H$9),MAX(IF(Supuestos!$G$9="",-1E+99,Supuestos!$G$9),IF(Supuestos!$C$9="Normal",NORMINV(F27,Supuestos!$D$9,Supuestos!$E$9),IF(Supuestos!$C$9="Triangular",IF(F27&lt;(Supuestos!$E$9-Supuestos!$D$9)/(Supuestos!$F$9-Supuestos!$D$9),Supuestos!$D$9+SQRT(F27*(Supuestos!$F$9-Supuestos!$D$9)*(Supuestos!$E$9-Supuestos!$D$9)),Supuestos!$F$9-SQRT((1-F27)*(Supuestos!$F$9-Supuestos!$D$9)*(Supuestos!$F$9-Supuestos!$E$9))),IF(Supuestos!$C$9="Uniforme",Supuestos!$D$9+F27*(Supuestos!$E$9-Supuestos!$D$9),IF(Supuestos!$C$9="Lognormal",LOGINV(F27,LN(Supuestos!$D$9)-LN(1+Supuestos!$E$9^2/Supuestos!$D$9^2)/2,SQRT(LN(1+Supuestos!$E$9^2/Supuestos!$D$9^2))),Supuestos!$D$9))))))</f>
        <v/>
      </c>
      <c r="N27" s="32">
        <f>MIN(IF(Supuestos!$H$10="",1E+99,Supuestos!$H$10),MAX(IF(Supuestos!$G$10="",-1E+99,Supuestos!$G$10),IF(Supuestos!$C$10="Normal",NORMINV(G27,Supuestos!$D$10,Supuestos!$E$10),IF(Supuestos!$C$10="Triangular",IF(G27&lt;(Supuestos!$E$10-Supuestos!$D$10)/(Supuestos!$F$10-Supuestos!$D$10),Supuestos!$D$10+SQRT(G27*(Supuestos!$F$10-Supuestos!$D$10)*(Supuestos!$E$10-Supuestos!$D$10)),Supuestos!$F$10-SQRT((1-G27)*(Supuestos!$F$10-Supuestos!$D$10)*(Supuestos!$F$10-Supuestos!$E$10))),IF(Supuestos!$C$10="Uniforme",Supuestos!$D$10+G27*(Supuestos!$E$10-Supuestos!$D$10),IF(Supuestos!$C$10="Lognormal",LOGINV(G27,LN(Supuestos!$D$10)-LN(1+Supuestos!$E$10^2/Supuestos!$D$10^2)/2,SQRT(LN(1+Supuestos!$E$10^2/Supuestos!$D$10^2))),Supuestos!$D$10))))))</f>
        <v/>
      </c>
      <c r="O27" s="31">
        <f>MIN(IF(Supuestos!$H$11="",1E+99,Supuestos!$H$11),MAX(IF(Supuestos!$G$11="",-1E+99,Supuestos!$G$11),IF(Supuestos!$C$11="Normal",NORMINV(H27,Supuestos!$D$11,Supuestos!$E$11),IF(Supuestos!$C$11="Triangular",IF(H27&lt;(Supuestos!$E$11-Supuestos!$D$11)/(Supuestos!$F$11-Supuestos!$D$11),Supuestos!$D$11+SQRT(H27*(Supuestos!$F$11-Supuestos!$D$11)*(Supuestos!$E$11-Supuestos!$D$11)),Supuestos!$F$11-SQRT((1-H27)*(Supuestos!$F$11-Supuestos!$D$11)*(Supuestos!$F$11-Supuestos!$E$11))),IF(Supuestos!$C$11="Uniforme",Supuestos!$D$11+H27*(Supuestos!$E$11-Supuestos!$D$11),IF(Supuestos!$C$11="Lognormal",LOGINV(H27,LN(Supuestos!$D$11)-LN(1+Supuestos!$E$11^2/Supuestos!$D$11^2)/2,SQRT(LN(1+Supuestos!$E$11^2/Supuestos!$D$11^2))),Supuestos!$D$11))))))</f>
        <v/>
      </c>
      <c r="P27" s="33">
        <f>-I27</f>
        <v/>
      </c>
      <c r="Q27" s="33">
        <f>$J27*(1+$K27)^(1-1)*(1-$L27)*(1-$M27)</f>
        <v/>
      </c>
      <c r="R27" s="33">
        <f>$J27*(1+$K27)^(2-1)*(1-$L27)*(1-$M27)</f>
        <v/>
      </c>
      <c r="S27" s="33">
        <f>$J27*(1+$K27)^(3-1)*(1-$L27)*(1-$M27)</f>
        <v/>
      </c>
      <c r="T27" s="33">
        <f>$J27*(1+$K27)^(4-1)*(1-$L27)*(1-$M27)</f>
        <v/>
      </c>
      <c r="U27" s="33">
        <f>$J27*(1+$K27)^(5-1)*(1-$L27)*(1-$M27)+$O27</f>
        <v/>
      </c>
      <c r="V27" s="33">
        <f>P27+NPV($N27,Q27:U27)</f>
        <v/>
      </c>
      <c r="W27" s="32">
        <f>IFERROR(IRR(P27:U27,0.1),"")</f>
        <v/>
      </c>
    </row>
    <row r="28">
      <c r="A28" s="14" t="n">
        <v>24</v>
      </c>
      <c r="B28" s="30">
        <f>RAND()*(1-2E-6)+1E-6</f>
        <v/>
      </c>
      <c r="C28" s="30">
        <f>RAND()*(1-2E-6)+1E-6</f>
        <v/>
      </c>
      <c r="D28" s="30">
        <f>RAND()*(1-2E-6)+1E-6</f>
        <v/>
      </c>
      <c r="E28" s="30">
        <f>RAND()*(1-2E-6)+1E-6</f>
        <v/>
      </c>
      <c r="F28" s="30">
        <f>RAND()*(1-2E-6)+1E-6</f>
        <v/>
      </c>
      <c r="G28" s="30">
        <f>RAND()*(1-2E-6)+1E-6</f>
        <v/>
      </c>
      <c r="H28" s="30">
        <f>RAND()*(1-2E-6)+1E-6</f>
        <v/>
      </c>
      <c r="I28" s="31">
        <f>MIN(IF(Supuestos!$H$5="",1E+99,Supuestos!$H$5),MAX(IF(Supuestos!$G$5="",-1E+99,Supuestos!$G$5),IF(Supuestos!$C$5="Normal",NORMINV(B28,Supuestos!$D$5,Supuestos!$E$5),IF(Supuestos!$C$5="Triangular",IF(B28&lt;(Supuestos!$E$5-Supuestos!$D$5)/(Supuestos!$F$5-Supuestos!$D$5),Supuestos!$D$5+SQRT(B28*(Supuestos!$F$5-Supuestos!$D$5)*(Supuestos!$E$5-Supuestos!$D$5)),Supuestos!$F$5-SQRT((1-B28)*(Supuestos!$F$5-Supuestos!$D$5)*(Supuestos!$F$5-Supuestos!$E$5))),IF(Supuestos!$C$5="Uniforme",Supuestos!$D$5+B28*(Supuestos!$E$5-Supuestos!$D$5),IF(Supuestos!$C$5="Lognormal",LOGINV(B28,LN(Supuestos!$D$5)-LN(1+Supuestos!$E$5^2/Supuestos!$D$5^2)/2,SQRT(LN(1+Supuestos!$E$5^2/Supuestos!$D$5^2))),Supuestos!$D$5))))))</f>
        <v/>
      </c>
      <c r="J28" s="31">
        <f>MIN(IF(Supuestos!$H$6="",1E+99,Supuestos!$H$6),MAX(IF(Supuestos!$G$6="",-1E+99,Supuestos!$G$6),IF(Supuestos!$C$6="Normal",NORMINV(C28,Supuestos!$D$6,Supuestos!$E$6),IF(Supuestos!$C$6="Triangular",IF(C28&lt;(Supuestos!$E$6-Supuestos!$D$6)/(Supuestos!$F$6-Supuestos!$D$6),Supuestos!$D$6+SQRT(C28*(Supuestos!$F$6-Supuestos!$D$6)*(Supuestos!$E$6-Supuestos!$D$6)),Supuestos!$F$6-SQRT((1-C28)*(Supuestos!$F$6-Supuestos!$D$6)*(Supuestos!$F$6-Supuestos!$E$6))),IF(Supuestos!$C$6="Uniforme",Supuestos!$D$6+C28*(Supuestos!$E$6-Supuestos!$D$6),IF(Supuestos!$C$6="Lognormal",LOGINV(C28,LN(Supuestos!$D$6)-LN(1+Supuestos!$E$6^2/Supuestos!$D$6^2)/2,SQRT(LN(1+Supuestos!$E$6^2/Supuestos!$D$6^2))),Supuestos!$D$6))))))</f>
        <v/>
      </c>
      <c r="K28" s="32">
        <f>MIN(IF(Supuestos!$H$7="",1E+99,Supuestos!$H$7),MAX(IF(Supuestos!$G$7="",-1E+99,Supuestos!$G$7),IF(Supuestos!$C$7="Normal",NORMINV(D28,Supuestos!$D$7,Supuestos!$E$7),IF(Supuestos!$C$7="Triangular",IF(D28&lt;(Supuestos!$E$7-Supuestos!$D$7)/(Supuestos!$F$7-Supuestos!$D$7),Supuestos!$D$7+SQRT(D28*(Supuestos!$F$7-Supuestos!$D$7)*(Supuestos!$E$7-Supuestos!$D$7)),Supuestos!$F$7-SQRT((1-D28)*(Supuestos!$F$7-Supuestos!$D$7)*(Supuestos!$F$7-Supuestos!$E$7))),IF(Supuestos!$C$7="Uniforme",Supuestos!$D$7+D28*(Supuestos!$E$7-Supuestos!$D$7),IF(Supuestos!$C$7="Lognormal",LOGINV(D28,LN(Supuestos!$D$7)-LN(1+Supuestos!$E$7^2/Supuestos!$D$7^2)/2,SQRT(LN(1+Supuestos!$E$7^2/Supuestos!$D$7^2))),Supuestos!$D$7))))))</f>
        <v/>
      </c>
      <c r="L28" s="32">
        <f>MIN(IF(Supuestos!$H$8="",1E+99,Supuestos!$H$8),MAX(IF(Supuestos!$G$8="",-1E+99,Supuestos!$G$8),IF(Supuestos!$C$8="Normal",NORMINV(E28,Supuestos!$D$8,Supuestos!$E$8),IF(Supuestos!$C$8="Triangular",IF(E28&lt;(Supuestos!$E$8-Supuestos!$D$8)/(Supuestos!$F$8-Supuestos!$D$8),Supuestos!$D$8+SQRT(E28*(Supuestos!$F$8-Supuestos!$D$8)*(Supuestos!$E$8-Supuestos!$D$8)),Supuestos!$F$8-SQRT((1-E28)*(Supuestos!$F$8-Supuestos!$D$8)*(Supuestos!$F$8-Supuestos!$E$8))),IF(Supuestos!$C$8="Uniforme",Supuestos!$D$8+E28*(Supuestos!$E$8-Supuestos!$D$8),IF(Supuestos!$C$8="Lognormal",LOGINV(E28,LN(Supuestos!$D$8)-LN(1+Supuestos!$E$8^2/Supuestos!$D$8^2)/2,SQRT(LN(1+Supuestos!$E$8^2/Supuestos!$D$8^2))),Supuestos!$D$8))))))</f>
        <v/>
      </c>
      <c r="M28" s="32">
        <f>MIN(IF(Supuestos!$H$9="",1E+99,Supuestos!$H$9),MAX(IF(Supuestos!$G$9="",-1E+99,Supuestos!$G$9),IF(Supuestos!$C$9="Normal",NORMINV(F28,Supuestos!$D$9,Supuestos!$E$9),IF(Supuestos!$C$9="Triangular",IF(F28&lt;(Supuestos!$E$9-Supuestos!$D$9)/(Supuestos!$F$9-Supuestos!$D$9),Supuestos!$D$9+SQRT(F28*(Supuestos!$F$9-Supuestos!$D$9)*(Supuestos!$E$9-Supuestos!$D$9)),Supuestos!$F$9-SQRT((1-F28)*(Supuestos!$F$9-Supuestos!$D$9)*(Supuestos!$F$9-Supuestos!$E$9))),IF(Supuestos!$C$9="Uniforme",Supuestos!$D$9+F28*(Supuestos!$E$9-Supuestos!$D$9),IF(Supuestos!$C$9="Lognormal",LOGINV(F28,LN(Supuestos!$D$9)-LN(1+Supuestos!$E$9^2/Supuestos!$D$9^2)/2,SQRT(LN(1+Supuestos!$E$9^2/Supuestos!$D$9^2))),Supuestos!$D$9))))))</f>
        <v/>
      </c>
      <c r="N28" s="32">
        <f>MIN(IF(Supuestos!$H$10="",1E+99,Supuestos!$H$10),MAX(IF(Supuestos!$G$10="",-1E+99,Supuestos!$G$10),IF(Supuestos!$C$10="Normal",NORMINV(G28,Supuestos!$D$10,Supuestos!$E$10),IF(Supuestos!$C$10="Triangular",IF(G28&lt;(Supuestos!$E$10-Supuestos!$D$10)/(Supuestos!$F$10-Supuestos!$D$10),Supuestos!$D$10+SQRT(G28*(Supuestos!$F$10-Supuestos!$D$10)*(Supuestos!$E$10-Supuestos!$D$10)),Supuestos!$F$10-SQRT((1-G28)*(Supuestos!$F$10-Supuestos!$D$10)*(Supuestos!$F$10-Supuestos!$E$10))),IF(Supuestos!$C$10="Uniforme",Supuestos!$D$10+G28*(Supuestos!$E$10-Supuestos!$D$10),IF(Supuestos!$C$10="Lognormal",LOGINV(G28,LN(Supuestos!$D$10)-LN(1+Supuestos!$E$10^2/Supuestos!$D$10^2)/2,SQRT(LN(1+Supuestos!$E$10^2/Supuestos!$D$10^2))),Supuestos!$D$10))))))</f>
        <v/>
      </c>
      <c r="O28" s="31">
        <f>MIN(IF(Supuestos!$H$11="",1E+99,Supuestos!$H$11),MAX(IF(Supuestos!$G$11="",-1E+99,Supuestos!$G$11),IF(Supuestos!$C$11="Normal",NORMINV(H28,Supuestos!$D$11,Supuestos!$E$11),IF(Supuestos!$C$11="Triangular",IF(H28&lt;(Supuestos!$E$11-Supuestos!$D$11)/(Supuestos!$F$11-Supuestos!$D$11),Supuestos!$D$11+SQRT(H28*(Supuestos!$F$11-Supuestos!$D$11)*(Supuestos!$E$11-Supuestos!$D$11)),Supuestos!$F$11-SQRT((1-H28)*(Supuestos!$F$11-Supuestos!$D$11)*(Supuestos!$F$11-Supuestos!$E$11))),IF(Supuestos!$C$11="Uniforme",Supuestos!$D$11+H28*(Supuestos!$E$11-Supuestos!$D$11),IF(Supuestos!$C$11="Lognormal",LOGINV(H28,LN(Supuestos!$D$11)-LN(1+Supuestos!$E$11^2/Supuestos!$D$11^2)/2,SQRT(LN(1+Supuestos!$E$11^2/Supuestos!$D$11^2))),Supuestos!$D$11))))))</f>
        <v/>
      </c>
      <c r="P28" s="33">
        <f>-I28</f>
        <v/>
      </c>
      <c r="Q28" s="33">
        <f>$J28*(1+$K28)^(1-1)*(1-$L28)*(1-$M28)</f>
        <v/>
      </c>
      <c r="R28" s="33">
        <f>$J28*(1+$K28)^(2-1)*(1-$L28)*(1-$M28)</f>
        <v/>
      </c>
      <c r="S28" s="33">
        <f>$J28*(1+$K28)^(3-1)*(1-$L28)*(1-$M28)</f>
        <v/>
      </c>
      <c r="T28" s="33">
        <f>$J28*(1+$K28)^(4-1)*(1-$L28)*(1-$M28)</f>
        <v/>
      </c>
      <c r="U28" s="33">
        <f>$J28*(1+$K28)^(5-1)*(1-$L28)*(1-$M28)+$O28</f>
        <v/>
      </c>
      <c r="V28" s="33">
        <f>P28+NPV($N28,Q28:U28)</f>
        <v/>
      </c>
      <c r="W28" s="32">
        <f>IFERROR(IRR(P28:U28,0.1),"")</f>
        <v/>
      </c>
    </row>
    <row r="29">
      <c r="A29" s="14" t="n">
        <v>25</v>
      </c>
      <c r="B29" s="30">
        <f>RAND()*(1-2E-6)+1E-6</f>
        <v/>
      </c>
      <c r="C29" s="30">
        <f>RAND()*(1-2E-6)+1E-6</f>
        <v/>
      </c>
      <c r="D29" s="30">
        <f>RAND()*(1-2E-6)+1E-6</f>
        <v/>
      </c>
      <c r="E29" s="30">
        <f>RAND()*(1-2E-6)+1E-6</f>
        <v/>
      </c>
      <c r="F29" s="30">
        <f>RAND()*(1-2E-6)+1E-6</f>
        <v/>
      </c>
      <c r="G29" s="30">
        <f>RAND()*(1-2E-6)+1E-6</f>
        <v/>
      </c>
      <c r="H29" s="30">
        <f>RAND()*(1-2E-6)+1E-6</f>
        <v/>
      </c>
      <c r="I29" s="31">
        <f>MIN(IF(Supuestos!$H$5="",1E+99,Supuestos!$H$5),MAX(IF(Supuestos!$G$5="",-1E+99,Supuestos!$G$5),IF(Supuestos!$C$5="Normal",NORMINV(B29,Supuestos!$D$5,Supuestos!$E$5),IF(Supuestos!$C$5="Triangular",IF(B29&lt;(Supuestos!$E$5-Supuestos!$D$5)/(Supuestos!$F$5-Supuestos!$D$5),Supuestos!$D$5+SQRT(B29*(Supuestos!$F$5-Supuestos!$D$5)*(Supuestos!$E$5-Supuestos!$D$5)),Supuestos!$F$5-SQRT((1-B29)*(Supuestos!$F$5-Supuestos!$D$5)*(Supuestos!$F$5-Supuestos!$E$5))),IF(Supuestos!$C$5="Uniforme",Supuestos!$D$5+B29*(Supuestos!$E$5-Supuestos!$D$5),IF(Supuestos!$C$5="Lognormal",LOGINV(B29,LN(Supuestos!$D$5)-LN(1+Supuestos!$E$5^2/Supuestos!$D$5^2)/2,SQRT(LN(1+Supuestos!$E$5^2/Supuestos!$D$5^2))),Supuestos!$D$5))))))</f>
        <v/>
      </c>
      <c r="J29" s="31">
        <f>MIN(IF(Supuestos!$H$6="",1E+99,Supuestos!$H$6),MAX(IF(Supuestos!$G$6="",-1E+99,Supuestos!$G$6),IF(Supuestos!$C$6="Normal",NORMINV(C29,Supuestos!$D$6,Supuestos!$E$6),IF(Supuestos!$C$6="Triangular",IF(C29&lt;(Supuestos!$E$6-Supuestos!$D$6)/(Supuestos!$F$6-Supuestos!$D$6),Supuestos!$D$6+SQRT(C29*(Supuestos!$F$6-Supuestos!$D$6)*(Supuestos!$E$6-Supuestos!$D$6)),Supuestos!$F$6-SQRT((1-C29)*(Supuestos!$F$6-Supuestos!$D$6)*(Supuestos!$F$6-Supuestos!$E$6))),IF(Supuestos!$C$6="Uniforme",Supuestos!$D$6+C29*(Supuestos!$E$6-Supuestos!$D$6),IF(Supuestos!$C$6="Lognormal",LOGINV(C29,LN(Supuestos!$D$6)-LN(1+Supuestos!$E$6^2/Supuestos!$D$6^2)/2,SQRT(LN(1+Supuestos!$E$6^2/Supuestos!$D$6^2))),Supuestos!$D$6))))))</f>
        <v/>
      </c>
      <c r="K29" s="32">
        <f>MIN(IF(Supuestos!$H$7="",1E+99,Supuestos!$H$7),MAX(IF(Supuestos!$G$7="",-1E+99,Supuestos!$G$7),IF(Supuestos!$C$7="Normal",NORMINV(D29,Supuestos!$D$7,Supuestos!$E$7),IF(Supuestos!$C$7="Triangular",IF(D29&lt;(Supuestos!$E$7-Supuestos!$D$7)/(Supuestos!$F$7-Supuestos!$D$7),Supuestos!$D$7+SQRT(D29*(Supuestos!$F$7-Supuestos!$D$7)*(Supuestos!$E$7-Supuestos!$D$7)),Supuestos!$F$7-SQRT((1-D29)*(Supuestos!$F$7-Supuestos!$D$7)*(Supuestos!$F$7-Supuestos!$E$7))),IF(Supuestos!$C$7="Uniforme",Supuestos!$D$7+D29*(Supuestos!$E$7-Supuestos!$D$7),IF(Supuestos!$C$7="Lognormal",LOGINV(D29,LN(Supuestos!$D$7)-LN(1+Supuestos!$E$7^2/Supuestos!$D$7^2)/2,SQRT(LN(1+Supuestos!$E$7^2/Supuestos!$D$7^2))),Supuestos!$D$7))))))</f>
        <v/>
      </c>
      <c r="L29" s="32">
        <f>MIN(IF(Supuestos!$H$8="",1E+99,Supuestos!$H$8),MAX(IF(Supuestos!$G$8="",-1E+99,Supuestos!$G$8),IF(Supuestos!$C$8="Normal",NORMINV(E29,Supuestos!$D$8,Supuestos!$E$8),IF(Supuestos!$C$8="Triangular",IF(E29&lt;(Supuestos!$E$8-Supuestos!$D$8)/(Supuestos!$F$8-Supuestos!$D$8),Supuestos!$D$8+SQRT(E29*(Supuestos!$F$8-Supuestos!$D$8)*(Supuestos!$E$8-Supuestos!$D$8)),Supuestos!$F$8-SQRT((1-E29)*(Supuestos!$F$8-Supuestos!$D$8)*(Supuestos!$F$8-Supuestos!$E$8))),IF(Supuestos!$C$8="Uniforme",Supuestos!$D$8+E29*(Supuestos!$E$8-Supuestos!$D$8),IF(Supuestos!$C$8="Lognormal",LOGINV(E29,LN(Supuestos!$D$8)-LN(1+Supuestos!$E$8^2/Supuestos!$D$8^2)/2,SQRT(LN(1+Supuestos!$E$8^2/Supuestos!$D$8^2))),Supuestos!$D$8))))))</f>
        <v/>
      </c>
      <c r="M29" s="32">
        <f>MIN(IF(Supuestos!$H$9="",1E+99,Supuestos!$H$9),MAX(IF(Supuestos!$G$9="",-1E+99,Supuestos!$G$9),IF(Supuestos!$C$9="Normal",NORMINV(F29,Supuestos!$D$9,Supuestos!$E$9),IF(Supuestos!$C$9="Triangular",IF(F29&lt;(Supuestos!$E$9-Supuestos!$D$9)/(Supuestos!$F$9-Supuestos!$D$9),Supuestos!$D$9+SQRT(F29*(Supuestos!$F$9-Supuestos!$D$9)*(Supuestos!$E$9-Supuestos!$D$9)),Supuestos!$F$9-SQRT((1-F29)*(Supuestos!$F$9-Supuestos!$D$9)*(Supuestos!$F$9-Supuestos!$E$9))),IF(Supuestos!$C$9="Uniforme",Supuestos!$D$9+F29*(Supuestos!$E$9-Supuestos!$D$9),IF(Supuestos!$C$9="Lognormal",LOGINV(F29,LN(Supuestos!$D$9)-LN(1+Supuestos!$E$9^2/Supuestos!$D$9^2)/2,SQRT(LN(1+Supuestos!$E$9^2/Supuestos!$D$9^2))),Supuestos!$D$9))))))</f>
        <v/>
      </c>
      <c r="N29" s="32">
        <f>MIN(IF(Supuestos!$H$10="",1E+99,Supuestos!$H$10),MAX(IF(Supuestos!$G$10="",-1E+99,Supuestos!$G$10),IF(Supuestos!$C$10="Normal",NORMINV(G29,Supuestos!$D$10,Supuestos!$E$10),IF(Supuestos!$C$10="Triangular",IF(G29&lt;(Supuestos!$E$10-Supuestos!$D$10)/(Supuestos!$F$10-Supuestos!$D$10),Supuestos!$D$10+SQRT(G29*(Supuestos!$F$10-Supuestos!$D$10)*(Supuestos!$E$10-Supuestos!$D$10)),Supuestos!$F$10-SQRT((1-G29)*(Supuestos!$F$10-Supuestos!$D$10)*(Supuestos!$F$10-Supuestos!$E$10))),IF(Supuestos!$C$10="Uniforme",Supuestos!$D$10+G29*(Supuestos!$E$10-Supuestos!$D$10),IF(Supuestos!$C$10="Lognormal",LOGINV(G29,LN(Supuestos!$D$10)-LN(1+Supuestos!$E$10^2/Supuestos!$D$10^2)/2,SQRT(LN(1+Supuestos!$E$10^2/Supuestos!$D$10^2))),Supuestos!$D$10))))))</f>
        <v/>
      </c>
      <c r="O29" s="31">
        <f>MIN(IF(Supuestos!$H$11="",1E+99,Supuestos!$H$11),MAX(IF(Supuestos!$G$11="",-1E+99,Supuestos!$G$11),IF(Supuestos!$C$11="Normal",NORMINV(H29,Supuestos!$D$11,Supuestos!$E$11),IF(Supuestos!$C$11="Triangular",IF(H29&lt;(Supuestos!$E$11-Supuestos!$D$11)/(Supuestos!$F$11-Supuestos!$D$11),Supuestos!$D$11+SQRT(H29*(Supuestos!$F$11-Supuestos!$D$11)*(Supuestos!$E$11-Supuestos!$D$11)),Supuestos!$F$11-SQRT((1-H29)*(Supuestos!$F$11-Supuestos!$D$11)*(Supuestos!$F$11-Supuestos!$E$11))),IF(Supuestos!$C$11="Uniforme",Supuestos!$D$11+H29*(Supuestos!$E$11-Supuestos!$D$11),IF(Supuestos!$C$11="Lognormal",LOGINV(H29,LN(Supuestos!$D$11)-LN(1+Supuestos!$E$11^2/Supuestos!$D$11^2)/2,SQRT(LN(1+Supuestos!$E$11^2/Supuestos!$D$11^2))),Supuestos!$D$11))))))</f>
        <v/>
      </c>
      <c r="P29" s="33">
        <f>-I29</f>
        <v/>
      </c>
      <c r="Q29" s="33">
        <f>$J29*(1+$K29)^(1-1)*(1-$L29)*(1-$M29)</f>
        <v/>
      </c>
      <c r="R29" s="33">
        <f>$J29*(1+$K29)^(2-1)*(1-$L29)*(1-$M29)</f>
        <v/>
      </c>
      <c r="S29" s="33">
        <f>$J29*(1+$K29)^(3-1)*(1-$L29)*(1-$M29)</f>
        <v/>
      </c>
      <c r="T29" s="33">
        <f>$J29*(1+$K29)^(4-1)*(1-$L29)*(1-$M29)</f>
        <v/>
      </c>
      <c r="U29" s="33">
        <f>$J29*(1+$K29)^(5-1)*(1-$L29)*(1-$M29)+$O29</f>
        <v/>
      </c>
      <c r="V29" s="33">
        <f>P29+NPV($N29,Q29:U29)</f>
        <v/>
      </c>
      <c r="W29" s="32">
        <f>IFERROR(IRR(P29:U29,0.1),"")</f>
        <v/>
      </c>
    </row>
    <row r="30">
      <c r="A30" s="14" t="n">
        <v>26</v>
      </c>
      <c r="B30" s="30">
        <f>RAND()*(1-2E-6)+1E-6</f>
        <v/>
      </c>
      <c r="C30" s="30">
        <f>RAND()*(1-2E-6)+1E-6</f>
        <v/>
      </c>
      <c r="D30" s="30">
        <f>RAND()*(1-2E-6)+1E-6</f>
        <v/>
      </c>
      <c r="E30" s="30">
        <f>RAND()*(1-2E-6)+1E-6</f>
        <v/>
      </c>
      <c r="F30" s="30">
        <f>RAND()*(1-2E-6)+1E-6</f>
        <v/>
      </c>
      <c r="G30" s="30">
        <f>RAND()*(1-2E-6)+1E-6</f>
        <v/>
      </c>
      <c r="H30" s="30">
        <f>RAND()*(1-2E-6)+1E-6</f>
        <v/>
      </c>
      <c r="I30" s="31">
        <f>MIN(IF(Supuestos!$H$5="",1E+99,Supuestos!$H$5),MAX(IF(Supuestos!$G$5="",-1E+99,Supuestos!$G$5),IF(Supuestos!$C$5="Normal",NORMINV(B30,Supuestos!$D$5,Supuestos!$E$5),IF(Supuestos!$C$5="Triangular",IF(B30&lt;(Supuestos!$E$5-Supuestos!$D$5)/(Supuestos!$F$5-Supuestos!$D$5),Supuestos!$D$5+SQRT(B30*(Supuestos!$F$5-Supuestos!$D$5)*(Supuestos!$E$5-Supuestos!$D$5)),Supuestos!$F$5-SQRT((1-B30)*(Supuestos!$F$5-Supuestos!$D$5)*(Supuestos!$F$5-Supuestos!$E$5))),IF(Supuestos!$C$5="Uniforme",Supuestos!$D$5+B30*(Supuestos!$E$5-Supuestos!$D$5),IF(Supuestos!$C$5="Lognormal",LOGINV(B30,LN(Supuestos!$D$5)-LN(1+Supuestos!$E$5^2/Supuestos!$D$5^2)/2,SQRT(LN(1+Supuestos!$E$5^2/Supuestos!$D$5^2))),Supuestos!$D$5))))))</f>
        <v/>
      </c>
      <c r="J30" s="31">
        <f>MIN(IF(Supuestos!$H$6="",1E+99,Supuestos!$H$6),MAX(IF(Supuestos!$G$6="",-1E+99,Supuestos!$G$6),IF(Supuestos!$C$6="Normal",NORMINV(C30,Supuestos!$D$6,Supuestos!$E$6),IF(Supuestos!$C$6="Triangular",IF(C30&lt;(Supuestos!$E$6-Supuestos!$D$6)/(Supuestos!$F$6-Supuestos!$D$6),Supuestos!$D$6+SQRT(C30*(Supuestos!$F$6-Supuestos!$D$6)*(Supuestos!$E$6-Supuestos!$D$6)),Supuestos!$F$6-SQRT((1-C30)*(Supuestos!$F$6-Supuestos!$D$6)*(Supuestos!$F$6-Supuestos!$E$6))),IF(Supuestos!$C$6="Uniforme",Supuestos!$D$6+C30*(Supuestos!$E$6-Supuestos!$D$6),IF(Supuestos!$C$6="Lognormal",LOGINV(C30,LN(Supuestos!$D$6)-LN(1+Supuestos!$E$6^2/Supuestos!$D$6^2)/2,SQRT(LN(1+Supuestos!$E$6^2/Supuestos!$D$6^2))),Supuestos!$D$6))))))</f>
        <v/>
      </c>
      <c r="K30" s="32">
        <f>MIN(IF(Supuestos!$H$7="",1E+99,Supuestos!$H$7),MAX(IF(Supuestos!$G$7="",-1E+99,Supuestos!$G$7),IF(Supuestos!$C$7="Normal",NORMINV(D30,Supuestos!$D$7,Supuestos!$E$7),IF(Supuestos!$C$7="Triangular",IF(D30&lt;(Supuestos!$E$7-Supuestos!$D$7)/(Supuestos!$F$7-Supuestos!$D$7),Supuestos!$D$7+SQRT(D30*(Supuestos!$F$7-Supuestos!$D$7)*(Supuestos!$E$7-Supuestos!$D$7)),Supuestos!$F$7-SQRT((1-D30)*(Supuestos!$F$7-Supuestos!$D$7)*(Supuestos!$F$7-Supuestos!$E$7))),IF(Supuestos!$C$7="Uniforme",Supuestos!$D$7+D30*(Supuestos!$E$7-Supuestos!$D$7),IF(Supuestos!$C$7="Lognormal",LOGINV(D30,LN(Supuestos!$D$7)-LN(1+Supuestos!$E$7^2/Supuestos!$D$7^2)/2,SQRT(LN(1+Supuestos!$E$7^2/Supuestos!$D$7^2))),Supuestos!$D$7))))))</f>
        <v/>
      </c>
      <c r="L30" s="32">
        <f>MIN(IF(Supuestos!$H$8="",1E+99,Supuestos!$H$8),MAX(IF(Supuestos!$G$8="",-1E+99,Supuestos!$G$8),IF(Supuestos!$C$8="Normal",NORMINV(E30,Supuestos!$D$8,Supuestos!$E$8),IF(Supuestos!$C$8="Triangular",IF(E30&lt;(Supuestos!$E$8-Supuestos!$D$8)/(Supuestos!$F$8-Supuestos!$D$8),Supuestos!$D$8+SQRT(E30*(Supuestos!$F$8-Supuestos!$D$8)*(Supuestos!$E$8-Supuestos!$D$8)),Supuestos!$F$8-SQRT((1-E30)*(Supuestos!$F$8-Supuestos!$D$8)*(Supuestos!$F$8-Supuestos!$E$8))),IF(Supuestos!$C$8="Uniforme",Supuestos!$D$8+E30*(Supuestos!$E$8-Supuestos!$D$8),IF(Supuestos!$C$8="Lognormal",LOGINV(E30,LN(Supuestos!$D$8)-LN(1+Supuestos!$E$8^2/Supuestos!$D$8^2)/2,SQRT(LN(1+Supuestos!$E$8^2/Supuestos!$D$8^2))),Supuestos!$D$8))))))</f>
        <v/>
      </c>
      <c r="M30" s="32">
        <f>MIN(IF(Supuestos!$H$9="",1E+99,Supuestos!$H$9),MAX(IF(Supuestos!$G$9="",-1E+99,Supuestos!$G$9),IF(Supuestos!$C$9="Normal",NORMINV(F30,Supuestos!$D$9,Supuestos!$E$9),IF(Supuestos!$C$9="Triangular",IF(F30&lt;(Supuestos!$E$9-Supuestos!$D$9)/(Supuestos!$F$9-Supuestos!$D$9),Supuestos!$D$9+SQRT(F30*(Supuestos!$F$9-Supuestos!$D$9)*(Supuestos!$E$9-Supuestos!$D$9)),Supuestos!$F$9-SQRT((1-F30)*(Supuestos!$F$9-Supuestos!$D$9)*(Supuestos!$F$9-Supuestos!$E$9))),IF(Supuestos!$C$9="Uniforme",Supuestos!$D$9+F30*(Supuestos!$E$9-Supuestos!$D$9),IF(Supuestos!$C$9="Lognormal",LOGINV(F30,LN(Supuestos!$D$9)-LN(1+Supuestos!$E$9^2/Supuestos!$D$9^2)/2,SQRT(LN(1+Supuestos!$E$9^2/Supuestos!$D$9^2))),Supuestos!$D$9))))))</f>
        <v/>
      </c>
      <c r="N30" s="32">
        <f>MIN(IF(Supuestos!$H$10="",1E+99,Supuestos!$H$10),MAX(IF(Supuestos!$G$10="",-1E+99,Supuestos!$G$10),IF(Supuestos!$C$10="Normal",NORMINV(G30,Supuestos!$D$10,Supuestos!$E$10),IF(Supuestos!$C$10="Triangular",IF(G30&lt;(Supuestos!$E$10-Supuestos!$D$10)/(Supuestos!$F$10-Supuestos!$D$10),Supuestos!$D$10+SQRT(G30*(Supuestos!$F$10-Supuestos!$D$10)*(Supuestos!$E$10-Supuestos!$D$10)),Supuestos!$F$10-SQRT((1-G30)*(Supuestos!$F$10-Supuestos!$D$10)*(Supuestos!$F$10-Supuestos!$E$10))),IF(Supuestos!$C$10="Uniforme",Supuestos!$D$10+G30*(Supuestos!$E$10-Supuestos!$D$10),IF(Supuestos!$C$10="Lognormal",LOGINV(G30,LN(Supuestos!$D$10)-LN(1+Supuestos!$E$10^2/Supuestos!$D$10^2)/2,SQRT(LN(1+Supuestos!$E$10^2/Supuestos!$D$10^2))),Supuestos!$D$10))))))</f>
        <v/>
      </c>
      <c r="O30" s="31">
        <f>MIN(IF(Supuestos!$H$11="",1E+99,Supuestos!$H$11),MAX(IF(Supuestos!$G$11="",-1E+99,Supuestos!$G$11),IF(Supuestos!$C$11="Normal",NORMINV(H30,Supuestos!$D$11,Supuestos!$E$11),IF(Supuestos!$C$11="Triangular",IF(H30&lt;(Supuestos!$E$11-Supuestos!$D$11)/(Supuestos!$F$11-Supuestos!$D$11),Supuestos!$D$11+SQRT(H30*(Supuestos!$F$11-Supuestos!$D$11)*(Supuestos!$E$11-Supuestos!$D$11)),Supuestos!$F$11-SQRT((1-H30)*(Supuestos!$F$11-Supuestos!$D$11)*(Supuestos!$F$11-Supuestos!$E$11))),IF(Supuestos!$C$11="Uniforme",Supuestos!$D$11+H30*(Supuestos!$E$11-Supuestos!$D$11),IF(Supuestos!$C$11="Lognormal",LOGINV(H30,LN(Supuestos!$D$11)-LN(1+Supuestos!$E$11^2/Supuestos!$D$11^2)/2,SQRT(LN(1+Supuestos!$E$11^2/Supuestos!$D$11^2))),Supuestos!$D$11))))))</f>
        <v/>
      </c>
      <c r="P30" s="33">
        <f>-I30</f>
        <v/>
      </c>
      <c r="Q30" s="33">
        <f>$J30*(1+$K30)^(1-1)*(1-$L30)*(1-$M30)</f>
        <v/>
      </c>
      <c r="R30" s="33">
        <f>$J30*(1+$K30)^(2-1)*(1-$L30)*(1-$M30)</f>
        <v/>
      </c>
      <c r="S30" s="33">
        <f>$J30*(1+$K30)^(3-1)*(1-$L30)*(1-$M30)</f>
        <v/>
      </c>
      <c r="T30" s="33">
        <f>$J30*(1+$K30)^(4-1)*(1-$L30)*(1-$M30)</f>
        <v/>
      </c>
      <c r="U30" s="33">
        <f>$J30*(1+$K30)^(5-1)*(1-$L30)*(1-$M30)+$O30</f>
        <v/>
      </c>
      <c r="V30" s="33">
        <f>P30+NPV($N30,Q30:U30)</f>
        <v/>
      </c>
      <c r="W30" s="32">
        <f>IFERROR(IRR(P30:U30,0.1),"")</f>
        <v/>
      </c>
    </row>
    <row r="31">
      <c r="A31" s="14" t="n">
        <v>27</v>
      </c>
      <c r="B31" s="30">
        <f>RAND()*(1-2E-6)+1E-6</f>
        <v/>
      </c>
      <c r="C31" s="30">
        <f>RAND()*(1-2E-6)+1E-6</f>
        <v/>
      </c>
      <c r="D31" s="30">
        <f>RAND()*(1-2E-6)+1E-6</f>
        <v/>
      </c>
      <c r="E31" s="30">
        <f>RAND()*(1-2E-6)+1E-6</f>
        <v/>
      </c>
      <c r="F31" s="30">
        <f>RAND()*(1-2E-6)+1E-6</f>
        <v/>
      </c>
      <c r="G31" s="30">
        <f>RAND()*(1-2E-6)+1E-6</f>
        <v/>
      </c>
      <c r="H31" s="30">
        <f>RAND()*(1-2E-6)+1E-6</f>
        <v/>
      </c>
      <c r="I31" s="31">
        <f>MIN(IF(Supuestos!$H$5="",1E+99,Supuestos!$H$5),MAX(IF(Supuestos!$G$5="",-1E+99,Supuestos!$G$5),IF(Supuestos!$C$5="Normal",NORMINV(B31,Supuestos!$D$5,Supuestos!$E$5),IF(Supuestos!$C$5="Triangular",IF(B31&lt;(Supuestos!$E$5-Supuestos!$D$5)/(Supuestos!$F$5-Supuestos!$D$5),Supuestos!$D$5+SQRT(B31*(Supuestos!$F$5-Supuestos!$D$5)*(Supuestos!$E$5-Supuestos!$D$5)),Supuestos!$F$5-SQRT((1-B31)*(Supuestos!$F$5-Supuestos!$D$5)*(Supuestos!$F$5-Supuestos!$E$5))),IF(Supuestos!$C$5="Uniforme",Supuestos!$D$5+B31*(Supuestos!$E$5-Supuestos!$D$5),IF(Supuestos!$C$5="Lognormal",LOGINV(B31,LN(Supuestos!$D$5)-LN(1+Supuestos!$E$5^2/Supuestos!$D$5^2)/2,SQRT(LN(1+Supuestos!$E$5^2/Supuestos!$D$5^2))),Supuestos!$D$5))))))</f>
        <v/>
      </c>
      <c r="J31" s="31">
        <f>MIN(IF(Supuestos!$H$6="",1E+99,Supuestos!$H$6),MAX(IF(Supuestos!$G$6="",-1E+99,Supuestos!$G$6),IF(Supuestos!$C$6="Normal",NORMINV(C31,Supuestos!$D$6,Supuestos!$E$6),IF(Supuestos!$C$6="Triangular",IF(C31&lt;(Supuestos!$E$6-Supuestos!$D$6)/(Supuestos!$F$6-Supuestos!$D$6),Supuestos!$D$6+SQRT(C31*(Supuestos!$F$6-Supuestos!$D$6)*(Supuestos!$E$6-Supuestos!$D$6)),Supuestos!$F$6-SQRT((1-C31)*(Supuestos!$F$6-Supuestos!$D$6)*(Supuestos!$F$6-Supuestos!$E$6))),IF(Supuestos!$C$6="Uniforme",Supuestos!$D$6+C31*(Supuestos!$E$6-Supuestos!$D$6),IF(Supuestos!$C$6="Lognormal",LOGINV(C31,LN(Supuestos!$D$6)-LN(1+Supuestos!$E$6^2/Supuestos!$D$6^2)/2,SQRT(LN(1+Supuestos!$E$6^2/Supuestos!$D$6^2))),Supuestos!$D$6))))))</f>
        <v/>
      </c>
      <c r="K31" s="32">
        <f>MIN(IF(Supuestos!$H$7="",1E+99,Supuestos!$H$7),MAX(IF(Supuestos!$G$7="",-1E+99,Supuestos!$G$7),IF(Supuestos!$C$7="Normal",NORMINV(D31,Supuestos!$D$7,Supuestos!$E$7),IF(Supuestos!$C$7="Triangular",IF(D31&lt;(Supuestos!$E$7-Supuestos!$D$7)/(Supuestos!$F$7-Supuestos!$D$7),Supuestos!$D$7+SQRT(D31*(Supuestos!$F$7-Supuestos!$D$7)*(Supuestos!$E$7-Supuestos!$D$7)),Supuestos!$F$7-SQRT((1-D31)*(Supuestos!$F$7-Supuestos!$D$7)*(Supuestos!$F$7-Supuestos!$E$7))),IF(Supuestos!$C$7="Uniforme",Supuestos!$D$7+D31*(Supuestos!$E$7-Supuestos!$D$7),IF(Supuestos!$C$7="Lognormal",LOGINV(D31,LN(Supuestos!$D$7)-LN(1+Supuestos!$E$7^2/Supuestos!$D$7^2)/2,SQRT(LN(1+Supuestos!$E$7^2/Supuestos!$D$7^2))),Supuestos!$D$7))))))</f>
        <v/>
      </c>
      <c r="L31" s="32">
        <f>MIN(IF(Supuestos!$H$8="",1E+99,Supuestos!$H$8),MAX(IF(Supuestos!$G$8="",-1E+99,Supuestos!$G$8),IF(Supuestos!$C$8="Normal",NORMINV(E31,Supuestos!$D$8,Supuestos!$E$8),IF(Supuestos!$C$8="Triangular",IF(E31&lt;(Supuestos!$E$8-Supuestos!$D$8)/(Supuestos!$F$8-Supuestos!$D$8),Supuestos!$D$8+SQRT(E31*(Supuestos!$F$8-Supuestos!$D$8)*(Supuestos!$E$8-Supuestos!$D$8)),Supuestos!$F$8-SQRT((1-E31)*(Supuestos!$F$8-Supuestos!$D$8)*(Supuestos!$F$8-Supuestos!$E$8))),IF(Supuestos!$C$8="Uniforme",Supuestos!$D$8+E31*(Supuestos!$E$8-Supuestos!$D$8),IF(Supuestos!$C$8="Lognormal",LOGINV(E31,LN(Supuestos!$D$8)-LN(1+Supuestos!$E$8^2/Supuestos!$D$8^2)/2,SQRT(LN(1+Supuestos!$E$8^2/Supuestos!$D$8^2))),Supuestos!$D$8))))))</f>
        <v/>
      </c>
      <c r="M31" s="32">
        <f>MIN(IF(Supuestos!$H$9="",1E+99,Supuestos!$H$9),MAX(IF(Supuestos!$G$9="",-1E+99,Supuestos!$G$9),IF(Supuestos!$C$9="Normal",NORMINV(F31,Supuestos!$D$9,Supuestos!$E$9),IF(Supuestos!$C$9="Triangular",IF(F31&lt;(Supuestos!$E$9-Supuestos!$D$9)/(Supuestos!$F$9-Supuestos!$D$9),Supuestos!$D$9+SQRT(F31*(Supuestos!$F$9-Supuestos!$D$9)*(Supuestos!$E$9-Supuestos!$D$9)),Supuestos!$F$9-SQRT((1-F31)*(Supuestos!$F$9-Supuestos!$D$9)*(Supuestos!$F$9-Supuestos!$E$9))),IF(Supuestos!$C$9="Uniforme",Supuestos!$D$9+F31*(Supuestos!$E$9-Supuestos!$D$9),IF(Supuestos!$C$9="Lognormal",LOGINV(F31,LN(Supuestos!$D$9)-LN(1+Supuestos!$E$9^2/Supuestos!$D$9^2)/2,SQRT(LN(1+Supuestos!$E$9^2/Supuestos!$D$9^2))),Supuestos!$D$9))))))</f>
        <v/>
      </c>
      <c r="N31" s="32">
        <f>MIN(IF(Supuestos!$H$10="",1E+99,Supuestos!$H$10),MAX(IF(Supuestos!$G$10="",-1E+99,Supuestos!$G$10),IF(Supuestos!$C$10="Normal",NORMINV(G31,Supuestos!$D$10,Supuestos!$E$10),IF(Supuestos!$C$10="Triangular",IF(G31&lt;(Supuestos!$E$10-Supuestos!$D$10)/(Supuestos!$F$10-Supuestos!$D$10),Supuestos!$D$10+SQRT(G31*(Supuestos!$F$10-Supuestos!$D$10)*(Supuestos!$E$10-Supuestos!$D$10)),Supuestos!$F$10-SQRT((1-G31)*(Supuestos!$F$10-Supuestos!$D$10)*(Supuestos!$F$10-Supuestos!$E$10))),IF(Supuestos!$C$10="Uniforme",Supuestos!$D$10+G31*(Supuestos!$E$10-Supuestos!$D$10),IF(Supuestos!$C$10="Lognormal",LOGINV(G31,LN(Supuestos!$D$10)-LN(1+Supuestos!$E$10^2/Supuestos!$D$10^2)/2,SQRT(LN(1+Supuestos!$E$10^2/Supuestos!$D$10^2))),Supuestos!$D$10))))))</f>
        <v/>
      </c>
      <c r="O31" s="31">
        <f>MIN(IF(Supuestos!$H$11="",1E+99,Supuestos!$H$11),MAX(IF(Supuestos!$G$11="",-1E+99,Supuestos!$G$11),IF(Supuestos!$C$11="Normal",NORMINV(H31,Supuestos!$D$11,Supuestos!$E$11),IF(Supuestos!$C$11="Triangular",IF(H31&lt;(Supuestos!$E$11-Supuestos!$D$11)/(Supuestos!$F$11-Supuestos!$D$11),Supuestos!$D$11+SQRT(H31*(Supuestos!$F$11-Supuestos!$D$11)*(Supuestos!$E$11-Supuestos!$D$11)),Supuestos!$F$11-SQRT((1-H31)*(Supuestos!$F$11-Supuestos!$D$11)*(Supuestos!$F$11-Supuestos!$E$11))),IF(Supuestos!$C$11="Uniforme",Supuestos!$D$11+H31*(Supuestos!$E$11-Supuestos!$D$11),IF(Supuestos!$C$11="Lognormal",LOGINV(H31,LN(Supuestos!$D$11)-LN(1+Supuestos!$E$11^2/Supuestos!$D$11^2)/2,SQRT(LN(1+Supuestos!$E$11^2/Supuestos!$D$11^2))),Supuestos!$D$11))))))</f>
        <v/>
      </c>
      <c r="P31" s="33">
        <f>-I31</f>
        <v/>
      </c>
      <c r="Q31" s="33">
        <f>$J31*(1+$K31)^(1-1)*(1-$L31)*(1-$M31)</f>
        <v/>
      </c>
      <c r="R31" s="33">
        <f>$J31*(1+$K31)^(2-1)*(1-$L31)*(1-$M31)</f>
        <v/>
      </c>
      <c r="S31" s="33">
        <f>$J31*(1+$K31)^(3-1)*(1-$L31)*(1-$M31)</f>
        <v/>
      </c>
      <c r="T31" s="33">
        <f>$J31*(1+$K31)^(4-1)*(1-$L31)*(1-$M31)</f>
        <v/>
      </c>
      <c r="U31" s="33">
        <f>$J31*(1+$K31)^(5-1)*(1-$L31)*(1-$M31)+$O31</f>
        <v/>
      </c>
      <c r="V31" s="33">
        <f>P31+NPV($N31,Q31:U31)</f>
        <v/>
      </c>
      <c r="W31" s="32">
        <f>IFERROR(IRR(P31:U31,0.1),"")</f>
        <v/>
      </c>
    </row>
    <row r="32">
      <c r="A32" s="14" t="n">
        <v>28</v>
      </c>
      <c r="B32" s="30">
        <f>RAND()*(1-2E-6)+1E-6</f>
        <v/>
      </c>
      <c r="C32" s="30">
        <f>RAND()*(1-2E-6)+1E-6</f>
        <v/>
      </c>
      <c r="D32" s="30">
        <f>RAND()*(1-2E-6)+1E-6</f>
        <v/>
      </c>
      <c r="E32" s="30">
        <f>RAND()*(1-2E-6)+1E-6</f>
        <v/>
      </c>
      <c r="F32" s="30">
        <f>RAND()*(1-2E-6)+1E-6</f>
        <v/>
      </c>
      <c r="G32" s="30">
        <f>RAND()*(1-2E-6)+1E-6</f>
        <v/>
      </c>
      <c r="H32" s="30">
        <f>RAND()*(1-2E-6)+1E-6</f>
        <v/>
      </c>
      <c r="I32" s="31">
        <f>MIN(IF(Supuestos!$H$5="",1E+99,Supuestos!$H$5),MAX(IF(Supuestos!$G$5="",-1E+99,Supuestos!$G$5),IF(Supuestos!$C$5="Normal",NORMINV(B32,Supuestos!$D$5,Supuestos!$E$5),IF(Supuestos!$C$5="Triangular",IF(B32&lt;(Supuestos!$E$5-Supuestos!$D$5)/(Supuestos!$F$5-Supuestos!$D$5),Supuestos!$D$5+SQRT(B32*(Supuestos!$F$5-Supuestos!$D$5)*(Supuestos!$E$5-Supuestos!$D$5)),Supuestos!$F$5-SQRT((1-B32)*(Supuestos!$F$5-Supuestos!$D$5)*(Supuestos!$F$5-Supuestos!$E$5))),IF(Supuestos!$C$5="Uniforme",Supuestos!$D$5+B32*(Supuestos!$E$5-Supuestos!$D$5),IF(Supuestos!$C$5="Lognormal",LOGINV(B32,LN(Supuestos!$D$5)-LN(1+Supuestos!$E$5^2/Supuestos!$D$5^2)/2,SQRT(LN(1+Supuestos!$E$5^2/Supuestos!$D$5^2))),Supuestos!$D$5))))))</f>
        <v/>
      </c>
      <c r="J32" s="31">
        <f>MIN(IF(Supuestos!$H$6="",1E+99,Supuestos!$H$6),MAX(IF(Supuestos!$G$6="",-1E+99,Supuestos!$G$6),IF(Supuestos!$C$6="Normal",NORMINV(C32,Supuestos!$D$6,Supuestos!$E$6),IF(Supuestos!$C$6="Triangular",IF(C32&lt;(Supuestos!$E$6-Supuestos!$D$6)/(Supuestos!$F$6-Supuestos!$D$6),Supuestos!$D$6+SQRT(C32*(Supuestos!$F$6-Supuestos!$D$6)*(Supuestos!$E$6-Supuestos!$D$6)),Supuestos!$F$6-SQRT((1-C32)*(Supuestos!$F$6-Supuestos!$D$6)*(Supuestos!$F$6-Supuestos!$E$6))),IF(Supuestos!$C$6="Uniforme",Supuestos!$D$6+C32*(Supuestos!$E$6-Supuestos!$D$6),IF(Supuestos!$C$6="Lognormal",LOGINV(C32,LN(Supuestos!$D$6)-LN(1+Supuestos!$E$6^2/Supuestos!$D$6^2)/2,SQRT(LN(1+Supuestos!$E$6^2/Supuestos!$D$6^2))),Supuestos!$D$6))))))</f>
        <v/>
      </c>
      <c r="K32" s="32">
        <f>MIN(IF(Supuestos!$H$7="",1E+99,Supuestos!$H$7),MAX(IF(Supuestos!$G$7="",-1E+99,Supuestos!$G$7),IF(Supuestos!$C$7="Normal",NORMINV(D32,Supuestos!$D$7,Supuestos!$E$7),IF(Supuestos!$C$7="Triangular",IF(D32&lt;(Supuestos!$E$7-Supuestos!$D$7)/(Supuestos!$F$7-Supuestos!$D$7),Supuestos!$D$7+SQRT(D32*(Supuestos!$F$7-Supuestos!$D$7)*(Supuestos!$E$7-Supuestos!$D$7)),Supuestos!$F$7-SQRT((1-D32)*(Supuestos!$F$7-Supuestos!$D$7)*(Supuestos!$F$7-Supuestos!$E$7))),IF(Supuestos!$C$7="Uniforme",Supuestos!$D$7+D32*(Supuestos!$E$7-Supuestos!$D$7),IF(Supuestos!$C$7="Lognormal",LOGINV(D32,LN(Supuestos!$D$7)-LN(1+Supuestos!$E$7^2/Supuestos!$D$7^2)/2,SQRT(LN(1+Supuestos!$E$7^2/Supuestos!$D$7^2))),Supuestos!$D$7))))))</f>
        <v/>
      </c>
      <c r="L32" s="32">
        <f>MIN(IF(Supuestos!$H$8="",1E+99,Supuestos!$H$8),MAX(IF(Supuestos!$G$8="",-1E+99,Supuestos!$G$8),IF(Supuestos!$C$8="Normal",NORMINV(E32,Supuestos!$D$8,Supuestos!$E$8),IF(Supuestos!$C$8="Triangular",IF(E32&lt;(Supuestos!$E$8-Supuestos!$D$8)/(Supuestos!$F$8-Supuestos!$D$8),Supuestos!$D$8+SQRT(E32*(Supuestos!$F$8-Supuestos!$D$8)*(Supuestos!$E$8-Supuestos!$D$8)),Supuestos!$F$8-SQRT((1-E32)*(Supuestos!$F$8-Supuestos!$D$8)*(Supuestos!$F$8-Supuestos!$E$8))),IF(Supuestos!$C$8="Uniforme",Supuestos!$D$8+E32*(Supuestos!$E$8-Supuestos!$D$8),IF(Supuestos!$C$8="Lognormal",LOGINV(E32,LN(Supuestos!$D$8)-LN(1+Supuestos!$E$8^2/Supuestos!$D$8^2)/2,SQRT(LN(1+Supuestos!$E$8^2/Supuestos!$D$8^2))),Supuestos!$D$8))))))</f>
        <v/>
      </c>
      <c r="M32" s="32">
        <f>MIN(IF(Supuestos!$H$9="",1E+99,Supuestos!$H$9),MAX(IF(Supuestos!$G$9="",-1E+99,Supuestos!$G$9),IF(Supuestos!$C$9="Normal",NORMINV(F32,Supuestos!$D$9,Supuestos!$E$9),IF(Supuestos!$C$9="Triangular",IF(F32&lt;(Supuestos!$E$9-Supuestos!$D$9)/(Supuestos!$F$9-Supuestos!$D$9),Supuestos!$D$9+SQRT(F32*(Supuestos!$F$9-Supuestos!$D$9)*(Supuestos!$E$9-Supuestos!$D$9)),Supuestos!$F$9-SQRT((1-F32)*(Supuestos!$F$9-Supuestos!$D$9)*(Supuestos!$F$9-Supuestos!$E$9))),IF(Supuestos!$C$9="Uniforme",Supuestos!$D$9+F32*(Supuestos!$E$9-Supuestos!$D$9),IF(Supuestos!$C$9="Lognormal",LOGINV(F32,LN(Supuestos!$D$9)-LN(1+Supuestos!$E$9^2/Supuestos!$D$9^2)/2,SQRT(LN(1+Supuestos!$E$9^2/Supuestos!$D$9^2))),Supuestos!$D$9))))))</f>
        <v/>
      </c>
      <c r="N32" s="32">
        <f>MIN(IF(Supuestos!$H$10="",1E+99,Supuestos!$H$10),MAX(IF(Supuestos!$G$10="",-1E+99,Supuestos!$G$10),IF(Supuestos!$C$10="Normal",NORMINV(G32,Supuestos!$D$10,Supuestos!$E$10),IF(Supuestos!$C$10="Triangular",IF(G32&lt;(Supuestos!$E$10-Supuestos!$D$10)/(Supuestos!$F$10-Supuestos!$D$10),Supuestos!$D$10+SQRT(G32*(Supuestos!$F$10-Supuestos!$D$10)*(Supuestos!$E$10-Supuestos!$D$10)),Supuestos!$F$10-SQRT((1-G32)*(Supuestos!$F$10-Supuestos!$D$10)*(Supuestos!$F$10-Supuestos!$E$10))),IF(Supuestos!$C$10="Uniforme",Supuestos!$D$10+G32*(Supuestos!$E$10-Supuestos!$D$10),IF(Supuestos!$C$10="Lognormal",LOGINV(G32,LN(Supuestos!$D$10)-LN(1+Supuestos!$E$10^2/Supuestos!$D$10^2)/2,SQRT(LN(1+Supuestos!$E$10^2/Supuestos!$D$10^2))),Supuestos!$D$10))))))</f>
        <v/>
      </c>
      <c r="O32" s="31">
        <f>MIN(IF(Supuestos!$H$11="",1E+99,Supuestos!$H$11),MAX(IF(Supuestos!$G$11="",-1E+99,Supuestos!$G$11),IF(Supuestos!$C$11="Normal",NORMINV(H32,Supuestos!$D$11,Supuestos!$E$11),IF(Supuestos!$C$11="Triangular",IF(H32&lt;(Supuestos!$E$11-Supuestos!$D$11)/(Supuestos!$F$11-Supuestos!$D$11),Supuestos!$D$11+SQRT(H32*(Supuestos!$F$11-Supuestos!$D$11)*(Supuestos!$E$11-Supuestos!$D$11)),Supuestos!$F$11-SQRT((1-H32)*(Supuestos!$F$11-Supuestos!$D$11)*(Supuestos!$F$11-Supuestos!$E$11))),IF(Supuestos!$C$11="Uniforme",Supuestos!$D$11+H32*(Supuestos!$E$11-Supuestos!$D$11),IF(Supuestos!$C$11="Lognormal",LOGINV(H32,LN(Supuestos!$D$11)-LN(1+Supuestos!$E$11^2/Supuestos!$D$11^2)/2,SQRT(LN(1+Supuestos!$E$11^2/Supuestos!$D$11^2))),Supuestos!$D$11))))))</f>
        <v/>
      </c>
      <c r="P32" s="33">
        <f>-I32</f>
        <v/>
      </c>
      <c r="Q32" s="33">
        <f>$J32*(1+$K32)^(1-1)*(1-$L32)*(1-$M32)</f>
        <v/>
      </c>
      <c r="R32" s="33">
        <f>$J32*(1+$K32)^(2-1)*(1-$L32)*(1-$M32)</f>
        <v/>
      </c>
      <c r="S32" s="33">
        <f>$J32*(1+$K32)^(3-1)*(1-$L32)*(1-$M32)</f>
        <v/>
      </c>
      <c r="T32" s="33">
        <f>$J32*(1+$K32)^(4-1)*(1-$L32)*(1-$M32)</f>
        <v/>
      </c>
      <c r="U32" s="33">
        <f>$J32*(1+$K32)^(5-1)*(1-$L32)*(1-$M32)+$O32</f>
        <v/>
      </c>
      <c r="V32" s="33">
        <f>P32+NPV($N32,Q32:U32)</f>
        <v/>
      </c>
      <c r="W32" s="32">
        <f>IFERROR(IRR(P32:U32,0.1),"")</f>
        <v/>
      </c>
    </row>
    <row r="33">
      <c r="A33" s="14" t="n">
        <v>29</v>
      </c>
      <c r="B33" s="30">
        <f>RAND()*(1-2E-6)+1E-6</f>
        <v/>
      </c>
      <c r="C33" s="30">
        <f>RAND()*(1-2E-6)+1E-6</f>
        <v/>
      </c>
      <c r="D33" s="30">
        <f>RAND()*(1-2E-6)+1E-6</f>
        <v/>
      </c>
      <c r="E33" s="30">
        <f>RAND()*(1-2E-6)+1E-6</f>
        <v/>
      </c>
      <c r="F33" s="30">
        <f>RAND()*(1-2E-6)+1E-6</f>
        <v/>
      </c>
      <c r="G33" s="30">
        <f>RAND()*(1-2E-6)+1E-6</f>
        <v/>
      </c>
      <c r="H33" s="30">
        <f>RAND()*(1-2E-6)+1E-6</f>
        <v/>
      </c>
      <c r="I33" s="31">
        <f>MIN(IF(Supuestos!$H$5="",1E+99,Supuestos!$H$5),MAX(IF(Supuestos!$G$5="",-1E+99,Supuestos!$G$5),IF(Supuestos!$C$5="Normal",NORMINV(B33,Supuestos!$D$5,Supuestos!$E$5),IF(Supuestos!$C$5="Triangular",IF(B33&lt;(Supuestos!$E$5-Supuestos!$D$5)/(Supuestos!$F$5-Supuestos!$D$5),Supuestos!$D$5+SQRT(B33*(Supuestos!$F$5-Supuestos!$D$5)*(Supuestos!$E$5-Supuestos!$D$5)),Supuestos!$F$5-SQRT((1-B33)*(Supuestos!$F$5-Supuestos!$D$5)*(Supuestos!$F$5-Supuestos!$E$5))),IF(Supuestos!$C$5="Uniforme",Supuestos!$D$5+B33*(Supuestos!$E$5-Supuestos!$D$5),IF(Supuestos!$C$5="Lognormal",LOGINV(B33,LN(Supuestos!$D$5)-LN(1+Supuestos!$E$5^2/Supuestos!$D$5^2)/2,SQRT(LN(1+Supuestos!$E$5^2/Supuestos!$D$5^2))),Supuestos!$D$5))))))</f>
        <v/>
      </c>
      <c r="J33" s="31">
        <f>MIN(IF(Supuestos!$H$6="",1E+99,Supuestos!$H$6),MAX(IF(Supuestos!$G$6="",-1E+99,Supuestos!$G$6),IF(Supuestos!$C$6="Normal",NORMINV(C33,Supuestos!$D$6,Supuestos!$E$6),IF(Supuestos!$C$6="Triangular",IF(C33&lt;(Supuestos!$E$6-Supuestos!$D$6)/(Supuestos!$F$6-Supuestos!$D$6),Supuestos!$D$6+SQRT(C33*(Supuestos!$F$6-Supuestos!$D$6)*(Supuestos!$E$6-Supuestos!$D$6)),Supuestos!$F$6-SQRT((1-C33)*(Supuestos!$F$6-Supuestos!$D$6)*(Supuestos!$F$6-Supuestos!$E$6))),IF(Supuestos!$C$6="Uniforme",Supuestos!$D$6+C33*(Supuestos!$E$6-Supuestos!$D$6),IF(Supuestos!$C$6="Lognormal",LOGINV(C33,LN(Supuestos!$D$6)-LN(1+Supuestos!$E$6^2/Supuestos!$D$6^2)/2,SQRT(LN(1+Supuestos!$E$6^2/Supuestos!$D$6^2))),Supuestos!$D$6))))))</f>
        <v/>
      </c>
      <c r="K33" s="32">
        <f>MIN(IF(Supuestos!$H$7="",1E+99,Supuestos!$H$7),MAX(IF(Supuestos!$G$7="",-1E+99,Supuestos!$G$7),IF(Supuestos!$C$7="Normal",NORMINV(D33,Supuestos!$D$7,Supuestos!$E$7),IF(Supuestos!$C$7="Triangular",IF(D33&lt;(Supuestos!$E$7-Supuestos!$D$7)/(Supuestos!$F$7-Supuestos!$D$7),Supuestos!$D$7+SQRT(D33*(Supuestos!$F$7-Supuestos!$D$7)*(Supuestos!$E$7-Supuestos!$D$7)),Supuestos!$F$7-SQRT((1-D33)*(Supuestos!$F$7-Supuestos!$D$7)*(Supuestos!$F$7-Supuestos!$E$7))),IF(Supuestos!$C$7="Uniforme",Supuestos!$D$7+D33*(Supuestos!$E$7-Supuestos!$D$7),IF(Supuestos!$C$7="Lognormal",LOGINV(D33,LN(Supuestos!$D$7)-LN(1+Supuestos!$E$7^2/Supuestos!$D$7^2)/2,SQRT(LN(1+Supuestos!$E$7^2/Supuestos!$D$7^2))),Supuestos!$D$7))))))</f>
        <v/>
      </c>
      <c r="L33" s="32">
        <f>MIN(IF(Supuestos!$H$8="",1E+99,Supuestos!$H$8),MAX(IF(Supuestos!$G$8="",-1E+99,Supuestos!$G$8),IF(Supuestos!$C$8="Normal",NORMINV(E33,Supuestos!$D$8,Supuestos!$E$8),IF(Supuestos!$C$8="Triangular",IF(E33&lt;(Supuestos!$E$8-Supuestos!$D$8)/(Supuestos!$F$8-Supuestos!$D$8),Supuestos!$D$8+SQRT(E33*(Supuestos!$F$8-Supuestos!$D$8)*(Supuestos!$E$8-Supuestos!$D$8)),Supuestos!$F$8-SQRT((1-E33)*(Supuestos!$F$8-Supuestos!$D$8)*(Supuestos!$F$8-Supuestos!$E$8))),IF(Supuestos!$C$8="Uniforme",Supuestos!$D$8+E33*(Supuestos!$E$8-Supuestos!$D$8),IF(Supuestos!$C$8="Lognormal",LOGINV(E33,LN(Supuestos!$D$8)-LN(1+Supuestos!$E$8^2/Supuestos!$D$8^2)/2,SQRT(LN(1+Supuestos!$E$8^2/Supuestos!$D$8^2))),Supuestos!$D$8))))))</f>
        <v/>
      </c>
      <c r="M33" s="32">
        <f>MIN(IF(Supuestos!$H$9="",1E+99,Supuestos!$H$9),MAX(IF(Supuestos!$G$9="",-1E+99,Supuestos!$G$9),IF(Supuestos!$C$9="Normal",NORMINV(F33,Supuestos!$D$9,Supuestos!$E$9),IF(Supuestos!$C$9="Triangular",IF(F33&lt;(Supuestos!$E$9-Supuestos!$D$9)/(Supuestos!$F$9-Supuestos!$D$9),Supuestos!$D$9+SQRT(F33*(Supuestos!$F$9-Supuestos!$D$9)*(Supuestos!$E$9-Supuestos!$D$9)),Supuestos!$F$9-SQRT((1-F33)*(Supuestos!$F$9-Supuestos!$D$9)*(Supuestos!$F$9-Supuestos!$E$9))),IF(Supuestos!$C$9="Uniforme",Supuestos!$D$9+F33*(Supuestos!$E$9-Supuestos!$D$9),IF(Supuestos!$C$9="Lognormal",LOGINV(F33,LN(Supuestos!$D$9)-LN(1+Supuestos!$E$9^2/Supuestos!$D$9^2)/2,SQRT(LN(1+Supuestos!$E$9^2/Supuestos!$D$9^2))),Supuestos!$D$9))))))</f>
        <v/>
      </c>
      <c r="N33" s="32">
        <f>MIN(IF(Supuestos!$H$10="",1E+99,Supuestos!$H$10),MAX(IF(Supuestos!$G$10="",-1E+99,Supuestos!$G$10),IF(Supuestos!$C$10="Normal",NORMINV(G33,Supuestos!$D$10,Supuestos!$E$10),IF(Supuestos!$C$10="Triangular",IF(G33&lt;(Supuestos!$E$10-Supuestos!$D$10)/(Supuestos!$F$10-Supuestos!$D$10),Supuestos!$D$10+SQRT(G33*(Supuestos!$F$10-Supuestos!$D$10)*(Supuestos!$E$10-Supuestos!$D$10)),Supuestos!$F$10-SQRT((1-G33)*(Supuestos!$F$10-Supuestos!$D$10)*(Supuestos!$F$10-Supuestos!$E$10))),IF(Supuestos!$C$10="Uniforme",Supuestos!$D$10+G33*(Supuestos!$E$10-Supuestos!$D$10),IF(Supuestos!$C$10="Lognormal",LOGINV(G33,LN(Supuestos!$D$10)-LN(1+Supuestos!$E$10^2/Supuestos!$D$10^2)/2,SQRT(LN(1+Supuestos!$E$10^2/Supuestos!$D$10^2))),Supuestos!$D$10))))))</f>
        <v/>
      </c>
      <c r="O33" s="31">
        <f>MIN(IF(Supuestos!$H$11="",1E+99,Supuestos!$H$11),MAX(IF(Supuestos!$G$11="",-1E+99,Supuestos!$G$11),IF(Supuestos!$C$11="Normal",NORMINV(H33,Supuestos!$D$11,Supuestos!$E$11),IF(Supuestos!$C$11="Triangular",IF(H33&lt;(Supuestos!$E$11-Supuestos!$D$11)/(Supuestos!$F$11-Supuestos!$D$11),Supuestos!$D$11+SQRT(H33*(Supuestos!$F$11-Supuestos!$D$11)*(Supuestos!$E$11-Supuestos!$D$11)),Supuestos!$F$11-SQRT((1-H33)*(Supuestos!$F$11-Supuestos!$D$11)*(Supuestos!$F$11-Supuestos!$E$11))),IF(Supuestos!$C$11="Uniforme",Supuestos!$D$11+H33*(Supuestos!$E$11-Supuestos!$D$11),IF(Supuestos!$C$11="Lognormal",LOGINV(H33,LN(Supuestos!$D$11)-LN(1+Supuestos!$E$11^2/Supuestos!$D$11^2)/2,SQRT(LN(1+Supuestos!$E$11^2/Supuestos!$D$11^2))),Supuestos!$D$11))))))</f>
        <v/>
      </c>
      <c r="P33" s="33">
        <f>-I33</f>
        <v/>
      </c>
      <c r="Q33" s="33">
        <f>$J33*(1+$K33)^(1-1)*(1-$L33)*(1-$M33)</f>
        <v/>
      </c>
      <c r="R33" s="33">
        <f>$J33*(1+$K33)^(2-1)*(1-$L33)*(1-$M33)</f>
        <v/>
      </c>
      <c r="S33" s="33">
        <f>$J33*(1+$K33)^(3-1)*(1-$L33)*(1-$M33)</f>
        <v/>
      </c>
      <c r="T33" s="33">
        <f>$J33*(1+$K33)^(4-1)*(1-$L33)*(1-$M33)</f>
        <v/>
      </c>
      <c r="U33" s="33">
        <f>$J33*(1+$K33)^(5-1)*(1-$L33)*(1-$M33)+$O33</f>
        <v/>
      </c>
      <c r="V33" s="33">
        <f>P33+NPV($N33,Q33:U33)</f>
        <v/>
      </c>
      <c r="W33" s="32">
        <f>IFERROR(IRR(P33:U33,0.1),"")</f>
        <v/>
      </c>
    </row>
    <row r="34">
      <c r="A34" s="14" t="n">
        <v>30</v>
      </c>
      <c r="B34" s="30">
        <f>RAND()*(1-2E-6)+1E-6</f>
        <v/>
      </c>
      <c r="C34" s="30">
        <f>RAND()*(1-2E-6)+1E-6</f>
        <v/>
      </c>
      <c r="D34" s="30">
        <f>RAND()*(1-2E-6)+1E-6</f>
        <v/>
      </c>
      <c r="E34" s="30">
        <f>RAND()*(1-2E-6)+1E-6</f>
        <v/>
      </c>
      <c r="F34" s="30">
        <f>RAND()*(1-2E-6)+1E-6</f>
        <v/>
      </c>
      <c r="G34" s="30">
        <f>RAND()*(1-2E-6)+1E-6</f>
        <v/>
      </c>
      <c r="H34" s="30">
        <f>RAND()*(1-2E-6)+1E-6</f>
        <v/>
      </c>
      <c r="I34" s="31">
        <f>MIN(IF(Supuestos!$H$5="",1E+99,Supuestos!$H$5),MAX(IF(Supuestos!$G$5="",-1E+99,Supuestos!$G$5),IF(Supuestos!$C$5="Normal",NORMINV(B34,Supuestos!$D$5,Supuestos!$E$5),IF(Supuestos!$C$5="Triangular",IF(B34&lt;(Supuestos!$E$5-Supuestos!$D$5)/(Supuestos!$F$5-Supuestos!$D$5),Supuestos!$D$5+SQRT(B34*(Supuestos!$F$5-Supuestos!$D$5)*(Supuestos!$E$5-Supuestos!$D$5)),Supuestos!$F$5-SQRT((1-B34)*(Supuestos!$F$5-Supuestos!$D$5)*(Supuestos!$F$5-Supuestos!$E$5))),IF(Supuestos!$C$5="Uniforme",Supuestos!$D$5+B34*(Supuestos!$E$5-Supuestos!$D$5),IF(Supuestos!$C$5="Lognormal",LOGINV(B34,LN(Supuestos!$D$5)-LN(1+Supuestos!$E$5^2/Supuestos!$D$5^2)/2,SQRT(LN(1+Supuestos!$E$5^2/Supuestos!$D$5^2))),Supuestos!$D$5))))))</f>
        <v/>
      </c>
      <c r="J34" s="31">
        <f>MIN(IF(Supuestos!$H$6="",1E+99,Supuestos!$H$6),MAX(IF(Supuestos!$G$6="",-1E+99,Supuestos!$G$6),IF(Supuestos!$C$6="Normal",NORMINV(C34,Supuestos!$D$6,Supuestos!$E$6),IF(Supuestos!$C$6="Triangular",IF(C34&lt;(Supuestos!$E$6-Supuestos!$D$6)/(Supuestos!$F$6-Supuestos!$D$6),Supuestos!$D$6+SQRT(C34*(Supuestos!$F$6-Supuestos!$D$6)*(Supuestos!$E$6-Supuestos!$D$6)),Supuestos!$F$6-SQRT((1-C34)*(Supuestos!$F$6-Supuestos!$D$6)*(Supuestos!$F$6-Supuestos!$E$6))),IF(Supuestos!$C$6="Uniforme",Supuestos!$D$6+C34*(Supuestos!$E$6-Supuestos!$D$6),IF(Supuestos!$C$6="Lognormal",LOGINV(C34,LN(Supuestos!$D$6)-LN(1+Supuestos!$E$6^2/Supuestos!$D$6^2)/2,SQRT(LN(1+Supuestos!$E$6^2/Supuestos!$D$6^2))),Supuestos!$D$6))))))</f>
        <v/>
      </c>
      <c r="K34" s="32">
        <f>MIN(IF(Supuestos!$H$7="",1E+99,Supuestos!$H$7),MAX(IF(Supuestos!$G$7="",-1E+99,Supuestos!$G$7),IF(Supuestos!$C$7="Normal",NORMINV(D34,Supuestos!$D$7,Supuestos!$E$7),IF(Supuestos!$C$7="Triangular",IF(D34&lt;(Supuestos!$E$7-Supuestos!$D$7)/(Supuestos!$F$7-Supuestos!$D$7),Supuestos!$D$7+SQRT(D34*(Supuestos!$F$7-Supuestos!$D$7)*(Supuestos!$E$7-Supuestos!$D$7)),Supuestos!$F$7-SQRT((1-D34)*(Supuestos!$F$7-Supuestos!$D$7)*(Supuestos!$F$7-Supuestos!$E$7))),IF(Supuestos!$C$7="Uniforme",Supuestos!$D$7+D34*(Supuestos!$E$7-Supuestos!$D$7),IF(Supuestos!$C$7="Lognormal",LOGINV(D34,LN(Supuestos!$D$7)-LN(1+Supuestos!$E$7^2/Supuestos!$D$7^2)/2,SQRT(LN(1+Supuestos!$E$7^2/Supuestos!$D$7^2))),Supuestos!$D$7))))))</f>
        <v/>
      </c>
      <c r="L34" s="32">
        <f>MIN(IF(Supuestos!$H$8="",1E+99,Supuestos!$H$8),MAX(IF(Supuestos!$G$8="",-1E+99,Supuestos!$G$8),IF(Supuestos!$C$8="Normal",NORMINV(E34,Supuestos!$D$8,Supuestos!$E$8),IF(Supuestos!$C$8="Triangular",IF(E34&lt;(Supuestos!$E$8-Supuestos!$D$8)/(Supuestos!$F$8-Supuestos!$D$8),Supuestos!$D$8+SQRT(E34*(Supuestos!$F$8-Supuestos!$D$8)*(Supuestos!$E$8-Supuestos!$D$8)),Supuestos!$F$8-SQRT((1-E34)*(Supuestos!$F$8-Supuestos!$D$8)*(Supuestos!$F$8-Supuestos!$E$8))),IF(Supuestos!$C$8="Uniforme",Supuestos!$D$8+E34*(Supuestos!$E$8-Supuestos!$D$8),IF(Supuestos!$C$8="Lognormal",LOGINV(E34,LN(Supuestos!$D$8)-LN(1+Supuestos!$E$8^2/Supuestos!$D$8^2)/2,SQRT(LN(1+Supuestos!$E$8^2/Supuestos!$D$8^2))),Supuestos!$D$8))))))</f>
        <v/>
      </c>
      <c r="M34" s="32">
        <f>MIN(IF(Supuestos!$H$9="",1E+99,Supuestos!$H$9),MAX(IF(Supuestos!$G$9="",-1E+99,Supuestos!$G$9),IF(Supuestos!$C$9="Normal",NORMINV(F34,Supuestos!$D$9,Supuestos!$E$9),IF(Supuestos!$C$9="Triangular",IF(F34&lt;(Supuestos!$E$9-Supuestos!$D$9)/(Supuestos!$F$9-Supuestos!$D$9),Supuestos!$D$9+SQRT(F34*(Supuestos!$F$9-Supuestos!$D$9)*(Supuestos!$E$9-Supuestos!$D$9)),Supuestos!$F$9-SQRT((1-F34)*(Supuestos!$F$9-Supuestos!$D$9)*(Supuestos!$F$9-Supuestos!$E$9))),IF(Supuestos!$C$9="Uniforme",Supuestos!$D$9+F34*(Supuestos!$E$9-Supuestos!$D$9),IF(Supuestos!$C$9="Lognormal",LOGINV(F34,LN(Supuestos!$D$9)-LN(1+Supuestos!$E$9^2/Supuestos!$D$9^2)/2,SQRT(LN(1+Supuestos!$E$9^2/Supuestos!$D$9^2))),Supuestos!$D$9))))))</f>
        <v/>
      </c>
      <c r="N34" s="32">
        <f>MIN(IF(Supuestos!$H$10="",1E+99,Supuestos!$H$10),MAX(IF(Supuestos!$G$10="",-1E+99,Supuestos!$G$10),IF(Supuestos!$C$10="Normal",NORMINV(G34,Supuestos!$D$10,Supuestos!$E$10),IF(Supuestos!$C$10="Triangular",IF(G34&lt;(Supuestos!$E$10-Supuestos!$D$10)/(Supuestos!$F$10-Supuestos!$D$10),Supuestos!$D$10+SQRT(G34*(Supuestos!$F$10-Supuestos!$D$10)*(Supuestos!$E$10-Supuestos!$D$10)),Supuestos!$F$10-SQRT((1-G34)*(Supuestos!$F$10-Supuestos!$D$10)*(Supuestos!$F$10-Supuestos!$E$10))),IF(Supuestos!$C$10="Uniforme",Supuestos!$D$10+G34*(Supuestos!$E$10-Supuestos!$D$10),IF(Supuestos!$C$10="Lognormal",LOGINV(G34,LN(Supuestos!$D$10)-LN(1+Supuestos!$E$10^2/Supuestos!$D$10^2)/2,SQRT(LN(1+Supuestos!$E$10^2/Supuestos!$D$10^2))),Supuestos!$D$10))))))</f>
        <v/>
      </c>
      <c r="O34" s="31">
        <f>MIN(IF(Supuestos!$H$11="",1E+99,Supuestos!$H$11),MAX(IF(Supuestos!$G$11="",-1E+99,Supuestos!$G$11),IF(Supuestos!$C$11="Normal",NORMINV(H34,Supuestos!$D$11,Supuestos!$E$11),IF(Supuestos!$C$11="Triangular",IF(H34&lt;(Supuestos!$E$11-Supuestos!$D$11)/(Supuestos!$F$11-Supuestos!$D$11),Supuestos!$D$11+SQRT(H34*(Supuestos!$F$11-Supuestos!$D$11)*(Supuestos!$E$11-Supuestos!$D$11)),Supuestos!$F$11-SQRT((1-H34)*(Supuestos!$F$11-Supuestos!$D$11)*(Supuestos!$F$11-Supuestos!$E$11))),IF(Supuestos!$C$11="Uniforme",Supuestos!$D$11+H34*(Supuestos!$E$11-Supuestos!$D$11),IF(Supuestos!$C$11="Lognormal",LOGINV(H34,LN(Supuestos!$D$11)-LN(1+Supuestos!$E$11^2/Supuestos!$D$11^2)/2,SQRT(LN(1+Supuestos!$E$11^2/Supuestos!$D$11^2))),Supuestos!$D$11))))))</f>
        <v/>
      </c>
      <c r="P34" s="33">
        <f>-I34</f>
        <v/>
      </c>
      <c r="Q34" s="33">
        <f>$J34*(1+$K34)^(1-1)*(1-$L34)*(1-$M34)</f>
        <v/>
      </c>
      <c r="R34" s="33">
        <f>$J34*(1+$K34)^(2-1)*(1-$L34)*(1-$M34)</f>
        <v/>
      </c>
      <c r="S34" s="33">
        <f>$J34*(1+$K34)^(3-1)*(1-$L34)*(1-$M34)</f>
        <v/>
      </c>
      <c r="T34" s="33">
        <f>$J34*(1+$K34)^(4-1)*(1-$L34)*(1-$M34)</f>
        <v/>
      </c>
      <c r="U34" s="33">
        <f>$J34*(1+$K34)^(5-1)*(1-$L34)*(1-$M34)+$O34</f>
        <v/>
      </c>
      <c r="V34" s="33">
        <f>P34+NPV($N34,Q34:U34)</f>
        <v/>
      </c>
      <c r="W34" s="32">
        <f>IFERROR(IRR(P34:U34,0.1),"")</f>
        <v/>
      </c>
    </row>
    <row r="35">
      <c r="A35" s="14" t="n">
        <v>31</v>
      </c>
      <c r="B35" s="30">
        <f>RAND()*(1-2E-6)+1E-6</f>
        <v/>
      </c>
      <c r="C35" s="30">
        <f>RAND()*(1-2E-6)+1E-6</f>
        <v/>
      </c>
      <c r="D35" s="30">
        <f>RAND()*(1-2E-6)+1E-6</f>
        <v/>
      </c>
      <c r="E35" s="30">
        <f>RAND()*(1-2E-6)+1E-6</f>
        <v/>
      </c>
      <c r="F35" s="30">
        <f>RAND()*(1-2E-6)+1E-6</f>
        <v/>
      </c>
      <c r="G35" s="30">
        <f>RAND()*(1-2E-6)+1E-6</f>
        <v/>
      </c>
      <c r="H35" s="30">
        <f>RAND()*(1-2E-6)+1E-6</f>
        <v/>
      </c>
      <c r="I35" s="31">
        <f>MIN(IF(Supuestos!$H$5="",1E+99,Supuestos!$H$5),MAX(IF(Supuestos!$G$5="",-1E+99,Supuestos!$G$5),IF(Supuestos!$C$5="Normal",NORMINV(B35,Supuestos!$D$5,Supuestos!$E$5),IF(Supuestos!$C$5="Triangular",IF(B35&lt;(Supuestos!$E$5-Supuestos!$D$5)/(Supuestos!$F$5-Supuestos!$D$5),Supuestos!$D$5+SQRT(B35*(Supuestos!$F$5-Supuestos!$D$5)*(Supuestos!$E$5-Supuestos!$D$5)),Supuestos!$F$5-SQRT((1-B35)*(Supuestos!$F$5-Supuestos!$D$5)*(Supuestos!$F$5-Supuestos!$E$5))),IF(Supuestos!$C$5="Uniforme",Supuestos!$D$5+B35*(Supuestos!$E$5-Supuestos!$D$5),IF(Supuestos!$C$5="Lognormal",LOGINV(B35,LN(Supuestos!$D$5)-LN(1+Supuestos!$E$5^2/Supuestos!$D$5^2)/2,SQRT(LN(1+Supuestos!$E$5^2/Supuestos!$D$5^2))),Supuestos!$D$5))))))</f>
        <v/>
      </c>
      <c r="J35" s="31">
        <f>MIN(IF(Supuestos!$H$6="",1E+99,Supuestos!$H$6),MAX(IF(Supuestos!$G$6="",-1E+99,Supuestos!$G$6),IF(Supuestos!$C$6="Normal",NORMINV(C35,Supuestos!$D$6,Supuestos!$E$6),IF(Supuestos!$C$6="Triangular",IF(C35&lt;(Supuestos!$E$6-Supuestos!$D$6)/(Supuestos!$F$6-Supuestos!$D$6),Supuestos!$D$6+SQRT(C35*(Supuestos!$F$6-Supuestos!$D$6)*(Supuestos!$E$6-Supuestos!$D$6)),Supuestos!$F$6-SQRT((1-C35)*(Supuestos!$F$6-Supuestos!$D$6)*(Supuestos!$F$6-Supuestos!$E$6))),IF(Supuestos!$C$6="Uniforme",Supuestos!$D$6+C35*(Supuestos!$E$6-Supuestos!$D$6),IF(Supuestos!$C$6="Lognormal",LOGINV(C35,LN(Supuestos!$D$6)-LN(1+Supuestos!$E$6^2/Supuestos!$D$6^2)/2,SQRT(LN(1+Supuestos!$E$6^2/Supuestos!$D$6^2))),Supuestos!$D$6))))))</f>
        <v/>
      </c>
      <c r="K35" s="32">
        <f>MIN(IF(Supuestos!$H$7="",1E+99,Supuestos!$H$7),MAX(IF(Supuestos!$G$7="",-1E+99,Supuestos!$G$7),IF(Supuestos!$C$7="Normal",NORMINV(D35,Supuestos!$D$7,Supuestos!$E$7),IF(Supuestos!$C$7="Triangular",IF(D35&lt;(Supuestos!$E$7-Supuestos!$D$7)/(Supuestos!$F$7-Supuestos!$D$7),Supuestos!$D$7+SQRT(D35*(Supuestos!$F$7-Supuestos!$D$7)*(Supuestos!$E$7-Supuestos!$D$7)),Supuestos!$F$7-SQRT((1-D35)*(Supuestos!$F$7-Supuestos!$D$7)*(Supuestos!$F$7-Supuestos!$E$7))),IF(Supuestos!$C$7="Uniforme",Supuestos!$D$7+D35*(Supuestos!$E$7-Supuestos!$D$7),IF(Supuestos!$C$7="Lognormal",LOGINV(D35,LN(Supuestos!$D$7)-LN(1+Supuestos!$E$7^2/Supuestos!$D$7^2)/2,SQRT(LN(1+Supuestos!$E$7^2/Supuestos!$D$7^2))),Supuestos!$D$7))))))</f>
        <v/>
      </c>
      <c r="L35" s="32">
        <f>MIN(IF(Supuestos!$H$8="",1E+99,Supuestos!$H$8),MAX(IF(Supuestos!$G$8="",-1E+99,Supuestos!$G$8),IF(Supuestos!$C$8="Normal",NORMINV(E35,Supuestos!$D$8,Supuestos!$E$8),IF(Supuestos!$C$8="Triangular",IF(E35&lt;(Supuestos!$E$8-Supuestos!$D$8)/(Supuestos!$F$8-Supuestos!$D$8),Supuestos!$D$8+SQRT(E35*(Supuestos!$F$8-Supuestos!$D$8)*(Supuestos!$E$8-Supuestos!$D$8)),Supuestos!$F$8-SQRT((1-E35)*(Supuestos!$F$8-Supuestos!$D$8)*(Supuestos!$F$8-Supuestos!$E$8))),IF(Supuestos!$C$8="Uniforme",Supuestos!$D$8+E35*(Supuestos!$E$8-Supuestos!$D$8),IF(Supuestos!$C$8="Lognormal",LOGINV(E35,LN(Supuestos!$D$8)-LN(1+Supuestos!$E$8^2/Supuestos!$D$8^2)/2,SQRT(LN(1+Supuestos!$E$8^2/Supuestos!$D$8^2))),Supuestos!$D$8))))))</f>
        <v/>
      </c>
      <c r="M35" s="32">
        <f>MIN(IF(Supuestos!$H$9="",1E+99,Supuestos!$H$9),MAX(IF(Supuestos!$G$9="",-1E+99,Supuestos!$G$9),IF(Supuestos!$C$9="Normal",NORMINV(F35,Supuestos!$D$9,Supuestos!$E$9),IF(Supuestos!$C$9="Triangular",IF(F35&lt;(Supuestos!$E$9-Supuestos!$D$9)/(Supuestos!$F$9-Supuestos!$D$9),Supuestos!$D$9+SQRT(F35*(Supuestos!$F$9-Supuestos!$D$9)*(Supuestos!$E$9-Supuestos!$D$9)),Supuestos!$F$9-SQRT((1-F35)*(Supuestos!$F$9-Supuestos!$D$9)*(Supuestos!$F$9-Supuestos!$E$9))),IF(Supuestos!$C$9="Uniforme",Supuestos!$D$9+F35*(Supuestos!$E$9-Supuestos!$D$9),IF(Supuestos!$C$9="Lognormal",LOGINV(F35,LN(Supuestos!$D$9)-LN(1+Supuestos!$E$9^2/Supuestos!$D$9^2)/2,SQRT(LN(1+Supuestos!$E$9^2/Supuestos!$D$9^2))),Supuestos!$D$9))))))</f>
        <v/>
      </c>
      <c r="N35" s="32">
        <f>MIN(IF(Supuestos!$H$10="",1E+99,Supuestos!$H$10),MAX(IF(Supuestos!$G$10="",-1E+99,Supuestos!$G$10),IF(Supuestos!$C$10="Normal",NORMINV(G35,Supuestos!$D$10,Supuestos!$E$10),IF(Supuestos!$C$10="Triangular",IF(G35&lt;(Supuestos!$E$10-Supuestos!$D$10)/(Supuestos!$F$10-Supuestos!$D$10),Supuestos!$D$10+SQRT(G35*(Supuestos!$F$10-Supuestos!$D$10)*(Supuestos!$E$10-Supuestos!$D$10)),Supuestos!$F$10-SQRT((1-G35)*(Supuestos!$F$10-Supuestos!$D$10)*(Supuestos!$F$10-Supuestos!$E$10))),IF(Supuestos!$C$10="Uniforme",Supuestos!$D$10+G35*(Supuestos!$E$10-Supuestos!$D$10),IF(Supuestos!$C$10="Lognormal",LOGINV(G35,LN(Supuestos!$D$10)-LN(1+Supuestos!$E$10^2/Supuestos!$D$10^2)/2,SQRT(LN(1+Supuestos!$E$10^2/Supuestos!$D$10^2))),Supuestos!$D$10))))))</f>
        <v/>
      </c>
      <c r="O35" s="31">
        <f>MIN(IF(Supuestos!$H$11="",1E+99,Supuestos!$H$11),MAX(IF(Supuestos!$G$11="",-1E+99,Supuestos!$G$11),IF(Supuestos!$C$11="Normal",NORMINV(H35,Supuestos!$D$11,Supuestos!$E$11),IF(Supuestos!$C$11="Triangular",IF(H35&lt;(Supuestos!$E$11-Supuestos!$D$11)/(Supuestos!$F$11-Supuestos!$D$11),Supuestos!$D$11+SQRT(H35*(Supuestos!$F$11-Supuestos!$D$11)*(Supuestos!$E$11-Supuestos!$D$11)),Supuestos!$F$11-SQRT((1-H35)*(Supuestos!$F$11-Supuestos!$D$11)*(Supuestos!$F$11-Supuestos!$E$11))),IF(Supuestos!$C$11="Uniforme",Supuestos!$D$11+H35*(Supuestos!$E$11-Supuestos!$D$11),IF(Supuestos!$C$11="Lognormal",LOGINV(H35,LN(Supuestos!$D$11)-LN(1+Supuestos!$E$11^2/Supuestos!$D$11^2)/2,SQRT(LN(1+Supuestos!$E$11^2/Supuestos!$D$11^2))),Supuestos!$D$11))))))</f>
        <v/>
      </c>
      <c r="P35" s="33">
        <f>-I35</f>
        <v/>
      </c>
      <c r="Q35" s="33">
        <f>$J35*(1+$K35)^(1-1)*(1-$L35)*(1-$M35)</f>
        <v/>
      </c>
      <c r="R35" s="33">
        <f>$J35*(1+$K35)^(2-1)*(1-$L35)*(1-$M35)</f>
        <v/>
      </c>
      <c r="S35" s="33">
        <f>$J35*(1+$K35)^(3-1)*(1-$L35)*(1-$M35)</f>
        <v/>
      </c>
      <c r="T35" s="33">
        <f>$J35*(1+$K35)^(4-1)*(1-$L35)*(1-$M35)</f>
        <v/>
      </c>
      <c r="U35" s="33">
        <f>$J35*(1+$K35)^(5-1)*(1-$L35)*(1-$M35)+$O35</f>
        <v/>
      </c>
      <c r="V35" s="33">
        <f>P35+NPV($N35,Q35:U35)</f>
        <v/>
      </c>
      <c r="W35" s="32">
        <f>IFERROR(IRR(P35:U35,0.1),"")</f>
        <v/>
      </c>
    </row>
    <row r="36">
      <c r="A36" s="14" t="n">
        <v>32</v>
      </c>
      <c r="B36" s="30">
        <f>RAND()*(1-2E-6)+1E-6</f>
        <v/>
      </c>
      <c r="C36" s="30">
        <f>RAND()*(1-2E-6)+1E-6</f>
        <v/>
      </c>
      <c r="D36" s="30">
        <f>RAND()*(1-2E-6)+1E-6</f>
        <v/>
      </c>
      <c r="E36" s="30">
        <f>RAND()*(1-2E-6)+1E-6</f>
        <v/>
      </c>
      <c r="F36" s="30">
        <f>RAND()*(1-2E-6)+1E-6</f>
        <v/>
      </c>
      <c r="G36" s="30">
        <f>RAND()*(1-2E-6)+1E-6</f>
        <v/>
      </c>
      <c r="H36" s="30">
        <f>RAND()*(1-2E-6)+1E-6</f>
        <v/>
      </c>
      <c r="I36" s="31">
        <f>MIN(IF(Supuestos!$H$5="",1E+99,Supuestos!$H$5),MAX(IF(Supuestos!$G$5="",-1E+99,Supuestos!$G$5),IF(Supuestos!$C$5="Normal",NORMINV(B36,Supuestos!$D$5,Supuestos!$E$5),IF(Supuestos!$C$5="Triangular",IF(B36&lt;(Supuestos!$E$5-Supuestos!$D$5)/(Supuestos!$F$5-Supuestos!$D$5),Supuestos!$D$5+SQRT(B36*(Supuestos!$F$5-Supuestos!$D$5)*(Supuestos!$E$5-Supuestos!$D$5)),Supuestos!$F$5-SQRT((1-B36)*(Supuestos!$F$5-Supuestos!$D$5)*(Supuestos!$F$5-Supuestos!$E$5))),IF(Supuestos!$C$5="Uniforme",Supuestos!$D$5+B36*(Supuestos!$E$5-Supuestos!$D$5),IF(Supuestos!$C$5="Lognormal",LOGINV(B36,LN(Supuestos!$D$5)-LN(1+Supuestos!$E$5^2/Supuestos!$D$5^2)/2,SQRT(LN(1+Supuestos!$E$5^2/Supuestos!$D$5^2))),Supuestos!$D$5))))))</f>
        <v/>
      </c>
      <c r="J36" s="31">
        <f>MIN(IF(Supuestos!$H$6="",1E+99,Supuestos!$H$6),MAX(IF(Supuestos!$G$6="",-1E+99,Supuestos!$G$6),IF(Supuestos!$C$6="Normal",NORMINV(C36,Supuestos!$D$6,Supuestos!$E$6),IF(Supuestos!$C$6="Triangular",IF(C36&lt;(Supuestos!$E$6-Supuestos!$D$6)/(Supuestos!$F$6-Supuestos!$D$6),Supuestos!$D$6+SQRT(C36*(Supuestos!$F$6-Supuestos!$D$6)*(Supuestos!$E$6-Supuestos!$D$6)),Supuestos!$F$6-SQRT((1-C36)*(Supuestos!$F$6-Supuestos!$D$6)*(Supuestos!$F$6-Supuestos!$E$6))),IF(Supuestos!$C$6="Uniforme",Supuestos!$D$6+C36*(Supuestos!$E$6-Supuestos!$D$6),IF(Supuestos!$C$6="Lognormal",LOGINV(C36,LN(Supuestos!$D$6)-LN(1+Supuestos!$E$6^2/Supuestos!$D$6^2)/2,SQRT(LN(1+Supuestos!$E$6^2/Supuestos!$D$6^2))),Supuestos!$D$6))))))</f>
        <v/>
      </c>
      <c r="K36" s="32">
        <f>MIN(IF(Supuestos!$H$7="",1E+99,Supuestos!$H$7),MAX(IF(Supuestos!$G$7="",-1E+99,Supuestos!$G$7),IF(Supuestos!$C$7="Normal",NORMINV(D36,Supuestos!$D$7,Supuestos!$E$7),IF(Supuestos!$C$7="Triangular",IF(D36&lt;(Supuestos!$E$7-Supuestos!$D$7)/(Supuestos!$F$7-Supuestos!$D$7),Supuestos!$D$7+SQRT(D36*(Supuestos!$F$7-Supuestos!$D$7)*(Supuestos!$E$7-Supuestos!$D$7)),Supuestos!$F$7-SQRT((1-D36)*(Supuestos!$F$7-Supuestos!$D$7)*(Supuestos!$F$7-Supuestos!$E$7))),IF(Supuestos!$C$7="Uniforme",Supuestos!$D$7+D36*(Supuestos!$E$7-Supuestos!$D$7),IF(Supuestos!$C$7="Lognormal",LOGINV(D36,LN(Supuestos!$D$7)-LN(1+Supuestos!$E$7^2/Supuestos!$D$7^2)/2,SQRT(LN(1+Supuestos!$E$7^2/Supuestos!$D$7^2))),Supuestos!$D$7))))))</f>
        <v/>
      </c>
      <c r="L36" s="32">
        <f>MIN(IF(Supuestos!$H$8="",1E+99,Supuestos!$H$8),MAX(IF(Supuestos!$G$8="",-1E+99,Supuestos!$G$8),IF(Supuestos!$C$8="Normal",NORMINV(E36,Supuestos!$D$8,Supuestos!$E$8),IF(Supuestos!$C$8="Triangular",IF(E36&lt;(Supuestos!$E$8-Supuestos!$D$8)/(Supuestos!$F$8-Supuestos!$D$8),Supuestos!$D$8+SQRT(E36*(Supuestos!$F$8-Supuestos!$D$8)*(Supuestos!$E$8-Supuestos!$D$8)),Supuestos!$F$8-SQRT((1-E36)*(Supuestos!$F$8-Supuestos!$D$8)*(Supuestos!$F$8-Supuestos!$E$8))),IF(Supuestos!$C$8="Uniforme",Supuestos!$D$8+E36*(Supuestos!$E$8-Supuestos!$D$8),IF(Supuestos!$C$8="Lognormal",LOGINV(E36,LN(Supuestos!$D$8)-LN(1+Supuestos!$E$8^2/Supuestos!$D$8^2)/2,SQRT(LN(1+Supuestos!$E$8^2/Supuestos!$D$8^2))),Supuestos!$D$8))))))</f>
        <v/>
      </c>
      <c r="M36" s="32">
        <f>MIN(IF(Supuestos!$H$9="",1E+99,Supuestos!$H$9),MAX(IF(Supuestos!$G$9="",-1E+99,Supuestos!$G$9),IF(Supuestos!$C$9="Normal",NORMINV(F36,Supuestos!$D$9,Supuestos!$E$9),IF(Supuestos!$C$9="Triangular",IF(F36&lt;(Supuestos!$E$9-Supuestos!$D$9)/(Supuestos!$F$9-Supuestos!$D$9),Supuestos!$D$9+SQRT(F36*(Supuestos!$F$9-Supuestos!$D$9)*(Supuestos!$E$9-Supuestos!$D$9)),Supuestos!$F$9-SQRT((1-F36)*(Supuestos!$F$9-Supuestos!$D$9)*(Supuestos!$F$9-Supuestos!$E$9))),IF(Supuestos!$C$9="Uniforme",Supuestos!$D$9+F36*(Supuestos!$E$9-Supuestos!$D$9),IF(Supuestos!$C$9="Lognormal",LOGINV(F36,LN(Supuestos!$D$9)-LN(1+Supuestos!$E$9^2/Supuestos!$D$9^2)/2,SQRT(LN(1+Supuestos!$E$9^2/Supuestos!$D$9^2))),Supuestos!$D$9))))))</f>
        <v/>
      </c>
      <c r="N36" s="32">
        <f>MIN(IF(Supuestos!$H$10="",1E+99,Supuestos!$H$10),MAX(IF(Supuestos!$G$10="",-1E+99,Supuestos!$G$10),IF(Supuestos!$C$10="Normal",NORMINV(G36,Supuestos!$D$10,Supuestos!$E$10),IF(Supuestos!$C$10="Triangular",IF(G36&lt;(Supuestos!$E$10-Supuestos!$D$10)/(Supuestos!$F$10-Supuestos!$D$10),Supuestos!$D$10+SQRT(G36*(Supuestos!$F$10-Supuestos!$D$10)*(Supuestos!$E$10-Supuestos!$D$10)),Supuestos!$F$10-SQRT((1-G36)*(Supuestos!$F$10-Supuestos!$D$10)*(Supuestos!$F$10-Supuestos!$E$10))),IF(Supuestos!$C$10="Uniforme",Supuestos!$D$10+G36*(Supuestos!$E$10-Supuestos!$D$10),IF(Supuestos!$C$10="Lognormal",LOGINV(G36,LN(Supuestos!$D$10)-LN(1+Supuestos!$E$10^2/Supuestos!$D$10^2)/2,SQRT(LN(1+Supuestos!$E$10^2/Supuestos!$D$10^2))),Supuestos!$D$10))))))</f>
        <v/>
      </c>
      <c r="O36" s="31">
        <f>MIN(IF(Supuestos!$H$11="",1E+99,Supuestos!$H$11),MAX(IF(Supuestos!$G$11="",-1E+99,Supuestos!$G$11),IF(Supuestos!$C$11="Normal",NORMINV(H36,Supuestos!$D$11,Supuestos!$E$11),IF(Supuestos!$C$11="Triangular",IF(H36&lt;(Supuestos!$E$11-Supuestos!$D$11)/(Supuestos!$F$11-Supuestos!$D$11),Supuestos!$D$11+SQRT(H36*(Supuestos!$F$11-Supuestos!$D$11)*(Supuestos!$E$11-Supuestos!$D$11)),Supuestos!$F$11-SQRT((1-H36)*(Supuestos!$F$11-Supuestos!$D$11)*(Supuestos!$F$11-Supuestos!$E$11))),IF(Supuestos!$C$11="Uniforme",Supuestos!$D$11+H36*(Supuestos!$E$11-Supuestos!$D$11),IF(Supuestos!$C$11="Lognormal",LOGINV(H36,LN(Supuestos!$D$11)-LN(1+Supuestos!$E$11^2/Supuestos!$D$11^2)/2,SQRT(LN(1+Supuestos!$E$11^2/Supuestos!$D$11^2))),Supuestos!$D$11))))))</f>
        <v/>
      </c>
      <c r="P36" s="33">
        <f>-I36</f>
        <v/>
      </c>
      <c r="Q36" s="33">
        <f>$J36*(1+$K36)^(1-1)*(1-$L36)*(1-$M36)</f>
        <v/>
      </c>
      <c r="R36" s="33">
        <f>$J36*(1+$K36)^(2-1)*(1-$L36)*(1-$M36)</f>
        <v/>
      </c>
      <c r="S36" s="33">
        <f>$J36*(1+$K36)^(3-1)*(1-$L36)*(1-$M36)</f>
        <v/>
      </c>
      <c r="T36" s="33">
        <f>$J36*(1+$K36)^(4-1)*(1-$L36)*(1-$M36)</f>
        <v/>
      </c>
      <c r="U36" s="33">
        <f>$J36*(1+$K36)^(5-1)*(1-$L36)*(1-$M36)+$O36</f>
        <v/>
      </c>
      <c r="V36" s="33">
        <f>P36+NPV($N36,Q36:U36)</f>
        <v/>
      </c>
      <c r="W36" s="32">
        <f>IFERROR(IRR(P36:U36,0.1),"")</f>
        <v/>
      </c>
    </row>
    <row r="37">
      <c r="A37" s="14" t="n">
        <v>33</v>
      </c>
      <c r="B37" s="30">
        <f>RAND()*(1-2E-6)+1E-6</f>
        <v/>
      </c>
      <c r="C37" s="30">
        <f>RAND()*(1-2E-6)+1E-6</f>
        <v/>
      </c>
      <c r="D37" s="30">
        <f>RAND()*(1-2E-6)+1E-6</f>
        <v/>
      </c>
      <c r="E37" s="30">
        <f>RAND()*(1-2E-6)+1E-6</f>
        <v/>
      </c>
      <c r="F37" s="30">
        <f>RAND()*(1-2E-6)+1E-6</f>
        <v/>
      </c>
      <c r="G37" s="30">
        <f>RAND()*(1-2E-6)+1E-6</f>
        <v/>
      </c>
      <c r="H37" s="30">
        <f>RAND()*(1-2E-6)+1E-6</f>
        <v/>
      </c>
      <c r="I37" s="31">
        <f>MIN(IF(Supuestos!$H$5="",1E+99,Supuestos!$H$5),MAX(IF(Supuestos!$G$5="",-1E+99,Supuestos!$G$5),IF(Supuestos!$C$5="Normal",NORMINV(B37,Supuestos!$D$5,Supuestos!$E$5),IF(Supuestos!$C$5="Triangular",IF(B37&lt;(Supuestos!$E$5-Supuestos!$D$5)/(Supuestos!$F$5-Supuestos!$D$5),Supuestos!$D$5+SQRT(B37*(Supuestos!$F$5-Supuestos!$D$5)*(Supuestos!$E$5-Supuestos!$D$5)),Supuestos!$F$5-SQRT((1-B37)*(Supuestos!$F$5-Supuestos!$D$5)*(Supuestos!$F$5-Supuestos!$E$5))),IF(Supuestos!$C$5="Uniforme",Supuestos!$D$5+B37*(Supuestos!$E$5-Supuestos!$D$5),IF(Supuestos!$C$5="Lognormal",LOGINV(B37,LN(Supuestos!$D$5)-LN(1+Supuestos!$E$5^2/Supuestos!$D$5^2)/2,SQRT(LN(1+Supuestos!$E$5^2/Supuestos!$D$5^2))),Supuestos!$D$5))))))</f>
        <v/>
      </c>
      <c r="J37" s="31">
        <f>MIN(IF(Supuestos!$H$6="",1E+99,Supuestos!$H$6),MAX(IF(Supuestos!$G$6="",-1E+99,Supuestos!$G$6),IF(Supuestos!$C$6="Normal",NORMINV(C37,Supuestos!$D$6,Supuestos!$E$6),IF(Supuestos!$C$6="Triangular",IF(C37&lt;(Supuestos!$E$6-Supuestos!$D$6)/(Supuestos!$F$6-Supuestos!$D$6),Supuestos!$D$6+SQRT(C37*(Supuestos!$F$6-Supuestos!$D$6)*(Supuestos!$E$6-Supuestos!$D$6)),Supuestos!$F$6-SQRT((1-C37)*(Supuestos!$F$6-Supuestos!$D$6)*(Supuestos!$F$6-Supuestos!$E$6))),IF(Supuestos!$C$6="Uniforme",Supuestos!$D$6+C37*(Supuestos!$E$6-Supuestos!$D$6),IF(Supuestos!$C$6="Lognormal",LOGINV(C37,LN(Supuestos!$D$6)-LN(1+Supuestos!$E$6^2/Supuestos!$D$6^2)/2,SQRT(LN(1+Supuestos!$E$6^2/Supuestos!$D$6^2))),Supuestos!$D$6))))))</f>
        <v/>
      </c>
      <c r="K37" s="32">
        <f>MIN(IF(Supuestos!$H$7="",1E+99,Supuestos!$H$7),MAX(IF(Supuestos!$G$7="",-1E+99,Supuestos!$G$7),IF(Supuestos!$C$7="Normal",NORMINV(D37,Supuestos!$D$7,Supuestos!$E$7),IF(Supuestos!$C$7="Triangular",IF(D37&lt;(Supuestos!$E$7-Supuestos!$D$7)/(Supuestos!$F$7-Supuestos!$D$7),Supuestos!$D$7+SQRT(D37*(Supuestos!$F$7-Supuestos!$D$7)*(Supuestos!$E$7-Supuestos!$D$7)),Supuestos!$F$7-SQRT((1-D37)*(Supuestos!$F$7-Supuestos!$D$7)*(Supuestos!$F$7-Supuestos!$E$7))),IF(Supuestos!$C$7="Uniforme",Supuestos!$D$7+D37*(Supuestos!$E$7-Supuestos!$D$7),IF(Supuestos!$C$7="Lognormal",LOGINV(D37,LN(Supuestos!$D$7)-LN(1+Supuestos!$E$7^2/Supuestos!$D$7^2)/2,SQRT(LN(1+Supuestos!$E$7^2/Supuestos!$D$7^2))),Supuestos!$D$7))))))</f>
        <v/>
      </c>
      <c r="L37" s="32">
        <f>MIN(IF(Supuestos!$H$8="",1E+99,Supuestos!$H$8),MAX(IF(Supuestos!$G$8="",-1E+99,Supuestos!$G$8),IF(Supuestos!$C$8="Normal",NORMINV(E37,Supuestos!$D$8,Supuestos!$E$8),IF(Supuestos!$C$8="Triangular",IF(E37&lt;(Supuestos!$E$8-Supuestos!$D$8)/(Supuestos!$F$8-Supuestos!$D$8),Supuestos!$D$8+SQRT(E37*(Supuestos!$F$8-Supuestos!$D$8)*(Supuestos!$E$8-Supuestos!$D$8)),Supuestos!$F$8-SQRT((1-E37)*(Supuestos!$F$8-Supuestos!$D$8)*(Supuestos!$F$8-Supuestos!$E$8))),IF(Supuestos!$C$8="Uniforme",Supuestos!$D$8+E37*(Supuestos!$E$8-Supuestos!$D$8),IF(Supuestos!$C$8="Lognormal",LOGINV(E37,LN(Supuestos!$D$8)-LN(1+Supuestos!$E$8^2/Supuestos!$D$8^2)/2,SQRT(LN(1+Supuestos!$E$8^2/Supuestos!$D$8^2))),Supuestos!$D$8))))))</f>
        <v/>
      </c>
      <c r="M37" s="32">
        <f>MIN(IF(Supuestos!$H$9="",1E+99,Supuestos!$H$9),MAX(IF(Supuestos!$G$9="",-1E+99,Supuestos!$G$9),IF(Supuestos!$C$9="Normal",NORMINV(F37,Supuestos!$D$9,Supuestos!$E$9),IF(Supuestos!$C$9="Triangular",IF(F37&lt;(Supuestos!$E$9-Supuestos!$D$9)/(Supuestos!$F$9-Supuestos!$D$9),Supuestos!$D$9+SQRT(F37*(Supuestos!$F$9-Supuestos!$D$9)*(Supuestos!$E$9-Supuestos!$D$9)),Supuestos!$F$9-SQRT((1-F37)*(Supuestos!$F$9-Supuestos!$D$9)*(Supuestos!$F$9-Supuestos!$E$9))),IF(Supuestos!$C$9="Uniforme",Supuestos!$D$9+F37*(Supuestos!$E$9-Supuestos!$D$9),IF(Supuestos!$C$9="Lognormal",LOGINV(F37,LN(Supuestos!$D$9)-LN(1+Supuestos!$E$9^2/Supuestos!$D$9^2)/2,SQRT(LN(1+Supuestos!$E$9^2/Supuestos!$D$9^2))),Supuestos!$D$9))))))</f>
        <v/>
      </c>
      <c r="N37" s="32">
        <f>MIN(IF(Supuestos!$H$10="",1E+99,Supuestos!$H$10),MAX(IF(Supuestos!$G$10="",-1E+99,Supuestos!$G$10),IF(Supuestos!$C$10="Normal",NORMINV(G37,Supuestos!$D$10,Supuestos!$E$10),IF(Supuestos!$C$10="Triangular",IF(G37&lt;(Supuestos!$E$10-Supuestos!$D$10)/(Supuestos!$F$10-Supuestos!$D$10),Supuestos!$D$10+SQRT(G37*(Supuestos!$F$10-Supuestos!$D$10)*(Supuestos!$E$10-Supuestos!$D$10)),Supuestos!$F$10-SQRT((1-G37)*(Supuestos!$F$10-Supuestos!$D$10)*(Supuestos!$F$10-Supuestos!$E$10))),IF(Supuestos!$C$10="Uniforme",Supuestos!$D$10+G37*(Supuestos!$E$10-Supuestos!$D$10),IF(Supuestos!$C$10="Lognormal",LOGINV(G37,LN(Supuestos!$D$10)-LN(1+Supuestos!$E$10^2/Supuestos!$D$10^2)/2,SQRT(LN(1+Supuestos!$E$10^2/Supuestos!$D$10^2))),Supuestos!$D$10))))))</f>
        <v/>
      </c>
      <c r="O37" s="31">
        <f>MIN(IF(Supuestos!$H$11="",1E+99,Supuestos!$H$11),MAX(IF(Supuestos!$G$11="",-1E+99,Supuestos!$G$11),IF(Supuestos!$C$11="Normal",NORMINV(H37,Supuestos!$D$11,Supuestos!$E$11),IF(Supuestos!$C$11="Triangular",IF(H37&lt;(Supuestos!$E$11-Supuestos!$D$11)/(Supuestos!$F$11-Supuestos!$D$11),Supuestos!$D$11+SQRT(H37*(Supuestos!$F$11-Supuestos!$D$11)*(Supuestos!$E$11-Supuestos!$D$11)),Supuestos!$F$11-SQRT((1-H37)*(Supuestos!$F$11-Supuestos!$D$11)*(Supuestos!$F$11-Supuestos!$E$11))),IF(Supuestos!$C$11="Uniforme",Supuestos!$D$11+H37*(Supuestos!$E$11-Supuestos!$D$11),IF(Supuestos!$C$11="Lognormal",LOGINV(H37,LN(Supuestos!$D$11)-LN(1+Supuestos!$E$11^2/Supuestos!$D$11^2)/2,SQRT(LN(1+Supuestos!$E$11^2/Supuestos!$D$11^2))),Supuestos!$D$11))))))</f>
        <v/>
      </c>
      <c r="P37" s="33">
        <f>-I37</f>
        <v/>
      </c>
      <c r="Q37" s="33">
        <f>$J37*(1+$K37)^(1-1)*(1-$L37)*(1-$M37)</f>
        <v/>
      </c>
      <c r="R37" s="33">
        <f>$J37*(1+$K37)^(2-1)*(1-$L37)*(1-$M37)</f>
        <v/>
      </c>
      <c r="S37" s="33">
        <f>$J37*(1+$K37)^(3-1)*(1-$L37)*(1-$M37)</f>
        <v/>
      </c>
      <c r="T37" s="33">
        <f>$J37*(1+$K37)^(4-1)*(1-$L37)*(1-$M37)</f>
        <v/>
      </c>
      <c r="U37" s="33">
        <f>$J37*(1+$K37)^(5-1)*(1-$L37)*(1-$M37)+$O37</f>
        <v/>
      </c>
      <c r="V37" s="33">
        <f>P37+NPV($N37,Q37:U37)</f>
        <v/>
      </c>
      <c r="W37" s="32">
        <f>IFERROR(IRR(P37:U37,0.1),"")</f>
        <v/>
      </c>
    </row>
    <row r="38">
      <c r="A38" s="14" t="n">
        <v>34</v>
      </c>
      <c r="B38" s="30">
        <f>RAND()*(1-2E-6)+1E-6</f>
        <v/>
      </c>
      <c r="C38" s="30">
        <f>RAND()*(1-2E-6)+1E-6</f>
        <v/>
      </c>
      <c r="D38" s="30">
        <f>RAND()*(1-2E-6)+1E-6</f>
        <v/>
      </c>
      <c r="E38" s="30">
        <f>RAND()*(1-2E-6)+1E-6</f>
        <v/>
      </c>
      <c r="F38" s="30">
        <f>RAND()*(1-2E-6)+1E-6</f>
        <v/>
      </c>
      <c r="G38" s="30">
        <f>RAND()*(1-2E-6)+1E-6</f>
        <v/>
      </c>
      <c r="H38" s="30">
        <f>RAND()*(1-2E-6)+1E-6</f>
        <v/>
      </c>
      <c r="I38" s="31">
        <f>MIN(IF(Supuestos!$H$5="",1E+99,Supuestos!$H$5),MAX(IF(Supuestos!$G$5="",-1E+99,Supuestos!$G$5),IF(Supuestos!$C$5="Normal",NORMINV(B38,Supuestos!$D$5,Supuestos!$E$5),IF(Supuestos!$C$5="Triangular",IF(B38&lt;(Supuestos!$E$5-Supuestos!$D$5)/(Supuestos!$F$5-Supuestos!$D$5),Supuestos!$D$5+SQRT(B38*(Supuestos!$F$5-Supuestos!$D$5)*(Supuestos!$E$5-Supuestos!$D$5)),Supuestos!$F$5-SQRT((1-B38)*(Supuestos!$F$5-Supuestos!$D$5)*(Supuestos!$F$5-Supuestos!$E$5))),IF(Supuestos!$C$5="Uniforme",Supuestos!$D$5+B38*(Supuestos!$E$5-Supuestos!$D$5),IF(Supuestos!$C$5="Lognormal",LOGINV(B38,LN(Supuestos!$D$5)-LN(1+Supuestos!$E$5^2/Supuestos!$D$5^2)/2,SQRT(LN(1+Supuestos!$E$5^2/Supuestos!$D$5^2))),Supuestos!$D$5))))))</f>
        <v/>
      </c>
      <c r="J38" s="31">
        <f>MIN(IF(Supuestos!$H$6="",1E+99,Supuestos!$H$6),MAX(IF(Supuestos!$G$6="",-1E+99,Supuestos!$G$6),IF(Supuestos!$C$6="Normal",NORMINV(C38,Supuestos!$D$6,Supuestos!$E$6),IF(Supuestos!$C$6="Triangular",IF(C38&lt;(Supuestos!$E$6-Supuestos!$D$6)/(Supuestos!$F$6-Supuestos!$D$6),Supuestos!$D$6+SQRT(C38*(Supuestos!$F$6-Supuestos!$D$6)*(Supuestos!$E$6-Supuestos!$D$6)),Supuestos!$F$6-SQRT((1-C38)*(Supuestos!$F$6-Supuestos!$D$6)*(Supuestos!$F$6-Supuestos!$E$6))),IF(Supuestos!$C$6="Uniforme",Supuestos!$D$6+C38*(Supuestos!$E$6-Supuestos!$D$6),IF(Supuestos!$C$6="Lognormal",LOGINV(C38,LN(Supuestos!$D$6)-LN(1+Supuestos!$E$6^2/Supuestos!$D$6^2)/2,SQRT(LN(1+Supuestos!$E$6^2/Supuestos!$D$6^2))),Supuestos!$D$6))))))</f>
        <v/>
      </c>
      <c r="K38" s="32">
        <f>MIN(IF(Supuestos!$H$7="",1E+99,Supuestos!$H$7),MAX(IF(Supuestos!$G$7="",-1E+99,Supuestos!$G$7),IF(Supuestos!$C$7="Normal",NORMINV(D38,Supuestos!$D$7,Supuestos!$E$7),IF(Supuestos!$C$7="Triangular",IF(D38&lt;(Supuestos!$E$7-Supuestos!$D$7)/(Supuestos!$F$7-Supuestos!$D$7),Supuestos!$D$7+SQRT(D38*(Supuestos!$F$7-Supuestos!$D$7)*(Supuestos!$E$7-Supuestos!$D$7)),Supuestos!$F$7-SQRT((1-D38)*(Supuestos!$F$7-Supuestos!$D$7)*(Supuestos!$F$7-Supuestos!$E$7))),IF(Supuestos!$C$7="Uniforme",Supuestos!$D$7+D38*(Supuestos!$E$7-Supuestos!$D$7),IF(Supuestos!$C$7="Lognormal",LOGINV(D38,LN(Supuestos!$D$7)-LN(1+Supuestos!$E$7^2/Supuestos!$D$7^2)/2,SQRT(LN(1+Supuestos!$E$7^2/Supuestos!$D$7^2))),Supuestos!$D$7))))))</f>
        <v/>
      </c>
      <c r="L38" s="32">
        <f>MIN(IF(Supuestos!$H$8="",1E+99,Supuestos!$H$8),MAX(IF(Supuestos!$G$8="",-1E+99,Supuestos!$G$8),IF(Supuestos!$C$8="Normal",NORMINV(E38,Supuestos!$D$8,Supuestos!$E$8),IF(Supuestos!$C$8="Triangular",IF(E38&lt;(Supuestos!$E$8-Supuestos!$D$8)/(Supuestos!$F$8-Supuestos!$D$8),Supuestos!$D$8+SQRT(E38*(Supuestos!$F$8-Supuestos!$D$8)*(Supuestos!$E$8-Supuestos!$D$8)),Supuestos!$F$8-SQRT((1-E38)*(Supuestos!$F$8-Supuestos!$D$8)*(Supuestos!$F$8-Supuestos!$E$8))),IF(Supuestos!$C$8="Uniforme",Supuestos!$D$8+E38*(Supuestos!$E$8-Supuestos!$D$8),IF(Supuestos!$C$8="Lognormal",LOGINV(E38,LN(Supuestos!$D$8)-LN(1+Supuestos!$E$8^2/Supuestos!$D$8^2)/2,SQRT(LN(1+Supuestos!$E$8^2/Supuestos!$D$8^2))),Supuestos!$D$8))))))</f>
        <v/>
      </c>
      <c r="M38" s="32">
        <f>MIN(IF(Supuestos!$H$9="",1E+99,Supuestos!$H$9),MAX(IF(Supuestos!$G$9="",-1E+99,Supuestos!$G$9),IF(Supuestos!$C$9="Normal",NORMINV(F38,Supuestos!$D$9,Supuestos!$E$9),IF(Supuestos!$C$9="Triangular",IF(F38&lt;(Supuestos!$E$9-Supuestos!$D$9)/(Supuestos!$F$9-Supuestos!$D$9),Supuestos!$D$9+SQRT(F38*(Supuestos!$F$9-Supuestos!$D$9)*(Supuestos!$E$9-Supuestos!$D$9)),Supuestos!$F$9-SQRT((1-F38)*(Supuestos!$F$9-Supuestos!$D$9)*(Supuestos!$F$9-Supuestos!$E$9))),IF(Supuestos!$C$9="Uniforme",Supuestos!$D$9+F38*(Supuestos!$E$9-Supuestos!$D$9),IF(Supuestos!$C$9="Lognormal",LOGINV(F38,LN(Supuestos!$D$9)-LN(1+Supuestos!$E$9^2/Supuestos!$D$9^2)/2,SQRT(LN(1+Supuestos!$E$9^2/Supuestos!$D$9^2))),Supuestos!$D$9))))))</f>
        <v/>
      </c>
      <c r="N38" s="32">
        <f>MIN(IF(Supuestos!$H$10="",1E+99,Supuestos!$H$10),MAX(IF(Supuestos!$G$10="",-1E+99,Supuestos!$G$10),IF(Supuestos!$C$10="Normal",NORMINV(G38,Supuestos!$D$10,Supuestos!$E$10),IF(Supuestos!$C$10="Triangular",IF(G38&lt;(Supuestos!$E$10-Supuestos!$D$10)/(Supuestos!$F$10-Supuestos!$D$10),Supuestos!$D$10+SQRT(G38*(Supuestos!$F$10-Supuestos!$D$10)*(Supuestos!$E$10-Supuestos!$D$10)),Supuestos!$F$10-SQRT((1-G38)*(Supuestos!$F$10-Supuestos!$D$10)*(Supuestos!$F$10-Supuestos!$E$10))),IF(Supuestos!$C$10="Uniforme",Supuestos!$D$10+G38*(Supuestos!$E$10-Supuestos!$D$10),IF(Supuestos!$C$10="Lognormal",LOGINV(G38,LN(Supuestos!$D$10)-LN(1+Supuestos!$E$10^2/Supuestos!$D$10^2)/2,SQRT(LN(1+Supuestos!$E$10^2/Supuestos!$D$10^2))),Supuestos!$D$10))))))</f>
        <v/>
      </c>
      <c r="O38" s="31">
        <f>MIN(IF(Supuestos!$H$11="",1E+99,Supuestos!$H$11),MAX(IF(Supuestos!$G$11="",-1E+99,Supuestos!$G$11),IF(Supuestos!$C$11="Normal",NORMINV(H38,Supuestos!$D$11,Supuestos!$E$11),IF(Supuestos!$C$11="Triangular",IF(H38&lt;(Supuestos!$E$11-Supuestos!$D$11)/(Supuestos!$F$11-Supuestos!$D$11),Supuestos!$D$11+SQRT(H38*(Supuestos!$F$11-Supuestos!$D$11)*(Supuestos!$E$11-Supuestos!$D$11)),Supuestos!$F$11-SQRT((1-H38)*(Supuestos!$F$11-Supuestos!$D$11)*(Supuestos!$F$11-Supuestos!$E$11))),IF(Supuestos!$C$11="Uniforme",Supuestos!$D$11+H38*(Supuestos!$E$11-Supuestos!$D$11),IF(Supuestos!$C$11="Lognormal",LOGINV(H38,LN(Supuestos!$D$11)-LN(1+Supuestos!$E$11^2/Supuestos!$D$11^2)/2,SQRT(LN(1+Supuestos!$E$11^2/Supuestos!$D$11^2))),Supuestos!$D$11))))))</f>
        <v/>
      </c>
      <c r="P38" s="33">
        <f>-I38</f>
        <v/>
      </c>
      <c r="Q38" s="33">
        <f>$J38*(1+$K38)^(1-1)*(1-$L38)*(1-$M38)</f>
        <v/>
      </c>
      <c r="R38" s="33">
        <f>$J38*(1+$K38)^(2-1)*(1-$L38)*(1-$M38)</f>
        <v/>
      </c>
      <c r="S38" s="33">
        <f>$J38*(1+$K38)^(3-1)*(1-$L38)*(1-$M38)</f>
        <v/>
      </c>
      <c r="T38" s="33">
        <f>$J38*(1+$K38)^(4-1)*(1-$L38)*(1-$M38)</f>
        <v/>
      </c>
      <c r="U38" s="33">
        <f>$J38*(1+$K38)^(5-1)*(1-$L38)*(1-$M38)+$O38</f>
        <v/>
      </c>
      <c r="V38" s="33">
        <f>P38+NPV($N38,Q38:U38)</f>
        <v/>
      </c>
      <c r="W38" s="32">
        <f>IFERROR(IRR(P38:U38,0.1),"")</f>
        <v/>
      </c>
    </row>
    <row r="39">
      <c r="A39" s="14" t="n">
        <v>35</v>
      </c>
      <c r="B39" s="30">
        <f>RAND()*(1-2E-6)+1E-6</f>
        <v/>
      </c>
      <c r="C39" s="30">
        <f>RAND()*(1-2E-6)+1E-6</f>
        <v/>
      </c>
      <c r="D39" s="30">
        <f>RAND()*(1-2E-6)+1E-6</f>
        <v/>
      </c>
      <c r="E39" s="30">
        <f>RAND()*(1-2E-6)+1E-6</f>
        <v/>
      </c>
      <c r="F39" s="30">
        <f>RAND()*(1-2E-6)+1E-6</f>
        <v/>
      </c>
      <c r="G39" s="30">
        <f>RAND()*(1-2E-6)+1E-6</f>
        <v/>
      </c>
      <c r="H39" s="30">
        <f>RAND()*(1-2E-6)+1E-6</f>
        <v/>
      </c>
      <c r="I39" s="31">
        <f>MIN(IF(Supuestos!$H$5="",1E+99,Supuestos!$H$5),MAX(IF(Supuestos!$G$5="",-1E+99,Supuestos!$G$5),IF(Supuestos!$C$5="Normal",NORMINV(B39,Supuestos!$D$5,Supuestos!$E$5),IF(Supuestos!$C$5="Triangular",IF(B39&lt;(Supuestos!$E$5-Supuestos!$D$5)/(Supuestos!$F$5-Supuestos!$D$5),Supuestos!$D$5+SQRT(B39*(Supuestos!$F$5-Supuestos!$D$5)*(Supuestos!$E$5-Supuestos!$D$5)),Supuestos!$F$5-SQRT((1-B39)*(Supuestos!$F$5-Supuestos!$D$5)*(Supuestos!$F$5-Supuestos!$E$5))),IF(Supuestos!$C$5="Uniforme",Supuestos!$D$5+B39*(Supuestos!$E$5-Supuestos!$D$5),IF(Supuestos!$C$5="Lognormal",LOGINV(B39,LN(Supuestos!$D$5)-LN(1+Supuestos!$E$5^2/Supuestos!$D$5^2)/2,SQRT(LN(1+Supuestos!$E$5^2/Supuestos!$D$5^2))),Supuestos!$D$5))))))</f>
        <v/>
      </c>
      <c r="J39" s="31">
        <f>MIN(IF(Supuestos!$H$6="",1E+99,Supuestos!$H$6),MAX(IF(Supuestos!$G$6="",-1E+99,Supuestos!$G$6),IF(Supuestos!$C$6="Normal",NORMINV(C39,Supuestos!$D$6,Supuestos!$E$6),IF(Supuestos!$C$6="Triangular",IF(C39&lt;(Supuestos!$E$6-Supuestos!$D$6)/(Supuestos!$F$6-Supuestos!$D$6),Supuestos!$D$6+SQRT(C39*(Supuestos!$F$6-Supuestos!$D$6)*(Supuestos!$E$6-Supuestos!$D$6)),Supuestos!$F$6-SQRT((1-C39)*(Supuestos!$F$6-Supuestos!$D$6)*(Supuestos!$F$6-Supuestos!$E$6))),IF(Supuestos!$C$6="Uniforme",Supuestos!$D$6+C39*(Supuestos!$E$6-Supuestos!$D$6),IF(Supuestos!$C$6="Lognormal",LOGINV(C39,LN(Supuestos!$D$6)-LN(1+Supuestos!$E$6^2/Supuestos!$D$6^2)/2,SQRT(LN(1+Supuestos!$E$6^2/Supuestos!$D$6^2))),Supuestos!$D$6))))))</f>
        <v/>
      </c>
      <c r="K39" s="32">
        <f>MIN(IF(Supuestos!$H$7="",1E+99,Supuestos!$H$7),MAX(IF(Supuestos!$G$7="",-1E+99,Supuestos!$G$7),IF(Supuestos!$C$7="Normal",NORMINV(D39,Supuestos!$D$7,Supuestos!$E$7),IF(Supuestos!$C$7="Triangular",IF(D39&lt;(Supuestos!$E$7-Supuestos!$D$7)/(Supuestos!$F$7-Supuestos!$D$7),Supuestos!$D$7+SQRT(D39*(Supuestos!$F$7-Supuestos!$D$7)*(Supuestos!$E$7-Supuestos!$D$7)),Supuestos!$F$7-SQRT((1-D39)*(Supuestos!$F$7-Supuestos!$D$7)*(Supuestos!$F$7-Supuestos!$E$7))),IF(Supuestos!$C$7="Uniforme",Supuestos!$D$7+D39*(Supuestos!$E$7-Supuestos!$D$7),IF(Supuestos!$C$7="Lognormal",LOGINV(D39,LN(Supuestos!$D$7)-LN(1+Supuestos!$E$7^2/Supuestos!$D$7^2)/2,SQRT(LN(1+Supuestos!$E$7^2/Supuestos!$D$7^2))),Supuestos!$D$7))))))</f>
        <v/>
      </c>
      <c r="L39" s="32">
        <f>MIN(IF(Supuestos!$H$8="",1E+99,Supuestos!$H$8),MAX(IF(Supuestos!$G$8="",-1E+99,Supuestos!$G$8),IF(Supuestos!$C$8="Normal",NORMINV(E39,Supuestos!$D$8,Supuestos!$E$8),IF(Supuestos!$C$8="Triangular",IF(E39&lt;(Supuestos!$E$8-Supuestos!$D$8)/(Supuestos!$F$8-Supuestos!$D$8),Supuestos!$D$8+SQRT(E39*(Supuestos!$F$8-Supuestos!$D$8)*(Supuestos!$E$8-Supuestos!$D$8)),Supuestos!$F$8-SQRT((1-E39)*(Supuestos!$F$8-Supuestos!$D$8)*(Supuestos!$F$8-Supuestos!$E$8))),IF(Supuestos!$C$8="Uniforme",Supuestos!$D$8+E39*(Supuestos!$E$8-Supuestos!$D$8),IF(Supuestos!$C$8="Lognormal",LOGINV(E39,LN(Supuestos!$D$8)-LN(1+Supuestos!$E$8^2/Supuestos!$D$8^2)/2,SQRT(LN(1+Supuestos!$E$8^2/Supuestos!$D$8^2))),Supuestos!$D$8))))))</f>
        <v/>
      </c>
      <c r="M39" s="32">
        <f>MIN(IF(Supuestos!$H$9="",1E+99,Supuestos!$H$9),MAX(IF(Supuestos!$G$9="",-1E+99,Supuestos!$G$9),IF(Supuestos!$C$9="Normal",NORMINV(F39,Supuestos!$D$9,Supuestos!$E$9),IF(Supuestos!$C$9="Triangular",IF(F39&lt;(Supuestos!$E$9-Supuestos!$D$9)/(Supuestos!$F$9-Supuestos!$D$9),Supuestos!$D$9+SQRT(F39*(Supuestos!$F$9-Supuestos!$D$9)*(Supuestos!$E$9-Supuestos!$D$9)),Supuestos!$F$9-SQRT((1-F39)*(Supuestos!$F$9-Supuestos!$D$9)*(Supuestos!$F$9-Supuestos!$E$9))),IF(Supuestos!$C$9="Uniforme",Supuestos!$D$9+F39*(Supuestos!$E$9-Supuestos!$D$9),IF(Supuestos!$C$9="Lognormal",LOGINV(F39,LN(Supuestos!$D$9)-LN(1+Supuestos!$E$9^2/Supuestos!$D$9^2)/2,SQRT(LN(1+Supuestos!$E$9^2/Supuestos!$D$9^2))),Supuestos!$D$9))))))</f>
        <v/>
      </c>
      <c r="N39" s="32">
        <f>MIN(IF(Supuestos!$H$10="",1E+99,Supuestos!$H$10),MAX(IF(Supuestos!$G$10="",-1E+99,Supuestos!$G$10),IF(Supuestos!$C$10="Normal",NORMINV(G39,Supuestos!$D$10,Supuestos!$E$10),IF(Supuestos!$C$10="Triangular",IF(G39&lt;(Supuestos!$E$10-Supuestos!$D$10)/(Supuestos!$F$10-Supuestos!$D$10),Supuestos!$D$10+SQRT(G39*(Supuestos!$F$10-Supuestos!$D$10)*(Supuestos!$E$10-Supuestos!$D$10)),Supuestos!$F$10-SQRT((1-G39)*(Supuestos!$F$10-Supuestos!$D$10)*(Supuestos!$F$10-Supuestos!$E$10))),IF(Supuestos!$C$10="Uniforme",Supuestos!$D$10+G39*(Supuestos!$E$10-Supuestos!$D$10),IF(Supuestos!$C$10="Lognormal",LOGINV(G39,LN(Supuestos!$D$10)-LN(1+Supuestos!$E$10^2/Supuestos!$D$10^2)/2,SQRT(LN(1+Supuestos!$E$10^2/Supuestos!$D$10^2))),Supuestos!$D$10))))))</f>
        <v/>
      </c>
      <c r="O39" s="31">
        <f>MIN(IF(Supuestos!$H$11="",1E+99,Supuestos!$H$11),MAX(IF(Supuestos!$G$11="",-1E+99,Supuestos!$G$11),IF(Supuestos!$C$11="Normal",NORMINV(H39,Supuestos!$D$11,Supuestos!$E$11),IF(Supuestos!$C$11="Triangular",IF(H39&lt;(Supuestos!$E$11-Supuestos!$D$11)/(Supuestos!$F$11-Supuestos!$D$11),Supuestos!$D$11+SQRT(H39*(Supuestos!$F$11-Supuestos!$D$11)*(Supuestos!$E$11-Supuestos!$D$11)),Supuestos!$F$11-SQRT((1-H39)*(Supuestos!$F$11-Supuestos!$D$11)*(Supuestos!$F$11-Supuestos!$E$11))),IF(Supuestos!$C$11="Uniforme",Supuestos!$D$11+H39*(Supuestos!$E$11-Supuestos!$D$11),IF(Supuestos!$C$11="Lognormal",LOGINV(H39,LN(Supuestos!$D$11)-LN(1+Supuestos!$E$11^2/Supuestos!$D$11^2)/2,SQRT(LN(1+Supuestos!$E$11^2/Supuestos!$D$11^2))),Supuestos!$D$11))))))</f>
        <v/>
      </c>
      <c r="P39" s="33">
        <f>-I39</f>
        <v/>
      </c>
      <c r="Q39" s="33">
        <f>$J39*(1+$K39)^(1-1)*(1-$L39)*(1-$M39)</f>
        <v/>
      </c>
      <c r="R39" s="33">
        <f>$J39*(1+$K39)^(2-1)*(1-$L39)*(1-$M39)</f>
        <v/>
      </c>
      <c r="S39" s="33">
        <f>$J39*(1+$K39)^(3-1)*(1-$L39)*(1-$M39)</f>
        <v/>
      </c>
      <c r="T39" s="33">
        <f>$J39*(1+$K39)^(4-1)*(1-$L39)*(1-$M39)</f>
        <v/>
      </c>
      <c r="U39" s="33">
        <f>$J39*(1+$K39)^(5-1)*(1-$L39)*(1-$M39)+$O39</f>
        <v/>
      </c>
      <c r="V39" s="33">
        <f>P39+NPV($N39,Q39:U39)</f>
        <v/>
      </c>
      <c r="W39" s="32">
        <f>IFERROR(IRR(P39:U39,0.1),"")</f>
        <v/>
      </c>
    </row>
    <row r="40">
      <c r="A40" s="14" t="n">
        <v>36</v>
      </c>
      <c r="B40" s="30">
        <f>RAND()*(1-2E-6)+1E-6</f>
        <v/>
      </c>
      <c r="C40" s="30">
        <f>RAND()*(1-2E-6)+1E-6</f>
        <v/>
      </c>
      <c r="D40" s="30">
        <f>RAND()*(1-2E-6)+1E-6</f>
        <v/>
      </c>
      <c r="E40" s="30">
        <f>RAND()*(1-2E-6)+1E-6</f>
        <v/>
      </c>
      <c r="F40" s="30">
        <f>RAND()*(1-2E-6)+1E-6</f>
        <v/>
      </c>
      <c r="G40" s="30">
        <f>RAND()*(1-2E-6)+1E-6</f>
        <v/>
      </c>
      <c r="H40" s="30">
        <f>RAND()*(1-2E-6)+1E-6</f>
        <v/>
      </c>
      <c r="I40" s="31">
        <f>MIN(IF(Supuestos!$H$5="",1E+99,Supuestos!$H$5),MAX(IF(Supuestos!$G$5="",-1E+99,Supuestos!$G$5),IF(Supuestos!$C$5="Normal",NORMINV(B40,Supuestos!$D$5,Supuestos!$E$5),IF(Supuestos!$C$5="Triangular",IF(B40&lt;(Supuestos!$E$5-Supuestos!$D$5)/(Supuestos!$F$5-Supuestos!$D$5),Supuestos!$D$5+SQRT(B40*(Supuestos!$F$5-Supuestos!$D$5)*(Supuestos!$E$5-Supuestos!$D$5)),Supuestos!$F$5-SQRT((1-B40)*(Supuestos!$F$5-Supuestos!$D$5)*(Supuestos!$F$5-Supuestos!$E$5))),IF(Supuestos!$C$5="Uniforme",Supuestos!$D$5+B40*(Supuestos!$E$5-Supuestos!$D$5),IF(Supuestos!$C$5="Lognormal",LOGINV(B40,LN(Supuestos!$D$5)-LN(1+Supuestos!$E$5^2/Supuestos!$D$5^2)/2,SQRT(LN(1+Supuestos!$E$5^2/Supuestos!$D$5^2))),Supuestos!$D$5))))))</f>
        <v/>
      </c>
      <c r="J40" s="31">
        <f>MIN(IF(Supuestos!$H$6="",1E+99,Supuestos!$H$6),MAX(IF(Supuestos!$G$6="",-1E+99,Supuestos!$G$6),IF(Supuestos!$C$6="Normal",NORMINV(C40,Supuestos!$D$6,Supuestos!$E$6),IF(Supuestos!$C$6="Triangular",IF(C40&lt;(Supuestos!$E$6-Supuestos!$D$6)/(Supuestos!$F$6-Supuestos!$D$6),Supuestos!$D$6+SQRT(C40*(Supuestos!$F$6-Supuestos!$D$6)*(Supuestos!$E$6-Supuestos!$D$6)),Supuestos!$F$6-SQRT((1-C40)*(Supuestos!$F$6-Supuestos!$D$6)*(Supuestos!$F$6-Supuestos!$E$6))),IF(Supuestos!$C$6="Uniforme",Supuestos!$D$6+C40*(Supuestos!$E$6-Supuestos!$D$6),IF(Supuestos!$C$6="Lognormal",LOGINV(C40,LN(Supuestos!$D$6)-LN(1+Supuestos!$E$6^2/Supuestos!$D$6^2)/2,SQRT(LN(1+Supuestos!$E$6^2/Supuestos!$D$6^2))),Supuestos!$D$6))))))</f>
        <v/>
      </c>
      <c r="K40" s="32">
        <f>MIN(IF(Supuestos!$H$7="",1E+99,Supuestos!$H$7),MAX(IF(Supuestos!$G$7="",-1E+99,Supuestos!$G$7),IF(Supuestos!$C$7="Normal",NORMINV(D40,Supuestos!$D$7,Supuestos!$E$7),IF(Supuestos!$C$7="Triangular",IF(D40&lt;(Supuestos!$E$7-Supuestos!$D$7)/(Supuestos!$F$7-Supuestos!$D$7),Supuestos!$D$7+SQRT(D40*(Supuestos!$F$7-Supuestos!$D$7)*(Supuestos!$E$7-Supuestos!$D$7)),Supuestos!$F$7-SQRT((1-D40)*(Supuestos!$F$7-Supuestos!$D$7)*(Supuestos!$F$7-Supuestos!$E$7))),IF(Supuestos!$C$7="Uniforme",Supuestos!$D$7+D40*(Supuestos!$E$7-Supuestos!$D$7),IF(Supuestos!$C$7="Lognormal",LOGINV(D40,LN(Supuestos!$D$7)-LN(1+Supuestos!$E$7^2/Supuestos!$D$7^2)/2,SQRT(LN(1+Supuestos!$E$7^2/Supuestos!$D$7^2))),Supuestos!$D$7))))))</f>
        <v/>
      </c>
      <c r="L40" s="32">
        <f>MIN(IF(Supuestos!$H$8="",1E+99,Supuestos!$H$8),MAX(IF(Supuestos!$G$8="",-1E+99,Supuestos!$G$8),IF(Supuestos!$C$8="Normal",NORMINV(E40,Supuestos!$D$8,Supuestos!$E$8),IF(Supuestos!$C$8="Triangular",IF(E40&lt;(Supuestos!$E$8-Supuestos!$D$8)/(Supuestos!$F$8-Supuestos!$D$8),Supuestos!$D$8+SQRT(E40*(Supuestos!$F$8-Supuestos!$D$8)*(Supuestos!$E$8-Supuestos!$D$8)),Supuestos!$F$8-SQRT((1-E40)*(Supuestos!$F$8-Supuestos!$D$8)*(Supuestos!$F$8-Supuestos!$E$8))),IF(Supuestos!$C$8="Uniforme",Supuestos!$D$8+E40*(Supuestos!$E$8-Supuestos!$D$8),IF(Supuestos!$C$8="Lognormal",LOGINV(E40,LN(Supuestos!$D$8)-LN(1+Supuestos!$E$8^2/Supuestos!$D$8^2)/2,SQRT(LN(1+Supuestos!$E$8^2/Supuestos!$D$8^2))),Supuestos!$D$8))))))</f>
        <v/>
      </c>
      <c r="M40" s="32">
        <f>MIN(IF(Supuestos!$H$9="",1E+99,Supuestos!$H$9),MAX(IF(Supuestos!$G$9="",-1E+99,Supuestos!$G$9),IF(Supuestos!$C$9="Normal",NORMINV(F40,Supuestos!$D$9,Supuestos!$E$9),IF(Supuestos!$C$9="Triangular",IF(F40&lt;(Supuestos!$E$9-Supuestos!$D$9)/(Supuestos!$F$9-Supuestos!$D$9),Supuestos!$D$9+SQRT(F40*(Supuestos!$F$9-Supuestos!$D$9)*(Supuestos!$E$9-Supuestos!$D$9)),Supuestos!$F$9-SQRT((1-F40)*(Supuestos!$F$9-Supuestos!$D$9)*(Supuestos!$F$9-Supuestos!$E$9))),IF(Supuestos!$C$9="Uniforme",Supuestos!$D$9+F40*(Supuestos!$E$9-Supuestos!$D$9),IF(Supuestos!$C$9="Lognormal",LOGINV(F40,LN(Supuestos!$D$9)-LN(1+Supuestos!$E$9^2/Supuestos!$D$9^2)/2,SQRT(LN(1+Supuestos!$E$9^2/Supuestos!$D$9^2))),Supuestos!$D$9))))))</f>
        <v/>
      </c>
      <c r="N40" s="32">
        <f>MIN(IF(Supuestos!$H$10="",1E+99,Supuestos!$H$10),MAX(IF(Supuestos!$G$10="",-1E+99,Supuestos!$G$10),IF(Supuestos!$C$10="Normal",NORMINV(G40,Supuestos!$D$10,Supuestos!$E$10),IF(Supuestos!$C$10="Triangular",IF(G40&lt;(Supuestos!$E$10-Supuestos!$D$10)/(Supuestos!$F$10-Supuestos!$D$10),Supuestos!$D$10+SQRT(G40*(Supuestos!$F$10-Supuestos!$D$10)*(Supuestos!$E$10-Supuestos!$D$10)),Supuestos!$F$10-SQRT((1-G40)*(Supuestos!$F$10-Supuestos!$D$10)*(Supuestos!$F$10-Supuestos!$E$10))),IF(Supuestos!$C$10="Uniforme",Supuestos!$D$10+G40*(Supuestos!$E$10-Supuestos!$D$10),IF(Supuestos!$C$10="Lognormal",LOGINV(G40,LN(Supuestos!$D$10)-LN(1+Supuestos!$E$10^2/Supuestos!$D$10^2)/2,SQRT(LN(1+Supuestos!$E$10^2/Supuestos!$D$10^2))),Supuestos!$D$10))))))</f>
        <v/>
      </c>
      <c r="O40" s="31">
        <f>MIN(IF(Supuestos!$H$11="",1E+99,Supuestos!$H$11),MAX(IF(Supuestos!$G$11="",-1E+99,Supuestos!$G$11),IF(Supuestos!$C$11="Normal",NORMINV(H40,Supuestos!$D$11,Supuestos!$E$11),IF(Supuestos!$C$11="Triangular",IF(H40&lt;(Supuestos!$E$11-Supuestos!$D$11)/(Supuestos!$F$11-Supuestos!$D$11),Supuestos!$D$11+SQRT(H40*(Supuestos!$F$11-Supuestos!$D$11)*(Supuestos!$E$11-Supuestos!$D$11)),Supuestos!$F$11-SQRT((1-H40)*(Supuestos!$F$11-Supuestos!$D$11)*(Supuestos!$F$11-Supuestos!$E$11))),IF(Supuestos!$C$11="Uniforme",Supuestos!$D$11+H40*(Supuestos!$E$11-Supuestos!$D$11),IF(Supuestos!$C$11="Lognormal",LOGINV(H40,LN(Supuestos!$D$11)-LN(1+Supuestos!$E$11^2/Supuestos!$D$11^2)/2,SQRT(LN(1+Supuestos!$E$11^2/Supuestos!$D$11^2))),Supuestos!$D$11))))))</f>
        <v/>
      </c>
      <c r="P40" s="33">
        <f>-I40</f>
        <v/>
      </c>
      <c r="Q40" s="33">
        <f>$J40*(1+$K40)^(1-1)*(1-$L40)*(1-$M40)</f>
        <v/>
      </c>
      <c r="R40" s="33">
        <f>$J40*(1+$K40)^(2-1)*(1-$L40)*(1-$M40)</f>
        <v/>
      </c>
      <c r="S40" s="33">
        <f>$J40*(1+$K40)^(3-1)*(1-$L40)*(1-$M40)</f>
        <v/>
      </c>
      <c r="T40" s="33">
        <f>$J40*(1+$K40)^(4-1)*(1-$L40)*(1-$M40)</f>
        <v/>
      </c>
      <c r="U40" s="33">
        <f>$J40*(1+$K40)^(5-1)*(1-$L40)*(1-$M40)+$O40</f>
        <v/>
      </c>
      <c r="V40" s="33">
        <f>P40+NPV($N40,Q40:U40)</f>
        <v/>
      </c>
      <c r="W40" s="32">
        <f>IFERROR(IRR(P40:U40,0.1),"")</f>
        <v/>
      </c>
    </row>
    <row r="41">
      <c r="A41" s="14" t="n">
        <v>37</v>
      </c>
      <c r="B41" s="30">
        <f>RAND()*(1-2E-6)+1E-6</f>
        <v/>
      </c>
      <c r="C41" s="30">
        <f>RAND()*(1-2E-6)+1E-6</f>
        <v/>
      </c>
      <c r="D41" s="30">
        <f>RAND()*(1-2E-6)+1E-6</f>
        <v/>
      </c>
      <c r="E41" s="30">
        <f>RAND()*(1-2E-6)+1E-6</f>
        <v/>
      </c>
      <c r="F41" s="30">
        <f>RAND()*(1-2E-6)+1E-6</f>
        <v/>
      </c>
      <c r="G41" s="30">
        <f>RAND()*(1-2E-6)+1E-6</f>
        <v/>
      </c>
      <c r="H41" s="30">
        <f>RAND()*(1-2E-6)+1E-6</f>
        <v/>
      </c>
      <c r="I41" s="31">
        <f>MIN(IF(Supuestos!$H$5="",1E+99,Supuestos!$H$5),MAX(IF(Supuestos!$G$5="",-1E+99,Supuestos!$G$5),IF(Supuestos!$C$5="Normal",NORMINV(B41,Supuestos!$D$5,Supuestos!$E$5),IF(Supuestos!$C$5="Triangular",IF(B41&lt;(Supuestos!$E$5-Supuestos!$D$5)/(Supuestos!$F$5-Supuestos!$D$5),Supuestos!$D$5+SQRT(B41*(Supuestos!$F$5-Supuestos!$D$5)*(Supuestos!$E$5-Supuestos!$D$5)),Supuestos!$F$5-SQRT((1-B41)*(Supuestos!$F$5-Supuestos!$D$5)*(Supuestos!$F$5-Supuestos!$E$5))),IF(Supuestos!$C$5="Uniforme",Supuestos!$D$5+B41*(Supuestos!$E$5-Supuestos!$D$5),IF(Supuestos!$C$5="Lognormal",LOGINV(B41,LN(Supuestos!$D$5)-LN(1+Supuestos!$E$5^2/Supuestos!$D$5^2)/2,SQRT(LN(1+Supuestos!$E$5^2/Supuestos!$D$5^2))),Supuestos!$D$5))))))</f>
        <v/>
      </c>
      <c r="J41" s="31">
        <f>MIN(IF(Supuestos!$H$6="",1E+99,Supuestos!$H$6),MAX(IF(Supuestos!$G$6="",-1E+99,Supuestos!$G$6),IF(Supuestos!$C$6="Normal",NORMINV(C41,Supuestos!$D$6,Supuestos!$E$6),IF(Supuestos!$C$6="Triangular",IF(C41&lt;(Supuestos!$E$6-Supuestos!$D$6)/(Supuestos!$F$6-Supuestos!$D$6),Supuestos!$D$6+SQRT(C41*(Supuestos!$F$6-Supuestos!$D$6)*(Supuestos!$E$6-Supuestos!$D$6)),Supuestos!$F$6-SQRT((1-C41)*(Supuestos!$F$6-Supuestos!$D$6)*(Supuestos!$F$6-Supuestos!$E$6))),IF(Supuestos!$C$6="Uniforme",Supuestos!$D$6+C41*(Supuestos!$E$6-Supuestos!$D$6),IF(Supuestos!$C$6="Lognormal",LOGINV(C41,LN(Supuestos!$D$6)-LN(1+Supuestos!$E$6^2/Supuestos!$D$6^2)/2,SQRT(LN(1+Supuestos!$E$6^2/Supuestos!$D$6^2))),Supuestos!$D$6))))))</f>
        <v/>
      </c>
      <c r="K41" s="32">
        <f>MIN(IF(Supuestos!$H$7="",1E+99,Supuestos!$H$7),MAX(IF(Supuestos!$G$7="",-1E+99,Supuestos!$G$7),IF(Supuestos!$C$7="Normal",NORMINV(D41,Supuestos!$D$7,Supuestos!$E$7),IF(Supuestos!$C$7="Triangular",IF(D41&lt;(Supuestos!$E$7-Supuestos!$D$7)/(Supuestos!$F$7-Supuestos!$D$7),Supuestos!$D$7+SQRT(D41*(Supuestos!$F$7-Supuestos!$D$7)*(Supuestos!$E$7-Supuestos!$D$7)),Supuestos!$F$7-SQRT((1-D41)*(Supuestos!$F$7-Supuestos!$D$7)*(Supuestos!$F$7-Supuestos!$E$7))),IF(Supuestos!$C$7="Uniforme",Supuestos!$D$7+D41*(Supuestos!$E$7-Supuestos!$D$7),IF(Supuestos!$C$7="Lognormal",LOGINV(D41,LN(Supuestos!$D$7)-LN(1+Supuestos!$E$7^2/Supuestos!$D$7^2)/2,SQRT(LN(1+Supuestos!$E$7^2/Supuestos!$D$7^2))),Supuestos!$D$7))))))</f>
        <v/>
      </c>
      <c r="L41" s="32">
        <f>MIN(IF(Supuestos!$H$8="",1E+99,Supuestos!$H$8),MAX(IF(Supuestos!$G$8="",-1E+99,Supuestos!$G$8),IF(Supuestos!$C$8="Normal",NORMINV(E41,Supuestos!$D$8,Supuestos!$E$8),IF(Supuestos!$C$8="Triangular",IF(E41&lt;(Supuestos!$E$8-Supuestos!$D$8)/(Supuestos!$F$8-Supuestos!$D$8),Supuestos!$D$8+SQRT(E41*(Supuestos!$F$8-Supuestos!$D$8)*(Supuestos!$E$8-Supuestos!$D$8)),Supuestos!$F$8-SQRT((1-E41)*(Supuestos!$F$8-Supuestos!$D$8)*(Supuestos!$F$8-Supuestos!$E$8))),IF(Supuestos!$C$8="Uniforme",Supuestos!$D$8+E41*(Supuestos!$E$8-Supuestos!$D$8),IF(Supuestos!$C$8="Lognormal",LOGINV(E41,LN(Supuestos!$D$8)-LN(1+Supuestos!$E$8^2/Supuestos!$D$8^2)/2,SQRT(LN(1+Supuestos!$E$8^2/Supuestos!$D$8^2))),Supuestos!$D$8))))))</f>
        <v/>
      </c>
      <c r="M41" s="32">
        <f>MIN(IF(Supuestos!$H$9="",1E+99,Supuestos!$H$9),MAX(IF(Supuestos!$G$9="",-1E+99,Supuestos!$G$9),IF(Supuestos!$C$9="Normal",NORMINV(F41,Supuestos!$D$9,Supuestos!$E$9),IF(Supuestos!$C$9="Triangular",IF(F41&lt;(Supuestos!$E$9-Supuestos!$D$9)/(Supuestos!$F$9-Supuestos!$D$9),Supuestos!$D$9+SQRT(F41*(Supuestos!$F$9-Supuestos!$D$9)*(Supuestos!$E$9-Supuestos!$D$9)),Supuestos!$F$9-SQRT((1-F41)*(Supuestos!$F$9-Supuestos!$D$9)*(Supuestos!$F$9-Supuestos!$E$9))),IF(Supuestos!$C$9="Uniforme",Supuestos!$D$9+F41*(Supuestos!$E$9-Supuestos!$D$9),IF(Supuestos!$C$9="Lognormal",LOGINV(F41,LN(Supuestos!$D$9)-LN(1+Supuestos!$E$9^2/Supuestos!$D$9^2)/2,SQRT(LN(1+Supuestos!$E$9^2/Supuestos!$D$9^2))),Supuestos!$D$9))))))</f>
        <v/>
      </c>
      <c r="N41" s="32">
        <f>MIN(IF(Supuestos!$H$10="",1E+99,Supuestos!$H$10),MAX(IF(Supuestos!$G$10="",-1E+99,Supuestos!$G$10),IF(Supuestos!$C$10="Normal",NORMINV(G41,Supuestos!$D$10,Supuestos!$E$10),IF(Supuestos!$C$10="Triangular",IF(G41&lt;(Supuestos!$E$10-Supuestos!$D$10)/(Supuestos!$F$10-Supuestos!$D$10),Supuestos!$D$10+SQRT(G41*(Supuestos!$F$10-Supuestos!$D$10)*(Supuestos!$E$10-Supuestos!$D$10)),Supuestos!$F$10-SQRT((1-G41)*(Supuestos!$F$10-Supuestos!$D$10)*(Supuestos!$F$10-Supuestos!$E$10))),IF(Supuestos!$C$10="Uniforme",Supuestos!$D$10+G41*(Supuestos!$E$10-Supuestos!$D$10),IF(Supuestos!$C$10="Lognormal",LOGINV(G41,LN(Supuestos!$D$10)-LN(1+Supuestos!$E$10^2/Supuestos!$D$10^2)/2,SQRT(LN(1+Supuestos!$E$10^2/Supuestos!$D$10^2))),Supuestos!$D$10))))))</f>
        <v/>
      </c>
      <c r="O41" s="31">
        <f>MIN(IF(Supuestos!$H$11="",1E+99,Supuestos!$H$11),MAX(IF(Supuestos!$G$11="",-1E+99,Supuestos!$G$11),IF(Supuestos!$C$11="Normal",NORMINV(H41,Supuestos!$D$11,Supuestos!$E$11),IF(Supuestos!$C$11="Triangular",IF(H41&lt;(Supuestos!$E$11-Supuestos!$D$11)/(Supuestos!$F$11-Supuestos!$D$11),Supuestos!$D$11+SQRT(H41*(Supuestos!$F$11-Supuestos!$D$11)*(Supuestos!$E$11-Supuestos!$D$11)),Supuestos!$F$11-SQRT((1-H41)*(Supuestos!$F$11-Supuestos!$D$11)*(Supuestos!$F$11-Supuestos!$E$11))),IF(Supuestos!$C$11="Uniforme",Supuestos!$D$11+H41*(Supuestos!$E$11-Supuestos!$D$11),IF(Supuestos!$C$11="Lognormal",LOGINV(H41,LN(Supuestos!$D$11)-LN(1+Supuestos!$E$11^2/Supuestos!$D$11^2)/2,SQRT(LN(1+Supuestos!$E$11^2/Supuestos!$D$11^2))),Supuestos!$D$11))))))</f>
        <v/>
      </c>
      <c r="P41" s="33">
        <f>-I41</f>
        <v/>
      </c>
      <c r="Q41" s="33">
        <f>$J41*(1+$K41)^(1-1)*(1-$L41)*(1-$M41)</f>
        <v/>
      </c>
      <c r="R41" s="33">
        <f>$J41*(1+$K41)^(2-1)*(1-$L41)*(1-$M41)</f>
        <v/>
      </c>
      <c r="S41" s="33">
        <f>$J41*(1+$K41)^(3-1)*(1-$L41)*(1-$M41)</f>
        <v/>
      </c>
      <c r="T41" s="33">
        <f>$J41*(1+$K41)^(4-1)*(1-$L41)*(1-$M41)</f>
        <v/>
      </c>
      <c r="U41" s="33">
        <f>$J41*(1+$K41)^(5-1)*(1-$L41)*(1-$M41)+$O41</f>
        <v/>
      </c>
      <c r="V41" s="33">
        <f>P41+NPV($N41,Q41:U41)</f>
        <v/>
      </c>
      <c r="W41" s="32">
        <f>IFERROR(IRR(P41:U41,0.1),"")</f>
        <v/>
      </c>
    </row>
    <row r="42">
      <c r="A42" s="14" t="n">
        <v>38</v>
      </c>
      <c r="B42" s="30">
        <f>RAND()*(1-2E-6)+1E-6</f>
        <v/>
      </c>
      <c r="C42" s="30">
        <f>RAND()*(1-2E-6)+1E-6</f>
        <v/>
      </c>
      <c r="D42" s="30">
        <f>RAND()*(1-2E-6)+1E-6</f>
        <v/>
      </c>
      <c r="E42" s="30">
        <f>RAND()*(1-2E-6)+1E-6</f>
        <v/>
      </c>
      <c r="F42" s="30">
        <f>RAND()*(1-2E-6)+1E-6</f>
        <v/>
      </c>
      <c r="G42" s="30">
        <f>RAND()*(1-2E-6)+1E-6</f>
        <v/>
      </c>
      <c r="H42" s="30">
        <f>RAND()*(1-2E-6)+1E-6</f>
        <v/>
      </c>
      <c r="I42" s="31">
        <f>MIN(IF(Supuestos!$H$5="",1E+99,Supuestos!$H$5),MAX(IF(Supuestos!$G$5="",-1E+99,Supuestos!$G$5),IF(Supuestos!$C$5="Normal",NORMINV(B42,Supuestos!$D$5,Supuestos!$E$5),IF(Supuestos!$C$5="Triangular",IF(B42&lt;(Supuestos!$E$5-Supuestos!$D$5)/(Supuestos!$F$5-Supuestos!$D$5),Supuestos!$D$5+SQRT(B42*(Supuestos!$F$5-Supuestos!$D$5)*(Supuestos!$E$5-Supuestos!$D$5)),Supuestos!$F$5-SQRT((1-B42)*(Supuestos!$F$5-Supuestos!$D$5)*(Supuestos!$F$5-Supuestos!$E$5))),IF(Supuestos!$C$5="Uniforme",Supuestos!$D$5+B42*(Supuestos!$E$5-Supuestos!$D$5),IF(Supuestos!$C$5="Lognormal",LOGINV(B42,LN(Supuestos!$D$5)-LN(1+Supuestos!$E$5^2/Supuestos!$D$5^2)/2,SQRT(LN(1+Supuestos!$E$5^2/Supuestos!$D$5^2))),Supuestos!$D$5))))))</f>
        <v/>
      </c>
      <c r="J42" s="31">
        <f>MIN(IF(Supuestos!$H$6="",1E+99,Supuestos!$H$6),MAX(IF(Supuestos!$G$6="",-1E+99,Supuestos!$G$6),IF(Supuestos!$C$6="Normal",NORMINV(C42,Supuestos!$D$6,Supuestos!$E$6),IF(Supuestos!$C$6="Triangular",IF(C42&lt;(Supuestos!$E$6-Supuestos!$D$6)/(Supuestos!$F$6-Supuestos!$D$6),Supuestos!$D$6+SQRT(C42*(Supuestos!$F$6-Supuestos!$D$6)*(Supuestos!$E$6-Supuestos!$D$6)),Supuestos!$F$6-SQRT((1-C42)*(Supuestos!$F$6-Supuestos!$D$6)*(Supuestos!$F$6-Supuestos!$E$6))),IF(Supuestos!$C$6="Uniforme",Supuestos!$D$6+C42*(Supuestos!$E$6-Supuestos!$D$6),IF(Supuestos!$C$6="Lognormal",LOGINV(C42,LN(Supuestos!$D$6)-LN(1+Supuestos!$E$6^2/Supuestos!$D$6^2)/2,SQRT(LN(1+Supuestos!$E$6^2/Supuestos!$D$6^2))),Supuestos!$D$6))))))</f>
        <v/>
      </c>
      <c r="K42" s="32">
        <f>MIN(IF(Supuestos!$H$7="",1E+99,Supuestos!$H$7),MAX(IF(Supuestos!$G$7="",-1E+99,Supuestos!$G$7),IF(Supuestos!$C$7="Normal",NORMINV(D42,Supuestos!$D$7,Supuestos!$E$7),IF(Supuestos!$C$7="Triangular",IF(D42&lt;(Supuestos!$E$7-Supuestos!$D$7)/(Supuestos!$F$7-Supuestos!$D$7),Supuestos!$D$7+SQRT(D42*(Supuestos!$F$7-Supuestos!$D$7)*(Supuestos!$E$7-Supuestos!$D$7)),Supuestos!$F$7-SQRT((1-D42)*(Supuestos!$F$7-Supuestos!$D$7)*(Supuestos!$F$7-Supuestos!$E$7))),IF(Supuestos!$C$7="Uniforme",Supuestos!$D$7+D42*(Supuestos!$E$7-Supuestos!$D$7),IF(Supuestos!$C$7="Lognormal",LOGINV(D42,LN(Supuestos!$D$7)-LN(1+Supuestos!$E$7^2/Supuestos!$D$7^2)/2,SQRT(LN(1+Supuestos!$E$7^2/Supuestos!$D$7^2))),Supuestos!$D$7))))))</f>
        <v/>
      </c>
      <c r="L42" s="32">
        <f>MIN(IF(Supuestos!$H$8="",1E+99,Supuestos!$H$8),MAX(IF(Supuestos!$G$8="",-1E+99,Supuestos!$G$8),IF(Supuestos!$C$8="Normal",NORMINV(E42,Supuestos!$D$8,Supuestos!$E$8),IF(Supuestos!$C$8="Triangular",IF(E42&lt;(Supuestos!$E$8-Supuestos!$D$8)/(Supuestos!$F$8-Supuestos!$D$8),Supuestos!$D$8+SQRT(E42*(Supuestos!$F$8-Supuestos!$D$8)*(Supuestos!$E$8-Supuestos!$D$8)),Supuestos!$F$8-SQRT((1-E42)*(Supuestos!$F$8-Supuestos!$D$8)*(Supuestos!$F$8-Supuestos!$E$8))),IF(Supuestos!$C$8="Uniforme",Supuestos!$D$8+E42*(Supuestos!$E$8-Supuestos!$D$8),IF(Supuestos!$C$8="Lognormal",LOGINV(E42,LN(Supuestos!$D$8)-LN(1+Supuestos!$E$8^2/Supuestos!$D$8^2)/2,SQRT(LN(1+Supuestos!$E$8^2/Supuestos!$D$8^2))),Supuestos!$D$8))))))</f>
        <v/>
      </c>
      <c r="M42" s="32">
        <f>MIN(IF(Supuestos!$H$9="",1E+99,Supuestos!$H$9),MAX(IF(Supuestos!$G$9="",-1E+99,Supuestos!$G$9),IF(Supuestos!$C$9="Normal",NORMINV(F42,Supuestos!$D$9,Supuestos!$E$9),IF(Supuestos!$C$9="Triangular",IF(F42&lt;(Supuestos!$E$9-Supuestos!$D$9)/(Supuestos!$F$9-Supuestos!$D$9),Supuestos!$D$9+SQRT(F42*(Supuestos!$F$9-Supuestos!$D$9)*(Supuestos!$E$9-Supuestos!$D$9)),Supuestos!$F$9-SQRT((1-F42)*(Supuestos!$F$9-Supuestos!$D$9)*(Supuestos!$F$9-Supuestos!$E$9))),IF(Supuestos!$C$9="Uniforme",Supuestos!$D$9+F42*(Supuestos!$E$9-Supuestos!$D$9),IF(Supuestos!$C$9="Lognormal",LOGINV(F42,LN(Supuestos!$D$9)-LN(1+Supuestos!$E$9^2/Supuestos!$D$9^2)/2,SQRT(LN(1+Supuestos!$E$9^2/Supuestos!$D$9^2))),Supuestos!$D$9))))))</f>
        <v/>
      </c>
      <c r="N42" s="32">
        <f>MIN(IF(Supuestos!$H$10="",1E+99,Supuestos!$H$10),MAX(IF(Supuestos!$G$10="",-1E+99,Supuestos!$G$10),IF(Supuestos!$C$10="Normal",NORMINV(G42,Supuestos!$D$10,Supuestos!$E$10),IF(Supuestos!$C$10="Triangular",IF(G42&lt;(Supuestos!$E$10-Supuestos!$D$10)/(Supuestos!$F$10-Supuestos!$D$10),Supuestos!$D$10+SQRT(G42*(Supuestos!$F$10-Supuestos!$D$10)*(Supuestos!$E$10-Supuestos!$D$10)),Supuestos!$F$10-SQRT((1-G42)*(Supuestos!$F$10-Supuestos!$D$10)*(Supuestos!$F$10-Supuestos!$E$10))),IF(Supuestos!$C$10="Uniforme",Supuestos!$D$10+G42*(Supuestos!$E$10-Supuestos!$D$10),IF(Supuestos!$C$10="Lognormal",LOGINV(G42,LN(Supuestos!$D$10)-LN(1+Supuestos!$E$10^2/Supuestos!$D$10^2)/2,SQRT(LN(1+Supuestos!$E$10^2/Supuestos!$D$10^2))),Supuestos!$D$10))))))</f>
        <v/>
      </c>
      <c r="O42" s="31">
        <f>MIN(IF(Supuestos!$H$11="",1E+99,Supuestos!$H$11),MAX(IF(Supuestos!$G$11="",-1E+99,Supuestos!$G$11),IF(Supuestos!$C$11="Normal",NORMINV(H42,Supuestos!$D$11,Supuestos!$E$11),IF(Supuestos!$C$11="Triangular",IF(H42&lt;(Supuestos!$E$11-Supuestos!$D$11)/(Supuestos!$F$11-Supuestos!$D$11),Supuestos!$D$11+SQRT(H42*(Supuestos!$F$11-Supuestos!$D$11)*(Supuestos!$E$11-Supuestos!$D$11)),Supuestos!$F$11-SQRT((1-H42)*(Supuestos!$F$11-Supuestos!$D$11)*(Supuestos!$F$11-Supuestos!$E$11))),IF(Supuestos!$C$11="Uniforme",Supuestos!$D$11+H42*(Supuestos!$E$11-Supuestos!$D$11),IF(Supuestos!$C$11="Lognormal",LOGINV(H42,LN(Supuestos!$D$11)-LN(1+Supuestos!$E$11^2/Supuestos!$D$11^2)/2,SQRT(LN(1+Supuestos!$E$11^2/Supuestos!$D$11^2))),Supuestos!$D$11))))))</f>
        <v/>
      </c>
      <c r="P42" s="33">
        <f>-I42</f>
        <v/>
      </c>
      <c r="Q42" s="33">
        <f>$J42*(1+$K42)^(1-1)*(1-$L42)*(1-$M42)</f>
        <v/>
      </c>
      <c r="R42" s="33">
        <f>$J42*(1+$K42)^(2-1)*(1-$L42)*(1-$M42)</f>
        <v/>
      </c>
      <c r="S42" s="33">
        <f>$J42*(1+$K42)^(3-1)*(1-$L42)*(1-$M42)</f>
        <v/>
      </c>
      <c r="T42" s="33">
        <f>$J42*(1+$K42)^(4-1)*(1-$L42)*(1-$M42)</f>
        <v/>
      </c>
      <c r="U42" s="33">
        <f>$J42*(1+$K42)^(5-1)*(1-$L42)*(1-$M42)+$O42</f>
        <v/>
      </c>
      <c r="V42" s="33">
        <f>P42+NPV($N42,Q42:U42)</f>
        <v/>
      </c>
      <c r="W42" s="32">
        <f>IFERROR(IRR(P42:U42,0.1),"")</f>
        <v/>
      </c>
    </row>
    <row r="43">
      <c r="A43" s="14" t="n">
        <v>39</v>
      </c>
      <c r="B43" s="30">
        <f>RAND()*(1-2E-6)+1E-6</f>
        <v/>
      </c>
      <c r="C43" s="30">
        <f>RAND()*(1-2E-6)+1E-6</f>
        <v/>
      </c>
      <c r="D43" s="30">
        <f>RAND()*(1-2E-6)+1E-6</f>
        <v/>
      </c>
      <c r="E43" s="30">
        <f>RAND()*(1-2E-6)+1E-6</f>
        <v/>
      </c>
      <c r="F43" s="30">
        <f>RAND()*(1-2E-6)+1E-6</f>
        <v/>
      </c>
      <c r="G43" s="30">
        <f>RAND()*(1-2E-6)+1E-6</f>
        <v/>
      </c>
      <c r="H43" s="30">
        <f>RAND()*(1-2E-6)+1E-6</f>
        <v/>
      </c>
      <c r="I43" s="31">
        <f>MIN(IF(Supuestos!$H$5="",1E+99,Supuestos!$H$5),MAX(IF(Supuestos!$G$5="",-1E+99,Supuestos!$G$5),IF(Supuestos!$C$5="Normal",NORMINV(B43,Supuestos!$D$5,Supuestos!$E$5),IF(Supuestos!$C$5="Triangular",IF(B43&lt;(Supuestos!$E$5-Supuestos!$D$5)/(Supuestos!$F$5-Supuestos!$D$5),Supuestos!$D$5+SQRT(B43*(Supuestos!$F$5-Supuestos!$D$5)*(Supuestos!$E$5-Supuestos!$D$5)),Supuestos!$F$5-SQRT((1-B43)*(Supuestos!$F$5-Supuestos!$D$5)*(Supuestos!$F$5-Supuestos!$E$5))),IF(Supuestos!$C$5="Uniforme",Supuestos!$D$5+B43*(Supuestos!$E$5-Supuestos!$D$5),IF(Supuestos!$C$5="Lognormal",LOGINV(B43,LN(Supuestos!$D$5)-LN(1+Supuestos!$E$5^2/Supuestos!$D$5^2)/2,SQRT(LN(1+Supuestos!$E$5^2/Supuestos!$D$5^2))),Supuestos!$D$5))))))</f>
        <v/>
      </c>
      <c r="J43" s="31">
        <f>MIN(IF(Supuestos!$H$6="",1E+99,Supuestos!$H$6),MAX(IF(Supuestos!$G$6="",-1E+99,Supuestos!$G$6),IF(Supuestos!$C$6="Normal",NORMINV(C43,Supuestos!$D$6,Supuestos!$E$6),IF(Supuestos!$C$6="Triangular",IF(C43&lt;(Supuestos!$E$6-Supuestos!$D$6)/(Supuestos!$F$6-Supuestos!$D$6),Supuestos!$D$6+SQRT(C43*(Supuestos!$F$6-Supuestos!$D$6)*(Supuestos!$E$6-Supuestos!$D$6)),Supuestos!$F$6-SQRT((1-C43)*(Supuestos!$F$6-Supuestos!$D$6)*(Supuestos!$F$6-Supuestos!$E$6))),IF(Supuestos!$C$6="Uniforme",Supuestos!$D$6+C43*(Supuestos!$E$6-Supuestos!$D$6),IF(Supuestos!$C$6="Lognormal",LOGINV(C43,LN(Supuestos!$D$6)-LN(1+Supuestos!$E$6^2/Supuestos!$D$6^2)/2,SQRT(LN(1+Supuestos!$E$6^2/Supuestos!$D$6^2))),Supuestos!$D$6))))))</f>
        <v/>
      </c>
      <c r="K43" s="32">
        <f>MIN(IF(Supuestos!$H$7="",1E+99,Supuestos!$H$7),MAX(IF(Supuestos!$G$7="",-1E+99,Supuestos!$G$7),IF(Supuestos!$C$7="Normal",NORMINV(D43,Supuestos!$D$7,Supuestos!$E$7),IF(Supuestos!$C$7="Triangular",IF(D43&lt;(Supuestos!$E$7-Supuestos!$D$7)/(Supuestos!$F$7-Supuestos!$D$7),Supuestos!$D$7+SQRT(D43*(Supuestos!$F$7-Supuestos!$D$7)*(Supuestos!$E$7-Supuestos!$D$7)),Supuestos!$F$7-SQRT((1-D43)*(Supuestos!$F$7-Supuestos!$D$7)*(Supuestos!$F$7-Supuestos!$E$7))),IF(Supuestos!$C$7="Uniforme",Supuestos!$D$7+D43*(Supuestos!$E$7-Supuestos!$D$7),IF(Supuestos!$C$7="Lognormal",LOGINV(D43,LN(Supuestos!$D$7)-LN(1+Supuestos!$E$7^2/Supuestos!$D$7^2)/2,SQRT(LN(1+Supuestos!$E$7^2/Supuestos!$D$7^2))),Supuestos!$D$7))))))</f>
        <v/>
      </c>
      <c r="L43" s="32">
        <f>MIN(IF(Supuestos!$H$8="",1E+99,Supuestos!$H$8),MAX(IF(Supuestos!$G$8="",-1E+99,Supuestos!$G$8),IF(Supuestos!$C$8="Normal",NORMINV(E43,Supuestos!$D$8,Supuestos!$E$8),IF(Supuestos!$C$8="Triangular",IF(E43&lt;(Supuestos!$E$8-Supuestos!$D$8)/(Supuestos!$F$8-Supuestos!$D$8),Supuestos!$D$8+SQRT(E43*(Supuestos!$F$8-Supuestos!$D$8)*(Supuestos!$E$8-Supuestos!$D$8)),Supuestos!$F$8-SQRT((1-E43)*(Supuestos!$F$8-Supuestos!$D$8)*(Supuestos!$F$8-Supuestos!$E$8))),IF(Supuestos!$C$8="Uniforme",Supuestos!$D$8+E43*(Supuestos!$E$8-Supuestos!$D$8),IF(Supuestos!$C$8="Lognormal",LOGINV(E43,LN(Supuestos!$D$8)-LN(1+Supuestos!$E$8^2/Supuestos!$D$8^2)/2,SQRT(LN(1+Supuestos!$E$8^2/Supuestos!$D$8^2))),Supuestos!$D$8))))))</f>
        <v/>
      </c>
      <c r="M43" s="32">
        <f>MIN(IF(Supuestos!$H$9="",1E+99,Supuestos!$H$9),MAX(IF(Supuestos!$G$9="",-1E+99,Supuestos!$G$9),IF(Supuestos!$C$9="Normal",NORMINV(F43,Supuestos!$D$9,Supuestos!$E$9),IF(Supuestos!$C$9="Triangular",IF(F43&lt;(Supuestos!$E$9-Supuestos!$D$9)/(Supuestos!$F$9-Supuestos!$D$9),Supuestos!$D$9+SQRT(F43*(Supuestos!$F$9-Supuestos!$D$9)*(Supuestos!$E$9-Supuestos!$D$9)),Supuestos!$F$9-SQRT((1-F43)*(Supuestos!$F$9-Supuestos!$D$9)*(Supuestos!$F$9-Supuestos!$E$9))),IF(Supuestos!$C$9="Uniforme",Supuestos!$D$9+F43*(Supuestos!$E$9-Supuestos!$D$9),IF(Supuestos!$C$9="Lognormal",LOGINV(F43,LN(Supuestos!$D$9)-LN(1+Supuestos!$E$9^2/Supuestos!$D$9^2)/2,SQRT(LN(1+Supuestos!$E$9^2/Supuestos!$D$9^2))),Supuestos!$D$9))))))</f>
        <v/>
      </c>
      <c r="N43" s="32">
        <f>MIN(IF(Supuestos!$H$10="",1E+99,Supuestos!$H$10),MAX(IF(Supuestos!$G$10="",-1E+99,Supuestos!$G$10),IF(Supuestos!$C$10="Normal",NORMINV(G43,Supuestos!$D$10,Supuestos!$E$10),IF(Supuestos!$C$10="Triangular",IF(G43&lt;(Supuestos!$E$10-Supuestos!$D$10)/(Supuestos!$F$10-Supuestos!$D$10),Supuestos!$D$10+SQRT(G43*(Supuestos!$F$10-Supuestos!$D$10)*(Supuestos!$E$10-Supuestos!$D$10)),Supuestos!$F$10-SQRT((1-G43)*(Supuestos!$F$10-Supuestos!$D$10)*(Supuestos!$F$10-Supuestos!$E$10))),IF(Supuestos!$C$10="Uniforme",Supuestos!$D$10+G43*(Supuestos!$E$10-Supuestos!$D$10),IF(Supuestos!$C$10="Lognormal",LOGINV(G43,LN(Supuestos!$D$10)-LN(1+Supuestos!$E$10^2/Supuestos!$D$10^2)/2,SQRT(LN(1+Supuestos!$E$10^2/Supuestos!$D$10^2))),Supuestos!$D$10))))))</f>
        <v/>
      </c>
      <c r="O43" s="31">
        <f>MIN(IF(Supuestos!$H$11="",1E+99,Supuestos!$H$11),MAX(IF(Supuestos!$G$11="",-1E+99,Supuestos!$G$11),IF(Supuestos!$C$11="Normal",NORMINV(H43,Supuestos!$D$11,Supuestos!$E$11),IF(Supuestos!$C$11="Triangular",IF(H43&lt;(Supuestos!$E$11-Supuestos!$D$11)/(Supuestos!$F$11-Supuestos!$D$11),Supuestos!$D$11+SQRT(H43*(Supuestos!$F$11-Supuestos!$D$11)*(Supuestos!$E$11-Supuestos!$D$11)),Supuestos!$F$11-SQRT((1-H43)*(Supuestos!$F$11-Supuestos!$D$11)*(Supuestos!$F$11-Supuestos!$E$11))),IF(Supuestos!$C$11="Uniforme",Supuestos!$D$11+H43*(Supuestos!$E$11-Supuestos!$D$11),IF(Supuestos!$C$11="Lognormal",LOGINV(H43,LN(Supuestos!$D$11)-LN(1+Supuestos!$E$11^2/Supuestos!$D$11^2)/2,SQRT(LN(1+Supuestos!$E$11^2/Supuestos!$D$11^2))),Supuestos!$D$11))))))</f>
        <v/>
      </c>
      <c r="P43" s="33">
        <f>-I43</f>
        <v/>
      </c>
      <c r="Q43" s="33">
        <f>$J43*(1+$K43)^(1-1)*(1-$L43)*(1-$M43)</f>
        <v/>
      </c>
      <c r="R43" s="33">
        <f>$J43*(1+$K43)^(2-1)*(1-$L43)*(1-$M43)</f>
        <v/>
      </c>
      <c r="S43" s="33">
        <f>$J43*(1+$K43)^(3-1)*(1-$L43)*(1-$M43)</f>
        <v/>
      </c>
      <c r="T43" s="33">
        <f>$J43*(1+$K43)^(4-1)*(1-$L43)*(1-$M43)</f>
        <v/>
      </c>
      <c r="U43" s="33">
        <f>$J43*(1+$K43)^(5-1)*(1-$L43)*(1-$M43)+$O43</f>
        <v/>
      </c>
      <c r="V43" s="33">
        <f>P43+NPV($N43,Q43:U43)</f>
        <v/>
      </c>
      <c r="W43" s="32">
        <f>IFERROR(IRR(P43:U43,0.1),"")</f>
        <v/>
      </c>
    </row>
    <row r="44">
      <c r="A44" s="14" t="n">
        <v>40</v>
      </c>
      <c r="B44" s="30">
        <f>RAND()*(1-2E-6)+1E-6</f>
        <v/>
      </c>
      <c r="C44" s="30">
        <f>RAND()*(1-2E-6)+1E-6</f>
        <v/>
      </c>
      <c r="D44" s="30">
        <f>RAND()*(1-2E-6)+1E-6</f>
        <v/>
      </c>
      <c r="E44" s="30">
        <f>RAND()*(1-2E-6)+1E-6</f>
        <v/>
      </c>
      <c r="F44" s="30">
        <f>RAND()*(1-2E-6)+1E-6</f>
        <v/>
      </c>
      <c r="G44" s="30">
        <f>RAND()*(1-2E-6)+1E-6</f>
        <v/>
      </c>
      <c r="H44" s="30">
        <f>RAND()*(1-2E-6)+1E-6</f>
        <v/>
      </c>
      <c r="I44" s="31">
        <f>MIN(IF(Supuestos!$H$5="",1E+99,Supuestos!$H$5),MAX(IF(Supuestos!$G$5="",-1E+99,Supuestos!$G$5),IF(Supuestos!$C$5="Normal",NORMINV(B44,Supuestos!$D$5,Supuestos!$E$5),IF(Supuestos!$C$5="Triangular",IF(B44&lt;(Supuestos!$E$5-Supuestos!$D$5)/(Supuestos!$F$5-Supuestos!$D$5),Supuestos!$D$5+SQRT(B44*(Supuestos!$F$5-Supuestos!$D$5)*(Supuestos!$E$5-Supuestos!$D$5)),Supuestos!$F$5-SQRT((1-B44)*(Supuestos!$F$5-Supuestos!$D$5)*(Supuestos!$F$5-Supuestos!$E$5))),IF(Supuestos!$C$5="Uniforme",Supuestos!$D$5+B44*(Supuestos!$E$5-Supuestos!$D$5),IF(Supuestos!$C$5="Lognormal",LOGINV(B44,LN(Supuestos!$D$5)-LN(1+Supuestos!$E$5^2/Supuestos!$D$5^2)/2,SQRT(LN(1+Supuestos!$E$5^2/Supuestos!$D$5^2))),Supuestos!$D$5))))))</f>
        <v/>
      </c>
      <c r="J44" s="31">
        <f>MIN(IF(Supuestos!$H$6="",1E+99,Supuestos!$H$6),MAX(IF(Supuestos!$G$6="",-1E+99,Supuestos!$G$6),IF(Supuestos!$C$6="Normal",NORMINV(C44,Supuestos!$D$6,Supuestos!$E$6),IF(Supuestos!$C$6="Triangular",IF(C44&lt;(Supuestos!$E$6-Supuestos!$D$6)/(Supuestos!$F$6-Supuestos!$D$6),Supuestos!$D$6+SQRT(C44*(Supuestos!$F$6-Supuestos!$D$6)*(Supuestos!$E$6-Supuestos!$D$6)),Supuestos!$F$6-SQRT((1-C44)*(Supuestos!$F$6-Supuestos!$D$6)*(Supuestos!$F$6-Supuestos!$E$6))),IF(Supuestos!$C$6="Uniforme",Supuestos!$D$6+C44*(Supuestos!$E$6-Supuestos!$D$6),IF(Supuestos!$C$6="Lognormal",LOGINV(C44,LN(Supuestos!$D$6)-LN(1+Supuestos!$E$6^2/Supuestos!$D$6^2)/2,SQRT(LN(1+Supuestos!$E$6^2/Supuestos!$D$6^2))),Supuestos!$D$6))))))</f>
        <v/>
      </c>
      <c r="K44" s="32">
        <f>MIN(IF(Supuestos!$H$7="",1E+99,Supuestos!$H$7),MAX(IF(Supuestos!$G$7="",-1E+99,Supuestos!$G$7),IF(Supuestos!$C$7="Normal",NORMINV(D44,Supuestos!$D$7,Supuestos!$E$7),IF(Supuestos!$C$7="Triangular",IF(D44&lt;(Supuestos!$E$7-Supuestos!$D$7)/(Supuestos!$F$7-Supuestos!$D$7),Supuestos!$D$7+SQRT(D44*(Supuestos!$F$7-Supuestos!$D$7)*(Supuestos!$E$7-Supuestos!$D$7)),Supuestos!$F$7-SQRT((1-D44)*(Supuestos!$F$7-Supuestos!$D$7)*(Supuestos!$F$7-Supuestos!$E$7))),IF(Supuestos!$C$7="Uniforme",Supuestos!$D$7+D44*(Supuestos!$E$7-Supuestos!$D$7),IF(Supuestos!$C$7="Lognormal",LOGINV(D44,LN(Supuestos!$D$7)-LN(1+Supuestos!$E$7^2/Supuestos!$D$7^2)/2,SQRT(LN(1+Supuestos!$E$7^2/Supuestos!$D$7^2))),Supuestos!$D$7))))))</f>
        <v/>
      </c>
      <c r="L44" s="32">
        <f>MIN(IF(Supuestos!$H$8="",1E+99,Supuestos!$H$8),MAX(IF(Supuestos!$G$8="",-1E+99,Supuestos!$G$8),IF(Supuestos!$C$8="Normal",NORMINV(E44,Supuestos!$D$8,Supuestos!$E$8),IF(Supuestos!$C$8="Triangular",IF(E44&lt;(Supuestos!$E$8-Supuestos!$D$8)/(Supuestos!$F$8-Supuestos!$D$8),Supuestos!$D$8+SQRT(E44*(Supuestos!$F$8-Supuestos!$D$8)*(Supuestos!$E$8-Supuestos!$D$8)),Supuestos!$F$8-SQRT((1-E44)*(Supuestos!$F$8-Supuestos!$D$8)*(Supuestos!$F$8-Supuestos!$E$8))),IF(Supuestos!$C$8="Uniforme",Supuestos!$D$8+E44*(Supuestos!$E$8-Supuestos!$D$8),IF(Supuestos!$C$8="Lognormal",LOGINV(E44,LN(Supuestos!$D$8)-LN(1+Supuestos!$E$8^2/Supuestos!$D$8^2)/2,SQRT(LN(1+Supuestos!$E$8^2/Supuestos!$D$8^2))),Supuestos!$D$8))))))</f>
        <v/>
      </c>
      <c r="M44" s="32">
        <f>MIN(IF(Supuestos!$H$9="",1E+99,Supuestos!$H$9),MAX(IF(Supuestos!$G$9="",-1E+99,Supuestos!$G$9),IF(Supuestos!$C$9="Normal",NORMINV(F44,Supuestos!$D$9,Supuestos!$E$9),IF(Supuestos!$C$9="Triangular",IF(F44&lt;(Supuestos!$E$9-Supuestos!$D$9)/(Supuestos!$F$9-Supuestos!$D$9),Supuestos!$D$9+SQRT(F44*(Supuestos!$F$9-Supuestos!$D$9)*(Supuestos!$E$9-Supuestos!$D$9)),Supuestos!$F$9-SQRT((1-F44)*(Supuestos!$F$9-Supuestos!$D$9)*(Supuestos!$F$9-Supuestos!$E$9))),IF(Supuestos!$C$9="Uniforme",Supuestos!$D$9+F44*(Supuestos!$E$9-Supuestos!$D$9),IF(Supuestos!$C$9="Lognormal",LOGINV(F44,LN(Supuestos!$D$9)-LN(1+Supuestos!$E$9^2/Supuestos!$D$9^2)/2,SQRT(LN(1+Supuestos!$E$9^2/Supuestos!$D$9^2))),Supuestos!$D$9))))))</f>
        <v/>
      </c>
      <c r="N44" s="32">
        <f>MIN(IF(Supuestos!$H$10="",1E+99,Supuestos!$H$10),MAX(IF(Supuestos!$G$10="",-1E+99,Supuestos!$G$10),IF(Supuestos!$C$10="Normal",NORMINV(G44,Supuestos!$D$10,Supuestos!$E$10),IF(Supuestos!$C$10="Triangular",IF(G44&lt;(Supuestos!$E$10-Supuestos!$D$10)/(Supuestos!$F$10-Supuestos!$D$10),Supuestos!$D$10+SQRT(G44*(Supuestos!$F$10-Supuestos!$D$10)*(Supuestos!$E$10-Supuestos!$D$10)),Supuestos!$F$10-SQRT((1-G44)*(Supuestos!$F$10-Supuestos!$D$10)*(Supuestos!$F$10-Supuestos!$E$10))),IF(Supuestos!$C$10="Uniforme",Supuestos!$D$10+G44*(Supuestos!$E$10-Supuestos!$D$10),IF(Supuestos!$C$10="Lognormal",LOGINV(G44,LN(Supuestos!$D$10)-LN(1+Supuestos!$E$10^2/Supuestos!$D$10^2)/2,SQRT(LN(1+Supuestos!$E$10^2/Supuestos!$D$10^2))),Supuestos!$D$10))))))</f>
        <v/>
      </c>
      <c r="O44" s="31">
        <f>MIN(IF(Supuestos!$H$11="",1E+99,Supuestos!$H$11),MAX(IF(Supuestos!$G$11="",-1E+99,Supuestos!$G$11),IF(Supuestos!$C$11="Normal",NORMINV(H44,Supuestos!$D$11,Supuestos!$E$11),IF(Supuestos!$C$11="Triangular",IF(H44&lt;(Supuestos!$E$11-Supuestos!$D$11)/(Supuestos!$F$11-Supuestos!$D$11),Supuestos!$D$11+SQRT(H44*(Supuestos!$F$11-Supuestos!$D$11)*(Supuestos!$E$11-Supuestos!$D$11)),Supuestos!$F$11-SQRT((1-H44)*(Supuestos!$F$11-Supuestos!$D$11)*(Supuestos!$F$11-Supuestos!$E$11))),IF(Supuestos!$C$11="Uniforme",Supuestos!$D$11+H44*(Supuestos!$E$11-Supuestos!$D$11),IF(Supuestos!$C$11="Lognormal",LOGINV(H44,LN(Supuestos!$D$11)-LN(1+Supuestos!$E$11^2/Supuestos!$D$11^2)/2,SQRT(LN(1+Supuestos!$E$11^2/Supuestos!$D$11^2))),Supuestos!$D$11))))))</f>
        <v/>
      </c>
      <c r="P44" s="33">
        <f>-I44</f>
        <v/>
      </c>
      <c r="Q44" s="33">
        <f>$J44*(1+$K44)^(1-1)*(1-$L44)*(1-$M44)</f>
        <v/>
      </c>
      <c r="R44" s="33">
        <f>$J44*(1+$K44)^(2-1)*(1-$L44)*(1-$M44)</f>
        <v/>
      </c>
      <c r="S44" s="33">
        <f>$J44*(1+$K44)^(3-1)*(1-$L44)*(1-$M44)</f>
        <v/>
      </c>
      <c r="T44" s="33">
        <f>$J44*(1+$K44)^(4-1)*(1-$L44)*(1-$M44)</f>
        <v/>
      </c>
      <c r="U44" s="33">
        <f>$J44*(1+$K44)^(5-1)*(1-$L44)*(1-$M44)+$O44</f>
        <v/>
      </c>
      <c r="V44" s="33">
        <f>P44+NPV($N44,Q44:U44)</f>
        <v/>
      </c>
      <c r="W44" s="32">
        <f>IFERROR(IRR(P44:U44,0.1),"")</f>
        <v/>
      </c>
    </row>
    <row r="45">
      <c r="A45" s="14" t="n">
        <v>41</v>
      </c>
      <c r="B45" s="30">
        <f>RAND()*(1-2E-6)+1E-6</f>
        <v/>
      </c>
      <c r="C45" s="30">
        <f>RAND()*(1-2E-6)+1E-6</f>
        <v/>
      </c>
      <c r="D45" s="30">
        <f>RAND()*(1-2E-6)+1E-6</f>
        <v/>
      </c>
      <c r="E45" s="30">
        <f>RAND()*(1-2E-6)+1E-6</f>
        <v/>
      </c>
      <c r="F45" s="30">
        <f>RAND()*(1-2E-6)+1E-6</f>
        <v/>
      </c>
      <c r="G45" s="30">
        <f>RAND()*(1-2E-6)+1E-6</f>
        <v/>
      </c>
      <c r="H45" s="30">
        <f>RAND()*(1-2E-6)+1E-6</f>
        <v/>
      </c>
      <c r="I45" s="31">
        <f>MIN(IF(Supuestos!$H$5="",1E+99,Supuestos!$H$5),MAX(IF(Supuestos!$G$5="",-1E+99,Supuestos!$G$5),IF(Supuestos!$C$5="Normal",NORMINV(B45,Supuestos!$D$5,Supuestos!$E$5),IF(Supuestos!$C$5="Triangular",IF(B45&lt;(Supuestos!$E$5-Supuestos!$D$5)/(Supuestos!$F$5-Supuestos!$D$5),Supuestos!$D$5+SQRT(B45*(Supuestos!$F$5-Supuestos!$D$5)*(Supuestos!$E$5-Supuestos!$D$5)),Supuestos!$F$5-SQRT((1-B45)*(Supuestos!$F$5-Supuestos!$D$5)*(Supuestos!$F$5-Supuestos!$E$5))),IF(Supuestos!$C$5="Uniforme",Supuestos!$D$5+B45*(Supuestos!$E$5-Supuestos!$D$5),IF(Supuestos!$C$5="Lognormal",LOGINV(B45,LN(Supuestos!$D$5)-LN(1+Supuestos!$E$5^2/Supuestos!$D$5^2)/2,SQRT(LN(1+Supuestos!$E$5^2/Supuestos!$D$5^2))),Supuestos!$D$5))))))</f>
        <v/>
      </c>
      <c r="J45" s="31">
        <f>MIN(IF(Supuestos!$H$6="",1E+99,Supuestos!$H$6),MAX(IF(Supuestos!$G$6="",-1E+99,Supuestos!$G$6),IF(Supuestos!$C$6="Normal",NORMINV(C45,Supuestos!$D$6,Supuestos!$E$6),IF(Supuestos!$C$6="Triangular",IF(C45&lt;(Supuestos!$E$6-Supuestos!$D$6)/(Supuestos!$F$6-Supuestos!$D$6),Supuestos!$D$6+SQRT(C45*(Supuestos!$F$6-Supuestos!$D$6)*(Supuestos!$E$6-Supuestos!$D$6)),Supuestos!$F$6-SQRT((1-C45)*(Supuestos!$F$6-Supuestos!$D$6)*(Supuestos!$F$6-Supuestos!$E$6))),IF(Supuestos!$C$6="Uniforme",Supuestos!$D$6+C45*(Supuestos!$E$6-Supuestos!$D$6),IF(Supuestos!$C$6="Lognormal",LOGINV(C45,LN(Supuestos!$D$6)-LN(1+Supuestos!$E$6^2/Supuestos!$D$6^2)/2,SQRT(LN(1+Supuestos!$E$6^2/Supuestos!$D$6^2))),Supuestos!$D$6))))))</f>
        <v/>
      </c>
      <c r="K45" s="32">
        <f>MIN(IF(Supuestos!$H$7="",1E+99,Supuestos!$H$7),MAX(IF(Supuestos!$G$7="",-1E+99,Supuestos!$G$7),IF(Supuestos!$C$7="Normal",NORMINV(D45,Supuestos!$D$7,Supuestos!$E$7),IF(Supuestos!$C$7="Triangular",IF(D45&lt;(Supuestos!$E$7-Supuestos!$D$7)/(Supuestos!$F$7-Supuestos!$D$7),Supuestos!$D$7+SQRT(D45*(Supuestos!$F$7-Supuestos!$D$7)*(Supuestos!$E$7-Supuestos!$D$7)),Supuestos!$F$7-SQRT((1-D45)*(Supuestos!$F$7-Supuestos!$D$7)*(Supuestos!$F$7-Supuestos!$E$7))),IF(Supuestos!$C$7="Uniforme",Supuestos!$D$7+D45*(Supuestos!$E$7-Supuestos!$D$7),IF(Supuestos!$C$7="Lognormal",LOGINV(D45,LN(Supuestos!$D$7)-LN(1+Supuestos!$E$7^2/Supuestos!$D$7^2)/2,SQRT(LN(1+Supuestos!$E$7^2/Supuestos!$D$7^2))),Supuestos!$D$7))))))</f>
        <v/>
      </c>
      <c r="L45" s="32">
        <f>MIN(IF(Supuestos!$H$8="",1E+99,Supuestos!$H$8),MAX(IF(Supuestos!$G$8="",-1E+99,Supuestos!$G$8),IF(Supuestos!$C$8="Normal",NORMINV(E45,Supuestos!$D$8,Supuestos!$E$8),IF(Supuestos!$C$8="Triangular",IF(E45&lt;(Supuestos!$E$8-Supuestos!$D$8)/(Supuestos!$F$8-Supuestos!$D$8),Supuestos!$D$8+SQRT(E45*(Supuestos!$F$8-Supuestos!$D$8)*(Supuestos!$E$8-Supuestos!$D$8)),Supuestos!$F$8-SQRT((1-E45)*(Supuestos!$F$8-Supuestos!$D$8)*(Supuestos!$F$8-Supuestos!$E$8))),IF(Supuestos!$C$8="Uniforme",Supuestos!$D$8+E45*(Supuestos!$E$8-Supuestos!$D$8),IF(Supuestos!$C$8="Lognormal",LOGINV(E45,LN(Supuestos!$D$8)-LN(1+Supuestos!$E$8^2/Supuestos!$D$8^2)/2,SQRT(LN(1+Supuestos!$E$8^2/Supuestos!$D$8^2))),Supuestos!$D$8))))))</f>
        <v/>
      </c>
      <c r="M45" s="32">
        <f>MIN(IF(Supuestos!$H$9="",1E+99,Supuestos!$H$9),MAX(IF(Supuestos!$G$9="",-1E+99,Supuestos!$G$9),IF(Supuestos!$C$9="Normal",NORMINV(F45,Supuestos!$D$9,Supuestos!$E$9),IF(Supuestos!$C$9="Triangular",IF(F45&lt;(Supuestos!$E$9-Supuestos!$D$9)/(Supuestos!$F$9-Supuestos!$D$9),Supuestos!$D$9+SQRT(F45*(Supuestos!$F$9-Supuestos!$D$9)*(Supuestos!$E$9-Supuestos!$D$9)),Supuestos!$F$9-SQRT((1-F45)*(Supuestos!$F$9-Supuestos!$D$9)*(Supuestos!$F$9-Supuestos!$E$9))),IF(Supuestos!$C$9="Uniforme",Supuestos!$D$9+F45*(Supuestos!$E$9-Supuestos!$D$9),IF(Supuestos!$C$9="Lognormal",LOGINV(F45,LN(Supuestos!$D$9)-LN(1+Supuestos!$E$9^2/Supuestos!$D$9^2)/2,SQRT(LN(1+Supuestos!$E$9^2/Supuestos!$D$9^2))),Supuestos!$D$9))))))</f>
        <v/>
      </c>
      <c r="N45" s="32">
        <f>MIN(IF(Supuestos!$H$10="",1E+99,Supuestos!$H$10),MAX(IF(Supuestos!$G$10="",-1E+99,Supuestos!$G$10),IF(Supuestos!$C$10="Normal",NORMINV(G45,Supuestos!$D$10,Supuestos!$E$10),IF(Supuestos!$C$10="Triangular",IF(G45&lt;(Supuestos!$E$10-Supuestos!$D$10)/(Supuestos!$F$10-Supuestos!$D$10),Supuestos!$D$10+SQRT(G45*(Supuestos!$F$10-Supuestos!$D$10)*(Supuestos!$E$10-Supuestos!$D$10)),Supuestos!$F$10-SQRT((1-G45)*(Supuestos!$F$10-Supuestos!$D$10)*(Supuestos!$F$10-Supuestos!$E$10))),IF(Supuestos!$C$10="Uniforme",Supuestos!$D$10+G45*(Supuestos!$E$10-Supuestos!$D$10),IF(Supuestos!$C$10="Lognormal",LOGINV(G45,LN(Supuestos!$D$10)-LN(1+Supuestos!$E$10^2/Supuestos!$D$10^2)/2,SQRT(LN(1+Supuestos!$E$10^2/Supuestos!$D$10^2))),Supuestos!$D$10))))))</f>
        <v/>
      </c>
      <c r="O45" s="31">
        <f>MIN(IF(Supuestos!$H$11="",1E+99,Supuestos!$H$11),MAX(IF(Supuestos!$G$11="",-1E+99,Supuestos!$G$11),IF(Supuestos!$C$11="Normal",NORMINV(H45,Supuestos!$D$11,Supuestos!$E$11),IF(Supuestos!$C$11="Triangular",IF(H45&lt;(Supuestos!$E$11-Supuestos!$D$11)/(Supuestos!$F$11-Supuestos!$D$11),Supuestos!$D$11+SQRT(H45*(Supuestos!$F$11-Supuestos!$D$11)*(Supuestos!$E$11-Supuestos!$D$11)),Supuestos!$F$11-SQRT((1-H45)*(Supuestos!$F$11-Supuestos!$D$11)*(Supuestos!$F$11-Supuestos!$E$11))),IF(Supuestos!$C$11="Uniforme",Supuestos!$D$11+H45*(Supuestos!$E$11-Supuestos!$D$11),IF(Supuestos!$C$11="Lognormal",LOGINV(H45,LN(Supuestos!$D$11)-LN(1+Supuestos!$E$11^2/Supuestos!$D$11^2)/2,SQRT(LN(1+Supuestos!$E$11^2/Supuestos!$D$11^2))),Supuestos!$D$11))))))</f>
        <v/>
      </c>
      <c r="P45" s="33">
        <f>-I45</f>
        <v/>
      </c>
      <c r="Q45" s="33">
        <f>$J45*(1+$K45)^(1-1)*(1-$L45)*(1-$M45)</f>
        <v/>
      </c>
      <c r="R45" s="33">
        <f>$J45*(1+$K45)^(2-1)*(1-$L45)*(1-$M45)</f>
        <v/>
      </c>
      <c r="S45" s="33">
        <f>$J45*(1+$K45)^(3-1)*(1-$L45)*(1-$M45)</f>
        <v/>
      </c>
      <c r="T45" s="33">
        <f>$J45*(1+$K45)^(4-1)*(1-$L45)*(1-$M45)</f>
        <v/>
      </c>
      <c r="U45" s="33">
        <f>$J45*(1+$K45)^(5-1)*(1-$L45)*(1-$M45)+$O45</f>
        <v/>
      </c>
      <c r="V45" s="33">
        <f>P45+NPV($N45,Q45:U45)</f>
        <v/>
      </c>
      <c r="W45" s="32">
        <f>IFERROR(IRR(P45:U45,0.1),"")</f>
        <v/>
      </c>
    </row>
    <row r="46">
      <c r="A46" s="14" t="n">
        <v>42</v>
      </c>
      <c r="B46" s="30">
        <f>RAND()*(1-2E-6)+1E-6</f>
        <v/>
      </c>
      <c r="C46" s="30">
        <f>RAND()*(1-2E-6)+1E-6</f>
        <v/>
      </c>
      <c r="D46" s="30">
        <f>RAND()*(1-2E-6)+1E-6</f>
        <v/>
      </c>
      <c r="E46" s="30">
        <f>RAND()*(1-2E-6)+1E-6</f>
        <v/>
      </c>
      <c r="F46" s="30">
        <f>RAND()*(1-2E-6)+1E-6</f>
        <v/>
      </c>
      <c r="G46" s="30">
        <f>RAND()*(1-2E-6)+1E-6</f>
        <v/>
      </c>
      <c r="H46" s="30">
        <f>RAND()*(1-2E-6)+1E-6</f>
        <v/>
      </c>
      <c r="I46" s="31">
        <f>MIN(IF(Supuestos!$H$5="",1E+99,Supuestos!$H$5),MAX(IF(Supuestos!$G$5="",-1E+99,Supuestos!$G$5),IF(Supuestos!$C$5="Normal",NORMINV(B46,Supuestos!$D$5,Supuestos!$E$5),IF(Supuestos!$C$5="Triangular",IF(B46&lt;(Supuestos!$E$5-Supuestos!$D$5)/(Supuestos!$F$5-Supuestos!$D$5),Supuestos!$D$5+SQRT(B46*(Supuestos!$F$5-Supuestos!$D$5)*(Supuestos!$E$5-Supuestos!$D$5)),Supuestos!$F$5-SQRT((1-B46)*(Supuestos!$F$5-Supuestos!$D$5)*(Supuestos!$F$5-Supuestos!$E$5))),IF(Supuestos!$C$5="Uniforme",Supuestos!$D$5+B46*(Supuestos!$E$5-Supuestos!$D$5),IF(Supuestos!$C$5="Lognormal",LOGINV(B46,LN(Supuestos!$D$5)-LN(1+Supuestos!$E$5^2/Supuestos!$D$5^2)/2,SQRT(LN(1+Supuestos!$E$5^2/Supuestos!$D$5^2))),Supuestos!$D$5))))))</f>
        <v/>
      </c>
      <c r="J46" s="31">
        <f>MIN(IF(Supuestos!$H$6="",1E+99,Supuestos!$H$6),MAX(IF(Supuestos!$G$6="",-1E+99,Supuestos!$G$6),IF(Supuestos!$C$6="Normal",NORMINV(C46,Supuestos!$D$6,Supuestos!$E$6),IF(Supuestos!$C$6="Triangular",IF(C46&lt;(Supuestos!$E$6-Supuestos!$D$6)/(Supuestos!$F$6-Supuestos!$D$6),Supuestos!$D$6+SQRT(C46*(Supuestos!$F$6-Supuestos!$D$6)*(Supuestos!$E$6-Supuestos!$D$6)),Supuestos!$F$6-SQRT((1-C46)*(Supuestos!$F$6-Supuestos!$D$6)*(Supuestos!$F$6-Supuestos!$E$6))),IF(Supuestos!$C$6="Uniforme",Supuestos!$D$6+C46*(Supuestos!$E$6-Supuestos!$D$6),IF(Supuestos!$C$6="Lognormal",LOGINV(C46,LN(Supuestos!$D$6)-LN(1+Supuestos!$E$6^2/Supuestos!$D$6^2)/2,SQRT(LN(1+Supuestos!$E$6^2/Supuestos!$D$6^2))),Supuestos!$D$6))))))</f>
        <v/>
      </c>
      <c r="K46" s="32">
        <f>MIN(IF(Supuestos!$H$7="",1E+99,Supuestos!$H$7),MAX(IF(Supuestos!$G$7="",-1E+99,Supuestos!$G$7),IF(Supuestos!$C$7="Normal",NORMINV(D46,Supuestos!$D$7,Supuestos!$E$7),IF(Supuestos!$C$7="Triangular",IF(D46&lt;(Supuestos!$E$7-Supuestos!$D$7)/(Supuestos!$F$7-Supuestos!$D$7),Supuestos!$D$7+SQRT(D46*(Supuestos!$F$7-Supuestos!$D$7)*(Supuestos!$E$7-Supuestos!$D$7)),Supuestos!$F$7-SQRT((1-D46)*(Supuestos!$F$7-Supuestos!$D$7)*(Supuestos!$F$7-Supuestos!$E$7))),IF(Supuestos!$C$7="Uniforme",Supuestos!$D$7+D46*(Supuestos!$E$7-Supuestos!$D$7),IF(Supuestos!$C$7="Lognormal",LOGINV(D46,LN(Supuestos!$D$7)-LN(1+Supuestos!$E$7^2/Supuestos!$D$7^2)/2,SQRT(LN(1+Supuestos!$E$7^2/Supuestos!$D$7^2))),Supuestos!$D$7))))))</f>
        <v/>
      </c>
      <c r="L46" s="32">
        <f>MIN(IF(Supuestos!$H$8="",1E+99,Supuestos!$H$8),MAX(IF(Supuestos!$G$8="",-1E+99,Supuestos!$G$8),IF(Supuestos!$C$8="Normal",NORMINV(E46,Supuestos!$D$8,Supuestos!$E$8),IF(Supuestos!$C$8="Triangular",IF(E46&lt;(Supuestos!$E$8-Supuestos!$D$8)/(Supuestos!$F$8-Supuestos!$D$8),Supuestos!$D$8+SQRT(E46*(Supuestos!$F$8-Supuestos!$D$8)*(Supuestos!$E$8-Supuestos!$D$8)),Supuestos!$F$8-SQRT((1-E46)*(Supuestos!$F$8-Supuestos!$D$8)*(Supuestos!$F$8-Supuestos!$E$8))),IF(Supuestos!$C$8="Uniforme",Supuestos!$D$8+E46*(Supuestos!$E$8-Supuestos!$D$8),IF(Supuestos!$C$8="Lognormal",LOGINV(E46,LN(Supuestos!$D$8)-LN(1+Supuestos!$E$8^2/Supuestos!$D$8^2)/2,SQRT(LN(1+Supuestos!$E$8^2/Supuestos!$D$8^2))),Supuestos!$D$8))))))</f>
        <v/>
      </c>
      <c r="M46" s="32">
        <f>MIN(IF(Supuestos!$H$9="",1E+99,Supuestos!$H$9),MAX(IF(Supuestos!$G$9="",-1E+99,Supuestos!$G$9),IF(Supuestos!$C$9="Normal",NORMINV(F46,Supuestos!$D$9,Supuestos!$E$9),IF(Supuestos!$C$9="Triangular",IF(F46&lt;(Supuestos!$E$9-Supuestos!$D$9)/(Supuestos!$F$9-Supuestos!$D$9),Supuestos!$D$9+SQRT(F46*(Supuestos!$F$9-Supuestos!$D$9)*(Supuestos!$E$9-Supuestos!$D$9)),Supuestos!$F$9-SQRT((1-F46)*(Supuestos!$F$9-Supuestos!$D$9)*(Supuestos!$F$9-Supuestos!$E$9))),IF(Supuestos!$C$9="Uniforme",Supuestos!$D$9+F46*(Supuestos!$E$9-Supuestos!$D$9),IF(Supuestos!$C$9="Lognormal",LOGINV(F46,LN(Supuestos!$D$9)-LN(1+Supuestos!$E$9^2/Supuestos!$D$9^2)/2,SQRT(LN(1+Supuestos!$E$9^2/Supuestos!$D$9^2))),Supuestos!$D$9))))))</f>
        <v/>
      </c>
      <c r="N46" s="32">
        <f>MIN(IF(Supuestos!$H$10="",1E+99,Supuestos!$H$10),MAX(IF(Supuestos!$G$10="",-1E+99,Supuestos!$G$10),IF(Supuestos!$C$10="Normal",NORMINV(G46,Supuestos!$D$10,Supuestos!$E$10),IF(Supuestos!$C$10="Triangular",IF(G46&lt;(Supuestos!$E$10-Supuestos!$D$10)/(Supuestos!$F$10-Supuestos!$D$10),Supuestos!$D$10+SQRT(G46*(Supuestos!$F$10-Supuestos!$D$10)*(Supuestos!$E$10-Supuestos!$D$10)),Supuestos!$F$10-SQRT((1-G46)*(Supuestos!$F$10-Supuestos!$D$10)*(Supuestos!$F$10-Supuestos!$E$10))),IF(Supuestos!$C$10="Uniforme",Supuestos!$D$10+G46*(Supuestos!$E$10-Supuestos!$D$10),IF(Supuestos!$C$10="Lognormal",LOGINV(G46,LN(Supuestos!$D$10)-LN(1+Supuestos!$E$10^2/Supuestos!$D$10^2)/2,SQRT(LN(1+Supuestos!$E$10^2/Supuestos!$D$10^2))),Supuestos!$D$10))))))</f>
        <v/>
      </c>
      <c r="O46" s="31">
        <f>MIN(IF(Supuestos!$H$11="",1E+99,Supuestos!$H$11),MAX(IF(Supuestos!$G$11="",-1E+99,Supuestos!$G$11),IF(Supuestos!$C$11="Normal",NORMINV(H46,Supuestos!$D$11,Supuestos!$E$11),IF(Supuestos!$C$11="Triangular",IF(H46&lt;(Supuestos!$E$11-Supuestos!$D$11)/(Supuestos!$F$11-Supuestos!$D$11),Supuestos!$D$11+SQRT(H46*(Supuestos!$F$11-Supuestos!$D$11)*(Supuestos!$E$11-Supuestos!$D$11)),Supuestos!$F$11-SQRT((1-H46)*(Supuestos!$F$11-Supuestos!$D$11)*(Supuestos!$F$11-Supuestos!$E$11))),IF(Supuestos!$C$11="Uniforme",Supuestos!$D$11+H46*(Supuestos!$E$11-Supuestos!$D$11),IF(Supuestos!$C$11="Lognormal",LOGINV(H46,LN(Supuestos!$D$11)-LN(1+Supuestos!$E$11^2/Supuestos!$D$11^2)/2,SQRT(LN(1+Supuestos!$E$11^2/Supuestos!$D$11^2))),Supuestos!$D$11))))))</f>
        <v/>
      </c>
      <c r="P46" s="33">
        <f>-I46</f>
        <v/>
      </c>
      <c r="Q46" s="33">
        <f>$J46*(1+$K46)^(1-1)*(1-$L46)*(1-$M46)</f>
        <v/>
      </c>
      <c r="R46" s="33">
        <f>$J46*(1+$K46)^(2-1)*(1-$L46)*(1-$M46)</f>
        <v/>
      </c>
      <c r="S46" s="33">
        <f>$J46*(1+$K46)^(3-1)*(1-$L46)*(1-$M46)</f>
        <v/>
      </c>
      <c r="T46" s="33">
        <f>$J46*(1+$K46)^(4-1)*(1-$L46)*(1-$M46)</f>
        <v/>
      </c>
      <c r="U46" s="33">
        <f>$J46*(1+$K46)^(5-1)*(1-$L46)*(1-$M46)+$O46</f>
        <v/>
      </c>
      <c r="V46" s="33">
        <f>P46+NPV($N46,Q46:U46)</f>
        <v/>
      </c>
      <c r="W46" s="32">
        <f>IFERROR(IRR(P46:U46,0.1),"")</f>
        <v/>
      </c>
    </row>
    <row r="47">
      <c r="A47" s="14" t="n">
        <v>43</v>
      </c>
      <c r="B47" s="30">
        <f>RAND()*(1-2E-6)+1E-6</f>
        <v/>
      </c>
      <c r="C47" s="30">
        <f>RAND()*(1-2E-6)+1E-6</f>
        <v/>
      </c>
      <c r="D47" s="30">
        <f>RAND()*(1-2E-6)+1E-6</f>
        <v/>
      </c>
      <c r="E47" s="30">
        <f>RAND()*(1-2E-6)+1E-6</f>
        <v/>
      </c>
      <c r="F47" s="30">
        <f>RAND()*(1-2E-6)+1E-6</f>
        <v/>
      </c>
      <c r="G47" s="30">
        <f>RAND()*(1-2E-6)+1E-6</f>
        <v/>
      </c>
      <c r="H47" s="30">
        <f>RAND()*(1-2E-6)+1E-6</f>
        <v/>
      </c>
      <c r="I47" s="31">
        <f>MIN(IF(Supuestos!$H$5="",1E+99,Supuestos!$H$5),MAX(IF(Supuestos!$G$5="",-1E+99,Supuestos!$G$5),IF(Supuestos!$C$5="Normal",NORMINV(B47,Supuestos!$D$5,Supuestos!$E$5),IF(Supuestos!$C$5="Triangular",IF(B47&lt;(Supuestos!$E$5-Supuestos!$D$5)/(Supuestos!$F$5-Supuestos!$D$5),Supuestos!$D$5+SQRT(B47*(Supuestos!$F$5-Supuestos!$D$5)*(Supuestos!$E$5-Supuestos!$D$5)),Supuestos!$F$5-SQRT((1-B47)*(Supuestos!$F$5-Supuestos!$D$5)*(Supuestos!$F$5-Supuestos!$E$5))),IF(Supuestos!$C$5="Uniforme",Supuestos!$D$5+B47*(Supuestos!$E$5-Supuestos!$D$5),IF(Supuestos!$C$5="Lognormal",LOGINV(B47,LN(Supuestos!$D$5)-LN(1+Supuestos!$E$5^2/Supuestos!$D$5^2)/2,SQRT(LN(1+Supuestos!$E$5^2/Supuestos!$D$5^2))),Supuestos!$D$5))))))</f>
        <v/>
      </c>
      <c r="J47" s="31">
        <f>MIN(IF(Supuestos!$H$6="",1E+99,Supuestos!$H$6),MAX(IF(Supuestos!$G$6="",-1E+99,Supuestos!$G$6),IF(Supuestos!$C$6="Normal",NORMINV(C47,Supuestos!$D$6,Supuestos!$E$6),IF(Supuestos!$C$6="Triangular",IF(C47&lt;(Supuestos!$E$6-Supuestos!$D$6)/(Supuestos!$F$6-Supuestos!$D$6),Supuestos!$D$6+SQRT(C47*(Supuestos!$F$6-Supuestos!$D$6)*(Supuestos!$E$6-Supuestos!$D$6)),Supuestos!$F$6-SQRT((1-C47)*(Supuestos!$F$6-Supuestos!$D$6)*(Supuestos!$F$6-Supuestos!$E$6))),IF(Supuestos!$C$6="Uniforme",Supuestos!$D$6+C47*(Supuestos!$E$6-Supuestos!$D$6),IF(Supuestos!$C$6="Lognormal",LOGINV(C47,LN(Supuestos!$D$6)-LN(1+Supuestos!$E$6^2/Supuestos!$D$6^2)/2,SQRT(LN(1+Supuestos!$E$6^2/Supuestos!$D$6^2))),Supuestos!$D$6))))))</f>
        <v/>
      </c>
      <c r="K47" s="32">
        <f>MIN(IF(Supuestos!$H$7="",1E+99,Supuestos!$H$7),MAX(IF(Supuestos!$G$7="",-1E+99,Supuestos!$G$7),IF(Supuestos!$C$7="Normal",NORMINV(D47,Supuestos!$D$7,Supuestos!$E$7),IF(Supuestos!$C$7="Triangular",IF(D47&lt;(Supuestos!$E$7-Supuestos!$D$7)/(Supuestos!$F$7-Supuestos!$D$7),Supuestos!$D$7+SQRT(D47*(Supuestos!$F$7-Supuestos!$D$7)*(Supuestos!$E$7-Supuestos!$D$7)),Supuestos!$F$7-SQRT((1-D47)*(Supuestos!$F$7-Supuestos!$D$7)*(Supuestos!$F$7-Supuestos!$E$7))),IF(Supuestos!$C$7="Uniforme",Supuestos!$D$7+D47*(Supuestos!$E$7-Supuestos!$D$7),IF(Supuestos!$C$7="Lognormal",LOGINV(D47,LN(Supuestos!$D$7)-LN(1+Supuestos!$E$7^2/Supuestos!$D$7^2)/2,SQRT(LN(1+Supuestos!$E$7^2/Supuestos!$D$7^2))),Supuestos!$D$7))))))</f>
        <v/>
      </c>
      <c r="L47" s="32">
        <f>MIN(IF(Supuestos!$H$8="",1E+99,Supuestos!$H$8),MAX(IF(Supuestos!$G$8="",-1E+99,Supuestos!$G$8),IF(Supuestos!$C$8="Normal",NORMINV(E47,Supuestos!$D$8,Supuestos!$E$8),IF(Supuestos!$C$8="Triangular",IF(E47&lt;(Supuestos!$E$8-Supuestos!$D$8)/(Supuestos!$F$8-Supuestos!$D$8),Supuestos!$D$8+SQRT(E47*(Supuestos!$F$8-Supuestos!$D$8)*(Supuestos!$E$8-Supuestos!$D$8)),Supuestos!$F$8-SQRT((1-E47)*(Supuestos!$F$8-Supuestos!$D$8)*(Supuestos!$F$8-Supuestos!$E$8))),IF(Supuestos!$C$8="Uniforme",Supuestos!$D$8+E47*(Supuestos!$E$8-Supuestos!$D$8),IF(Supuestos!$C$8="Lognormal",LOGINV(E47,LN(Supuestos!$D$8)-LN(1+Supuestos!$E$8^2/Supuestos!$D$8^2)/2,SQRT(LN(1+Supuestos!$E$8^2/Supuestos!$D$8^2))),Supuestos!$D$8))))))</f>
        <v/>
      </c>
      <c r="M47" s="32">
        <f>MIN(IF(Supuestos!$H$9="",1E+99,Supuestos!$H$9),MAX(IF(Supuestos!$G$9="",-1E+99,Supuestos!$G$9),IF(Supuestos!$C$9="Normal",NORMINV(F47,Supuestos!$D$9,Supuestos!$E$9),IF(Supuestos!$C$9="Triangular",IF(F47&lt;(Supuestos!$E$9-Supuestos!$D$9)/(Supuestos!$F$9-Supuestos!$D$9),Supuestos!$D$9+SQRT(F47*(Supuestos!$F$9-Supuestos!$D$9)*(Supuestos!$E$9-Supuestos!$D$9)),Supuestos!$F$9-SQRT((1-F47)*(Supuestos!$F$9-Supuestos!$D$9)*(Supuestos!$F$9-Supuestos!$E$9))),IF(Supuestos!$C$9="Uniforme",Supuestos!$D$9+F47*(Supuestos!$E$9-Supuestos!$D$9),IF(Supuestos!$C$9="Lognormal",LOGINV(F47,LN(Supuestos!$D$9)-LN(1+Supuestos!$E$9^2/Supuestos!$D$9^2)/2,SQRT(LN(1+Supuestos!$E$9^2/Supuestos!$D$9^2))),Supuestos!$D$9))))))</f>
        <v/>
      </c>
      <c r="N47" s="32">
        <f>MIN(IF(Supuestos!$H$10="",1E+99,Supuestos!$H$10),MAX(IF(Supuestos!$G$10="",-1E+99,Supuestos!$G$10),IF(Supuestos!$C$10="Normal",NORMINV(G47,Supuestos!$D$10,Supuestos!$E$10),IF(Supuestos!$C$10="Triangular",IF(G47&lt;(Supuestos!$E$10-Supuestos!$D$10)/(Supuestos!$F$10-Supuestos!$D$10),Supuestos!$D$10+SQRT(G47*(Supuestos!$F$10-Supuestos!$D$10)*(Supuestos!$E$10-Supuestos!$D$10)),Supuestos!$F$10-SQRT((1-G47)*(Supuestos!$F$10-Supuestos!$D$10)*(Supuestos!$F$10-Supuestos!$E$10))),IF(Supuestos!$C$10="Uniforme",Supuestos!$D$10+G47*(Supuestos!$E$10-Supuestos!$D$10),IF(Supuestos!$C$10="Lognormal",LOGINV(G47,LN(Supuestos!$D$10)-LN(1+Supuestos!$E$10^2/Supuestos!$D$10^2)/2,SQRT(LN(1+Supuestos!$E$10^2/Supuestos!$D$10^2))),Supuestos!$D$10))))))</f>
        <v/>
      </c>
      <c r="O47" s="31">
        <f>MIN(IF(Supuestos!$H$11="",1E+99,Supuestos!$H$11),MAX(IF(Supuestos!$G$11="",-1E+99,Supuestos!$G$11),IF(Supuestos!$C$11="Normal",NORMINV(H47,Supuestos!$D$11,Supuestos!$E$11),IF(Supuestos!$C$11="Triangular",IF(H47&lt;(Supuestos!$E$11-Supuestos!$D$11)/(Supuestos!$F$11-Supuestos!$D$11),Supuestos!$D$11+SQRT(H47*(Supuestos!$F$11-Supuestos!$D$11)*(Supuestos!$E$11-Supuestos!$D$11)),Supuestos!$F$11-SQRT((1-H47)*(Supuestos!$F$11-Supuestos!$D$11)*(Supuestos!$F$11-Supuestos!$E$11))),IF(Supuestos!$C$11="Uniforme",Supuestos!$D$11+H47*(Supuestos!$E$11-Supuestos!$D$11),IF(Supuestos!$C$11="Lognormal",LOGINV(H47,LN(Supuestos!$D$11)-LN(1+Supuestos!$E$11^2/Supuestos!$D$11^2)/2,SQRT(LN(1+Supuestos!$E$11^2/Supuestos!$D$11^2))),Supuestos!$D$11))))))</f>
        <v/>
      </c>
      <c r="P47" s="33">
        <f>-I47</f>
        <v/>
      </c>
      <c r="Q47" s="33">
        <f>$J47*(1+$K47)^(1-1)*(1-$L47)*(1-$M47)</f>
        <v/>
      </c>
      <c r="R47" s="33">
        <f>$J47*(1+$K47)^(2-1)*(1-$L47)*(1-$M47)</f>
        <v/>
      </c>
      <c r="S47" s="33">
        <f>$J47*(1+$K47)^(3-1)*(1-$L47)*(1-$M47)</f>
        <v/>
      </c>
      <c r="T47" s="33">
        <f>$J47*(1+$K47)^(4-1)*(1-$L47)*(1-$M47)</f>
        <v/>
      </c>
      <c r="U47" s="33">
        <f>$J47*(1+$K47)^(5-1)*(1-$L47)*(1-$M47)+$O47</f>
        <v/>
      </c>
      <c r="V47" s="33">
        <f>P47+NPV($N47,Q47:U47)</f>
        <v/>
      </c>
      <c r="W47" s="32">
        <f>IFERROR(IRR(P47:U47,0.1),"")</f>
        <v/>
      </c>
    </row>
    <row r="48">
      <c r="A48" s="14" t="n">
        <v>44</v>
      </c>
      <c r="B48" s="30">
        <f>RAND()*(1-2E-6)+1E-6</f>
        <v/>
      </c>
      <c r="C48" s="30">
        <f>RAND()*(1-2E-6)+1E-6</f>
        <v/>
      </c>
      <c r="D48" s="30">
        <f>RAND()*(1-2E-6)+1E-6</f>
        <v/>
      </c>
      <c r="E48" s="30">
        <f>RAND()*(1-2E-6)+1E-6</f>
        <v/>
      </c>
      <c r="F48" s="30">
        <f>RAND()*(1-2E-6)+1E-6</f>
        <v/>
      </c>
      <c r="G48" s="30">
        <f>RAND()*(1-2E-6)+1E-6</f>
        <v/>
      </c>
      <c r="H48" s="30">
        <f>RAND()*(1-2E-6)+1E-6</f>
        <v/>
      </c>
      <c r="I48" s="31">
        <f>MIN(IF(Supuestos!$H$5="",1E+99,Supuestos!$H$5),MAX(IF(Supuestos!$G$5="",-1E+99,Supuestos!$G$5),IF(Supuestos!$C$5="Normal",NORMINV(B48,Supuestos!$D$5,Supuestos!$E$5),IF(Supuestos!$C$5="Triangular",IF(B48&lt;(Supuestos!$E$5-Supuestos!$D$5)/(Supuestos!$F$5-Supuestos!$D$5),Supuestos!$D$5+SQRT(B48*(Supuestos!$F$5-Supuestos!$D$5)*(Supuestos!$E$5-Supuestos!$D$5)),Supuestos!$F$5-SQRT((1-B48)*(Supuestos!$F$5-Supuestos!$D$5)*(Supuestos!$F$5-Supuestos!$E$5))),IF(Supuestos!$C$5="Uniforme",Supuestos!$D$5+B48*(Supuestos!$E$5-Supuestos!$D$5),IF(Supuestos!$C$5="Lognormal",LOGINV(B48,LN(Supuestos!$D$5)-LN(1+Supuestos!$E$5^2/Supuestos!$D$5^2)/2,SQRT(LN(1+Supuestos!$E$5^2/Supuestos!$D$5^2))),Supuestos!$D$5))))))</f>
        <v/>
      </c>
      <c r="J48" s="31">
        <f>MIN(IF(Supuestos!$H$6="",1E+99,Supuestos!$H$6),MAX(IF(Supuestos!$G$6="",-1E+99,Supuestos!$G$6),IF(Supuestos!$C$6="Normal",NORMINV(C48,Supuestos!$D$6,Supuestos!$E$6),IF(Supuestos!$C$6="Triangular",IF(C48&lt;(Supuestos!$E$6-Supuestos!$D$6)/(Supuestos!$F$6-Supuestos!$D$6),Supuestos!$D$6+SQRT(C48*(Supuestos!$F$6-Supuestos!$D$6)*(Supuestos!$E$6-Supuestos!$D$6)),Supuestos!$F$6-SQRT((1-C48)*(Supuestos!$F$6-Supuestos!$D$6)*(Supuestos!$F$6-Supuestos!$E$6))),IF(Supuestos!$C$6="Uniforme",Supuestos!$D$6+C48*(Supuestos!$E$6-Supuestos!$D$6),IF(Supuestos!$C$6="Lognormal",LOGINV(C48,LN(Supuestos!$D$6)-LN(1+Supuestos!$E$6^2/Supuestos!$D$6^2)/2,SQRT(LN(1+Supuestos!$E$6^2/Supuestos!$D$6^2))),Supuestos!$D$6))))))</f>
        <v/>
      </c>
      <c r="K48" s="32">
        <f>MIN(IF(Supuestos!$H$7="",1E+99,Supuestos!$H$7),MAX(IF(Supuestos!$G$7="",-1E+99,Supuestos!$G$7),IF(Supuestos!$C$7="Normal",NORMINV(D48,Supuestos!$D$7,Supuestos!$E$7),IF(Supuestos!$C$7="Triangular",IF(D48&lt;(Supuestos!$E$7-Supuestos!$D$7)/(Supuestos!$F$7-Supuestos!$D$7),Supuestos!$D$7+SQRT(D48*(Supuestos!$F$7-Supuestos!$D$7)*(Supuestos!$E$7-Supuestos!$D$7)),Supuestos!$F$7-SQRT((1-D48)*(Supuestos!$F$7-Supuestos!$D$7)*(Supuestos!$F$7-Supuestos!$E$7))),IF(Supuestos!$C$7="Uniforme",Supuestos!$D$7+D48*(Supuestos!$E$7-Supuestos!$D$7),IF(Supuestos!$C$7="Lognormal",LOGINV(D48,LN(Supuestos!$D$7)-LN(1+Supuestos!$E$7^2/Supuestos!$D$7^2)/2,SQRT(LN(1+Supuestos!$E$7^2/Supuestos!$D$7^2))),Supuestos!$D$7))))))</f>
        <v/>
      </c>
      <c r="L48" s="32">
        <f>MIN(IF(Supuestos!$H$8="",1E+99,Supuestos!$H$8),MAX(IF(Supuestos!$G$8="",-1E+99,Supuestos!$G$8),IF(Supuestos!$C$8="Normal",NORMINV(E48,Supuestos!$D$8,Supuestos!$E$8),IF(Supuestos!$C$8="Triangular",IF(E48&lt;(Supuestos!$E$8-Supuestos!$D$8)/(Supuestos!$F$8-Supuestos!$D$8),Supuestos!$D$8+SQRT(E48*(Supuestos!$F$8-Supuestos!$D$8)*(Supuestos!$E$8-Supuestos!$D$8)),Supuestos!$F$8-SQRT((1-E48)*(Supuestos!$F$8-Supuestos!$D$8)*(Supuestos!$F$8-Supuestos!$E$8))),IF(Supuestos!$C$8="Uniforme",Supuestos!$D$8+E48*(Supuestos!$E$8-Supuestos!$D$8),IF(Supuestos!$C$8="Lognormal",LOGINV(E48,LN(Supuestos!$D$8)-LN(1+Supuestos!$E$8^2/Supuestos!$D$8^2)/2,SQRT(LN(1+Supuestos!$E$8^2/Supuestos!$D$8^2))),Supuestos!$D$8))))))</f>
        <v/>
      </c>
      <c r="M48" s="32">
        <f>MIN(IF(Supuestos!$H$9="",1E+99,Supuestos!$H$9),MAX(IF(Supuestos!$G$9="",-1E+99,Supuestos!$G$9),IF(Supuestos!$C$9="Normal",NORMINV(F48,Supuestos!$D$9,Supuestos!$E$9),IF(Supuestos!$C$9="Triangular",IF(F48&lt;(Supuestos!$E$9-Supuestos!$D$9)/(Supuestos!$F$9-Supuestos!$D$9),Supuestos!$D$9+SQRT(F48*(Supuestos!$F$9-Supuestos!$D$9)*(Supuestos!$E$9-Supuestos!$D$9)),Supuestos!$F$9-SQRT((1-F48)*(Supuestos!$F$9-Supuestos!$D$9)*(Supuestos!$F$9-Supuestos!$E$9))),IF(Supuestos!$C$9="Uniforme",Supuestos!$D$9+F48*(Supuestos!$E$9-Supuestos!$D$9),IF(Supuestos!$C$9="Lognormal",LOGINV(F48,LN(Supuestos!$D$9)-LN(1+Supuestos!$E$9^2/Supuestos!$D$9^2)/2,SQRT(LN(1+Supuestos!$E$9^2/Supuestos!$D$9^2))),Supuestos!$D$9))))))</f>
        <v/>
      </c>
      <c r="N48" s="32">
        <f>MIN(IF(Supuestos!$H$10="",1E+99,Supuestos!$H$10),MAX(IF(Supuestos!$G$10="",-1E+99,Supuestos!$G$10),IF(Supuestos!$C$10="Normal",NORMINV(G48,Supuestos!$D$10,Supuestos!$E$10),IF(Supuestos!$C$10="Triangular",IF(G48&lt;(Supuestos!$E$10-Supuestos!$D$10)/(Supuestos!$F$10-Supuestos!$D$10),Supuestos!$D$10+SQRT(G48*(Supuestos!$F$10-Supuestos!$D$10)*(Supuestos!$E$10-Supuestos!$D$10)),Supuestos!$F$10-SQRT((1-G48)*(Supuestos!$F$10-Supuestos!$D$10)*(Supuestos!$F$10-Supuestos!$E$10))),IF(Supuestos!$C$10="Uniforme",Supuestos!$D$10+G48*(Supuestos!$E$10-Supuestos!$D$10),IF(Supuestos!$C$10="Lognormal",LOGINV(G48,LN(Supuestos!$D$10)-LN(1+Supuestos!$E$10^2/Supuestos!$D$10^2)/2,SQRT(LN(1+Supuestos!$E$10^2/Supuestos!$D$10^2))),Supuestos!$D$10))))))</f>
        <v/>
      </c>
      <c r="O48" s="31">
        <f>MIN(IF(Supuestos!$H$11="",1E+99,Supuestos!$H$11),MAX(IF(Supuestos!$G$11="",-1E+99,Supuestos!$G$11),IF(Supuestos!$C$11="Normal",NORMINV(H48,Supuestos!$D$11,Supuestos!$E$11),IF(Supuestos!$C$11="Triangular",IF(H48&lt;(Supuestos!$E$11-Supuestos!$D$11)/(Supuestos!$F$11-Supuestos!$D$11),Supuestos!$D$11+SQRT(H48*(Supuestos!$F$11-Supuestos!$D$11)*(Supuestos!$E$11-Supuestos!$D$11)),Supuestos!$F$11-SQRT((1-H48)*(Supuestos!$F$11-Supuestos!$D$11)*(Supuestos!$F$11-Supuestos!$E$11))),IF(Supuestos!$C$11="Uniforme",Supuestos!$D$11+H48*(Supuestos!$E$11-Supuestos!$D$11),IF(Supuestos!$C$11="Lognormal",LOGINV(H48,LN(Supuestos!$D$11)-LN(1+Supuestos!$E$11^2/Supuestos!$D$11^2)/2,SQRT(LN(1+Supuestos!$E$11^2/Supuestos!$D$11^2))),Supuestos!$D$11))))))</f>
        <v/>
      </c>
      <c r="P48" s="33">
        <f>-I48</f>
        <v/>
      </c>
      <c r="Q48" s="33">
        <f>$J48*(1+$K48)^(1-1)*(1-$L48)*(1-$M48)</f>
        <v/>
      </c>
      <c r="R48" s="33">
        <f>$J48*(1+$K48)^(2-1)*(1-$L48)*(1-$M48)</f>
        <v/>
      </c>
      <c r="S48" s="33">
        <f>$J48*(1+$K48)^(3-1)*(1-$L48)*(1-$M48)</f>
        <v/>
      </c>
      <c r="T48" s="33">
        <f>$J48*(1+$K48)^(4-1)*(1-$L48)*(1-$M48)</f>
        <v/>
      </c>
      <c r="U48" s="33">
        <f>$J48*(1+$K48)^(5-1)*(1-$L48)*(1-$M48)+$O48</f>
        <v/>
      </c>
      <c r="V48" s="33">
        <f>P48+NPV($N48,Q48:U48)</f>
        <v/>
      </c>
      <c r="W48" s="32">
        <f>IFERROR(IRR(P48:U48,0.1),"")</f>
        <v/>
      </c>
    </row>
    <row r="49">
      <c r="A49" s="14" t="n">
        <v>45</v>
      </c>
      <c r="B49" s="30">
        <f>RAND()*(1-2E-6)+1E-6</f>
        <v/>
      </c>
      <c r="C49" s="30">
        <f>RAND()*(1-2E-6)+1E-6</f>
        <v/>
      </c>
      <c r="D49" s="30">
        <f>RAND()*(1-2E-6)+1E-6</f>
        <v/>
      </c>
      <c r="E49" s="30">
        <f>RAND()*(1-2E-6)+1E-6</f>
        <v/>
      </c>
      <c r="F49" s="30">
        <f>RAND()*(1-2E-6)+1E-6</f>
        <v/>
      </c>
      <c r="G49" s="30">
        <f>RAND()*(1-2E-6)+1E-6</f>
        <v/>
      </c>
      <c r="H49" s="30">
        <f>RAND()*(1-2E-6)+1E-6</f>
        <v/>
      </c>
      <c r="I49" s="31">
        <f>MIN(IF(Supuestos!$H$5="",1E+99,Supuestos!$H$5),MAX(IF(Supuestos!$G$5="",-1E+99,Supuestos!$G$5),IF(Supuestos!$C$5="Normal",NORMINV(B49,Supuestos!$D$5,Supuestos!$E$5),IF(Supuestos!$C$5="Triangular",IF(B49&lt;(Supuestos!$E$5-Supuestos!$D$5)/(Supuestos!$F$5-Supuestos!$D$5),Supuestos!$D$5+SQRT(B49*(Supuestos!$F$5-Supuestos!$D$5)*(Supuestos!$E$5-Supuestos!$D$5)),Supuestos!$F$5-SQRT((1-B49)*(Supuestos!$F$5-Supuestos!$D$5)*(Supuestos!$F$5-Supuestos!$E$5))),IF(Supuestos!$C$5="Uniforme",Supuestos!$D$5+B49*(Supuestos!$E$5-Supuestos!$D$5),IF(Supuestos!$C$5="Lognormal",LOGINV(B49,LN(Supuestos!$D$5)-LN(1+Supuestos!$E$5^2/Supuestos!$D$5^2)/2,SQRT(LN(1+Supuestos!$E$5^2/Supuestos!$D$5^2))),Supuestos!$D$5))))))</f>
        <v/>
      </c>
      <c r="J49" s="31">
        <f>MIN(IF(Supuestos!$H$6="",1E+99,Supuestos!$H$6),MAX(IF(Supuestos!$G$6="",-1E+99,Supuestos!$G$6),IF(Supuestos!$C$6="Normal",NORMINV(C49,Supuestos!$D$6,Supuestos!$E$6),IF(Supuestos!$C$6="Triangular",IF(C49&lt;(Supuestos!$E$6-Supuestos!$D$6)/(Supuestos!$F$6-Supuestos!$D$6),Supuestos!$D$6+SQRT(C49*(Supuestos!$F$6-Supuestos!$D$6)*(Supuestos!$E$6-Supuestos!$D$6)),Supuestos!$F$6-SQRT((1-C49)*(Supuestos!$F$6-Supuestos!$D$6)*(Supuestos!$F$6-Supuestos!$E$6))),IF(Supuestos!$C$6="Uniforme",Supuestos!$D$6+C49*(Supuestos!$E$6-Supuestos!$D$6),IF(Supuestos!$C$6="Lognormal",LOGINV(C49,LN(Supuestos!$D$6)-LN(1+Supuestos!$E$6^2/Supuestos!$D$6^2)/2,SQRT(LN(1+Supuestos!$E$6^2/Supuestos!$D$6^2))),Supuestos!$D$6))))))</f>
        <v/>
      </c>
      <c r="K49" s="32">
        <f>MIN(IF(Supuestos!$H$7="",1E+99,Supuestos!$H$7),MAX(IF(Supuestos!$G$7="",-1E+99,Supuestos!$G$7),IF(Supuestos!$C$7="Normal",NORMINV(D49,Supuestos!$D$7,Supuestos!$E$7),IF(Supuestos!$C$7="Triangular",IF(D49&lt;(Supuestos!$E$7-Supuestos!$D$7)/(Supuestos!$F$7-Supuestos!$D$7),Supuestos!$D$7+SQRT(D49*(Supuestos!$F$7-Supuestos!$D$7)*(Supuestos!$E$7-Supuestos!$D$7)),Supuestos!$F$7-SQRT((1-D49)*(Supuestos!$F$7-Supuestos!$D$7)*(Supuestos!$F$7-Supuestos!$E$7))),IF(Supuestos!$C$7="Uniforme",Supuestos!$D$7+D49*(Supuestos!$E$7-Supuestos!$D$7),IF(Supuestos!$C$7="Lognormal",LOGINV(D49,LN(Supuestos!$D$7)-LN(1+Supuestos!$E$7^2/Supuestos!$D$7^2)/2,SQRT(LN(1+Supuestos!$E$7^2/Supuestos!$D$7^2))),Supuestos!$D$7))))))</f>
        <v/>
      </c>
      <c r="L49" s="32">
        <f>MIN(IF(Supuestos!$H$8="",1E+99,Supuestos!$H$8),MAX(IF(Supuestos!$G$8="",-1E+99,Supuestos!$G$8),IF(Supuestos!$C$8="Normal",NORMINV(E49,Supuestos!$D$8,Supuestos!$E$8),IF(Supuestos!$C$8="Triangular",IF(E49&lt;(Supuestos!$E$8-Supuestos!$D$8)/(Supuestos!$F$8-Supuestos!$D$8),Supuestos!$D$8+SQRT(E49*(Supuestos!$F$8-Supuestos!$D$8)*(Supuestos!$E$8-Supuestos!$D$8)),Supuestos!$F$8-SQRT((1-E49)*(Supuestos!$F$8-Supuestos!$D$8)*(Supuestos!$F$8-Supuestos!$E$8))),IF(Supuestos!$C$8="Uniforme",Supuestos!$D$8+E49*(Supuestos!$E$8-Supuestos!$D$8),IF(Supuestos!$C$8="Lognormal",LOGINV(E49,LN(Supuestos!$D$8)-LN(1+Supuestos!$E$8^2/Supuestos!$D$8^2)/2,SQRT(LN(1+Supuestos!$E$8^2/Supuestos!$D$8^2))),Supuestos!$D$8))))))</f>
        <v/>
      </c>
      <c r="M49" s="32">
        <f>MIN(IF(Supuestos!$H$9="",1E+99,Supuestos!$H$9),MAX(IF(Supuestos!$G$9="",-1E+99,Supuestos!$G$9),IF(Supuestos!$C$9="Normal",NORMINV(F49,Supuestos!$D$9,Supuestos!$E$9),IF(Supuestos!$C$9="Triangular",IF(F49&lt;(Supuestos!$E$9-Supuestos!$D$9)/(Supuestos!$F$9-Supuestos!$D$9),Supuestos!$D$9+SQRT(F49*(Supuestos!$F$9-Supuestos!$D$9)*(Supuestos!$E$9-Supuestos!$D$9)),Supuestos!$F$9-SQRT((1-F49)*(Supuestos!$F$9-Supuestos!$D$9)*(Supuestos!$F$9-Supuestos!$E$9))),IF(Supuestos!$C$9="Uniforme",Supuestos!$D$9+F49*(Supuestos!$E$9-Supuestos!$D$9),IF(Supuestos!$C$9="Lognormal",LOGINV(F49,LN(Supuestos!$D$9)-LN(1+Supuestos!$E$9^2/Supuestos!$D$9^2)/2,SQRT(LN(1+Supuestos!$E$9^2/Supuestos!$D$9^2))),Supuestos!$D$9))))))</f>
        <v/>
      </c>
      <c r="N49" s="32">
        <f>MIN(IF(Supuestos!$H$10="",1E+99,Supuestos!$H$10),MAX(IF(Supuestos!$G$10="",-1E+99,Supuestos!$G$10),IF(Supuestos!$C$10="Normal",NORMINV(G49,Supuestos!$D$10,Supuestos!$E$10),IF(Supuestos!$C$10="Triangular",IF(G49&lt;(Supuestos!$E$10-Supuestos!$D$10)/(Supuestos!$F$10-Supuestos!$D$10),Supuestos!$D$10+SQRT(G49*(Supuestos!$F$10-Supuestos!$D$10)*(Supuestos!$E$10-Supuestos!$D$10)),Supuestos!$F$10-SQRT((1-G49)*(Supuestos!$F$10-Supuestos!$D$10)*(Supuestos!$F$10-Supuestos!$E$10))),IF(Supuestos!$C$10="Uniforme",Supuestos!$D$10+G49*(Supuestos!$E$10-Supuestos!$D$10),IF(Supuestos!$C$10="Lognormal",LOGINV(G49,LN(Supuestos!$D$10)-LN(1+Supuestos!$E$10^2/Supuestos!$D$10^2)/2,SQRT(LN(1+Supuestos!$E$10^2/Supuestos!$D$10^2))),Supuestos!$D$10))))))</f>
        <v/>
      </c>
      <c r="O49" s="31">
        <f>MIN(IF(Supuestos!$H$11="",1E+99,Supuestos!$H$11),MAX(IF(Supuestos!$G$11="",-1E+99,Supuestos!$G$11),IF(Supuestos!$C$11="Normal",NORMINV(H49,Supuestos!$D$11,Supuestos!$E$11),IF(Supuestos!$C$11="Triangular",IF(H49&lt;(Supuestos!$E$11-Supuestos!$D$11)/(Supuestos!$F$11-Supuestos!$D$11),Supuestos!$D$11+SQRT(H49*(Supuestos!$F$11-Supuestos!$D$11)*(Supuestos!$E$11-Supuestos!$D$11)),Supuestos!$F$11-SQRT((1-H49)*(Supuestos!$F$11-Supuestos!$D$11)*(Supuestos!$F$11-Supuestos!$E$11))),IF(Supuestos!$C$11="Uniforme",Supuestos!$D$11+H49*(Supuestos!$E$11-Supuestos!$D$11),IF(Supuestos!$C$11="Lognormal",LOGINV(H49,LN(Supuestos!$D$11)-LN(1+Supuestos!$E$11^2/Supuestos!$D$11^2)/2,SQRT(LN(1+Supuestos!$E$11^2/Supuestos!$D$11^2))),Supuestos!$D$11))))))</f>
        <v/>
      </c>
      <c r="P49" s="33">
        <f>-I49</f>
        <v/>
      </c>
      <c r="Q49" s="33">
        <f>$J49*(1+$K49)^(1-1)*(1-$L49)*(1-$M49)</f>
        <v/>
      </c>
      <c r="R49" s="33">
        <f>$J49*(1+$K49)^(2-1)*(1-$L49)*(1-$M49)</f>
        <v/>
      </c>
      <c r="S49" s="33">
        <f>$J49*(1+$K49)^(3-1)*(1-$L49)*(1-$M49)</f>
        <v/>
      </c>
      <c r="T49" s="33">
        <f>$J49*(1+$K49)^(4-1)*(1-$L49)*(1-$M49)</f>
        <v/>
      </c>
      <c r="U49" s="33">
        <f>$J49*(1+$K49)^(5-1)*(1-$L49)*(1-$M49)+$O49</f>
        <v/>
      </c>
      <c r="V49" s="33">
        <f>P49+NPV($N49,Q49:U49)</f>
        <v/>
      </c>
      <c r="W49" s="32">
        <f>IFERROR(IRR(P49:U49,0.1),"")</f>
        <v/>
      </c>
    </row>
    <row r="50">
      <c r="A50" s="14" t="n">
        <v>46</v>
      </c>
      <c r="B50" s="30">
        <f>RAND()*(1-2E-6)+1E-6</f>
        <v/>
      </c>
      <c r="C50" s="30">
        <f>RAND()*(1-2E-6)+1E-6</f>
        <v/>
      </c>
      <c r="D50" s="30">
        <f>RAND()*(1-2E-6)+1E-6</f>
        <v/>
      </c>
      <c r="E50" s="30">
        <f>RAND()*(1-2E-6)+1E-6</f>
        <v/>
      </c>
      <c r="F50" s="30">
        <f>RAND()*(1-2E-6)+1E-6</f>
        <v/>
      </c>
      <c r="G50" s="30">
        <f>RAND()*(1-2E-6)+1E-6</f>
        <v/>
      </c>
      <c r="H50" s="30">
        <f>RAND()*(1-2E-6)+1E-6</f>
        <v/>
      </c>
      <c r="I50" s="31">
        <f>MIN(IF(Supuestos!$H$5="",1E+99,Supuestos!$H$5),MAX(IF(Supuestos!$G$5="",-1E+99,Supuestos!$G$5),IF(Supuestos!$C$5="Normal",NORMINV(B50,Supuestos!$D$5,Supuestos!$E$5),IF(Supuestos!$C$5="Triangular",IF(B50&lt;(Supuestos!$E$5-Supuestos!$D$5)/(Supuestos!$F$5-Supuestos!$D$5),Supuestos!$D$5+SQRT(B50*(Supuestos!$F$5-Supuestos!$D$5)*(Supuestos!$E$5-Supuestos!$D$5)),Supuestos!$F$5-SQRT((1-B50)*(Supuestos!$F$5-Supuestos!$D$5)*(Supuestos!$F$5-Supuestos!$E$5))),IF(Supuestos!$C$5="Uniforme",Supuestos!$D$5+B50*(Supuestos!$E$5-Supuestos!$D$5),IF(Supuestos!$C$5="Lognormal",LOGINV(B50,LN(Supuestos!$D$5)-LN(1+Supuestos!$E$5^2/Supuestos!$D$5^2)/2,SQRT(LN(1+Supuestos!$E$5^2/Supuestos!$D$5^2))),Supuestos!$D$5))))))</f>
        <v/>
      </c>
      <c r="J50" s="31">
        <f>MIN(IF(Supuestos!$H$6="",1E+99,Supuestos!$H$6),MAX(IF(Supuestos!$G$6="",-1E+99,Supuestos!$G$6),IF(Supuestos!$C$6="Normal",NORMINV(C50,Supuestos!$D$6,Supuestos!$E$6),IF(Supuestos!$C$6="Triangular",IF(C50&lt;(Supuestos!$E$6-Supuestos!$D$6)/(Supuestos!$F$6-Supuestos!$D$6),Supuestos!$D$6+SQRT(C50*(Supuestos!$F$6-Supuestos!$D$6)*(Supuestos!$E$6-Supuestos!$D$6)),Supuestos!$F$6-SQRT((1-C50)*(Supuestos!$F$6-Supuestos!$D$6)*(Supuestos!$F$6-Supuestos!$E$6))),IF(Supuestos!$C$6="Uniforme",Supuestos!$D$6+C50*(Supuestos!$E$6-Supuestos!$D$6),IF(Supuestos!$C$6="Lognormal",LOGINV(C50,LN(Supuestos!$D$6)-LN(1+Supuestos!$E$6^2/Supuestos!$D$6^2)/2,SQRT(LN(1+Supuestos!$E$6^2/Supuestos!$D$6^2))),Supuestos!$D$6))))))</f>
        <v/>
      </c>
      <c r="K50" s="32">
        <f>MIN(IF(Supuestos!$H$7="",1E+99,Supuestos!$H$7),MAX(IF(Supuestos!$G$7="",-1E+99,Supuestos!$G$7),IF(Supuestos!$C$7="Normal",NORMINV(D50,Supuestos!$D$7,Supuestos!$E$7),IF(Supuestos!$C$7="Triangular",IF(D50&lt;(Supuestos!$E$7-Supuestos!$D$7)/(Supuestos!$F$7-Supuestos!$D$7),Supuestos!$D$7+SQRT(D50*(Supuestos!$F$7-Supuestos!$D$7)*(Supuestos!$E$7-Supuestos!$D$7)),Supuestos!$F$7-SQRT((1-D50)*(Supuestos!$F$7-Supuestos!$D$7)*(Supuestos!$F$7-Supuestos!$E$7))),IF(Supuestos!$C$7="Uniforme",Supuestos!$D$7+D50*(Supuestos!$E$7-Supuestos!$D$7),IF(Supuestos!$C$7="Lognormal",LOGINV(D50,LN(Supuestos!$D$7)-LN(1+Supuestos!$E$7^2/Supuestos!$D$7^2)/2,SQRT(LN(1+Supuestos!$E$7^2/Supuestos!$D$7^2))),Supuestos!$D$7))))))</f>
        <v/>
      </c>
      <c r="L50" s="32">
        <f>MIN(IF(Supuestos!$H$8="",1E+99,Supuestos!$H$8),MAX(IF(Supuestos!$G$8="",-1E+99,Supuestos!$G$8),IF(Supuestos!$C$8="Normal",NORMINV(E50,Supuestos!$D$8,Supuestos!$E$8),IF(Supuestos!$C$8="Triangular",IF(E50&lt;(Supuestos!$E$8-Supuestos!$D$8)/(Supuestos!$F$8-Supuestos!$D$8),Supuestos!$D$8+SQRT(E50*(Supuestos!$F$8-Supuestos!$D$8)*(Supuestos!$E$8-Supuestos!$D$8)),Supuestos!$F$8-SQRT((1-E50)*(Supuestos!$F$8-Supuestos!$D$8)*(Supuestos!$F$8-Supuestos!$E$8))),IF(Supuestos!$C$8="Uniforme",Supuestos!$D$8+E50*(Supuestos!$E$8-Supuestos!$D$8),IF(Supuestos!$C$8="Lognormal",LOGINV(E50,LN(Supuestos!$D$8)-LN(1+Supuestos!$E$8^2/Supuestos!$D$8^2)/2,SQRT(LN(1+Supuestos!$E$8^2/Supuestos!$D$8^2))),Supuestos!$D$8))))))</f>
        <v/>
      </c>
      <c r="M50" s="32">
        <f>MIN(IF(Supuestos!$H$9="",1E+99,Supuestos!$H$9),MAX(IF(Supuestos!$G$9="",-1E+99,Supuestos!$G$9),IF(Supuestos!$C$9="Normal",NORMINV(F50,Supuestos!$D$9,Supuestos!$E$9),IF(Supuestos!$C$9="Triangular",IF(F50&lt;(Supuestos!$E$9-Supuestos!$D$9)/(Supuestos!$F$9-Supuestos!$D$9),Supuestos!$D$9+SQRT(F50*(Supuestos!$F$9-Supuestos!$D$9)*(Supuestos!$E$9-Supuestos!$D$9)),Supuestos!$F$9-SQRT((1-F50)*(Supuestos!$F$9-Supuestos!$D$9)*(Supuestos!$F$9-Supuestos!$E$9))),IF(Supuestos!$C$9="Uniforme",Supuestos!$D$9+F50*(Supuestos!$E$9-Supuestos!$D$9),IF(Supuestos!$C$9="Lognormal",LOGINV(F50,LN(Supuestos!$D$9)-LN(1+Supuestos!$E$9^2/Supuestos!$D$9^2)/2,SQRT(LN(1+Supuestos!$E$9^2/Supuestos!$D$9^2))),Supuestos!$D$9))))))</f>
        <v/>
      </c>
      <c r="N50" s="32">
        <f>MIN(IF(Supuestos!$H$10="",1E+99,Supuestos!$H$10),MAX(IF(Supuestos!$G$10="",-1E+99,Supuestos!$G$10),IF(Supuestos!$C$10="Normal",NORMINV(G50,Supuestos!$D$10,Supuestos!$E$10),IF(Supuestos!$C$10="Triangular",IF(G50&lt;(Supuestos!$E$10-Supuestos!$D$10)/(Supuestos!$F$10-Supuestos!$D$10),Supuestos!$D$10+SQRT(G50*(Supuestos!$F$10-Supuestos!$D$10)*(Supuestos!$E$10-Supuestos!$D$10)),Supuestos!$F$10-SQRT((1-G50)*(Supuestos!$F$10-Supuestos!$D$10)*(Supuestos!$F$10-Supuestos!$E$10))),IF(Supuestos!$C$10="Uniforme",Supuestos!$D$10+G50*(Supuestos!$E$10-Supuestos!$D$10),IF(Supuestos!$C$10="Lognormal",LOGINV(G50,LN(Supuestos!$D$10)-LN(1+Supuestos!$E$10^2/Supuestos!$D$10^2)/2,SQRT(LN(1+Supuestos!$E$10^2/Supuestos!$D$10^2))),Supuestos!$D$10))))))</f>
        <v/>
      </c>
      <c r="O50" s="31">
        <f>MIN(IF(Supuestos!$H$11="",1E+99,Supuestos!$H$11),MAX(IF(Supuestos!$G$11="",-1E+99,Supuestos!$G$11),IF(Supuestos!$C$11="Normal",NORMINV(H50,Supuestos!$D$11,Supuestos!$E$11),IF(Supuestos!$C$11="Triangular",IF(H50&lt;(Supuestos!$E$11-Supuestos!$D$11)/(Supuestos!$F$11-Supuestos!$D$11),Supuestos!$D$11+SQRT(H50*(Supuestos!$F$11-Supuestos!$D$11)*(Supuestos!$E$11-Supuestos!$D$11)),Supuestos!$F$11-SQRT((1-H50)*(Supuestos!$F$11-Supuestos!$D$11)*(Supuestos!$F$11-Supuestos!$E$11))),IF(Supuestos!$C$11="Uniforme",Supuestos!$D$11+H50*(Supuestos!$E$11-Supuestos!$D$11),IF(Supuestos!$C$11="Lognormal",LOGINV(H50,LN(Supuestos!$D$11)-LN(1+Supuestos!$E$11^2/Supuestos!$D$11^2)/2,SQRT(LN(1+Supuestos!$E$11^2/Supuestos!$D$11^2))),Supuestos!$D$11))))))</f>
        <v/>
      </c>
      <c r="P50" s="33">
        <f>-I50</f>
        <v/>
      </c>
      <c r="Q50" s="33">
        <f>$J50*(1+$K50)^(1-1)*(1-$L50)*(1-$M50)</f>
        <v/>
      </c>
      <c r="R50" s="33">
        <f>$J50*(1+$K50)^(2-1)*(1-$L50)*(1-$M50)</f>
        <v/>
      </c>
      <c r="S50" s="33">
        <f>$J50*(1+$K50)^(3-1)*(1-$L50)*(1-$M50)</f>
        <v/>
      </c>
      <c r="T50" s="33">
        <f>$J50*(1+$K50)^(4-1)*(1-$L50)*(1-$M50)</f>
        <v/>
      </c>
      <c r="U50" s="33">
        <f>$J50*(1+$K50)^(5-1)*(1-$L50)*(1-$M50)+$O50</f>
        <v/>
      </c>
      <c r="V50" s="33">
        <f>P50+NPV($N50,Q50:U50)</f>
        <v/>
      </c>
      <c r="W50" s="32">
        <f>IFERROR(IRR(P50:U50,0.1),"")</f>
        <v/>
      </c>
    </row>
    <row r="51">
      <c r="A51" s="14" t="n">
        <v>47</v>
      </c>
      <c r="B51" s="30">
        <f>RAND()*(1-2E-6)+1E-6</f>
        <v/>
      </c>
      <c r="C51" s="30">
        <f>RAND()*(1-2E-6)+1E-6</f>
        <v/>
      </c>
      <c r="D51" s="30">
        <f>RAND()*(1-2E-6)+1E-6</f>
        <v/>
      </c>
      <c r="E51" s="30">
        <f>RAND()*(1-2E-6)+1E-6</f>
        <v/>
      </c>
      <c r="F51" s="30">
        <f>RAND()*(1-2E-6)+1E-6</f>
        <v/>
      </c>
      <c r="G51" s="30">
        <f>RAND()*(1-2E-6)+1E-6</f>
        <v/>
      </c>
      <c r="H51" s="30">
        <f>RAND()*(1-2E-6)+1E-6</f>
        <v/>
      </c>
      <c r="I51" s="31">
        <f>MIN(IF(Supuestos!$H$5="",1E+99,Supuestos!$H$5),MAX(IF(Supuestos!$G$5="",-1E+99,Supuestos!$G$5),IF(Supuestos!$C$5="Normal",NORMINV(B51,Supuestos!$D$5,Supuestos!$E$5),IF(Supuestos!$C$5="Triangular",IF(B51&lt;(Supuestos!$E$5-Supuestos!$D$5)/(Supuestos!$F$5-Supuestos!$D$5),Supuestos!$D$5+SQRT(B51*(Supuestos!$F$5-Supuestos!$D$5)*(Supuestos!$E$5-Supuestos!$D$5)),Supuestos!$F$5-SQRT((1-B51)*(Supuestos!$F$5-Supuestos!$D$5)*(Supuestos!$F$5-Supuestos!$E$5))),IF(Supuestos!$C$5="Uniforme",Supuestos!$D$5+B51*(Supuestos!$E$5-Supuestos!$D$5),IF(Supuestos!$C$5="Lognormal",LOGINV(B51,LN(Supuestos!$D$5)-LN(1+Supuestos!$E$5^2/Supuestos!$D$5^2)/2,SQRT(LN(1+Supuestos!$E$5^2/Supuestos!$D$5^2))),Supuestos!$D$5))))))</f>
        <v/>
      </c>
      <c r="J51" s="31">
        <f>MIN(IF(Supuestos!$H$6="",1E+99,Supuestos!$H$6),MAX(IF(Supuestos!$G$6="",-1E+99,Supuestos!$G$6),IF(Supuestos!$C$6="Normal",NORMINV(C51,Supuestos!$D$6,Supuestos!$E$6),IF(Supuestos!$C$6="Triangular",IF(C51&lt;(Supuestos!$E$6-Supuestos!$D$6)/(Supuestos!$F$6-Supuestos!$D$6),Supuestos!$D$6+SQRT(C51*(Supuestos!$F$6-Supuestos!$D$6)*(Supuestos!$E$6-Supuestos!$D$6)),Supuestos!$F$6-SQRT((1-C51)*(Supuestos!$F$6-Supuestos!$D$6)*(Supuestos!$F$6-Supuestos!$E$6))),IF(Supuestos!$C$6="Uniforme",Supuestos!$D$6+C51*(Supuestos!$E$6-Supuestos!$D$6),IF(Supuestos!$C$6="Lognormal",LOGINV(C51,LN(Supuestos!$D$6)-LN(1+Supuestos!$E$6^2/Supuestos!$D$6^2)/2,SQRT(LN(1+Supuestos!$E$6^2/Supuestos!$D$6^2))),Supuestos!$D$6))))))</f>
        <v/>
      </c>
      <c r="K51" s="32">
        <f>MIN(IF(Supuestos!$H$7="",1E+99,Supuestos!$H$7),MAX(IF(Supuestos!$G$7="",-1E+99,Supuestos!$G$7),IF(Supuestos!$C$7="Normal",NORMINV(D51,Supuestos!$D$7,Supuestos!$E$7),IF(Supuestos!$C$7="Triangular",IF(D51&lt;(Supuestos!$E$7-Supuestos!$D$7)/(Supuestos!$F$7-Supuestos!$D$7),Supuestos!$D$7+SQRT(D51*(Supuestos!$F$7-Supuestos!$D$7)*(Supuestos!$E$7-Supuestos!$D$7)),Supuestos!$F$7-SQRT((1-D51)*(Supuestos!$F$7-Supuestos!$D$7)*(Supuestos!$F$7-Supuestos!$E$7))),IF(Supuestos!$C$7="Uniforme",Supuestos!$D$7+D51*(Supuestos!$E$7-Supuestos!$D$7),IF(Supuestos!$C$7="Lognormal",LOGINV(D51,LN(Supuestos!$D$7)-LN(1+Supuestos!$E$7^2/Supuestos!$D$7^2)/2,SQRT(LN(1+Supuestos!$E$7^2/Supuestos!$D$7^2))),Supuestos!$D$7))))))</f>
        <v/>
      </c>
      <c r="L51" s="32">
        <f>MIN(IF(Supuestos!$H$8="",1E+99,Supuestos!$H$8),MAX(IF(Supuestos!$G$8="",-1E+99,Supuestos!$G$8),IF(Supuestos!$C$8="Normal",NORMINV(E51,Supuestos!$D$8,Supuestos!$E$8),IF(Supuestos!$C$8="Triangular",IF(E51&lt;(Supuestos!$E$8-Supuestos!$D$8)/(Supuestos!$F$8-Supuestos!$D$8),Supuestos!$D$8+SQRT(E51*(Supuestos!$F$8-Supuestos!$D$8)*(Supuestos!$E$8-Supuestos!$D$8)),Supuestos!$F$8-SQRT((1-E51)*(Supuestos!$F$8-Supuestos!$D$8)*(Supuestos!$F$8-Supuestos!$E$8))),IF(Supuestos!$C$8="Uniforme",Supuestos!$D$8+E51*(Supuestos!$E$8-Supuestos!$D$8),IF(Supuestos!$C$8="Lognormal",LOGINV(E51,LN(Supuestos!$D$8)-LN(1+Supuestos!$E$8^2/Supuestos!$D$8^2)/2,SQRT(LN(1+Supuestos!$E$8^2/Supuestos!$D$8^2))),Supuestos!$D$8))))))</f>
        <v/>
      </c>
      <c r="M51" s="32">
        <f>MIN(IF(Supuestos!$H$9="",1E+99,Supuestos!$H$9),MAX(IF(Supuestos!$G$9="",-1E+99,Supuestos!$G$9),IF(Supuestos!$C$9="Normal",NORMINV(F51,Supuestos!$D$9,Supuestos!$E$9),IF(Supuestos!$C$9="Triangular",IF(F51&lt;(Supuestos!$E$9-Supuestos!$D$9)/(Supuestos!$F$9-Supuestos!$D$9),Supuestos!$D$9+SQRT(F51*(Supuestos!$F$9-Supuestos!$D$9)*(Supuestos!$E$9-Supuestos!$D$9)),Supuestos!$F$9-SQRT((1-F51)*(Supuestos!$F$9-Supuestos!$D$9)*(Supuestos!$F$9-Supuestos!$E$9))),IF(Supuestos!$C$9="Uniforme",Supuestos!$D$9+F51*(Supuestos!$E$9-Supuestos!$D$9),IF(Supuestos!$C$9="Lognormal",LOGINV(F51,LN(Supuestos!$D$9)-LN(1+Supuestos!$E$9^2/Supuestos!$D$9^2)/2,SQRT(LN(1+Supuestos!$E$9^2/Supuestos!$D$9^2))),Supuestos!$D$9))))))</f>
        <v/>
      </c>
      <c r="N51" s="32">
        <f>MIN(IF(Supuestos!$H$10="",1E+99,Supuestos!$H$10),MAX(IF(Supuestos!$G$10="",-1E+99,Supuestos!$G$10),IF(Supuestos!$C$10="Normal",NORMINV(G51,Supuestos!$D$10,Supuestos!$E$10),IF(Supuestos!$C$10="Triangular",IF(G51&lt;(Supuestos!$E$10-Supuestos!$D$10)/(Supuestos!$F$10-Supuestos!$D$10),Supuestos!$D$10+SQRT(G51*(Supuestos!$F$10-Supuestos!$D$10)*(Supuestos!$E$10-Supuestos!$D$10)),Supuestos!$F$10-SQRT((1-G51)*(Supuestos!$F$10-Supuestos!$D$10)*(Supuestos!$F$10-Supuestos!$E$10))),IF(Supuestos!$C$10="Uniforme",Supuestos!$D$10+G51*(Supuestos!$E$10-Supuestos!$D$10),IF(Supuestos!$C$10="Lognormal",LOGINV(G51,LN(Supuestos!$D$10)-LN(1+Supuestos!$E$10^2/Supuestos!$D$10^2)/2,SQRT(LN(1+Supuestos!$E$10^2/Supuestos!$D$10^2))),Supuestos!$D$10))))))</f>
        <v/>
      </c>
      <c r="O51" s="31">
        <f>MIN(IF(Supuestos!$H$11="",1E+99,Supuestos!$H$11),MAX(IF(Supuestos!$G$11="",-1E+99,Supuestos!$G$11),IF(Supuestos!$C$11="Normal",NORMINV(H51,Supuestos!$D$11,Supuestos!$E$11),IF(Supuestos!$C$11="Triangular",IF(H51&lt;(Supuestos!$E$11-Supuestos!$D$11)/(Supuestos!$F$11-Supuestos!$D$11),Supuestos!$D$11+SQRT(H51*(Supuestos!$F$11-Supuestos!$D$11)*(Supuestos!$E$11-Supuestos!$D$11)),Supuestos!$F$11-SQRT((1-H51)*(Supuestos!$F$11-Supuestos!$D$11)*(Supuestos!$F$11-Supuestos!$E$11))),IF(Supuestos!$C$11="Uniforme",Supuestos!$D$11+H51*(Supuestos!$E$11-Supuestos!$D$11),IF(Supuestos!$C$11="Lognormal",LOGINV(H51,LN(Supuestos!$D$11)-LN(1+Supuestos!$E$11^2/Supuestos!$D$11^2)/2,SQRT(LN(1+Supuestos!$E$11^2/Supuestos!$D$11^2))),Supuestos!$D$11))))))</f>
        <v/>
      </c>
      <c r="P51" s="33">
        <f>-I51</f>
        <v/>
      </c>
      <c r="Q51" s="33">
        <f>$J51*(1+$K51)^(1-1)*(1-$L51)*(1-$M51)</f>
        <v/>
      </c>
      <c r="R51" s="33">
        <f>$J51*(1+$K51)^(2-1)*(1-$L51)*(1-$M51)</f>
        <v/>
      </c>
      <c r="S51" s="33">
        <f>$J51*(1+$K51)^(3-1)*(1-$L51)*(1-$M51)</f>
        <v/>
      </c>
      <c r="T51" s="33">
        <f>$J51*(1+$K51)^(4-1)*(1-$L51)*(1-$M51)</f>
        <v/>
      </c>
      <c r="U51" s="33">
        <f>$J51*(1+$K51)^(5-1)*(1-$L51)*(1-$M51)+$O51</f>
        <v/>
      </c>
      <c r="V51" s="33">
        <f>P51+NPV($N51,Q51:U51)</f>
        <v/>
      </c>
      <c r="W51" s="32">
        <f>IFERROR(IRR(P51:U51,0.1),"")</f>
        <v/>
      </c>
    </row>
    <row r="52">
      <c r="A52" s="14" t="n">
        <v>48</v>
      </c>
      <c r="B52" s="30">
        <f>RAND()*(1-2E-6)+1E-6</f>
        <v/>
      </c>
      <c r="C52" s="30">
        <f>RAND()*(1-2E-6)+1E-6</f>
        <v/>
      </c>
      <c r="D52" s="30">
        <f>RAND()*(1-2E-6)+1E-6</f>
        <v/>
      </c>
      <c r="E52" s="30">
        <f>RAND()*(1-2E-6)+1E-6</f>
        <v/>
      </c>
      <c r="F52" s="30">
        <f>RAND()*(1-2E-6)+1E-6</f>
        <v/>
      </c>
      <c r="G52" s="30">
        <f>RAND()*(1-2E-6)+1E-6</f>
        <v/>
      </c>
      <c r="H52" s="30">
        <f>RAND()*(1-2E-6)+1E-6</f>
        <v/>
      </c>
      <c r="I52" s="31">
        <f>MIN(IF(Supuestos!$H$5="",1E+99,Supuestos!$H$5),MAX(IF(Supuestos!$G$5="",-1E+99,Supuestos!$G$5),IF(Supuestos!$C$5="Normal",NORMINV(B52,Supuestos!$D$5,Supuestos!$E$5),IF(Supuestos!$C$5="Triangular",IF(B52&lt;(Supuestos!$E$5-Supuestos!$D$5)/(Supuestos!$F$5-Supuestos!$D$5),Supuestos!$D$5+SQRT(B52*(Supuestos!$F$5-Supuestos!$D$5)*(Supuestos!$E$5-Supuestos!$D$5)),Supuestos!$F$5-SQRT((1-B52)*(Supuestos!$F$5-Supuestos!$D$5)*(Supuestos!$F$5-Supuestos!$E$5))),IF(Supuestos!$C$5="Uniforme",Supuestos!$D$5+B52*(Supuestos!$E$5-Supuestos!$D$5),IF(Supuestos!$C$5="Lognormal",LOGINV(B52,LN(Supuestos!$D$5)-LN(1+Supuestos!$E$5^2/Supuestos!$D$5^2)/2,SQRT(LN(1+Supuestos!$E$5^2/Supuestos!$D$5^2))),Supuestos!$D$5))))))</f>
        <v/>
      </c>
      <c r="J52" s="31">
        <f>MIN(IF(Supuestos!$H$6="",1E+99,Supuestos!$H$6),MAX(IF(Supuestos!$G$6="",-1E+99,Supuestos!$G$6),IF(Supuestos!$C$6="Normal",NORMINV(C52,Supuestos!$D$6,Supuestos!$E$6),IF(Supuestos!$C$6="Triangular",IF(C52&lt;(Supuestos!$E$6-Supuestos!$D$6)/(Supuestos!$F$6-Supuestos!$D$6),Supuestos!$D$6+SQRT(C52*(Supuestos!$F$6-Supuestos!$D$6)*(Supuestos!$E$6-Supuestos!$D$6)),Supuestos!$F$6-SQRT((1-C52)*(Supuestos!$F$6-Supuestos!$D$6)*(Supuestos!$F$6-Supuestos!$E$6))),IF(Supuestos!$C$6="Uniforme",Supuestos!$D$6+C52*(Supuestos!$E$6-Supuestos!$D$6),IF(Supuestos!$C$6="Lognormal",LOGINV(C52,LN(Supuestos!$D$6)-LN(1+Supuestos!$E$6^2/Supuestos!$D$6^2)/2,SQRT(LN(1+Supuestos!$E$6^2/Supuestos!$D$6^2))),Supuestos!$D$6))))))</f>
        <v/>
      </c>
      <c r="K52" s="32">
        <f>MIN(IF(Supuestos!$H$7="",1E+99,Supuestos!$H$7),MAX(IF(Supuestos!$G$7="",-1E+99,Supuestos!$G$7),IF(Supuestos!$C$7="Normal",NORMINV(D52,Supuestos!$D$7,Supuestos!$E$7),IF(Supuestos!$C$7="Triangular",IF(D52&lt;(Supuestos!$E$7-Supuestos!$D$7)/(Supuestos!$F$7-Supuestos!$D$7),Supuestos!$D$7+SQRT(D52*(Supuestos!$F$7-Supuestos!$D$7)*(Supuestos!$E$7-Supuestos!$D$7)),Supuestos!$F$7-SQRT((1-D52)*(Supuestos!$F$7-Supuestos!$D$7)*(Supuestos!$F$7-Supuestos!$E$7))),IF(Supuestos!$C$7="Uniforme",Supuestos!$D$7+D52*(Supuestos!$E$7-Supuestos!$D$7),IF(Supuestos!$C$7="Lognormal",LOGINV(D52,LN(Supuestos!$D$7)-LN(1+Supuestos!$E$7^2/Supuestos!$D$7^2)/2,SQRT(LN(1+Supuestos!$E$7^2/Supuestos!$D$7^2))),Supuestos!$D$7))))))</f>
        <v/>
      </c>
      <c r="L52" s="32">
        <f>MIN(IF(Supuestos!$H$8="",1E+99,Supuestos!$H$8),MAX(IF(Supuestos!$G$8="",-1E+99,Supuestos!$G$8),IF(Supuestos!$C$8="Normal",NORMINV(E52,Supuestos!$D$8,Supuestos!$E$8),IF(Supuestos!$C$8="Triangular",IF(E52&lt;(Supuestos!$E$8-Supuestos!$D$8)/(Supuestos!$F$8-Supuestos!$D$8),Supuestos!$D$8+SQRT(E52*(Supuestos!$F$8-Supuestos!$D$8)*(Supuestos!$E$8-Supuestos!$D$8)),Supuestos!$F$8-SQRT((1-E52)*(Supuestos!$F$8-Supuestos!$D$8)*(Supuestos!$F$8-Supuestos!$E$8))),IF(Supuestos!$C$8="Uniforme",Supuestos!$D$8+E52*(Supuestos!$E$8-Supuestos!$D$8),IF(Supuestos!$C$8="Lognormal",LOGINV(E52,LN(Supuestos!$D$8)-LN(1+Supuestos!$E$8^2/Supuestos!$D$8^2)/2,SQRT(LN(1+Supuestos!$E$8^2/Supuestos!$D$8^2))),Supuestos!$D$8))))))</f>
        <v/>
      </c>
      <c r="M52" s="32">
        <f>MIN(IF(Supuestos!$H$9="",1E+99,Supuestos!$H$9),MAX(IF(Supuestos!$G$9="",-1E+99,Supuestos!$G$9),IF(Supuestos!$C$9="Normal",NORMINV(F52,Supuestos!$D$9,Supuestos!$E$9),IF(Supuestos!$C$9="Triangular",IF(F52&lt;(Supuestos!$E$9-Supuestos!$D$9)/(Supuestos!$F$9-Supuestos!$D$9),Supuestos!$D$9+SQRT(F52*(Supuestos!$F$9-Supuestos!$D$9)*(Supuestos!$E$9-Supuestos!$D$9)),Supuestos!$F$9-SQRT((1-F52)*(Supuestos!$F$9-Supuestos!$D$9)*(Supuestos!$F$9-Supuestos!$E$9))),IF(Supuestos!$C$9="Uniforme",Supuestos!$D$9+F52*(Supuestos!$E$9-Supuestos!$D$9),IF(Supuestos!$C$9="Lognormal",LOGINV(F52,LN(Supuestos!$D$9)-LN(1+Supuestos!$E$9^2/Supuestos!$D$9^2)/2,SQRT(LN(1+Supuestos!$E$9^2/Supuestos!$D$9^2))),Supuestos!$D$9))))))</f>
        <v/>
      </c>
      <c r="N52" s="32">
        <f>MIN(IF(Supuestos!$H$10="",1E+99,Supuestos!$H$10),MAX(IF(Supuestos!$G$10="",-1E+99,Supuestos!$G$10),IF(Supuestos!$C$10="Normal",NORMINV(G52,Supuestos!$D$10,Supuestos!$E$10),IF(Supuestos!$C$10="Triangular",IF(G52&lt;(Supuestos!$E$10-Supuestos!$D$10)/(Supuestos!$F$10-Supuestos!$D$10),Supuestos!$D$10+SQRT(G52*(Supuestos!$F$10-Supuestos!$D$10)*(Supuestos!$E$10-Supuestos!$D$10)),Supuestos!$F$10-SQRT((1-G52)*(Supuestos!$F$10-Supuestos!$D$10)*(Supuestos!$F$10-Supuestos!$E$10))),IF(Supuestos!$C$10="Uniforme",Supuestos!$D$10+G52*(Supuestos!$E$10-Supuestos!$D$10),IF(Supuestos!$C$10="Lognormal",LOGINV(G52,LN(Supuestos!$D$10)-LN(1+Supuestos!$E$10^2/Supuestos!$D$10^2)/2,SQRT(LN(1+Supuestos!$E$10^2/Supuestos!$D$10^2))),Supuestos!$D$10))))))</f>
        <v/>
      </c>
      <c r="O52" s="31">
        <f>MIN(IF(Supuestos!$H$11="",1E+99,Supuestos!$H$11),MAX(IF(Supuestos!$G$11="",-1E+99,Supuestos!$G$11),IF(Supuestos!$C$11="Normal",NORMINV(H52,Supuestos!$D$11,Supuestos!$E$11),IF(Supuestos!$C$11="Triangular",IF(H52&lt;(Supuestos!$E$11-Supuestos!$D$11)/(Supuestos!$F$11-Supuestos!$D$11),Supuestos!$D$11+SQRT(H52*(Supuestos!$F$11-Supuestos!$D$11)*(Supuestos!$E$11-Supuestos!$D$11)),Supuestos!$F$11-SQRT((1-H52)*(Supuestos!$F$11-Supuestos!$D$11)*(Supuestos!$F$11-Supuestos!$E$11))),IF(Supuestos!$C$11="Uniforme",Supuestos!$D$11+H52*(Supuestos!$E$11-Supuestos!$D$11),IF(Supuestos!$C$11="Lognormal",LOGINV(H52,LN(Supuestos!$D$11)-LN(1+Supuestos!$E$11^2/Supuestos!$D$11^2)/2,SQRT(LN(1+Supuestos!$E$11^2/Supuestos!$D$11^2))),Supuestos!$D$11))))))</f>
        <v/>
      </c>
      <c r="P52" s="33">
        <f>-I52</f>
        <v/>
      </c>
      <c r="Q52" s="33">
        <f>$J52*(1+$K52)^(1-1)*(1-$L52)*(1-$M52)</f>
        <v/>
      </c>
      <c r="R52" s="33">
        <f>$J52*(1+$K52)^(2-1)*(1-$L52)*(1-$M52)</f>
        <v/>
      </c>
      <c r="S52" s="33">
        <f>$J52*(1+$K52)^(3-1)*(1-$L52)*(1-$M52)</f>
        <v/>
      </c>
      <c r="T52" s="33">
        <f>$J52*(1+$K52)^(4-1)*(1-$L52)*(1-$M52)</f>
        <v/>
      </c>
      <c r="U52" s="33">
        <f>$J52*(1+$K52)^(5-1)*(1-$L52)*(1-$M52)+$O52</f>
        <v/>
      </c>
      <c r="V52" s="33">
        <f>P52+NPV($N52,Q52:U52)</f>
        <v/>
      </c>
      <c r="W52" s="32">
        <f>IFERROR(IRR(P52:U52,0.1),"")</f>
        <v/>
      </c>
    </row>
    <row r="53">
      <c r="A53" s="14" t="n">
        <v>49</v>
      </c>
      <c r="B53" s="30">
        <f>RAND()*(1-2E-6)+1E-6</f>
        <v/>
      </c>
      <c r="C53" s="30">
        <f>RAND()*(1-2E-6)+1E-6</f>
        <v/>
      </c>
      <c r="D53" s="30">
        <f>RAND()*(1-2E-6)+1E-6</f>
        <v/>
      </c>
      <c r="E53" s="30">
        <f>RAND()*(1-2E-6)+1E-6</f>
        <v/>
      </c>
      <c r="F53" s="30">
        <f>RAND()*(1-2E-6)+1E-6</f>
        <v/>
      </c>
      <c r="G53" s="30">
        <f>RAND()*(1-2E-6)+1E-6</f>
        <v/>
      </c>
      <c r="H53" s="30">
        <f>RAND()*(1-2E-6)+1E-6</f>
        <v/>
      </c>
      <c r="I53" s="31">
        <f>MIN(IF(Supuestos!$H$5="",1E+99,Supuestos!$H$5),MAX(IF(Supuestos!$G$5="",-1E+99,Supuestos!$G$5),IF(Supuestos!$C$5="Normal",NORMINV(B53,Supuestos!$D$5,Supuestos!$E$5),IF(Supuestos!$C$5="Triangular",IF(B53&lt;(Supuestos!$E$5-Supuestos!$D$5)/(Supuestos!$F$5-Supuestos!$D$5),Supuestos!$D$5+SQRT(B53*(Supuestos!$F$5-Supuestos!$D$5)*(Supuestos!$E$5-Supuestos!$D$5)),Supuestos!$F$5-SQRT((1-B53)*(Supuestos!$F$5-Supuestos!$D$5)*(Supuestos!$F$5-Supuestos!$E$5))),IF(Supuestos!$C$5="Uniforme",Supuestos!$D$5+B53*(Supuestos!$E$5-Supuestos!$D$5),IF(Supuestos!$C$5="Lognormal",LOGINV(B53,LN(Supuestos!$D$5)-LN(1+Supuestos!$E$5^2/Supuestos!$D$5^2)/2,SQRT(LN(1+Supuestos!$E$5^2/Supuestos!$D$5^2))),Supuestos!$D$5))))))</f>
        <v/>
      </c>
      <c r="J53" s="31">
        <f>MIN(IF(Supuestos!$H$6="",1E+99,Supuestos!$H$6),MAX(IF(Supuestos!$G$6="",-1E+99,Supuestos!$G$6),IF(Supuestos!$C$6="Normal",NORMINV(C53,Supuestos!$D$6,Supuestos!$E$6),IF(Supuestos!$C$6="Triangular",IF(C53&lt;(Supuestos!$E$6-Supuestos!$D$6)/(Supuestos!$F$6-Supuestos!$D$6),Supuestos!$D$6+SQRT(C53*(Supuestos!$F$6-Supuestos!$D$6)*(Supuestos!$E$6-Supuestos!$D$6)),Supuestos!$F$6-SQRT((1-C53)*(Supuestos!$F$6-Supuestos!$D$6)*(Supuestos!$F$6-Supuestos!$E$6))),IF(Supuestos!$C$6="Uniforme",Supuestos!$D$6+C53*(Supuestos!$E$6-Supuestos!$D$6),IF(Supuestos!$C$6="Lognormal",LOGINV(C53,LN(Supuestos!$D$6)-LN(1+Supuestos!$E$6^2/Supuestos!$D$6^2)/2,SQRT(LN(1+Supuestos!$E$6^2/Supuestos!$D$6^2))),Supuestos!$D$6))))))</f>
        <v/>
      </c>
      <c r="K53" s="32">
        <f>MIN(IF(Supuestos!$H$7="",1E+99,Supuestos!$H$7),MAX(IF(Supuestos!$G$7="",-1E+99,Supuestos!$G$7),IF(Supuestos!$C$7="Normal",NORMINV(D53,Supuestos!$D$7,Supuestos!$E$7),IF(Supuestos!$C$7="Triangular",IF(D53&lt;(Supuestos!$E$7-Supuestos!$D$7)/(Supuestos!$F$7-Supuestos!$D$7),Supuestos!$D$7+SQRT(D53*(Supuestos!$F$7-Supuestos!$D$7)*(Supuestos!$E$7-Supuestos!$D$7)),Supuestos!$F$7-SQRT((1-D53)*(Supuestos!$F$7-Supuestos!$D$7)*(Supuestos!$F$7-Supuestos!$E$7))),IF(Supuestos!$C$7="Uniforme",Supuestos!$D$7+D53*(Supuestos!$E$7-Supuestos!$D$7),IF(Supuestos!$C$7="Lognormal",LOGINV(D53,LN(Supuestos!$D$7)-LN(1+Supuestos!$E$7^2/Supuestos!$D$7^2)/2,SQRT(LN(1+Supuestos!$E$7^2/Supuestos!$D$7^2))),Supuestos!$D$7))))))</f>
        <v/>
      </c>
      <c r="L53" s="32">
        <f>MIN(IF(Supuestos!$H$8="",1E+99,Supuestos!$H$8),MAX(IF(Supuestos!$G$8="",-1E+99,Supuestos!$G$8),IF(Supuestos!$C$8="Normal",NORMINV(E53,Supuestos!$D$8,Supuestos!$E$8),IF(Supuestos!$C$8="Triangular",IF(E53&lt;(Supuestos!$E$8-Supuestos!$D$8)/(Supuestos!$F$8-Supuestos!$D$8),Supuestos!$D$8+SQRT(E53*(Supuestos!$F$8-Supuestos!$D$8)*(Supuestos!$E$8-Supuestos!$D$8)),Supuestos!$F$8-SQRT((1-E53)*(Supuestos!$F$8-Supuestos!$D$8)*(Supuestos!$F$8-Supuestos!$E$8))),IF(Supuestos!$C$8="Uniforme",Supuestos!$D$8+E53*(Supuestos!$E$8-Supuestos!$D$8),IF(Supuestos!$C$8="Lognormal",LOGINV(E53,LN(Supuestos!$D$8)-LN(1+Supuestos!$E$8^2/Supuestos!$D$8^2)/2,SQRT(LN(1+Supuestos!$E$8^2/Supuestos!$D$8^2))),Supuestos!$D$8))))))</f>
        <v/>
      </c>
      <c r="M53" s="32">
        <f>MIN(IF(Supuestos!$H$9="",1E+99,Supuestos!$H$9),MAX(IF(Supuestos!$G$9="",-1E+99,Supuestos!$G$9),IF(Supuestos!$C$9="Normal",NORMINV(F53,Supuestos!$D$9,Supuestos!$E$9),IF(Supuestos!$C$9="Triangular",IF(F53&lt;(Supuestos!$E$9-Supuestos!$D$9)/(Supuestos!$F$9-Supuestos!$D$9),Supuestos!$D$9+SQRT(F53*(Supuestos!$F$9-Supuestos!$D$9)*(Supuestos!$E$9-Supuestos!$D$9)),Supuestos!$F$9-SQRT((1-F53)*(Supuestos!$F$9-Supuestos!$D$9)*(Supuestos!$F$9-Supuestos!$E$9))),IF(Supuestos!$C$9="Uniforme",Supuestos!$D$9+F53*(Supuestos!$E$9-Supuestos!$D$9),IF(Supuestos!$C$9="Lognormal",LOGINV(F53,LN(Supuestos!$D$9)-LN(1+Supuestos!$E$9^2/Supuestos!$D$9^2)/2,SQRT(LN(1+Supuestos!$E$9^2/Supuestos!$D$9^2))),Supuestos!$D$9))))))</f>
        <v/>
      </c>
      <c r="N53" s="32">
        <f>MIN(IF(Supuestos!$H$10="",1E+99,Supuestos!$H$10),MAX(IF(Supuestos!$G$10="",-1E+99,Supuestos!$G$10),IF(Supuestos!$C$10="Normal",NORMINV(G53,Supuestos!$D$10,Supuestos!$E$10),IF(Supuestos!$C$10="Triangular",IF(G53&lt;(Supuestos!$E$10-Supuestos!$D$10)/(Supuestos!$F$10-Supuestos!$D$10),Supuestos!$D$10+SQRT(G53*(Supuestos!$F$10-Supuestos!$D$10)*(Supuestos!$E$10-Supuestos!$D$10)),Supuestos!$F$10-SQRT((1-G53)*(Supuestos!$F$10-Supuestos!$D$10)*(Supuestos!$F$10-Supuestos!$E$10))),IF(Supuestos!$C$10="Uniforme",Supuestos!$D$10+G53*(Supuestos!$E$10-Supuestos!$D$10),IF(Supuestos!$C$10="Lognormal",LOGINV(G53,LN(Supuestos!$D$10)-LN(1+Supuestos!$E$10^2/Supuestos!$D$10^2)/2,SQRT(LN(1+Supuestos!$E$10^2/Supuestos!$D$10^2))),Supuestos!$D$10))))))</f>
        <v/>
      </c>
      <c r="O53" s="31">
        <f>MIN(IF(Supuestos!$H$11="",1E+99,Supuestos!$H$11),MAX(IF(Supuestos!$G$11="",-1E+99,Supuestos!$G$11),IF(Supuestos!$C$11="Normal",NORMINV(H53,Supuestos!$D$11,Supuestos!$E$11),IF(Supuestos!$C$11="Triangular",IF(H53&lt;(Supuestos!$E$11-Supuestos!$D$11)/(Supuestos!$F$11-Supuestos!$D$11),Supuestos!$D$11+SQRT(H53*(Supuestos!$F$11-Supuestos!$D$11)*(Supuestos!$E$11-Supuestos!$D$11)),Supuestos!$F$11-SQRT((1-H53)*(Supuestos!$F$11-Supuestos!$D$11)*(Supuestos!$F$11-Supuestos!$E$11))),IF(Supuestos!$C$11="Uniforme",Supuestos!$D$11+H53*(Supuestos!$E$11-Supuestos!$D$11),IF(Supuestos!$C$11="Lognormal",LOGINV(H53,LN(Supuestos!$D$11)-LN(1+Supuestos!$E$11^2/Supuestos!$D$11^2)/2,SQRT(LN(1+Supuestos!$E$11^2/Supuestos!$D$11^2))),Supuestos!$D$11))))))</f>
        <v/>
      </c>
      <c r="P53" s="33">
        <f>-I53</f>
        <v/>
      </c>
      <c r="Q53" s="33">
        <f>$J53*(1+$K53)^(1-1)*(1-$L53)*(1-$M53)</f>
        <v/>
      </c>
      <c r="R53" s="33">
        <f>$J53*(1+$K53)^(2-1)*(1-$L53)*(1-$M53)</f>
        <v/>
      </c>
      <c r="S53" s="33">
        <f>$J53*(1+$K53)^(3-1)*(1-$L53)*(1-$M53)</f>
        <v/>
      </c>
      <c r="T53" s="33">
        <f>$J53*(1+$K53)^(4-1)*(1-$L53)*(1-$M53)</f>
        <v/>
      </c>
      <c r="U53" s="33">
        <f>$J53*(1+$K53)^(5-1)*(1-$L53)*(1-$M53)+$O53</f>
        <v/>
      </c>
      <c r="V53" s="33">
        <f>P53+NPV($N53,Q53:U53)</f>
        <v/>
      </c>
      <c r="W53" s="32">
        <f>IFERROR(IRR(P53:U53,0.1),"")</f>
        <v/>
      </c>
    </row>
    <row r="54">
      <c r="A54" s="14" t="n">
        <v>50</v>
      </c>
      <c r="B54" s="30">
        <f>RAND()*(1-2E-6)+1E-6</f>
        <v/>
      </c>
      <c r="C54" s="30">
        <f>RAND()*(1-2E-6)+1E-6</f>
        <v/>
      </c>
      <c r="D54" s="30">
        <f>RAND()*(1-2E-6)+1E-6</f>
        <v/>
      </c>
      <c r="E54" s="30">
        <f>RAND()*(1-2E-6)+1E-6</f>
        <v/>
      </c>
      <c r="F54" s="30">
        <f>RAND()*(1-2E-6)+1E-6</f>
        <v/>
      </c>
      <c r="G54" s="30">
        <f>RAND()*(1-2E-6)+1E-6</f>
        <v/>
      </c>
      <c r="H54" s="30">
        <f>RAND()*(1-2E-6)+1E-6</f>
        <v/>
      </c>
      <c r="I54" s="31">
        <f>MIN(IF(Supuestos!$H$5="",1E+99,Supuestos!$H$5),MAX(IF(Supuestos!$G$5="",-1E+99,Supuestos!$G$5),IF(Supuestos!$C$5="Normal",NORMINV(B54,Supuestos!$D$5,Supuestos!$E$5),IF(Supuestos!$C$5="Triangular",IF(B54&lt;(Supuestos!$E$5-Supuestos!$D$5)/(Supuestos!$F$5-Supuestos!$D$5),Supuestos!$D$5+SQRT(B54*(Supuestos!$F$5-Supuestos!$D$5)*(Supuestos!$E$5-Supuestos!$D$5)),Supuestos!$F$5-SQRT((1-B54)*(Supuestos!$F$5-Supuestos!$D$5)*(Supuestos!$F$5-Supuestos!$E$5))),IF(Supuestos!$C$5="Uniforme",Supuestos!$D$5+B54*(Supuestos!$E$5-Supuestos!$D$5),IF(Supuestos!$C$5="Lognormal",LOGINV(B54,LN(Supuestos!$D$5)-LN(1+Supuestos!$E$5^2/Supuestos!$D$5^2)/2,SQRT(LN(1+Supuestos!$E$5^2/Supuestos!$D$5^2))),Supuestos!$D$5))))))</f>
        <v/>
      </c>
      <c r="J54" s="31">
        <f>MIN(IF(Supuestos!$H$6="",1E+99,Supuestos!$H$6),MAX(IF(Supuestos!$G$6="",-1E+99,Supuestos!$G$6),IF(Supuestos!$C$6="Normal",NORMINV(C54,Supuestos!$D$6,Supuestos!$E$6),IF(Supuestos!$C$6="Triangular",IF(C54&lt;(Supuestos!$E$6-Supuestos!$D$6)/(Supuestos!$F$6-Supuestos!$D$6),Supuestos!$D$6+SQRT(C54*(Supuestos!$F$6-Supuestos!$D$6)*(Supuestos!$E$6-Supuestos!$D$6)),Supuestos!$F$6-SQRT((1-C54)*(Supuestos!$F$6-Supuestos!$D$6)*(Supuestos!$F$6-Supuestos!$E$6))),IF(Supuestos!$C$6="Uniforme",Supuestos!$D$6+C54*(Supuestos!$E$6-Supuestos!$D$6),IF(Supuestos!$C$6="Lognormal",LOGINV(C54,LN(Supuestos!$D$6)-LN(1+Supuestos!$E$6^2/Supuestos!$D$6^2)/2,SQRT(LN(1+Supuestos!$E$6^2/Supuestos!$D$6^2))),Supuestos!$D$6))))))</f>
        <v/>
      </c>
      <c r="K54" s="32">
        <f>MIN(IF(Supuestos!$H$7="",1E+99,Supuestos!$H$7),MAX(IF(Supuestos!$G$7="",-1E+99,Supuestos!$G$7),IF(Supuestos!$C$7="Normal",NORMINV(D54,Supuestos!$D$7,Supuestos!$E$7),IF(Supuestos!$C$7="Triangular",IF(D54&lt;(Supuestos!$E$7-Supuestos!$D$7)/(Supuestos!$F$7-Supuestos!$D$7),Supuestos!$D$7+SQRT(D54*(Supuestos!$F$7-Supuestos!$D$7)*(Supuestos!$E$7-Supuestos!$D$7)),Supuestos!$F$7-SQRT((1-D54)*(Supuestos!$F$7-Supuestos!$D$7)*(Supuestos!$F$7-Supuestos!$E$7))),IF(Supuestos!$C$7="Uniforme",Supuestos!$D$7+D54*(Supuestos!$E$7-Supuestos!$D$7),IF(Supuestos!$C$7="Lognormal",LOGINV(D54,LN(Supuestos!$D$7)-LN(1+Supuestos!$E$7^2/Supuestos!$D$7^2)/2,SQRT(LN(1+Supuestos!$E$7^2/Supuestos!$D$7^2))),Supuestos!$D$7))))))</f>
        <v/>
      </c>
      <c r="L54" s="32">
        <f>MIN(IF(Supuestos!$H$8="",1E+99,Supuestos!$H$8),MAX(IF(Supuestos!$G$8="",-1E+99,Supuestos!$G$8),IF(Supuestos!$C$8="Normal",NORMINV(E54,Supuestos!$D$8,Supuestos!$E$8),IF(Supuestos!$C$8="Triangular",IF(E54&lt;(Supuestos!$E$8-Supuestos!$D$8)/(Supuestos!$F$8-Supuestos!$D$8),Supuestos!$D$8+SQRT(E54*(Supuestos!$F$8-Supuestos!$D$8)*(Supuestos!$E$8-Supuestos!$D$8)),Supuestos!$F$8-SQRT((1-E54)*(Supuestos!$F$8-Supuestos!$D$8)*(Supuestos!$F$8-Supuestos!$E$8))),IF(Supuestos!$C$8="Uniforme",Supuestos!$D$8+E54*(Supuestos!$E$8-Supuestos!$D$8),IF(Supuestos!$C$8="Lognormal",LOGINV(E54,LN(Supuestos!$D$8)-LN(1+Supuestos!$E$8^2/Supuestos!$D$8^2)/2,SQRT(LN(1+Supuestos!$E$8^2/Supuestos!$D$8^2))),Supuestos!$D$8))))))</f>
        <v/>
      </c>
      <c r="M54" s="32">
        <f>MIN(IF(Supuestos!$H$9="",1E+99,Supuestos!$H$9),MAX(IF(Supuestos!$G$9="",-1E+99,Supuestos!$G$9),IF(Supuestos!$C$9="Normal",NORMINV(F54,Supuestos!$D$9,Supuestos!$E$9),IF(Supuestos!$C$9="Triangular",IF(F54&lt;(Supuestos!$E$9-Supuestos!$D$9)/(Supuestos!$F$9-Supuestos!$D$9),Supuestos!$D$9+SQRT(F54*(Supuestos!$F$9-Supuestos!$D$9)*(Supuestos!$E$9-Supuestos!$D$9)),Supuestos!$F$9-SQRT((1-F54)*(Supuestos!$F$9-Supuestos!$D$9)*(Supuestos!$F$9-Supuestos!$E$9))),IF(Supuestos!$C$9="Uniforme",Supuestos!$D$9+F54*(Supuestos!$E$9-Supuestos!$D$9),IF(Supuestos!$C$9="Lognormal",LOGINV(F54,LN(Supuestos!$D$9)-LN(1+Supuestos!$E$9^2/Supuestos!$D$9^2)/2,SQRT(LN(1+Supuestos!$E$9^2/Supuestos!$D$9^2))),Supuestos!$D$9))))))</f>
        <v/>
      </c>
      <c r="N54" s="32">
        <f>MIN(IF(Supuestos!$H$10="",1E+99,Supuestos!$H$10),MAX(IF(Supuestos!$G$10="",-1E+99,Supuestos!$G$10),IF(Supuestos!$C$10="Normal",NORMINV(G54,Supuestos!$D$10,Supuestos!$E$10),IF(Supuestos!$C$10="Triangular",IF(G54&lt;(Supuestos!$E$10-Supuestos!$D$10)/(Supuestos!$F$10-Supuestos!$D$10),Supuestos!$D$10+SQRT(G54*(Supuestos!$F$10-Supuestos!$D$10)*(Supuestos!$E$10-Supuestos!$D$10)),Supuestos!$F$10-SQRT((1-G54)*(Supuestos!$F$10-Supuestos!$D$10)*(Supuestos!$F$10-Supuestos!$E$10))),IF(Supuestos!$C$10="Uniforme",Supuestos!$D$10+G54*(Supuestos!$E$10-Supuestos!$D$10),IF(Supuestos!$C$10="Lognormal",LOGINV(G54,LN(Supuestos!$D$10)-LN(1+Supuestos!$E$10^2/Supuestos!$D$10^2)/2,SQRT(LN(1+Supuestos!$E$10^2/Supuestos!$D$10^2))),Supuestos!$D$10))))))</f>
        <v/>
      </c>
      <c r="O54" s="31">
        <f>MIN(IF(Supuestos!$H$11="",1E+99,Supuestos!$H$11),MAX(IF(Supuestos!$G$11="",-1E+99,Supuestos!$G$11),IF(Supuestos!$C$11="Normal",NORMINV(H54,Supuestos!$D$11,Supuestos!$E$11),IF(Supuestos!$C$11="Triangular",IF(H54&lt;(Supuestos!$E$11-Supuestos!$D$11)/(Supuestos!$F$11-Supuestos!$D$11),Supuestos!$D$11+SQRT(H54*(Supuestos!$F$11-Supuestos!$D$11)*(Supuestos!$E$11-Supuestos!$D$11)),Supuestos!$F$11-SQRT((1-H54)*(Supuestos!$F$11-Supuestos!$D$11)*(Supuestos!$F$11-Supuestos!$E$11))),IF(Supuestos!$C$11="Uniforme",Supuestos!$D$11+H54*(Supuestos!$E$11-Supuestos!$D$11),IF(Supuestos!$C$11="Lognormal",LOGINV(H54,LN(Supuestos!$D$11)-LN(1+Supuestos!$E$11^2/Supuestos!$D$11^2)/2,SQRT(LN(1+Supuestos!$E$11^2/Supuestos!$D$11^2))),Supuestos!$D$11))))))</f>
        <v/>
      </c>
      <c r="P54" s="33">
        <f>-I54</f>
        <v/>
      </c>
      <c r="Q54" s="33">
        <f>$J54*(1+$K54)^(1-1)*(1-$L54)*(1-$M54)</f>
        <v/>
      </c>
      <c r="R54" s="33">
        <f>$J54*(1+$K54)^(2-1)*(1-$L54)*(1-$M54)</f>
        <v/>
      </c>
      <c r="S54" s="33">
        <f>$J54*(1+$K54)^(3-1)*(1-$L54)*(1-$M54)</f>
        <v/>
      </c>
      <c r="T54" s="33">
        <f>$J54*(1+$K54)^(4-1)*(1-$L54)*(1-$M54)</f>
        <v/>
      </c>
      <c r="U54" s="33">
        <f>$J54*(1+$K54)^(5-1)*(1-$L54)*(1-$M54)+$O54</f>
        <v/>
      </c>
      <c r="V54" s="33">
        <f>P54+NPV($N54,Q54:U54)</f>
        <v/>
      </c>
      <c r="W54" s="32">
        <f>IFERROR(IRR(P54:U54,0.1),"")</f>
        <v/>
      </c>
    </row>
    <row r="55">
      <c r="A55" s="14" t="n">
        <v>51</v>
      </c>
      <c r="B55" s="30">
        <f>RAND()*(1-2E-6)+1E-6</f>
        <v/>
      </c>
      <c r="C55" s="30">
        <f>RAND()*(1-2E-6)+1E-6</f>
        <v/>
      </c>
      <c r="D55" s="30">
        <f>RAND()*(1-2E-6)+1E-6</f>
        <v/>
      </c>
      <c r="E55" s="30">
        <f>RAND()*(1-2E-6)+1E-6</f>
        <v/>
      </c>
      <c r="F55" s="30">
        <f>RAND()*(1-2E-6)+1E-6</f>
        <v/>
      </c>
      <c r="G55" s="30">
        <f>RAND()*(1-2E-6)+1E-6</f>
        <v/>
      </c>
      <c r="H55" s="30">
        <f>RAND()*(1-2E-6)+1E-6</f>
        <v/>
      </c>
      <c r="I55" s="31">
        <f>MIN(IF(Supuestos!$H$5="",1E+99,Supuestos!$H$5),MAX(IF(Supuestos!$G$5="",-1E+99,Supuestos!$G$5),IF(Supuestos!$C$5="Normal",NORMINV(B55,Supuestos!$D$5,Supuestos!$E$5),IF(Supuestos!$C$5="Triangular",IF(B55&lt;(Supuestos!$E$5-Supuestos!$D$5)/(Supuestos!$F$5-Supuestos!$D$5),Supuestos!$D$5+SQRT(B55*(Supuestos!$F$5-Supuestos!$D$5)*(Supuestos!$E$5-Supuestos!$D$5)),Supuestos!$F$5-SQRT((1-B55)*(Supuestos!$F$5-Supuestos!$D$5)*(Supuestos!$F$5-Supuestos!$E$5))),IF(Supuestos!$C$5="Uniforme",Supuestos!$D$5+B55*(Supuestos!$E$5-Supuestos!$D$5),IF(Supuestos!$C$5="Lognormal",LOGINV(B55,LN(Supuestos!$D$5)-LN(1+Supuestos!$E$5^2/Supuestos!$D$5^2)/2,SQRT(LN(1+Supuestos!$E$5^2/Supuestos!$D$5^2))),Supuestos!$D$5))))))</f>
        <v/>
      </c>
      <c r="J55" s="31">
        <f>MIN(IF(Supuestos!$H$6="",1E+99,Supuestos!$H$6),MAX(IF(Supuestos!$G$6="",-1E+99,Supuestos!$G$6),IF(Supuestos!$C$6="Normal",NORMINV(C55,Supuestos!$D$6,Supuestos!$E$6),IF(Supuestos!$C$6="Triangular",IF(C55&lt;(Supuestos!$E$6-Supuestos!$D$6)/(Supuestos!$F$6-Supuestos!$D$6),Supuestos!$D$6+SQRT(C55*(Supuestos!$F$6-Supuestos!$D$6)*(Supuestos!$E$6-Supuestos!$D$6)),Supuestos!$F$6-SQRT((1-C55)*(Supuestos!$F$6-Supuestos!$D$6)*(Supuestos!$F$6-Supuestos!$E$6))),IF(Supuestos!$C$6="Uniforme",Supuestos!$D$6+C55*(Supuestos!$E$6-Supuestos!$D$6),IF(Supuestos!$C$6="Lognormal",LOGINV(C55,LN(Supuestos!$D$6)-LN(1+Supuestos!$E$6^2/Supuestos!$D$6^2)/2,SQRT(LN(1+Supuestos!$E$6^2/Supuestos!$D$6^2))),Supuestos!$D$6))))))</f>
        <v/>
      </c>
      <c r="K55" s="32">
        <f>MIN(IF(Supuestos!$H$7="",1E+99,Supuestos!$H$7),MAX(IF(Supuestos!$G$7="",-1E+99,Supuestos!$G$7),IF(Supuestos!$C$7="Normal",NORMINV(D55,Supuestos!$D$7,Supuestos!$E$7),IF(Supuestos!$C$7="Triangular",IF(D55&lt;(Supuestos!$E$7-Supuestos!$D$7)/(Supuestos!$F$7-Supuestos!$D$7),Supuestos!$D$7+SQRT(D55*(Supuestos!$F$7-Supuestos!$D$7)*(Supuestos!$E$7-Supuestos!$D$7)),Supuestos!$F$7-SQRT((1-D55)*(Supuestos!$F$7-Supuestos!$D$7)*(Supuestos!$F$7-Supuestos!$E$7))),IF(Supuestos!$C$7="Uniforme",Supuestos!$D$7+D55*(Supuestos!$E$7-Supuestos!$D$7),IF(Supuestos!$C$7="Lognormal",LOGINV(D55,LN(Supuestos!$D$7)-LN(1+Supuestos!$E$7^2/Supuestos!$D$7^2)/2,SQRT(LN(1+Supuestos!$E$7^2/Supuestos!$D$7^2))),Supuestos!$D$7))))))</f>
        <v/>
      </c>
      <c r="L55" s="32">
        <f>MIN(IF(Supuestos!$H$8="",1E+99,Supuestos!$H$8),MAX(IF(Supuestos!$G$8="",-1E+99,Supuestos!$G$8),IF(Supuestos!$C$8="Normal",NORMINV(E55,Supuestos!$D$8,Supuestos!$E$8),IF(Supuestos!$C$8="Triangular",IF(E55&lt;(Supuestos!$E$8-Supuestos!$D$8)/(Supuestos!$F$8-Supuestos!$D$8),Supuestos!$D$8+SQRT(E55*(Supuestos!$F$8-Supuestos!$D$8)*(Supuestos!$E$8-Supuestos!$D$8)),Supuestos!$F$8-SQRT((1-E55)*(Supuestos!$F$8-Supuestos!$D$8)*(Supuestos!$F$8-Supuestos!$E$8))),IF(Supuestos!$C$8="Uniforme",Supuestos!$D$8+E55*(Supuestos!$E$8-Supuestos!$D$8),IF(Supuestos!$C$8="Lognormal",LOGINV(E55,LN(Supuestos!$D$8)-LN(1+Supuestos!$E$8^2/Supuestos!$D$8^2)/2,SQRT(LN(1+Supuestos!$E$8^2/Supuestos!$D$8^2))),Supuestos!$D$8))))))</f>
        <v/>
      </c>
      <c r="M55" s="32">
        <f>MIN(IF(Supuestos!$H$9="",1E+99,Supuestos!$H$9),MAX(IF(Supuestos!$G$9="",-1E+99,Supuestos!$G$9),IF(Supuestos!$C$9="Normal",NORMINV(F55,Supuestos!$D$9,Supuestos!$E$9),IF(Supuestos!$C$9="Triangular",IF(F55&lt;(Supuestos!$E$9-Supuestos!$D$9)/(Supuestos!$F$9-Supuestos!$D$9),Supuestos!$D$9+SQRT(F55*(Supuestos!$F$9-Supuestos!$D$9)*(Supuestos!$E$9-Supuestos!$D$9)),Supuestos!$F$9-SQRT((1-F55)*(Supuestos!$F$9-Supuestos!$D$9)*(Supuestos!$F$9-Supuestos!$E$9))),IF(Supuestos!$C$9="Uniforme",Supuestos!$D$9+F55*(Supuestos!$E$9-Supuestos!$D$9),IF(Supuestos!$C$9="Lognormal",LOGINV(F55,LN(Supuestos!$D$9)-LN(1+Supuestos!$E$9^2/Supuestos!$D$9^2)/2,SQRT(LN(1+Supuestos!$E$9^2/Supuestos!$D$9^2))),Supuestos!$D$9))))))</f>
        <v/>
      </c>
      <c r="N55" s="32">
        <f>MIN(IF(Supuestos!$H$10="",1E+99,Supuestos!$H$10),MAX(IF(Supuestos!$G$10="",-1E+99,Supuestos!$G$10),IF(Supuestos!$C$10="Normal",NORMINV(G55,Supuestos!$D$10,Supuestos!$E$10),IF(Supuestos!$C$10="Triangular",IF(G55&lt;(Supuestos!$E$10-Supuestos!$D$10)/(Supuestos!$F$10-Supuestos!$D$10),Supuestos!$D$10+SQRT(G55*(Supuestos!$F$10-Supuestos!$D$10)*(Supuestos!$E$10-Supuestos!$D$10)),Supuestos!$F$10-SQRT((1-G55)*(Supuestos!$F$10-Supuestos!$D$10)*(Supuestos!$F$10-Supuestos!$E$10))),IF(Supuestos!$C$10="Uniforme",Supuestos!$D$10+G55*(Supuestos!$E$10-Supuestos!$D$10),IF(Supuestos!$C$10="Lognormal",LOGINV(G55,LN(Supuestos!$D$10)-LN(1+Supuestos!$E$10^2/Supuestos!$D$10^2)/2,SQRT(LN(1+Supuestos!$E$10^2/Supuestos!$D$10^2))),Supuestos!$D$10))))))</f>
        <v/>
      </c>
      <c r="O55" s="31">
        <f>MIN(IF(Supuestos!$H$11="",1E+99,Supuestos!$H$11),MAX(IF(Supuestos!$G$11="",-1E+99,Supuestos!$G$11),IF(Supuestos!$C$11="Normal",NORMINV(H55,Supuestos!$D$11,Supuestos!$E$11),IF(Supuestos!$C$11="Triangular",IF(H55&lt;(Supuestos!$E$11-Supuestos!$D$11)/(Supuestos!$F$11-Supuestos!$D$11),Supuestos!$D$11+SQRT(H55*(Supuestos!$F$11-Supuestos!$D$11)*(Supuestos!$E$11-Supuestos!$D$11)),Supuestos!$F$11-SQRT((1-H55)*(Supuestos!$F$11-Supuestos!$D$11)*(Supuestos!$F$11-Supuestos!$E$11))),IF(Supuestos!$C$11="Uniforme",Supuestos!$D$11+H55*(Supuestos!$E$11-Supuestos!$D$11),IF(Supuestos!$C$11="Lognormal",LOGINV(H55,LN(Supuestos!$D$11)-LN(1+Supuestos!$E$11^2/Supuestos!$D$11^2)/2,SQRT(LN(1+Supuestos!$E$11^2/Supuestos!$D$11^2))),Supuestos!$D$11))))))</f>
        <v/>
      </c>
      <c r="P55" s="33">
        <f>-I55</f>
        <v/>
      </c>
      <c r="Q55" s="33">
        <f>$J55*(1+$K55)^(1-1)*(1-$L55)*(1-$M55)</f>
        <v/>
      </c>
      <c r="R55" s="33">
        <f>$J55*(1+$K55)^(2-1)*(1-$L55)*(1-$M55)</f>
        <v/>
      </c>
      <c r="S55" s="33">
        <f>$J55*(1+$K55)^(3-1)*(1-$L55)*(1-$M55)</f>
        <v/>
      </c>
      <c r="T55" s="33">
        <f>$J55*(1+$K55)^(4-1)*(1-$L55)*(1-$M55)</f>
        <v/>
      </c>
      <c r="U55" s="33">
        <f>$J55*(1+$K55)^(5-1)*(1-$L55)*(1-$M55)+$O55</f>
        <v/>
      </c>
      <c r="V55" s="33">
        <f>P55+NPV($N55,Q55:U55)</f>
        <v/>
      </c>
      <c r="W55" s="32">
        <f>IFERROR(IRR(P55:U55,0.1),"")</f>
        <v/>
      </c>
    </row>
    <row r="56">
      <c r="A56" s="14" t="n">
        <v>52</v>
      </c>
      <c r="B56" s="30">
        <f>RAND()*(1-2E-6)+1E-6</f>
        <v/>
      </c>
      <c r="C56" s="30">
        <f>RAND()*(1-2E-6)+1E-6</f>
        <v/>
      </c>
      <c r="D56" s="30">
        <f>RAND()*(1-2E-6)+1E-6</f>
        <v/>
      </c>
      <c r="E56" s="30">
        <f>RAND()*(1-2E-6)+1E-6</f>
        <v/>
      </c>
      <c r="F56" s="30">
        <f>RAND()*(1-2E-6)+1E-6</f>
        <v/>
      </c>
      <c r="G56" s="30">
        <f>RAND()*(1-2E-6)+1E-6</f>
        <v/>
      </c>
      <c r="H56" s="30">
        <f>RAND()*(1-2E-6)+1E-6</f>
        <v/>
      </c>
      <c r="I56" s="31">
        <f>MIN(IF(Supuestos!$H$5="",1E+99,Supuestos!$H$5),MAX(IF(Supuestos!$G$5="",-1E+99,Supuestos!$G$5),IF(Supuestos!$C$5="Normal",NORMINV(B56,Supuestos!$D$5,Supuestos!$E$5),IF(Supuestos!$C$5="Triangular",IF(B56&lt;(Supuestos!$E$5-Supuestos!$D$5)/(Supuestos!$F$5-Supuestos!$D$5),Supuestos!$D$5+SQRT(B56*(Supuestos!$F$5-Supuestos!$D$5)*(Supuestos!$E$5-Supuestos!$D$5)),Supuestos!$F$5-SQRT((1-B56)*(Supuestos!$F$5-Supuestos!$D$5)*(Supuestos!$F$5-Supuestos!$E$5))),IF(Supuestos!$C$5="Uniforme",Supuestos!$D$5+B56*(Supuestos!$E$5-Supuestos!$D$5),IF(Supuestos!$C$5="Lognormal",LOGINV(B56,LN(Supuestos!$D$5)-LN(1+Supuestos!$E$5^2/Supuestos!$D$5^2)/2,SQRT(LN(1+Supuestos!$E$5^2/Supuestos!$D$5^2))),Supuestos!$D$5))))))</f>
        <v/>
      </c>
      <c r="J56" s="31">
        <f>MIN(IF(Supuestos!$H$6="",1E+99,Supuestos!$H$6),MAX(IF(Supuestos!$G$6="",-1E+99,Supuestos!$G$6),IF(Supuestos!$C$6="Normal",NORMINV(C56,Supuestos!$D$6,Supuestos!$E$6),IF(Supuestos!$C$6="Triangular",IF(C56&lt;(Supuestos!$E$6-Supuestos!$D$6)/(Supuestos!$F$6-Supuestos!$D$6),Supuestos!$D$6+SQRT(C56*(Supuestos!$F$6-Supuestos!$D$6)*(Supuestos!$E$6-Supuestos!$D$6)),Supuestos!$F$6-SQRT((1-C56)*(Supuestos!$F$6-Supuestos!$D$6)*(Supuestos!$F$6-Supuestos!$E$6))),IF(Supuestos!$C$6="Uniforme",Supuestos!$D$6+C56*(Supuestos!$E$6-Supuestos!$D$6),IF(Supuestos!$C$6="Lognormal",LOGINV(C56,LN(Supuestos!$D$6)-LN(1+Supuestos!$E$6^2/Supuestos!$D$6^2)/2,SQRT(LN(1+Supuestos!$E$6^2/Supuestos!$D$6^2))),Supuestos!$D$6))))))</f>
        <v/>
      </c>
      <c r="K56" s="32">
        <f>MIN(IF(Supuestos!$H$7="",1E+99,Supuestos!$H$7),MAX(IF(Supuestos!$G$7="",-1E+99,Supuestos!$G$7),IF(Supuestos!$C$7="Normal",NORMINV(D56,Supuestos!$D$7,Supuestos!$E$7),IF(Supuestos!$C$7="Triangular",IF(D56&lt;(Supuestos!$E$7-Supuestos!$D$7)/(Supuestos!$F$7-Supuestos!$D$7),Supuestos!$D$7+SQRT(D56*(Supuestos!$F$7-Supuestos!$D$7)*(Supuestos!$E$7-Supuestos!$D$7)),Supuestos!$F$7-SQRT((1-D56)*(Supuestos!$F$7-Supuestos!$D$7)*(Supuestos!$F$7-Supuestos!$E$7))),IF(Supuestos!$C$7="Uniforme",Supuestos!$D$7+D56*(Supuestos!$E$7-Supuestos!$D$7),IF(Supuestos!$C$7="Lognormal",LOGINV(D56,LN(Supuestos!$D$7)-LN(1+Supuestos!$E$7^2/Supuestos!$D$7^2)/2,SQRT(LN(1+Supuestos!$E$7^2/Supuestos!$D$7^2))),Supuestos!$D$7))))))</f>
        <v/>
      </c>
      <c r="L56" s="32">
        <f>MIN(IF(Supuestos!$H$8="",1E+99,Supuestos!$H$8),MAX(IF(Supuestos!$G$8="",-1E+99,Supuestos!$G$8),IF(Supuestos!$C$8="Normal",NORMINV(E56,Supuestos!$D$8,Supuestos!$E$8),IF(Supuestos!$C$8="Triangular",IF(E56&lt;(Supuestos!$E$8-Supuestos!$D$8)/(Supuestos!$F$8-Supuestos!$D$8),Supuestos!$D$8+SQRT(E56*(Supuestos!$F$8-Supuestos!$D$8)*(Supuestos!$E$8-Supuestos!$D$8)),Supuestos!$F$8-SQRT((1-E56)*(Supuestos!$F$8-Supuestos!$D$8)*(Supuestos!$F$8-Supuestos!$E$8))),IF(Supuestos!$C$8="Uniforme",Supuestos!$D$8+E56*(Supuestos!$E$8-Supuestos!$D$8),IF(Supuestos!$C$8="Lognormal",LOGINV(E56,LN(Supuestos!$D$8)-LN(1+Supuestos!$E$8^2/Supuestos!$D$8^2)/2,SQRT(LN(1+Supuestos!$E$8^2/Supuestos!$D$8^2))),Supuestos!$D$8))))))</f>
        <v/>
      </c>
      <c r="M56" s="32">
        <f>MIN(IF(Supuestos!$H$9="",1E+99,Supuestos!$H$9),MAX(IF(Supuestos!$G$9="",-1E+99,Supuestos!$G$9),IF(Supuestos!$C$9="Normal",NORMINV(F56,Supuestos!$D$9,Supuestos!$E$9),IF(Supuestos!$C$9="Triangular",IF(F56&lt;(Supuestos!$E$9-Supuestos!$D$9)/(Supuestos!$F$9-Supuestos!$D$9),Supuestos!$D$9+SQRT(F56*(Supuestos!$F$9-Supuestos!$D$9)*(Supuestos!$E$9-Supuestos!$D$9)),Supuestos!$F$9-SQRT((1-F56)*(Supuestos!$F$9-Supuestos!$D$9)*(Supuestos!$F$9-Supuestos!$E$9))),IF(Supuestos!$C$9="Uniforme",Supuestos!$D$9+F56*(Supuestos!$E$9-Supuestos!$D$9),IF(Supuestos!$C$9="Lognormal",LOGINV(F56,LN(Supuestos!$D$9)-LN(1+Supuestos!$E$9^2/Supuestos!$D$9^2)/2,SQRT(LN(1+Supuestos!$E$9^2/Supuestos!$D$9^2))),Supuestos!$D$9))))))</f>
        <v/>
      </c>
      <c r="N56" s="32">
        <f>MIN(IF(Supuestos!$H$10="",1E+99,Supuestos!$H$10),MAX(IF(Supuestos!$G$10="",-1E+99,Supuestos!$G$10),IF(Supuestos!$C$10="Normal",NORMINV(G56,Supuestos!$D$10,Supuestos!$E$10),IF(Supuestos!$C$10="Triangular",IF(G56&lt;(Supuestos!$E$10-Supuestos!$D$10)/(Supuestos!$F$10-Supuestos!$D$10),Supuestos!$D$10+SQRT(G56*(Supuestos!$F$10-Supuestos!$D$10)*(Supuestos!$E$10-Supuestos!$D$10)),Supuestos!$F$10-SQRT((1-G56)*(Supuestos!$F$10-Supuestos!$D$10)*(Supuestos!$F$10-Supuestos!$E$10))),IF(Supuestos!$C$10="Uniforme",Supuestos!$D$10+G56*(Supuestos!$E$10-Supuestos!$D$10),IF(Supuestos!$C$10="Lognormal",LOGINV(G56,LN(Supuestos!$D$10)-LN(1+Supuestos!$E$10^2/Supuestos!$D$10^2)/2,SQRT(LN(1+Supuestos!$E$10^2/Supuestos!$D$10^2))),Supuestos!$D$10))))))</f>
        <v/>
      </c>
      <c r="O56" s="31">
        <f>MIN(IF(Supuestos!$H$11="",1E+99,Supuestos!$H$11),MAX(IF(Supuestos!$G$11="",-1E+99,Supuestos!$G$11),IF(Supuestos!$C$11="Normal",NORMINV(H56,Supuestos!$D$11,Supuestos!$E$11),IF(Supuestos!$C$11="Triangular",IF(H56&lt;(Supuestos!$E$11-Supuestos!$D$11)/(Supuestos!$F$11-Supuestos!$D$11),Supuestos!$D$11+SQRT(H56*(Supuestos!$F$11-Supuestos!$D$11)*(Supuestos!$E$11-Supuestos!$D$11)),Supuestos!$F$11-SQRT((1-H56)*(Supuestos!$F$11-Supuestos!$D$11)*(Supuestos!$F$11-Supuestos!$E$11))),IF(Supuestos!$C$11="Uniforme",Supuestos!$D$11+H56*(Supuestos!$E$11-Supuestos!$D$11),IF(Supuestos!$C$11="Lognormal",LOGINV(H56,LN(Supuestos!$D$11)-LN(1+Supuestos!$E$11^2/Supuestos!$D$11^2)/2,SQRT(LN(1+Supuestos!$E$11^2/Supuestos!$D$11^2))),Supuestos!$D$11))))))</f>
        <v/>
      </c>
      <c r="P56" s="33">
        <f>-I56</f>
        <v/>
      </c>
      <c r="Q56" s="33">
        <f>$J56*(1+$K56)^(1-1)*(1-$L56)*(1-$M56)</f>
        <v/>
      </c>
      <c r="R56" s="33">
        <f>$J56*(1+$K56)^(2-1)*(1-$L56)*(1-$M56)</f>
        <v/>
      </c>
      <c r="S56" s="33">
        <f>$J56*(1+$K56)^(3-1)*(1-$L56)*(1-$M56)</f>
        <v/>
      </c>
      <c r="T56" s="33">
        <f>$J56*(1+$K56)^(4-1)*(1-$L56)*(1-$M56)</f>
        <v/>
      </c>
      <c r="U56" s="33">
        <f>$J56*(1+$K56)^(5-1)*(1-$L56)*(1-$M56)+$O56</f>
        <v/>
      </c>
      <c r="V56" s="33">
        <f>P56+NPV($N56,Q56:U56)</f>
        <v/>
      </c>
      <c r="W56" s="32">
        <f>IFERROR(IRR(P56:U56,0.1),"")</f>
        <v/>
      </c>
    </row>
    <row r="57">
      <c r="A57" s="14" t="n">
        <v>53</v>
      </c>
      <c r="B57" s="30">
        <f>RAND()*(1-2E-6)+1E-6</f>
        <v/>
      </c>
      <c r="C57" s="30">
        <f>RAND()*(1-2E-6)+1E-6</f>
        <v/>
      </c>
      <c r="D57" s="30">
        <f>RAND()*(1-2E-6)+1E-6</f>
        <v/>
      </c>
      <c r="E57" s="30">
        <f>RAND()*(1-2E-6)+1E-6</f>
        <v/>
      </c>
      <c r="F57" s="30">
        <f>RAND()*(1-2E-6)+1E-6</f>
        <v/>
      </c>
      <c r="G57" s="30">
        <f>RAND()*(1-2E-6)+1E-6</f>
        <v/>
      </c>
      <c r="H57" s="30">
        <f>RAND()*(1-2E-6)+1E-6</f>
        <v/>
      </c>
      <c r="I57" s="31">
        <f>MIN(IF(Supuestos!$H$5="",1E+99,Supuestos!$H$5),MAX(IF(Supuestos!$G$5="",-1E+99,Supuestos!$G$5),IF(Supuestos!$C$5="Normal",NORMINV(B57,Supuestos!$D$5,Supuestos!$E$5),IF(Supuestos!$C$5="Triangular",IF(B57&lt;(Supuestos!$E$5-Supuestos!$D$5)/(Supuestos!$F$5-Supuestos!$D$5),Supuestos!$D$5+SQRT(B57*(Supuestos!$F$5-Supuestos!$D$5)*(Supuestos!$E$5-Supuestos!$D$5)),Supuestos!$F$5-SQRT((1-B57)*(Supuestos!$F$5-Supuestos!$D$5)*(Supuestos!$F$5-Supuestos!$E$5))),IF(Supuestos!$C$5="Uniforme",Supuestos!$D$5+B57*(Supuestos!$E$5-Supuestos!$D$5),IF(Supuestos!$C$5="Lognormal",LOGINV(B57,LN(Supuestos!$D$5)-LN(1+Supuestos!$E$5^2/Supuestos!$D$5^2)/2,SQRT(LN(1+Supuestos!$E$5^2/Supuestos!$D$5^2))),Supuestos!$D$5))))))</f>
        <v/>
      </c>
      <c r="J57" s="31">
        <f>MIN(IF(Supuestos!$H$6="",1E+99,Supuestos!$H$6),MAX(IF(Supuestos!$G$6="",-1E+99,Supuestos!$G$6),IF(Supuestos!$C$6="Normal",NORMINV(C57,Supuestos!$D$6,Supuestos!$E$6),IF(Supuestos!$C$6="Triangular",IF(C57&lt;(Supuestos!$E$6-Supuestos!$D$6)/(Supuestos!$F$6-Supuestos!$D$6),Supuestos!$D$6+SQRT(C57*(Supuestos!$F$6-Supuestos!$D$6)*(Supuestos!$E$6-Supuestos!$D$6)),Supuestos!$F$6-SQRT((1-C57)*(Supuestos!$F$6-Supuestos!$D$6)*(Supuestos!$F$6-Supuestos!$E$6))),IF(Supuestos!$C$6="Uniforme",Supuestos!$D$6+C57*(Supuestos!$E$6-Supuestos!$D$6),IF(Supuestos!$C$6="Lognormal",LOGINV(C57,LN(Supuestos!$D$6)-LN(1+Supuestos!$E$6^2/Supuestos!$D$6^2)/2,SQRT(LN(1+Supuestos!$E$6^2/Supuestos!$D$6^2))),Supuestos!$D$6))))))</f>
        <v/>
      </c>
      <c r="K57" s="32">
        <f>MIN(IF(Supuestos!$H$7="",1E+99,Supuestos!$H$7),MAX(IF(Supuestos!$G$7="",-1E+99,Supuestos!$G$7),IF(Supuestos!$C$7="Normal",NORMINV(D57,Supuestos!$D$7,Supuestos!$E$7),IF(Supuestos!$C$7="Triangular",IF(D57&lt;(Supuestos!$E$7-Supuestos!$D$7)/(Supuestos!$F$7-Supuestos!$D$7),Supuestos!$D$7+SQRT(D57*(Supuestos!$F$7-Supuestos!$D$7)*(Supuestos!$E$7-Supuestos!$D$7)),Supuestos!$F$7-SQRT((1-D57)*(Supuestos!$F$7-Supuestos!$D$7)*(Supuestos!$F$7-Supuestos!$E$7))),IF(Supuestos!$C$7="Uniforme",Supuestos!$D$7+D57*(Supuestos!$E$7-Supuestos!$D$7),IF(Supuestos!$C$7="Lognormal",LOGINV(D57,LN(Supuestos!$D$7)-LN(1+Supuestos!$E$7^2/Supuestos!$D$7^2)/2,SQRT(LN(1+Supuestos!$E$7^2/Supuestos!$D$7^2))),Supuestos!$D$7))))))</f>
        <v/>
      </c>
      <c r="L57" s="32">
        <f>MIN(IF(Supuestos!$H$8="",1E+99,Supuestos!$H$8),MAX(IF(Supuestos!$G$8="",-1E+99,Supuestos!$G$8),IF(Supuestos!$C$8="Normal",NORMINV(E57,Supuestos!$D$8,Supuestos!$E$8),IF(Supuestos!$C$8="Triangular",IF(E57&lt;(Supuestos!$E$8-Supuestos!$D$8)/(Supuestos!$F$8-Supuestos!$D$8),Supuestos!$D$8+SQRT(E57*(Supuestos!$F$8-Supuestos!$D$8)*(Supuestos!$E$8-Supuestos!$D$8)),Supuestos!$F$8-SQRT((1-E57)*(Supuestos!$F$8-Supuestos!$D$8)*(Supuestos!$F$8-Supuestos!$E$8))),IF(Supuestos!$C$8="Uniforme",Supuestos!$D$8+E57*(Supuestos!$E$8-Supuestos!$D$8),IF(Supuestos!$C$8="Lognormal",LOGINV(E57,LN(Supuestos!$D$8)-LN(1+Supuestos!$E$8^2/Supuestos!$D$8^2)/2,SQRT(LN(1+Supuestos!$E$8^2/Supuestos!$D$8^2))),Supuestos!$D$8))))))</f>
        <v/>
      </c>
      <c r="M57" s="32">
        <f>MIN(IF(Supuestos!$H$9="",1E+99,Supuestos!$H$9),MAX(IF(Supuestos!$G$9="",-1E+99,Supuestos!$G$9),IF(Supuestos!$C$9="Normal",NORMINV(F57,Supuestos!$D$9,Supuestos!$E$9),IF(Supuestos!$C$9="Triangular",IF(F57&lt;(Supuestos!$E$9-Supuestos!$D$9)/(Supuestos!$F$9-Supuestos!$D$9),Supuestos!$D$9+SQRT(F57*(Supuestos!$F$9-Supuestos!$D$9)*(Supuestos!$E$9-Supuestos!$D$9)),Supuestos!$F$9-SQRT((1-F57)*(Supuestos!$F$9-Supuestos!$D$9)*(Supuestos!$F$9-Supuestos!$E$9))),IF(Supuestos!$C$9="Uniforme",Supuestos!$D$9+F57*(Supuestos!$E$9-Supuestos!$D$9),IF(Supuestos!$C$9="Lognormal",LOGINV(F57,LN(Supuestos!$D$9)-LN(1+Supuestos!$E$9^2/Supuestos!$D$9^2)/2,SQRT(LN(1+Supuestos!$E$9^2/Supuestos!$D$9^2))),Supuestos!$D$9))))))</f>
        <v/>
      </c>
      <c r="N57" s="32">
        <f>MIN(IF(Supuestos!$H$10="",1E+99,Supuestos!$H$10),MAX(IF(Supuestos!$G$10="",-1E+99,Supuestos!$G$10),IF(Supuestos!$C$10="Normal",NORMINV(G57,Supuestos!$D$10,Supuestos!$E$10),IF(Supuestos!$C$10="Triangular",IF(G57&lt;(Supuestos!$E$10-Supuestos!$D$10)/(Supuestos!$F$10-Supuestos!$D$10),Supuestos!$D$10+SQRT(G57*(Supuestos!$F$10-Supuestos!$D$10)*(Supuestos!$E$10-Supuestos!$D$10)),Supuestos!$F$10-SQRT((1-G57)*(Supuestos!$F$10-Supuestos!$D$10)*(Supuestos!$F$10-Supuestos!$E$10))),IF(Supuestos!$C$10="Uniforme",Supuestos!$D$10+G57*(Supuestos!$E$10-Supuestos!$D$10),IF(Supuestos!$C$10="Lognormal",LOGINV(G57,LN(Supuestos!$D$10)-LN(1+Supuestos!$E$10^2/Supuestos!$D$10^2)/2,SQRT(LN(1+Supuestos!$E$10^2/Supuestos!$D$10^2))),Supuestos!$D$10))))))</f>
        <v/>
      </c>
      <c r="O57" s="31">
        <f>MIN(IF(Supuestos!$H$11="",1E+99,Supuestos!$H$11),MAX(IF(Supuestos!$G$11="",-1E+99,Supuestos!$G$11),IF(Supuestos!$C$11="Normal",NORMINV(H57,Supuestos!$D$11,Supuestos!$E$11),IF(Supuestos!$C$11="Triangular",IF(H57&lt;(Supuestos!$E$11-Supuestos!$D$11)/(Supuestos!$F$11-Supuestos!$D$11),Supuestos!$D$11+SQRT(H57*(Supuestos!$F$11-Supuestos!$D$11)*(Supuestos!$E$11-Supuestos!$D$11)),Supuestos!$F$11-SQRT((1-H57)*(Supuestos!$F$11-Supuestos!$D$11)*(Supuestos!$F$11-Supuestos!$E$11))),IF(Supuestos!$C$11="Uniforme",Supuestos!$D$11+H57*(Supuestos!$E$11-Supuestos!$D$11),IF(Supuestos!$C$11="Lognormal",LOGINV(H57,LN(Supuestos!$D$11)-LN(1+Supuestos!$E$11^2/Supuestos!$D$11^2)/2,SQRT(LN(1+Supuestos!$E$11^2/Supuestos!$D$11^2))),Supuestos!$D$11))))))</f>
        <v/>
      </c>
      <c r="P57" s="33">
        <f>-I57</f>
        <v/>
      </c>
      <c r="Q57" s="33">
        <f>$J57*(1+$K57)^(1-1)*(1-$L57)*(1-$M57)</f>
        <v/>
      </c>
      <c r="R57" s="33">
        <f>$J57*(1+$K57)^(2-1)*(1-$L57)*(1-$M57)</f>
        <v/>
      </c>
      <c r="S57" s="33">
        <f>$J57*(1+$K57)^(3-1)*(1-$L57)*(1-$M57)</f>
        <v/>
      </c>
      <c r="T57" s="33">
        <f>$J57*(1+$K57)^(4-1)*(1-$L57)*(1-$M57)</f>
        <v/>
      </c>
      <c r="U57" s="33">
        <f>$J57*(1+$K57)^(5-1)*(1-$L57)*(1-$M57)+$O57</f>
        <v/>
      </c>
      <c r="V57" s="33">
        <f>P57+NPV($N57,Q57:U57)</f>
        <v/>
      </c>
      <c r="W57" s="32">
        <f>IFERROR(IRR(P57:U57,0.1),"")</f>
        <v/>
      </c>
    </row>
    <row r="58">
      <c r="A58" s="14" t="n">
        <v>54</v>
      </c>
      <c r="B58" s="30">
        <f>RAND()*(1-2E-6)+1E-6</f>
        <v/>
      </c>
      <c r="C58" s="30">
        <f>RAND()*(1-2E-6)+1E-6</f>
        <v/>
      </c>
      <c r="D58" s="30">
        <f>RAND()*(1-2E-6)+1E-6</f>
        <v/>
      </c>
      <c r="E58" s="30">
        <f>RAND()*(1-2E-6)+1E-6</f>
        <v/>
      </c>
      <c r="F58" s="30">
        <f>RAND()*(1-2E-6)+1E-6</f>
        <v/>
      </c>
      <c r="G58" s="30">
        <f>RAND()*(1-2E-6)+1E-6</f>
        <v/>
      </c>
      <c r="H58" s="30">
        <f>RAND()*(1-2E-6)+1E-6</f>
        <v/>
      </c>
      <c r="I58" s="31">
        <f>MIN(IF(Supuestos!$H$5="",1E+99,Supuestos!$H$5),MAX(IF(Supuestos!$G$5="",-1E+99,Supuestos!$G$5),IF(Supuestos!$C$5="Normal",NORMINV(B58,Supuestos!$D$5,Supuestos!$E$5),IF(Supuestos!$C$5="Triangular",IF(B58&lt;(Supuestos!$E$5-Supuestos!$D$5)/(Supuestos!$F$5-Supuestos!$D$5),Supuestos!$D$5+SQRT(B58*(Supuestos!$F$5-Supuestos!$D$5)*(Supuestos!$E$5-Supuestos!$D$5)),Supuestos!$F$5-SQRT((1-B58)*(Supuestos!$F$5-Supuestos!$D$5)*(Supuestos!$F$5-Supuestos!$E$5))),IF(Supuestos!$C$5="Uniforme",Supuestos!$D$5+B58*(Supuestos!$E$5-Supuestos!$D$5),IF(Supuestos!$C$5="Lognormal",LOGINV(B58,LN(Supuestos!$D$5)-LN(1+Supuestos!$E$5^2/Supuestos!$D$5^2)/2,SQRT(LN(1+Supuestos!$E$5^2/Supuestos!$D$5^2))),Supuestos!$D$5))))))</f>
        <v/>
      </c>
      <c r="J58" s="31">
        <f>MIN(IF(Supuestos!$H$6="",1E+99,Supuestos!$H$6),MAX(IF(Supuestos!$G$6="",-1E+99,Supuestos!$G$6),IF(Supuestos!$C$6="Normal",NORMINV(C58,Supuestos!$D$6,Supuestos!$E$6),IF(Supuestos!$C$6="Triangular",IF(C58&lt;(Supuestos!$E$6-Supuestos!$D$6)/(Supuestos!$F$6-Supuestos!$D$6),Supuestos!$D$6+SQRT(C58*(Supuestos!$F$6-Supuestos!$D$6)*(Supuestos!$E$6-Supuestos!$D$6)),Supuestos!$F$6-SQRT((1-C58)*(Supuestos!$F$6-Supuestos!$D$6)*(Supuestos!$F$6-Supuestos!$E$6))),IF(Supuestos!$C$6="Uniforme",Supuestos!$D$6+C58*(Supuestos!$E$6-Supuestos!$D$6),IF(Supuestos!$C$6="Lognormal",LOGINV(C58,LN(Supuestos!$D$6)-LN(1+Supuestos!$E$6^2/Supuestos!$D$6^2)/2,SQRT(LN(1+Supuestos!$E$6^2/Supuestos!$D$6^2))),Supuestos!$D$6))))))</f>
        <v/>
      </c>
      <c r="K58" s="32">
        <f>MIN(IF(Supuestos!$H$7="",1E+99,Supuestos!$H$7),MAX(IF(Supuestos!$G$7="",-1E+99,Supuestos!$G$7),IF(Supuestos!$C$7="Normal",NORMINV(D58,Supuestos!$D$7,Supuestos!$E$7),IF(Supuestos!$C$7="Triangular",IF(D58&lt;(Supuestos!$E$7-Supuestos!$D$7)/(Supuestos!$F$7-Supuestos!$D$7),Supuestos!$D$7+SQRT(D58*(Supuestos!$F$7-Supuestos!$D$7)*(Supuestos!$E$7-Supuestos!$D$7)),Supuestos!$F$7-SQRT((1-D58)*(Supuestos!$F$7-Supuestos!$D$7)*(Supuestos!$F$7-Supuestos!$E$7))),IF(Supuestos!$C$7="Uniforme",Supuestos!$D$7+D58*(Supuestos!$E$7-Supuestos!$D$7),IF(Supuestos!$C$7="Lognormal",LOGINV(D58,LN(Supuestos!$D$7)-LN(1+Supuestos!$E$7^2/Supuestos!$D$7^2)/2,SQRT(LN(1+Supuestos!$E$7^2/Supuestos!$D$7^2))),Supuestos!$D$7))))))</f>
        <v/>
      </c>
      <c r="L58" s="32">
        <f>MIN(IF(Supuestos!$H$8="",1E+99,Supuestos!$H$8),MAX(IF(Supuestos!$G$8="",-1E+99,Supuestos!$G$8),IF(Supuestos!$C$8="Normal",NORMINV(E58,Supuestos!$D$8,Supuestos!$E$8),IF(Supuestos!$C$8="Triangular",IF(E58&lt;(Supuestos!$E$8-Supuestos!$D$8)/(Supuestos!$F$8-Supuestos!$D$8),Supuestos!$D$8+SQRT(E58*(Supuestos!$F$8-Supuestos!$D$8)*(Supuestos!$E$8-Supuestos!$D$8)),Supuestos!$F$8-SQRT((1-E58)*(Supuestos!$F$8-Supuestos!$D$8)*(Supuestos!$F$8-Supuestos!$E$8))),IF(Supuestos!$C$8="Uniforme",Supuestos!$D$8+E58*(Supuestos!$E$8-Supuestos!$D$8),IF(Supuestos!$C$8="Lognormal",LOGINV(E58,LN(Supuestos!$D$8)-LN(1+Supuestos!$E$8^2/Supuestos!$D$8^2)/2,SQRT(LN(1+Supuestos!$E$8^2/Supuestos!$D$8^2))),Supuestos!$D$8))))))</f>
        <v/>
      </c>
      <c r="M58" s="32">
        <f>MIN(IF(Supuestos!$H$9="",1E+99,Supuestos!$H$9),MAX(IF(Supuestos!$G$9="",-1E+99,Supuestos!$G$9),IF(Supuestos!$C$9="Normal",NORMINV(F58,Supuestos!$D$9,Supuestos!$E$9),IF(Supuestos!$C$9="Triangular",IF(F58&lt;(Supuestos!$E$9-Supuestos!$D$9)/(Supuestos!$F$9-Supuestos!$D$9),Supuestos!$D$9+SQRT(F58*(Supuestos!$F$9-Supuestos!$D$9)*(Supuestos!$E$9-Supuestos!$D$9)),Supuestos!$F$9-SQRT((1-F58)*(Supuestos!$F$9-Supuestos!$D$9)*(Supuestos!$F$9-Supuestos!$E$9))),IF(Supuestos!$C$9="Uniforme",Supuestos!$D$9+F58*(Supuestos!$E$9-Supuestos!$D$9),IF(Supuestos!$C$9="Lognormal",LOGINV(F58,LN(Supuestos!$D$9)-LN(1+Supuestos!$E$9^2/Supuestos!$D$9^2)/2,SQRT(LN(1+Supuestos!$E$9^2/Supuestos!$D$9^2))),Supuestos!$D$9))))))</f>
        <v/>
      </c>
      <c r="N58" s="32">
        <f>MIN(IF(Supuestos!$H$10="",1E+99,Supuestos!$H$10),MAX(IF(Supuestos!$G$10="",-1E+99,Supuestos!$G$10),IF(Supuestos!$C$10="Normal",NORMINV(G58,Supuestos!$D$10,Supuestos!$E$10),IF(Supuestos!$C$10="Triangular",IF(G58&lt;(Supuestos!$E$10-Supuestos!$D$10)/(Supuestos!$F$10-Supuestos!$D$10),Supuestos!$D$10+SQRT(G58*(Supuestos!$F$10-Supuestos!$D$10)*(Supuestos!$E$10-Supuestos!$D$10)),Supuestos!$F$10-SQRT((1-G58)*(Supuestos!$F$10-Supuestos!$D$10)*(Supuestos!$F$10-Supuestos!$E$10))),IF(Supuestos!$C$10="Uniforme",Supuestos!$D$10+G58*(Supuestos!$E$10-Supuestos!$D$10),IF(Supuestos!$C$10="Lognormal",LOGINV(G58,LN(Supuestos!$D$10)-LN(1+Supuestos!$E$10^2/Supuestos!$D$10^2)/2,SQRT(LN(1+Supuestos!$E$10^2/Supuestos!$D$10^2))),Supuestos!$D$10))))))</f>
        <v/>
      </c>
      <c r="O58" s="31">
        <f>MIN(IF(Supuestos!$H$11="",1E+99,Supuestos!$H$11),MAX(IF(Supuestos!$G$11="",-1E+99,Supuestos!$G$11),IF(Supuestos!$C$11="Normal",NORMINV(H58,Supuestos!$D$11,Supuestos!$E$11),IF(Supuestos!$C$11="Triangular",IF(H58&lt;(Supuestos!$E$11-Supuestos!$D$11)/(Supuestos!$F$11-Supuestos!$D$11),Supuestos!$D$11+SQRT(H58*(Supuestos!$F$11-Supuestos!$D$11)*(Supuestos!$E$11-Supuestos!$D$11)),Supuestos!$F$11-SQRT((1-H58)*(Supuestos!$F$11-Supuestos!$D$11)*(Supuestos!$F$11-Supuestos!$E$11))),IF(Supuestos!$C$11="Uniforme",Supuestos!$D$11+H58*(Supuestos!$E$11-Supuestos!$D$11),IF(Supuestos!$C$11="Lognormal",LOGINV(H58,LN(Supuestos!$D$11)-LN(1+Supuestos!$E$11^2/Supuestos!$D$11^2)/2,SQRT(LN(1+Supuestos!$E$11^2/Supuestos!$D$11^2))),Supuestos!$D$11))))))</f>
        <v/>
      </c>
      <c r="P58" s="33">
        <f>-I58</f>
        <v/>
      </c>
      <c r="Q58" s="33">
        <f>$J58*(1+$K58)^(1-1)*(1-$L58)*(1-$M58)</f>
        <v/>
      </c>
      <c r="R58" s="33">
        <f>$J58*(1+$K58)^(2-1)*(1-$L58)*(1-$M58)</f>
        <v/>
      </c>
      <c r="S58" s="33">
        <f>$J58*(1+$K58)^(3-1)*(1-$L58)*(1-$M58)</f>
        <v/>
      </c>
      <c r="T58" s="33">
        <f>$J58*(1+$K58)^(4-1)*(1-$L58)*(1-$M58)</f>
        <v/>
      </c>
      <c r="U58" s="33">
        <f>$J58*(1+$K58)^(5-1)*(1-$L58)*(1-$M58)+$O58</f>
        <v/>
      </c>
      <c r="V58" s="33">
        <f>P58+NPV($N58,Q58:U58)</f>
        <v/>
      </c>
      <c r="W58" s="32">
        <f>IFERROR(IRR(P58:U58,0.1),"")</f>
        <v/>
      </c>
    </row>
    <row r="59">
      <c r="A59" s="14" t="n">
        <v>55</v>
      </c>
      <c r="B59" s="30">
        <f>RAND()*(1-2E-6)+1E-6</f>
        <v/>
      </c>
      <c r="C59" s="30">
        <f>RAND()*(1-2E-6)+1E-6</f>
        <v/>
      </c>
      <c r="D59" s="30">
        <f>RAND()*(1-2E-6)+1E-6</f>
        <v/>
      </c>
      <c r="E59" s="30">
        <f>RAND()*(1-2E-6)+1E-6</f>
        <v/>
      </c>
      <c r="F59" s="30">
        <f>RAND()*(1-2E-6)+1E-6</f>
        <v/>
      </c>
      <c r="G59" s="30">
        <f>RAND()*(1-2E-6)+1E-6</f>
        <v/>
      </c>
      <c r="H59" s="30">
        <f>RAND()*(1-2E-6)+1E-6</f>
        <v/>
      </c>
      <c r="I59" s="31">
        <f>MIN(IF(Supuestos!$H$5="",1E+99,Supuestos!$H$5),MAX(IF(Supuestos!$G$5="",-1E+99,Supuestos!$G$5),IF(Supuestos!$C$5="Normal",NORMINV(B59,Supuestos!$D$5,Supuestos!$E$5),IF(Supuestos!$C$5="Triangular",IF(B59&lt;(Supuestos!$E$5-Supuestos!$D$5)/(Supuestos!$F$5-Supuestos!$D$5),Supuestos!$D$5+SQRT(B59*(Supuestos!$F$5-Supuestos!$D$5)*(Supuestos!$E$5-Supuestos!$D$5)),Supuestos!$F$5-SQRT((1-B59)*(Supuestos!$F$5-Supuestos!$D$5)*(Supuestos!$F$5-Supuestos!$E$5))),IF(Supuestos!$C$5="Uniforme",Supuestos!$D$5+B59*(Supuestos!$E$5-Supuestos!$D$5),IF(Supuestos!$C$5="Lognormal",LOGINV(B59,LN(Supuestos!$D$5)-LN(1+Supuestos!$E$5^2/Supuestos!$D$5^2)/2,SQRT(LN(1+Supuestos!$E$5^2/Supuestos!$D$5^2))),Supuestos!$D$5))))))</f>
        <v/>
      </c>
      <c r="J59" s="31">
        <f>MIN(IF(Supuestos!$H$6="",1E+99,Supuestos!$H$6),MAX(IF(Supuestos!$G$6="",-1E+99,Supuestos!$G$6),IF(Supuestos!$C$6="Normal",NORMINV(C59,Supuestos!$D$6,Supuestos!$E$6),IF(Supuestos!$C$6="Triangular",IF(C59&lt;(Supuestos!$E$6-Supuestos!$D$6)/(Supuestos!$F$6-Supuestos!$D$6),Supuestos!$D$6+SQRT(C59*(Supuestos!$F$6-Supuestos!$D$6)*(Supuestos!$E$6-Supuestos!$D$6)),Supuestos!$F$6-SQRT((1-C59)*(Supuestos!$F$6-Supuestos!$D$6)*(Supuestos!$F$6-Supuestos!$E$6))),IF(Supuestos!$C$6="Uniforme",Supuestos!$D$6+C59*(Supuestos!$E$6-Supuestos!$D$6),IF(Supuestos!$C$6="Lognormal",LOGINV(C59,LN(Supuestos!$D$6)-LN(1+Supuestos!$E$6^2/Supuestos!$D$6^2)/2,SQRT(LN(1+Supuestos!$E$6^2/Supuestos!$D$6^2))),Supuestos!$D$6))))))</f>
        <v/>
      </c>
      <c r="K59" s="32">
        <f>MIN(IF(Supuestos!$H$7="",1E+99,Supuestos!$H$7),MAX(IF(Supuestos!$G$7="",-1E+99,Supuestos!$G$7),IF(Supuestos!$C$7="Normal",NORMINV(D59,Supuestos!$D$7,Supuestos!$E$7),IF(Supuestos!$C$7="Triangular",IF(D59&lt;(Supuestos!$E$7-Supuestos!$D$7)/(Supuestos!$F$7-Supuestos!$D$7),Supuestos!$D$7+SQRT(D59*(Supuestos!$F$7-Supuestos!$D$7)*(Supuestos!$E$7-Supuestos!$D$7)),Supuestos!$F$7-SQRT((1-D59)*(Supuestos!$F$7-Supuestos!$D$7)*(Supuestos!$F$7-Supuestos!$E$7))),IF(Supuestos!$C$7="Uniforme",Supuestos!$D$7+D59*(Supuestos!$E$7-Supuestos!$D$7),IF(Supuestos!$C$7="Lognormal",LOGINV(D59,LN(Supuestos!$D$7)-LN(1+Supuestos!$E$7^2/Supuestos!$D$7^2)/2,SQRT(LN(1+Supuestos!$E$7^2/Supuestos!$D$7^2))),Supuestos!$D$7))))))</f>
        <v/>
      </c>
      <c r="L59" s="32">
        <f>MIN(IF(Supuestos!$H$8="",1E+99,Supuestos!$H$8),MAX(IF(Supuestos!$G$8="",-1E+99,Supuestos!$G$8),IF(Supuestos!$C$8="Normal",NORMINV(E59,Supuestos!$D$8,Supuestos!$E$8),IF(Supuestos!$C$8="Triangular",IF(E59&lt;(Supuestos!$E$8-Supuestos!$D$8)/(Supuestos!$F$8-Supuestos!$D$8),Supuestos!$D$8+SQRT(E59*(Supuestos!$F$8-Supuestos!$D$8)*(Supuestos!$E$8-Supuestos!$D$8)),Supuestos!$F$8-SQRT((1-E59)*(Supuestos!$F$8-Supuestos!$D$8)*(Supuestos!$F$8-Supuestos!$E$8))),IF(Supuestos!$C$8="Uniforme",Supuestos!$D$8+E59*(Supuestos!$E$8-Supuestos!$D$8),IF(Supuestos!$C$8="Lognormal",LOGINV(E59,LN(Supuestos!$D$8)-LN(1+Supuestos!$E$8^2/Supuestos!$D$8^2)/2,SQRT(LN(1+Supuestos!$E$8^2/Supuestos!$D$8^2))),Supuestos!$D$8))))))</f>
        <v/>
      </c>
      <c r="M59" s="32">
        <f>MIN(IF(Supuestos!$H$9="",1E+99,Supuestos!$H$9),MAX(IF(Supuestos!$G$9="",-1E+99,Supuestos!$G$9),IF(Supuestos!$C$9="Normal",NORMINV(F59,Supuestos!$D$9,Supuestos!$E$9),IF(Supuestos!$C$9="Triangular",IF(F59&lt;(Supuestos!$E$9-Supuestos!$D$9)/(Supuestos!$F$9-Supuestos!$D$9),Supuestos!$D$9+SQRT(F59*(Supuestos!$F$9-Supuestos!$D$9)*(Supuestos!$E$9-Supuestos!$D$9)),Supuestos!$F$9-SQRT((1-F59)*(Supuestos!$F$9-Supuestos!$D$9)*(Supuestos!$F$9-Supuestos!$E$9))),IF(Supuestos!$C$9="Uniforme",Supuestos!$D$9+F59*(Supuestos!$E$9-Supuestos!$D$9),IF(Supuestos!$C$9="Lognormal",LOGINV(F59,LN(Supuestos!$D$9)-LN(1+Supuestos!$E$9^2/Supuestos!$D$9^2)/2,SQRT(LN(1+Supuestos!$E$9^2/Supuestos!$D$9^2))),Supuestos!$D$9))))))</f>
        <v/>
      </c>
      <c r="N59" s="32">
        <f>MIN(IF(Supuestos!$H$10="",1E+99,Supuestos!$H$10),MAX(IF(Supuestos!$G$10="",-1E+99,Supuestos!$G$10),IF(Supuestos!$C$10="Normal",NORMINV(G59,Supuestos!$D$10,Supuestos!$E$10),IF(Supuestos!$C$10="Triangular",IF(G59&lt;(Supuestos!$E$10-Supuestos!$D$10)/(Supuestos!$F$10-Supuestos!$D$10),Supuestos!$D$10+SQRT(G59*(Supuestos!$F$10-Supuestos!$D$10)*(Supuestos!$E$10-Supuestos!$D$10)),Supuestos!$F$10-SQRT((1-G59)*(Supuestos!$F$10-Supuestos!$D$10)*(Supuestos!$F$10-Supuestos!$E$10))),IF(Supuestos!$C$10="Uniforme",Supuestos!$D$10+G59*(Supuestos!$E$10-Supuestos!$D$10),IF(Supuestos!$C$10="Lognormal",LOGINV(G59,LN(Supuestos!$D$10)-LN(1+Supuestos!$E$10^2/Supuestos!$D$10^2)/2,SQRT(LN(1+Supuestos!$E$10^2/Supuestos!$D$10^2))),Supuestos!$D$10))))))</f>
        <v/>
      </c>
      <c r="O59" s="31">
        <f>MIN(IF(Supuestos!$H$11="",1E+99,Supuestos!$H$11),MAX(IF(Supuestos!$G$11="",-1E+99,Supuestos!$G$11),IF(Supuestos!$C$11="Normal",NORMINV(H59,Supuestos!$D$11,Supuestos!$E$11),IF(Supuestos!$C$11="Triangular",IF(H59&lt;(Supuestos!$E$11-Supuestos!$D$11)/(Supuestos!$F$11-Supuestos!$D$11),Supuestos!$D$11+SQRT(H59*(Supuestos!$F$11-Supuestos!$D$11)*(Supuestos!$E$11-Supuestos!$D$11)),Supuestos!$F$11-SQRT((1-H59)*(Supuestos!$F$11-Supuestos!$D$11)*(Supuestos!$F$11-Supuestos!$E$11))),IF(Supuestos!$C$11="Uniforme",Supuestos!$D$11+H59*(Supuestos!$E$11-Supuestos!$D$11),IF(Supuestos!$C$11="Lognormal",LOGINV(H59,LN(Supuestos!$D$11)-LN(1+Supuestos!$E$11^2/Supuestos!$D$11^2)/2,SQRT(LN(1+Supuestos!$E$11^2/Supuestos!$D$11^2))),Supuestos!$D$11))))))</f>
        <v/>
      </c>
      <c r="P59" s="33">
        <f>-I59</f>
        <v/>
      </c>
      <c r="Q59" s="33">
        <f>$J59*(1+$K59)^(1-1)*(1-$L59)*(1-$M59)</f>
        <v/>
      </c>
      <c r="R59" s="33">
        <f>$J59*(1+$K59)^(2-1)*(1-$L59)*(1-$M59)</f>
        <v/>
      </c>
      <c r="S59" s="33">
        <f>$J59*(1+$K59)^(3-1)*(1-$L59)*(1-$M59)</f>
        <v/>
      </c>
      <c r="T59" s="33">
        <f>$J59*(1+$K59)^(4-1)*(1-$L59)*(1-$M59)</f>
        <v/>
      </c>
      <c r="U59" s="33">
        <f>$J59*(1+$K59)^(5-1)*(1-$L59)*(1-$M59)+$O59</f>
        <v/>
      </c>
      <c r="V59" s="33">
        <f>P59+NPV($N59,Q59:U59)</f>
        <v/>
      </c>
      <c r="W59" s="32">
        <f>IFERROR(IRR(P59:U59,0.1),"")</f>
        <v/>
      </c>
    </row>
    <row r="60">
      <c r="A60" s="14" t="n">
        <v>56</v>
      </c>
      <c r="B60" s="30">
        <f>RAND()*(1-2E-6)+1E-6</f>
        <v/>
      </c>
      <c r="C60" s="30">
        <f>RAND()*(1-2E-6)+1E-6</f>
        <v/>
      </c>
      <c r="D60" s="30">
        <f>RAND()*(1-2E-6)+1E-6</f>
        <v/>
      </c>
      <c r="E60" s="30">
        <f>RAND()*(1-2E-6)+1E-6</f>
        <v/>
      </c>
      <c r="F60" s="30">
        <f>RAND()*(1-2E-6)+1E-6</f>
        <v/>
      </c>
      <c r="G60" s="30">
        <f>RAND()*(1-2E-6)+1E-6</f>
        <v/>
      </c>
      <c r="H60" s="30">
        <f>RAND()*(1-2E-6)+1E-6</f>
        <v/>
      </c>
      <c r="I60" s="31">
        <f>MIN(IF(Supuestos!$H$5="",1E+99,Supuestos!$H$5),MAX(IF(Supuestos!$G$5="",-1E+99,Supuestos!$G$5),IF(Supuestos!$C$5="Normal",NORMINV(B60,Supuestos!$D$5,Supuestos!$E$5),IF(Supuestos!$C$5="Triangular",IF(B60&lt;(Supuestos!$E$5-Supuestos!$D$5)/(Supuestos!$F$5-Supuestos!$D$5),Supuestos!$D$5+SQRT(B60*(Supuestos!$F$5-Supuestos!$D$5)*(Supuestos!$E$5-Supuestos!$D$5)),Supuestos!$F$5-SQRT((1-B60)*(Supuestos!$F$5-Supuestos!$D$5)*(Supuestos!$F$5-Supuestos!$E$5))),IF(Supuestos!$C$5="Uniforme",Supuestos!$D$5+B60*(Supuestos!$E$5-Supuestos!$D$5),IF(Supuestos!$C$5="Lognormal",LOGINV(B60,LN(Supuestos!$D$5)-LN(1+Supuestos!$E$5^2/Supuestos!$D$5^2)/2,SQRT(LN(1+Supuestos!$E$5^2/Supuestos!$D$5^2))),Supuestos!$D$5))))))</f>
        <v/>
      </c>
      <c r="J60" s="31">
        <f>MIN(IF(Supuestos!$H$6="",1E+99,Supuestos!$H$6),MAX(IF(Supuestos!$G$6="",-1E+99,Supuestos!$G$6),IF(Supuestos!$C$6="Normal",NORMINV(C60,Supuestos!$D$6,Supuestos!$E$6),IF(Supuestos!$C$6="Triangular",IF(C60&lt;(Supuestos!$E$6-Supuestos!$D$6)/(Supuestos!$F$6-Supuestos!$D$6),Supuestos!$D$6+SQRT(C60*(Supuestos!$F$6-Supuestos!$D$6)*(Supuestos!$E$6-Supuestos!$D$6)),Supuestos!$F$6-SQRT((1-C60)*(Supuestos!$F$6-Supuestos!$D$6)*(Supuestos!$F$6-Supuestos!$E$6))),IF(Supuestos!$C$6="Uniforme",Supuestos!$D$6+C60*(Supuestos!$E$6-Supuestos!$D$6),IF(Supuestos!$C$6="Lognormal",LOGINV(C60,LN(Supuestos!$D$6)-LN(1+Supuestos!$E$6^2/Supuestos!$D$6^2)/2,SQRT(LN(1+Supuestos!$E$6^2/Supuestos!$D$6^2))),Supuestos!$D$6))))))</f>
        <v/>
      </c>
      <c r="K60" s="32">
        <f>MIN(IF(Supuestos!$H$7="",1E+99,Supuestos!$H$7),MAX(IF(Supuestos!$G$7="",-1E+99,Supuestos!$G$7),IF(Supuestos!$C$7="Normal",NORMINV(D60,Supuestos!$D$7,Supuestos!$E$7),IF(Supuestos!$C$7="Triangular",IF(D60&lt;(Supuestos!$E$7-Supuestos!$D$7)/(Supuestos!$F$7-Supuestos!$D$7),Supuestos!$D$7+SQRT(D60*(Supuestos!$F$7-Supuestos!$D$7)*(Supuestos!$E$7-Supuestos!$D$7)),Supuestos!$F$7-SQRT((1-D60)*(Supuestos!$F$7-Supuestos!$D$7)*(Supuestos!$F$7-Supuestos!$E$7))),IF(Supuestos!$C$7="Uniforme",Supuestos!$D$7+D60*(Supuestos!$E$7-Supuestos!$D$7),IF(Supuestos!$C$7="Lognormal",LOGINV(D60,LN(Supuestos!$D$7)-LN(1+Supuestos!$E$7^2/Supuestos!$D$7^2)/2,SQRT(LN(1+Supuestos!$E$7^2/Supuestos!$D$7^2))),Supuestos!$D$7))))))</f>
        <v/>
      </c>
      <c r="L60" s="32">
        <f>MIN(IF(Supuestos!$H$8="",1E+99,Supuestos!$H$8),MAX(IF(Supuestos!$G$8="",-1E+99,Supuestos!$G$8),IF(Supuestos!$C$8="Normal",NORMINV(E60,Supuestos!$D$8,Supuestos!$E$8),IF(Supuestos!$C$8="Triangular",IF(E60&lt;(Supuestos!$E$8-Supuestos!$D$8)/(Supuestos!$F$8-Supuestos!$D$8),Supuestos!$D$8+SQRT(E60*(Supuestos!$F$8-Supuestos!$D$8)*(Supuestos!$E$8-Supuestos!$D$8)),Supuestos!$F$8-SQRT((1-E60)*(Supuestos!$F$8-Supuestos!$D$8)*(Supuestos!$F$8-Supuestos!$E$8))),IF(Supuestos!$C$8="Uniforme",Supuestos!$D$8+E60*(Supuestos!$E$8-Supuestos!$D$8),IF(Supuestos!$C$8="Lognormal",LOGINV(E60,LN(Supuestos!$D$8)-LN(1+Supuestos!$E$8^2/Supuestos!$D$8^2)/2,SQRT(LN(1+Supuestos!$E$8^2/Supuestos!$D$8^2))),Supuestos!$D$8))))))</f>
        <v/>
      </c>
      <c r="M60" s="32">
        <f>MIN(IF(Supuestos!$H$9="",1E+99,Supuestos!$H$9),MAX(IF(Supuestos!$G$9="",-1E+99,Supuestos!$G$9),IF(Supuestos!$C$9="Normal",NORMINV(F60,Supuestos!$D$9,Supuestos!$E$9),IF(Supuestos!$C$9="Triangular",IF(F60&lt;(Supuestos!$E$9-Supuestos!$D$9)/(Supuestos!$F$9-Supuestos!$D$9),Supuestos!$D$9+SQRT(F60*(Supuestos!$F$9-Supuestos!$D$9)*(Supuestos!$E$9-Supuestos!$D$9)),Supuestos!$F$9-SQRT((1-F60)*(Supuestos!$F$9-Supuestos!$D$9)*(Supuestos!$F$9-Supuestos!$E$9))),IF(Supuestos!$C$9="Uniforme",Supuestos!$D$9+F60*(Supuestos!$E$9-Supuestos!$D$9),IF(Supuestos!$C$9="Lognormal",LOGINV(F60,LN(Supuestos!$D$9)-LN(1+Supuestos!$E$9^2/Supuestos!$D$9^2)/2,SQRT(LN(1+Supuestos!$E$9^2/Supuestos!$D$9^2))),Supuestos!$D$9))))))</f>
        <v/>
      </c>
      <c r="N60" s="32">
        <f>MIN(IF(Supuestos!$H$10="",1E+99,Supuestos!$H$10),MAX(IF(Supuestos!$G$10="",-1E+99,Supuestos!$G$10),IF(Supuestos!$C$10="Normal",NORMINV(G60,Supuestos!$D$10,Supuestos!$E$10),IF(Supuestos!$C$10="Triangular",IF(G60&lt;(Supuestos!$E$10-Supuestos!$D$10)/(Supuestos!$F$10-Supuestos!$D$10),Supuestos!$D$10+SQRT(G60*(Supuestos!$F$10-Supuestos!$D$10)*(Supuestos!$E$10-Supuestos!$D$10)),Supuestos!$F$10-SQRT((1-G60)*(Supuestos!$F$10-Supuestos!$D$10)*(Supuestos!$F$10-Supuestos!$E$10))),IF(Supuestos!$C$10="Uniforme",Supuestos!$D$10+G60*(Supuestos!$E$10-Supuestos!$D$10),IF(Supuestos!$C$10="Lognormal",LOGINV(G60,LN(Supuestos!$D$10)-LN(1+Supuestos!$E$10^2/Supuestos!$D$10^2)/2,SQRT(LN(1+Supuestos!$E$10^2/Supuestos!$D$10^2))),Supuestos!$D$10))))))</f>
        <v/>
      </c>
      <c r="O60" s="31">
        <f>MIN(IF(Supuestos!$H$11="",1E+99,Supuestos!$H$11),MAX(IF(Supuestos!$G$11="",-1E+99,Supuestos!$G$11),IF(Supuestos!$C$11="Normal",NORMINV(H60,Supuestos!$D$11,Supuestos!$E$11),IF(Supuestos!$C$11="Triangular",IF(H60&lt;(Supuestos!$E$11-Supuestos!$D$11)/(Supuestos!$F$11-Supuestos!$D$11),Supuestos!$D$11+SQRT(H60*(Supuestos!$F$11-Supuestos!$D$11)*(Supuestos!$E$11-Supuestos!$D$11)),Supuestos!$F$11-SQRT((1-H60)*(Supuestos!$F$11-Supuestos!$D$11)*(Supuestos!$F$11-Supuestos!$E$11))),IF(Supuestos!$C$11="Uniforme",Supuestos!$D$11+H60*(Supuestos!$E$11-Supuestos!$D$11),IF(Supuestos!$C$11="Lognormal",LOGINV(H60,LN(Supuestos!$D$11)-LN(1+Supuestos!$E$11^2/Supuestos!$D$11^2)/2,SQRT(LN(1+Supuestos!$E$11^2/Supuestos!$D$11^2))),Supuestos!$D$11))))))</f>
        <v/>
      </c>
      <c r="P60" s="33">
        <f>-I60</f>
        <v/>
      </c>
      <c r="Q60" s="33">
        <f>$J60*(1+$K60)^(1-1)*(1-$L60)*(1-$M60)</f>
        <v/>
      </c>
      <c r="R60" s="33">
        <f>$J60*(1+$K60)^(2-1)*(1-$L60)*(1-$M60)</f>
        <v/>
      </c>
      <c r="S60" s="33">
        <f>$J60*(1+$K60)^(3-1)*(1-$L60)*(1-$M60)</f>
        <v/>
      </c>
      <c r="T60" s="33">
        <f>$J60*(1+$K60)^(4-1)*(1-$L60)*(1-$M60)</f>
        <v/>
      </c>
      <c r="U60" s="33">
        <f>$J60*(1+$K60)^(5-1)*(1-$L60)*(1-$M60)+$O60</f>
        <v/>
      </c>
      <c r="V60" s="33">
        <f>P60+NPV($N60,Q60:U60)</f>
        <v/>
      </c>
      <c r="W60" s="32">
        <f>IFERROR(IRR(P60:U60,0.1),"")</f>
        <v/>
      </c>
    </row>
    <row r="61">
      <c r="A61" s="14" t="n">
        <v>57</v>
      </c>
      <c r="B61" s="30">
        <f>RAND()*(1-2E-6)+1E-6</f>
        <v/>
      </c>
      <c r="C61" s="30">
        <f>RAND()*(1-2E-6)+1E-6</f>
        <v/>
      </c>
      <c r="D61" s="30">
        <f>RAND()*(1-2E-6)+1E-6</f>
        <v/>
      </c>
      <c r="E61" s="30">
        <f>RAND()*(1-2E-6)+1E-6</f>
        <v/>
      </c>
      <c r="F61" s="30">
        <f>RAND()*(1-2E-6)+1E-6</f>
        <v/>
      </c>
      <c r="G61" s="30">
        <f>RAND()*(1-2E-6)+1E-6</f>
        <v/>
      </c>
      <c r="H61" s="30">
        <f>RAND()*(1-2E-6)+1E-6</f>
        <v/>
      </c>
      <c r="I61" s="31">
        <f>MIN(IF(Supuestos!$H$5="",1E+99,Supuestos!$H$5),MAX(IF(Supuestos!$G$5="",-1E+99,Supuestos!$G$5),IF(Supuestos!$C$5="Normal",NORMINV(B61,Supuestos!$D$5,Supuestos!$E$5),IF(Supuestos!$C$5="Triangular",IF(B61&lt;(Supuestos!$E$5-Supuestos!$D$5)/(Supuestos!$F$5-Supuestos!$D$5),Supuestos!$D$5+SQRT(B61*(Supuestos!$F$5-Supuestos!$D$5)*(Supuestos!$E$5-Supuestos!$D$5)),Supuestos!$F$5-SQRT((1-B61)*(Supuestos!$F$5-Supuestos!$D$5)*(Supuestos!$F$5-Supuestos!$E$5))),IF(Supuestos!$C$5="Uniforme",Supuestos!$D$5+B61*(Supuestos!$E$5-Supuestos!$D$5),IF(Supuestos!$C$5="Lognormal",LOGINV(B61,LN(Supuestos!$D$5)-LN(1+Supuestos!$E$5^2/Supuestos!$D$5^2)/2,SQRT(LN(1+Supuestos!$E$5^2/Supuestos!$D$5^2))),Supuestos!$D$5))))))</f>
        <v/>
      </c>
      <c r="J61" s="31">
        <f>MIN(IF(Supuestos!$H$6="",1E+99,Supuestos!$H$6),MAX(IF(Supuestos!$G$6="",-1E+99,Supuestos!$G$6),IF(Supuestos!$C$6="Normal",NORMINV(C61,Supuestos!$D$6,Supuestos!$E$6),IF(Supuestos!$C$6="Triangular",IF(C61&lt;(Supuestos!$E$6-Supuestos!$D$6)/(Supuestos!$F$6-Supuestos!$D$6),Supuestos!$D$6+SQRT(C61*(Supuestos!$F$6-Supuestos!$D$6)*(Supuestos!$E$6-Supuestos!$D$6)),Supuestos!$F$6-SQRT((1-C61)*(Supuestos!$F$6-Supuestos!$D$6)*(Supuestos!$F$6-Supuestos!$E$6))),IF(Supuestos!$C$6="Uniforme",Supuestos!$D$6+C61*(Supuestos!$E$6-Supuestos!$D$6),IF(Supuestos!$C$6="Lognormal",LOGINV(C61,LN(Supuestos!$D$6)-LN(1+Supuestos!$E$6^2/Supuestos!$D$6^2)/2,SQRT(LN(1+Supuestos!$E$6^2/Supuestos!$D$6^2))),Supuestos!$D$6))))))</f>
        <v/>
      </c>
      <c r="K61" s="32">
        <f>MIN(IF(Supuestos!$H$7="",1E+99,Supuestos!$H$7),MAX(IF(Supuestos!$G$7="",-1E+99,Supuestos!$G$7),IF(Supuestos!$C$7="Normal",NORMINV(D61,Supuestos!$D$7,Supuestos!$E$7),IF(Supuestos!$C$7="Triangular",IF(D61&lt;(Supuestos!$E$7-Supuestos!$D$7)/(Supuestos!$F$7-Supuestos!$D$7),Supuestos!$D$7+SQRT(D61*(Supuestos!$F$7-Supuestos!$D$7)*(Supuestos!$E$7-Supuestos!$D$7)),Supuestos!$F$7-SQRT((1-D61)*(Supuestos!$F$7-Supuestos!$D$7)*(Supuestos!$F$7-Supuestos!$E$7))),IF(Supuestos!$C$7="Uniforme",Supuestos!$D$7+D61*(Supuestos!$E$7-Supuestos!$D$7),IF(Supuestos!$C$7="Lognormal",LOGINV(D61,LN(Supuestos!$D$7)-LN(1+Supuestos!$E$7^2/Supuestos!$D$7^2)/2,SQRT(LN(1+Supuestos!$E$7^2/Supuestos!$D$7^2))),Supuestos!$D$7))))))</f>
        <v/>
      </c>
      <c r="L61" s="32">
        <f>MIN(IF(Supuestos!$H$8="",1E+99,Supuestos!$H$8),MAX(IF(Supuestos!$G$8="",-1E+99,Supuestos!$G$8),IF(Supuestos!$C$8="Normal",NORMINV(E61,Supuestos!$D$8,Supuestos!$E$8),IF(Supuestos!$C$8="Triangular",IF(E61&lt;(Supuestos!$E$8-Supuestos!$D$8)/(Supuestos!$F$8-Supuestos!$D$8),Supuestos!$D$8+SQRT(E61*(Supuestos!$F$8-Supuestos!$D$8)*(Supuestos!$E$8-Supuestos!$D$8)),Supuestos!$F$8-SQRT((1-E61)*(Supuestos!$F$8-Supuestos!$D$8)*(Supuestos!$F$8-Supuestos!$E$8))),IF(Supuestos!$C$8="Uniforme",Supuestos!$D$8+E61*(Supuestos!$E$8-Supuestos!$D$8),IF(Supuestos!$C$8="Lognormal",LOGINV(E61,LN(Supuestos!$D$8)-LN(1+Supuestos!$E$8^2/Supuestos!$D$8^2)/2,SQRT(LN(1+Supuestos!$E$8^2/Supuestos!$D$8^2))),Supuestos!$D$8))))))</f>
        <v/>
      </c>
      <c r="M61" s="32">
        <f>MIN(IF(Supuestos!$H$9="",1E+99,Supuestos!$H$9),MAX(IF(Supuestos!$G$9="",-1E+99,Supuestos!$G$9),IF(Supuestos!$C$9="Normal",NORMINV(F61,Supuestos!$D$9,Supuestos!$E$9),IF(Supuestos!$C$9="Triangular",IF(F61&lt;(Supuestos!$E$9-Supuestos!$D$9)/(Supuestos!$F$9-Supuestos!$D$9),Supuestos!$D$9+SQRT(F61*(Supuestos!$F$9-Supuestos!$D$9)*(Supuestos!$E$9-Supuestos!$D$9)),Supuestos!$F$9-SQRT((1-F61)*(Supuestos!$F$9-Supuestos!$D$9)*(Supuestos!$F$9-Supuestos!$E$9))),IF(Supuestos!$C$9="Uniforme",Supuestos!$D$9+F61*(Supuestos!$E$9-Supuestos!$D$9),IF(Supuestos!$C$9="Lognormal",LOGINV(F61,LN(Supuestos!$D$9)-LN(1+Supuestos!$E$9^2/Supuestos!$D$9^2)/2,SQRT(LN(1+Supuestos!$E$9^2/Supuestos!$D$9^2))),Supuestos!$D$9))))))</f>
        <v/>
      </c>
      <c r="N61" s="32">
        <f>MIN(IF(Supuestos!$H$10="",1E+99,Supuestos!$H$10),MAX(IF(Supuestos!$G$10="",-1E+99,Supuestos!$G$10),IF(Supuestos!$C$10="Normal",NORMINV(G61,Supuestos!$D$10,Supuestos!$E$10),IF(Supuestos!$C$10="Triangular",IF(G61&lt;(Supuestos!$E$10-Supuestos!$D$10)/(Supuestos!$F$10-Supuestos!$D$10),Supuestos!$D$10+SQRT(G61*(Supuestos!$F$10-Supuestos!$D$10)*(Supuestos!$E$10-Supuestos!$D$10)),Supuestos!$F$10-SQRT((1-G61)*(Supuestos!$F$10-Supuestos!$D$10)*(Supuestos!$F$10-Supuestos!$E$10))),IF(Supuestos!$C$10="Uniforme",Supuestos!$D$10+G61*(Supuestos!$E$10-Supuestos!$D$10),IF(Supuestos!$C$10="Lognormal",LOGINV(G61,LN(Supuestos!$D$10)-LN(1+Supuestos!$E$10^2/Supuestos!$D$10^2)/2,SQRT(LN(1+Supuestos!$E$10^2/Supuestos!$D$10^2))),Supuestos!$D$10))))))</f>
        <v/>
      </c>
      <c r="O61" s="31">
        <f>MIN(IF(Supuestos!$H$11="",1E+99,Supuestos!$H$11),MAX(IF(Supuestos!$G$11="",-1E+99,Supuestos!$G$11),IF(Supuestos!$C$11="Normal",NORMINV(H61,Supuestos!$D$11,Supuestos!$E$11),IF(Supuestos!$C$11="Triangular",IF(H61&lt;(Supuestos!$E$11-Supuestos!$D$11)/(Supuestos!$F$11-Supuestos!$D$11),Supuestos!$D$11+SQRT(H61*(Supuestos!$F$11-Supuestos!$D$11)*(Supuestos!$E$11-Supuestos!$D$11)),Supuestos!$F$11-SQRT((1-H61)*(Supuestos!$F$11-Supuestos!$D$11)*(Supuestos!$F$11-Supuestos!$E$11))),IF(Supuestos!$C$11="Uniforme",Supuestos!$D$11+H61*(Supuestos!$E$11-Supuestos!$D$11),IF(Supuestos!$C$11="Lognormal",LOGINV(H61,LN(Supuestos!$D$11)-LN(1+Supuestos!$E$11^2/Supuestos!$D$11^2)/2,SQRT(LN(1+Supuestos!$E$11^2/Supuestos!$D$11^2))),Supuestos!$D$11))))))</f>
        <v/>
      </c>
      <c r="P61" s="33">
        <f>-I61</f>
        <v/>
      </c>
      <c r="Q61" s="33">
        <f>$J61*(1+$K61)^(1-1)*(1-$L61)*(1-$M61)</f>
        <v/>
      </c>
      <c r="R61" s="33">
        <f>$J61*(1+$K61)^(2-1)*(1-$L61)*(1-$M61)</f>
        <v/>
      </c>
      <c r="S61" s="33">
        <f>$J61*(1+$K61)^(3-1)*(1-$L61)*(1-$M61)</f>
        <v/>
      </c>
      <c r="T61" s="33">
        <f>$J61*(1+$K61)^(4-1)*(1-$L61)*(1-$M61)</f>
        <v/>
      </c>
      <c r="U61" s="33">
        <f>$J61*(1+$K61)^(5-1)*(1-$L61)*(1-$M61)+$O61</f>
        <v/>
      </c>
      <c r="V61" s="33">
        <f>P61+NPV($N61,Q61:U61)</f>
        <v/>
      </c>
      <c r="W61" s="32">
        <f>IFERROR(IRR(P61:U61,0.1),"")</f>
        <v/>
      </c>
    </row>
    <row r="62">
      <c r="A62" s="14" t="n">
        <v>58</v>
      </c>
      <c r="B62" s="30">
        <f>RAND()*(1-2E-6)+1E-6</f>
        <v/>
      </c>
      <c r="C62" s="30">
        <f>RAND()*(1-2E-6)+1E-6</f>
        <v/>
      </c>
      <c r="D62" s="30">
        <f>RAND()*(1-2E-6)+1E-6</f>
        <v/>
      </c>
      <c r="E62" s="30">
        <f>RAND()*(1-2E-6)+1E-6</f>
        <v/>
      </c>
      <c r="F62" s="30">
        <f>RAND()*(1-2E-6)+1E-6</f>
        <v/>
      </c>
      <c r="G62" s="30">
        <f>RAND()*(1-2E-6)+1E-6</f>
        <v/>
      </c>
      <c r="H62" s="30">
        <f>RAND()*(1-2E-6)+1E-6</f>
        <v/>
      </c>
      <c r="I62" s="31">
        <f>MIN(IF(Supuestos!$H$5="",1E+99,Supuestos!$H$5),MAX(IF(Supuestos!$G$5="",-1E+99,Supuestos!$G$5),IF(Supuestos!$C$5="Normal",NORMINV(B62,Supuestos!$D$5,Supuestos!$E$5),IF(Supuestos!$C$5="Triangular",IF(B62&lt;(Supuestos!$E$5-Supuestos!$D$5)/(Supuestos!$F$5-Supuestos!$D$5),Supuestos!$D$5+SQRT(B62*(Supuestos!$F$5-Supuestos!$D$5)*(Supuestos!$E$5-Supuestos!$D$5)),Supuestos!$F$5-SQRT((1-B62)*(Supuestos!$F$5-Supuestos!$D$5)*(Supuestos!$F$5-Supuestos!$E$5))),IF(Supuestos!$C$5="Uniforme",Supuestos!$D$5+B62*(Supuestos!$E$5-Supuestos!$D$5),IF(Supuestos!$C$5="Lognormal",LOGINV(B62,LN(Supuestos!$D$5)-LN(1+Supuestos!$E$5^2/Supuestos!$D$5^2)/2,SQRT(LN(1+Supuestos!$E$5^2/Supuestos!$D$5^2))),Supuestos!$D$5))))))</f>
        <v/>
      </c>
      <c r="J62" s="31">
        <f>MIN(IF(Supuestos!$H$6="",1E+99,Supuestos!$H$6),MAX(IF(Supuestos!$G$6="",-1E+99,Supuestos!$G$6),IF(Supuestos!$C$6="Normal",NORMINV(C62,Supuestos!$D$6,Supuestos!$E$6),IF(Supuestos!$C$6="Triangular",IF(C62&lt;(Supuestos!$E$6-Supuestos!$D$6)/(Supuestos!$F$6-Supuestos!$D$6),Supuestos!$D$6+SQRT(C62*(Supuestos!$F$6-Supuestos!$D$6)*(Supuestos!$E$6-Supuestos!$D$6)),Supuestos!$F$6-SQRT((1-C62)*(Supuestos!$F$6-Supuestos!$D$6)*(Supuestos!$F$6-Supuestos!$E$6))),IF(Supuestos!$C$6="Uniforme",Supuestos!$D$6+C62*(Supuestos!$E$6-Supuestos!$D$6),IF(Supuestos!$C$6="Lognormal",LOGINV(C62,LN(Supuestos!$D$6)-LN(1+Supuestos!$E$6^2/Supuestos!$D$6^2)/2,SQRT(LN(1+Supuestos!$E$6^2/Supuestos!$D$6^2))),Supuestos!$D$6))))))</f>
        <v/>
      </c>
      <c r="K62" s="32">
        <f>MIN(IF(Supuestos!$H$7="",1E+99,Supuestos!$H$7),MAX(IF(Supuestos!$G$7="",-1E+99,Supuestos!$G$7),IF(Supuestos!$C$7="Normal",NORMINV(D62,Supuestos!$D$7,Supuestos!$E$7),IF(Supuestos!$C$7="Triangular",IF(D62&lt;(Supuestos!$E$7-Supuestos!$D$7)/(Supuestos!$F$7-Supuestos!$D$7),Supuestos!$D$7+SQRT(D62*(Supuestos!$F$7-Supuestos!$D$7)*(Supuestos!$E$7-Supuestos!$D$7)),Supuestos!$F$7-SQRT((1-D62)*(Supuestos!$F$7-Supuestos!$D$7)*(Supuestos!$F$7-Supuestos!$E$7))),IF(Supuestos!$C$7="Uniforme",Supuestos!$D$7+D62*(Supuestos!$E$7-Supuestos!$D$7),IF(Supuestos!$C$7="Lognormal",LOGINV(D62,LN(Supuestos!$D$7)-LN(1+Supuestos!$E$7^2/Supuestos!$D$7^2)/2,SQRT(LN(1+Supuestos!$E$7^2/Supuestos!$D$7^2))),Supuestos!$D$7))))))</f>
        <v/>
      </c>
      <c r="L62" s="32">
        <f>MIN(IF(Supuestos!$H$8="",1E+99,Supuestos!$H$8),MAX(IF(Supuestos!$G$8="",-1E+99,Supuestos!$G$8),IF(Supuestos!$C$8="Normal",NORMINV(E62,Supuestos!$D$8,Supuestos!$E$8),IF(Supuestos!$C$8="Triangular",IF(E62&lt;(Supuestos!$E$8-Supuestos!$D$8)/(Supuestos!$F$8-Supuestos!$D$8),Supuestos!$D$8+SQRT(E62*(Supuestos!$F$8-Supuestos!$D$8)*(Supuestos!$E$8-Supuestos!$D$8)),Supuestos!$F$8-SQRT((1-E62)*(Supuestos!$F$8-Supuestos!$D$8)*(Supuestos!$F$8-Supuestos!$E$8))),IF(Supuestos!$C$8="Uniforme",Supuestos!$D$8+E62*(Supuestos!$E$8-Supuestos!$D$8),IF(Supuestos!$C$8="Lognormal",LOGINV(E62,LN(Supuestos!$D$8)-LN(1+Supuestos!$E$8^2/Supuestos!$D$8^2)/2,SQRT(LN(1+Supuestos!$E$8^2/Supuestos!$D$8^2))),Supuestos!$D$8))))))</f>
        <v/>
      </c>
      <c r="M62" s="32">
        <f>MIN(IF(Supuestos!$H$9="",1E+99,Supuestos!$H$9),MAX(IF(Supuestos!$G$9="",-1E+99,Supuestos!$G$9),IF(Supuestos!$C$9="Normal",NORMINV(F62,Supuestos!$D$9,Supuestos!$E$9),IF(Supuestos!$C$9="Triangular",IF(F62&lt;(Supuestos!$E$9-Supuestos!$D$9)/(Supuestos!$F$9-Supuestos!$D$9),Supuestos!$D$9+SQRT(F62*(Supuestos!$F$9-Supuestos!$D$9)*(Supuestos!$E$9-Supuestos!$D$9)),Supuestos!$F$9-SQRT((1-F62)*(Supuestos!$F$9-Supuestos!$D$9)*(Supuestos!$F$9-Supuestos!$E$9))),IF(Supuestos!$C$9="Uniforme",Supuestos!$D$9+F62*(Supuestos!$E$9-Supuestos!$D$9),IF(Supuestos!$C$9="Lognormal",LOGINV(F62,LN(Supuestos!$D$9)-LN(1+Supuestos!$E$9^2/Supuestos!$D$9^2)/2,SQRT(LN(1+Supuestos!$E$9^2/Supuestos!$D$9^2))),Supuestos!$D$9))))))</f>
        <v/>
      </c>
      <c r="N62" s="32">
        <f>MIN(IF(Supuestos!$H$10="",1E+99,Supuestos!$H$10),MAX(IF(Supuestos!$G$10="",-1E+99,Supuestos!$G$10),IF(Supuestos!$C$10="Normal",NORMINV(G62,Supuestos!$D$10,Supuestos!$E$10),IF(Supuestos!$C$10="Triangular",IF(G62&lt;(Supuestos!$E$10-Supuestos!$D$10)/(Supuestos!$F$10-Supuestos!$D$10),Supuestos!$D$10+SQRT(G62*(Supuestos!$F$10-Supuestos!$D$10)*(Supuestos!$E$10-Supuestos!$D$10)),Supuestos!$F$10-SQRT((1-G62)*(Supuestos!$F$10-Supuestos!$D$10)*(Supuestos!$F$10-Supuestos!$E$10))),IF(Supuestos!$C$10="Uniforme",Supuestos!$D$10+G62*(Supuestos!$E$10-Supuestos!$D$10),IF(Supuestos!$C$10="Lognormal",LOGINV(G62,LN(Supuestos!$D$10)-LN(1+Supuestos!$E$10^2/Supuestos!$D$10^2)/2,SQRT(LN(1+Supuestos!$E$10^2/Supuestos!$D$10^2))),Supuestos!$D$10))))))</f>
        <v/>
      </c>
      <c r="O62" s="31">
        <f>MIN(IF(Supuestos!$H$11="",1E+99,Supuestos!$H$11),MAX(IF(Supuestos!$G$11="",-1E+99,Supuestos!$G$11),IF(Supuestos!$C$11="Normal",NORMINV(H62,Supuestos!$D$11,Supuestos!$E$11),IF(Supuestos!$C$11="Triangular",IF(H62&lt;(Supuestos!$E$11-Supuestos!$D$11)/(Supuestos!$F$11-Supuestos!$D$11),Supuestos!$D$11+SQRT(H62*(Supuestos!$F$11-Supuestos!$D$11)*(Supuestos!$E$11-Supuestos!$D$11)),Supuestos!$F$11-SQRT((1-H62)*(Supuestos!$F$11-Supuestos!$D$11)*(Supuestos!$F$11-Supuestos!$E$11))),IF(Supuestos!$C$11="Uniforme",Supuestos!$D$11+H62*(Supuestos!$E$11-Supuestos!$D$11),IF(Supuestos!$C$11="Lognormal",LOGINV(H62,LN(Supuestos!$D$11)-LN(1+Supuestos!$E$11^2/Supuestos!$D$11^2)/2,SQRT(LN(1+Supuestos!$E$11^2/Supuestos!$D$11^2))),Supuestos!$D$11))))))</f>
        <v/>
      </c>
      <c r="P62" s="33">
        <f>-I62</f>
        <v/>
      </c>
      <c r="Q62" s="33">
        <f>$J62*(1+$K62)^(1-1)*(1-$L62)*(1-$M62)</f>
        <v/>
      </c>
      <c r="R62" s="33">
        <f>$J62*(1+$K62)^(2-1)*(1-$L62)*(1-$M62)</f>
        <v/>
      </c>
      <c r="S62" s="33">
        <f>$J62*(1+$K62)^(3-1)*(1-$L62)*(1-$M62)</f>
        <v/>
      </c>
      <c r="T62" s="33">
        <f>$J62*(1+$K62)^(4-1)*(1-$L62)*(1-$M62)</f>
        <v/>
      </c>
      <c r="U62" s="33">
        <f>$J62*(1+$K62)^(5-1)*(1-$L62)*(1-$M62)+$O62</f>
        <v/>
      </c>
      <c r="V62" s="33">
        <f>P62+NPV($N62,Q62:U62)</f>
        <v/>
      </c>
      <c r="W62" s="32">
        <f>IFERROR(IRR(P62:U62,0.1),"")</f>
        <v/>
      </c>
    </row>
    <row r="63">
      <c r="A63" s="14" t="n">
        <v>59</v>
      </c>
      <c r="B63" s="30">
        <f>RAND()*(1-2E-6)+1E-6</f>
        <v/>
      </c>
      <c r="C63" s="30">
        <f>RAND()*(1-2E-6)+1E-6</f>
        <v/>
      </c>
      <c r="D63" s="30">
        <f>RAND()*(1-2E-6)+1E-6</f>
        <v/>
      </c>
      <c r="E63" s="30">
        <f>RAND()*(1-2E-6)+1E-6</f>
        <v/>
      </c>
      <c r="F63" s="30">
        <f>RAND()*(1-2E-6)+1E-6</f>
        <v/>
      </c>
      <c r="G63" s="30">
        <f>RAND()*(1-2E-6)+1E-6</f>
        <v/>
      </c>
      <c r="H63" s="30">
        <f>RAND()*(1-2E-6)+1E-6</f>
        <v/>
      </c>
      <c r="I63" s="31">
        <f>MIN(IF(Supuestos!$H$5="",1E+99,Supuestos!$H$5),MAX(IF(Supuestos!$G$5="",-1E+99,Supuestos!$G$5),IF(Supuestos!$C$5="Normal",NORMINV(B63,Supuestos!$D$5,Supuestos!$E$5),IF(Supuestos!$C$5="Triangular",IF(B63&lt;(Supuestos!$E$5-Supuestos!$D$5)/(Supuestos!$F$5-Supuestos!$D$5),Supuestos!$D$5+SQRT(B63*(Supuestos!$F$5-Supuestos!$D$5)*(Supuestos!$E$5-Supuestos!$D$5)),Supuestos!$F$5-SQRT((1-B63)*(Supuestos!$F$5-Supuestos!$D$5)*(Supuestos!$F$5-Supuestos!$E$5))),IF(Supuestos!$C$5="Uniforme",Supuestos!$D$5+B63*(Supuestos!$E$5-Supuestos!$D$5),IF(Supuestos!$C$5="Lognormal",LOGINV(B63,LN(Supuestos!$D$5)-LN(1+Supuestos!$E$5^2/Supuestos!$D$5^2)/2,SQRT(LN(1+Supuestos!$E$5^2/Supuestos!$D$5^2))),Supuestos!$D$5))))))</f>
        <v/>
      </c>
      <c r="J63" s="31">
        <f>MIN(IF(Supuestos!$H$6="",1E+99,Supuestos!$H$6),MAX(IF(Supuestos!$G$6="",-1E+99,Supuestos!$G$6),IF(Supuestos!$C$6="Normal",NORMINV(C63,Supuestos!$D$6,Supuestos!$E$6),IF(Supuestos!$C$6="Triangular",IF(C63&lt;(Supuestos!$E$6-Supuestos!$D$6)/(Supuestos!$F$6-Supuestos!$D$6),Supuestos!$D$6+SQRT(C63*(Supuestos!$F$6-Supuestos!$D$6)*(Supuestos!$E$6-Supuestos!$D$6)),Supuestos!$F$6-SQRT((1-C63)*(Supuestos!$F$6-Supuestos!$D$6)*(Supuestos!$F$6-Supuestos!$E$6))),IF(Supuestos!$C$6="Uniforme",Supuestos!$D$6+C63*(Supuestos!$E$6-Supuestos!$D$6),IF(Supuestos!$C$6="Lognormal",LOGINV(C63,LN(Supuestos!$D$6)-LN(1+Supuestos!$E$6^2/Supuestos!$D$6^2)/2,SQRT(LN(1+Supuestos!$E$6^2/Supuestos!$D$6^2))),Supuestos!$D$6))))))</f>
        <v/>
      </c>
      <c r="K63" s="32">
        <f>MIN(IF(Supuestos!$H$7="",1E+99,Supuestos!$H$7),MAX(IF(Supuestos!$G$7="",-1E+99,Supuestos!$G$7),IF(Supuestos!$C$7="Normal",NORMINV(D63,Supuestos!$D$7,Supuestos!$E$7),IF(Supuestos!$C$7="Triangular",IF(D63&lt;(Supuestos!$E$7-Supuestos!$D$7)/(Supuestos!$F$7-Supuestos!$D$7),Supuestos!$D$7+SQRT(D63*(Supuestos!$F$7-Supuestos!$D$7)*(Supuestos!$E$7-Supuestos!$D$7)),Supuestos!$F$7-SQRT((1-D63)*(Supuestos!$F$7-Supuestos!$D$7)*(Supuestos!$F$7-Supuestos!$E$7))),IF(Supuestos!$C$7="Uniforme",Supuestos!$D$7+D63*(Supuestos!$E$7-Supuestos!$D$7),IF(Supuestos!$C$7="Lognormal",LOGINV(D63,LN(Supuestos!$D$7)-LN(1+Supuestos!$E$7^2/Supuestos!$D$7^2)/2,SQRT(LN(1+Supuestos!$E$7^2/Supuestos!$D$7^2))),Supuestos!$D$7))))))</f>
        <v/>
      </c>
      <c r="L63" s="32">
        <f>MIN(IF(Supuestos!$H$8="",1E+99,Supuestos!$H$8),MAX(IF(Supuestos!$G$8="",-1E+99,Supuestos!$G$8),IF(Supuestos!$C$8="Normal",NORMINV(E63,Supuestos!$D$8,Supuestos!$E$8),IF(Supuestos!$C$8="Triangular",IF(E63&lt;(Supuestos!$E$8-Supuestos!$D$8)/(Supuestos!$F$8-Supuestos!$D$8),Supuestos!$D$8+SQRT(E63*(Supuestos!$F$8-Supuestos!$D$8)*(Supuestos!$E$8-Supuestos!$D$8)),Supuestos!$F$8-SQRT((1-E63)*(Supuestos!$F$8-Supuestos!$D$8)*(Supuestos!$F$8-Supuestos!$E$8))),IF(Supuestos!$C$8="Uniforme",Supuestos!$D$8+E63*(Supuestos!$E$8-Supuestos!$D$8),IF(Supuestos!$C$8="Lognormal",LOGINV(E63,LN(Supuestos!$D$8)-LN(1+Supuestos!$E$8^2/Supuestos!$D$8^2)/2,SQRT(LN(1+Supuestos!$E$8^2/Supuestos!$D$8^2))),Supuestos!$D$8))))))</f>
        <v/>
      </c>
      <c r="M63" s="32">
        <f>MIN(IF(Supuestos!$H$9="",1E+99,Supuestos!$H$9),MAX(IF(Supuestos!$G$9="",-1E+99,Supuestos!$G$9),IF(Supuestos!$C$9="Normal",NORMINV(F63,Supuestos!$D$9,Supuestos!$E$9),IF(Supuestos!$C$9="Triangular",IF(F63&lt;(Supuestos!$E$9-Supuestos!$D$9)/(Supuestos!$F$9-Supuestos!$D$9),Supuestos!$D$9+SQRT(F63*(Supuestos!$F$9-Supuestos!$D$9)*(Supuestos!$E$9-Supuestos!$D$9)),Supuestos!$F$9-SQRT((1-F63)*(Supuestos!$F$9-Supuestos!$D$9)*(Supuestos!$F$9-Supuestos!$E$9))),IF(Supuestos!$C$9="Uniforme",Supuestos!$D$9+F63*(Supuestos!$E$9-Supuestos!$D$9),IF(Supuestos!$C$9="Lognormal",LOGINV(F63,LN(Supuestos!$D$9)-LN(1+Supuestos!$E$9^2/Supuestos!$D$9^2)/2,SQRT(LN(1+Supuestos!$E$9^2/Supuestos!$D$9^2))),Supuestos!$D$9))))))</f>
        <v/>
      </c>
      <c r="N63" s="32">
        <f>MIN(IF(Supuestos!$H$10="",1E+99,Supuestos!$H$10),MAX(IF(Supuestos!$G$10="",-1E+99,Supuestos!$G$10),IF(Supuestos!$C$10="Normal",NORMINV(G63,Supuestos!$D$10,Supuestos!$E$10),IF(Supuestos!$C$10="Triangular",IF(G63&lt;(Supuestos!$E$10-Supuestos!$D$10)/(Supuestos!$F$10-Supuestos!$D$10),Supuestos!$D$10+SQRT(G63*(Supuestos!$F$10-Supuestos!$D$10)*(Supuestos!$E$10-Supuestos!$D$10)),Supuestos!$F$10-SQRT((1-G63)*(Supuestos!$F$10-Supuestos!$D$10)*(Supuestos!$F$10-Supuestos!$E$10))),IF(Supuestos!$C$10="Uniforme",Supuestos!$D$10+G63*(Supuestos!$E$10-Supuestos!$D$10),IF(Supuestos!$C$10="Lognormal",LOGINV(G63,LN(Supuestos!$D$10)-LN(1+Supuestos!$E$10^2/Supuestos!$D$10^2)/2,SQRT(LN(1+Supuestos!$E$10^2/Supuestos!$D$10^2))),Supuestos!$D$10))))))</f>
        <v/>
      </c>
      <c r="O63" s="31">
        <f>MIN(IF(Supuestos!$H$11="",1E+99,Supuestos!$H$11),MAX(IF(Supuestos!$G$11="",-1E+99,Supuestos!$G$11),IF(Supuestos!$C$11="Normal",NORMINV(H63,Supuestos!$D$11,Supuestos!$E$11),IF(Supuestos!$C$11="Triangular",IF(H63&lt;(Supuestos!$E$11-Supuestos!$D$11)/(Supuestos!$F$11-Supuestos!$D$11),Supuestos!$D$11+SQRT(H63*(Supuestos!$F$11-Supuestos!$D$11)*(Supuestos!$E$11-Supuestos!$D$11)),Supuestos!$F$11-SQRT((1-H63)*(Supuestos!$F$11-Supuestos!$D$11)*(Supuestos!$F$11-Supuestos!$E$11))),IF(Supuestos!$C$11="Uniforme",Supuestos!$D$11+H63*(Supuestos!$E$11-Supuestos!$D$11),IF(Supuestos!$C$11="Lognormal",LOGINV(H63,LN(Supuestos!$D$11)-LN(1+Supuestos!$E$11^2/Supuestos!$D$11^2)/2,SQRT(LN(1+Supuestos!$E$11^2/Supuestos!$D$11^2))),Supuestos!$D$11))))))</f>
        <v/>
      </c>
      <c r="P63" s="33">
        <f>-I63</f>
        <v/>
      </c>
      <c r="Q63" s="33">
        <f>$J63*(1+$K63)^(1-1)*(1-$L63)*(1-$M63)</f>
        <v/>
      </c>
      <c r="R63" s="33">
        <f>$J63*(1+$K63)^(2-1)*(1-$L63)*(1-$M63)</f>
        <v/>
      </c>
      <c r="S63" s="33">
        <f>$J63*(1+$K63)^(3-1)*(1-$L63)*(1-$M63)</f>
        <v/>
      </c>
      <c r="T63" s="33">
        <f>$J63*(1+$K63)^(4-1)*(1-$L63)*(1-$M63)</f>
        <v/>
      </c>
      <c r="U63" s="33">
        <f>$J63*(1+$K63)^(5-1)*(1-$L63)*(1-$M63)+$O63</f>
        <v/>
      </c>
      <c r="V63" s="33">
        <f>P63+NPV($N63,Q63:U63)</f>
        <v/>
      </c>
      <c r="W63" s="32">
        <f>IFERROR(IRR(P63:U63,0.1),"")</f>
        <v/>
      </c>
    </row>
    <row r="64">
      <c r="A64" s="14" t="n">
        <v>60</v>
      </c>
      <c r="B64" s="30">
        <f>RAND()*(1-2E-6)+1E-6</f>
        <v/>
      </c>
      <c r="C64" s="30">
        <f>RAND()*(1-2E-6)+1E-6</f>
        <v/>
      </c>
      <c r="D64" s="30">
        <f>RAND()*(1-2E-6)+1E-6</f>
        <v/>
      </c>
      <c r="E64" s="30">
        <f>RAND()*(1-2E-6)+1E-6</f>
        <v/>
      </c>
      <c r="F64" s="30">
        <f>RAND()*(1-2E-6)+1E-6</f>
        <v/>
      </c>
      <c r="G64" s="30">
        <f>RAND()*(1-2E-6)+1E-6</f>
        <v/>
      </c>
      <c r="H64" s="30">
        <f>RAND()*(1-2E-6)+1E-6</f>
        <v/>
      </c>
      <c r="I64" s="31">
        <f>MIN(IF(Supuestos!$H$5="",1E+99,Supuestos!$H$5),MAX(IF(Supuestos!$G$5="",-1E+99,Supuestos!$G$5),IF(Supuestos!$C$5="Normal",NORMINV(B64,Supuestos!$D$5,Supuestos!$E$5),IF(Supuestos!$C$5="Triangular",IF(B64&lt;(Supuestos!$E$5-Supuestos!$D$5)/(Supuestos!$F$5-Supuestos!$D$5),Supuestos!$D$5+SQRT(B64*(Supuestos!$F$5-Supuestos!$D$5)*(Supuestos!$E$5-Supuestos!$D$5)),Supuestos!$F$5-SQRT((1-B64)*(Supuestos!$F$5-Supuestos!$D$5)*(Supuestos!$F$5-Supuestos!$E$5))),IF(Supuestos!$C$5="Uniforme",Supuestos!$D$5+B64*(Supuestos!$E$5-Supuestos!$D$5),IF(Supuestos!$C$5="Lognormal",LOGINV(B64,LN(Supuestos!$D$5)-LN(1+Supuestos!$E$5^2/Supuestos!$D$5^2)/2,SQRT(LN(1+Supuestos!$E$5^2/Supuestos!$D$5^2))),Supuestos!$D$5))))))</f>
        <v/>
      </c>
      <c r="J64" s="31">
        <f>MIN(IF(Supuestos!$H$6="",1E+99,Supuestos!$H$6),MAX(IF(Supuestos!$G$6="",-1E+99,Supuestos!$G$6),IF(Supuestos!$C$6="Normal",NORMINV(C64,Supuestos!$D$6,Supuestos!$E$6),IF(Supuestos!$C$6="Triangular",IF(C64&lt;(Supuestos!$E$6-Supuestos!$D$6)/(Supuestos!$F$6-Supuestos!$D$6),Supuestos!$D$6+SQRT(C64*(Supuestos!$F$6-Supuestos!$D$6)*(Supuestos!$E$6-Supuestos!$D$6)),Supuestos!$F$6-SQRT((1-C64)*(Supuestos!$F$6-Supuestos!$D$6)*(Supuestos!$F$6-Supuestos!$E$6))),IF(Supuestos!$C$6="Uniforme",Supuestos!$D$6+C64*(Supuestos!$E$6-Supuestos!$D$6),IF(Supuestos!$C$6="Lognormal",LOGINV(C64,LN(Supuestos!$D$6)-LN(1+Supuestos!$E$6^2/Supuestos!$D$6^2)/2,SQRT(LN(1+Supuestos!$E$6^2/Supuestos!$D$6^2))),Supuestos!$D$6))))))</f>
        <v/>
      </c>
      <c r="K64" s="32">
        <f>MIN(IF(Supuestos!$H$7="",1E+99,Supuestos!$H$7),MAX(IF(Supuestos!$G$7="",-1E+99,Supuestos!$G$7),IF(Supuestos!$C$7="Normal",NORMINV(D64,Supuestos!$D$7,Supuestos!$E$7),IF(Supuestos!$C$7="Triangular",IF(D64&lt;(Supuestos!$E$7-Supuestos!$D$7)/(Supuestos!$F$7-Supuestos!$D$7),Supuestos!$D$7+SQRT(D64*(Supuestos!$F$7-Supuestos!$D$7)*(Supuestos!$E$7-Supuestos!$D$7)),Supuestos!$F$7-SQRT((1-D64)*(Supuestos!$F$7-Supuestos!$D$7)*(Supuestos!$F$7-Supuestos!$E$7))),IF(Supuestos!$C$7="Uniforme",Supuestos!$D$7+D64*(Supuestos!$E$7-Supuestos!$D$7),IF(Supuestos!$C$7="Lognormal",LOGINV(D64,LN(Supuestos!$D$7)-LN(1+Supuestos!$E$7^2/Supuestos!$D$7^2)/2,SQRT(LN(1+Supuestos!$E$7^2/Supuestos!$D$7^2))),Supuestos!$D$7))))))</f>
        <v/>
      </c>
      <c r="L64" s="32">
        <f>MIN(IF(Supuestos!$H$8="",1E+99,Supuestos!$H$8),MAX(IF(Supuestos!$G$8="",-1E+99,Supuestos!$G$8),IF(Supuestos!$C$8="Normal",NORMINV(E64,Supuestos!$D$8,Supuestos!$E$8),IF(Supuestos!$C$8="Triangular",IF(E64&lt;(Supuestos!$E$8-Supuestos!$D$8)/(Supuestos!$F$8-Supuestos!$D$8),Supuestos!$D$8+SQRT(E64*(Supuestos!$F$8-Supuestos!$D$8)*(Supuestos!$E$8-Supuestos!$D$8)),Supuestos!$F$8-SQRT((1-E64)*(Supuestos!$F$8-Supuestos!$D$8)*(Supuestos!$F$8-Supuestos!$E$8))),IF(Supuestos!$C$8="Uniforme",Supuestos!$D$8+E64*(Supuestos!$E$8-Supuestos!$D$8),IF(Supuestos!$C$8="Lognormal",LOGINV(E64,LN(Supuestos!$D$8)-LN(1+Supuestos!$E$8^2/Supuestos!$D$8^2)/2,SQRT(LN(1+Supuestos!$E$8^2/Supuestos!$D$8^2))),Supuestos!$D$8))))))</f>
        <v/>
      </c>
      <c r="M64" s="32">
        <f>MIN(IF(Supuestos!$H$9="",1E+99,Supuestos!$H$9),MAX(IF(Supuestos!$G$9="",-1E+99,Supuestos!$G$9),IF(Supuestos!$C$9="Normal",NORMINV(F64,Supuestos!$D$9,Supuestos!$E$9),IF(Supuestos!$C$9="Triangular",IF(F64&lt;(Supuestos!$E$9-Supuestos!$D$9)/(Supuestos!$F$9-Supuestos!$D$9),Supuestos!$D$9+SQRT(F64*(Supuestos!$F$9-Supuestos!$D$9)*(Supuestos!$E$9-Supuestos!$D$9)),Supuestos!$F$9-SQRT((1-F64)*(Supuestos!$F$9-Supuestos!$D$9)*(Supuestos!$F$9-Supuestos!$E$9))),IF(Supuestos!$C$9="Uniforme",Supuestos!$D$9+F64*(Supuestos!$E$9-Supuestos!$D$9),IF(Supuestos!$C$9="Lognormal",LOGINV(F64,LN(Supuestos!$D$9)-LN(1+Supuestos!$E$9^2/Supuestos!$D$9^2)/2,SQRT(LN(1+Supuestos!$E$9^2/Supuestos!$D$9^2))),Supuestos!$D$9))))))</f>
        <v/>
      </c>
      <c r="N64" s="32">
        <f>MIN(IF(Supuestos!$H$10="",1E+99,Supuestos!$H$10),MAX(IF(Supuestos!$G$10="",-1E+99,Supuestos!$G$10),IF(Supuestos!$C$10="Normal",NORMINV(G64,Supuestos!$D$10,Supuestos!$E$10),IF(Supuestos!$C$10="Triangular",IF(G64&lt;(Supuestos!$E$10-Supuestos!$D$10)/(Supuestos!$F$10-Supuestos!$D$10),Supuestos!$D$10+SQRT(G64*(Supuestos!$F$10-Supuestos!$D$10)*(Supuestos!$E$10-Supuestos!$D$10)),Supuestos!$F$10-SQRT((1-G64)*(Supuestos!$F$10-Supuestos!$D$10)*(Supuestos!$F$10-Supuestos!$E$10))),IF(Supuestos!$C$10="Uniforme",Supuestos!$D$10+G64*(Supuestos!$E$10-Supuestos!$D$10),IF(Supuestos!$C$10="Lognormal",LOGINV(G64,LN(Supuestos!$D$10)-LN(1+Supuestos!$E$10^2/Supuestos!$D$10^2)/2,SQRT(LN(1+Supuestos!$E$10^2/Supuestos!$D$10^2))),Supuestos!$D$10))))))</f>
        <v/>
      </c>
      <c r="O64" s="31">
        <f>MIN(IF(Supuestos!$H$11="",1E+99,Supuestos!$H$11),MAX(IF(Supuestos!$G$11="",-1E+99,Supuestos!$G$11),IF(Supuestos!$C$11="Normal",NORMINV(H64,Supuestos!$D$11,Supuestos!$E$11),IF(Supuestos!$C$11="Triangular",IF(H64&lt;(Supuestos!$E$11-Supuestos!$D$11)/(Supuestos!$F$11-Supuestos!$D$11),Supuestos!$D$11+SQRT(H64*(Supuestos!$F$11-Supuestos!$D$11)*(Supuestos!$E$11-Supuestos!$D$11)),Supuestos!$F$11-SQRT((1-H64)*(Supuestos!$F$11-Supuestos!$D$11)*(Supuestos!$F$11-Supuestos!$E$11))),IF(Supuestos!$C$11="Uniforme",Supuestos!$D$11+H64*(Supuestos!$E$11-Supuestos!$D$11),IF(Supuestos!$C$11="Lognormal",LOGINV(H64,LN(Supuestos!$D$11)-LN(1+Supuestos!$E$11^2/Supuestos!$D$11^2)/2,SQRT(LN(1+Supuestos!$E$11^2/Supuestos!$D$11^2))),Supuestos!$D$11))))))</f>
        <v/>
      </c>
      <c r="P64" s="33">
        <f>-I64</f>
        <v/>
      </c>
      <c r="Q64" s="33">
        <f>$J64*(1+$K64)^(1-1)*(1-$L64)*(1-$M64)</f>
        <v/>
      </c>
      <c r="R64" s="33">
        <f>$J64*(1+$K64)^(2-1)*(1-$L64)*(1-$M64)</f>
        <v/>
      </c>
      <c r="S64" s="33">
        <f>$J64*(1+$K64)^(3-1)*(1-$L64)*(1-$M64)</f>
        <v/>
      </c>
      <c r="T64" s="33">
        <f>$J64*(1+$K64)^(4-1)*(1-$L64)*(1-$M64)</f>
        <v/>
      </c>
      <c r="U64" s="33">
        <f>$J64*(1+$K64)^(5-1)*(1-$L64)*(1-$M64)+$O64</f>
        <v/>
      </c>
      <c r="V64" s="33">
        <f>P64+NPV($N64,Q64:U64)</f>
        <v/>
      </c>
      <c r="W64" s="32">
        <f>IFERROR(IRR(P64:U64,0.1),"")</f>
        <v/>
      </c>
    </row>
    <row r="65">
      <c r="A65" s="14" t="n">
        <v>61</v>
      </c>
      <c r="B65" s="30">
        <f>RAND()*(1-2E-6)+1E-6</f>
        <v/>
      </c>
      <c r="C65" s="30">
        <f>RAND()*(1-2E-6)+1E-6</f>
        <v/>
      </c>
      <c r="D65" s="30">
        <f>RAND()*(1-2E-6)+1E-6</f>
        <v/>
      </c>
      <c r="E65" s="30">
        <f>RAND()*(1-2E-6)+1E-6</f>
        <v/>
      </c>
      <c r="F65" s="30">
        <f>RAND()*(1-2E-6)+1E-6</f>
        <v/>
      </c>
      <c r="G65" s="30">
        <f>RAND()*(1-2E-6)+1E-6</f>
        <v/>
      </c>
      <c r="H65" s="30">
        <f>RAND()*(1-2E-6)+1E-6</f>
        <v/>
      </c>
      <c r="I65" s="31">
        <f>MIN(IF(Supuestos!$H$5="",1E+99,Supuestos!$H$5),MAX(IF(Supuestos!$G$5="",-1E+99,Supuestos!$G$5),IF(Supuestos!$C$5="Normal",NORMINV(B65,Supuestos!$D$5,Supuestos!$E$5),IF(Supuestos!$C$5="Triangular",IF(B65&lt;(Supuestos!$E$5-Supuestos!$D$5)/(Supuestos!$F$5-Supuestos!$D$5),Supuestos!$D$5+SQRT(B65*(Supuestos!$F$5-Supuestos!$D$5)*(Supuestos!$E$5-Supuestos!$D$5)),Supuestos!$F$5-SQRT((1-B65)*(Supuestos!$F$5-Supuestos!$D$5)*(Supuestos!$F$5-Supuestos!$E$5))),IF(Supuestos!$C$5="Uniforme",Supuestos!$D$5+B65*(Supuestos!$E$5-Supuestos!$D$5),IF(Supuestos!$C$5="Lognormal",LOGINV(B65,LN(Supuestos!$D$5)-LN(1+Supuestos!$E$5^2/Supuestos!$D$5^2)/2,SQRT(LN(1+Supuestos!$E$5^2/Supuestos!$D$5^2))),Supuestos!$D$5))))))</f>
        <v/>
      </c>
      <c r="J65" s="31">
        <f>MIN(IF(Supuestos!$H$6="",1E+99,Supuestos!$H$6),MAX(IF(Supuestos!$G$6="",-1E+99,Supuestos!$G$6),IF(Supuestos!$C$6="Normal",NORMINV(C65,Supuestos!$D$6,Supuestos!$E$6),IF(Supuestos!$C$6="Triangular",IF(C65&lt;(Supuestos!$E$6-Supuestos!$D$6)/(Supuestos!$F$6-Supuestos!$D$6),Supuestos!$D$6+SQRT(C65*(Supuestos!$F$6-Supuestos!$D$6)*(Supuestos!$E$6-Supuestos!$D$6)),Supuestos!$F$6-SQRT((1-C65)*(Supuestos!$F$6-Supuestos!$D$6)*(Supuestos!$F$6-Supuestos!$E$6))),IF(Supuestos!$C$6="Uniforme",Supuestos!$D$6+C65*(Supuestos!$E$6-Supuestos!$D$6),IF(Supuestos!$C$6="Lognormal",LOGINV(C65,LN(Supuestos!$D$6)-LN(1+Supuestos!$E$6^2/Supuestos!$D$6^2)/2,SQRT(LN(1+Supuestos!$E$6^2/Supuestos!$D$6^2))),Supuestos!$D$6))))))</f>
        <v/>
      </c>
      <c r="K65" s="32">
        <f>MIN(IF(Supuestos!$H$7="",1E+99,Supuestos!$H$7),MAX(IF(Supuestos!$G$7="",-1E+99,Supuestos!$G$7),IF(Supuestos!$C$7="Normal",NORMINV(D65,Supuestos!$D$7,Supuestos!$E$7),IF(Supuestos!$C$7="Triangular",IF(D65&lt;(Supuestos!$E$7-Supuestos!$D$7)/(Supuestos!$F$7-Supuestos!$D$7),Supuestos!$D$7+SQRT(D65*(Supuestos!$F$7-Supuestos!$D$7)*(Supuestos!$E$7-Supuestos!$D$7)),Supuestos!$F$7-SQRT((1-D65)*(Supuestos!$F$7-Supuestos!$D$7)*(Supuestos!$F$7-Supuestos!$E$7))),IF(Supuestos!$C$7="Uniforme",Supuestos!$D$7+D65*(Supuestos!$E$7-Supuestos!$D$7),IF(Supuestos!$C$7="Lognormal",LOGINV(D65,LN(Supuestos!$D$7)-LN(1+Supuestos!$E$7^2/Supuestos!$D$7^2)/2,SQRT(LN(1+Supuestos!$E$7^2/Supuestos!$D$7^2))),Supuestos!$D$7))))))</f>
        <v/>
      </c>
      <c r="L65" s="32">
        <f>MIN(IF(Supuestos!$H$8="",1E+99,Supuestos!$H$8),MAX(IF(Supuestos!$G$8="",-1E+99,Supuestos!$G$8),IF(Supuestos!$C$8="Normal",NORMINV(E65,Supuestos!$D$8,Supuestos!$E$8),IF(Supuestos!$C$8="Triangular",IF(E65&lt;(Supuestos!$E$8-Supuestos!$D$8)/(Supuestos!$F$8-Supuestos!$D$8),Supuestos!$D$8+SQRT(E65*(Supuestos!$F$8-Supuestos!$D$8)*(Supuestos!$E$8-Supuestos!$D$8)),Supuestos!$F$8-SQRT((1-E65)*(Supuestos!$F$8-Supuestos!$D$8)*(Supuestos!$F$8-Supuestos!$E$8))),IF(Supuestos!$C$8="Uniforme",Supuestos!$D$8+E65*(Supuestos!$E$8-Supuestos!$D$8),IF(Supuestos!$C$8="Lognormal",LOGINV(E65,LN(Supuestos!$D$8)-LN(1+Supuestos!$E$8^2/Supuestos!$D$8^2)/2,SQRT(LN(1+Supuestos!$E$8^2/Supuestos!$D$8^2))),Supuestos!$D$8))))))</f>
        <v/>
      </c>
      <c r="M65" s="32">
        <f>MIN(IF(Supuestos!$H$9="",1E+99,Supuestos!$H$9),MAX(IF(Supuestos!$G$9="",-1E+99,Supuestos!$G$9),IF(Supuestos!$C$9="Normal",NORMINV(F65,Supuestos!$D$9,Supuestos!$E$9),IF(Supuestos!$C$9="Triangular",IF(F65&lt;(Supuestos!$E$9-Supuestos!$D$9)/(Supuestos!$F$9-Supuestos!$D$9),Supuestos!$D$9+SQRT(F65*(Supuestos!$F$9-Supuestos!$D$9)*(Supuestos!$E$9-Supuestos!$D$9)),Supuestos!$F$9-SQRT((1-F65)*(Supuestos!$F$9-Supuestos!$D$9)*(Supuestos!$F$9-Supuestos!$E$9))),IF(Supuestos!$C$9="Uniforme",Supuestos!$D$9+F65*(Supuestos!$E$9-Supuestos!$D$9),IF(Supuestos!$C$9="Lognormal",LOGINV(F65,LN(Supuestos!$D$9)-LN(1+Supuestos!$E$9^2/Supuestos!$D$9^2)/2,SQRT(LN(1+Supuestos!$E$9^2/Supuestos!$D$9^2))),Supuestos!$D$9))))))</f>
        <v/>
      </c>
      <c r="N65" s="32">
        <f>MIN(IF(Supuestos!$H$10="",1E+99,Supuestos!$H$10),MAX(IF(Supuestos!$G$10="",-1E+99,Supuestos!$G$10),IF(Supuestos!$C$10="Normal",NORMINV(G65,Supuestos!$D$10,Supuestos!$E$10),IF(Supuestos!$C$10="Triangular",IF(G65&lt;(Supuestos!$E$10-Supuestos!$D$10)/(Supuestos!$F$10-Supuestos!$D$10),Supuestos!$D$10+SQRT(G65*(Supuestos!$F$10-Supuestos!$D$10)*(Supuestos!$E$10-Supuestos!$D$10)),Supuestos!$F$10-SQRT((1-G65)*(Supuestos!$F$10-Supuestos!$D$10)*(Supuestos!$F$10-Supuestos!$E$10))),IF(Supuestos!$C$10="Uniforme",Supuestos!$D$10+G65*(Supuestos!$E$10-Supuestos!$D$10),IF(Supuestos!$C$10="Lognormal",LOGINV(G65,LN(Supuestos!$D$10)-LN(1+Supuestos!$E$10^2/Supuestos!$D$10^2)/2,SQRT(LN(1+Supuestos!$E$10^2/Supuestos!$D$10^2))),Supuestos!$D$10))))))</f>
        <v/>
      </c>
      <c r="O65" s="31">
        <f>MIN(IF(Supuestos!$H$11="",1E+99,Supuestos!$H$11),MAX(IF(Supuestos!$G$11="",-1E+99,Supuestos!$G$11),IF(Supuestos!$C$11="Normal",NORMINV(H65,Supuestos!$D$11,Supuestos!$E$11),IF(Supuestos!$C$11="Triangular",IF(H65&lt;(Supuestos!$E$11-Supuestos!$D$11)/(Supuestos!$F$11-Supuestos!$D$11),Supuestos!$D$11+SQRT(H65*(Supuestos!$F$11-Supuestos!$D$11)*(Supuestos!$E$11-Supuestos!$D$11)),Supuestos!$F$11-SQRT((1-H65)*(Supuestos!$F$11-Supuestos!$D$11)*(Supuestos!$F$11-Supuestos!$E$11))),IF(Supuestos!$C$11="Uniforme",Supuestos!$D$11+H65*(Supuestos!$E$11-Supuestos!$D$11),IF(Supuestos!$C$11="Lognormal",LOGINV(H65,LN(Supuestos!$D$11)-LN(1+Supuestos!$E$11^2/Supuestos!$D$11^2)/2,SQRT(LN(1+Supuestos!$E$11^2/Supuestos!$D$11^2))),Supuestos!$D$11))))))</f>
        <v/>
      </c>
      <c r="P65" s="33">
        <f>-I65</f>
        <v/>
      </c>
      <c r="Q65" s="33">
        <f>$J65*(1+$K65)^(1-1)*(1-$L65)*(1-$M65)</f>
        <v/>
      </c>
      <c r="R65" s="33">
        <f>$J65*(1+$K65)^(2-1)*(1-$L65)*(1-$M65)</f>
        <v/>
      </c>
      <c r="S65" s="33">
        <f>$J65*(1+$K65)^(3-1)*(1-$L65)*(1-$M65)</f>
        <v/>
      </c>
      <c r="T65" s="33">
        <f>$J65*(1+$K65)^(4-1)*(1-$L65)*(1-$M65)</f>
        <v/>
      </c>
      <c r="U65" s="33">
        <f>$J65*(1+$K65)^(5-1)*(1-$L65)*(1-$M65)+$O65</f>
        <v/>
      </c>
      <c r="V65" s="33">
        <f>P65+NPV($N65,Q65:U65)</f>
        <v/>
      </c>
      <c r="W65" s="32">
        <f>IFERROR(IRR(P65:U65,0.1),"")</f>
        <v/>
      </c>
    </row>
    <row r="66">
      <c r="A66" s="14" t="n">
        <v>62</v>
      </c>
      <c r="B66" s="30">
        <f>RAND()*(1-2E-6)+1E-6</f>
        <v/>
      </c>
      <c r="C66" s="30">
        <f>RAND()*(1-2E-6)+1E-6</f>
        <v/>
      </c>
      <c r="D66" s="30">
        <f>RAND()*(1-2E-6)+1E-6</f>
        <v/>
      </c>
      <c r="E66" s="30">
        <f>RAND()*(1-2E-6)+1E-6</f>
        <v/>
      </c>
      <c r="F66" s="30">
        <f>RAND()*(1-2E-6)+1E-6</f>
        <v/>
      </c>
      <c r="G66" s="30">
        <f>RAND()*(1-2E-6)+1E-6</f>
        <v/>
      </c>
      <c r="H66" s="30">
        <f>RAND()*(1-2E-6)+1E-6</f>
        <v/>
      </c>
      <c r="I66" s="31">
        <f>MIN(IF(Supuestos!$H$5="",1E+99,Supuestos!$H$5),MAX(IF(Supuestos!$G$5="",-1E+99,Supuestos!$G$5),IF(Supuestos!$C$5="Normal",NORMINV(B66,Supuestos!$D$5,Supuestos!$E$5),IF(Supuestos!$C$5="Triangular",IF(B66&lt;(Supuestos!$E$5-Supuestos!$D$5)/(Supuestos!$F$5-Supuestos!$D$5),Supuestos!$D$5+SQRT(B66*(Supuestos!$F$5-Supuestos!$D$5)*(Supuestos!$E$5-Supuestos!$D$5)),Supuestos!$F$5-SQRT((1-B66)*(Supuestos!$F$5-Supuestos!$D$5)*(Supuestos!$F$5-Supuestos!$E$5))),IF(Supuestos!$C$5="Uniforme",Supuestos!$D$5+B66*(Supuestos!$E$5-Supuestos!$D$5),IF(Supuestos!$C$5="Lognormal",LOGINV(B66,LN(Supuestos!$D$5)-LN(1+Supuestos!$E$5^2/Supuestos!$D$5^2)/2,SQRT(LN(1+Supuestos!$E$5^2/Supuestos!$D$5^2))),Supuestos!$D$5))))))</f>
        <v/>
      </c>
      <c r="J66" s="31">
        <f>MIN(IF(Supuestos!$H$6="",1E+99,Supuestos!$H$6),MAX(IF(Supuestos!$G$6="",-1E+99,Supuestos!$G$6),IF(Supuestos!$C$6="Normal",NORMINV(C66,Supuestos!$D$6,Supuestos!$E$6),IF(Supuestos!$C$6="Triangular",IF(C66&lt;(Supuestos!$E$6-Supuestos!$D$6)/(Supuestos!$F$6-Supuestos!$D$6),Supuestos!$D$6+SQRT(C66*(Supuestos!$F$6-Supuestos!$D$6)*(Supuestos!$E$6-Supuestos!$D$6)),Supuestos!$F$6-SQRT((1-C66)*(Supuestos!$F$6-Supuestos!$D$6)*(Supuestos!$F$6-Supuestos!$E$6))),IF(Supuestos!$C$6="Uniforme",Supuestos!$D$6+C66*(Supuestos!$E$6-Supuestos!$D$6),IF(Supuestos!$C$6="Lognormal",LOGINV(C66,LN(Supuestos!$D$6)-LN(1+Supuestos!$E$6^2/Supuestos!$D$6^2)/2,SQRT(LN(1+Supuestos!$E$6^2/Supuestos!$D$6^2))),Supuestos!$D$6))))))</f>
        <v/>
      </c>
      <c r="K66" s="32">
        <f>MIN(IF(Supuestos!$H$7="",1E+99,Supuestos!$H$7),MAX(IF(Supuestos!$G$7="",-1E+99,Supuestos!$G$7),IF(Supuestos!$C$7="Normal",NORMINV(D66,Supuestos!$D$7,Supuestos!$E$7),IF(Supuestos!$C$7="Triangular",IF(D66&lt;(Supuestos!$E$7-Supuestos!$D$7)/(Supuestos!$F$7-Supuestos!$D$7),Supuestos!$D$7+SQRT(D66*(Supuestos!$F$7-Supuestos!$D$7)*(Supuestos!$E$7-Supuestos!$D$7)),Supuestos!$F$7-SQRT((1-D66)*(Supuestos!$F$7-Supuestos!$D$7)*(Supuestos!$F$7-Supuestos!$E$7))),IF(Supuestos!$C$7="Uniforme",Supuestos!$D$7+D66*(Supuestos!$E$7-Supuestos!$D$7),IF(Supuestos!$C$7="Lognormal",LOGINV(D66,LN(Supuestos!$D$7)-LN(1+Supuestos!$E$7^2/Supuestos!$D$7^2)/2,SQRT(LN(1+Supuestos!$E$7^2/Supuestos!$D$7^2))),Supuestos!$D$7))))))</f>
        <v/>
      </c>
      <c r="L66" s="32">
        <f>MIN(IF(Supuestos!$H$8="",1E+99,Supuestos!$H$8),MAX(IF(Supuestos!$G$8="",-1E+99,Supuestos!$G$8),IF(Supuestos!$C$8="Normal",NORMINV(E66,Supuestos!$D$8,Supuestos!$E$8),IF(Supuestos!$C$8="Triangular",IF(E66&lt;(Supuestos!$E$8-Supuestos!$D$8)/(Supuestos!$F$8-Supuestos!$D$8),Supuestos!$D$8+SQRT(E66*(Supuestos!$F$8-Supuestos!$D$8)*(Supuestos!$E$8-Supuestos!$D$8)),Supuestos!$F$8-SQRT((1-E66)*(Supuestos!$F$8-Supuestos!$D$8)*(Supuestos!$F$8-Supuestos!$E$8))),IF(Supuestos!$C$8="Uniforme",Supuestos!$D$8+E66*(Supuestos!$E$8-Supuestos!$D$8),IF(Supuestos!$C$8="Lognormal",LOGINV(E66,LN(Supuestos!$D$8)-LN(1+Supuestos!$E$8^2/Supuestos!$D$8^2)/2,SQRT(LN(1+Supuestos!$E$8^2/Supuestos!$D$8^2))),Supuestos!$D$8))))))</f>
        <v/>
      </c>
      <c r="M66" s="32">
        <f>MIN(IF(Supuestos!$H$9="",1E+99,Supuestos!$H$9),MAX(IF(Supuestos!$G$9="",-1E+99,Supuestos!$G$9),IF(Supuestos!$C$9="Normal",NORMINV(F66,Supuestos!$D$9,Supuestos!$E$9),IF(Supuestos!$C$9="Triangular",IF(F66&lt;(Supuestos!$E$9-Supuestos!$D$9)/(Supuestos!$F$9-Supuestos!$D$9),Supuestos!$D$9+SQRT(F66*(Supuestos!$F$9-Supuestos!$D$9)*(Supuestos!$E$9-Supuestos!$D$9)),Supuestos!$F$9-SQRT((1-F66)*(Supuestos!$F$9-Supuestos!$D$9)*(Supuestos!$F$9-Supuestos!$E$9))),IF(Supuestos!$C$9="Uniforme",Supuestos!$D$9+F66*(Supuestos!$E$9-Supuestos!$D$9),IF(Supuestos!$C$9="Lognormal",LOGINV(F66,LN(Supuestos!$D$9)-LN(1+Supuestos!$E$9^2/Supuestos!$D$9^2)/2,SQRT(LN(1+Supuestos!$E$9^2/Supuestos!$D$9^2))),Supuestos!$D$9))))))</f>
        <v/>
      </c>
      <c r="N66" s="32">
        <f>MIN(IF(Supuestos!$H$10="",1E+99,Supuestos!$H$10),MAX(IF(Supuestos!$G$10="",-1E+99,Supuestos!$G$10),IF(Supuestos!$C$10="Normal",NORMINV(G66,Supuestos!$D$10,Supuestos!$E$10),IF(Supuestos!$C$10="Triangular",IF(G66&lt;(Supuestos!$E$10-Supuestos!$D$10)/(Supuestos!$F$10-Supuestos!$D$10),Supuestos!$D$10+SQRT(G66*(Supuestos!$F$10-Supuestos!$D$10)*(Supuestos!$E$10-Supuestos!$D$10)),Supuestos!$F$10-SQRT((1-G66)*(Supuestos!$F$10-Supuestos!$D$10)*(Supuestos!$F$10-Supuestos!$E$10))),IF(Supuestos!$C$10="Uniforme",Supuestos!$D$10+G66*(Supuestos!$E$10-Supuestos!$D$10),IF(Supuestos!$C$10="Lognormal",LOGINV(G66,LN(Supuestos!$D$10)-LN(1+Supuestos!$E$10^2/Supuestos!$D$10^2)/2,SQRT(LN(1+Supuestos!$E$10^2/Supuestos!$D$10^2))),Supuestos!$D$10))))))</f>
        <v/>
      </c>
      <c r="O66" s="31">
        <f>MIN(IF(Supuestos!$H$11="",1E+99,Supuestos!$H$11),MAX(IF(Supuestos!$G$11="",-1E+99,Supuestos!$G$11),IF(Supuestos!$C$11="Normal",NORMINV(H66,Supuestos!$D$11,Supuestos!$E$11),IF(Supuestos!$C$11="Triangular",IF(H66&lt;(Supuestos!$E$11-Supuestos!$D$11)/(Supuestos!$F$11-Supuestos!$D$11),Supuestos!$D$11+SQRT(H66*(Supuestos!$F$11-Supuestos!$D$11)*(Supuestos!$E$11-Supuestos!$D$11)),Supuestos!$F$11-SQRT((1-H66)*(Supuestos!$F$11-Supuestos!$D$11)*(Supuestos!$F$11-Supuestos!$E$11))),IF(Supuestos!$C$11="Uniforme",Supuestos!$D$11+H66*(Supuestos!$E$11-Supuestos!$D$11),IF(Supuestos!$C$11="Lognormal",LOGINV(H66,LN(Supuestos!$D$11)-LN(1+Supuestos!$E$11^2/Supuestos!$D$11^2)/2,SQRT(LN(1+Supuestos!$E$11^2/Supuestos!$D$11^2))),Supuestos!$D$11))))))</f>
        <v/>
      </c>
      <c r="P66" s="33">
        <f>-I66</f>
        <v/>
      </c>
      <c r="Q66" s="33">
        <f>$J66*(1+$K66)^(1-1)*(1-$L66)*(1-$M66)</f>
        <v/>
      </c>
      <c r="R66" s="33">
        <f>$J66*(1+$K66)^(2-1)*(1-$L66)*(1-$M66)</f>
        <v/>
      </c>
      <c r="S66" s="33">
        <f>$J66*(1+$K66)^(3-1)*(1-$L66)*(1-$M66)</f>
        <v/>
      </c>
      <c r="T66" s="33">
        <f>$J66*(1+$K66)^(4-1)*(1-$L66)*(1-$M66)</f>
        <v/>
      </c>
      <c r="U66" s="33">
        <f>$J66*(1+$K66)^(5-1)*(1-$L66)*(1-$M66)+$O66</f>
        <v/>
      </c>
      <c r="V66" s="33">
        <f>P66+NPV($N66,Q66:U66)</f>
        <v/>
      </c>
      <c r="W66" s="32">
        <f>IFERROR(IRR(P66:U66,0.1),"")</f>
        <v/>
      </c>
    </row>
    <row r="67">
      <c r="A67" s="14" t="n">
        <v>63</v>
      </c>
      <c r="B67" s="30">
        <f>RAND()*(1-2E-6)+1E-6</f>
        <v/>
      </c>
      <c r="C67" s="30">
        <f>RAND()*(1-2E-6)+1E-6</f>
        <v/>
      </c>
      <c r="D67" s="30">
        <f>RAND()*(1-2E-6)+1E-6</f>
        <v/>
      </c>
      <c r="E67" s="30">
        <f>RAND()*(1-2E-6)+1E-6</f>
        <v/>
      </c>
      <c r="F67" s="30">
        <f>RAND()*(1-2E-6)+1E-6</f>
        <v/>
      </c>
      <c r="G67" s="30">
        <f>RAND()*(1-2E-6)+1E-6</f>
        <v/>
      </c>
      <c r="H67" s="30">
        <f>RAND()*(1-2E-6)+1E-6</f>
        <v/>
      </c>
      <c r="I67" s="31">
        <f>MIN(IF(Supuestos!$H$5="",1E+99,Supuestos!$H$5),MAX(IF(Supuestos!$G$5="",-1E+99,Supuestos!$G$5),IF(Supuestos!$C$5="Normal",NORMINV(B67,Supuestos!$D$5,Supuestos!$E$5),IF(Supuestos!$C$5="Triangular",IF(B67&lt;(Supuestos!$E$5-Supuestos!$D$5)/(Supuestos!$F$5-Supuestos!$D$5),Supuestos!$D$5+SQRT(B67*(Supuestos!$F$5-Supuestos!$D$5)*(Supuestos!$E$5-Supuestos!$D$5)),Supuestos!$F$5-SQRT((1-B67)*(Supuestos!$F$5-Supuestos!$D$5)*(Supuestos!$F$5-Supuestos!$E$5))),IF(Supuestos!$C$5="Uniforme",Supuestos!$D$5+B67*(Supuestos!$E$5-Supuestos!$D$5),IF(Supuestos!$C$5="Lognormal",LOGINV(B67,LN(Supuestos!$D$5)-LN(1+Supuestos!$E$5^2/Supuestos!$D$5^2)/2,SQRT(LN(1+Supuestos!$E$5^2/Supuestos!$D$5^2))),Supuestos!$D$5))))))</f>
        <v/>
      </c>
      <c r="J67" s="31">
        <f>MIN(IF(Supuestos!$H$6="",1E+99,Supuestos!$H$6),MAX(IF(Supuestos!$G$6="",-1E+99,Supuestos!$G$6),IF(Supuestos!$C$6="Normal",NORMINV(C67,Supuestos!$D$6,Supuestos!$E$6),IF(Supuestos!$C$6="Triangular",IF(C67&lt;(Supuestos!$E$6-Supuestos!$D$6)/(Supuestos!$F$6-Supuestos!$D$6),Supuestos!$D$6+SQRT(C67*(Supuestos!$F$6-Supuestos!$D$6)*(Supuestos!$E$6-Supuestos!$D$6)),Supuestos!$F$6-SQRT((1-C67)*(Supuestos!$F$6-Supuestos!$D$6)*(Supuestos!$F$6-Supuestos!$E$6))),IF(Supuestos!$C$6="Uniforme",Supuestos!$D$6+C67*(Supuestos!$E$6-Supuestos!$D$6),IF(Supuestos!$C$6="Lognormal",LOGINV(C67,LN(Supuestos!$D$6)-LN(1+Supuestos!$E$6^2/Supuestos!$D$6^2)/2,SQRT(LN(1+Supuestos!$E$6^2/Supuestos!$D$6^2))),Supuestos!$D$6))))))</f>
        <v/>
      </c>
      <c r="K67" s="32">
        <f>MIN(IF(Supuestos!$H$7="",1E+99,Supuestos!$H$7),MAX(IF(Supuestos!$G$7="",-1E+99,Supuestos!$G$7),IF(Supuestos!$C$7="Normal",NORMINV(D67,Supuestos!$D$7,Supuestos!$E$7),IF(Supuestos!$C$7="Triangular",IF(D67&lt;(Supuestos!$E$7-Supuestos!$D$7)/(Supuestos!$F$7-Supuestos!$D$7),Supuestos!$D$7+SQRT(D67*(Supuestos!$F$7-Supuestos!$D$7)*(Supuestos!$E$7-Supuestos!$D$7)),Supuestos!$F$7-SQRT((1-D67)*(Supuestos!$F$7-Supuestos!$D$7)*(Supuestos!$F$7-Supuestos!$E$7))),IF(Supuestos!$C$7="Uniforme",Supuestos!$D$7+D67*(Supuestos!$E$7-Supuestos!$D$7),IF(Supuestos!$C$7="Lognormal",LOGINV(D67,LN(Supuestos!$D$7)-LN(1+Supuestos!$E$7^2/Supuestos!$D$7^2)/2,SQRT(LN(1+Supuestos!$E$7^2/Supuestos!$D$7^2))),Supuestos!$D$7))))))</f>
        <v/>
      </c>
      <c r="L67" s="32">
        <f>MIN(IF(Supuestos!$H$8="",1E+99,Supuestos!$H$8),MAX(IF(Supuestos!$G$8="",-1E+99,Supuestos!$G$8),IF(Supuestos!$C$8="Normal",NORMINV(E67,Supuestos!$D$8,Supuestos!$E$8),IF(Supuestos!$C$8="Triangular",IF(E67&lt;(Supuestos!$E$8-Supuestos!$D$8)/(Supuestos!$F$8-Supuestos!$D$8),Supuestos!$D$8+SQRT(E67*(Supuestos!$F$8-Supuestos!$D$8)*(Supuestos!$E$8-Supuestos!$D$8)),Supuestos!$F$8-SQRT((1-E67)*(Supuestos!$F$8-Supuestos!$D$8)*(Supuestos!$F$8-Supuestos!$E$8))),IF(Supuestos!$C$8="Uniforme",Supuestos!$D$8+E67*(Supuestos!$E$8-Supuestos!$D$8),IF(Supuestos!$C$8="Lognormal",LOGINV(E67,LN(Supuestos!$D$8)-LN(1+Supuestos!$E$8^2/Supuestos!$D$8^2)/2,SQRT(LN(1+Supuestos!$E$8^2/Supuestos!$D$8^2))),Supuestos!$D$8))))))</f>
        <v/>
      </c>
      <c r="M67" s="32">
        <f>MIN(IF(Supuestos!$H$9="",1E+99,Supuestos!$H$9),MAX(IF(Supuestos!$G$9="",-1E+99,Supuestos!$G$9),IF(Supuestos!$C$9="Normal",NORMINV(F67,Supuestos!$D$9,Supuestos!$E$9),IF(Supuestos!$C$9="Triangular",IF(F67&lt;(Supuestos!$E$9-Supuestos!$D$9)/(Supuestos!$F$9-Supuestos!$D$9),Supuestos!$D$9+SQRT(F67*(Supuestos!$F$9-Supuestos!$D$9)*(Supuestos!$E$9-Supuestos!$D$9)),Supuestos!$F$9-SQRT((1-F67)*(Supuestos!$F$9-Supuestos!$D$9)*(Supuestos!$F$9-Supuestos!$E$9))),IF(Supuestos!$C$9="Uniforme",Supuestos!$D$9+F67*(Supuestos!$E$9-Supuestos!$D$9),IF(Supuestos!$C$9="Lognormal",LOGINV(F67,LN(Supuestos!$D$9)-LN(1+Supuestos!$E$9^2/Supuestos!$D$9^2)/2,SQRT(LN(1+Supuestos!$E$9^2/Supuestos!$D$9^2))),Supuestos!$D$9))))))</f>
        <v/>
      </c>
      <c r="N67" s="32">
        <f>MIN(IF(Supuestos!$H$10="",1E+99,Supuestos!$H$10),MAX(IF(Supuestos!$G$10="",-1E+99,Supuestos!$G$10),IF(Supuestos!$C$10="Normal",NORMINV(G67,Supuestos!$D$10,Supuestos!$E$10),IF(Supuestos!$C$10="Triangular",IF(G67&lt;(Supuestos!$E$10-Supuestos!$D$10)/(Supuestos!$F$10-Supuestos!$D$10),Supuestos!$D$10+SQRT(G67*(Supuestos!$F$10-Supuestos!$D$10)*(Supuestos!$E$10-Supuestos!$D$10)),Supuestos!$F$10-SQRT((1-G67)*(Supuestos!$F$10-Supuestos!$D$10)*(Supuestos!$F$10-Supuestos!$E$10))),IF(Supuestos!$C$10="Uniforme",Supuestos!$D$10+G67*(Supuestos!$E$10-Supuestos!$D$10),IF(Supuestos!$C$10="Lognormal",LOGINV(G67,LN(Supuestos!$D$10)-LN(1+Supuestos!$E$10^2/Supuestos!$D$10^2)/2,SQRT(LN(1+Supuestos!$E$10^2/Supuestos!$D$10^2))),Supuestos!$D$10))))))</f>
        <v/>
      </c>
      <c r="O67" s="31">
        <f>MIN(IF(Supuestos!$H$11="",1E+99,Supuestos!$H$11),MAX(IF(Supuestos!$G$11="",-1E+99,Supuestos!$G$11),IF(Supuestos!$C$11="Normal",NORMINV(H67,Supuestos!$D$11,Supuestos!$E$11),IF(Supuestos!$C$11="Triangular",IF(H67&lt;(Supuestos!$E$11-Supuestos!$D$11)/(Supuestos!$F$11-Supuestos!$D$11),Supuestos!$D$11+SQRT(H67*(Supuestos!$F$11-Supuestos!$D$11)*(Supuestos!$E$11-Supuestos!$D$11)),Supuestos!$F$11-SQRT((1-H67)*(Supuestos!$F$11-Supuestos!$D$11)*(Supuestos!$F$11-Supuestos!$E$11))),IF(Supuestos!$C$11="Uniforme",Supuestos!$D$11+H67*(Supuestos!$E$11-Supuestos!$D$11),IF(Supuestos!$C$11="Lognormal",LOGINV(H67,LN(Supuestos!$D$11)-LN(1+Supuestos!$E$11^2/Supuestos!$D$11^2)/2,SQRT(LN(1+Supuestos!$E$11^2/Supuestos!$D$11^2))),Supuestos!$D$11))))))</f>
        <v/>
      </c>
      <c r="P67" s="33">
        <f>-I67</f>
        <v/>
      </c>
      <c r="Q67" s="33">
        <f>$J67*(1+$K67)^(1-1)*(1-$L67)*(1-$M67)</f>
        <v/>
      </c>
      <c r="R67" s="33">
        <f>$J67*(1+$K67)^(2-1)*(1-$L67)*(1-$M67)</f>
        <v/>
      </c>
      <c r="S67" s="33">
        <f>$J67*(1+$K67)^(3-1)*(1-$L67)*(1-$M67)</f>
        <v/>
      </c>
      <c r="T67" s="33">
        <f>$J67*(1+$K67)^(4-1)*(1-$L67)*(1-$M67)</f>
        <v/>
      </c>
      <c r="U67" s="33">
        <f>$J67*(1+$K67)^(5-1)*(1-$L67)*(1-$M67)+$O67</f>
        <v/>
      </c>
      <c r="V67" s="33">
        <f>P67+NPV($N67,Q67:U67)</f>
        <v/>
      </c>
      <c r="W67" s="32">
        <f>IFERROR(IRR(P67:U67,0.1),"")</f>
        <v/>
      </c>
    </row>
    <row r="68">
      <c r="A68" s="14" t="n">
        <v>64</v>
      </c>
      <c r="B68" s="30">
        <f>RAND()*(1-2E-6)+1E-6</f>
        <v/>
      </c>
      <c r="C68" s="30">
        <f>RAND()*(1-2E-6)+1E-6</f>
        <v/>
      </c>
      <c r="D68" s="30">
        <f>RAND()*(1-2E-6)+1E-6</f>
        <v/>
      </c>
      <c r="E68" s="30">
        <f>RAND()*(1-2E-6)+1E-6</f>
        <v/>
      </c>
      <c r="F68" s="30">
        <f>RAND()*(1-2E-6)+1E-6</f>
        <v/>
      </c>
      <c r="G68" s="30">
        <f>RAND()*(1-2E-6)+1E-6</f>
        <v/>
      </c>
      <c r="H68" s="30">
        <f>RAND()*(1-2E-6)+1E-6</f>
        <v/>
      </c>
      <c r="I68" s="31">
        <f>MIN(IF(Supuestos!$H$5="",1E+99,Supuestos!$H$5),MAX(IF(Supuestos!$G$5="",-1E+99,Supuestos!$G$5),IF(Supuestos!$C$5="Normal",NORMINV(B68,Supuestos!$D$5,Supuestos!$E$5),IF(Supuestos!$C$5="Triangular",IF(B68&lt;(Supuestos!$E$5-Supuestos!$D$5)/(Supuestos!$F$5-Supuestos!$D$5),Supuestos!$D$5+SQRT(B68*(Supuestos!$F$5-Supuestos!$D$5)*(Supuestos!$E$5-Supuestos!$D$5)),Supuestos!$F$5-SQRT((1-B68)*(Supuestos!$F$5-Supuestos!$D$5)*(Supuestos!$F$5-Supuestos!$E$5))),IF(Supuestos!$C$5="Uniforme",Supuestos!$D$5+B68*(Supuestos!$E$5-Supuestos!$D$5),IF(Supuestos!$C$5="Lognormal",LOGINV(B68,LN(Supuestos!$D$5)-LN(1+Supuestos!$E$5^2/Supuestos!$D$5^2)/2,SQRT(LN(1+Supuestos!$E$5^2/Supuestos!$D$5^2))),Supuestos!$D$5))))))</f>
        <v/>
      </c>
      <c r="J68" s="31">
        <f>MIN(IF(Supuestos!$H$6="",1E+99,Supuestos!$H$6),MAX(IF(Supuestos!$G$6="",-1E+99,Supuestos!$G$6),IF(Supuestos!$C$6="Normal",NORMINV(C68,Supuestos!$D$6,Supuestos!$E$6),IF(Supuestos!$C$6="Triangular",IF(C68&lt;(Supuestos!$E$6-Supuestos!$D$6)/(Supuestos!$F$6-Supuestos!$D$6),Supuestos!$D$6+SQRT(C68*(Supuestos!$F$6-Supuestos!$D$6)*(Supuestos!$E$6-Supuestos!$D$6)),Supuestos!$F$6-SQRT((1-C68)*(Supuestos!$F$6-Supuestos!$D$6)*(Supuestos!$F$6-Supuestos!$E$6))),IF(Supuestos!$C$6="Uniforme",Supuestos!$D$6+C68*(Supuestos!$E$6-Supuestos!$D$6),IF(Supuestos!$C$6="Lognormal",LOGINV(C68,LN(Supuestos!$D$6)-LN(1+Supuestos!$E$6^2/Supuestos!$D$6^2)/2,SQRT(LN(1+Supuestos!$E$6^2/Supuestos!$D$6^2))),Supuestos!$D$6))))))</f>
        <v/>
      </c>
      <c r="K68" s="32">
        <f>MIN(IF(Supuestos!$H$7="",1E+99,Supuestos!$H$7),MAX(IF(Supuestos!$G$7="",-1E+99,Supuestos!$G$7),IF(Supuestos!$C$7="Normal",NORMINV(D68,Supuestos!$D$7,Supuestos!$E$7),IF(Supuestos!$C$7="Triangular",IF(D68&lt;(Supuestos!$E$7-Supuestos!$D$7)/(Supuestos!$F$7-Supuestos!$D$7),Supuestos!$D$7+SQRT(D68*(Supuestos!$F$7-Supuestos!$D$7)*(Supuestos!$E$7-Supuestos!$D$7)),Supuestos!$F$7-SQRT((1-D68)*(Supuestos!$F$7-Supuestos!$D$7)*(Supuestos!$F$7-Supuestos!$E$7))),IF(Supuestos!$C$7="Uniforme",Supuestos!$D$7+D68*(Supuestos!$E$7-Supuestos!$D$7),IF(Supuestos!$C$7="Lognormal",LOGINV(D68,LN(Supuestos!$D$7)-LN(1+Supuestos!$E$7^2/Supuestos!$D$7^2)/2,SQRT(LN(1+Supuestos!$E$7^2/Supuestos!$D$7^2))),Supuestos!$D$7))))))</f>
        <v/>
      </c>
      <c r="L68" s="32">
        <f>MIN(IF(Supuestos!$H$8="",1E+99,Supuestos!$H$8),MAX(IF(Supuestos!$G$8="",-1E+99,Supuestos!$G$8),IF(Supuestos!$C$8="Normal",NORMINV(E68,Supuestos!$D$8,Supuestos!$E$8),IF(Supuestos!$C$8="Triangular",IF(E68&lt;(Supuestos!$E$8-Supuestos!$D$8)/(Supuestos!$F$8-Supuestos!$D$8),Supuestos!$D$8+SQRT(E68*(Supuestos!$F$8-Supuestos!$D$8)*(Supuestos!$E$8-Supuestos!$D$8)),Supuestos!$F$8-SQRT((1-E68)*(Supuestos!$F$8-Supuestos!$D$8)*(Supuestos!$F$8-Supuestos!$E$8))),IF(Supuestos!$C$8="Uniforme",Supuestos!$D$8+E68*(Supuestos!$E$8-Supuestos!$D$8),IF(Supuestos!$C$8="Lognormal",LOGINV(E68,LN(Supuestos!$D$8)-LN(1+Supuestos!$E$8^2/Supuestos!$D$8^2)/2,SQRT(LN(1+Supuestos!$E$8^2/Supuestos!$D$8^2))),Supuestos!$D$8))))))</f>
        <v/>
      </c>
      <c r="M68" s="32">
        <f>MIN(IF(Supuestos!$H$9="",1E+99,Supuestos!$H$9),MAX(IF(Supuestos!$G$9="",-1E+99,Supuestos!$G$9),IF(Supuestos!$C$9="Normal",NORMINV(F68,Supuestos!$D$9,Supuestos!$E$9),IF(Supuestos!$C$9="Triangular",IF(F68&lt;(Supuestos!$E$9-Supuestos!$D$9)/(Supuestos!$F$9-Supuestos!$D$9),Supuestos!$D$9+SQRT(F68*(Supuestos!$F$9-Supuestos!$D$9)*(Supuestos!$E$9-Supuestos!$D$9)),Supuestos!$F$9-SQRT((1-F68)*(Supuestos!$F$9-Supuestos!$D$9)*(Supuestos!$F$9-Supuestos!$E$9))),IF(Supuestos!$C$9="Uniforme",Supuestos!$D$9+F68*(Supuestos!$E$9-Supuestos!$D$9),IF(Supuestos!$C$9="Lognormal",LOGINV(F68,LN(Supuestos!$D$9)-LN(1+Supuestos!$E$9^2/Supuestos!$D$9^2)/2,SQRT(LN(1+Supuestos!$E$9^2/Supuestos!$D$9^2))),Supuestos!$D$9))))))</f>
        <v/>
      </c>
      <c r="N68" s="32">
        <f>MIN(IF(Supuestos!$H$10="",1E+99,Supuestos!$H$10),MAX(IF(Supuestos!$G$10="",-1E+99,Supuestos!$G$10),IF(Supuestos!$C$10="Normal",NORMINV(G68,Supuestos!$D$10,Supuestos!$E$10),IF(Supuestos!$C$10="Triangular",IF(G68&lt;(Supuestos!$E$10-Supuestos!$D$10)/(Supuestos!$F$10-Supuestos!$D$10),Supuestos!$D$10+SQRT(G68*(Supuestos!$F$10-Supuestos!$D$10)*(Supuestos!$E$10-Supuestos!$D$10)),Supuestos!$F$10-SQRT((1-G68)*(Supuestos!$F$10-Supuestos!$D$10)*(Supuestos!$F$10-Supuestos!$E$10))),IF(Supuestos!$C$10="Uniforme",Supuestos!$D$10+G68*(Supuestos!$E$10-Supuestos!$D$10),IF(Supuestos!$C$10="Lognormal",LOGINV(G68,LN(Supuestos!$D$10)-LN(1+Supuestos!$E$10^2/Supuestos!$D$10^2)/2,SQRT(LN(1+Supuestos!$E$10^2/Supuestos!$D$10^2))),Supuestos!$D$10))))))</f>
        <v/>
      </c>
      <c r="O68" s="31">
        <f>MIN(IF(Supuestos!$H$11="",1E+99,Supuestos!$H$11),MAX(IF(Supuestos!$G$11="",-1E+99,Supuestos!$G$11),IF(Supuestos!$C$11="Normal",NORMINV(H68,Supuestos!$D$11,Supuestos!$E$11),IF(Supuestos!$C$11="Triangular",IF(H68&lt;(Supuestos!$E$11-Supuestos!$D$11)/(Supuestos!$F$11-Supuestos!$D$11),Supuestos!$D$11+SQRT(H68*(Supuestos!$F$11-Supuestos!$D$11)*(Supuestos!$E$11-Supuestos!$D$11)),Supuestos!$F$11-SQRT((1-H68)*(Supuestos!$F$11-Supuestos!$D$11)*(Supuestos!$F$11-Supuestos!$E$11))),IF(Supuestos!$C$11="Uniforme",Supuestos!$D$11+H68*(Supuestos!$E$11-Supuestos!$D$11),IF(Supuestos!$C$11="Lognormal",LOGINV(H68,LN(Supuestos!$D$11)-LN(1+Supuestos!$E$11^2/Supuestos!$D$11^2)/2,SQRT(LN(1+Supuestos!$E$11^2/Supuestos!$D$11^2))),Supuestos!$D$11))))))</f>
        <v/>
      </c>
      <c r="P68" s="33">
        <f>-I68</f>
        <v/>
      </c>
      <c r="Q68" s="33">
        <f>$J68*(1+$K68)^(1-1)*(1-$L68)*(1-$M68)</f>
        <v/>
      </c>
      <c r="R68" s="33">
        <f>$J68*(1+$K68)^(2-1)*(1-$L68)*(1-$M68)</f>
        <v/>
      </c>
      <c r="S68" s="33">
        <f>$J68*(1+$K68)^(3-1)*(1-$L68)*(1-$M68)</f>
        <v/>
      </c>
      <c r="T68" s="33">
        <f>$J68*(1+$K68)^(4-1)*(1-$L68)*(1-$M68)</f>
        <v/>
      </c>
      <c r="U68" s="33">
        <f>$J68*(1+$K68)^(5-1)*(1-$L68)*(1-$M68)+$O68</f>
        <v/>
      </c>
      <c r="V68" s="33">
        <f>P68+NPV($N68,Q68:U68)</f>
        <v/>
      </c>
      <c r="W68" s="32">
        <f>IFERROR(IRR(P68:U68,0.1),"")</f>
        <v/>
      </c>
    </row>
    <row r="69">
      <c r="A69" s="14" t="n">
        <v>65</v>
      </c>
      <c r="B69" s="30">
        <f>RAND()*(1-2E-6)+1E-6</f>
        <v/>
      </c>
      <c r="C69" s="30">
        <f>RAND()*(1-2E-6)+1E-6</f>
        <v/>
      </c>
      <c r="D69" s="30">
        <f>RAND()*(1-2E-6)+1E-6</f>
        <v/>
      </c>
      <c r="E69" s="30">
        <f>RAND()*(1-2E-6)+1E-6</f>
        <v/>
      </c>
      <c r="F69" s="30">
        <f>RAND()*(1-2E-6)+1E-6</f>
        <v/>
      </c>
      <c r="G69" s="30">
        <f>RAND()*(1-2E-6)+1E-6</f>
        <v/>
      </c>
      <c r="H69" s="30">
        <f>RAND()*(1-2E-6)+1E-6</f>
        <v/>
      </c>
      <c r="I69" s="31">
        <f>MIN(IF(Supuestos!$H$5="",1E+99,Supuestos!$H$5),MAX(IF(Supuestos!$G$5="",-1E+99,Supuestos!$G$5),IF(Supuestos!$C$5="Normal",NORMINV(B69,Supuestos!$D$5,Supuestos!$E$5),IF(Supuestos!$C$5="Triangular",IF(B69&lt;(Supuestos!$E$5-Supuestos!$D$5)/(Supuestos!$F$5-Supuestos!$D$5),Supuestos!$D$5+SQRT(B69*(Supuestos!$F$5-Supuestos!$D$5)*(Supuestos!$E$5-Supuestos!$D$5)),Supuestos!$F$5-SQRT((1-B69)*(Supuestos!$F$5-Supuestos!$D$5)*(Supuestos!$F$5-Supuestos!$E$5))),IF(Supuestos!$C$5="Uniforme",Supuestos!$D$5+B69*(Supuestos!$E$5-Supuestos!$D$5),IF(Supuestos!$C$5="Lognormal",LOGINV(B69,LN(Supuestos!$D$5)-LN(1+Supuestos!$E$5^2/Supuestos!$D$5^2)/2,SQRT(LN(1+Supuestos!$E$5^2/Supuestos!$D$5^2))),Supuestos!$D$5))))))</f>
        <v/>
      </c>
      <c r="J69" s="31">
        <f>MIN(IF(Supuestos!$H$6="",1E+99,Supuestos!$H$6),MAX(IF(Supuestos!$G$6="",-1E+99,Supuestos!$G$6),IF(Supuestos!$C$6="Normal",NORMINV(C69,Supuestos!$D$6,Supuestos!$E$6),IF(Supuestos!$C$6="Triangular",IF(C69&lt;(Supuestos!$E$6-Supuestos!$D$6)/(Supuestos!$F$6-Supuestos!$D$6),Supuestos!$D$6+SQRT(C69*(Supuestos!$F$6-Supuestos!$D$6)*(Supuestos!$E$6-Supuestos!$D$6)),Supuestos!$F$6-SQRT((1-C69)*(Supuestos!$F$6-Supuestos!$D$6)*(Supuestos!$F$6-Supuestos!$E$6))),IF(Supuestos!$C$6="Uniforme",Supuestos!$D$6+C69*(Supuestos!$E$6-Supuestos!$D$6),IF(Supuestos!$C$6="Lognormal",LOGINV(C69,LN(Supuestos!$D$6)-LN(1+Supuestos!$E$6^2/Supuestos!$D$6^2)/2,SQRT(LN(1+Supuestos!$E$6^2/Supuestos!$D$6^2))),Supuestos!$D$6))))))</f>
        <v/>
      </c>
      <c r="K69" s="32">
        <f>MIN(IF(Supuestos!$H$7="",1E+99,Supuestos!$H$7),MAX(IF(Supuestos!$G$7="",-1E+99,Supuestos!$G$7),IF(Supuestos!$C$7="Normal",NORMINV(D69,Supuestos!$D$7,Supuestos!$E$7),IF(Supuestos!$C$7="Triangular",IF(D69&lt;(Supuestos!$E$7-Supuestos!$D$7)/(Supuestos!$F$7-Supuestos!$D$7),Supuestos!$D$7+SQRT(D69*(Supuestos!$F$7-Supuestos!$D$7)*(Supuestos!$E$7-Supuestos!$D$7)),Supuestos!$F$7-SQRT((1-D69)*(Supuestos!$F$7-Supuestos!$D$7)*(Supuestos!$F$7-Supuestos!$E$7))),IF(Supuestos!$C$7="Uniforme",Supuestos!$D$7+D69*(Supuestos!$E$7-Supuestos!$D$7),IF(Supuestos!$C$7="Lognormal",LOGINV(D69,LN(Supuestos!$D$7)-LN(1+Supuestos!$E$7^2/Supuestos!$D$7^2)/2,SQRT(LN(1+Supuestos!$E$7^2/Supuestos!$D$7^2))),Supuestos!$D$7))))))</f>
        <v/>
      </c>
      <c r="L69" s="32">
        <f>MIN(IF(Supuestos!$H$8="",1E+99,Supuestos!$H$8),MAX(IF(Supuestos!$G$8="",-1E+99,Supuestos!$G$8),IF(Supuestos!$C$8="Normal",NORMINV(E69,Supuestos!$D$8,Supuestos!$E$8),IF(Supuestos!$C$8="Triangular",IF(E69&lt;(Supuestos!$E$8-Supuestos!$D$8)/(Supuestos!$F$8-Supuestos!$D$8),Supuestos!$D$8+SQRT(E69*(Supuestos!$F$8-Supuestos!$D$8)*(Supuestos!$E$8-Supuestos!$D$8)),Supuestos!$F$8-SQRT((1-E69)*(Supuestos!$F$8-Supuestos!$D$8)*(Supuestos!$F$8-Supuestos!$E$8))),IF(Supuestos!$C$8="Uniforme",Supuestos!$D$8+E69*(Supuestos!$E$8-Supuestos!$D$8),IF(Supuestos!$C$8="Lognormal",LOGINV(E69,LN(Supuestos!$D$8)-LN(1+Supuestos!$E$8^2/Supuestos!$D$8^2)/2,SQRT(LN(1+Supuestos!$E$8^2/Supuestos!$D$8^2))),Supuestos!$D$8))))))</f>
        <v/>
      </c>
      <c r="M69" s="32">
        <f>MIN(IF(Supuestos!$H$9="",1E+99,Supuestos!$H$9),MAX(IF(Supuestos!$G$9="",-1E+99,Supuestos!$G$9),IF(Supuestos!$C$9="Normal",NORMINV(F69,Supuestos!$D$9,Supuestos!$E$9),IF(Supuestos!$C$9="Triangular",IF(F69&lt;(Supuestos!$E$9-Supuestos!$D$9)/(Supuestos!$F$9-Supuestos!$D$9),Supuestos!$D$9+SQRT(F69*(Supuestos!$F$9-Supuestos!$D$9)*(Supuestos!$E$9-Supuestos!$D$9)),Supuestos!$F$9-SQRT((1-F69)*(Supuestos!$F$9-Supuestos!$D$9)*(Supuestos!$F$9-Supuestos!$E$9))),IF(Supuestos!$C$9="Uniforme",Supuestos!$D$9+F69*(Supuestos!$E$9-Supuestos!$D$9),IF(Supuestos!$C$9="Lognormal",LOGINV(F69,LN(Supuestos!$D$9)-LN(1+Supuestos!$E$9^2/Supuestos!$D$9^2)/2,SQRT(LN(1+Supuestos!$E$9^2/Supuestos!$D$9^2))),Supuestos!$D$9))))))</f>
        <v/>
      </c>
      <c r="N69" s="32">
        <f>MIN(IF(Supuestos!$H$10="",1E+99,Supuestos!$H$10),MAX(IF(Supuestos!$G$10="",-1E+99,Supuestos!$G$10),IF(Supuestos!$C$10="Normal",NORMINV(G69,Supuestos!$D$10,Supuestos!$E$10),IF(Supuestos!$C$10="Triangular",IF(G69&lt;(Supuestos!$E$10-Supuestos!$D$10)/(Supuestos!$F$10-Supuestos!$D$10),Supuestos!$D$10+SQRT(G69*(Supuestos!$F$10-Supuestos!$D$10)*(Supuestos!$E$10-Supuestos!$D$10)),Supuestos!$F$10-SQRT((1-G69)*(Supuestos!$F$10-Supuestos!$D$10)*(Supuestos!$F$10-Supuestos!$E$10))),IF(Supuestos!$C$10="Uniforme",Supuestos!$D$10+G69*(Supuestos!$E$10-Supuestos!$D$10),IF(Supuestos!$C$10="Lognormal",LOGINV(G69,LN(Supuestos!$D$10)-LN(1+Supuestos!$E$10^2/Supuestos!$D$10^2)/2,SQRT(LN(1+Supuestos!$E$10^2/Supuestos!$D$10^2))),Supuestos!$D$10))))))</f>
        <v/>
      </c>
      <c r="O69" s="31">
        <f>MIN(IF(Supuestos!$H$11="",1E+99,Supuestos!$H$11),MAX(IF(Supuestos!$G$11="",-1E+99,Supuestos!$G$11),IF(Supuestos!$C$11="Normal",NORMINV(H69,Supuestos!$D$11,Supuestos!$E$11),IF(Supuestos!$C$11="Triangular",IF(H69&lt;(Supuestos!$E$11-Supuestos!$D$11)/(Supuestos!$F$11-Supuestos!$D$11),Supuestos!$D$11+SQRT(H69*(Supuestos!$F$11-Supuestos!$D$11)*(Supuestos!$E$11-Supuestos!$D$11)),Supuestos!$F$11-SQRT((1-H69)*(Supuestos!$F$11-Supuestos!$D$11)*(Supuestos!$F$11-Supuestos!$E$11))),IF(Supuestos!$C$11="Uniforme",Supuestos!$D$11+H69*(Supuestos!$E$11-Supuestos!$D$11),IF(Supuestos!$C$11="Lognormal",LOGINV(H69,LN(Supuestos!$D$11)-LN(1+Supuestos!$E$11^2/Supuestos!$D$11^2)/2,SQRT(LN(1+Supuestos!$E$11^2/Supuestos!$D$11^2))),Supuestos!$D$11))))))</f>
        <v/>
      </c>
      <c r="P69" s="33">
        <f>-I69</f>
        <v/>
      </c>
      <c r="Q69" s="33">
        <f>$J69*(1+$K69)^(1-1)*(1-$L69)*(1-$M69)</f>
        <v/>
      </c>
      <c r="R69" s="33">
        <f>$J69*(1+$K69)^(2-1)*(1-$L69)*(1-$M69)</f>
        <v/>
      </c>
      <c r="S69" s="33">
        <f>$J69*(1+$K69)^(3-1)*(1-$L69)*(1-$M69)</f>
        <v/>
      </c>
      <c r="T69" s="33">
        <f>$J69*(1+$K69)^(4-1)*(1-$L69)*(1-$M69)</f>
        <v/>
      </c>
      <c r="U69" s="33">
        <f>$J69*(1+$K69)^(5-1)*(1-$L69)*(1-$M69)+$O69</f>
        <v/>
      </c>
      <c r="V69" s="33">
        <f>P69+NPV($N69,Q69:U69)</f>
        <v/>
      </c>
      <c r="W69" s="32">
        <f>IFERROR(IRR(P69:U69,0.1),"")</f>
        <v/>
      </c>
    </row>
    <row r="70">
      <c r="A70" s="14" t="n">
        <v>66</v>
      </c>
      <c r="B70" s="30">
        <f>RAND()*(1-2E-6)+1E-6</f>
        <v/>
      </c>
      <c r="C70" s="30">
        <f>RAND()*(1-2E-6)+1E-6</f>
        <v/>
      </c>
      <c r="D70" s="30">
        <f>RAND()*(1-2E-6)+1E-6</f>
        <v/>
      </c>
      <c r="E70" s="30">
        <f>RAND()*(1-2E-6)+1E-6</f>
        <v/>
      </c>
      <c r="F70" s="30">
        <f>RAND()*(1-2E-6)+1E-6</f>
        <v/>
      </c>
      <c r="G70" s="30">
        <f>RAND()*(1-2E-6)+1E-6</f>
        <v/>
      </c>
      <c r="H70" s="30">
        <f>RAND()*(1-2E-6)+1E-6</f>
        <v/>
      </c>
      <c r="I70" s="31">
        <f>MIN(IF(Supuestos!$H$5="",1E+99,Supuestos!$H$5),MAX(IF(Supuestos!$G$5="",-1E+99,Supuestos!$G$5),IF(Supuestos!$C$5="Normal",NORMINV(B70,Supuestos!$D$5,Supuestos!$E$5),IF(Supuestos!$C$5="Triangular",IF(B70&lt;(Supuestos!$E$5-Supuestos!$D$5)/(Supuestos!$F$5-Supuestos!$D$5),Supuestos!$D$5+SQRT(B70*(Supuestos!$F$5-Supuestos!$D$5)*(Supuestos!$E$5-Supuestos!$D$5)),Supuestos!$F$5-SQRT((1-B70)*(Supuestos!$F$5-Supuestos!$D$5)*(Supuestos!$F$5-Supuestos!$E$5))),IF(Supuestos!$C$5="Uniforme",Supuestos!$D$5+B70*(Supuestos!$E$5-Supuestos!$D$5),IF(Supuestos!$C$5="Lognormal",LOGINV(B70,LN(Supuestos!$D$5)-LN(1+Supuestos!$E$5^2/Supuestos!$D$5^2)/2,SQRT(LN(1+Supuestos!$E$5^2/Supuestos!$D$5^2))),Supuestos!$D$5))))))</f>
        <v/>
      </c>
      <c r="J70" s="31">
        <f>MIN(IF(Supuestos!$H$6="",1E+99,Supuestos!$H$6),MAX(IF(Supuestos!$G$6="",-1E+99,Supuestos!$G$6),IF(Supuestos!$C$6="Normal",NORMINV(C70,Supuestos!$D$6,Supuestos!$E$6),IF(Supuestos!$C$6="Triangular",IF(C70&lt;(Supuestos!$E$6-Supuestos!$D$6)/(Supuestos!$F$6-Supuestos!$D$6),Supuestos!$D$6+SQRT(C70*(Supuestos!$F$6-Supuestos!$D$6)*(Supuestos!$E$6-Supuestos!$D$6)),Supuestos!$F$6-SQRT((1-C70)*(Supuestos!$F$6-Supuestos!$D$6)*(Supuestos!$F$6-Supuestos!$E$6))),IF(Supuestos!$C$6="Uniforme",Supuestos!$D$6+C70*(Supuestos!$E$6-Supuestos!$D$6),IF(Supuestos!$C$6="Lognormal",LOGINV(C70,LN(Supuestos!$D$6)-LN(1+Supuestos!$E$6^2/Supuestos!$D$6^2)/2,SQRT(LN(1+Supuestos!$E$6^2/Supuestos!$D$6^2))),Supuestos!$D$6))))))</f>
        <v/>
      </c>
      <c r="K70" s="32">
        <f>MIN(IF(Supuestos!$H$7="",1E+99,Supuestos!$H$7),MAX(IF(Supuestos!$G$7="",-1E+99,Supuestos!$G$7),IF(Supuestos!$C$7="Normal",NORMINV(D70,Supuestos!$D$7,Supuestos!$E$7),IF(Supuestos!$C$7="Triangular",IF(D70&lt;(Supuestos!$E$7-Supuestos!$D$7)/(Supuestos!$F$7-Supuestos!$D$7),Supuestos!$D$7+SQRT(D70*(Supuestos!$F$7-Supuestos!$D$7)*(Supuestos!$E$7-Supuestos!$D$7)),Supuestos!$F$7-SQRT((1-D70)*(Supuestos!$F$7-Supuestos!$D$7)*(Supuestos!$F$7-Supuestos!$E$7))),IF(Supuestos!$C$7="Uniforme",Supuestos!$D$7+D70*(Supuestos!$E$7-Supuestos!$D$7),IF(Supuestos!$C$7="Lognormal",LOGINV(D70,LN(Supuestos!$D$7)-LN(1+Supuestos!$E$7^2/Supuestos!$D$7^2)/2,SQRT(LN(1+Supuestos!$E$7^2/Supuestos!$D$7^2))),Supuestos!$D$7))))))</f>
        <v/>
      </c>
      <c r="L70" s="32">
        <f>MIN(IF(Supuestos!$H$8="",1E+99,Supuestos!$H$8),MAX(IF(Supuestos!$G$8="",-1E+99,Supuestos!$G$8),IF(Supuestos!$C$8="Normal",NORMINV(E70,Supuestos!$D$8,Supuestos!$E$8),IF(Supuestos!$C$8="Triangular",IF(E70&lt;(Supuestos!$E$8-Supuestos!$D$8)/(Supuestos!$F$8-Supuestos!$D$8),Supuestos!$D$8+SQRT(E70*(Supuestos!$F$8-Supuestos!$D$8)*(Supuestos!$E$8-Supuestos!$D$8)),Supuestos!$F$8-SQRT((1-E70)*(Supuestos!$F$8-Supuestos!$D$8)*(Supuestos!$F$8-Supuestos!$E$8))),IF(Supuestos!$C$8="Uniforme",Supuestos!$D$8+E70*(Supuestos!$E$8-Supuestos!$D$8),IF(Supuestos!$C$8="Lognormal",LOGINV(E70,LN(Supuestos!$D$8)-LN(1+Supuestos!$E$8^2/Supuestos!$D$8^2)/2,SQRT(LN(1+Supuestos!$E$8^2/Supuestos!$D$8^2))),Supuestos!$D$8))))))</f>
        <v/>
      </c>
      <c r="M70" s="32">
        <f>MIN(IF(Supuestos!$H$9="",1E+99,Supuestos!$H$9),MAX(IF(Supuestos!$G$9="",-1E+99,Supuestos!$G$9),IF(Supuestos!$C$9="Normal",NORMINV(F70,Supuestos!$D$9,Supuestos!$E$9),IF(Supuestos!$C$9="Triangular",IF(F70&lt;(Supuestos!$E$9-Supuestos!$D$9)/(Supuestos!$F$9-Supuestos!$D$9),Supuestos!$D$9+SQRT(F70*(Supuestos!$F$9-Supuestos!$D$9)*(Supuestos!$E$9-Supuestos!$D$9)),Supuestos!$F$9-SQRT((1-F70)*(Supuestos!$F$9-Supuestos!$D$9)*(Supuestos!$F$9-Supuestos!$E$9))),IF(Supuestos!$C$9="Uniforme",Supuestos!$D$9+F70*(Supuestos!$E$9-Supuestos!$D$9),IF(Supuestos!$C$9="Lognormal",LOGINV(F70,LN(Supuestos!$D$9)-LN(1+Supuestos!$E$9^2/Supuestos!$D$9^2)/2,SQRT(LN(1+Supuestos!$E$9^2/Supuestos!$D$9^2))),Supuestos!$D$9))))))</f>
        <v/>
      </c>
      <c r="N70" s="32">
        <f>MIN(IF(Supuestos!$H$10="",1E+99,Supuestos!$H$10),MAX(IF(Supuestos!$G$10="",-1E+99,Supuestos!$G$10),IF(Supuestos!$C$10="Normal",NORMINV(G70,Supuestos!$D$10,Supuestos!$E$10),IF(Supuestos!$C$10="Triangular",IF(G70&lt;(Supuestos!$E$10-Supuestos!$D$10)/(Supuestos!$F$10-Supuestos!$D$10),Supuestos!$D$10+SQRT(G70*(Supuestos!$F$10-Supuestos!$D$10)*(Supuestos!$E$10-Supuestos!$D$10)),Supuestos!$F$10-SQRT((1-G70)*(Supuestos!$F$10-Supuestos!$D$10)*(Supuestos!$F$10-Supuestos!$E$10))),IF(Supuestos!$C$10="Uniforme",Supuestos!$D$10+G70*(Supuestos!$E$10-Supuestos!$D$10),IF(Supuestos!$C$10="Lognormal",LOGINV(G70,LN(Supuestos!$D$10)-LN(1+Supuestos!$E$10^2/Supuestos!$D$10^2)/2,SQRT(LN(1+Supuestos!$E$10^2/Supuestos!$D$10^2))),Supuestos!$D$10))))))</f>
        <v/>
      </c>
      <c r="O70" s="31">
        <f>MIN(IF(Supuestos!$H$11="",1E+99,Supuestos!$H$11),MAX(IF(Supuestos!$G$11="",-1E+99,Supuestos!$G$11),IF(Supuestos!$C$11="Normal",NORMINV(H70,Supuestos!$D$11,Supuestos!$E$11),IF(Supuestos!$C$11="Triangular",IF(H70&lt;(Supuestos!$E$11-Supuestos!$D$11)/(Supuestos!$F$11-Supuestos!$D$11),Supuestos!$D$11+SQRT(H70*(Supuestos!$F$11-Supuestos!$D$11)*(Supuestos!$E$11-Supuestos!$D$11)),Supuestos!$F$11-SQRT((1-H70)*(Supuestos!$F$11-Supuestos!$D$11)*(Supuestos!$F$11-Supuestos!$E$11))),IF(Supuestos!$C$11="Uniforme",Supuestos!$D$11+H70*(Supuestos!$E$11-Supuestos!$D$11),IF(Supuestos!$C$11="Lognormal",LOGINV(H70,LN(Supuestos!$D$11)-LN(1+Supuestos!$E$11^2/Supuestos!$D$11^2)/2,SQRT(LN(1+Supuestos!$E$11^2/Supuestos!$D$11^2))),Supuestos!$D$11))))))</f>
        <v/>
      </c>
      <c r="P70" s="33">
        <f>-I70</f>
        <v/>
      </c>
      <c r="Q70" s="33">
        <f>$J70*(1+$K70)^(1-1)*(1-$L70)*(1-$M70)</f>
        <v/>
      </c>
      <c r="R70" s="33">
        <f>$J70*(1+$K70)^(2-1)*(1-$L70)*(1-$M70)</f>
        <v/>
      </c>
      <c r="S70" s="33">
        <f>$J70*(1+$K70)^(3-1)*(1-$L70)*(1-$M70)</f>
        <v/>
      </c>
      <c r="T70" s="33">
        <f>$J70*(1+$K70)^(4-1)*(1-$L70)*(1-$M70)</f>
        <v/>
      </c>
      <c r="U70" s="33">
        <f>$J70*(1+$K70)^(5-1)*(1-$L70)*(1-$M70)+$O70</f>
        <v/>
      </c>
      <c r="V70" s="33">
        <f>P70+NPV($N70,Q70:U70)</f>
        <v/>
      </c>
      <c r="W70" s="32">
        <f>IFERROR(IRR(P70:U70,0.1),"")</f>
        <v/>
      </c>
    </row>
    <row r="71">
      <c r="A71" s="14" t="n">
        <v>67</v>
      </c>
      <c r="B71" s="30">
        <f>RAND()*(1-2E-6)+1E-6</f>
        <v/>
      </c>
      <c r="C71" s="30">
        <f>RAND()*(1-2E-6)+1E-6</f>
        <v/>
      </c>
      <c r="D71" s="30">
        <f>RAND()*(1-2E-6)+1E-6</f>
        <v/>
      </c>
      <c r="E71" s="30">
        <f>RAND()*(1-2E-6)+1E-6</f>
        <v/>
      </c>
      <c r="F71" s="30">
        <f>RAND()*(1-2E-6)+1E-6</f>
        <v/>
      </c>
      <c r="G71" s="30">
        <f>RAND()*(1-2E-6)+1E-6</f>
        <v/>
      </c>
      <c r="H71" s="30">
        <f>RAND()*(1-2E-6)+1E-6</f>
        <v/>
      </c>
      <c r="I71" s="31">
        <f>MIN(IF(Supuestos!$H$5="",1E+99,Supuestos!$H$5),MAX(IF(Supuestos!$G$5="",-1E+99,Supuestos!$G$5),IF(Supuestos!$C$5="Normal",NORMINV(B71,Supuestos!$D$5,Supuestos!$E$5),IF(Supuestos!$C$5="Triangular",IF(B71&lt;(Supuestos!$E$5-Supuestos!$D$5)/(Supuestos!$F$5-Supuestos!$D$5),Supuestos!$D$5+SQRT(B71*(Supuestos!$F$5-Supuestos!$D$5)*(Supuestos!$E$5-Supuestos!$D$5)),Supuestos!$F$5-SQRT((1-B71)*(Supuestos!$F$5-Supuestos!$D$5)*(Supuestos!$F$5-Supuestos!$E$5))),IF(Supuestos!$C$5="Uniforme",Supuestos!$D$5+B71*(Supuestos!$E$5-Supuestos!$D$5),IF(Supuestos!$C$5="Lognormal",LOGINV(B71,LN(Supuestos!$D$5)-LN(1+Supuestos!$E$5^2/Supuestos!$D$5^2)/2,SQRT(LN(1+Supuestos!$E$5^2/Supuestos!$D$5^2))),Supuestos!$D$5))))))</f>
        <v/>
      </c>
      <c r="J71" s="31">
        <f>MIN(IF(Supuestos!$H$6="",1E+99,Supuestos!$H$6),MAX(IF(Supuestos!$G$6="",-1E+99,Supuestos!$G$6),IF(Supuestos!$C$6="Normal",NORMINV(C71,Supuestos!$D$6,Supuestos!$E$6),IF(Supuestos!$C$6="Triangular",IF(C71&lt;(Supuestos!$E$6-Supuestos!$D$6)/(Supuestos!$F$6-Supuestos!$D$6),Supuestos!$D$6+SQRT(C71*(Supuestos!$F$6-Supuestos!$D$6)*(Supuestos!$E$6-Supuestos!$D$6)),Supuestos!$F$6-SQRT((1-C71)*(Supuestos!$F$6-Supuestos!$D$6)*(Supuestos!$F$6-Supuestos!$E$6))),IF(Supuestos!$C$6="Uniforme",Supuestos!$D$6+C71*(Supuestos!$E$6-Supuestos!$D$6),IF(Supuestos!$C$6="Lognormal",LOGINV(C71,LN(Supuestos!$D$6)-LN(1+Supuestos!$E$6^2/Supuestos!$D$6^2)/2,SQRT(LN(1+Supuestos!$E$6^2/Supuestos!$D$6^2))),Supuestos!$D$6))))))</f>
        <v/>
      </c>
      <c r="K71" s="32">
        <f>MIN(IF(Supuestos!$H$7="",1E+99,Supuestos!$H$7),MAX(IF(Supuestos!$G$7="",-1E+99,Supuestos!$G$7),IF(Supuestos!$C$7="Normal",NORMINV(D71,Supuestos!$D$7,Supuestos!$E$7),IF(Supuestos!$C$7="Triangular",IF(D71&lt;(Supuestos!$E$7-Supuestos!$D$7)/(Supuestos!$F$7-Supuestos!$D$7),Supuestos!$D$7+SQRT(D71*(Supuestos!$F$7-Supuestos!$D$7)*(Supuestos!$E$7-Supuestos!$D$7)),Supuestos!$F$7-SQRT((1-D71)*(Supuestos!$F$7-Supuestos!$D$7)*(Supuestos!$F$7-Supuestos!$E$7))),IF(Supuestos!$C$7="Uniforme",Supuestos!$D$7+D71*(Supuestos!$E$7-Supuestos!$D$7),IF(Supuestos!$C$7="Lognormal",LOGINV(D71,LN(Supuestos!$D$7)-LN(1+Supuestos!$E$7^2/Supuestos!$D$7^2)/2,SQRT(LN(1+Supuestos!$E$7^2/Supuestos!$D$7^2))),Supuestos!$D$7))))))</f>
        <v/>
      </c>
      <c r="L71" s="32">
        <f>MIN(IF(Supuestos!$H$8="",1E+99,Supuestos!$H$8),MAX(IF(Supuestos!$G$8="",-1E+99,Supuestos!$G$8),IF(Supuestos!$C$8="Normal",NORMINV(E71,Supuestos!$D$8,Supuestos!$E$8),IF(Supuestos!$C$8="Triangular",IF(E71&lt;(Supuestos!$E$8-Supuestos!$D$8)/(Supuestos!$F$8-Supuestos!$D$8),Supuestos!$D$8+SQRT(E71*(Supuestos!$F$8-Supuestos!$D$8)*(Supuestos!$E$8-Supuestos!$D$8)),Supuestos!$F$8-SQRT((1-E71)*(Supuestos!$F$8-Supuestos!$D$8)*(Supuestos!$F$8-Supuestos!$E$8))),IF(Supuestos!$C$8="Uniforme",Supuestos!$D$8+E71*(Supuestos!$E$8-Supuestos!$D$8),IF(Supuestos!$C$8="Lognormal",LOGINV(E71,LN(Supuestos!$D$8)-LN(1+Supuestos!$E$8^2/Supuestos!$D$8^2)/2,SQRT(LN(1+Supuestos!$E$8^2/Supuestos!$D$8^2))),Supuestos!$D$8))))))</f>
        <v/>
      </c>
      <c r="M71" s="32">
        <f>MIN(IF(Supuestos!$H$9="",1E+99,Supuestos!$H$9),MAX(IF(Supuestos!$G$9="",-1E+99,Supuestos!$G$9),IF(Supuestos!$C$9="Normal",NORMINV(F71,Supuestos!$D$9,Supuestos!$E$9),IF(Supuestos!$C$9="Triangular",IF(F71&lt;(Supuestos!$E$9-Supuestos!$D$9)/(Supuestos!$F$9-Supuestos!$D$9),Supuestos!$D$9+SQRT(F71*(Supuestos!$F$9-Supuestos!$D$9)*(Supuestos!$E$9-Supuestos!$D$9)),Supuestos!$F$9-SQRT((1-F71)*(Supuestos!$F$9-Supuestos!$D$9)*(Supuestos!$F$9-Supuestos!$E$9))),IF(Supuestos!$C$9="Uniforme",Supuestos!$D$9+F71*(Supuestos!$E$9-Supuestos!$D$9),IF(Supuestos!$C$9="Lognormal",LOGINV(F71,LN(Supuestos!$D$9)-LN(1+Supuestos!$E$9^2/Supuestos!$D$9^2)/2,SQRT(LN(1+Supuestos!$E$9^2/Supuestos!$D$9^2))),Supuestos!$D$9))))))</f>
        <v/>
      </c>
      <c r="N71" s="32">
        <f>MIN(IF(Supuestos!$H$10="",1E+99,Supuestos!$H$10),MAX(IF(Supuestos!$G$10="",-1E+99,Supuestos!$G$10),IF(Supuestos!$C$10="Normal",NORMINV(G71,Supuestos!$D$10,Supuestos!$E$10),IF(Supuestos!$C$10="Triangular",IF(G71&lt;(Supuestos!$E$10-Supuestos!$D$10)/(Supuestos!$F$10-Supuestos!$D$10),Supuestos!$D$10+SQRT(G71*(Supuestos!$F$10-Supuestos!$D$10)*(Supuestos!$E$10-Supuestos!$D$10)),Supuestos!$F$10-SQRT((1-G71)*(Supuestos!$F$10-Supuestos!$D$10)*(Supuestos!$F$10-Supuestos!$E$10))),IF(Supuestos!$C$10="Uniforme",Supuestos!$D$10+G71*(Supuestos!$E$10-Supuestos!$D$10),IF(Supuestos!$C$10="Lognormal",LOGINV(G71,LN(Supuestos!$D$10)-LN(1+Supuestos!$E$10^2/Supuestos!$D$10^2)/2,SQRT(LN(1+Supuestos!$E$10^2/Supuestos!$D$10^2))),Supuestos!$D$10))))))</f>
        <v/>
      </c>
      <c r="O71" s="31">
        <f>MIN(IF(Supuestos!$H$11="",1E+99,Supuestos!$H$11),MAX(IF(Supuestos!$G$11="",-1E+99,Supuestos!$G$11),IF(Supuestos!$C$11="Normal",NORMINV(H71,Supuestos!$D$11,Supuestos!$E$11),IF(Supuestos!$C$11="Triangular",IF(H71&lt;(Supuestos!$E$11-Supuestos!$D$11)/(Supuestos!$F$11-Supuestos!$D$11),Supuestos!$D$11+SQRT(H71*(Supuestos!$F$11-Supuestos!$D$11)*(Supuestos!$E$11-Supuestos!$D$11)),Supuestos!$F$11-SQRT((1-H71)*(Supuestos!$F$11-Supuestos!$D$11)*(Supuestos!$F$11-Supuestos!$E$11))),IF(Supuestos!$C$11="Uniforme",Supuestos!$D$11+H71*(Supuestos!$E$11-Supuestos!$D$11),IF(Supuestos!$C$11="Lognormal",LOGINV(H71,LN(Supuestos!$D$11)-LN(1+Supuestos!$E$11^2/Supuestos!$D$11^2)/2,SQRT(LN(1+Supuestos!$E$11^2/Supuestos!$D$11^2))),Supuestos!$D$11))))))</f>
        <v/>
      </c>
      <c r="P71" s="33">
        <f>-I71</f>
        <v/>
      </c>
      <c r="Q71" s="33">
        <f>$J71*(1+$K71)^(1-1)*(1-$L71)*(1-$M71)</f>
        <v/>
      </c>
      <c r="R71" s="33">
        <f>$J71*(1+$K71)^(2-1)*(1-$L71)*(1-$M71)</f>
        <v/>
      </c>
      <c r="S71" s="33">
        <f>$J71*(1+$K71)^(3-1)*(1-$L71)*(1-$M71)</f>
        <v/>
      </c>
      <c r="T71" s="33">
        <f>$J71*(1+$K71)^(4-1)*(1-$L71)*(1-$M71)</f>
        <v/>
      </c>
      <c r="U71" s="33">
        <f>$J71*(1+$K71)^(5-1)*(1-$L71)*(1-$M71)+$O71</f>
        <v/>
      </c>
      <c r="V71" s="33">
        <f>P71+NPV($N71,Q71:U71)</f>
        <v/>
      </c>
      <c r="W71" s="32">
        <f>IFERROR(IRR(P71:U71,0.1),"")</f>
        <v/>
      </c>
    </row>
    <row r="72">
      <c r="A72" s="14" t="n">
        <v>68</v>
      </c>
      <c r="B72" s="30">
        <f>RAND()*(1-2E-6)+1E-6</f>
        <v/>
      </c>
      <c r="C72" s="30">
        <f>RAND()*(1-2E-6)+1E-6</f>
        <v/>
      </c>
      <c r="D72" s="30">
        <f>RAND()*(1-2E-6)+1E-6</f>
        <v/>
      </c>
      <c r="E72" s="30">
        <f>RAND()*(1-2E-6)+1E-6</f>
        <v/>
      </c>
      <c r="F72" s="30">
        <f>RAND()*(1-2E-6)+1E-6</f>
        <v/>
      </c>
      <c r="G72" s="30">
        <f>RAND()*(1-2E-6)+1E-6</f>
        <v/>
      </c>
      <c r="H72" s="30">
        <f>RAND()*(1-2E-6)+1E-6</f>
        <v/>
      </c>
      <c r="I72" s="31">
        <f>MIN(IF(Supuestos!$H$5="",1E+99,Supuestos!$H$5),MAX(IF(Supuestos!$G$5="",-1E+99,Supuestos!$G$5),IF(Supuestos!$C$5="Normal",NORMINV(B72,Supuestos!$D$5,Supuestos!$E$5),IF(Supuestos!$C$5="Triangular",IF(B72&lt;(Supuestos!$E$5-Supuestos!$D$5)/(Supuestos!$F$5-Supuestos!$D$5),Supuestos!$D$5+SQRT(B72*(Supuestos!$F$5-Supuestos!$D$5)*(Supuestos!$E$5-Supuestos!$D$5)),Supuestos!$F$5-SQRT((1-B72)*(Supuestos!$F$5-Supuestos!$D$5)*(Supuestos!$F$5-Supuestos!$E$5))),IF(Supuestos!$C$5="Uniforme",Supuestos!$D$5+B72*(Supuestos!$E$5-Supuestos!$D$5),IF(Supuestos!$C$5="Lognormal",LOGINV(B72,LN(Supuestos!$D$5)-LN(1+Supuestos!$E$5^2/Supuestos!$D$5^2)/2,SQRT(LN(1+Supuestos!$E$5^2/Supuestos!$D$5^2))),Supuestos!$D$5))))))</f>
        <v/>
      </c>
      <c r="J72" s="31">
        <f>MIN(IF(Supuestos!$H$6="",1E+99,Supuestos!$H$6),MAX(IF(Supuestos!$G$6="",-1E+99,Supuestos!$G$6),IF(Supuestos!$C$6="Normal",NORMINV(C72,Supuestos!$D$6,Supuestos!$E$6),IF(Supuestos!$C$6="Triangular",IF(C72&lt;(Supuestos!$E$6-Supuestos!$D$6)/(Supuestos!$F$6-Supuestos!$D$6),Supuestos!$D$6+SQRT(C72*(Supuestos!$F$6-Supuestos!$D$6)*(Supuestos!$E$6-Supuestos!$D$6)),Supuestos!$F$6-SQRT((1-C72)*(Supuestos!$F$6-Supuestos!$D$6)*(Supuestos!$F$6-Supuestos!$E$6))),IF(Supuestos!$C$6="Uniforme",Supuestos!$D$6+C72*(Supuestos!$E$6-Supuestos!$D$6),IF(Supuestos!$C$6="Lognormal",LOGINV(C72,LN(Supuestos!$D$6)-LN(1+Supuestos!$E$6^2/Supuestos!$D$6^2)/2,SQRT(LN(1+Supuestos!$E$6^2/Supuestos!$D$6^2))),Supuestos!$D$6))))))</f>
        <v/>
      </c>
      <c r="K72" s="32">
        <f>MIN(IF(Supuestos!$H$7="",1E+99,Supuestos!$H$7),MAX(IF(Supuestos!$G$7="",-1E+99,Supuestos!$G$7),IF(Supuestos!$C$7="Normal",NORMINV(D72,Supuestos!$D$7,Supuestos!$E$7),IF(Supuestos!$C$7="Triangular",IF(D72&lt;(Supuestos!$E$7-Supuestos!$D$7)/(Supuestos!$F$7-Supuestos!$D$7),Supuestos!$D$7+SQRT(D72*(Supuestos!$F$7-Supuestos!$D$7)*(Supuestos!$E$7-Supuestos!$D$7)),Supuestos!$F$7-SQRT((1-D72)*(Supuestos!$F$7-Supuestos!$D$7)*(Supuestos!$F$7-Supuestos!$E$7))),IF(Supuestos!$C$7="Uniforme",Supuestos!$D$7+D72*(Supuestos!$E$7-Supuestos!$D$7),IF(Supuestos!$C$7="Lognormal",LOGINV(D72,LN(Supuestos!$D$7)-LN(1+Supuestos!$E$7^2/Supuestos!$D$7^2)/2,SQRT(LN(1+Supuestos!$E$7^2/Supuestos!$D$7^2))),Supuestos!$D$7))))))</f>
        <v/>
      </c>
      <c r="L72" s="32">
        <f>MIN(IF(Supuestos!$H$8="",1E+99,Supuestos!$H$8),MAX(IF(Supuestos!$G$8="",-1E+99,Supuestos!$G$8),IF(Supuestos!$C$8="Normal",NORMINV(E72,Supuestos!$D$8,Supuestos!$E$8),IF(Supuestos!$C$8="Triangular",IF(E72&lt;(Supuestos!$E$8-Supuestos!$D$8)/(Supuestos!$F$8-Supuestos!$D$8),Supuestos!$D$8+SQRT(E72*(Supuestos!$F$8-Supuestos!$D$8)*(Supuestos!$E$8-Supuestos!$D$8)),Supuestos!$F$8-SQRT((1-E72)*(Supuestos!$F$8-Supuestos!$D$8)*(Supuestos!$F$8-Supuestos!$E$8))),IF(Supuestos!$C$8="Uniforme",Supuestos!$D$8+E72*(Supuestos!$E$8-Supuestos!$D$8),IF(Supuestos!$C$8="Lognormal",LOGINV(E72,LN(Supuestos!$D$8)-LN(1+Supuestos!$E$8^2/Supuestos!$D$8^2)/2,SQRT(LN(1+Supuestos!$E$8^2/Supuestos!$D$8^2))),Supuestos!$D$8))))))</f>
        <v/>
      </c>
      <c r="M72" s="32">
        <f>MIN(IF(Supuestos!$H$9="",1E+99,Supuestos!$H$9),MAX(IF(Supuestos!$G$9="",-1E+99,Supuestos!$G$9),IF(Supuestos!$C$9="Normal",NORMINV(F72,Supuestos!$D$9,Supuestos!$E$9),IF(Supuestos!$C$9="Triangular",IF(F72&lt;(Supuestos!$E$9-Supuestos!$D$9)/(Supuestos!$F$9-Supuestos!$D$9),Supuestos!$D$9+SQRT(F72*(Supuestos!$F$9-Supuestos!$D$9)*(Supuestos!$E$9-Supuestos!$D$9)),Supuestos!$F$9-SQRT((1-F72)*(Supuestos!$F$9-Supuestos!$D$9)*(Supuestos!$F$9-Supuestos!$E$9))),IF(Supuestos!$C$9="Uniforme",Supuestos!$D$9+F72*(Supuestos!$E$9-Supuestos!$D$9),IF(Supuestos!$C$9="Lognormal",LOGINV(F72,LN(Supuestos!$D$9)-LN(1+Supuestos!$E$9^2/Supuestos!$D$9^2)/2,SQRT(LN(1+Supuestos!$E$9^2/Supuestos!$D$9^2))),Supuestos!$D$9))))))</f>
        <v/>
      </c>
      <c r="N72" s="32">
        <f>MIN(IF(Supuestos!$H$10="",1E+99,Supuestos!$H$10),MAX(IF(Supuestos!$G$10="",-1E+99,Supuestos!$G$10),IF(Supuestos!$C$10="Normal",NORMINV(G72,Supuestos!$D$10,Supuestos!$E$10),IF(Supuestos!$C$10="Triangular",IF(G72&lt;(Supuestos!$E$10-Supuestos!$D$10)/(Supuestos!$F$10-Supuestos!$D$10),Supuestos!$D$10+SQRT(G72*(Supuestos!$F$10-Supuestos!$D$10)*(Supuestos!$E$10-Supuestos!$D$10)),Supuestos!$F$10-SQRT((1-G72)*(Supuestos!$F$10-Supuestos!$D$10)*(Supuestos!$F$10-Supuestos!$E$10))),IF(Supuestos!$C$10="Uniforme",Supuestos!$D$10+G72*(Supuestos!$E$10-Supuestos!$D$10),IF(Supuestos!$C$10="Lognormal",LOGINV(G72,LN(Supuestos!$D$10)-LN(1+Supuestos!$E$10^2/Supuestos!$D$10^2)/2,SQRT(LN(1+Supuestos!$E$10^2/Supuestos!$D$10^2))),Supuestos!$D$10))))))</f>
        <v/>
      </c>
      <c r="O72" s="31">
        <f>MIN(IF(Supuestos!$H$11="",1E+99,Supuestos!$H$11),MAX(IF(Supuestos!$G$11="",-1E+99,Supuestos!$G$11),IF(Supuestos!$C$11="Normal",NORMINV(H72,Supuestos!$D$11,Supuestos!$E$11),IF(Supuestos!$C$11="Triangular",IF(H72&lt;(Supuestos!$E$11-Supuestos!$D$11)/(Supuestos!$F$11-Supuestos!$D$11),Supuestos!$D$11+SQRT(H72*(Supuestos!$F$11-Supuestos!$D$11)*(Supuestos!$E$11-Supuestos!$D$11)),Supuestos!$F$11-SQRT((1-H72)*(Supuestos!$F$11-Supuestos!$D$11)*(Supuestos!$F$11-Supuestos!$E$11))),IF(Supuestos!$C$11="Uniforme",Supuestos!$D$11+H72*(Supuestos!$E$11-Supuestos!$D$11),IF(Supuestos!$C$11="Lognormal",LOGINV(H72,LN(Supuestos!$D$11)-LN(1+Supuestos!$E$11^2/Supuestos!$D$11^2)/2,SQRT(LN(1+Supuestos!$E$11^2/Supuestos!$D$11^2))),Supuestos!$D$11))))))</f>
        <v/>
      </c>
      <c r="P72" s="33">
        <f>-I72</f>
        <v/>
      </c>
      <c r="Q72" s="33">
        <f>$J72*(1+$K72)^(1-1)*(1-$L72)*(1-$M72)</f>
        <v/>
      </c>
      <c r="R72" s="33">
        <f>$J72*(1+$K72)^(2-1)*(1-$L72)*(1-$M72)</f>
        <v/>
      </c>
      <c r="S72" s="33">
        <f>$J72*(1+$K72)^(3-1)*(1-$L72)*(1-$M72)</f>
        <v/>
      </c>
      <c r="T72" s="33">
        <f>$J72*(1+$K72)^(4-1)*(1-$L72)*(1-$M72)</f>
        <v/>
      </c>
      <c r="U72" s="33">
        <f>$J72*(1+$K72)^(5-1)*(1-$L72)*(1-$M72)+$O72</f>
        <v/>
      </c>
      <c r="V72" s="33">
        <f>P72+NPV($N72,Q72:U72)</f>
        <v/>
      </c>
      <c r="W72" s="32">
        <f>IFERROR(IRR(P72:U72,0.1),"")</f>
        <v/>
      </c>
    </row>
    <row r="73">
      <c r="A73" s="14" t="n">
        <v>69</v>
      </c>
      <c r="B73" s="30">
        <f>RAND()*(1-2E-6)+1E-6</f>
        <v/>
      </c>
      <c r="C73" s="30">
        <f>RAND()*(1-2E-6)+1E-6</f>
        <v/>
      </c>
      <c r="D73" s="30">
        <f>RAND()*(1-2E-6)+1E-6</f>
        <v/>
      </c>
      <c r="E73" s="30">
        <f>RAND()*(1-2E-6)+1E-6</f>
        <v/>
      </c>
      <c r="F73" s="30">
        <f>RAND()*(1-2E-6)+1E-6</f>
        <v/>
      </c>
      <c r="G73" s="30">
        <f>RAND()*(1-2E-6)+1E-6</f>
        <v/>
      </c>
      <c r="H73" s="30">
        <f>RAND()*(1-2E-6)+1E-6</f>
        <v/>
      </c>
      <c r="I73" s="31">
        <f>MIN(IF(Supuestos!$H$5="",1E+99,Supuestos!$H$5),MAX(IF(Supuestos!$G$5="",-1E+99,Supuestos!$G$5),IF(Supuestos!$C$5="Normal",NORMINV(B73,Supuestos!$D$5,Supuestos!$E$5),IF(Supuestos!$C$5="Triangular",IF(B73&lt;(Supuestos!$E$5-Supuestos!$D$5)/(Supuestos!$F$5-Supuestos!$D$5),Supuestos!$D$5+SQRT(B73*(Supuestos!$F$5-Supuestos!$D$5)*(Supuestos!$E$5-Supuestos!$D$5)),Supuestos!$F$5-SQRT((1-B73)*(Supuestos!$F$5-Supuestos!$D$5)*(Supuestos!$F$5-Supuestos!$E$5))),IF(Supuestos!$C$5="Uniforme",Supuestos!$D$5+B73*(Supuestos!$E$5-Supuestos!$D$5),IF(Supuestos!$C$5="Lognormal",LOGINV(B73,LN(Supuestos!$D$5)-LN(1+Supuestos!$E$5^2/Supuestos!$D$5^2)/2,SQRT(LN(1+Supuestos!$E$5^2/Supuestos!$D$5^2))),Supuestos!$D$5))))))</f>
        <v/>
      </c>
      <c r="J73" s="31">
        <f>MIN(IF(Supuestos!$H$6="",1E+99,Supuestos!$H$6),MAX(IF(Supuestos!$G$6="",-1E+99,Supuestos!$G$6),IF(Supuestos!$C$6="Normal",NORMINV(C73,Supuestos!$D$6,Supuestos!$E$6),IF(Supuestos!$C$6="Triangular",IF(C73&lt;(Supuestos!$E$6-Supuestos!$D$6)/(Supuestos!$F$6-Supuestos!$D$6),Supuestos!$D$6+SQRT(C73*(Supuestos!$F$6-Supuestos!$D$6)*(Supuestos!$E$6-Supuestos!$D$6)),Supuestos!$F$6-SQRT((1-C73)*(Supuestos!$F$6-Supuestos!$D$6)*(Supuestos!$F$6-Supuestos!$E$6))),IF(Supuestos!$C$6="Uniforme",Supuestos!$D$6+C73*(Supuestos!$E$6-Supuestos!$D$6),IF(Supuestos!$C$6="Lognormal",LOGINV(C73,LN(Supuestos!$D$6)-LN(1+Supuestos!$E$6^2/Supuestos!$D$6^2)/2,SQRT(LN(1+Supuestos!$E$6^2/Supuestos!$D$6^2))),Supuestos!$D$6))))))</f>
        <v/>
      </c>
      <c r="K73" s="32">
        <f>MIN(IF(Supuestos!$H$7="",1E+99,Supuestos!$H$7),MAX(IF(Supuestos!$G$7="",-1E+99,Supuestos!$G$7),IF(Supuestos!$C$7="Normal",NORMINV(D73,Supuestos!$D$7,Supuestos!$E$7),IF(Supuestos!$C$7="Triangular",IF(D73&lt;(Supuestos!$E$7-Supuestos!$D$7)/(Supuestos!$F$7-Supuestos!$D$7),Supuestos!$D$7+SQRT(D73*(Supuestos!$F$7-Supuestos!$D$7)*(Supuestos!$E$7-Supuestos!$D$7)),Supuestos!$F$7-SQRT((1-D73)*(Supuestos!$F$7-Supuestos!$D$7)*(Supuestos!$F$7-Supuestos!$E$7))),IF(Supuestos!$C$7="Uniforme",Supuestos!$D$7+D73*(Supuestos!$E$7-Supuestos!$D$7),IF(Supuestos!$C$7="Lognormal",LOGINV(D73,LN(Supuestos!$D$7)-LN(1+Supuestos!$E$7^2/Supuestos!$D$7^2)/2,SQRT(LN(1+Supuestos!$E$7^2/Supuestos!$D$7^2))),Supuestos!$D$7))))))</f>
        <v/>
      </c>
      <c r="L73" s="32">
        <f>MIN(IF(Supuestos!$H$8="",1E+99,Supuestos!$H$8),MAX(IF(Supuestos!$G$8="",-1E+99,Supuestos!$G$8),IF(Supuestos!$C$8="Normal",NORMINV(E73,Supuestos!$D$8,Supuestos!$E$8),IF(Supuestos!$C$8="Triangular",IF(E73&lt;(Supuestos!$E$8-Supuestos!$D$8)/(Supuestos!$F$8-Supuestos!$D$8),Supuestos!$D$8+SQRT(E73*(Supuestos!$F$8-Supuestos!$D$8)*(Supuestos!$E$8-Supuestos!$D$8)),Supuestos!$F$8-SQRT((1-E73)*(Supuestos!$F$8-Supuestos!$D$8)*(Supuestos!$F$8-Supuestos!$E$8))),IF(Supuestos!$C$8="Uniforme",Supuestos!$D$8+E73*(Supuestos!$E$8-Supuestos!$D$8),IF(Supuestos!$C$8="Lognormal",LOGINV(E73,LN(Supuestos!$D$8)-LN(1+Supuestos!$E$8^2/Supuestos!$D$8^2)/2,SQRT(LN(1+Supuestos!$E$8^2/Supuestos!$D$8^2))),Supuestos!$D$8))))))</f>
        <v/>
      </c>
      <c r="M73" s="32">
        <f>MIN(IF(Supuestos!$H$9="",1E+99,Supuestos!$H$9),MAX(IF(Supuestos!$G$9="",-1E+99,Supuestos!$G$9),IF(Supuestos!$C$9="Normal",NORMINV(F73,Supuestos!$D$9,Supuestos!$E$9),IF(Supuestos!$C$9="Triangular",IF(F73&lt;(Supuestos!$E$9-Supuestos!$D$9)/(Supuestos!$F$9-Supuestos!$D$9),Supuestos!$D$9+SQRT(F73*(Supuestos!$F$9-Supuestos!$D$9)*(Supuestos!$E$9-Supuestos!$D$9)),Supuestos!$F$9-SQRT((1-F73)*(Supuestos!$F$9-Supuestos!$D$9)*(Supuestos!$F$9-Supuestos!$E$9))),IF(Supuestos!$C$9="Uniforme",Supuestos!$D$9+F73*(Supuestos!$E$9-Supuestos!$D$9),IF(Supuestos!$C$9="Lognormal",LOGINV(F73,LN(Supuestos!$D$9)-LN(1+Supuestos!$E$9^2/Supuestos!$D$9^2)/2,SQRT(LN(1+Supuestos!$E$9^2/Supuestos!$D$9^2))),Supuestos!$D$9))))))</f>
        <v/>
      </c>
      <c r="N73" s="32">
        <f>MIN(IF(Supuestos!$H$10="",1E+99,Supuestos!$H$10),MAX(IF(Supuestos!$G$10="",-1E+99,Supuestos!$G$10),IF(Supuestos!$C$10="Normal",NORMINV(G73,Supuestos!$D$10,Supuestos!$E$10),IF(Supuestos!$C$10="Triangular",IF(G73&lt;(Supuestos!$E$10-Supuestos!$D$10)/(Supuestos!$F$10-Supuestos!$D$10),Supuestos!$D$10+SQRT(G73*(Supuestos!$F$10-Supuestos!$D$10)*(Supuestos!$E$10-Supuestos!$D$10)),Supuestos!$F$10-SQRT((1-G73)*(Supuestos!$F$10-Supuestos!$D$10)*(Supuestos!$F$10-Supuestos!$E$10))),IF(Supuestos!$C$10="Uniforme",Supuestos!$D$10+G73*(Supuestos!$E$10-Supuestos!$D$10),IF(Supuestos!$C$10="Lognormal",LOGINV(G73,LN(Supuestos!$D$10)-LN(1+Supuestos!$E$10^2/Supuestos!$D$10^2)/2,SQRT(LN(1+Supuestos!$E$10^2/Supuestos!$D$10^2))),Supuestos!$D$10))))))</f>
        <v/>
      </c>
      <c r="O73" s="31">
        <f>MIN(IF(Supuestos!$H$11="",1E+99,Supuestos!$H$11),MAX(IF(Supuestos!$G$11="",-1E+99,Supuestos!$G$11),IF(Supuestos!$C$11="Normal",NORMINV(H73,Supuestos!$D$11,Supuestos!$E$11),IF(Supuestos!$C$11="Triangular",IF(H73&lt;(Supuestos!$E$11-Supuestos!$D$11)/(Supuestos!$F$11-Supuestos!$D$11),Supuestos!$D$11+SQRT(H73*(Supuestos!$F$11-Supuestos!$D$11)*(Supuestos!$E$11-Supuestos!$D$11)),Supuestos!$F$11-SQRT((1-H73)*(Supuestos!$F$11-Supuestos!$D$11)*(Supuestos!$F$11-Supuestos!$E$11))),IF(Supuestos!$C$11="Uniforme",Supuestos!$D$11+H73*(Supuestos!$E$11-Supuestos!$D$11),IF(Supuestos!$C$11="Lognormal",LOGINV(H73,LN(Supuestos!$D$11)-LN(1+Supuestos!$E$11^2/Supuestos!$D$11^2)/2,SQRT(LN(1+Supuestos!$E$11^2/Supuestos!$D$11^2))),Supuestos!$D$11))))))</f>
        <v/>
      </c>
      <c r="P73" s="33">
        <f>-I73</f>
        <v/>
      </c>
      <c r="Q73" s="33">
        <f>$J73*(1+$K73)^(1-1)*(1-$L73)*(1-$M73)</f>
        <v/>
      </c>
      <c r="R73" s="33">
        <f>$J73*(1+$K73)^(2-1)*(1-$L73)*(1-$M73)</f>
        <v/>
      </c>
      <c r="S73" s="33">
        <f>$J73*(1+$K73)^(3-1)*(1-$L73)*(1-$M73)</f>
        <v/>
      </c>
      <c r="T73" s="33">
        <f>$J73*(1+$K73)^(4-1)*(1-$L73)*(1-$M73)</f>
        <v/>
      </c>
      <c r="U73" s="33">
        <f>$J73*(1+$K73)^(5-1)*(1-$L73)*(1-$M73)+$O73</f>
        <v/>
      </c>
      <c r="V73" s="33">
        <f>P73+NPV($N73,Q73:U73)</f>
        <v/>
      </c>
      <c r="W73" s="32">
        <f>IFERROR(IRR(P73:U73,0.1),"")</f>
        <v/>
      </c>
    </row>
    <row r="74">
      <c r="A74" s="14" t="n">
        <v>70</v>
      </c>
      <c r="B74" s="30">
        <f>RAND()*(1-2E-6)+1E-6</f>
        <v/>
      </c>
      <c r="C74" s="30">
        <f>RAND()*(1-2E-6)+1E-6</f>
        <v/>
      </c>
      <c r="D74" s="30">
        <f>RAND()*(1-2E-6)+1E-6</f>
        <v/>
      </c>
      <c r="E74" s="30">
        <f>RAND()*(1-2E-6)+1E-6</f>
        <v/>
      </c>
      <c r="F74" s="30">
        <f>RAND()*(1-2E-6)+1E-6</f>
        <v/>
      </c>
      <c r="G74" s="30">
        <f>RAND()*(1-2E-6)+1E-6</f>
        <v/>
      </c>
      <c r="H74" s="30">
        <f>RAND()*(1-2E-6)+1E-6</f>
        <v/>
      </c>
      <c r="I74" s="31">
        <f>MIN(IF(Supuestos!$H$5="",1E+99,Supuestos!$H$5),MAX(IF(Supuestos!$G$5="",-1E+99,Supuestos!$G$5),IF(Supuestos!$C$5="Normal",NORMINV(B74,Supuestos!$D$5,Supuestos!$E$5),IF(Supuestos!$C$5="Triangular",IF(B74&lt;(Supuestos!$E$5-Supuestos!$D$5)/(Supuestos!$F$5-Supuestos!$D$5),Supuestos!$D$5+SQRT(B74*(Supuestos!$F$5-Supuestos!$D$5)*(Supuestos!$E$5-Supuestos!$D$5)),Supuestos!$F$5-SQRT((1-B74)*(Supuestos!$F$5-Supuestos!$D$5)*(Supuestos!$F$5-Supuestos!$E$5))),IF(Supuestos!$C$5="Uniforme",Supuestos!$D$5+B74*(Supuestos!$E$5-Supuestos!$D$5),IF(Supuestos!$C$5="Lognormal",LOGINV(B74,LN(Supuestos!$D$5)-LN(1+Supuestos!$E$5^2/Supuestos!$D$5^2)/2,SQRT(LN(1+Supuestos!$E$5^2/Supuestos!$D$5^2))),Supuestos!$D$5))))))</f>
        <v/>
      </c>
      <c r="J74" s="31">
        <f>MIN(IF(Supuestos!$H$6="",1E+99,Supuestos!$H$6),MAX(IF(Supuestos!$G$6="",-1E+99,Supuestos!$G$6),IF(Supuestos!$C$6="Normal",NORMINV(C74,Supuestos!$D$6,Supuestos!$E$6),IF(Supuestos!$C$6="Triangular",IF(C74&lt;(Supuestos!$E$6-Supuestos!$D$6)/(Supuestos!$F$6-Supuestos!$D$6),Supuestos!$D$6+SQRT(C74*(Supuestos!$F$6-Supuestos!$D$6)*(Supuestos!$E$6-Supuestos!$D$6)),Supuestos!$F$6-SQRT((1-C74)*(Supuestos!$F$6-Supuestos!$D$6)*(Supuestos!$F$6-Supuestos!$E$6))),IF(Supuestos!$C$6="Uniforme",Supuestos!$D$6+C74*(Supuestos!$E$6-Supuestos!$D$6),IF(Supuestos!$C$6="Lognormal",LOGINV(C74,LN(Supuestos!$D$6)-LN(1+Supuestos!$E$6^2/Supuestos!$D$6^2)/2,SQRT(LN(1+Supuestos!$E$6^2/Supuestos!$D$6^2))),Supuestos!$D$6))))))</f>
        <v/>
      </c>
      <c r="K74" s="32">
        <f>MIN(IF(Supuestos!$H$7="",1E+99,Supuestos!$H$7),MAX(IF(Supuestos!$G$7="",-1E+99,Supuestos!$G$7),IF(Supuestos!$C$7="Normal",NORMINV(D74,Supuestos!$D$7,Supuestos!$E$7),IF(Supuestos!$C$7="Triangular",IF(D74&lt;(Supuestos!$E$7-Supuestos!$D$7)/(Supuestos!$F$7-Supuestos!$D$7),Supuestos!$D$7+SQRT(D74*(Supuestos!$F$7-Supuestos!$D$7)*(Supuestos!$E$7-Supuestos!$D$7)),Supuestos!$F$7-SQRT((1-D74)*(Supuestos!$F$7-Supuestos!$D$7)*(Supuestos!$F$7-Supuestos!$E$7))),IF(Supuestos!$C$7="Uniforme",Supuestos!$D$7+D74*(Supuestos!$E$7-Supuestos!$D$7),IF(Supuestos!$C$7="Lognormal",LOGINV(D74,LN(Supuestos!$D$7)-LN(1+Supuestos!$E$7^2/Supuestos!$D$7^2)/2,SQRT(LN(1+Supuestos!$E$7^2/Supuestos!$D$7^2))),Supuestos!$D$7))))))</f>
        <v/>
      </c>
      <c r="L74" s="32">
        <f>MIN(IF(Supuestos!$H$8="",1E+99,Supuestos!$H$8),MAX(IF(Supuestos!$G$8="",-1E+99,Supuestos!$G$8),IF(Supuestos!$C$8="Normal",NORMINV(E74,Supuestos!$D$8,Supuestos!$E$8),IF(Supuestos!$C$8="Triangular",IF(E74&lt;(Supuestos!$E$8-Supuestos!$D$8)/(Supuestos!$F$8-Supuestos!$D$8),Supuestos!$D$8+SQRT(E74*(Supuestos!$F$8-Supuestos!$D$8)*(Supuestos!$E$8-Supuestos!$D$8)),Supuestos!$F$8-SQRT((1-E74)*(Supuestos!$F$8-Supuestos!$D$8)*(Supuestos!$F$8-Supuestos!$E$8))),IF(Supuestos!$C$8="Uniforme",Supuestos!$D$8+E74*(Supuestos!$E$8-Supuestos!$D$8),IF(Supuestos!$C$8="Lognormal",LOGINV(E74,LN(Supuestos!$D$8)-LN(1+Supuestos!$E$8^2/Supuestos!$D$8^2)/2,SQRT(LN(1+Supuestos!$E$8^2/Supuestos!$D$8^2))),Supuestos!$D$8))))))</f>
        <v/>
      </c>
      <c r="M74" s="32">
        <f>MIN(IF(Supuestos!$H$9="",1E+99,Supuestos!$H$9),MAX(IF(Supuestos!$G$9="",-1E+99,Supuestos!$G$9),IF(Supuestos!$C$9="Normal",NORMINV(F74,Supuestos!$D$9,Supuestos!$E$9),IF(Supuestos!$C$9="Triangular",IF(F74&lt;(Supuestos!$E$9-Supuestos!$D$9)/(Supuestos!$F$9-Supuestos!$D$9),Supuestos!$D$9+SQRT(F74*(Supuestos!$F$9-Supuestos!$D$9)*(Supuestos!$E$9-Supuestos!$D$9)),Supuestos!$F$9-SQRT((1-F74)*(Supuestos!$F$9-Supuestos!$D$9)*(Supuestos!$F$9-Supuestos!$E$9))),IF(Supuestos!$C$9="Uniforme",Supuestos!$D$9+F74*(Supuestos!$E$9-Supuestos!$D$9),IF(Supuestos!$C$9="Lognormal",LOGINV(F74,LN(Supuestos!$D$9)-LN(1+Supuestos!$E$9^2/Supuestos!$D$9^2)/2,SQRT(LN(1+Supuestos!$E$9^2/Supuestos!$D$9^2))),Supuestos!$D$9))))))</f>
        <v/>
      </c>
      <c r="N74" s="32">
        <f>MIN(IF(Supuestos!$H$10="",1E+99,Supuestos!$H$10),MAX(IF(Supuestos!$G$10="",-1E+99,Supuestos!$G$10),IF(Supuestos!$C$10="Normal",NORMINV(G74,Supuestos!$D$10,Supuestos!$E$10),IF(Supuestos!$C$10="Triangular",IF(G74&lt;(Supuestos!$E$10-Supuestos!$D$10)/(Supuestos!$F$10-Supuestos!$D$10),Supuestos!$D$10+SQRT(G74*(Supuestos!$F$10-Supuestos!$D$10)*(Supuestos!$E$10-Supuestos!$D$10)),Supuestos!$F$10-SQRT((1-G74)*(Supuestos!$F$10-Supuestos!$D$10)*(Supuestos!$F$10-Supuestos!$E$10))),IF(Supuestos!$C$10="Uniforme",Supuestos!$D$10+G74*(Supuestos!$E$10-Supuestos!$D$10),IF(Supuestos!$C$10="Lognormal",LOGINV(G74,LN(Supuestos!$D$10)-LN(1+Supuestos!$E$10^2/Supuestos!$D$10^2)/2,SQRT(LN(1+Supuestos!$E$10^2/Supuestos!$D$10^2))),Supuestos!$D$10))))))</f>
        <v/>
      </c>
      <c r="O74" s="31">
        <f>MIN(IF(Supuestos!$H$11="",1E+99,Supuestos!$H$11),MAX(IF(Supuestos!$G$11="",-1E+99,Supuestos!$G$11),IF(Supuestos!$C$11="Normal",NORMINV(H74,Supuestos!$D$11,Supuestos!$E$11),IF(Supuestos!$C$11="Triangular",IF(H74&lt;(Supuestos!$E$11-Supuestos!$D$11)/(Supuestos!$F$11-Supuestos!$D$11),Supuestos!$D$11+SQRT(H74*(Supuestos!$F$11-Supuestos!$D$11)*(Supuestos!$E$11-Supuestos!$D$11)),Supuestos!$F$11-SQRT((1-H74)*(Supuestos!$F$11-Supuestos!$D$11)*(Supuestos!$F$11-Supuestos!$E$11))),IF(Supuestos!$C$11="Uniforme",Supuestos!$D$11+H74*(Supuestos!$E$11-Supuestos!$D$11),IF(Supuestos!$C$11="Lognormal",LOGINV(H74,LN(Supuestos!$D$11)-LN(1+Supuestos!$E$11^2/Supuestos!$D$11^2)/2,SQRT(LN(1+Supuestos!$E$11^2/Supuestos!$D$11^2))),Supuestos!$D$11))))))</f>
        <v/>
      </c>
      <c r="P74" s="33">
        <f>-I74</f>
        <v/>
      </c>
      <c r="Q74" s="33">
        <f>$J74*(1+$K74)^(1-1)*(1-$L74)*(1-$M74)</f>
        <v/>
      </c>
      <c r="R74" s="33">
        <f>$J74*(1+$K74)^(2-1)*(1-$L74)*(1-$M74)</f>
        <v/>
      </c>
      <c r="S74" s="33">
        <f>$J74*(1+$K74)^(3-1)*(1-$L74)*(1-$M74)</f>
        <v/>
      </c>
      <c r="T74" s="33">
        <f>$J74*(1+$K74)^(4-1)*(1-$L74)*(1-$M74)</f>
        <v/>
      </c>
      <c r="U74" s="33">
        <f>$J74*(1+$K74)^(5-1)*(1-$L74)*(1-$M74)+$O74</f>
        <v/>
      </c>
      <c r="V74" s="33">
        <f>P74+NPV($N74,Q74:U74)</f>
        <v/>
      </c>
      <c r="W74" s="32">
        <f>IFERROR(IRR(P74:U74,0.1),"")</f>
        <v/>
      </c>
    </row>
    <row r="75">
      <c r="A75" s="14" t="n">
        <v>71</v>
      </c>
      <c r="B75" s="30">
        <f>RAND()*(1-2E-6)+1E-6</f>
        <v/>
      </c>
      <c r="C75" s="30">
        <f>RAND()*(1-2E-6)+1E-6</f>
        <v/>
      </c>
      <c r="D75" s="30">
        <f>RAND()*(1-2E-6)+1E-6</f>
        <v/>
      </c>
      <c r="E75" s="30">
        <f>RAND()*(1-2E-6)+1E-6</f>
        <v/>
      </c>
      <c r="F75" s="30">
        <f>RAND()*(1-2E-6)+1E-6</f>
        <v/>
      </c>
      <c r="G75" s="30">
        <f>RAND()*(1-2E-6)+1E-6</f>
        <v/>
      </c>
      <c r="H75" s="30">
        <f>RAND()*(1-2E-6)+1E-6</f>
        <v/>
      </c>
      <c r="I75" s="31">
        <f>MIN(IF(Supuestos!$H$5="",1E+99,Supuestos!$H$5),MAX(IF(Supuestos!$G$5="",-1E+99,Supuestos!$G$5),IF(Supuestos!$C$5="Normal",NORMINV(B75,Supuestos!$D$5,Supuestos!$E$5),IF(Supuestos!$C$5="Triangular",IF(B75&lt;(Supuestos!$E$5-Supuestos!$D$5)/(Supuestos!$F$5-Supuestos!$D$5),Supuestos!$D$5+SQRT(B75*(Supuestos!$F$5-Supuestos!$D$5)*(Supuestos!$E$5-Supuestos!$D$5)),Supuestos!$F$5-SQRT((1-B75)*(Supuestos!$F$5-Supuestos!$D$5)*(Supuestos!$F$5-Supuestos!$E$5))),IF(Supuestos!$C$5="Uniforme",Supuestos!$D$5+B75*(Supuestos!$E$5-Supuestos!$D$5),IF(Supuestos!$C$5="Lognormal",LOGINV(B75,LN(Supuestos!$D$5)-LN(1+Supuestos!$E$5^2/Supuestos!$D$5^2)/2,SQRT(LN(1+Supuestos!$E$5^2/Supuestos!$D$5^2))),Supuestos!$D$5))))))</f>
        <v/>
      </c>
      <c r="J75" s="31">
        <f>MIN(IF(Supuestos!$H$6="",1E+99,Supuestos!$H$6),MAX(IF(Supuestos!$G$6="",-1E+99,Supuestos!$G$6),IF(Supuestos!$C$6="Normal",NORMINV(C75,Supuestos!$D$6,Supuestos!$E$6),IF(Supuestos!$C$6="Triangular",IF(C75&lt;(Supuestos!$E$6-Supuestos!$D$6)/(Supuestos!$F$6-Supuestos!$D$6),Supuestos!$D$6+SQRT(C75*(Supuestos!$F$6-Supuestos!$D$6)*(Supuestos!$E$6-Supuestos!$D$6)),Supuestos!$F$6-SQRT((1-C75)*(Supuestos!$F$6-Supuestos!$D$6)*(Supuestos!$F$6-Supuestos!$E$6))),IF(Supuestos!$C$6="Uniforme",Supuestos!$D$6+C75*(Supuestos!$E$6-Supuestos!$D$6),IF(Supuestos!$C$6="Lognormal",LOGINV(C75,LN(Supuestos!$D$6)-LN(1+Supuestos!$E$6^2/Supuestos!$D$6^2)/2,SQRT(LN(1+Supuestos!$E$6^2/Supuestos!$D$6^2))),Supuestos!$D$6))))))</f>
        <v/>
      </c>
      <c r="K75" s="32">
        <f>MIN(IF(Supuestos!$H$7="",1E+99,Supuestos!$H$7),MAX(IF(Supuestos!$G$7="",-1E+99,Supuestos!$G$7),IF(Supuestos!$C$7="Normal",NORMINV(D75,Supuestos!$D$7,Supuestos!$E$7),IF(Supuestos!$C$7="Triangular",IF(D75&lt;(Supuestos!$E$7-Supuestos!$D$7)/(Supuestos!$F$7-Supuestos!$D$7),Supuestos!$D$7+SQRT(D75*(Supuestos!$F$7-Supuestos!$D$7)*(Supuestos!$E$7-Supuestos!$D$7)),Supuestos!$F$7-SQRT((1-D75)*(Supuestos!$F$7-Supuestos!$D$7)*(Supuestos!$F$7-Supuestos!$E$7))),IF(Supuestos!$C$7="Uniforme",Supuestos!$D$7+D75*(Supuestos!$E$7-Supuestos!$D$7),IF(Supuestos!$C$7="Lognormal",LOGINV(D75,LN(Supuestos!$D$7)-LN(1+Supuestos!$E$7^2/Supuestos!$D$7^2)/2,SQRT(LN(1+Supuestos!$E$7^2/Supuestos!$D$7^2))),Supuestos!$D$7))))))</f>
        <v/>
      </c>
      <c r="L75" s="32">
        <f>MIN(IF(Supuestos!$H$8="",1E+99,Supuestos!$H$8),MAX(IF(Supuestos!$G$8="",-1E+99,Supuestos!$G$8),IF(Supuestos!$C$8="Normal",NORMINV(E75,Supuestos!$D$8,Supuestos!$E$8),IF(Supuestos!$C$8="Triangular",IF(E75&lt;(Supuestos!$E$8-Supuestos!$D$8)/(Supuestos!$F$8-Supuestos!$D$8),Supuestos!$D$8+SQRT(E75*(Supuestos!$F$8-Supuestos!$D$8)*(Supuestos!$E$8-Supuestos!$D$8)),Supuestos!$F$8-SQRT((1-E75)*(Supuestos!$F$8-Supuestos!$D$8)*(Supuestos!$F$8-Supuestos!$E$8))),IF(Supuestos!$C$8="Uniforme",Supuestos!$D$8+E75*(Supuestos!$E$8-Supuestos!$D$8),IF(Supuestos!$C$8="Lognormal",LOGINV(E75,LN(Supuestos!$D$8)-LN(1+Supuestos!$E$8^2/Supuestos!$D$8^2)/2,SQRT(LN(1+Supuestos!$E$8^2/Supuestos!$D$8^2))),Supuestos!$D$8))))))</f>
        <v/>
      </c>
      <c r="M75" s="32">
        <f>MIN(IF(Supuestos!$H$9="",1E+99,Supuestos!$H$9),MAX(IF(Supuestos!$G$9="",-1E+99,Supuestos!$G$9),IF(Supuestos!$C$9="Normal",NORMINV(F75,Supuestos!$D$9,Supuestos!$E$9),IF(Supuestos!$C$9="Triangular",IF(F75&lt;(Supuestos!$E$9-Supuestos!$D$9)/(Supuestos!$F$9-Supuestos!$D$9),Supuestos!$D$9+SQRT(F75*(Supuestos!$F$9-Supuestos!$D$9)*(Supuestos!$E$9-Supuestos!$D$9)),Supuestos!$F$9-SQRT((1-F75)*(Supuestos!$F$9-Supuestos!$D$9)*(Supuestos!$F$9-Supuestos!$E$9))),IF(Supuestos!$C$9="Uniforme",Supuestos!$D$9+F75*(Supuestos!$E$9-Supuestos!$D$9),IF(Supuestos!$C$9="Lognormal",LOGINV(F75,LN(Supuestos!$D$9)-LN(1+Supuestos!$E$9^2/Supuestos!$D$9^2)/2,SQRT(LN(1+Supuestos!$E$9^2/Supuestos!$D$9^2))),Supuestos!$D$9))))))</f>
        <v/>
      </c>
      <c r="N75" s="32">
        <f>MIN(IF(Supuestos!$H$10="",1E+99,Supuestos!$H$10),MAX(IF(Supuestos!$G$10="",-1E+99,Supuestos!$G$10),IF(Supuestos!$C$10="Normal",NORMINV(G75,Supuestos!$D$10,Supuestos!$E$10),IF(Supuestos!$C$10="Triangular",IF(G75&lt;(Supuestos!$E$10-Supuestos!$D$10)/(Supuestos!$F$10-Supuestos!$D$10),Supuestos!$D$10+SQRT(G75*(Supuestos!$F$10-Supuestos!$D$10)*(Supuestos!$E$10-Supuestos!$D$10)),Supuestos!$F$10-SQRT((1-G75)*(Supuestos!$F$10-Supuestos!$D$10)*(Supuestos!$F$10-Supuestos!$E$10))),IF(Supuestos!$C$10="Uniforme",Supuestos!$D$10+G75*(Supuestos!$E$10-Supuestos!$D$10),IF(Supuestos!$C$10="Lognormal",LOGINV(G75,LN(Supuestos!$D$10)-LN(1+Supuestos!$E$10^2/Supuestos!$D$10^2)/2,SQRT(LN(1+Supuestos!$E$10^2/Supuestos!$D$10^2))),Supuestos!$D$10))))))</f>
        <v/>
      </c>
      <c r="O75" s="31">
        <f>MIN(IF(Supuestos!$H$11="",1E+99,Supuestos!$H$11),MAX(IF(Supuestos!$G$11="",-1E+99,Supuestos!$G$11),IF(Supuestos!$C$11="Normal",NORMINV(H75,Supuestos!$D$11,Supuestos!$E$11),IF(Supuestos!$C$11="Triangular",IF(H75&lt;(Supuestos!$E$11-Supuestos!$D$11)/(Supuestos!$F$11-Supuestos!$D$11),Supuestos!$D$11+SQRT(H75*(Supuestos!$F$11-Supuestos!$D$11)*(Supuestos!$E$11-Supuestos!$D$11)),Supuestos!$F$11-SQRT((1-H75)*(Supuestos!$F$11-Supuestos!$D$11)*(Supuestos!$F$11-Supuestos!$E$11))),IF(Supuestos!$C$11="Uniforme",Supuestos!$D$11+H75*(Supuestos!$E$11-Supuestos!$D$11),IF(Supuestos!$C$11="Lognormal",LOGINV(H75,LN(Supuestos!$D$11)-LN(1+Supuestos!$E$11^2/Supuestos!$D$11^2)/2,SQRT(LN(1+Supuestos!$E$11^2/Supuestos!$D$11^2))),Supuestos!$D$11))))))</f>
        <v/>
      </c>
      <c r="P75" s="33">
        <f>-I75</f>
        <v/>
      </c>
      <c r="Q75" s="33">
        <f>$J75*(1+$K75)^(1-1)*(1-$L75)*(1-$M75)</f>
        <v/>
      </c>
      <c r="R75" s="33">
        <f>$J75*(1+$K75)^(2-1)*(1-$L75)*(1-$M75)</f>
        <v/>
      </c>
      <c r="S75" s="33">
        <f>$J75*(1+$K75)^(3-1)*(1-$L75)*(1-$M75)</f>
        <v/>
      </c>
      <c r="T75" s="33">
        <f>$J75*(1+$K75)^(4-1)*(1-$L75)*(1-$M75)</f>
        <v/>
      </c>
      <c r="U75" s="33">
        <f>$J75*(1+$K75)^(5-1)*(1-$L75)*(1-$M75)+$O75</f>
        <v/>
      </c>
      <c r="V75" s="33">
        <f>P75+NPV($N75,Q75:U75)</f>
        <v/>
      </c>
      <c r="W75" s="32">
        <f>IFERROR(IRR(P75:U75,0.1),"")</f>
        <v/>
      </c>
    </row>
    <row r="76">
      <c r="A76" s="14" t="n">
        <v>72</v>
      </c>
      <c r="B76" s="30">
        <f>RAND()*(1-2E-6)+1E-6</f>
        <v/>
      </c>
      <c r="C76" s="30">
        <f>RAND()*(1-2E-6)+1E-6</f>
        <v/>
      </c>
      <c r="D76" s="30">
        <f>RAND()*(1-2E-6)+1E-6</f>
        <v/>
      </c>
      <c r="E76" s="30">
        <f>RAND()*(1-2E-6)+1E-6</f>
        <v/>
      </c>
      <c r="F76" s="30">
        <f>RAND()*(1-2E-6)+1E-6</f>
        <v/>
      </c>
      <c r="G76" s="30">
        <f>RAND()*(1-2E-6)+1E-6</f>
        <v/>
      </c>
      <c r="H76" s="30">
        <f>RAND()*(1-2E-6)+1E-6</f>
        <v/>
      </c>
      <c r="I76" s="31">
        <f>MIN(IF(Supuestos!$H$5="",1E+99,Supuestos!$H$5),MAX(IF(Supuestos!$G$5="",-1E+99,Supuestos!$G$5),IF(Supuestos!$C$5="Normal",NORMINV(B76,Supuestos!$D$5,Supuestos!$E$5),IF(Supuestos!$C$5="Triangular",IF(B76&lt;(Supuestos!$E$5-Supuestos!$D$5)/(Supuestos!$F$5-Supuestos!$D$5),Supuestos!$D$5+SQRT(B76*(Supuestos!$F$5-Supuestos!$D$5)*(Supuestos!$E$5-Supuestos!$D$5)),Supuestos!$F$5-SQRT((1-B76)*(Supuestos!$F$5-Supuestos!$D$5)*(Supuestos!$F$5-Supuestos!$E$5))),IF(Supuestos!$C$5="Uniforme",Supuestos!$D$5+B76*(Supuestos!$E$5-Supuestos!$D$5),IF(Supuestos!$C$5="Lognormal",LOGINV(B76,LN(Supuestos!$D$5)-LN(1+Supuestos!$E$5^2/Supuestos!$D$5^2)/2,SQRT(LN(1+Supuestos!$E$5^2/Supuestos!$D$5^2))),Supuestos!$D$5))))))</f>
        <v/>
      </c>
      <c r="J76" s="31">
        <f>MIN(IF(Supuestos!$H$6="",1E+99,Supuestos!$H$6),MAX(IF(Supuestos!$G$6="",-1E+99,Supuestos!$G$6),IF(Supuestos!$C$6="Normal",NORMINV(C76,Supuestos!$D$6,Supuestos!$E$6),IF(Supuestos!$C$6="Triangular",IF(C76&lt;(Supuestos!$E$6-Supuestos!$D$6)/(Supuestos!$F$6-Supuestos!$D$6),Supuestos!$D$6+SQRT(C76*(Supuestos!$F$6-Supuestos!$D$6)*(Supuestos!$E$6-Supuestos!$D$6)),Supuestos!$F$6-SQRT((1-C76)*(Supuestos!$F$6-Supuestos!$D$6)*(Supuestos!$F$6-Supuestos!$E$6))),IF(Supuestos!$C$6="Uniforme",Supuestos!$D$6+C76*(Supuestos!$E$6-Supuestos!$D$6),IF(Supuestos!$C$6="Lognormal",LOGINV(C76,LN(Supuestos!$D$6)-LN(1+Supuestos!$E$6^2/Supuestos!$D$6^2)/2,SQRT(LN(1+Supuestos!$E$6^2/Supuestos!$D$6^2))),Supuestos!$D$6))))))</f>
        <v/>
      </c>
      <c r="K76" s="32">
        <f>MIN(IF(Supuestos!$H$7="",1E+99,Supuestos!$H$7),MAX(IF(Supuestos!$G$7="",-1E+99,Supuestos!$G$7),IF(Supuestos!$C$7="Normal",NORMINV(D76,Supuestos!$D$7,Supuestos!$E$7),IF(Supuestos!$C$7="Triangular",IF(D76&lt;(Supuestos!$E$7-Supuestos!$D$7)/(Supuestos!$F$7-Supuestos!$D$7),Supuestos!$D$7+SQRT(D76*(Supuestos!$F$7-Supuestos!$D$7)*(Supuestos!$E$7-Supuestos!$D$7)),Supuestos!$F$7-SQRT((1-D76)*(Supuestos!$F$7-Supuestos!$D$7)*(Supuestos!$F$7-Supuestos!$E$7))),IF(Supuestos!$C$7="Uniforme",Supuestos!$D$7+D76*(Supuestos!$E$7-Supuestos!$D$7),IF(Supuestos!$C$7="Lognormal",LOGINV(D76,LN(Supuestos!$D$7)-LN(1+Supuestos!$E$7^2/Supuestos!$D$7^2)/2,SQRT(LN(1+Supuestos!$E$7^2/Supuestos!$D$7^2))),Supuestos!$D$7))))))</f>
        <v/>
      </c>
      <c r="L76" s="32">
        <f>MIN(IF(Supuestos!$H$8="",1E+99,Supuestos!$H$8),MAX(IF(Supuestos!$G$8="",-1E+99,Supuestos!$G$8),IF(Supuestos!$C$8="Normal",NORMINV(E76,Supuestos!$D$8,Supuestos!$E$8),IF(Supuestos!$C$8="Triangular",IF(E76&lt;(Supuestos!$E$8-Supuestos!$D$8)/(Supuestos!$F$8-Supuestos!$D$8),Supuestos!$D$8+SQRT(E76*(Supuestos!$F$8-Supuestos!$D$8)*(Supuestos!$E$8-Supuestos!$D$8)),Supuestos!$F$8-SQRT((1-E76)*(Supuestos!$F$8-Supuestos!$D$8)*(Supuestos!$F$8-Supuestos!$E$8))),IF(Supuestos!$C$8="Uniforme",Supuestos!$D$8+E76*(Supuestos!$E$8-Supuestos!$D$8),IF(Supuestos!$C$8="Lognormal",LOGINV(E76,LN(Supuestos!$D$8)-LN(1+Supuestos!$E$8^2/Supuestos!$D$8^2)/2,SQRT(LN(1+Supuestos!$E$8^2/Supuestos!$D$8^2))),Supuestos!$D$8))))))</f>
        <v/>
      </c>
      <c r="M76" s="32">
        <f>MIN(IF(Supuestos!$H$9="",1E+99,Supuestos!$H$9),MAX(IF(Supuestos!$G$9="",-1E+99,Supuestos!$G$9),IF(Supuestos!$C$9="Normal",NORMINV(F76,Supuestos!$D$9,Supuestos!$E$9),IF(Supuestos!$C$9="Triangular",IF(F76&lt;(Supuestos!$E$9-Supuestos!$D$9)/(Supuestos!$F$9-Supuestos!$D$9),Supuestos!$D$9+SQRT(F76*(Supuestos!$F$9-Supuestos!$D$9)*(Supuestos!$E$9-Supuestos!$D$9)),Supuestos!$F$9-SQRT((1-F76)*(Supuestos!$F$9-Supuestos!$D$9)*(Supuestos!$F$9-Supuestos!$E$9))),IF(Supuestos!$C$9="Uniforme",Supuestos!$D$9+F76*(Supuestos!$E$9-Supuestos!$D$9),IF(Supuestos!$C$9="Lognormal",LOGINV(F76,LN(Supuestos!$D$9)-LN(1+Supuestos!$E$9^2/Supuestos!$D$9^2)/2,SQRT(LN(1+Supuestos!$E$9^2/Supuestos!$D$9^2))),Supuestos!$D$9))))))</f>
        <v/>
      </c>
      <c r="N76" s="32">
        <f>MIN(IF(Supuestos!$H$10="",1E+99,Supuestos!$H$10),MAX(IF(Supuestos!$G$10="",-1E+99,Supuestos!$G$10),IF(Supuestos!$C$10="Normal",NORMINV(G76,Supuestos!$D$10,Supuestos!$E$10),IF(Supuestos!$C$10="Triangular",IF(G76&lt;(Supuestos!$E$10-Supuestos!$D$10)/(Supuestos!$F$10-Supuestos!$D$10),Supuestos!$D$10+SQRT(G76*(Supuestos!$F$10-Supuestos!$D$10)*(Supuestos!$E$10-Supuestos!$D$10)),Supuestos!$F$10-SQRT((1-G76)*(Supuestos!$F$10-Supuestos!$D$10)*(Supuestos!$F$10-Supuestos!$E$10))),IF(Supuestos!$C$10="Uniforme",Supuestos!$D$10+G76*(Supuestos!$E$10-Supuestos!$D$10),IF(Supuestos!$C$10="Lognormal",LOGINV(G76,LN(Supuestos!$D$10)-LN(1+Supuestos!$E$10^2/Supuestos!$D$10^2)/2,SQRT(LN(1+Supuestos!$E$10^2/Supuestos!$D$10^2))),Supuestos!$D$10))))))</f>
        <v/>
      </c>
      <c r="O76" s="31">
        <f>MIN(IF(Supuestos!$H$11="",1E+99,Supuestos!$H$11),MAX(IF(Supuestos!$G$11="",-1E+99,Supuestos!$G$11),IF(Supuestos!$C$11="Normal",NORMINV(H76,Supuestos!$D$11,Supuestos!$E$11),IF(Supuestos!$C$11="Triangular",IF(H76&lt;(Supuestos!$E$11-Supuestos!$D$11)/(Supuestos!$F$11-Supuestos!$D$11),Supuestos!$D$11+SQRT(H76*(Supuestos!$F$11-Supuestos!$D$11)*(Supuestos!$E$11-Supuestos!$D$11)),Supuestos!$F$11-SQRT((1-H76)*(Supuestos!$F$11-Supuestos!$D$11)*(Supuestos!$F$11-Supuestos!$E$11))),IF(Supuestos!$C$11="Uniforme",Supuestos!$D$11+H76*(Supuestos!$E$11-Supuestos!$D$11),IF(Supuestos!$C$11="Lognormal",LOGINV(H76,LN(Supuestos!$D$11)-LN(1+Supuestos!$E$11^2/Supuestos!$D$11^2)/2,SQRT(LN(1+Supuestos!$E$11^2/Supuestos!$D$11^2))),Supuestos!$D$11))))))</f>
        <v/>
      </c>
      <c r="P76" s="33">
        <f>-I76</f>
        <v/>
      </c>
      <c r="Q76" s="33">
        <f>$J76*(1+$K76)^(1-1)*(1-$L76)*(1-$M76)</f>
        <v/>
      </c>
      <c r="R76" s="33">
        <f>$J76*(1+$K76)^(2-1)*(1-$L76)*(1-$M76)</f>
        <v/>
      </c>
      <c r="S76" s="33">
        <f>$J76*(1+$K76)^(3-1)*(1-$L76)*(1-$M76)</f>
        <v/>
      </c>
      <c r="T76" s="33">
        <f>$J76*(1+$K76)^(4-1)*(1-$L76)*(1-$M76)</f>
        <v/>
      </c>
      <c r="U76" s="33">
        <f>$J76*(1+$K76)^(5-1)*(1-$L76)*(1-$M76)+$O76</f>
        <v/>
      </c>
      <c r="V76" s="33">
        <f>P76+NPV($N76,Q76:U76)</f>
        <v/>
      </c>
      <c r="W76" s="32">
        <f>IFERROR(IRR(P76:U76,0.1),"")</f>
        <v/>
      </c>
    </row>
    <row r="77">
      <c r="A77" s="14" t="n">
        <v>73</v>
      </c>
      <c r="B77" s="30">
        <f>RAND()*(1-2E-6)+1E-6</f>
        <v/>
      </c>
      <c r="C77" s="30">
        <f>RAND()*(1-2E-6)+1E-6</f>
        <v/>
      </c>
      <c r="D77" s="30">
        <f>RAND()*(1-2E-6)+1E-6</f>
        <v/>
      </c>
      <c r="E77" s="30">
        <f>RAND()*(1-2E-6)+1E-6</f>
        <v/>
      </c>
      <c r="F77" s="30">
        <f>RAND()*(1-2E-6)+1E-6</f>
        <v/>
      </c>
      <c r="G77" s="30">
        <f>RAND()*(1-2E-6)+1E-6</f>
        <v/>
      </c>
      <c r="H77" s="30">
        <f>RAND()*(1-2E-6)+1E-6</f>
        <v/>
      </c>
      <c r="I77" s="31">
        <f>MIN(IF(Supuestos!$H$5="",1E+99,Supuestos!$H$5),MAX(IF(Supuestos!$G$5="",-1E+99,Supuestos!$G$5),IF(Supuestos!$C$5="Normal",NORMINV(B77,Supuestos!$D$5,Supuestos!$E$5),IF(Supuestos!$C$5="Triangular",IF(B77&lt;(Supuestos!$E$5-Supuestos!$D$5)/(Supuestos!$F$5-Supuestos!$D$5),Supuestos!$D$5+SQRT(B77*(Supuestos!$F$5-Supuestos!$D$5)*(Supuestos!$E$5-Supuestos!$D$5)),Supuestos!$F$5-SQRT((1-B77)*(Supuestos!$F$5-Supuestos!$D$5)*(Supuestos!$F$5-Supuestos!$E$5))),IF(Supuestos!$C$5="Uniforme",Supuestos!$D$5+B77*(Supuestos!$E$5-Supuestos!$D$5),IF(Supuestos!$C$5="Lognormal",LOGINV(B77,LN(Supuestos!$D$5)-LN(1+Supuestos!$E$5^2/Supuestos!$D$5^2)/2,SQRT(LN(1+Supuestos!$E$5^2/Supuestos!$D$5^2))),Supuestos!$D$5))))))</f>
        <v/>
      </c>
      <c r="J77" s="31">
        <f>MIN(IF(Supuestos!$H$6="",1E+99,Supuestos!$H$6),MAX(IF(Supuestos!$G$6="",-1E+99,Supuestos!$G$6),IF(Supuestos!$C$6="Normal",NORMINV(C77,Supuestos!$D$6,Supuestos!$E$6),IF(Supuestos!$C$6="Triangular",IF(C77&lt;(Supuestos!$E$6-Supuestos!$D$6)/(Supuestos!$F$6-Supuestos!$D$6),Supuestos!$D$6+SQRT(C77*(Supuestos!$F$6-Supuestos!$D$6)*(Supuestos!$E$6-Supuestos!$D$6)),Supuestos!$F$6-SQRT((1-C77)*(Supuestos!$F$6-Supuestos!$D$6)*(Supuestos!$F$6-Supuestos!$E$6))),IF(Supuestos!$C$6="Uniforme",Supuestos!$D$6+C77*(Supuestos!$E$6-Supuestos!$D$6),IF(Supuestos!$C$6="Lognormal",LOGINV(C77,LN(Supuestos!$D$6)-LN(1+Supuestos!$E$6^2/Supuestos!$D$6^2)/2,SQRT(LN(1+Supuestos!$E$6^2/Supuestos!$D$6^2))),Supuestos!$D$6))))))</f>
        <v/>
      </c>
      <c r="K77" s="32">
        <f>MIN(IF(Supuestos!$H$7="",1E+99,Supuestos!$H$7),MAX(IF(Supuestos!$G$7="",-1E+99,Supuestos!$G$7),IF(Supuestos!$C$7="Normal",NORMINV(D77,Supuestos!$D$7,Supuestos!$E$7),IF(Supuestos!$C$7="Triangular",IF(D77&lt;(Supuestos!$E$7-Supuestos!$D$7)/(Supuestos!$F$7-Supuestos!$D$7),Supuestos!$D$7+SQRT(D77*(Supuestos!$F$7-Supuestos!$D$7)*(Supuestos!$E$7-Supuestos!$D$7)),Supuestos!$F$7-SQRT((1-D77)*(Supuestos!$F$7-Supuestos!$D$7)*(Supuestos!$F$7-Supuestos!$E$7))),IF(Supuestos!$C$7="Uniforme",Supuestos!$D$7+D77*(Supuestos!$E$7-Supuestos!$D$7),IF(Supuestos!$C$7="Lognormal",LOGINV(D77,LN(Supuestos!$D$7)-LN(1+Supuestos!$E$7^2/Supuestos!$D$7^2)/2,SQRT(LN(1+Supuestos!$E$7^2/Supuestos!$D$7^2))),Supuestos!$D$7))))))</f>
        <v/>
      </c>
      <c r="L77" s="32">
        <f>MIN(IF(Supuestos!$H$8="",1E+99,Supuestos!$H$8),MAX(IF(Supuestos!$G$8="",-1E+99,Supuestos!$G$8),IF(Supuestos!$C$8="Normal",NORMINV(E77,Supuestos!$D$8,Supuestos!$E$8),IF(Supuestos!$C$8="Triangular",IF(E77&lt;(Supuestos!$E$8-Supuestos!$D$8)/(Supuestos!$F$8-Supuestos!$D$8),Supuestos!$D$8+SQRT(E77*(Supuestos!$F$8-Supuestos!$D$8)*(Supuestos!$E$8-Supuestos!$D$8)),Supuestos!$F$8-SQRT((1-E77)*(Supuestos!$F$8-Supuestos!$D$8)*(Supuestos!$F$8-Supuestos!$E$8))),IF(Supuestos!$C$8="Uniforme",Supuestos!$D$8+E77*(Supuestos!$E$8-Supuestos!$D$8),IF(Supuestos!$C$8="Lognormal",LOGINV(E77,LN(Supuestos!$D$8)-LN(1+Supuestos!$E$8^2/Supuestos!$D$8^2)/2,SQRT(LN(1+Supuestos!$E$8^2/Supuestos!$D$8^2))),Supuestos!$D$8))))))</f>
        <v/>
      </c>
      <c r="M77" s="32">
        <f>MIN(IF(Supuestos!$H$9="",1E+99,Supuestos!$H$9),MAX(IF(Supuestos!$G$9="",-1E+99,Supuestos!$G$9),IF(Supuestos!$C$9="Normal",NORMINV(F77,Supuestos!$D$9,Supuestos!$E$9),IF(Supuestos!$C$9="Triangular",IF(F77&lt;(Supuestos!$E$9-Supuestos!$D$9)/(Supuestos!$F$9-Supuestos!$D$9),Supuestos!$D$9+SQRT(F77*(Supuestos!$F$9-Supuestos!$D$9)*(Supuestos!$E$9-Supuestos!$D$9)),Supuestos!$F$9-SQRT((1-F77)*(Supuestos!$F$9-Supuestos!$D$9)*(Supuestos!$F$9-Supuestos!$E$9))),IF(Supuestos!$C$9="Uniforme",Supuestos!$D$9+F77*(Supuestos!$E$9-Supuestos!$D$9),IF(Supuestos!$C$9="Lognormal",LOGINV(F77,LN(Supuestos!$D$9)-LN(1+Supuestos!$E$9^2/Supuestos!$D$9^2)/2,SQRT(LN(1+Supuestos!$E$9^2/Supuestos!$D$9^2))),Supuestos!$D$9))))))</f>
        <v/>
      </c>
      <c r="N77" s="32">
        <f>MIN(IF(Supuestos!$H$10="",1E+99,Supuestos!$H$10),MAX(IF(Supuestos!$G$10="",-1E+99,Supuestos!$G$10),IF(Supuestos!$C$10="Normal",NORMINV(G77,Supuestos!$D$10,Supuestos!$E$10),IF(Supuestos!$C$10="Triangular",IF(G77&lt;(Supuestos!$E$10-Supuestos!$D$10)/(Supuestos!$F$10-Supuestos!$D$10),Supuestos!$D$10+SQRT(G77*(Supuestos!$F$10-Supuestos!$D$10)*(Supuestos!$E$10-Supuestos!$D$10)),Supuestos!$F$10-SQRT((1-G77)*(Supuestos!$F$10-Supuestos!$D$10)*(Supuestos!$F$10-Supuestos!$E$10))),IF(Supuestos!$C$10="Uniforme",Supuestos!$D$10+G77*(Supuestos!$E$10-Supuestos!$D$10),IF(Supuestos!$C$10="Lognormal",LOGINV(G77,LN(Supuestos!$D$10)-LN(1+Supuestos!$E$10^2/Supuestos!$D$10^2)/2,SQRT(LN(1+Supuestos!$E$10^2/Supuestos!$D$10^2))),Supuestos!$D$10))))))</f>
        <v/>
      </c>
      <c r="O77" s="31">
        <f>MIN(IF(Supuestos!$H$11="",1E+99,Supuestos!$H$11),MAX(IF(Supuestos!$G$11="",-1E+99,Supuestos!$G$11),IF(Supuestos!$C$11="Normal",NORMINV(H77,Supuestos!$D$11,Supuestos!$E$11),IF(Supuestos!$C$11="Triangular",IF(H77&lt;(Supuestos!$E$11-Supuestos!$D$11)/(Supuestos!$F$11-Supuestos!$D$11),Supuestos!$D$11+SQRT(H77*(Supuestos!$F$11-Supuestos!$D$11)*(Supuestos!$E$11-Supuestos!$D$11)),Supuestos!$F$11-SQRT((1-H77)*(Supuestos!$F$11-Supuestos!$D$11)*(Supuestos!$F$11-Supuestos!$E$11))),IF(Supuestos!$C$11="Uniforme",Supuestos!$D$11+H77*(Supuestos!$E$11-Supuestos!$D$11),IF(Supuestos!$C$11="Lognormal",LOGINV(H77,LN(Supuestos!$D$11)-LN(1+Supuestos!$E$11^2/Supuestos!$D$11^2)/2,SQRT(LN(1+Supuestos!$E$11^2/Supuestos!$D$11^2))),Supuestos!$D$11))))))</f>
        <v/>
      </c>
      <c r="P77" s="33">
        <f>-I77</f>
        <v/>
      </c>
      <c r="Q77" s="33">
        <f>$J77*(1+$K77)^(1-1)*(1-$L77)*(1-$M77)</f>
        <v/>
      </c>
      <c r="R77" s="33">
        <f>$J77*(1+$K77)^(2-1)*(1-$L77)*(1-$M77)</f>
        <v/>
      </c>
      <c r="S77" s="33">
        <f>$J77*(1+$K77)^(3-1)*(1-$L77)*(1-$M77)</f>
        <v/>
      </c>
      <c r="T77" s="33">
        <f>$J77*(1+$K77)^(4-1)*(1-$L77)*(1-$M77)</f>
        <v/>
      </c>
      <c r="U77" s="33">
        <f>$J77*(1+$K77)^(5-1)*(1-$L77)*(1-$M77)+$O77</f>
        <v/>
      </c>
      <c r="V77" s="33">
        <f>P77+NPV($N77,Q77:U77)</f>
        <v/>
      </c>
      <c r="W77" s="32">
        <f>IFERROR(IRR(P77:U77,0.1),"")</f>
        <v/>
      </c>
    </row>
    <row r="78">
      <c r="A78" s="14" t="n">
        <v>74</v>
      </c>
      <c r="B78" s="30">
        <f>RAND()*(1-2E-6)+1E-6</f>
        <v/>
      </c>
      <c r="C78" s="30">
        <f>RAND()*(1-2E-6)+1E-6</f>
        <v/>
      </c>
      <c r="D78" s="30">
        <f>RAND()*(1-2E-6)+1E-6</f>
        <v/>
      </c>
      <c r="E78" s="30">
        <f>RAND()*(1-2E-6)+1E-6</f>
        <v/>
      </c>
      <c r="F78" s="30">
        <f>RAND()*(1-2E-6)+1E-6</f>
        <v/>
      </c>
      <c r="G78" s="30">
        <f>RAND()*(1-2E-6)+1E-6</f>
        <v/>
      </c>
      <c r="H78" s="30">
        <f>RAND()*(1-2E-6)+1E-6</f>
        <v/>
      </c>
      <c r="I78" s="31">
        <f>MIN(IF(Supuestos!$H$5="",1E+99,Supuestos!$H$5),MAX(IF(Supuestos!$G$5="",-1E+99,Supuestos!$G$5),IF(Supuestos!$C$5="Normal",NORMINV(B78,Supuestos!$D$5,Supuestos!$E$5),IF(Supuestos!$C$5="Triangular",IF(B78&lt;(Supuestos!$E$5-Supuestos!$D$5)/(Supuestos!$F$5-Supuestos!$D$5),Supuestos!$D$5+SQRT(B78*(Supuestos!$F$5-Supuestos!$D$5)*(Supuestos!$E$5-Supuestos!$D$5)),Supuestos!$F$5-SQRT((1-B78)*(Supuestos!$F$5-Supuestos!$D$5)*(Supuestos!$F$5-Supuestos!$E$5))),IF(Supuestos!$C$5="Uniforme",Supuestos!$D$5+B78*(Supuestos!$E$5-Supuestos!$D$5),IF(Supuestos!$C$5="Lognormal",LOGINV(B78,LN(Supuestos!$D$5)-LN(1+Supuestos!$E$5^2/Supuestos!$D$5^2)/2,SQRT(LN(1+Supuestos!$E$5^2/Supuestos!$D$5^2))),Supuestos!$D$5))))))</f>
        <v/>
      </c>
      <c r="J78" s="31">
        <f>MIN(IF(Supuestos!$H$6="",1E+99,Supuestos!$H$6),MAX(IF(Supuestos!$G$6="",-1E+99,Supuestos!$G$6),IF(Supuestos!$C$6="Normal",NORMINV(C78,Supuestos!$D$6,Supuestos!$E$6),IF(Supuestos!$C$6="Triangular",IF(C78&lt;(Supuestos!$E$6-Supuestos!$D$6)/(Supuestos!$F$6-Supuestos!$D$6),Supuestos!$D$6+SQRT(C78*(Supuestos!$F$6-Supuestos!$D$6)*(Supuestos!$E$6-Supuestos!$D$6)),Supuestos!$F$6-SQRT((1-C78)*(Supuestos!$F$6-Supuestos!$D$6)*(Supuestos!$F$6-Supuestos!$E$6))),IF(Supuestos!$C$6="Uniforme",Supuestos!$D$6+C78*(Supuestos!$E$6-Supuestos!$D$6),IF(Supuestos!$C$6="Lognormal",LOGINV(C78,LN(Supuestos!$D$6)-LN(1+Supuestos!$E$6^2/Supuestos!$D$6^2)/2,SQRT(LN(1+Supuestos!$E$6^2/Supuestos!$D$6^2))),Supuestos!$D$6))))))</f>
        <v/>
      </c>
      <c r="K78" s="32">
        <f>MIN(IF(Supuestos!$H$7="",1E+99,Supuestos!$H$7),MAX(IF(Supuestos!$G$7="",-1E+99,Supuestos!$G$7),IF(Supuestos!$C$7="Normal",NORMINV(D78,Supuestos!$D$7,Supuestos!$E$7),IF(Supuestos!$C$7="Triangular",IF(D78&lt;(Supuestos!$E$7-Supuestos!$D$7)/(Supuestos!$F$7-Supuestos!$D$7),Supuestos!$D$7+SQRT(D78*(Supuestos!$F$7-Supuestos!$D$7)*(Supuestos!$E$7-Supuestos!$D$7)),Supuestos!$F$7-SQRT((1-D78)*(Supuestos!$F$7-Supuestos!$D$7)*(Supuestos!$F$7-Supuestos!$E$7))),IF(Supuestos!$C$7="Uniforme",Supuestos!$D$7+D78*(Supuestos!$E$7-Supuestos!$D$7),IF(Supuestos!$C$7="Lognormal",LOGINV(D78,LN(Supuestos!$D$7)-LN(1+Supuestos!$E$7^2/Supuestos!$D$7^2)/2,SQRT(LN(1+Supuestos!$E$7^2/Supuestos!$D$7^2))),Supuestos!$D$7))))))</f>
        <v/>
      </c>
      <c r="L78" s="32">
        <f>MIN(IF(Supuestos!$H$8="",1E+99,Supuestos!$H$8),MAX(IF(Supuestos!$G$8="",-1E+99,Supuestos!$G$8),IF(Supuestos!$C$8="Normal",NORMINV(E78,Supuestos!$D$8,Supuestos!$E$8),IF(Supuestos!$C$8="Triangular",IF(E78&lt;(Supuestos!$E$8-Supuestos!$D$8)/(Supuestos!$F$8-Supuestos!$D$8),Supuestos!$D$8+SQRT(E78*(Supuestos!$F$8-Supuestos!$D$8)*(Supuestos!$E$8-Supuestos!$D$8)),Supuestos!$F$8-SQRT((1-E78)*(Supuestos!$F$8-Supuestos!$D$8)*(Supuestos!$F$8-Supuestos!$E$8))),IF(Supuestos!$C$8="Uniforme",Supuestos!$D$8+E78*(Supuestos!$E$8-Supuestos!$D$8),IF(Supuestos!$C$8="Lognormal",LOGINV(E78,LN(Supuestos!$D$8)-LN(1+Supuestos!$E$8^2/Supuestos!$D$8^2)/2,SQRT(LN(1+Supuestos!$E$8^2/Supuestos!$D$8^2))),Supuestos!$D$8))))))</f>
        <v/>
      </c>
      <c r="M78" s="32">
        <f>MIN(IF(Supuestos!$H$9="",1E+99,Supuestos!$H$9),MAX(IF(Supuestos!$G$9="",-1E+99,Supuestos!$G$9),IF(Supuestos!$C$9="Normal",NORMINV(F78,Supuestos!$D$9,Supuestos!$E$9),IF(Supuestos!$C$9="Triangular",IF(F78&lt;(Supuestos!$E$9-Supuestos!$D$9)/(Supuestos!$F$9-Supuestos!$D$9),Supuestos!$D$9+SQRT(F78*(Supuestos!$F$9-Supuestos!$D$9)*(Supuestos!$E$9-Supuestos!$D$9)),Supuestos!$F$9-SQRT((1-F78)*(Supuestos!$F$9-Supuestos!$D$9)*(Supuestos!$F$9-Supuestos!$E$9))),IF(Supuestos!$C$9="Uniforme",Supuestos!$D$9+F78*(Supuestos!$E$9-Supuestos!$D$9),IF(Supuestos!$C$9="Lognormal",LOGINV(F78,LN(Supuestos!$D$9)-LN(1+Supuestos!$E$9^2/Supuestos!$D$9^2)/2,SQRT(LN(1+Supuestos!$E$9^2/Supuestos!$D$9^2))),Supuestos!$D$9))))))</f>
        <v/>
      </c>
      <c r="N78" s="32">
        <f>MIN(IF(Supuestos!$H$10="",1E+99,Supuestos!$H$10),MAX(IF(Supuestos!$G$10="",-1E+99,Supuestos!$G$10),IF(Supuestos!$C$10="Normal",NORMINV(G78,Supuestos!$D$10,Supuestos!$E$10),IF(Supuestos!$C$10="Triangular",IF(G78&lt;(Supuestos!$E$10-Supuestos!$D$10)/(Supuestos!$F$10-Supuestos!$D$10),Supuestos!$D$10+SQRT(G78*(Supuestos!$F$10-Supuestos!$D$10)*(Supuestos!$E$10-Supuestos!$D$10)),Supuestos!$F$10-SQRT((1-G78)*(Supuestos!$F$10-Supuestos!$D$10)*(Supuestos!$F$10-Supuestos!$E$10))),IF(Supuestos!$C$10="Uniforme",Supuestos!$D$10+G78*(Supuestos!$E$10-Supuestos!$D$10),IF(Supuestos!$C$10="Lognormal",LOGINV(G78,LN(Supuestos!$D$10)-LN(1+Supuestos!$E$10^2/Supuestos!$D$10^2)/2,SQRT(LN(1+Supuestos!$E$10^2/Supuestos!$D$10^2))),Supuestos!$D$10))))))</f>
        <v/>
      </c>
      <c r="O78" s="31">
        <f>MIN(IF(Supuestos!$H$11="",1E+99,Supuestos!$H$11),MAX(IF(Supuestos!$G$11="",-1E+99,Supuestos!$G$11),IF(Supuestos!$C$11="Normal",NORMINV(H78,Supuestos!$D$11,Supuestos!$E$11),IF(Supuestos!$C$11="Triangular",IF(H78&lt;(Supuestos!$E$11-Supuestos!$D$11)/(Supuestos!$F$11-Supuestos!$D$11),Supuestos!$D$11+SQRT(H78*(Supuestos!$F$11-Supuestos!$D$11)*(Supuestos!$E$11-Supuestos!$D$11)),Supuestos!$F$11-SQRT((1-H78)*(Supuestos!$F$11-Supuestos!$D$11)*(Supuestos!$F$11-Supuestos!$E$11))),IF(Supuestos!$C$11="Uniforme",Supuestos!$D$11+H78*(Supuestos!$E$11-Supuestos!$D$11),IF(Supuestos!$C$11="Lognormal",LOGINV(H78,LN(Supuestos!$D$11)-LN(1+Supuestos!$E$11^2/Supuestos!$D$11^2)/2,SQRT(LN(1+Supuestos!$E$11^2/Supuestos!$D$11^2))),Supuestos!$D$11))))))</f>
        <v/>
      </c>
      <c r="P78" s="33">
        <f>-I78</f>
        <v/>
      </c>
      <c r="Q78" s="33">
        <f>$J78*(1+$K78)^(1-1)*(1-$L78)*(1-$M78)</f>
        <v/>
      </c>
      <c r="R78" s="33">
        <f>$J78*(1+$K78)^(2-1)*(1-$L78)*(1-$M78)</f>
        <v/>
      </c>
      <c r="S78" s="33">
        <f>$J78*(1+$K78)^(3-1)*(1-$L78)*(1-$M78)</f>
        <v/>
      </c>
      <c r="T78" s="33">
        <f>$J78*(1+$K78)^(4-1)*(1-$L78)*(1-$M78)</f>
        <v/>
      </c>
      <c r="U78" s="33">
        <f>$J78*(1+$K78)^(5-1)*(1-$L78)*(1-$M78)+$O78</f>
        <v/>
      </c>
      <c r="V78" s="33">
        <f>P78+NPV($N78,Q78:U78)</f>
        <v/>
      </c>
      <c r="W78" s="32">
        <f>IFERROR(IRR(P78:U78,0.1),"")</f>
        <v/>
      </c>
    </row>
    <row r="79">
      <c r="A79" s="14" t="n">
        <v>75</v>
      </c>
      <c r="B79" s="30">
        <f>RAND()*(1-2E-6)+1E-6</f>
        <v/>
      </c>
      <c r="C79" s="30">
        <f>RAND()*(1-2E-6)+1E-6</f>
        <v/>
      </c>
      <c r="D79" s="30">
        <f>RAND()*(1-2E-6)+1E-6</f>
        <v/>
      </c>
      <c r="E79" s="30">
        <f>RAND()*(1-2E-6)+1E-6</f>
        <v/>
      </c>
      <c r="F79" s="30">
        <f>RAND()*(1-2E-6)+1E-6</f>
        <v/>
      </c>
      <c r="G79" s="30">
        <f>RAND()*(1-2E-6)+1E-6</f>
        <v/>
      </c>
      <c r="H79" s="30">
        <f>RAND()*(1-2E-6)+1E-6</f>
        <v/>
      </c>
      <c r="I79" s="31">
        <f>MIN(IF(Supuestos!$H$5="",1E+99,Supuestos!$H$5),MAX(IF(Supuestos!$G$5="",-1E+99,Supuestos!$G$5),IF(Supuestos!$C$5="Normal",NORMINV(B79,Supuestos!$D$5,Supuestos!$E$5),IF(Supuestos!$C$5="Triangular",IF(B79&lt;(Supuestos!$E$5-Supuestos!$D$5)/(Supuestos!$F$5-Supuestos!$D$5),Supuestos!$D$5+SQRT(B79*(Supuestos!$F$5-Supuestos!$D$5)*(Supuestos!$E$5-Supuestos!$D$5)),Supuestos!$F$5-SQRT((1-B79)*(Supuestos!$F$5-Supuestos!$D$5)*(Supuestos!$F$5-Supuestos!$E$5))),IF(Supuestos!$C$5="Uniforme",Supuestos!$D$5+B79*(Supuestos!$E$5-Supuestos!$D$5),IF(Supuestos!$C$5="Lognormal",LOGINV(B79,LN(Supuestos!$D$5)-LN(1+Supuestos!$E$5^2/Supuestos!$D$5^2)/2,SQRT(LN(1+Supuestos!$E$5^2/Supuestos!$D$5^2))),Supuestos!$D$5))))))</f>
        <v/>
      </c>
      <c r="J79" s="31">
        <f>MIN(IF(Supuestos!$H$6="",1E+99,Supuestos!$H$6),MAX(IF(Supuestos!$G$6="",-1E+99,Supuestos!$G$6),IF(Supuestos!$C$6="Normal",NORMINV(C79,Supuestos!$D$6,Supuestos!$E$6),IF(Supuestos!$C$6="Triangular",IF(C79&lt;(Supuestos!$E$6-Supuestos!$D$6)/(Supuestos!$F$6-Supuestos!$D$6),Supuestos!$D$6+SQRT(C79*(Supuestos!$F$6-Supuestos!$D$6)*(Supuestos!$E$6-Supuestos!$D$6)),Supuestos!$F$6-SQRT((1-C79)*(Supuestos!$F$6-Supuestos!$D$6)*(Supuestos!$F$6-Supuestos!$E$6))),IF(Supuestos!$C$6="Uniforme",Supuestos!$D$6+C79*(Supuestos!$E$6-Supuestos!$D$6),IF(Supuestos!$C$6="Lognormal",LOGINV(C79,LN(Supuestos!$D$6)-LN(1+Supuestos!$E$6^2/Supuestos!$D$6^2)/2,SQRT(LN(1+Supuestos!$E$6^2/Supuestos!$D$6^2))),Supuestos!$D$6))))))</f>
        <v/>
      </c>
      <c r="K79" s="32">
        <f>MIN(IF(Supuestos!$H$7="",1E+99,Supuestos!$H$7),MAX(IF(Supuestos!$G$7="",-1E+99,Supuestos!$G$7),IF(Supuestos!$C$7="Normal",NORMINV(D79,Supuestos!$D$7,Supuestos!$E$7),IF(Supuestos!$C$7="Triangular",IF(D79&lt;(Supuestos!$E$7-Supuestos!$D$7)/(Supuestos!$F$7-Supuestos!$D$7),Supuestos!$D$7+SQRT(D79*(Supuestos!$F$7-Supuestos!$D$7)*(Supuestos!$E$7-Supuestos!$D$7)),Supuestos!$F$7-SQRT((1-D79)*(Supuestos!$F$7-Supuestos!$D$7)*(Supuestos!$F$7-Supuestos!$E$7))),IF(Supuestos!$C$7="Uniforme",Supuestos!$D$7+D79*(Supuestos!$E$7-Supuestos!$D$7),IF(Supuestos!$C$7="Lognormal",LOGINV(D79,LN(Supuestos!$D$7)-LN(1+Supuestos!$E$7^2/Supuestos!$D$7^2)/2,SQRT(LN(1+Supuestos!$E$7^2/Supuestos!$D$7^2))),Supuestos!$D$7))))))</f>
        <v/>
      </c>
      <c r="L79" s="32">
        <f>MIN(IF(Supuestos!$H$8="",1E+99,Supuestos!$H$8),MAX(IF(Supuestos!$G$8="",-1E+99,Supuestos!$G$8),IF(Supuestos!$C$8="Normal",NORMINV(E79,Supuestos!$D$8,Supuestos!$E$8),IF(Supuestos!$C$8="Triangular",IF(E79&lt;(Supuestos!$E$8-Supuestos!$D$8)/(Supuestos!$F$8-Supuestos!$D$8),Supuestos!$D$8+SQRT(E79*(Supuestos!$F$8-Supuestos!$D$8)*(Supuestos!$E$8-Supuestos!$D$8)),Supuestos!$F$8-SQRT((1-E79)*(Supuestos!$F$8-Supuestos!$D$8)*(Supuestos!$F$8-Supuestos!$E$8))),IF(Supuestos!$C$8="Uniforme",Supuestos!$D$8+E79*(Supuestos!$E$8-Supuestos!$D$8),IF(Supuestos!$C$8="Lognormal",LOGINV(E79,LN(Supuestos!$D$8)-LN(1+Supuestos!$E$8^2/Supuestos!$D$8^2)/2,SQRT(LN(1+Supuestos!$E$8^2/Supuestos!$D$8^2))),Supuestos!$D$8))))))</f>
        <v/>
      </c>
      <c r="M79" s="32">
        <f>MIN(IF(Supuestos!$H$9="",1E+99,Supuestos!$H$9),MAX(IF(Supuestos!$G$9="",-1E+99,Supuestos!$G$9),IF(Supuestos!$C$9="Normal",NORMINV(F79,Supuestos!$D$9,Supuestos!$E$9),IF(Supuestos!$C$9="Triangular",IF(F79&lt;(Supuestos!$E$9-Supuestos!$D$9)/(Supuestos!$F$9-Supuestos!$D$9),Supuestos!$D$9+SQRT(F79*(Supuestos!$F$9-Supuestos!$D$9)*(Supuestos!$E$9-Supuestos!$D$9)),Supuestos!$F$9-SQRT((1-F79)*(Supuestos!$F$9-Supuestos!$D$9)*(Supuestos!$F$9-Supuestos!$E$9))),IF(Supuestos!$C$9="Uniforme",Supuestos!$D$9+F79*(Supuestos!$E$9-Supuestos!$D$9),IF(Supuestos!$C$9="Lognormal",LOGINV(F79,LN(Supuestos!$D$9)-LN(1+Supuestos!$E$9^2/Supuestos!$D$9^2)/2,SQRT(LN(1+Supuestos!$E$9^2/Supuestos!$D$9^2))),Supuestos!$D$9))))))</f>
        <v/>
      </c>
      <c r="N79" s="32">
        <f>MIN(IF(Supuestos!$H$10="",1E+99,Supuestos!$H$10),MAX(IF(Supuestos!$G$10="",-1E+99,Supuestos!$G$10),IF(Supuestos!$C$10="Normal",NORMINV(G79,Supuestos!$D$10,Supuestos!$E$10),IF(Supuestos!$C$10="Triangular",IF(G79&lt;(Supuestos!$E$10-Supuestos!$D$10)/(Supuestos!$F$10-Supuestos!$D$10),Supuestos!$D$10+SQRT(G79*(Supuestos!$F$10-Supuestos!$D$10)*(Supuestos!$E$10-Supuestos!$D$10)),Supuestos!$F$10-SQRT((1-G79)*(Supuestos!$F$10-Supuestos!$D$10)*(Supuestos!$F$10-Supuestos!$E$10))),IF(Supuestos!$C$10="Uniforme",Supuestos!$D$10+G79*(Supuestos!$E$10-Supuestos!$D$10),IF(Supuestos!$C$10="Lognormal",LOGINV(G79,LN(Supuestos!$D$10)-LN(1+Supuestos!$E$10^2/Supuestos!$D$10^2)/2,SQRT(LN(1+Supuestos!$E$10^2/Supuestos!$D$10^2))),Supuestos!$D$10))))))</f>
        <v/>
      </c>
      <c r="O79" s="31">
        <f>MIN(IF(Supuestos!$H$11="",1E+99,Supuestos!$H$11),MAX(IF(Supuestos!$G$11="",-1E+99,Supuestos!$G$11),IF(Supuestos!$C$11="Normal",NORMINV(H79,Supuestos!$D$11,Supuestos!$E$11),IF(Supuestos!$C$11="Triangular",IF(H79&lt;(Supuestos!$E$11-Supuestos!$D$11)/(Supuestos!$F$11-Supuestos!$D$11),Supuestos!$D$11+SQRT(H79*(Supuestos!$F$11-Supuestos!$D$11)*(Supuestos!$E$11-Supuestos!$D$11)),Supuestos!$F$11-SQRT((1-H79)*(Supuestos!$F$11-Supuestos!$D$11)*(Supuestos!$F$11-Supuestos!$E$11))),IF(Supuestos!$C$11="Uniforme",Supuestos!$D$11+H79*(Supuestos!$E$11-Supuestos!$D$11),IF(Supuestos!$C$11="Lognormal",LOGINV(H79,LN(Supuestos!$D$11)-LN(1+Supuestos!$E$11^2/Supuestos!$D$11^2)/2,SQRT(LN(1+Supuestos!$E$11^2/Supuestos!$D$11^2))),Supuestos!$D$11))))))</f>
        <v/>
      </c>
      <c r="P79" s="33">
        <f>-I79</f>
        <v/>
      </c>
      <c r="Q79" s="33">
        <f>$J79*(1+$K79)^(1-1)*(1-$L79)*(1-$M79)</f>
        <v/>
      </c>
      <c r="R79" s="33">
        <f>$J79*(1+$K79)^(2-1)*(1-$L79)*(1-$M79)</f>
        <v/>
      </c>
      <c r="S79" s="33">
        <f>$J79*(1+$K79)^(3-1)*(1-$L79)*(1-$M79)</f>
        <v/>
      </c>
      <c r="T79" s="33">
        <f>$J79*(1+$K79)^(4-1)*(1-$L79)*(1-$M79)</f>
        <v/>
      </c>
      <c r="U79" s="33">
        <f>$J79*(1+$K79)^(5-1)*(1-$L79)*(1-$M79)+$O79</f>
        <v/>
      </c>
      <c r="V79" s="33">
        <f>P79+NPV($N79,Q79:U79)</f>
        <v/>
      </c>
      <c r="W79" s="32">
        <f>IFERROR(IRR(P79:U79,0.1),"")</f>
        <v/>
      </c>
    </row>
    <row r="80">
      <c r="A80" s="14" t="n">
        <v>76</v>
      </c>
      <c r="B80" s="30">
        <f>RAND()*(1-2E-6)+1E-6</f>
        <v/>
      </c>
      <c r="C80" s="30">
        <f>RAND()*(1-2E-6)+1E-6</f>
        <v/>
      </c>
      <c r="D80" s="30">
        <f>RAND()*(1-2E-6)+1E-6</f>
        <v/>
      </c>
      <c r="E80" s="30">
        <f>RAND()*(1-2E-6)+1E-6</f>
        <v/>
      </c>
      <c r="F80" s="30">
        <f>RAND()*(1-2E-6)+1E-6</f>
        <v/>
      </c>
      <c r="G80" s="30">
        <f>RAND()*(1-2E-6)+1E-6</f>
        <v/>
      </c>
      <c r="H80" s="30">
        <f>RAND()*(1-2E-6)+1E-6</f>
        <v/>
      </c>
      <c r="I80" s="31">
        <f>MIN(IF(Supuestos!$H$5="",1E+99,Supuestos!$H$5),MAX(IF(Supuestos!$G$5="",-1E+99,Supuestos!$G$5),IF(Supuestos!$C$5="Normal",NORMINV(B80,Supuestos!$D$5,Supuestos!$E$5),IF(Supuestos!$C$5="Triangular",IF(B80&lt;(Supuestos!$E$5-Supuestos!$D$5)/(Supuestos!$F$5-Supuestos!$D$5),Supuestos!$D$5+SQRT(B80*(Supuestos!$F$5-Supuestos!$D$5)*(Supuestos!$E$5-Supuestos!$D$5)),Supuestos!$F$5-SQRT((1-B80)*(Supuestos!$F$5-Supuestos!$D$5)*(Supuestos!$F$5-Supuestos!$E$5))),IF(Supuestos!$C$5="Uniforme",Supuestos!$D$5+B80*(Supuestos!$E$5-Supuestos!$D$5),IF(Supuestos!$C$5="Lognormal",LOGINV(B80,LN(Supuestos!$D$5)-LN(1+Supuestos!$E$5^2/Supuestos!$D$5^2)/2,SQRT(LN(1+Supuestos!$E$5^2/Supuestos!$D$5^2))),Supuestos!$D$5))))))</f>
        <v/>
      </c>
      <c r="J80" s="31">
        <f>MIN(IF(Supuestos!$H$6="",1E+99,Supuestos!$H$6),MAX(IF(Supuestos!$G$6="",-1E+99,Supuestos!$G$6),IF(Supuestos!$C$6="Normal",NORMINV(C80,Supuestos!$D$6,Supuestos!$E$6),IF(Supuestos!$C$6="Triangular",IF(C80&lt;(Supuestos!$E$6-Supuestos!$D$6)/(Supuestos!$F$6-Supuestos!$D$6),Supuestos!$D$6+SQRT(C80*(Supuestos!$F$6-Supuestos!$D$6)*(Supuestos!$E$6-Supuestos!$D$6)),Supuestos!$F$6-SQRT((1-C80)*(Supuestos!$F$6-Supuestos!$D$6)*(Supuestos!$F$6-Supuestos!$E$6))),IF(Supuestos!$C$6="Uniforme",Supuestos!$D$6+C80*(Supuestos!$E$6-Supuestos!$D$6),IF(Supuestos!$C$6="Lognormal",LOGINV(C80,LN(Supuestos!$D$6)-LN(1+Supuestos!$E$6^2/Supuestos!$D$6^2)/2,SQRT(LN(1+Supuestos!$E$6^2/Supuestos!$D$6^2))),Supuestos!$D$6))))))</f>
        <v/>
      </c>
      <c r="K80" s="32">
        <f>MIN(IF(Supuestos!$H$7="",1E+99,Supuestos!$H$7),MAX(IF(Supuestos!$G$7="",-1E+99,Supuestos!$G$7),IF(Supuestos!$C$7="Normal",NORMINV(D80,Supuestos!$D$7,Supuestos!$E$7),IF(Supuestos!$C$7="Triangular",IF(D80&lt;(Supuestos!$E$7-Supuestos!$D$7)/(Supuestos!$F$7-Supuestos!$D$7),Supuestos!$D$7+SQRT(D80*(Supuestos!$F$7-Supuestos!$D$7)*(Supuestos!$E$7-Supuestos!$D$7)),Supuestos!$F$7-SQRT((1-D80)*(Supuestos!$F$7-Supuestos!$D$7)*(Supuestos!$F$7-Supuestos!$E$7))),IF(Supuestos!$C$7="Uniforme",Supuestos!$D$7+D80*(Supuestos!$E$7-Supuestos!$D$7),IF(Supuestos!$C$7="Lognormal",LOGINV(D80,LN(Supuestos!$D$7)-LN(1+Supuestos!$E$7^2/Supuestos!$D$7^2)/2,SQRT(LN(1+Supuestos!$E$7^2/Supuestos!$D$7^2))),Supuestos!$D$7))))))</f>
        <v/>
      </c>
      <c r="L80" s="32">
        <f>MIN(IF(Supuestos!$H$8="",1E+99,Supuestos!$H$8),MAX(IF(Supuestos!$G$8="",-1E+99,Supuestos!$G$8),IF(Supuestos!$C$8="Normal",NORMINV(E80,Supuestos!$D$8,Supuestos!$E$8),IF(Supuestos!$C$8="Triangular",IF(E80&lt;(Supuestos!$E$8-Supuestos!$D$8)/(Supuestos!$F$8-Supuestos!$D$8),Supuestos!$D$8+SQRT(E80*(Supuestos!$F$8-Supuestos!$D$8)*(Supuestos!$E$8-Supuestos!$D$8)),Supuestos!$F$8-SQRT((1-E80)*(Supuestos!$F$8-Supuestos!$D$8)*(Supuestos!$F$8-Supuestos!$E$8))),IF(Supuestos!$C$8="Uniforme",Supuestos!$D$8+E80*(Supuestos!$E$8-Supuestos!$D$8),IF(Supuestos!$C$8="Lognormal",LOGINV(E80,LN(Supuestos!$D$8)-LN(1+Supuestos!$E$8^2/Supuestos!$D$8^2)/2,SQRT(LN(1+Supuestos!$E$8^2/Supuestos!$D$8^2))),Supuestos!$D$8))))))</f>
        <v/>
      </c>
      <c r="M80" s="32">
        <f>MIN(IF(Supuestos!$H$9="",1E+99,Supuestos!$H$9),MAX(IF(Supuestos!$G$9="",-1E+99,Supuestos!$G$9),IF(Supuestos!$C$9="Normal",NORMINV(F80,Supuestos!$D$9,Supuestos!$E$9),IF(Supuestos!$C$9="Triangular",IF(F80&lt;(Supuestos!$E$9-Supuestos!$D$9)/(Supuestos!$F$9-Supuestos!$D$9),Supuestos!$D$9+SQRT(F80*(Supuestos!$F$9-Supuestos!$D$9)*(Supuestos!$E$9-Supuestos!$D$9)),Supuestos!$F$9-SQRT((1-F80)*(Supuestos!$F$9-Supuestos!$D$9)*(Supuestos!$F$9-Supuestos!$E$9))),IF(Supuestos!$C$9="Uniforme",Supuestos!$D$9+F80*(Supuestos!$E$9-Supuestos!$D$9),IF(Supuestos!$C$9="Lognormal",LOGINV(F80,LN(Supuestos!$D$9)-LN(1+Supuestos!$E$9^2/Supuestos!$D$9^2)/2,SQRT(LN(1+Supuestos!$E$9^2/Supuestos!$D$9^2))),Supuestos!$D$9))))))</f>
        <v/>
      </c>
      <c r="N80" s="32">
        <f>MIN(IF(Supuestos!$H$10="",1E+99,Supuestos!$H$10),MAX(IF(Supuestos!$G$10="",-1E+99,Supuestos!$G$10),IF(Supuestos!$C$10="Normal",NORMINV(G80,Supuestos!$D$10,Supuestos!$E$10),IF(Supuestos!$C$10="Triangular",IF(G80&lt;(Supuestos!$E$10-Supuestos!$D$10)/(Supuestos!$F$10-Supuestos!$D$10),Supuestos!$D$10+SQRT(G80*(Supuestos!$F$10-Supuestos!$D$10)*(Supuestos!$E$10-Supuestos!$D$10)),Supuestos!$F$10-SQRT((1-G80)*(Supuestos!$F$10-Supuestos!$D$10)*(Supuestos!$F$10-Supuestos!$E$10))),IF(Supuestos!$C$10="Uniforme",Supuestos!$D$10+G80*(Supuestos!$E$10-Supuestos!$D$10),IF(Supuestos!$C$10="Lognormal",LOGINV(G80,LN(Supuestos!$D$10)-LN(1+Supuestos!$E$10^2/Supuestos!$D$10^2)/2,SQRT(LN(1+Supuestos!$E$10^2/Supuestos!$D$10^2))),Supuestos!$D$10))))))</f>
        <v/>
      </c>
      <c r="O80" s="31">
        <f>MIN(IF(Supuestos!$H$11="",1E+99,Supuestos!$H$11),MAX(IF(Supuestos!$G$11="",-1E+99,Supuestos!$G$11),IF(Supuestos!$C$11="Normal",NORMINV(H80,Supuestos!$D$11,Supuestos!$E$11),IF(Supuestos!$C$11="Triangular",IF(H80&lt;(Supuestos!$E$11-Supuestos!$D$11)/(Supuestos!$F$11-Supuestos!$D$11),Supuestos!$D$11+SQRT(H80*(Supuestos!$F$11-Supuestos!$D$11)*(Supuestos!$E$11-Supuestos!$D$11)),Supuestos!$F$11-SQRT((1-H80)*(Supuestos!$F$11-Supuestos!$D$11)*(Supuestos!$F$11-Supuestos!$E$11))),IF(Supuestos!$C$11="Uniforme",Supuestos!$D$11+H80*(Supuestos!$E$11-Supuestos!$D$11),IF(Supuestos!$C$11="Lognormal",LOGINV(H80,LN(Supuestos!$D$11)-LN(1+Supuestos!$E$11^2/Supuestos!$D$11^2)/2,SQRT(LN(1+Supuestos!$E$11^2/Supuestos!$D$11^2))),Supuestos!$D$11))))))</f>
        <v/>
      </c>
      <c r="P80" s="33">
        <f>-I80</f>
        <v/>
      </c>
      <c r="Q80" s="33">
        <f>$J80*(1+$K80)^(1-1)*(1-$L80)*(1-$M80)</f>
        <v/>
      </c>
      <c r="R80" s="33">
        <f>$J80*(1+$K80)^(2-1)*(1-$L80)*(1-$M80)</f>
        <v/>
      </c>
      <c r="S80" s="33">
        <f>$J80*(1+$K80)^(3-1)*(1-$L80)*(1-$M80)</f>
        <v/>
      </c>
      <c r="T80" s="33">
        <f>$J80*(1+$K80)^(4-1)*(1-$L80)*(1-$M80)</f>
        <v/>
      </c>
      <c r="U80" s="33">
        <f>$J80*(1+$K80)^(5-1)*(1-$L80)*(1-$M80)+$O80</f>
        <v/>
      </c>
      <c r="V80" s="33">
        <f>P80+NPV($N80,Q80:U80)</f>
        <v/>
      </c>
      <c r="W80" s="32">
        <f>IFERROR(IRR(P80:U80,0.1),"")</f>
        <v/>
      </c>
    </row>
    <row r="81">
      <c r="A81" s="14" t="n">
        <v>77</v>
      </c>
      <c r="B81" s="30">
        <f>RAND()*(1-2E-6)+1E-6</f>
        <v/>
      </c>
      <c r="C81" s="30">
        <f>RAND()*(1-2E-6)+1E-6</f>
        <v/>
      </c>
      <c r="D81" s="30">
        <f>RAND()*(1-2E-6)+1E-6</f>
        <v/>
      </c>
      <c r="E81" s="30">
        <f>RAND()*(1-2E-6)+1E-6</f>
        <v/>
      </c>
      <c r="F81" s="30">
        <f>RAND()*(1-2E-6)+1E-6</f>
        <v/>
      </c>
      <c r="G81" s="30">
        <f>RAND()*(1-2E-6)+1E-6</f>
        <v/>
      </c>
      <c r="H81" s="30">
        <f>RAND()*(1-2E-6)+1E-6</f>
        <v/>
      </c>
      <c r="I81" s="31">
        <f>MIN(IF(Supuestos!$H$5="",1E+99,Supuestos!$H$5),MAX(IF(Supuestos!$G$5="",-1E+99,Supuestos!$G$5),IF(Supuestos!$C$5="Normal",NORMINV(B81,Supuestos!$D$5,Supuestos!$E$5),IF(Supuestos!$C$5="Triangular",IF(B81&lt;(Supuestos!$E$5-Supuestos!$D$5)/(Supuestos!$F$5-Supuestos!$D$5),Supuestos!$D$5+SQRT(B81*(Supuestos!$F$5-Supuestos!$D$5)*(Supuestos!$E$5-Supuestos!$D$5)),Supuestos!$F$5-SQRT((1-B81)*(Supuestos!$F$5-Supuestos!$D$5)*(Supuestos!$F$5-Supuestos!$E$5))),IF(Supuestos!$C$5="Uniforme",Supuestos!$D$5+B81*(Supuestos!$E$5-Supuestos!$D$5),IF(Supuestos!$C$5="Lognormal",LOGINV(B81,LN(Supuestos!$D$5)-LN(1+Supuestos!$E$5^2/Supuestos!$D$5^2)/2,SQRT(LN(1+Supuestos!$E$5^2/Supuestos!$D$5^2))),Supuestos!$D$5))))))</f>
        <v/>
      </c>
      <c r="J81" s="31">
        <f>MIN(IF(Supuestos!$H$6="",1E+99,Supuestos!$H$6),MAX(IF(Supuestos!$G$6="",-1E+99,Supuestos!$G$6),IF(Supuestos!$C$6="Normal",NORMINV(C81,Supuestos!$D$6,Supuestos!$E$6),IF(Supuestos!$C$6="Triangular",IF(C81&lt;(Supuestos!$E$6-Supuestos!$D$6)/(Supuestos!$F$6-Supuestos!$D$6),Supuestos!$D$6+SQRT(C81*(Supuestos!$F$6-Supuestos!$D$6)*(Supuestos!$E$6-Supuestos!$D$6)),Supuestos!$F$6-SQRT((1-C81)*(Supuestos!$F$6-Supuestos!$D$6)*(Supuestos!$F$6-Supuestos!$E$6))),IF(Supuestos!$C$6="Uniforme",Supuestos!$D$6+C81*(Supuestos!$E$6-Supuestos!$D$6),IF(Supuestos!$C$6="Lognormal",LOGINV(C81,LN(Supuestos!$D$6)-LN(1+Supuestos!$E$6^2/Supuestos!$D$6^2)/2,SQRT(LN(1+Supuestos!$E$6^2/Supuestos!$D$6^2))),Supuestos!$D$6))))))</f>
        <v/>
      </c>
      <c r="K81" s="32">
        <f>MIN(IF(Supuestos!$H$7="",1E+99,Supuestos!$H$7),MAX(IF(Supuestos!$G$7="",-1E+99,Supuestos!$G$7),IF(Supuestos!$C$7="Normal",NORMINV(D81,Supuestos!$D$7,Supuestos!$E$7),IF(Supuestos!$C$7="Triangular",IF(D81&lt;(Supuestos!$E$7-Supuestos!$D$7)/(Supuestos!$F$7-Supuestos!$D$7),Supuestos!$D$7+SQRT(D81*(Supuestos!$F$7-Supuestos!$D$7)*(Supuestos!$E$7-Supuestos!$D$7)),Supuestos!$F$7-SQRT((1-D81)*(Supuestos!$F$7-Supuestos!$D$7)*(Supuestos!$F$7-Supuestos!$E$7))),IF(Supuestos!$C$7="Uniforme",Supuestos!$D$7+D81*(Supuestos!$E$7-Supuestos!$D$7),IF(Supuestos!$C$7="Lognormal",LOGINV(D81,LN(Supuestos!$D$7)-LN(1+Supuestos!$E$7^2/Supuestos!$D$7^2)/2,SQRT(LN(1+Supuestos!$E$7^2/Supuestos!$D$7^2))),Supuestos!$D$7))))))</f>
        <v/>
      </c>
      <c r="L81" s="32">
        <f>MIN(IF(Supuestos!$H$8="",1E+99,Supuestos!$H$8),MAX(IF(Supuestos!$G$8="",-1E+99,Supuestos!$G$8),IF(Supuestos!$C$8="Normal",NORMINV(E81,Supuestos!$D$8,Supuestos!$E$8),IF(Supuestos!$C$8="Triangular",IF(E81&lt;(Supuestos!$E$8-Supuestos!$D$8)/(Supuestos!$F$8-Supuestos!$D$8),Supuestos!$D$8+SQRT(E81*(Supuestos!$F$8-Supuestos!$D$8)*(Supuestos!$E$8-Supuestos!$D$8)),Supuestos!$F$8-SQRT((1-E81)*(Supuestos!$F$8-Supuestos!$D$8)*(Supuestos!$F$8-Supuestos!$E$8))),IF(Supuestos!$C$8="Uniforme",Supuestos!$D$8+E81*(Supuestos!$E$8-Supuestos!$D$8),IF(Supuestos!$C$8="Lognormal",LOGINV(E81,LN(Supuestos!$D$8)-LN(1+Supuestos!$E$8^2/Supuestos!$D$8^2)/2,SQRT(LN(1+Supuestos!$E$8^2/Supuestos!$D$8^2))),Supuestos!$D$8))))))</f>
        <v/>
      </c>
      <c r="M81" s="32">
        <f>MIN(IF(Supuestos!$H$9="",1E+99,Supuestos!$H$9),MAX(IF(Supuestos!$G$9="",-1E+99,Supuestos!$G$9),IF(Supuestos!$C$9="Normal",NORMINV(F81,Supuestos!$D$9,Supuestos!$E$9),IF(Supuestos!$C$9="Triangular",IF(F81&lt;(Supuestos!$E$9-Supuestos!$D$9)/(Supuestos!$F$9-Supuestos!$D$9),Supuestos!$D$9+SQRT(F81*(Supuestos!$F$9-Supuestos!$D$9)*(Supuestos!$E$9-Supuestos!$D$9)),Supuestos!$F$9-SQRT((1-F81)*(Supuestos!$F$9-Supuestos!$D$9)*(Supuestos!$F$9-Supuestos!$E$9))),IF(Supuestos!$C$9="Uniforme",Supuestos!$D$9+F81*(Supuestos!$E$9-Supuestos!$D$9),IF(Supuestos!$C$9="Lognormal",LOGINV(F81,LN(Supuestos!$D$9)-LN(1+Supuestos!$E$9^2/Supuestos!$D$9^2)/2,SQRT(LN(1+Supuestos!$E$9^2/Supuestos!$D$9^2))),Supuestos!$D$9))))))</f>
        <v/>
      </c>
      <c r="N81" s="32">
        <f>MIN(IF(Supuestos!$H$10="",1E+99,Supuestos!$H$10),MAX(IF(Supuestos!$G$10="",-1E+99,Supuestos!$G$10),IF(Supuestos!$C$10="Normal",NORMINV(G81,Supuestos!$D$10,Supuestos!$E$10),IF(Supuestos!$C$10="Triangular",IF(G81&lt;(Supuestos!$E$10-Supuestos!$D$10)/(Supuestos!$F$10-Supuestos!$D$10),Supuestos!$D$10+SQRT(G81*(Supuestos!$F$10-Supuestos!$D$10)*(Supuestos!$E$10-Supuestos!$D$10)),Supuestos!$F$10-SQRT((1-G81)*(Supuestos!$F$10-Supuestos!$D$10)*(Supuestos!$F$10-Supuestos!$E$10))),IF(Supuestos!$C$10="Uniforme",Supuestos!$D$10+G81*(Supuestos!$E$10-Supuestos!$D$10),IF(Supuestos!$C$10="Lognormal",LOGINV(G81,LN(Supuestos!$D$10)-LN(1+Supuestos!$E$10^2/Supuestos!$D$10^2)/2,SQRT(LN(1+Supuestos!$E$10^2/Supuestos!$D$10^2))),Supuestos!$D$10))))))</f>
        <v/>
      </c>
      <c r="O81" s="31">
        <f>MIN(IF(Supuestos!$H$11="",1E+99,Supuestos!$H$11),MAX(IF(Supuestos!$G$11="",-1E+99,Supuestos!$G$11),IF(Supuestos!$C$11="Normal",NORMINV(H81,Supuestos!$D$11,Supuestos!$E$11),IF(Supuestos!$C$11="Triangular",IF(H81&lt;(Supuestos!$E$11-Supuestos!$D$11)/(Supuestos!$F$11-Supuestos!$D$11),Supuestos!$D$11+SQRT(H81*(Supuestos!$F$11-Supuestos!$D$11)*(Supuestos!$E$11-Supuestos!$D$11)),Supuestos!$F$11-SQRT((1-H81)*(Supuestos!$F$11-Supuestos!$D$11)*(Supuestos!$F$11-Supuestos!$E$11))),IF(Supuestos!$C$11="Uniforme",Supuestos!$D$11+H81*(Supuestos!$E$11-Supuestos!$D$11),IF(Supuestos!$C$11="Lognormal",LOGINV(H81,LN(Supuestos!$D$11)-LN(1+Supuestos!$E$11^2/Supuestos!$D$11^2)/2,SQRT(LN(1+Supuestos!$E$11^2/Supuestos!$D$11^2))),Supuestos!$D$11))))))</f>
        <v/>
      </c>
      <c r="P81" s="33">
        <f>-I81</f>
        <v/>
      </c>
      <c r="Q81" s="33">
        <f>$J81*(1+$K81)^(1-1)*(1-$L81)*(1-$M81)</f>
        <v/>
      </c>
      <c r="R81" s="33">
        <f>$J81*(1+$K81)^(2-1)*(1-$L81)*(1-$M81)</f>
        <v/>
      </c>
      <c r="S81" s="33">
        <f>$J81*(1+$K81)^(3-1)*(1-$L81)*(1-$M81)</f>
        <v/>
      </c>
      <c r="T81" s="33">
        <f>$J81*(1+$K81)^(4-1)*(1-$L81)*(1-$M81)</f>
        <v/>
      </c>
      <c r="U81" s="33">
        <f>$J81*(1+$K81)^(5-1)*(1-$L81)*(1-$M81)+$O81</f>
        <v/>
      </c>
      <c r="V81" s="33">
        <f>P81+NPV($N81,Q81:U81)</f>
        <v/>
      </c>
      <c r="W81" s="32">
        <f>IFERROR(IRR(P81:U81,0.1),"")</f>
        <v/>
      </c>
    </row>
    <row r="82">
      <c r="A82" s="14" t="n">
        <v>78</v>
      </c>
      <c r="B82" s="30">
        <f>RAND()*(1-2E-6)+1E-6</f>
        <v/>
      </c>
      <c r="C82" s="30">
        <f>RAND()*(1-2E-6)+1E-6</f>
        <v/>
      </c>
      <c r="D82" s="30">
        <f>RAND()*(1-2E-6)+1E-6</f>
        <v/>
      </c>
      <c r="E82" s="30">
        <f>RAND()*(1-2E-6)+1E-6</f>
        <v/>
      </c>
      <c r="F82" s="30">
        <f>RAND()*(1-2E-6)+1E-6</f>
        <v/>
      </c>
      <c r="G82" s="30">
        <f>RAND()*(1-2E-6)+1E-6</f>
        <v/>
      </c>
      <c r="H82" s="30">
        <f>RAND()*(1-2E-6)+1E-6</f>
        <v/>
      </c>
      <c r="I82" s="31">
        <f>MIN(IF(Supuestos!$H$5="",1E+99,Supuestos!$H$5),MAX(IF(Supuestos!$G$5="",-1E+99,Supuestos!$G$5),IF(Supuestos!$C$5="Normal",NORMINV(B82,Supuestos!$D$5,Supuestos!$E$5),IF(Supuestos!$C$5="Triangular",IF(B82&lt;(Supuestos!$E$5-Supuestos!$D$5)/(Supuestos!$F$5-Supuestos!$D$5),Supuestos!$D$5+SQRT(B82*(Supuestos!$F$5-Supuestos!$D$5)*(Supuestos!$E$5-Supuestos!$D$5)),Supuestos!$F$5-SQRT((1-B82)*(Supuestos!$F$5-Supuestos!$D$5)*(Supuestos!$F$5-Supuestos!$E$5))),IF(Supuestos!$C$5="Uniforme",Supuestos!$D$5+B82*(Supuestos!$E$5-Supuestos!$D$5),IF(Supuestos!$C$5="Lognormal",LOGINV(B82,LN(Supuestos!$D$5)-LN(1+Supuestos!$E$5^2/Supuestos!$D$5^2)/2,SQRT(LN(1+Supuestos!$E$5^2/Supuestos!$D$5^2))),Supuestos!$D$5))))))</f>
        <v/>
      </c>
      <c r="J82" s="31">
        <f>MIN(IF(Supuestos!$H$6="",1E+99,Supuestos!$H$6),MAX(IF(Supuestos!$G$6="",-1E+99,Supuestos!$G$6),IF(Supuestos!$C$6="Normal",NORMINV(C82,Supuestos!$D$6,Supuestos!$E$6),IF(Supuestos!$C$6="Triangular",IF(C82&lt;(Supuestos!$E$6-Supuestos!$D$6)/(Supuestos!$F$6-Supuestos!$D$6),Supuestos!$D$6+SQRT(C82*(Supuestos!$F$6-Supuestos!$D$6)*(Supuestos!$E$6-Supuestos!$D$6)),Supuestos!$F$6-SQRT((1-C82)*(Supuestos!$F$6-Supuestos!$D$6)*(Supuestos!$F$6-Supuestos!$E$6))),IF(Supuestos!$C$6="Uniforme",Supuestos!$D$6+C82*(Supuestos!$E$6-Supuestos!$D$6),IF(Supuestos!$C$6="Lognormal",LOGINV(C82,LN(Supuestos!$D$6)-LN(1+Supuestos!$E$6^2/Supuestos!$D$6^2)/2,SQRT(LN(1+Supuestos!$E$6^2/Supuestos!$D$6^2))),Supuestos!$D$6))))))</f>
        <v/>
      </c>
      <c r="K82" s="32">
        <f>MIN(IF(Supuestos!$H$7="",1E+99,Supuestos!$H$7),MAX(IF(Supuestos!$G$7="",-1E+99,Supuestos!$G$7),IF(Supuestos!$C$7="Normal",NORMINV(D82,Supuestos!$D$7,Supuestos!$E$7),IF(Supuestos!$C$7="Triangular",IF(D82&lt;(Supuestos!$E$7-Supuestos!$D$7)/(Supuestos!$F$7-Supuestos!$D$7),Supuestos!$D$7+SQRT(D82*(Supuestos!$F$7-Supuestos!$D$7)*(Supuestos!$E$7-Supuestos!$D$7)),Supuestos!$F$7-SQRT((1-D82)*(Supuestos!$F$7-Supuestos!$D$7)*(Supuestos!$F$7-Supuestos!$E$7))),IF(Supuestos!$C$7="Uniforme",Supuestos!$D$7+D82*(Supuestos!$E$7-Supuestos!$D$7),IF(Supuestos!$C$7="Lognormal",LOGINV(D82,LN(Supuestos!$D$7)-LN(1+Supuestos!$E$7^2/Supuestos!$D$7^2)/2,SQRT(LN(1+Supuestos!$E$7^2/Supuestos!$D$7^2))),Supuestos!$D$7))))))</f>
        <v/>
      </c>
      <c r="L82" s="32">
        <f>MIN(IF(Supuestos!$H$8="",1E+99,Supuestos!$H$8),MAX(IF(Supuestos!$G$8="",-1E+99,Supuestos!$G$8),IF(Supuestos!$C$8="Normal",NORMINV(E82,Supuestos!$D$8,Supuestos!$E$8),IF(Supuestos!$C$8="Triangular",IF(E82&lt;(Supuestos!$E$8-Supuestos!$D$8)/(Supuestos!$F$8-Supuestos!$D$8),Supuestos!$D$8+SQRT(E82*(Supuestos!$F$8-Supuestos!$D$8)*(Supuestos!$E$8-Supuestos!$D$8)),Supuestos!$F$8-SQRT((1-E82)*(Supuestos!$F$8-Supuestos!$D$8)*(Supuestos!$F$8-Supuestos!$E$8))),IF(Supuestos!$C$8="Uniforme",Supuestos!$D$8+E82*(Supuestos!$E$8-Supuestos!$D$8),IF(Supuestos!$C$8="Lognormal",LOGINV(E82,LN(Supuestos!$D$8)-LN(1+Supuestos!$E$8^2/Supuestos!$D$8^2)/2,SQRT(LN(1+Supuestos!$E$8^2/Supuestos!$D$8^2))),Supuestos!$D$8))))))</f>
        <v/>
      </c>
      <c r="M82" s="32">
        <f>MIN(IF(Supuestos!$H$9="",1E+99,Supuestos!$H$9),MAX(IF(Supuestos!$G$9="",-1E+99,Supuestos!$G$9),IF(Supuestos!$C$9="Normal",NORMINV(F82,Supuestos!$D$9,Supuestos!$E$9),IF(Supuestos!$C$9="Triangular",IF(F82&lt;(Supuestos!$E$9-Supuestos!$D$9)/(Supuestos!$F$9-Supuestos!$D$9),Supuestos!$D$9+SQRT(F82*(Supuestos!$F$9-Supuestos!$D$9)*(Supuestos!$E$9-Supuestos!$D$9)),Supuestos!$F$9-SQRT((1-F82)*(Supuestos!$F$9-Supuestos!$D$9)*(Supuestos!$F$9-Supuestos!$E$9))),IF(Supuestos!$C$9="Uniforme",Supuestos!$D$9+F82*(Supuestos!$E$9-Supuestos!$D$9),IF(Supuestos!$C$9="Lognormal",LOGINV(F82,LN(Supuestos!$D$9)-LN(1+Supuestos!$E$9^2/Supuestos!$D$9^2)/2,SQRT(LN(1+Supuestos!$E$9^2/Supuestos!$D$9^2))),Supuestos!$D$9))))))</f>
        <v/>
      </c>
      <c r="N82" s="32">
        <f>MIN(IF(Supuestos!$H$10="",1E+99,Supuestos!$H$10),MAX(IF(Supuestos!$G$10="",-1E+99,Supuestos!$G$10),IF(Supuestos!$C$10="Normal",NORMINV(G82,Supuestos!$D$10,Supuestos!$E$10),IF(Supuestos!$C$10="Triangular",IF(G82&lt;(Supuestos!$E$10-Supuestos!$D$10)/(Supuestos!$F$10-Supuestos!$D$10),Supuestos!$D$10+SQRT(G82*(Supuestos!$F$10-Supuestos!$D$10)*(Supuestos!$E$10-Supuestos!$D$10)),Supuestos!$F$10-SQRT((1-G82)*(Supuestos!$F$10-Supuestos!$D$10)*(Supuestos!$F$10-Supuestos!$E$10))),IF(Supuestos!$C$10="Uniforme",Supuestos!$D$10+G82*(Supuestos!$E$10-Supuestos!$D$10),IF(Supuestos!$C$10="Lognormal",LOGINV(G82,LN(Supuestos!$D$10)-LN(1+Supuestos!$E$10^2/Supuestos!$D$10^2)/2,SQRT(LN(1+Supuestos!$E$10^2/Supuestos!$D$10^2))),Supuestos!$D$10))))))</f>
        <v/>
      </c>
      <c r="O82" s="31">
        <f>MIN(IF(Supuestos!$H$11="",1E+99,Supuestos!$H$11),MAX(IF(Supuestos!$G$11="",-1E+99,Supuestos!$G$11),IF(Supuestos!$C$11="Normal",NORMINV(H82,Supuestos!$D$11,Supuestos!$E$11),IF(Supuestos!$C$11="Triangular",IF(H82&lt;(Supuestos!$E$11-Supuestos!$D$11)/(Supuestos!$F$11-Supuestos!$D$11),Supuestos!$D$11+SQRT(H82*(Supuestos!$F$11-Supuestos!$D$11)*(Supuestos!$E$11-Supuestos!$D$11)),Supuestos!$F$11-SQRT((1-H82)*(Supuestos!$F$11-Supuestos!$D$11)*(Supuestos!$F$11-Supuestos!$E$11))),IF(Supuestos!$C$11="Uniforme",Supuestos!$D$11+H82*(Supuestos!$E$11-Supuestos!$D$11),IF(Supuestos!$C$11="Lognormal",LOGINV(H82,LN(Supuestos!$D$11)-LN(1+Supuestos!$E$11^2/Supuestos!$D$11^2)/2,SQRT(LN(1+Supuestos!$E$11^2/Supuestos!$D$11^2))),Supuestos!$D$11))))))</f>
        <v/>
      </c>
      <c r="P82" s="33">
        <f>-I82</f>
        <v/>
      </c>
      <c r="Q82" s="33">
        <f>$J82*(1+$K82)^(1-1)*(1-$L82)*(1-$M82)</f>
        <v/>
      </c>
      <c r="R82" s="33">
        <f>$J82*(1+$K82)^(2-1)*(1-$L82)*(1-$M82)</f>
        <v/>
      </c>
      <c r="S82" s="33">
        <f>$J82*(1+$K82)^(3-1)*(1-$L82)*(1-$M82)</f>
        <v/>
      </c>
      <c r="T82" s="33">
        <f>$J82*(1+$K82)^(4-1)*(1-$L82)*(1-$M82)</f>
        <v/>
      </c>
      <c r="U82" s="33">
        <f>$J82*(1+$K82)^(5-1)*(1-$L82)*(1-$M82)+$O82</f>
        <v/>
      </c>
      <c r="V82" s="33">
        <f>P82+NPV($N82,Q82:U82)</f>
        <v/>
      </c>
      <c r="W82" s="32">
        <f>IFERROR(IRR(P82:U82,0.1),"")</f>
        <v/>
      </c>
    </row>
    <row r="83">
      <c r="A83" s="14" t="n">
        <v>79</v>
      </c>
      <c r="B83" s="30">
        <f>RAND()*(1-2E-6)+1E-6</f>
        <v/>
      </c>
      <c r="C83" s="30">
        <f>RAND()*(1-2E-6)+1E-6</f>
        <v/>
      </c>
      <c r="D83" s="30">
        <f>RAND()*(1-2E-6)+1E-6</f>
        <v/>
      </c>
      <c r="E83" s="30">
        <f>RAND()*(1-2E-6)+1E-6</f>
        <v/>
      </c>
      <c r="F83" s="30">
        <f>RAND()*(1-2E-6)+1E-6</f>
        <v/>
      </c>
      <c r="G83" s="30">
        <f>RAND()*(1-2E-6)+1E-6</f>
        <v/>
      </c>
      <c r="H83" s="30">
        <f>RAND()*(1-2E-6)+1E-6</f>
        <v/>
      </c>
      <c r="I83" s="31">
        <f>MIN(IF(Supuestos!$H$5="",1E+99,Supuestos!$H$5),MAX(IF(Supuestos!$G$5="",-1E+99,Supuestos!$G$5),IF(Supuestos!$C$5="Normal",NORMINV(B83,Supuestos!$D$5,Supuestos!$E$5),IF(Supuestos!$C$5="Triangular",IF(B83&lt;(Supuestos!$E$5-Supuestos!$D$5)/(Supuestos!$F$5-Supuestos!$D$5),Supuestos!$D$5+SQRT(B83*(Supuestos!$F$5-Supuestos!$D$5)*(Supuestos!$E$5-Supuestos!$D$5)),Supuestos!$F$5-SQRT((1-B83)*(Supuestos!$F$5-Supuestos!$D$5)*(Supuestos!$F$5-Supuestos!$E$5))),IF(Supuestos!$C$5="Uniforme",Supuestos!$D$5+B83*(Supuestos!$E$5-Supuestos!$D$5),IF(Supuestos!$C$5="Lognormal",LOGINV(B83,LN(Supuestos!$D$5)-LN(1+Supuestos!$E$5^2/Supuestos!$D$5^2)/2,SQRT(LN(1+Supuestos!$E$5^2/Supuestos!$D$5^2))),Supuestos!$D$5))))))</f>
        <v/>
      </c>
      <c r="J83" s="31">
        <f>MIN(IF(Supuestos!$H$6="",1E+99,Supuestos!$H$6),MAX(IF(Supuestos!$G$6="",-1E+99,Supuestos!$G$6),IF(Supuestos!$C$6="Normal",NORMINV(C83,Supuestos!$D$6,Supuestos!$E$6),IF(Supuestos!$C$6="Triangular",IF(C83&lt;(Supuestos!$E$6-Supuestos!$D$6)/(Supuestos!$F$6-Supuestos!$D$6),Supuestos!$D$6+SQRT(C83*(Supuestos!$F$6-Supuestos!$D$6)*(Supuestos!$E$6-Supuestos!$D$6)),Supuestos!$F$6-SQRT((1-C83)*(Supuestos!$F$6-Supuestos!$D$6)*(Supuestos!$F$6-Supuestos!$E$6))),IF(Supuestos!$C$6="Uniforme",Supuestos!$D$6+C83*(Supuestos!$E$6-Supuestos!$D$6),IF(Supuestos!$C$6="Lognormal",LOGINV(C83,LN(Supuestos!$D$6)-LN(1+Supuestos!$E$6^2/Supuestos!$D$6^2)/2,SQRT(LN(1+Supuestos!$E$6^2/Supuestos!$D$6^2))),Supuestos!$D$6))))))</f>
        <v/>
      </c>
      <c r="K83" s="32">
        <f>MIN(IF(Supuestos!$H$7="",1E+99,Supuestos!$H$7),MAX(IF(Supuestos!$G$7="",-1E+99,Supuestos!$G$7),IF(Supuestos!$C$7="Normal",NORMINV(D83,Supuestos!$D$7,Supuestos!$E$7),IF(Supuestos!$C$7="Triangular",IF(D83&lt;(Supuestos!$E$7-Supuestos!$D$7)/(Supuestos!$F$7-Supuestos!$D$7),Supuestos!$D$7+SQRT(D83*(Supuestos!$F$7-Supuestos!$D$7)*(Supuestos!$E$7-Supuestos!$D$7)),Supuestos!$F$7-SQRT((1-D83)*(Supuestos!$F$7-Supuestos!$D$7)*(Supuestos!$F$7-Supuestos!$E$7))),IF(Supuestos!$C$7="Uniforme",Supuestos!$D$7+D83*(Supuestos!$E$7-Supuestos!$D$7),IF(Supuestos!$C$7="Lognormal",LOGINV(D83,LN(Supuestos!$D$7)-LN(1+Supuestos!$E$7^2/Supuestos!$D$7^2)/2,SQRT(LN(1+Supuestos!$E$7^2/Supuestos!$D$7^2))),Supuestos!$D$7))))))</f>
        <v/>
      </c>
      <c r="L83" s="32">
        <f>MIN(IF(Supuestos!$H$8="",1E+99,Supuestos!$H$8),MAX(IF(Supuestos!$G$8="",-1E+99,Supuestos!$G$8),IF(Supuestos!$C$8="Normal",NORMINV(E83,Supuestos!$D$8,Supuestos!$E$8),IF(Supuestos!$C$8="Triangular",IF(E83&lt;(Supuestos!$E$8-Supuestos!$D$8)/(Supuestos!$F$8-Supuestos!$D$8),Supuestos!$D$8+SQRT(E83*(Supuestos!$F$8-Supuestos!$D$8)*(Supuestos!$E$8-Supuestos!$D$8)),Supuestos!$F$8-SQRT((1-E83)*(Supuestos!$F$8-Supuestos!$D$8)*(Supuestos!$F$8-Supuestos!$E$8))),IF(Supuestos!$C$8="Uniforme",Supuestos!$D$8+E83*(Supuestos!$E$8-Supuestos!$D$8),IF(Supuestos!$C$8="Lognormal",LOGINV(E83,LN(Supuestos!$D$8)-LN(1+Supuestos!$E$8^2/Supuestos!$D$8^2)/2,SQRT(LN(1+Supuestos!$E$8^2/Supuestos!$D$8^2))),Supuestos!$D$8))))))</f>
        <v/>
      </c>
      <c r="M83" s="32">
        <f>MIN(IF(Supuestos!$H$9="",1E+99,Supuestos!$H$9),MAX(IF(Supuestos!$G$9="",-1E+99,Supuestos!$G$9),IF(Supuestos!$C$9="Normal",NORMINV(F83,Supuestos!$D$9,Supuestos!$E$9),IF(Supuestos!$C$9="Triangular",IF(F83&lt;(Supuestos!$E$9-Supuestos!$D$9)/(Supuestos!$F$9-Supuestos!$D$9),Supuestos!$D$9+SQRT(F83*(Supuestos!$F$9-Supuestos!$D$9)*(Supuestos!$E$9-Supuestos!$D$9)),Supuestos!$F$9-SQRT((1-F83)*(Supuestos!$F$9-Supuestos!$D$9)*(Supuestos!$F$9-Supuestos!$E$9))),IF(Supuestos!$C$9="Uniforme",Supuestos!$D$9+F83*(Supuestos!$E$9-Supuestos!$D$9),IF(Supuestos!$C$9="Lognormal",LOGINV(F83,LN(Supuestos!$D$9)-LN(1+Supuestos!$E$9^2/Supuestos!$D$9^2)/2,SQRT(LN(1+Supuestos!$E$9^2/Supuestos!$D$9^2))),Supuestos!$D$9))))))</f>
        <v/>
      </c>
      <c r="N83" s="32">
        <f>MIN(IF(Supuestos!$H$10="",1E+99,Supuestos!$H$10),MAX(IF(Supuestos!$G$10="",-1E+99,Supuestos!$G$10),IF(Supuestos!$C$10="Normal",NORMINV(G83,Supuestos!$D$10,Supuestos!$E$10),IF(Supuestos!$C$10="Triangular",IF(G83&lt;(Supuestos!$E$10-Supuestos!$D$10)/(Supuestos!$F$10-Supuestos!$D$10),Supuestos!$D$10+SQRT(G83*(Supuestos!$F$10-Supuestos!$D$10)*(Supuestos!$E$10-Supuestos!$D$10)),Supuestos!$F$10-SQRT((1-G83)*(Supuestos!$F$10-Supuestos!$D$10)*(Supuestos!$F$10-Supuestos!$E$10))),IF(Supuestos!$C$10="Uniforme",Supuestos!$D$10+G83*(Supuestos!$E$10-Supuestos!$D$10),IF(Supuestos!$C$10="Lognormal",LOGINV(G83,LN(Supuestos!$D$10)-LN(1+Supuestos!$E$10^2/Supuestos!$D$10^2)/2,SQRT(LN(1+Supuestos!$E$10^2/Supuestos!$D$10^2))),Supuestos!$D$10))))))</f>
        <v/>
      </c>
      <c r="O83" s="31">
        <f>MIN(IF(Supuestos!$H$11="",1E+99,Supuestos!$H$11),MAX(IF(Supuestos!$G$11="",-1E+99,Supuestos!$G$11),IF(Supuestos!$C$11="Normal",NORMINV(H83,Supuestos!$D$11,Supuestos!$E$11),IF(Supuestos!$C$11="Triangular",IF(H83&lt;(Supuestos!$E$11-Supuestos!$D$11)/(Supuestos!$F$11-Supuestos!$D$11),Supuestos!$D$11+SQRT(H83*(Supuestos!$F$11-Supuestos!$D$11)*(Supuestos!$E$11-Supuestos!$D$11)),Supuestos!$F$11-SQRT((1-H83)*(Supuestos!$F$11-Supuestos!$D$11)*(Supuestos!$F$11-Supuestos!$E$11))),IF(Supuestos!$C$11="Uniforme",Supuestos!$D$11+H83*(Supuestos!$E$11-Supuestos!$D$11),IF(Supuestos!$C$11="Lognormal",LOGINV(H83,LN(Supuestos!$D$11)-LN(1+Supuestos!$E$11^2/Supuestos!$D$11^2)/2,SQRT(LN(1+Supuestos!$E$11^2/Supuestos!$D$11^2))),Supuestos!$D$11))))))</f>
        <v/>
      </c>
      <c r="P83" s="33">
        <f>-I83</f>
        <v/>
      </c>
      <c r="Q83" s="33">
        <f>$J83*(1+$K83)^(1-1)*(1-$L83)*(1-$M83)</f>
        <v/>
      </c>
      <c r="R83" s="33">
        <f>$J83*(1+$K83)^(2-1)*(1-$L83)*(1-$M83)</f>
        <v/>
      </c>
      <c r="S83" s="33">
        <f>$J83*(1+$K83)^(3-1)*(1-$L83)*(1-$M83)</f>
        <v/>
      </c>
      <c r="T83" s="33">
        <f>$J83*(1+$K83)^(4-1)*(1-$L83)*(1-$M83)</f>
        <v/>
      </c>
      <c r="U83" s="33">
        <f>$J83*(1+$K83)^(5-1)*(1-$L83)*(1-$M83)+$O83</f>
        <v/>
      </c>
      <c r="V83" s="33">
        <f>P83+NPV($N83,Q83:U83)</f>
        <v/>
      </c>
      <c r="W83" s="32">
        <f>IFERROR(IRR(P83:U83,0.1),"")</f>
        <v/>
      </c>
    </row>
    <row r="84">
      <c r="A84" s="14" t="n">
        <v>80</v>
      </c>
      <c r="B84" s="30">
        <f>RAND()*(1-2E-6)+1E-6</f>
        <v/>
      </c>
      <c r="C84" s="30">
        <f>RAND()*(1-2E-6)+1E-6</f>
        <v/>
      </c>
      <c r="D84" s="30">
        <f>RAND()*(1-2E-6)+1E-6</f>
        <v/>
      </c>
      <c r="E84" s="30">
        <f>RAND()*(1-2E-6)+1E-6</f>
        <v/>
      </c>
      <c r="F84" s="30">
        <f>RAND()*(1-2E-6)+1E-6</f>
        <v/>
      </c>
      <c r="G84" s="30">
        <f>RAND()*(1-2E-6)+1E-6</f>
        <v/>
      </c>
      <c r="H84" s="30">
        <f>RAND()*(1-2E-6)+1E-6</f>
        <v/>
      </c>
      <c r="I84" s="31">
        <f>MIN(IF(Supuestos!$H$5="",1E+99,Supuestos!$H$5),MAX(IF(Supuestos!$G$5="",-1E+99,Supuestos!$G$5),IF(Supuestos!$C$5="Normal",NORMINV(B84,Supuestos!$D$5,Supuestos!$E$5),IF(Supuestos!$C$5="Triangular",IF(B84&lt;(Supuestos!$E$5-Supuestos!$D$5)/(Supuestos!$F$5-Supuestos!$D$5),Supuestos!$D$5+SQRT(B84*(Supuestos!$F$5-Supuestos!$D$5)*(Supuestos!$E$5-Supuestos!$D$5)),Supuestos!$F$5-SQRT((1-B84)*(Supuestos!$F$5-Supuestos!$D$5)*(Supuestos!$F$5-Supuestos!$E$5))),IF(Supuestos!$C$5="Uniforme",Supuestos!$D$5+B84*(Supuestos!$E$5-Supuestos!$D$5),IF(Supuestos!$C$5="Lognormal",LOGINV(B84,LN(Supuestos!$D$5)-LN(1+Supuestos!$E$5^2/Supuestos!$D$5^2)/2,SQRT(LN(1+Supuestos!$E$5^2/Supuestos!$D$5^2))),Supuestos!$D$5))))))</f>
        <v/>
      </c>
      <c r="J84" s="31">
        <f>MIN(IF(Supuestos!$H$6="",1E+99,Supuestos!$H$6),MAX(IF(Supuestos!$G$6="",-1E+99,Supuestos!$G$6),IF(Supuestos!$C$6="Normal",NORMINV(C84,Supuestos!$D$6,Supuestos!$E$6),IF(Supuestos!$C$6="Triangular",IF(C84&lt;(Supuestos!$E$6-Supuestos!$D$6)/(Supuestos!$F$6-Supuestos!$D$6),Supuestos!$D$6+SQRT(C84*(Supuestos!$F$6-Supuestos!$D$6)*(Supuestos!$E$6-Supuestos!$D$6)),Supuestos!$F$6-SQRT((1-C84)*(Supuestos!$F$6-Supuestos!$D$6)*(Supuestos!$F$6-Supuestos!$E$6))),IF(Supuestos!$C$6="Uniforme",Supuestos!$D$6+C84*(Supuestos!$E$6-Supuestos!$D$6),IF(Supuestos!$C$6="Lognormal",LOGINV(C84,LN(Supuestos!$D$6)-LN(1+Supuestos!$E$6^2/Supuestos!$D$6^2)/2,SQRT(LN(1+Supuestos!$E$6^2/Supuestos!$D$6^2))),Supuestos!$D$6))))))</f>
        <v/>
      </c>
      <c r="K84" s="32">
        <f>MIN(IF(Supuestos!$H$7="",1E+99,Supuestos!$H$7),MAX(IF(Supuestos!$G$7="",-1E+99,Supuestos!$G$7),IF(Supuestos!$C$7="Normal",NORMINV(D84,Supuestos!$D$7,Supuestos!$E$7),IF(Supuestos!$C$7="Triangular",IF(D84&lt;(Supuestos!$E$7-Supuestos!$D$7)/(Supuestos!$F$7-Supuestos!$D$7),Supuestos!$D$7+SQRT(D84*(Supuestos!$F$7-Supuestos!$D$7)*(Supuestos!$E$7-Supuestos!$D$7)),Supuestos!$F$7-SQRT((1-D84)*(Supuestos!$F$7-Supuestos!$D$7)*(Supuestos!$F$7-Supuestos!$E$7))),IF(Supuestos!$C$7="Uniforme",Supuestos!$D$7+D84*(Supuestos!$E$7-Supuestos!$D$7),IF(Supuestos!$C$7="Lognormal",LOGINV(D84,LN(Supuestos!$D$7)-LN(1+Supuestos!$E$7^2/Supuestos!$D$7^2)/2,SQRT(LN(1+Supuestos!$E$7^2/Supuestos!$D$7^2))),Supuestos!$D$7))))))</f>
        <v/>
      </c>
      <c r="L84" s="32">
        <f>MIN(IF(Supuestos!$H$8="",1E+99,Supuestos!$H$8),MAX(IF(Supuestos!$G$8="",-1E+99,Supuestos!$G$8),IF(Supuestos!$C$8="Normal",NORMINV(E84,Supuestos!$D$8,Supuestos!$E$8),IF(Supuestos!$C$8="Triangular",IF(E84&lt;(Supuestos!$E$8-Supuestos!$D$8)/(Supuestos!$F$8-Supuestos!$D$8),Supuestos!$D$8+SQRT(E84*(Supuestos!$F$8-Supuestos!$D$8)*(Supuestos!$E$8-Supuestos!$D$8)),Supuestos!$F$8-SQRT((1-E84)*(Supuestos!$F$8-Supuestos!$D$8)*(Supuestos!$F$8-Supuestos!$E$8))),IF(Supuestos!$C$8="Uniforme",Supuestos!$D$8+E84*(Supuestos!$E$8-Supuestos!$D$8),IF(Supuestos!$C$8="Lognormal",LOGINV(E84,LN(Supuestos!$D$8)-LN(1+Supuestos!$E$8^2/Supuestos!$D$8^2)/2,SQRT(LN(1+Supuestos!$E$8^2/Supuestos!$D$8^2))),Supuestos!$D$8))))))</f>
        <v/>
      </c>
      <c r="M84" s="32">
        <f>MIN(IF(Supuestos!$H$9="",1E+99,Supuestos!$H$9),MAX(IF(Supuestos!$G$9="",-1E+99,Supuestos!$G$9),IF(Supuestos!$C$9="Normal",NORMINV(F84,Supuestos!$D$9,Supuestos!$E$9),IF(Supuestos!$C$9="Triangular",IF(F84&lt;(Supuestos!$E$9-Supuestos!$D$9)/(Supuestos!$F$9-Supuestos!$D$9),Supuestos!$D$9+SQRT(F84*(Supuestos!$F$9-Supuestos!$D$9)*(Supuestos!$E$9-Supuestos!$D$9)),Supuestos!$F$9-SQRT((1-F84)*(Supuestos!$F$9-Supuestos!$D$9)*(Supuestos!$F$9-Supuestos!$E$9))),IF(Supuestos!$C$9="Uniforme",Supuestos!$D$9+F84*(Supuestos!$E$9-Supuestos!$D$9),IF(Supuestos!$C$9="Lognormal",LOGINV(F84,LN(Supuestos!$D$9)-LN(1+Supuestos!$E$9^2/Supuestos!$D$9^2)/2,SQRT(LN(1+Supuestos!$E$9^2/Supuestos!$D$9^2))),Supuestos!$D$9))))))</f>
        <v/>
      </c>
      <c r="N84" s="32">
        <f>MIN(IF(Supuestos!$H$10="",1E+99,Supuestos!$H$10),MAX(IF(Supuestos!$G$10="",-1E+99,Supuestos!$G$10),IF(Supuestos!$C$10="Normal",NORMINV(G84,Supuestos!$D$10,Supuestos!$E$10),IF(Supuestos!$C$10="Triangular",IF(G84&lt;(Supuestos!$E$10-Supuestos!$D$10)/(Supuestos!$F$10-Supuestos!$D$10),Supuestos!$D$10+SQRT(G84*(Supuestos!$F$10-Supuestos!$D$10)*(Supuestos!$E$10-Supuestos!$D$10)),Supuestos!$F$10-SQRT((1-G84)*(Supuestos!$F$10-Supuestos!$D$10)*(Supuestos!$F$10-Supuestos!$E$10))),IF(Supuestos!$C$10="Uniforme",Supuestos!$D$10+G84*(Supuestos!$E$10-Supuestos!$D$10),IF(Supuestos!$C$10="Lognormal",LOGINV(G84,LN(Supuestos!$D$10)-LN(1+Supuestos!$E$10^2/Supuestos!$D$10^2)/2,SQRT(LN(1+Supuestos!$E$10^2/Supuestos!$D$10^2))),Supuestos!$D$10))))))</f>
        <v/>
      </c>
      <c r="O84" s="31">
        <f>MIN(IF(Supuestos!$H$11="",1E+99,Supuestos!$H$11),MAX(IF(Supuestos!$G$11="",-1E+99,Supuestos!$G$11),IF(Supuestos!$C$11="Normal",NORMINV(H84,Supuestos!$D$11,Supuestos!$E$11),IF(Supuestos!$C$11="Triangular",IF(H84&lt;(Supuestos!$E$11-Supuestos!$D$11)/(Supuestos!$F$11-Supuestos!$D$11),Supuestos!$D$11+SQRT(H84*(Supuestos!$F$11-Supuestos!$D$11)*(Supuestos!$E$11-Supuestos!$D$11)),Supuestos!$F$11-SQRT((1-H84)*(Supuestos!$F$11-Supuestos!$D$11)*(Supuestos!$F$11-Supuestos!$E$11))),IF(Supuestos!$C$11="Uniforme",Supuestos!$D$11+H84*(Supuestos!$E$11-Supuestos!$D$11),IF(Supuestos!$C$11="Lognormal",LOGINV(H84,LN(Supuestos!$D$11)-LN(1+Supuestos!$E$11^2/Supuestos!$D$11^2)/2,SQRT(LN(1+Supuestos!$E$11^2/Supuestos!$D$11^2))),Supuestos!$D$11))))))</f>
        <v/>
      </c>
      <c r="P84" s="33">
        <f>-I84</f>
        <v/>
      </c>
      <c r="Q84" s="33">
        <f>$J84*(1+$K84)^(1-1)*(1-$L84)*(1-$M84)</f>
        <v/>
      </c>
      <c r="R84" s="33">
        <f>$J84*(1+$K84)^(2-1)*(1-$L84)*(1-$M84)</f>
        <v/>
      </c>
      <c r="S84" s="33">
        <f>$J84*(1+$K84)^(3-1)*(1-$L84)*(1-$M84)</f>
        <v/>
      </c>
      <c r="T84" s="33">
        <f>$J84*(1+$K84)^(4-1)*(1-$L84)*(1-$M84)</f>
        <v/>
      </c>
      <c r="U84" s="33">
        <f>$J84*(1+$K84)^(5-1)*(1-$L84)*(1-$M84)+$O84</f>
        <v/>
      </c>
      <c r="V84" s="33">
        <f>P84+NPV($N84,Q84:U84)</f>
        <v/>
      </c>
      <c r="W84" s="32">
        <f>IFERROR(IRR(P84:U84,0.1),"")</f>
        <v/>
      </c>
    </row>
    <row r="85">
      <c r="A85" s="14" t="n">
        <v>81</v>
      </c>
      <c r="B85" s="30">
        <f>RAND()*(1-2E-6)+1E-6</f>
        <v/>
      </c>
      <c r="C85" s="30">
        <f>RAND()*(1-2E-6)+1E-6</f>
        <v/>
      </c>
      <c r="D85" s="30">
        <f>RAND()*(1-2E-6)+1E-6</f>
        <v/>
      </c>
      <c r="E85" s="30">
        <f>RAND()*(1-2E-6)+1E-6</f>
        <v/>
      </c>
      <c r="F85" s="30">
        <f>RAND()*(1-2E-6)+1E-6</f>
        <v/>
      </c>
      <c r="G85" s="30">
        <f>RAND()*(1-2E-6)+1E-6</f>
        <v/>
      </c>
      <c r="H85" s="30">
        <f>RAND()*(1-2E-6)+1E-6</f>
        <v/>
      </c>
      <c r="I85" s="31">
        <f>MIN(IF(Supuestos!$H$5="",1E+99,Supuestos!$H$5),MAX(IF(Supuestos!$G$5="",-1E+99,Supuestos!$G$5),IF(Supuestos!$C$5="Normal",NORMINV(B85,Supuestos!$D$5,Supuestos!$E$5),IF(Supuestos!$C$5="Triangular",IF(B85&lt;(Supuestos!$E$5-Supuestos!$D$5)/(Supuestos!$F$5-Supuestos!$D$5),Supuestos!$D$5+SQRT(B85*(Supuestos!$F$5-Supuestos!$D$5)*(Supuestos!$E$5-Supuestos!$D$5)),Supuestos!$F$5-SQRT((1-B85)*(Supuestos!$F$5-Supuestos!$D$5)*(Supuestos!$F$5-Supuestos!$E$5))),IF(Supuestos!$C$5="Uniforme",Supuestos!$D$5+B85*(Supuestos!$E$5-Supuestos!$D$5),IF(Supuestos!$C$5="Lognormal",LOGINV(B85,LN(Supuestos!$D$5)-LN(1+Supuestos!$E$5^2/Supuestos!$D$5^2)/2,SQRT(LN(1+Supuestos!$E$5^2/Supuestos!$D$5^2))),Supuestos!$D$5))))))</f>
        <v/>
      </c>
      <c r="J85" s="31">
        <f>MIN(IF(Supuestos!$H$6="",1E+99,Supuestos!$H$6),MAX(IF(Supuestos!$G$6="",-1E+99,Supuestos!$G$6),IF(Supuestos!$C$6="Normal",NORMINV(C85,Supuestos!$D$6,Supuestos!$E$6),IF(Supuestos!$C$6="Triangular",IF(C85&lt;(Supuestos!$E$6-Supuestos!$D$6)/(Supuestos!$F$6-Supuestos!$D$6),Supuestos!$D$6+SQRT(C85*(Supuestos!$F$6-Supuestos!$D$6)*(Supuestos!$E$6-Supuestos!$D$6)),Supuestos!$F$6-SQRT((1-C85)*(Supuestos!$F$6-Supuestos!$D$6)*(Supuestos!$F$6-Supuestos!$E$6))),IF(Supuestos!$C$6="Uniforme",Supuestos!$D$6+C85*(Supuestos!$E$6-Supuestos!$D$6),IF(Supuestos!$C$6="Lognormal",LOGINV(C85,LN(Supuestos!$D$6)-LN(1+Supuestos!$E$6^2/Supuestos!$D$6^2)/2,SQRT(LN(1+Supuestos!$E$6^2/Supuestos!$D$6^2))),Supuestos!$D$6))))))</f>
        <v/>
      </c>
      <c r="K85" s="32">
        <f>MIN(IF(Supuestos!$H$7="",1E+99,Supuestos!$H$7),MAX(IF(Supuestos!$G$7="",-1E+99,Supuestos!$G$7),IF(Supuestos!$C$7="Normal",NORMINV(D85,Supuestos!$D$7,Supuestos!$E$7),IF(Supuestos!$C$7="Triangular",IF(D85&lt;(Supuestos!$E$7-Supuestos!$D$7)/(Supuestos!$F$7-Supuestos!$D$7),Supuestos!$D$7+SQRT(D85*(Supuestos!$F$7-Supuestos!$D$7)*(Supuestos!$E$7-Supuestos!$D$7)),Supuestos!$F$7-SQRT((1-D85)*(Supuestos!$F$7-Supuestos!$D$7)*(Supuestos!$F$7-Supuestos!$E$7))),IF(Supuestos!$C$7="Uniforme",Supuestos!$D$7+D85*(Supuestos!$E$7-Supuestos!$D$7),IF(Supuestos!$C$7="Lognormal",LOGINV(D85,LN(Supuestos!$D$7)-LN(1+Supuestos!$E$7^2/Supuestos!$D$7^2)/2,SQRT(LN(1+Supuestos!$E$7^2/Supuestos!$D$7^2))),Supuestos!$D$7))))))</f>
        <v/>
      </c>
      <c r="L85" s="32">
        <f>MIN(IF(Supuestos!$H$8="",1E+99,Supuestos!$H$8),MAX(IF(Supuestos!$G$8="",-1E+99,Supuestos!$G$8),IF(Supuestos!$C$8="Normal",NORMINV(E85,Supuestos!$D$8,Supuestos!$E$8),IF(Supuestos!$C$8="Triangular",IF(E85&lt;(Supuestos!$E$8-Supuestos!$D$8)/(Supuestos!$F$8-Supuestos!$D$8),Supuestos!$D$8+SQRT(E85*(Supuestos!$F$8-Supuestos!$D$8)*(Supuestos!$E$8-Supuestos!$D$8)),Supuestos!$F$8-SQRT((1-E85)*(Supuestos!$F$8-Supuestos!$D$8)*(Supuestos!$F$8-Supuestos!$E$8))),IF(Supuestos!$C$8="Uniforme",Supuestos!$D$8+E85*(Supuestos!$E$8-Supuestos!$D$8),IF(Supuestos!$C$8="Lognormal",LOGINV(E85,LN(Supuestos!$D$8)-LN(1+Supuestos!$E$8^2/Supuestos!$D$8^2)/2,SQRT(LN(1+Supuestos!$E$8^2/Supuestos!$D$8^2))),Supuestos!$D$8))))))</f>
        <v/>
      </c>
      <c r="M85" s="32">
        <f>MIN(IF(Supuestos!$H$9="",1E+99,Supuestos!$H$9),MAX(IF(Supuestos!$G$9="",-1E+99,Supuestos!$G$9),IF(Supuestos!$C$9="Normal",NORMINV(F85,Supuestos!$D$9,Supuestos!$E$9),IF(Supuestos!$C$9="Triangular",IF(F85&lt;(Supuestos!$E$9-Supuestos!$D$9)/(Supuestos!$F$9-Supuestos!$D$9),Supuestos!$D$9+SQRT(F85*(Supuestos!$F$9-Supuestos!$D$9)*(Supuestos!$E$9-Supuestos!$D$9)),Supuestos!$F$9-SQRT((1-F85)*(Supuestos!$F$9-Supuestos!$D$9)*(Supuestos!$F$9-Supuestos!$E$9))),IF(Supuestos!$C$9="Uniforme",Supuestos!$D$9+F85*(Supuestos!$E$9-Supuestos!$D$9),IF(Supuestos!$C$9="Lognormal",LOGINV(F85,LN(Supuestos!$D$9)-LN(1+Supuestos!$E$9^2/Supuestos!$D$9^2)/2,SQRT(LN(1+Supuestos!$E$9^2/Supuestos!$D$9^2))),Supuestos!$D$9))))))</f>
        <v/>
      </c>
      <c r="N85" s="32">
        <f>MIN(IF(Supuestos!$H$10="",1E+99,Supuestos!$H$10),MAX(IF(Supuestos!$G$10="",-1E+99,Supuestos!$G$10),IF(Supuestos!$C$10="Normal",NORMINV(G85,Supuestos!$D$10,Supuestos!$E$10),IF(Supuestos!$C$10="Triangular",IF(G85&lt;(Supuestos!$E$10-Supuestos!$D$10)/(Supuestos!$F$10-Supuestos!$D$10),Supuestos!$D$10+SQRT(G85*(Supuestos!$F$10-Supuestos!$D$10)*(Supuestos!$E$10-Supuestos!$D$10)),Supuestos!$F$10-SQRT((1-G85)*(Supuestos!$F$10-Supuestos!$D$10)*(Supuestos!$F$10-Supuestos!$E$10))),IF(Supuestos!$C$10="Uniforme",Supuestos!$D$10+G85*(Supuestos!$E$10-Supuestos!$D$10),IF(Supuestos!$C$10="Lognormal",LOGINV(G85,LN(Supuestos!$D$10)-LN(1+Supuestos!$E$10^2/Supuestos!$D$10^2)/2,SQRT(LN(1+Supuestos!$E$10^2/Supuestos!$D$10^2))),Supuestos!$D$10))))))</f>
        <v/>
      </c>
      <c r="O85" s="31">
        <f>MIN(IF(Supuestos!$H$11="",1E+99,Supuestos!$H$11),MAX(IF(Supuestos!$G$11="",-1E+99,Supuestos!$G$11),IF(Supuestos!$C$11="Normal",NORMINV(H85,Supuestos!$D$11,Supuestos!$E$11),IF(Supuestos!$C$11="Triangular",IF(H85&lt;(Supuestos!$E$11-Supuestos!$D$11)/(Supuestos!$F$11-Supuestos!$D$11),Supuestos!$D$11+SQRT(H85*(Supuestos!$F$11-Supuestos!$D$11)*(Supuestos!$E$11-Supuestos!$D$11)),Supuestos!$F$11-SQRT((1-H85)*(Supuestos!$F$11-Supuestos!$D$11)*(Supuestos!$F$11-Supuestos!$E$11))),IF(Supuestos!$C$11="Uniforme",Supuestos!$D$11+H85*(Supuestos!$E$11-Supuestos!$D$11),IF(Supuestos!$C$11="Lognormal",LOGINV(H85,LN(Supuestos!$D$11)-LN(1+Supuestos!$E$11^2/Supuestos!$D$11^2)/2,SQRT(LN(1+Supuestos!$E$11^2/Supuestos!$D$11^2))),Supuestos!$D$11))))))</f>
        <v/>
      </c>
      <c r="P85" s="33">
        <f>-I85</f>
        <v/>
      </c>
      <c r="Q85" s="33">
        <f>$J85*(1+$K85)^(1-1)*(1-$L85)*(1-$M85)</f>
        <v/>
      </c>
      <c r="R85" s="33">
        <f>$J85*(1+$K85)^(2-1)*(1-$L85)*(1-$M85)</f>
        <v/>
      </c>
      <c r="S85" s="33">
        <f>$J85*(1+$K85)^(3-1)*(1-$L85)*(1-$M85)</f>
        <v/>
      </c>
      <c r="T85" s="33">
        <f>$J85*(1+$K85)^(4-1)*(1-$L85)*(1-$M85)</f>
        <v/>
      </c>
      <c r="U85" s="33">
        <f>$J85*(1+$K85)^(5-1)*(1-$L85)*(1-$M85)+$O85</f>
        <v/>
      </c>
      <c r="V85" s="33">
        <f>P85+NPV($N85,Q85:U85)</f>
        <v/>
      </c>
      <c r="W85" s="32">
        <f>IFERROR(IRR(P85:U85,0.1),"")</f>
        <v/>
      </c>
    </row>
    <row r="86">
      <c r="A86" s="14" t="n">
        <v>82</v>
      </c>
      <c r="B86" s="30">
        <f>RAND()*(1-2E-6)+1E-6</f>
        <v/>
      </c>
      <c r="C86" s="30">
        <f>RAND()*(1-2E-6)+1E-6</f>
        <v/>
      </c>
      <c r="D86" s="30">
        <f>RAND()*(1-2E-6)+1E-6</f>
        <v/>
      </c>
      <c r="E86" s="30">
        <f>RAND()*(1-2E-6)+1E-6</f>
        <v/>
      </c>
      <c r="F86" s="30">
        <f>RAND()*(1-2E-6)+1E-6</f>
        <v/>
      </c>
      <c r="G86" s="30">
        <f>RAND()*(1-2E-6)+1E-6</f>
        <v/>
      </c>
      <c r="H86" s="30">
        <f>RAND()*(1-2E-6)+1E-6</f>
        <v/>
      </c>
      <c r="I86" s="31">
        <f>MIN(IF(Supuestos!$H$5="",1E+99,Supuestos!$H$5),MAX(IF(Supuestos!$G$5="",-1E+99,Supuestos!$G$5),IF(Supuestos!$C$5="Normal",NORMINV(B86,Supuestos!$D$5,Supuestos!$E$5),IF(Supuestos!$C$5="Triangular",IF(B86&lt;(Supuestos!$E$5-Supuestos!$D$5)/(Supuestos!$F$5-Supuestos!$D$5),Supuestos!$D$5+SQRT(B86*(Supuestos!$F$5-Supuestos!$D$5)*(Supuestos!$E$5-Supuestos!$D$5)),Supuestos!$F$5-SQRT((1-B86)*(Supuestos!$F$5-Supuestos!$D$5)*(Supuestos!$F$5-Supuestos!$E$5))),IF(Supuestos!$C$5="Uniforme",Supuestos!$D$5+B86*(Supuestos!$E$5-Supuestos!$D$5),IF(Supuestos!$C$5="Lognormal",LOGINV(B86,LN(Supuestos!$D$5)-LN(1+Supuestos!$E$5^2/Supuestos!$D$5^2)/2,SQRT(LN(1+Supuestos!$E$5^2/Supuestos!$D$5^2))),Supuestos!$D$5))))))</f>
        <v/>
      </c>
      <c r="J86" s="31">
        <f>MIN(IF(Supuestos!$H$6="",1E+99,Supuestos!$H$6),MAX(IF(Supuestos!$G$6="",-1E+99,Supuestos!$G$6),IF(Supuestos!$C$6="Normal",NORMINV(C86,Supuestos!$D$6,Supuestos!$E$6),IF(Supuestos!$C$6="Triangular",IF(C86&lt;(Supuestos!$E$6-Supuestos!$D$6)/(Supuestos!$F$6-Supuestos!$D$6),Supuestos!$D$6+SQRT(C86*(Supuestos!$F$6-Supuestos!$D$6)*(Supuestos!$E$6-Supuestos!$D$6)),Supuestos!$F$6-SQRT((1-C86)*(Supuestos!$F$6-Supuestos!$D$6)*(Supuestos!$F$6-Supuestos!$E$6))),IF(Supuestos!$C$6="Uniforme",Supuestos!$D$6+C86*(Supuestos!$E$6-Supuestos!$D$6),IF(Supuestos!$C$6="Lognormal",LOGINV(C86,LN(Supuestos!$D$6)-LN(1+Supuestos!$E$6^2/Supuestos!$D$6^2)/2,SQRT(LN(1+Supuestos!$E$6^2/Supuestos!$D$6^2))),Supuestos!$D$6))))))</f>
        <v/>
      </c>
      <c r="K86" s="32">
        <f>MIN(IF(Supuestos!$H$7="",1E+99,Supuestos!$H$7),MAX(IF(Supuestos!$G$7="",-1E+99,Supuestos!$G$7),IF(Supuestos!$C$7="Normal",NORMINV(D86,Supuestos!$D$7,Supuestos!$E$7),IF(Supuestos!$C$7="Triangular",IF(D86&lt;(Supuestos!$E$7-Supuestos!$D$7)/(Supuestos!$F$7-Supuestos!$D$7),Supuestos!$D$7+SQRT(D86*(Supuestos!$F$7-Supuestos!$D$7)*(Supuestos!$E$7-Supuestos!$D$7)),Supuestos!$F$7-SQRT((1-D86)*(Supuestos!$F$7-Supuestos!$D$7)*(Supuestos!$F$7-Supuestos!$E$7))),IF(Supuestos!$C$7="Uniforme",Supuestos!$D$7+D86*(Supuestos!$E$7-Supuestos!$D$7),IF(Supuestos!$C$7="Lognormal",LOGINV(D86,LN(Supuestos!$D$7)-LN(1+Supuestos!$E$7^2/Supuestos!$D$7^2)/2,SQRT(LN(1+Supuestos!$E$7^2/Supuestos!$D$7^2))),Supuestos!$D$7))))))</f>
        <v/>
      </c>
      <c r="L86" s="32">
        <f>MIN(IF(Supuestos!$H$8="",1E+99,Supuestos!$H$8),MAX(IF(Supuestos!$G$8="",-1E+99,Supuestos!$G$8),IF(Supuestos!$C$8="Normal",NORMINV(E86,Supuestos!$D$8,Supuestos!$E$8),IF(Supuestos!$C$8="Triangular",IF(E86&lt;(Supuestos!$E$8-Supuestos!$D$8)/(Supuestos!$F$8-Supuestos!$D$8),Supuestos!$D$8+SQRT(E86*(Supuestos!$F$8-Supuestos!$D$8)*(Supuestos!$E$8-Supuestos!$D$8)),Supuestos!$F$8-SQRT((1-E86)*(Supuestos!$F$8-Supuestos!$D$8)*(Supuestos!$F$8-Supuestos!$E$8))),IF(Supuestos!$C$8="Uniforme",Supuestos!$D$8+E86*(Supuestos!$E$8-Supuestos!$D$8),IF(Supuestos!$C$8="Lognormal",LOGINV(E86,LN(Supuestos!$D$8)-LN(1+Supuestos!$E$8^2/Supuestos!$D$8^2)/2,SQRT(LN(1+Supuestos!$E$8^2/Supuestos!$D$8^2))),Supuestos!$D$8))))))</f>
        <v/>
      </c>
      <c r="M86" s="32">
        <f>MIN(IF(Supuestos!$H$9="",1E+99,Supuestos!$H$9),MAX(IF(Supuestos!$G$9="",-1E+99,Supuestos!$G$9),IF(Supuestos!$C$9="Normal",NORMINV(F86,Supuestos!$D$9,Supuestos!$E$9),IF(Supuestos!$C$9="Triangular",IF(F86&lt;(Supuestos!$E$9-Supuestos!$D$9)/(Supuestos!$F$9-Supuestos!$D$9),Supuestos!$D$9+SQRT(F86*(Supuestos!$F$9-Supuestos!$D$9)*(Supuestos!$E$9-Supuestos!$D$9)),Supuestos!$F$9-SQRT((1-F86)*(Supuestos!$F$9-Supuestos!$D$9)*(Supuestos!$F$9-Supuestos!$E$9))),IF(Supuestos!$C$9="Uniforme",Supuestos!$D$9+F86*(Supuestos!$E$9-Supuestos!$D$9),IF(Supuestos!$C$9="Lognormal",LOGINV(F86,LN(Supuestos!$D$9)-LN(1+Supuestos!$E$9^2/Supuestos!$D$9^2)/2,SQRT(LN(1+Supuestos!$E$9^2/Supuestos!$D$9^2))),Supuestos!$D$9))))))</f>
        <v/>
      </c>
      <c r="N86" s="32">
        <f>MIN(IF(Supuestos!$H$10="",1E+99,Supuestos!$H$10),MAX(IF(Supuestos!$G$10="",-1E+99,Supuestos!$G$10),IF(Supuestos!$C$10="Normal",NORMINV(G86,Supuestos!$D$10,Supuestos!$E$10),IF(Supuestos!$C$10="Triangular",IF(G86&lt;(Supuestos!$E$10-Supuestos!$D$10)/(Supuestos!$F$10-Supuestos!$D$10),Supuestos!$D$10+SQRT(G86*(Supuestos!$F$10-Supuestos!$D$10)*(Supuestos!$E$10-Supuestos!$D$10)),Supuestos!$F$10-SQRT((1-G86)*(Supuestos!$F$10-Supuestos!$D$10)*(Supuestos!$F$10-Supuestos!$E$10))),IF(Supuestos!$C$10="Uniforme",Supuestos!$D$10+G86*(Supuestos!$E$10-Supuestos!$D$10),IF(Supuestos!$C$10="Lognormal",LOGINV(G86,LN(Supuestos!$D$10)-LN(1+Supuestos!$E$10^2/Supuestos!$D$10^2)/2,SQRT(LN(1+Supuestos!$E$10^2/Supuestos!$D$10^2))),Supuestos!$D$10))))))</f>
        <v/>
      </c>
      <c r="O86" s="31">
        <f>MIN(IF(Supuestos!$H$11="",1E+99,Supuestos!$H$11),MAX(IF(Supuestos!$G$11="",-1E+99,Supuestos!$G$11),IF(Supuestos!$C$11="Normal",NORMINV(H86,Supuestos!$D$11,Supuestos!$E$11),IF(Supuestos!$C$11="Triangular",IF(H86&lt;(Supuestos!$E$11-Supuestos!$D$11)/(Supuestos!$F$11-Supuestos!$D$11),Supuestos!$D$11+SQRT(H86*(Supuestos!$F$11-Supuestos!$D$11)*(Supuestos!$E$11-Supuestos!$D$11)),Supuestos!$F$11-SQRT((1-H86)*(Supuestos!$F$11-Supuestos!$D$11)*(Supuestos!$F$11-Supuestos!$E$11))),IF(Supuestos!$C$11="Uniforme",Supuestos!$D$11+H86*(Supuestos!$E$11-Supuestos!$D$11),IF(Supuestos!$C$11="Lognormal",LOGINV(H86,LN(Supuestos!$D$11)-LN(1+Supuestos!$E$11^2/Supuestos!$D$11^2)/2,SQRT(LN(1+Supuestos!$E$11^2/Supuestos!$D$11^2))),Supuestos!$D$11))))))</f>
        <v/>
      </c>
      <c r="P86" s="33">
        <f>-I86</f>
        <v/>
      </c>
      <c r="Q86" s="33">
        <f>$J86*(1+$K86)^(1-1)*(1-$L86)*(1-$M86)</f>
        <v/>
      </c>
      <c r="R86" s="33">
        <f>$J86*(1+$K86)^(2-1)*(1-$L86)*(1-$M86)</f>
        <v/>
      </c>
      <c r="S86" s="33">
        <f>$J86*(1+$K86)^(3-1)*(1-$L86)*(1-$M86)</f>
        <v/>
      </c>
      <c r="T86" s="33">
        <f>$J86*(1+$K86)^(4-1)*(1-$L86)*(1-$M86)</f>
        <v/>
      </c>
      <c r="U86" s="33">
        <f>$J86*(1+$K86)^(5-1)*(1-$L86)*(1-$M86)+$O86</f>
        <v/>
      </c>
      <c r="V86" s="33">
        <f>P86+NPV($N86,Q86:U86)</f>
        <v/>
      </c>
      <c r="W86" s="32">
        <f>IFERROR(IRR(P86:U86,0.1),"")</f>
        <v/>
      </c>
    </row>
    <row r="87">
      <c r="A87" s="14" t="n">
        <v>83</v>
      </c>
      <c r="B87" s="30">
        <f>RAND()*(1-2E-6)+1E-6</f>
        <v/>
      </c>
      <c r="C87" s="30">
        <f>RAND()*(1-2E-6)+1E-6</f>
        <v/>
      </c>
      <c r="D87" s="30">
        <f>RAND()*(1-2E-6)+1E-6</f>
        <v/>
      </c>
      <c r="E87" s="30">
        <f>RAND()*(1-2E-6)+1E-6</f>
        <v/>
      </c>
      <c r="F87" s="30">
        <f>RAND()*(1-2E-6)+1E-6</f>
        <v/>
      </c>
      <c r="G87" s="30">
        <f>RAND()*(1-2E-6)+1E-6</f>
        <v/>
      </c>
      <c r="H87" s="30">
        <f>RAND()*(1-2E-6)+1E-6</f>
        <v/>
      </c>
      <c r="I87" s="31">
        <f>MIN(IF(Supuestos!$H$5="",1E+99,Supuestos!$H$5),MAX(IF(Supuestos!$G$5="",-1E+99,Supuestos!$G$5),IF(Supuestos!$C$5="Normal",NORMINV(B87,Supuestos!$D$5,Supuestos!$E$5),IF(Supuestos!$C$5="Triangular",IF(B87&lt;(Supuestos!$E$5-Supuestos!$D$5)/(Supuestos!$F$5-Supuestos!$D$5),Supuestos!$D$5+SQRT(B87*(Supuestos!$F$5-Supuestos!$D$5)*(Supuestos!$E$5-Supuestos!$D$5)),Supuestos!$F$5-SQRT((1-B87)*(Supuestos!$F$5-Supuestos!$D$5)*(Supuestos!$F$5-Supuestos!$E$5))),IF(Supuestos!$C$5="Uniforme",Supuestos!$D$5+B87*(Supuestos!$E$5-Supuestos!$D$5),IF(Supuestos!$C$5="Lognormal",LOGINV(B87,LN(Supuestos!$D$5)-LN(1+Supuestos!$E$5^2/Supuestos!$D$5^2)/2,SQRT(LN(1+Supuestos!$E$5^2/Supuestos!$D$5^2))),Supuestos!$D$5))))))</f>
        <v/>
      </c>
      <c r="J87" s="31">
        <f>MIN(IF(Supuestos!$H$6="",1E+99,Supuestos!$H$6),MAX(IF(Supuestos!$G$6="",-1E+99,Supuestos!$G$6),IF(Supuestos!$C$6="Normal",NORMINV(C87,Supuestos!$D$6,Supuestos!$E$6),IF(Supuestos!$C$6="Triangular",IF(C87&lt;(Supuestos!$E$6-Supuestos!$D$6)/(Supuestos!$F$6-Supuestos!$D$6),Supuestos!$D$6+SQRT(C87*(Supuestos!$F$6-Supuestos!$D$6)*(Supuestos!$E$6-Supuestos!$D$6)),Supuestos!$F$6-SQRT((1-C87)*(Supuestos!$F$6-Supuestos!$D$6)*(Supuestos!$F$6-Supuestos!$E$6))),IF(Supuestos!$C$6="Uniforme",Supuestos!$D$6+C87*(Supuestos!$E$6-Supuestos!$D$6),IF(Supuestos!$C$6="Lognormal",LOGINV(C87,LN(Supuestos!$D$6)-LN(1+Supuestos!$E$6^2/Supuestos!$D$6^2)/2,SQRT(LN(1+Supuestos!$E$6^2/Supuestos!$D$6^2))),Supuestos!$D$6))))))</f>
        <v/>
      </c>
      <c r="K87" s="32">
        <f>MIN(IF(Supuestos!$H$7="",1E+99,Supuestos!$H$7),MAX(IF(Supuestos!$G$7="",-1E+99,Supuestos!$G$7),IF(Supuestos!$C$7="Normal",NORMINV(D87,Supuestos!$D$7,Supuestos!$E$7),IF(Supuestos!$C$7="Triangular",IF(D87&lt;(Supuestos!$E$7-Supuestos!$D$7)/(Supuestos!$F$7-Supuestos!$D$7),Supuestos!$D$7+SQRT(D87*(Supuestos!$F$7-Supuestos!$D$7)*(Supuestos!$E$7-Supuestos!$D$7)),Supuestos!$F$7-SQRT((1-D87)*(Supuestos!$F$7-Supuestos!$D$7)*(Supuestos!$F$7-Supuestos!$E$7))),IF(Supuestos!$C$7="Uniforme",Supuestos!$D$7+D87*(Supuestos!$E$7-Supuestos!$D$7),IF(Supuestos!$C$7="Lognormal",LOGINV(D87,LN(Supuestos!$D$7)-LN(1+Supuestos!$E$7^2/Supuestos!$D$7^2)/2,SQRT(LN(1+Supuestos!$E$7^2/Supuestos!$D$7^2))),Supuestos!$D$7))))))</f>
        <v/>
      </c>
      <c r="L87" s="32">
        <f>MIN(IF(Supuestos!$H$8="",1E+99,Supuestos!$H$8),MAX(IF(Supuestos!$G$8="",-1E+99,Supuestos!$G$8),IF(Supuestos!$C$8="Normal",NORMINV(E87,Supuestos!$D$8,Supuestos!$E$8),IF(Supuestos!$C$8="Triangular",IF(E87&lt;(Supuestos!$E$8-Supuestos!$D$8)/(Supuestos!$F$8-Supuestos!$D$8),Supuestos!$D$8+SQRT(E87*(Supuestos!$F$8-Supuestos!$D$8)*(Supuestos!$E$8-Supuestos!$D$8)),Supuestos!$F$8-SQRT((1-E87)*(Supuestos!$F$8-Supuestos!$D$8)*(Supuestos!$F$8-Supuestos!$E$8))),IF(Supuestos!$C$8="Uniforme",Supuestos!$D$8+E87*(Supuestos!$E$8-Supuestos!$D$8),IF(Supuestos!$C$8="Lognormal",LOGINV(E87,LN(Supuestos!$D$8)-LN(1+Supuestos!$E$8^2/Supuestos!$D$8^2)/2,SQRT(LN(1+Supuestos!$E$8^2/Supuestos!$D$8^2))),Supuestos!$D$8))))))</f>
        <v/>
      </c>
      <c r="M87" s="32">
        <f>MIN(IF(Supuestos!$H$9="",1E+99,Supuestos!$H$9),MAX(IF(Supuestos!$G$9="",-1E+99,Supuestos!$G$9),IF(Supuestos!$C$9="Normal",NORMINV(F87,Supuestos!$D$9,Supuestos!$E$9),IF(Supuestos!$C$9="Triangular",IF(F87&lt;(Supuestos!$E$9-Supuestos!$D$9)/(Supuestos!$F$9-Supuestos!$D$9),Supuestos!$D$9+SQRT(F87*(Supuestos!$F$9-Supuestos!$D$9)*(Supuestos!$E$9-Supuestos!$D$9)),Supuestos!$F$9-SQRT((1-F87)*(Supuestos!$F$9-Supuestos!$D$9)*(Supuestos!$F$9-Supuestos!$E$9))),IF(Supuestos!$C$9="Uniforme",Supuestos!$D$9+F87*(Supuestos!$E$9-Supuestos!$D$9),IF(Supuestos!$C$9="Lognormal",LOGINV(F87,LN(Supuestos!$D$9)-LN(1+Supuestos!$E$9^2/Supuestos!$D$9^2)/2,SQRT(LN(1+Supuestos!$E$9^2/Supuestos!$D$9^2))),Supuestos!$D$9))))))</f>
        <v/>
      </c>
      <c r="N87" s="32">
        <f>MIN(IF(Supuestos!$H$10="",1E+99,Supuestos!$H$10),MAX(IF(Supuestos!$G$10="",-1E+99,Supuestos!$G$10),IF(Supuestos!$C$10="Normal",NORMINV(G87,Supuestos!$D$10,Supuestos!$E$10),IF(Supuestos!$C$10="Triangular",IF(G87&lt;(Supuestos!$E$10-Supuestos!$D$10)/(Supuestos!$F$10-Supuestos!$D$10),Supuestos!$D$10+SQRT(G87*(Supuestos!$F$10-Supuestos!$D$10)*(Supuestos!$E$10-Supuestos!$D$10)),Supuestos!$F$10-SQRT((1-G87)*(Supuestos!$F$10-Supuestos!$D$10)*(Supuestos!$F$10-Supuestos!$E$10))),IF(Supuestos!$C$10="Uniforme",Supuestos!$D$10+G87*(Supuestos!$E$10-Supuestos!$D$10),IF(Supuestos!$C$10="Lognormal",LOGINV(G87,LN(Supuestos!$D$10)-LN(1+Supuestos!$E$10^2/Supuestos!$D$10^2)/2,SQRT(LN(1+Supuestos!$E$10^2/Supuestos!$D$10^2))),Supuestos!$D$10))))))</f>
        <v/>
      </c>
      <c r="O87" s="31">
        <f>MIN(IF(Supuestos!$H$11="",1E+99,Supuestos!$H$11),MAX(IF(Supuestos!$G$11="",-1E+99,Supuestos!$G$11),IF(Supuestos!$C$11="Normal",NORMINV(H87,Supuestos!$D$11,Supuestos!$E$11),IF(Supuestos!$C$11="Triangular",IF(H87&lt;(Supuestos!$E$11-Supuestos!$D$11)/(Supuestos!$F$11-Supuestos!$D$11),Supuestos!$D$11+SQRT(H87*(Supuestos!$F$11-Supuestos!$D$11)*(Supuestos!$E$11-Supuestos!$D$11)),Supuestos!$F$11-SQRT((1-H87)*(Supuestos!$F$11-Supuestos!$D$11)*(Supuestos!$F$11-Supuestos!$E$11))),IF(Supuestos!$C$11="Uniforme",Supuestos!$D$11+H87*(Supuestos!$E$11-Supuestos!$D$11),IF(Supuestos!$C$11="Lognormal",LOGINV(H87,LN(Supuestos!$D$11)-LN(1+Supuestos!$E$11^2/Supuestos!$D$11^2)/2,SQRT(LN(1+Supuestos!$E$11^2/Supuestos!$D$11^2))),Supuestos!$D$11))))))</f>
        <v/>
      </c>
      <c r="P87" s="33">
        <f>-I87</f>
        <v/>
      </c>
      <c r="Q87" s="33">
        <f>$J87*(1+$K87)^(1-1)*(1-$L87)*(1-$M87)</f>
        <v/>
      </c>
      <c r="R87" s="33">
        <f>$J87*(1+$K87)^(2-1)*(1-$L87)*(1-$M87)</f>
        <v/>
      </c>
      <c r="S87" s="33">
        <f>$J87*(1+$K87)^(3-1)*(1-$L87)*(1-$M87)</f>
        <v/>
      </c>
      <c r="T87" s="33">
        <f>$J87*(1+$K87)^(4-1)*(1-$L87)*(1-$M87)</f>
        <v/>
      </c>
      <c r="U87" s="33">
        <f>$J87*(1+$K87)^(5-1)*(1-$L87)*(1-$M87)+$O87</f>
        <v/>
      </c>
      <c r="V87" s="33">
        <f>P87+NPV($N87,Q87:U87)</f>
        <v/>
      </c>
      <c r="W87" s="32">
        <f>IFERROR(IRR(P87:U87,0.1),"")</f>
        <v/>
      </c>
    </row>
    <row r="88">
      <c r="A88" s="14" t="n">
        <v>84</v>
      </c>
      <c r="B88" s="30">
        <f>RAND()*(1-2E-6)+1E-6</f>
        <v/>
      </c>
      <c r="C88" s="30">
        <f>RAND()*(1-2E-6)+1E-6</f>
        <v/>
      </c>
      <c r="D88" s="30">
        <f>RAND()*(1-2E-6)+1E-6</f>
        <v/>
      </c>
      <c r="E88" s="30">
        <f>RAND()*(1-2E-6)+1E-6</f>
        <v/>
      </c>
      <c r="F88" s="30">
        <f>RAND()*(1-2E-6)+1E-6</f>
        <v/>
      </c>
      <c r="G88" s="30">
        <f>RAND()*(1-2E-6)+1E-6</f>
        <v/>
      </c>
      <c r="H88" s="30">
        <f>RAND()*(1-2E-6)+1E-6</f>
        <v/>
      </c>
      <c r="I88" s="31">
        <f>MIN(IF(Supuestos!$H$5="",1E+99,Supuestos!$H$5),MAX(IF(Supuestos!$G$5="",-1E+99,Supuestos!$G$5),IF(Supuestos!$C$5="Normal",NORMINV(B88,Supuestos!$D$5,Supuestos!$E$5),IF(Supuestos!$C$5="Triangular",IF(B88&lt;(Supuestos!$E$5-Supuestos!$D$5)/(Supuestos!$F$5-Supuestos!$D$5),Supuestos!$D$5+SQRT(B88*(Supuestos!$F$5-Supuestos!$D$5)*(Supuestos!$E$5-Supuestos!$D$5)),Supuestos!$F$5-SQRT((1-B88)*(Supuestos!$F$5-Supuestos!$D$5)*(Supuestos!$F$5-Supuestos!$E$5))),IF(Supuestos!$C$5="Uniforme",Supuestos!$D$5+B88*(Supuestos!$E$5-Supuestos!$D$5),IF(Supuestos!$C$5="Lognormal",LOGINV(B88,LN(Supuestos!$D$5)-LN(1+Supuestos!$E$5^2/Supuestos!$D$5^2)/2,SQRT(LN(1+Supuestos!$E$5^2/Supuestos!$D$5^2))),Supuestos!$D$5))))))</f>
        <v/>
      </c>
      <c r="J88" s="31">
        <f>MIN(IF(Supuestos!$H$6="",1E+99,Supuestos!$H$6),MAX(IF(Supuestos!$G$6="",-1E+99,Supuestos!$G$6),IF(Supuestos!$C$6="Normal",NORMINV(C88,Supuestos!$D$6,Supuestos!$E$6),IF(Supuestos!$C$6="Triangular",IF(C88&lt;(Supuestos!$E$6-Supuestos!$D$6)/(Supuestos!$F$6-Supuestos!$D$6),Supuestos!$D$6+SQRT(C88*(Supuestos!$F$6-Supuestos!$D$6)*(Supuestos!$E$6-Supuestos!$D$6)),Supuestos!$F$6-SQRT((1-C88)*(Supuestos!$F$6-Supuestos!$D$6)*(Supuestos!$F$6-Supuestos!$E$6))),IF(Supuestos!$C$6="Uniforme",Supuestos!$D$6+C88*(Supuestos!$E$6-Supuestos!$D$6),IF(Supuestos!$C$6="Lognormal",LOGINV(C88,LN(Supuestos!$D$6)-LN(1+Supuestos!$E$6^2/Supuestos!$D$6^2)/2,SQRT(LN(1+Supuestos!$E$6^2/Supuestos!$D$6^2))),Supuestos!$D$6))))))</f>
        <v/>
      </c>
      <c r="K88" s="32">
        <f>MIN(IF(Supuestos!$H$7="",1E+99,Supuestos!$H$7),MAX(IF(Supuestos!$G$7="",-1E+99,Supuestos!$G$7),IF(Supuestos!$C$7="Normal",NORMINV(D88,Supuestos!$D$7,Supuestos!$E$7),IF(Supuestos!$C$7="Triangular",IF(D88&lt;(Supuestos!$E$7-Supuestos!$D$7)/(Supuestos!$F$7-Supuestos!$D$7),Supuestos!$D$7+SQRT(D88*(Supuestos!$F$7-Supuestos!$D$7)*(Supuestos!$E$7-Supuestos!$D$7)),Supuestos!$F$7-SQRT((1-D88)*(Supuestos!$F$7-Supuestos!$D$7)*(Supuestos!$F$7-Supuestos!$E$7))),IF(Supuestos!$C$7="Uniforme",Supuestos!$D$7+D88*(Supuestos!$E$7-Supuestos!$D$7),IF(Supuestos!$C$7="Lognormal",LOGINV(D88,LN(Supuestos!$D$7)-LN(1+Supuestos!$E$7^2/Supuestos!$D$7^2)/2,SQRT(LN(1+Supuestos!$E$7^2/Supuestos!$D$7^2))),Supuestos!$D$7))))))</f>
        <v/>
      </c>
      <c r="L88" s="32">
        <f>MIN(IF(Supuestos!$H$8="",1E+99,Supuestos!$H$8),MAX(IF(Supuestos!$G$8="",-1E+99,Supuestos!$G$8),IF(Supuestos!$C$8="Normal",NORMINV(E88,Supuestos!$D$8,Supuestos!$E$8),IF(Supuestos!$C$8="Triangular",IF(E88&lt;(Supuestos!$E$8-Supuestos!$D$8)/(Supuestos!$F$8-Supuestos!$D$8),Supuestos!$D$8+SQRT(E88*(Supuestos!$F$8-Supuestos!$D$8)*(Supuestos!$E$8-Supuestos!$D$8)),Supuestos!$F$8-SQRT((1-E88)*(Supuestos!$F$8-Supuestos!$D$8)*(Supuestos!$F$8-Supuestos!$E$8))),IF(Supuestos!$C$8="Uniforme",Supuestos!$D$8+E88*(Supuestos!$E$8-Supuestos!$D$8),IF(Supuestos!$C$8="Lognormal",LOGINV(E88,LN(Supuestos!$D$8)-LN(1+Supuestos!$E$8^2/Supuestos!$D$8^2)/2,SQRT(LN(1+Supuestos!$E$8^2/Supuestos!$D$8^2))),Supuestos!$D$8))))))</f>
        <v/>
      </c>
      <c r="M88" s="32">
        <f>MIN(IF(Supuestos!$H$9="",1E+99,Supuestos!$H$9),MAX(IF(Supuestos!$G$9="",-1E+99,Supuestos!$G$9),IF(Supuestos!$C$9="Normal",NORMINV(F88,Supuestos!$D$9,Supuestos!$E$9),IF(Supuestos!$C$9="Triangular",IF(F88&lt;(Supuestos!$E$9-Supuestos!$D$9)/(Supuestos!$F$9-Supuestos!$D$9),Supuestos!$D$9+SQRT(F88*(Supuestos!$F$9-Supuestos!$D$9)*(Supuestos!$E$9-Supuestos!$D$9)),Supuestos!$F$9-SQRT((1-F88)*(Supuestos!$F$9-Supuestos!$D$9)*(Supuestos!$F$9-Supuestos!$E$9))),IF(Supuestos!$C$9="Uniforme",Supuestos!$D$9+F88*(Supuestos!$E$9-Supuestos!$D$9),IF(Supuestos!$C$9="Lognormal",LOGINV(F88,LN(Supuestos!$D$9)-LN(1+Supuestos!$E$9^2/Supuestos!$D$9^2)/2,SQRT(LN(1+Supuestos!$E$9^2/Supuestos!$D$9^2))),Supuestos!$D$9))))))</f>
        <v/>
      </c>
      <c r="N88" s="32">
        <f>MIN(IF(Supuestos!$H$10="",1E+99,Supuestos!$H$10),MAX(IF(Supuestos!$G$10="",-1E+99,Supuestos!$G$10),IF(Supuestos!$C$10="Normal",NORMINV(G88,Supuestos!$D$10,Supuestos!$E$10),IF(Supuestos!$C$10="Triangular",IF(G88&lt;(Supuestos!$E$10-Supuestos!$D$10)/(Supuestos!$F$10-Supuestos!$D$10),Supuestos!$D$10+SQRT(G88*(Supuestos!$F$10-Supuestos!$D$10)*(Supuestos!$E$10-Supuestos!$D$10)),Supuestos!$F$10-SQRT((1-G88)*(Supuestos!$F$10-Supuestos!$D$10)*(Supuestos!$F$10-Supuestos!$E$10))),IF(Supuestos!$C$10="Uniforme",Supuestos!$D$10+G88*(Supuestos!$E$10-Supuestos!$D$10),IF(Supuestos!$C$10="Lognormal",LOGINV(G88,LN(Supuestos!$D$10)-LN(1+Supuestos!$E$10^2/Supuestos!$D$10^2)/2,SQRT(LN(1+Supuestos!$E$10^2/Supuestos!$D$10^2))),Supuestos!$D$10))))))</f>
        <v/>
      </c>
      <c r="O88" s="31">
        <f>MIN(IF(Supuestos!$H$11="",1E+99,Supuestos!$H$11),MAX(IF(Supuestos!$G$11="",-1E+99,Supuestos!$G$11),IF(Supuestos!$C$11="Normal",NORMINV(H88,Supuestos!$D$11,Supuestos!$E$11),IF(Supuestos!$C$11="Triangular",IF(H88&lt;(Supuestos!$E$11-Supuestos!$D$11)/(Supuestos!$F$11-Supuestos!$D$11),Supuestos!$D$11+SQRT(H88*(Supuestos!$F$11-Supuestos!$D$11)*(Supuestos!$E$11-Supuestos!$D$11)),Supuestos!$F$11-SQRT((1-H88)*(Supuestos!$F$11-Supuestos!$D$11)*(Supuestos!$F$11-Supuestos!$E$11))),IF(Supuestos!$C$11="Uniforme",Supuestos!$D$11+H88*(Supuestos!$E$11-Supuestos!$D$11),IF(Supuestos!$C$11="Lognormal",LOGINV(H88,LN(Supuestos!$D$11)-LN(1+Supuestos!$E$11^2/Supuestos!$D$11^2)/2,SQRT(LN(1+Supuestos!$E$11^2/Supuestos!$D$11^2))),Supuestos!$D$11))))))</f>
        <v/>
      </c>
      <c r="P88" s="33">
        <f>-I88</f>
        <v/>
      </c>
      <c r="Q88" s="33">
        <f>$J88*(1+$K88)^(1-1)*(1-$L88)*(1-$M88)</f>
        <v/>
      </c>
      <c r="R88" s="33">
        <f>$J88*(1+$K88)^(2-1)*(1-$L88)*(1-$M88)</f>
        <v/>
      </c>
      <c r="S88" s="33">
        <f>$J88*(1+$K88)^(3-1)*(1-$L88)*(1-$M88)</f>
        <v/>
      </c>
      <c r="T88" s="33">
        <f>$J88*(1+$K88)^(4-1)*(1-$L88)*(1-$M88)</f>
        <v/>
      </c>
      <c r="U88" s="33">
        <f>$J88*(1+$K88)^(5-1)*(1-$L88)*(1-$M88)+$O88</f>
        <v/>
      </c>
      <c r="V88" s="33">
        <f>P88+NPV($N88,Q88:U88)</f>
        <v/>
      </c>
      <c r="W88" s="32">
        <f>IFERROR(IRR(P88:U88,0.1),"")</f>
        <v/>
      </c>
    </row>
    <row r="89">
      <c r="A89" s="14" t="n">
        <v>85</v>
      </c>
      <c r="B89" s="30">
        <f>RAND()*(1-2E-6)+1E-6</f>
        <v/>
      </c>
      <c r="C89" s="30">
        <f>RAND()*(1-2E-6)+1E-6</f>
        <v/>
      </c>
      <c r="D89" s="30">
        <f>RAND()*(1-2E-6)+1E-6</f>
        <v/>
      </c>
      <c r="E89" s="30">
        <f>RAND()*(1-2E-6)+1E-6</f>
        <v/>
      </c>
      <c r="F89" s="30">
        <f>RAND()*(1-2E-6)+1E-6</f>
        <v/>
      </c>
      <c r="G89" s="30">
        <f>RAND()*(1-2E-6)+1E-6</f>
        <v/>
      </c>
      <c r="H89" s="30">
        <f>RAND()*(1-2E-6)+1E-6</f>
        <v/>
      </c>
      <c r="I89" s="31">
        <f>MIN(IF(Supuestos!$H$5="",1E+99,Supuestos!$H$5),MAX(IF(Supuestos!$G$5="",-1E+99,Supuestos!$G$5),IF(Supuestos!$C$5="Normal",NORMINV(B89,Supuestos!$D$5,Supuestos!$E$5),IF(Supuestos!$C$5="Triangular",IF(B89&lt;(Supuestos!$E$5-Supuestos!$D$5)/(Supuestos!$F$5-Supuestos!$D$5),Supuestos!$D$5+SQRT(B89*(Supuestos!$F$5-Supuestos!$D$5)*(Supuestos!$E$5-Supuestos!$D$5)),Supuestos!$F$5-SQRT((1-B89)*(Supuestos!$F$5-Supuestos!$D$5)*(Supuestos!$F$5-Supuestos!$E$5))),IF(Supuestos!$C$5="Uniforme",Supuestos!$D$5+B89*(Supuestos!$E$5-Supuestos!$D$5),IF(Supuestos!$C$5="Lognormal",LOGINV(B89,LN(Supuestos!$D$5)-LN(1+Supuestos!$E$5^2/Supuestos!$D$5^2)/2,SQRT(LN(1+Supuestos!$E$5^2/Supuestos!$D$5^2))),Supuestos!$D$5))))))</f>
        <v/>
      </c>
      <c r="J89" s="31">
        <f>MIN(IF(Supuestos!$H$6="",1E+99,Supuestos!$H$6),MAX(IF(Supuestos!$G$6="",-1E+99,Supuestos!$G$6),IF(Supuestos!$C$6="Normal",NORMINV(C89,Supuestos!$D$6,Supuestos!$E$6),IF(Supuestos!$C$6="Triangular",IF(C89&lt;(Supuestos!$E$6-Supuestos!$D$6)/(Supuestos!$F$6-Supuestos!$D$6),Supuestos!$D$6+SQRT(C89*(Supuestos!$F$6-Supuestos!$D$6)*(Supuestos!$E$6-Supuestos!$D$6)),Supuestos!$F$6-SQRT((1-C89)*(Supuestos!$F$6-Supuestos!$D$6)*(Supuestos!$F$6-Supuestos!$E$6))),IF(Supuestos!$C$6="Uniforme",Supuestos!$D$6+C89*(Supuestos!$E$6-Supuestos!$D$6),IF(Supuestos!$C$6="Lognormal",LOGINV(C89,LN(Supuestos!$D$6)-LN(1+Supuestos!$E$6^2/Supuestos!$D$6^2)/2,SQRT(LN(1+Supuestos!$E$6^2/Supuestos!$D$6^2))),Supuestos!$D$6))))))</f>
        <v/>
      </c>
      <c r="K89" s="32">
        <f>MIN(IF(Supuestos!$H$7="",1E+99,Supuestos!$H$7),MAX(IF(Supuestos!$G$7="",-1E+99,Supuestos!$G$7),IF(Supuestos!$C$7="Normal",NORMINV(D89,Supuestos!$D$7,Supuestos!$E$7),IF(Supuestos!$C$7="Triangular",IF(D89&lt;(Supuestos!$E$7-Supuestos!$D$7)/(Supuestos!$F$7-Supuestos!$D$7),Supuestos!$D$7+SQRT(D89*(Supuestos!$F$7-Supuestos!$D$7)*(Supuestos!$E$7-Supuestos!$D$7)),Supuestos!$F$7-SQRT((1-D89)*(Supuestos!$F$7-Supuestos!$D$7)*(Supuestos!$F$7-Supuestos!$E$7))),IF(Supuestos!$C$7="Uniforme",Supuestos!$D$7+D89*(Supuestos!$E$7-Supuestos!$D$7),IF(Supuestos!$C$7="Lognormal",LOGINV(D89,LN(Supuestos!$D$7)-LN(1+Supuestos!$E$7^2/Supuestos!$D$7^2)/2,SQRT(LN(1+Supuestos!$E$7^2/Supuestos!$D$7^2))),Supuestos!$D$7))))))</f>
        <v/>
      </c>
      <c r="L89" s="32">
        <f>MIN(IF(Supuestos!$H$8="",1E+99,Supuestos!$H$8),MAX(IF(Supuestos!$G$8="",-1E+99,Supuestos!$G$8),IF(Supuestos!$C$8="Normal",NORMINV(E89,Supuestos!$D$8,Supuestos!$E$8),IF(Supuestos!$C$8="Triangular",IF(E89&lt;(Supuestos!$E$8-Supuestos!$D$8)/(Supuestos!$F$8-Supuestos!$D$8),Supuestos!$D$8+SQRT(E89*(Supuestos!$F$8-Supuestos!$D$8)*(Supuestos!$E$8-Supuestos!$D$8)),Supuestos!$F$8-SQRT((1-E89)*(Supuestos!$F$8-Supuestos!$D$8)*(Supuestos!$F$8-Supuestos!$E$8))),IF(Supuestos!$C$8="Uniforme",Supuestos!$D$8+E89*(Supuestos!$E$8-Supuestos!$D$8),IF(Supuestos!$C$8="Lognormal",LOGINV(E89,LN(Supuestos!$D$8)-LN(1+Supuestos!$E$8^2/Supuestos!$D$8^2)/2,SQRT(LN(1+Supuestos!$E$8^2/Supuestos!$D$8^2))),Supuestos!$D$8))))))</f>
        <v/>
      </c>
      <c r="M89" s="32">
        <f>MIN(IF(Supuestos!$H$9="",1E+99,Supuestos!$H$9),MAX(IF(Supuestos!$G$9="",-1E+99,Supuestos!$G$9),IF(Supuestos!$C$9="Normal",NORMINV(F89,Supuestos!$D$9,Supuestos!$E$9),IF(Supuestos!$C$9="Triangular",IF(F89&lt;(Supuestos!$E$9-Supuestos!$D$9)/(Supuestos!$F$9-Supuestos!$D$9),Supuestos!$D$9+SQRT(F89*(Supuestos!$F$9-Supuestos!$D$9)*(Supuestos!$E$9-Supuestos!$D$9)),Supuestos!$F$9-SQRT((1-F89)*(Supuestos!$F$9-Supuestos!$D$9)*(Supuestos!$F$9-Supuestos!$E$9))),IF(Supuestos!$C$9="Uniforme",Supuestos!$D$9+F89*(Supuestos!$E$9-Supuestos!$D$9),IF(Supuestos!$C$9="Lognormal",LOGINV(F89,LN(Supuestos!$D$9)-LN(1+Supuestos!$E$9^2/Supuestos!$D$9^2)/2,SQRT(LN(1+Supuestos!$E$9^2/Supuestos!$D$9^2))),Supuestos!$D$9))))))</f>
        <v/>
      </c>
      <c r="N89" s="32">
        <f>MIN(IF(Supuestos!$H$10="",1E+99,Supuestos!$H$10),MAX(IF(Supuestos!$G$10="",-1E+99,Supuestos!$G$10),IF(Supuestos!$C$10="Normal",NORMINV(G89,Supuestos!$D$10,Supuestos!$E$10),IF(Supuestos!$C$10="Triangular",IF(G89&lt;(Supuestos!$E$10-Supuestos!$D$10)/(Supuestos!$F$10-Supuestos!$D$10),Supuestos!$D$10+SQRT(G89*(Supuestos!$F$10-Supuestos!$D$10)*(Supuestos!$E$10-Supuestos!$D$10)),Supuestos!$F$10-SQRT((1-G89)*(Supuestos!$F$10-Supuestos!$D$10)*(Supuestos!$F$10-Supuestos!$E$10))),IF(Supuestos!$C$10="Uniforme",Supuestos!$D$10+G89*(Supuestos!$E$10-Supuestos!$D$10),IF(Supuestos!$C$10="Lognormal",LOGINV(G89,LN(Supuestos!$D$10)-LN(1+Supuestos!$E$10^2/Supuestos!$D$10^2)/2,SQRT(LN(1+Supuestos!$E$10^2/Supuestos!$D$10^2))),Supuestos!$D$10))))))</f>
        <v/>
      </c>
      <c r="O89" s="31">
        <f>MIN(IF(Supuestos!$H$11="",1E+99,Supuestos!$H$11),MAX(IF(Supuestos!$G$11="",-1E+99,Supuestos!$G$11),IF(Supuestos!$C$11="Normal",NORMINV(H89,Supuestos!$D$11,Supuestos!$E$11),IF(Supuestos!$C$11="Triangular",IF(H89&lt;(Supuestos!$E$11-Supuestos!$D$11)/(Supuestos!$F$11-Supuestos!$D$11),Supuestos!$D$11+SQRT(H89*(Supuestos!$F$11-Supuestos!$D$11)*(Supuestos!$E$11-Supuestos!$D$11)),Supuestos!$F$11-SQRT((1-H89)*(Supuestos!$F$11-Supuestos!$D$11)*(Supuestos!$F$11-Supuestos!$E$11))),IF(Supuestos!$C$11="Uniforme",Supuestos!$D$11+H89*(Supuestos!$E$11-Supuestos!$D$11),IF(Supuestos!$C$11="Lognormal",LOGINV(H89,LN(Supuestos!$D$11)-LN(1+Supuestos!$E$11^2/Supuestos!$D$11^2)/2,SQRT(LN(1+Supuestos!$E$11^2/Supuestos!$D$11^2))),Supuestos!$D$11))))))</f>
        <v/>
      </c>
      <c r="P89" s="33">
        <f>-I89</f>
        <v/>
      </c>
      <c r="Q89" s="33">
        <f>$J89*(1+$K89)^(1-1)*(1-$L89)*(1-$M89)</f>
        <v/>
      </c>
      <c r="R89" s="33">
        <f>$J89*(1+$K89)^(2-1)*(1-$L89)*(1-$M89)</f>
        <v/>
      </c>
      <c r="S89" s="33">
        <f>$J89*(1+$K89)^(3-1)*(1-$L89)*(1-$M89)</f>
        <v/>
      </c>
      <c r="T89" s="33">
        <f>$J89*(1+$K89)^(4-1)*(1-$L89)*(1-$M89)</f>
        <v/>
      </c>
      <c r="U89" s="33">
        <f>$J89*(1+$K89)^(5-1)*(1-$L89)*(1-$M89)+$O89</f>
        <v/>
      </c>
      <c r="V89" s="33">
        <f>P89+NPV($N89,Q89:U89)</f>
        <v/>
      </c>
      <c r="W89" s="32">
        <f>IFERROR(IRR(P89:U89,0.1),"")</f>
        <v/>
      </c>
    </row>
    <row r="90">
      <c r="A90" s="14" t="n">
        <v>86</v>
      </c>
      <c r="B90" s="30">
        <f>RAND()*(1-2E-6)+1E-6</f>
        <v/>
      </c>
      <c r="C90" s="30">
        <f>RAND()*(1-2E-6)+1E-6</f>
        <v/>
      </c>
      <c r="D90" s="30">
        <f>RAND()*(1-2E-6)+1E-6</f>
        <v/>
      </c>
      <c r="E90" s="30">
        <f>RAND()*(1-2E-6)+1E-6</f>
        <v/>
      </c>
      <c r="F90" s="30">
        <f>RAND()*(1-2E-6)+1E-6</f>
        <v/>
      </c>
      <c r="G90" s="30">
        <f>RAND()*(1-2E-6)+1E-6</f>
        <v/>
      </c>
      <c r="H90" s="30">
        <f>RAND()*(1-2E-6)+1E-6</f>
        <v/>
      </c>
      <c r="I90" s="31">
        <f>MIN(IF(Supuestos!$H$5="",1E+99,Supuestos!$H$5),MAX(IF(Supuestos!$G$5="",-1E+99,Supuestos!$G$5),IF(Supuestos!$C$5="Normal",NORMINV(B90,Supuestos!$D$5,Supuestos!$E$5),IF(Supuestos!$C$5="Triangular",IF(B90&lt;(Supuestos!$E$5-Supuestos!$D$5)/(Supuestos!$F$5-Supuestos!$D$5),Supuestos!$D$5+SQRT(B90*(Supuestos!$F$5-Supuestos!$D$5)*(Supuestos!$E$5-Supuestos!$D$5)),Supuestos!$F$5-SQRT((1-B90)*(Supuestos!$F$5-Supuestos!$D$5)*(Supuestos!$F$5-Supuestos!$E$5))),IF(Supuestos!$C$5="Uniforme",Supuestos!$D$5+B90*(Supuestos!$E$5-Supuestos!$D$5),IF(Supuestos!$C$5="Lognormal",LOGINV(B90,LN(Supuestos!$D$5)-LN(1+Supuestos!$E$5^2/Supuestos!$D$5^2)/2,SQRT(LN(1+Supuestos!$E$5^2/Supuestos!$D$5^2))),Supuestos!$D$5))))))</f>
        <v/>
      </c>
      <c r="J90" s="31">
        <f>MIN(IF(Supuestos!$H$6="",1E+99,Supuestos!$H$6),MAX(IF(Supuestos!$G$6="",-1E+99,Supuestos!$G$6),IF(Supuestos!$C$6="Normal",NORMINV(C90,Supuestos!$D$6,Supuestos!$E$6),IF(Supuestos!$C$6="Triangular",IF(C90&lt;(Supuestos!$E$6-Supuestos!$D$6)/(Supuestos!$F$6-Supuestos!$D$6),Supuestos!$D$6+SQRT(C90*(Supuestos!$F$6-Supuestos!$D$6)*(Supuestos!$E$6-Supuestos!$D$6)),Supuestos!$F$6-SQRT((1-C90)*(Supuestos!$F$6-Supuestos!$D$6)*(Supuestos!$F$6-Supuestos!$E$6))),IF(Supuestos!$C$6="Uniforme",Supuestos!$D$6+C90*(Supuestos!$E$6-Supuestos!$D$6),IF(Supuestos!$C$6="Lognormal",LOGINV(C90,LN(Supuestos!$D$6)-LN(1+Supuestos!$E$6^2/Supuestos!$D$6^2)/2,SQRT(LN(1+Supuestos!$E$6^2/Supuestos!$D$6^2))),Supuestos!$D$6))))))</f>
        <v/>
      </c>
      <c r="K90" s="32">
        <f>MIN(IF(Supuestos!$H$7="",1E+99,Supuestos!$H$7),MAX(IF(Supuestos!$G$7="",-1E+99,Supuestos!$G$7),IF(Supuestos!$C$7="Normal",NORMINV(D90,Supuestos!$D$7,Supuestos!$E$7),IF(Supuestos!$C$7="Triangular",IF(D90&lt;(Supuestos!$E$7-Supuestos!$D$7)/(Supuestos!$F$7-Supuestos!$D$7),Supuestos!$D$7+SQRT(D90*(Supuestos!$F$7-Supuestos!$D$7)*(Supuestos!$E$7-Supuestos!$D$7)),Supuestos!$F$7-SQRT((1-D90)*(Supuestos!$F$7-Supuestos!$D$7)*(Supuestos!$F$7-Supuestos!$E$7))),IF(Supuestos!$C$7="Uniforme",Supuestos!$D$7+D90*(Supuestos!$E$7-Supuestos!$D$7),IF(Supuestos!$C$7="Lognormal",LOGINV(D90,LN(Supuestos!$D$7)-LN(1+Supuestos!$E$7^2/Supuestos!$D$7^2)/2,SQRT(LN(1+Supuestos!$E$7^2/Supuestos!$D$7^2))),Supuestos!$D$7))))))</f>
        <v/>
      </c>
      <c r="L90" s="32">
        <f>MIN(IF(Supuestos!$H$8="",1E+99,Supuestos!$H$8),MAX(IF(Supuestos!$G$8="",-1E+99,Supuestos!$G$8),IF(Supuestos!$C$8="Normal",NORMINV(E90,Supuestos!$D$8,Supuestos!$E$8),IF(Supuestos!$C$8="Triangular",IF(E90&lt;(Supuestos!$E$8-Supuestos!$D$8)/(Supuestos!$F$8-Supuestos!$D$8),Supuestos!$D$8+SQRT(E90*(Supuestos!$F$8-Supuestos!$D$8)*(Supuestos!$E$8-Supuestos!$D$8)),Supuestos!$F$8-SQRT((1-E90)*(Supuestos!$F$8-Supuestos!$D$8)*(Supuestos!$F$8-Supuestos!$E$8))),IF(Supuestos!$C$8="Uniforme",Supuestos!$D$8+E90*(Supuestos!$E$8-Supuestos!$D$8),IF(Supuestos!$C$8="Lognormal",LOGINV(E90,LN(Supuestos!$D$8)-LN(1+Supuestos!$E$8^2/Supuestos!$D$8^2)/2,SQRT(LN(1+Supuestos!$E$8^2/Supuestos!$D$8^2))),Supuestos!$D$8))))))</f>
        <v/>
      </c>
      <c r="M90" s="32">
        <f>MIN(IF(Supuestos!$H$9="",1E+99,Supuestos!$H$9),MAX(IF(Supuestos!$G$9="",-1E+99,Supuestos!$G$9),IF(Supuestos!$C$9="Normal",NORMINV(F90,Supuestos!$D$9,Supuestos!$E$9),IF(Supuestos!$C$9="Triangular",IF(F90&lt;(Supuestos!$E$9-Supuestos!$D$9)/(Supuestos!$F$9-Supuestos!$D$9),Supuestos!$D$9+SQRT(F90*(Supuestos!$F$9-Supuestos!$D$9)*(Supuestos!$E$9-Supuestos!$D$9)),Supuestos!$F$9-SQRT((1-F90)*(Supuestos!$F$9-Supuestos!$D$9)*(Supuestos!$F$9-Supuestos!$E$9))),IF(Supuestos!$C$9="Uniforme",Supuestos!$D$9+F90*(Supuestos!$E$9-Supuestos!$D$9),IF(Supuestos!$C$9="Lognormal",LOGINV(F90,LN(Supuestos!$D$9)-LN(1+Supuestos!$E$9^2/Supuestos!$D$9^2)/2,SQRT(LN(1+Supuestos!$E$9^2/Supuestos!$D$9^2))),Supuestos!$D$9))))))</f>
        <v/>
      </c>
      <c r="N90" s="32">
        <f>MIN(IF(Supuestos!$H$10="",1E+99,Supuestos!$H$10),MAX(IF(Supuestos!$G$10="",-1E+99,Supuestos!$G$10),IF(Supuestos!$C$10="Normal",NORMINV(G90,Supuestos!$D$10,Supuestos!$E$10),IF(Supuestos!$C$10="Triangular",IF(G90&lt;(Supuestos!$E$10-Supuestos!$D$10)/(Supuestos!$F$10-Supuestos!$D$10),Supuestos!$D$10+SQRT(G90*(Supuestos!$F$10-Supuestos!$D$10)*(Supuestos!$E$10-Supuestos!$D$10)),Supuestos!$F$10-SQRT((1-G90)*(Supuestos!$F$10-Supuestos!$D$10)*(Supuestos!$F$10-Supuestos!$E$10))),IF(Supuestos!$C$10="Uniforme",Supuestos!$D$10+G90*(Supuestos!$E$10-Supuestos!$D$10),IF(Supuestos!$C$10="Lognormal",LOGINV(G90,LN(Supuestos!$D$10)-LN(1+Supuestos!$E$10^2/Supuestos!$D$10^2)/2,SQRT(LN(1+Supuestos!$E$10^2/Supuestos!$D$10^2))),Supuestos!$D$10))))))</f>
        <v/>
      </c>
      <c r="O90" s="31">
        <f>MIN(IF(Supuestos!$H$11="",1E+99,Supuestos!$H$11),MAX(IF(Supuestos!$G$11="",-1E+99,Supuestos!$G$11),IF(Supuestos!$C$11="Normal",NORMINV(H90,Supuestos!$D$11,Supuestos!$E$11),IF(Supuestos!$C$11="Triangular",IF(H90&lt;(Supuestos!$E$11-Supuestos!$D$11)/(Supuestos!$F$11-Supuestos!$D$11),Supuestos!$D$11+SQRT(H90*(Supuestos!$F$11-Supuestos!$D$11)*(Supuestos!$E$11-Supuestos!$D$11)),Supuestos!$F$11-SQRT((1-H90)*(Supuestos!$F$11-Supuestos!$D$11)*(Supuestos!$F$11-Supuestos!$E$11))),IF(Supuestos!$C$11="Uniforme",Supuestos!$D$11+H90*(Supuestos!$E$11-Supuestos!$D$11),IF(Supuestos!$C$11="Lognormal",LOGINV(H90,LN(Supuestos!$D$11)-LN(1+Supuestos!$E$11^2/Supuestos!$D$11^2)/2,SQRT(LN(1+Supuestos!$E$11^2/Supuestos!$D$11^2))),Supuestos!$D$11))))))</f>
        <v/>
      </c>
      <c r="P90" s="33">
        <f>-I90</f>
        <v/>
      </c>
      <c r="Q90" s="33">
        <f>$J90*(1+$K90)^(1-1)*(1-$L90)*(1-$M90)</f>
        <v/>
      </c>
      <c r="R90" s="33">
        <f>$J90*(1+$K90)^(2-1)*(1-$L90)*(1-$M90)</f>
        <v/>
      </c>
      <c r="S90" s="33">
        <f>$J90*(1+$K90)^(3-1)*(1-$L90)*(1-$M90)</f>
        <v/>
      </c>
      <c r="T90" s="33">
        <f>$J90*(1+$K90)^(4-1)*(1-$L90)*(1-$M90)</f>
        <v/>
      </c>
      <c r="U90" s="33">
        <f>$J90*(1+$K90)^(5-1)*(1-$L90)*(1-$M90)+$O90</f>
        <v/>
      </c>
      <c r="V90" s="33">
        <f>P90+NPV($N90,Q90:U90)</f>
        <v/>
      </c>
      <c r="W90" s="32">
        <f>IFERROR(IRR(P90:U90,0.1),"")</f>
        <v/>
      </c>
    </row>
    <row r="91">
      <c r="A91" s="14" t="n">
        <v>87</v>
      </c>
      <c r="B91" s="30">
        <f>RAND()*(1-2E-6)+1E-6</f>
        <v/>
      </c>
      <c r="C91" s="30">
        <f>RAND()*(1-2E-6)+1E-6</f>
        <v/>
      </c>
      <c r="D91" s="30">
        <f>RAND()*(1-2E-6)+1E-6</f>
        <v/>
      </c>
      <c r="E91" s="30">
        <f>RAND()*(1-2E-6)+1E-6</f>
        <v/>
      </c>
      <c r="F91" s="30">
        <f>RAND()*(1-2E-6)+1E-6</f>
        <v/>
      </c>
      <c r="G91" s="30">
        <f>RAND()*(1-2E-6)+1E-6</f>
        <v/>
      </c>
      <c r="H91" s="30">
        <f>RAND()*(1-2E-6)+1E-6</f>
        <v/>
      </c>
      <c r="I91" s="31">
        <f>MIN(IF(Supuestos!$H$5="",1E+99,Supuestos!$H$5),MAX(IF(Supuestos!$G$5="",-1E+99,Supuestos!$G$5),IF(Supuestos!$C$5="Normal",NORMINV(B91,Supuestos!$D$5,Supuestos!$E$5),IF(Supuestos!$C$5="Triangular",IF(B91&lt;(Supuestos!$E$5-Supuestos!$D$5)/(Supuestos!$F$5-Supuestos!$D$5),Supuestos!$D$5+SQRT(B91*(Supuestos!$F$5-Supuestos!$D$5)*(Supuestos!$E$5-Supuestos!$D$5)),Supuestos!$F$5-SQRT((1-B91)*(Supuestos!$F$5-Supuestos!$D$5)*(Supuestos!$F$5-Supuestos!$E$5))),IF(Supuestos!$C$5="Uniforme",Supuestos!$D$5+B91*(Supuestos!$E$5-Supuestos!$D$5),IF(Supuestos!$C$5="Lognormal",LOGINV(B91,LN(Supuestos!$D$5)-LN(1+Supuestos!$E$5^2/Supuestos!$D$5^2)/2,SQRT(LN(1+Supuestos!$E$5^2/Supuestos!$D$5^2))),Supuestos!$D$5))))))</f>
        <v/>
      </c>
      <c r="J91" s="31">
        <f>MIN(IF(Supuestos!$H$6="",1E+99,Supuestos!$H$6),MAX(IF(Supuestos!$G$6="",-1E+99,Supuestos!$G$6),IF(Supuestos!$C$6="Normal",NORMINV(C91,Supuestos!$D$6,Supuestos!$E$6),IF(Supuestos!$C$6="Triangular",IF(C91&lt;(Supuestos!$E$6-Supuestos!$D$6)/(Supuestos!$F$6-Supuestos!$D$6),Supuestos!$D$6+SQRT(C91*(Supuestos!$F$6-Supuestos!$D$6)*(Supuestos!$E$6-Supuestos!$D$6)),Supuestos!$F$6-SQRT((1-C91)*(Supuestos!$F$6-Supuestos!$D$6)*(Supuestos!$F$6-Supuestos!$E$6))),IF(Supuestos!$C$6="Uniforme",Supuestos!$D$6+C91*(Supuestos!$E$6-Supuestos!$D$6),IF(Supuestos!$C$6="Lognormal",LOGINV(C91,LN(Supuestos!$D$6)-LN(1+Supuestos!$E$6^2/Supuestos!$D$6^2)/2,SQRT(LN(1+Supuestos!$E$6^2/Supuestos!$D$6^2))),Supuestos!$D$6))))))</f>
        <v/>
      </c>
      <c r="K91" s="32">
        <f>MIN(IF(Supuestos!$H$7="",1E+99,Supuestos!$H$7),MAX(IF(Supuestos!$G$7="",-1E+99,Supuestos!$G$7),IF(Supuestos!$C$7="Normal",NORMINV(D91,Supuestos!$D$7,Supuestos!$E$7),IF(Supuestos!$C$7="Triangular",IF(D91&lt;(Supuestos!$E$7-Supuestos!$D$7)/(Supuestos!$F$7-Supuestos!$D$7),Supuestos!$D$7+SQRT(D91*(Supuestos!$F$7-Supuestos!$D$7)*(Supuestos!$E$7-Supuestos!$D$7)),Supuestos!$F$7-SQRT((1-D91)*(Supuestos!$F$7-Supuestos!$D$7)*(Supuestos!$F$7-Supuestos!$E$7))),IF(Supuestos!$C$7="Uniforme",Supuestos!$D$7+D91*(Supuestos!$E$7-Supuestos!$D$7),IF(Supuestos!$C$7="Lognormal",LOGINV(D91,LN(Supuestos!$D$7)-LN(1+Supuestos!$E$7^2/Supuestos!$D$7^2)/2,SQRT(LN(1+Supuestos!$E$7^2/Supuestos!$D$7^2))),Supuestos!$D$7))))))</f>
        <v/>
      </c>
      <c r="L91" s="32">
        <f>MIN(IF(Supuestos!$H$8="",1E+99,Supuestos!$H$8),MAX(IF(Supuestos!$G$8="",-1E+99,Supuestos!$G$8),IF(Supuestos!$C$8="Normal",NORMINV(E91,Supuestos!$D$8,Supuestos!$E$8),IF(Supuestos!$C$8="Triangular",IF(E91&lt;(Supuestos!$E$8-Supuestos!$D$8)/(Supuestos!$F$8-Supuestos!$D$8),Supuestos!$D$8+SQRT(E91*(Supuestos!$F$8-Supuestos!$D$8)*(Supuestos!$E$8-Supuestos!$D$8)),Supuestos!$F$8-SQRT((1-E91)*(Supuestos!$F$8-Supuestos!$D$8)*(Supuestos!$F$8-Supuestos!$E$8))),IF(Supuestos!$C$8="Uniforme",Supuestos!$D$8+E91*(Supuestos!$E$8-Supuestos!$D$8),IF(Supuestos!$C$8="Lognormal",LOGINV(E91,LN(Supuestos!$D$8)-LN(1+Supuestos!$E$8^2/Supuestos!$D$8^2)/2,SQRT(LN(1+Supuestos!$E$8^2/Supuestos!$D$8^2))),Supuestos!$D$8))))))</f>
        <v/>
      </c>
      <c r="M91" s="32">
        <f>MIN(IF(Supuestos!$H$9="",1E+99,Supuestos!$H$9),MAX(IF(Supuestos!$G$9="",-1E+99,Supuestos!$G$9),IF(Supuestos!$C$9="Normal",NORMINV(F91,Supuestos!$D$9,Supuestos!$E$9),IF(Supuestos!$C$9="Triangular",IF(F91&lt;(Supuestos!$E$9-Supuestos!$D$9)/(Supuestos!$F$9-Supuestos!$D$9),Supuestos!$D$9+SQRT(F91*(Supuestos!$F$9-Supuestos!$D$9)*(Supuestos!$E$9-Supuestos!$D$9)),Supuestos!$F$9-SQRT((1-F91)*(Supuestos!$F$9-Supuestos!$D$9)*(Supuestos!$F$9-Supuestos!$E$9))),IF(Supuestos!$C$9="Uniforme",Supuestos!$D$9+F91*(Supuestos!$E$9-Supuestos!$D$9),IF(Supuestos!$C$9="Lognormal",LOGINV(F91,LN(Supuestos!$D$9)-LN(1+Supuestos!$E$9^2/Supuestos!$D$9^2)/2,SQRT(LN(1+Supuestos!$E$9^2/Supuestos!$D$9^2))),Supuestos!$D$9))))))</f>
        <v/>
      </c>
      <c r="N91" s="32">
        <f>MIN(IF(Supuestos!$H$10="",1E+99,Supuestos!$H$10),MAX(IF(Supuestos!$G$10="",-1E+99,Supuestos!$G$10),IF(Supuestos!$C$10="Normal",NORMINV(G91,Supuestos!$D$10,Supuestos!$E$10),IF(Supuestos!$C$10="Triangular",IF(G91&lt;(Supuestos!$E$10-Supuestos!$D$10)/(Supuestos!$F$10-Supuestos!$D$10),Supuestos!$D$10+SQRT(G91*(Supuestos!$F$10-Supuestos!$D$10)*(Supuestos!$E$10-Supuestos!$D$10)),Supuestos!$F$10-SQRT((1-G91)*(Supuestos!$F$10-Supuestos!$D$10)*(Supuestos!$F$10-Supuestos!$E$10))),IF(Supuestos!$C$10="Uniforme",Supuestos!$D$10+G91*(Supuestos!$E$10-Supuestos!$D$10),IF(Supuestos!$C$10="Lognormal",LOGINV(G91,LN(Supuestos!$D$10)-LN(1+Supuestos!$E$10^2/Supuestos!$D$10^2)/2,SQRT(LN(1+Supuestos!$E$10^2/Supuestos!$D$10^2))),Supuestos!$D$10))))))</f>
        <v/>
      </c>
      <c r="O91" s="31">
        <f>MIN(IF(Supuestos!$H$11="",1E+99,Supuestos!$H$11),MAX(IF(Supuestos!$G$11="",-1E+99,Supuestos!$G$11),IF(Supuestos!$C$11="Normal",NORMINV(H91,Supuestos!$D$11,Supuestos!$E$11),IF(Supuestos!$C$11="Triangular",IF(H91&lt;(Supuestos!$E$11-Supuestos!$D$11)/(Supuestos!$F$11-Supuestos!$D$11),Supuestos!$D$11+SQRT(H91*(Supuestos!$F$11-Supuestos!$D$11)*(Supuestos!$E$11-Supuestos!$D$11)),Supuestos!$F$11-SQRT((1-H91)*(Supuestos!$F$11-Supuestos!$D$11)*(Supuestos!$F$11-Supuestos!$E$11))),IF(Supuestos!$C$11="Uniforme",Supuestos!$D$11+H91*(Supuestos!$E$11-Supuestos!$D$11),IF(Supuestos!$C$11="Lognormal",LOGINV(H91,LN(Supuestos!$D$11)-LN(1+Supuestos!$E$11^2/Supuestos!$D$11^2)/2,SQRT(LN(1+Supuestos!$E$11^2/Supuestos!$D$11^2))),Supuestos!$D$11))))))</f>
        <v/>
      </c>
      <c r="P91" s="33">
        <f>-I91</f>
        <v/>
      </c>
      <c r="Q91" s="33">
        <f>$J91*(1+$K91)^(1-1)*(1-$L91)*(1-$M91)</f>
        <v/>
      </c>
      <c r="R91" s="33">
        <f>$J91*(1+$K91)^(2-1)*(1-$L91)*(1-$M91)</f>
        <v/>
      </c>
      <c r="S91" s="33">
        <f>$J91*(1+$K91)^(3-1)*(1-$L91)*(1-$M91)</f>
        <v/>
      </c>
      <c r="T91" s="33">
        <f>$J91*(1+$K91)^(4-1)*(1-$L91)*(1-$M91)</f>
        <v/>
      </c>
      <c r="U91" s="33">
        <f>$J91*(1+$K91)^(5-1)*(1-$L91)*(1-$M91)+$O91</f>
        <v/>
      </c>
      <c r="V91" s="33">
        <f>P91+NPV($N91,Q91:U91)</f>
        <v/>
      </c>
      <c r="W91" s="32">
        <f>IFERROR(IRR(P91:U91,0.1),"")</f>
        <v/>
      </c>
    </row>
    <row r="92">
      <c r="A92" s="14" t="n">
        <v>88</v>
      </c>
      <c r="B92" s="30">
        <f>RAND()*(1-2E-6)+1E-6</f>
        <v/>
      </c>
      <c r="C92" s="30">
        <f>RAND()*(1-2E-6)+1E-6</f>
        <v/>
      </c>
      <c r="D92" s="30">
        <f>RAND()*(1-2E-6)+1E-6</f>
        <v/>
      </c>
      <c r="E92" s="30">
        <f>RAND()*(1-2E-6)+1E-6</f>
        <v/>
      </c>
      <c r="F92" s="30">
        <f>RAND()*(1-2E-6)+1E-6</f>
        <v/>
      </c>
      <c r="G92" s="30">
        <f>RAND()*(1-2E-6)+1E-6</f>
        <v/>
      </c>
      <c r="H92" s="30">
        <f>RAND()*(1-2E-6)+1E-6</f>
        <v/>
      </c>
      <c r="I92" s="31">
        <f>MIN(IF(Supuestos!$H$5="",1E+99,Supuestos!$H$5),MAX(IF(Supuestos!$G$5="",-1E+99,Supuestos!$G$5),IF(Supuestos!$C$5="Normal",NORMINV(B92,Supuestos!$D$5,Supuestos!$E$5),IF(Supuestos!$C$5="Triangular",IF(B92&lt;(Supuestos!$E$5-Supuestos!$D$5)/(Supuestos!$F$5-Supuestos!$D$5),Supuestos!$D$5+SQRT(B92*(Supuestos!$F$5-Supuestos!$D$5)*(Supuestos!$E$5-Supuestos!$D$5)),Supuestos!$F$5-SQRT((1-B92)*(Supuestos!$F$5-Supuestos!$D$5)*(Supuestos!$F$5-Supuestos!$E$5))),IF(Supuestos!$C$5="Uniforme",Supuestos!$D$5+B92*(Supuestos!$E$5-Supuestos!$D$5),IF(Supuestos!$C$5="Lognormal",LOGINV(B92,LN(Supuestos!$D$5)-LN(1+Supuestos!$E$5^2/Supuestos!$D$5^2)/2,SQRT(LN(1+Supuestos!$E$5^2/Supuestos!$D$5^2))),Supuestos!$D$5))))))</f>
        <v/>
      </c>
      <c r="J92" s="31">
        <f>MIN(IF(Supuestos!$H$6="",1E+99,Supuestos!$H$6),MAX(IF(Supuestos!$G$6="",-1E+99,Supuestos!$G$6),IF(Supuestos!$C$6="Normal",NORMINV(C92,Supuestos!$D$6,Supuestos!$E$6),IF(Supuestos!$C$6="Triangular",IF(C92&lt;(Supuestos!$E$6-Supuestos!$D$6)/(Supuestos!$F$6-Supuestos!$D$6),Supuestos!$D$6+SQRT(C92*(Supuestos!$F$6-Supuestos!$D$6)*(Supuestos!$E$6-Supuestos!$D$6)),Supuestos!$F$6-SQRT((1-C92)*(Supuestos!$F$6-Supuestos!$D$6)*(Supuestos!$F$6-Supuestos!$E$6))),IF(Supuestos!$C$6="Uniforme",Supuestos!$D$6+C92*(Supuestos!$E$6-Supuestos!$D$6),IF(Supuestos!$C$6="Lognormal",LOGINV(C92,LN(Supuestos!$D$6)-LN(1+Supuestos!$E$6^2/Supuestos!$D$6^2)/2,SQRT(LN(1+Supuestos!$E$6^2/Supuestos!$D$6^2))),Supuestos!$D$6))))))</f>
        <v/>
      </c>
      <c r="K92" s="32">
        <f>MIN(IF(Supuestos!$H$7="",1E+99,Supuestos!$H$7),MAX(IF(Supuestos!$G$7="",-1E+99,Supuestos!$G$7),IF(Supuestos!$C$7="Normal",NORMINV(D92,Supuestos!$D$7,Supuestos!$E$7),IF(Supuestos!$C$7="Triangular",IF(D92&lt;(Supuestos!$E$7-Supuestos!$D$7)/(Supuestos!$F$7-Supuestos!$D$7),Supuestos!$D$7+SQRT(D92*(Supuestos!$F$7-Supuestos!$D$7)*(Supuestos!$E$7-Supuestos!$D$7)),Supuestos!$F$7-SQRT((1-D92)*(Supuestos!$F$7-Supuestos!$D$7)*(Supuestos!$F$7-Supuestos!$E$7))),IF(Supuestos!$C$7="Uniforme",Supuestos!$D$7+D92*(Supuestos!$E$7-Supuestos!$D$7),IF(Supuestos!$C$7="Lognormal",LOGINV(D92,LN(Supuestos!$D$7)-LN(1+Supuestos!$E$7^2/Supuestos!$D$7^2)/2,SQRT(LN(1+Supuestos!$E$7^2/Supuestos!$D$7^2))),Supuestos!$D$7))))))</f>
        <v/>
      </c>
      <c r="L92" s="32">
        <f>MIN(IF(Supuestos!$H$8="",1E+99,Supuestos!$H$8),MAX(IF(Supuestos!$G$8="",-1E+99,Supuestos!$G$8),IF(Supuestos!$C$8="Normal",NORMINV(E92,Supuestos!$D$8,Supuestos!$E$8),IF(Supuestos!$C$8="Triangular",IF(E92&lt;(Supuestos!$E$8-Supuestos!$D$8)/(Supuestos!$F$8-Supuestos!$D$8),Supuestos!$D$8+SQRT(E92*(Supuestos!$F$8-Supuestos!$D$8)*(Supuestos!$E$8-Supuestos!$D$8)),Supuestos!$F$8-SQRT((1-E92)*(Supuestos!$F$8-Supuestos!$D$8)*(Supuestos!$F$8-Supuestos!$E$8))),IF(Supuestos!$C$8="Uniforme",Supuestos!$D$8+E92*(Supuestos!$E$8-Supuestos!$D$8),IF(Supuestos!$C$8="Lognormal",LOGINV(E92,LN(Supuestos!$D$8)-LN(1+Supuestos!$E$8^2/Supuestos!$D$8^2)/2,SQRT(LN(1+Supuestos!$E$8^2/Supuestos!$D$8^2))),Supuestos!$D$8))))))</f>
        <v/>
      </c>
      <c r="M92" s="32">
        <f>MIN(IF(Supuestos!$H$9="",1E+99,Supuestos!$H$9),MAX(IF(Supuestos!$G$9="",-1E+99,Supuestos!$G$9),IF(Supuestos!$C$9="Normal",NORMINV(F92,Supuestos!$D$9,Supuestos!$E$9),IF(Supuestos!$C$9="Triangular",IF(F92&lt;(Supuestos!$E$9-Supuestos!$D$9)/(Supuestos!$F$9-Supuestos!$D$9),Supuestos!$D$9+SQRT(F92*(Supuestos!$F$9-Supuestos!$D$9)*(Supuestos!$E$9-Supuestos!$D$9)),Supuestos!$F$9-SQRT((1-F92)*(Supuestos!$F$9-Supuestos!$D$9)*(Supuestos!$F$9-Supuestos!$E$9))),IF(Supuestos!$C$9="Uniforme",Supuestos!$D$9+F92*(Supuestos!$E$9-Supuestos!$D$9),IF(Supuestos!$C$9="Lognormal",LOGINV(F92,LN(Supuestos!$D$9)-LN(1+Supuestos!$E$9^2/Supuestos!$D$9^2)/2,SQRT(LN(1+Supuestos!$E$9^2/Supuestos!$D$9^2))),Supuestos!$D$9))))))</f>
        <v/>
      </c>
      <c r="N92" s="32">
        <f>MIN(IF(Supuestos!$H$10="",1E+99,Supuestos!$H$10),MAX(IF(Supuestos!$G$10="",-1E+99,Supuestos!$G$10),IF(Supuestos!$C$10="Normal",NORMINV(G92,Supuestos!$D$10,Supuestos!$E$10),IF(Supuestos!$C$10="Triangular",IF(G92&lt;(Supuestos!$E$10-Supuestos!$D$10)/(Supuestos!$F$10-Supuestos!$D$10),Supuestos!$D$10+SQRT(G92*(Supuestos!$F$10-Supuestos!$D$10)*(Supuestos!$E$10-Supuestos!$D$10)),Supuestos!$F$10-SQRT((1-G92)*(Supuestos!$F$10-Supuestos!$D$10)*(Supuestos!$F$10-Supuestos!$E$10))),IF(Supuestos!$C$10="Uniforme",Supuestos!$D$10+G92*(Supuestos!$E$10-Supuestos!$D$10),IF(Supuestos!$C$10="Lognormal",LOGINV(G92,LN(Supuestos!$D$10)-LN(1+Supuestos!$E$10^2/Supuestos!$D$10^2)/2,SQRT(LN(1+Supuestos!$E$10^2/Supuestos!$D$10^2))),Supuestos!$D$10))))))</f>
        <v/>
      </c>
      <c r="O92" s="31">
        <f>MIN(IF(Supuestos!$H$11="",1E+99,Supuestos!$H$11),MAX(IF(Supuestos!$G$11="",-1E+99,Supuestos!$G$11),IF(Supuestos!$C$11="Normal",NORMINV(H92,Supuestos!$D$11,Supuestos!$E$11),IF(Supuestos!$C$11="Triangular",IF(H92&lt;(Supuestos!$E$11-Supuestos!$D$11)/(Supuestos!$F$11-Supuestos!$D$11),Supuestos!$D$11+SQRT(H92*(Supuestos!$F$11-Supuestos!$D$11)*(Supuestos!$E$11-Supuestos!$D$11)),Supuestos!$F$11-SQRT((1-H92)*(Supuestos!$F$11-Supuestos!$D$11)*(Supuestos!$F$11-Supuestos!$E$11))),IF(Supuestos!$C$11="Uniforme",Supuestos!$D$11+H92*(Supuestos!$E$11-Supuestos!$D$11),IF(Supuestos!$C$11="Lognormal",LOGINV(H92,LN(Supuestos!$D$11)-LN(1+Supuestos!$E$11^2/Supuestos!$D$11^2)/2,SQRT(LN(1+Supuestos!$E$11^2/Supuestos!$D$11^2))),Supuestos!$D$11))))))</f>
        <v/>
      </c>
      <c r="P92" s="33">
        <f>-I92</f>
        <v/>
      </c>
      <c r="Q92" s="33">
        <f>$J92*(1+$K92)^(1-1)*(1-$L92)*(1-$M92)</f>
        <v/>
      </c>
      <c r="R92" s="33">
        <f>$J92*(1+$K92)^(2-1)*(1-$L92)*(1-$M92)</f>
        <v/>
      </c>
      <c r="S92" s="33">
        <f>$J92*(1+$K92)^(3-1)*(1-$L92)*(1-$M92)</f>
        <v/>
      </c>
      <c r="T92" s="33">
        <f>$J92*(1+$K92)^(4-1)*(1-$L92)*(1-$M92)</f>
        <v/>
      </c>
      <c r="U92" s="33">
        <f>$J92*(1+$K92)^(5-1)*(1-$L92)*(1-$M92)+$O92</f>
        <v/>
      </c>
      <c r="V92" s="33">
        <f>P92+NPV($N92,Q92:U92)</f>
        <v/>
      </c>
      <c r="W92" s="32">
        <f>IFERROR(IRR(P92:U92,0.1),"")</f>
        <v/>
      </c>
    </row>
    <row r="93">
      <c r="A93" s="14" t="n">
        <v>89</v>
      </c>
      <c r="B93" s="30">
        <f>RAND()*(1-2E-6)+1E-6</f>
        <v/>
      </c>
      <c r="C93" s="30">
        <f>RAND()*(1-2E-6)+1E-6</f>
        <v/>
      </c>
      <c r="D93" s="30">
        <f>RAND()*(1-2E-6)+1E-6</f>
        <v/>
      </c>
      <c r="E93" s="30">
        <f>RAND()*(1-2E-6)+1E-6</f>
        <v/>
      </c>
      <c r="F93" s="30">
        <f>RAND()*(1-2E-6)+1E-6</f>
        <v/>
      </c>
      <c r="G93" s="30">
        <f>RAND()*(1-2E-6)+1E-6</f>
        <v/>
      </c>
      <c r="H93" s="30">
        <f>RAND()*(1-2E-6)+1E-6</f>
        <v/>
      </c>
      <c r="I93" s="31">
        <f>MIN(IF(Supuestos!$H$5="",1E+99,Supuestos!$H$5),MAX(IF(Supuestos!$G$5="",-1E+99,Supuestos!$G$5),IF(Supuestos!$C$5="Normal",NORMINV(B93,Supuestos!$D$5,Supuestos!$E$5),IF(Supuestos!$C$5="Triangular",IF(B93&lt;(Supuestos!$E$5-Supuestos!$D$5)/(Supuestos!$F$5-Supuestos!$D$5),Supuestos!$D$5+SQRT(B93*(Supuestos!$F$5-Supuestos!$D$5)*(Supuestos!$E$5-Supuestos!$D$5)),Supuestos!$F$5-SQRT((1-B93)*(Supuestos!$F$5-Supuestos!$D$5)*(Supuestos!$F$5-Supuestos!$E$5))),IF(Supuestos!$C$5="Uniforme",Supuestos!$D$5+B93*(Supuestos!$E$5-Supuestos!$D$5),IF(Supuestos!$C$5="Lognormal",LOGINV(B93,LN(Supuestos!$D$5)-LN(1+Supuestos!$E$5^2/Supuestos!$D$5^2)/2,SQRT(LN(1+Supuestos!$E$5^2/Supuestos!$D$5^2))),Supuestos!$D$5))))))</f>
        <v/>
      </c>
      <c r="J93" s="31">
        <f>MIN(IF(Supuestos!$H$6="",1E+99,Supuestos!$H$6),MAX(IF(Supuestos!$G$6="",-1E+99,Supuestos!$G$6),IF(Supuestos!$C$6="Normal",NORMINV(C93,Supuestos!$D$6,Supuestos!$E$6),IF(Supuestos!$C$6="Triangular",IF(C93&lt;(Supuestos!$E$6-Supuestos!$D$6)/(Supuestos!$F$6-Supuestos!$D$6),Supuestos!$D$6+SQRT(C93*(Supuestos!$F$6-Supuestos!$D$6)*(Supuestos!$E$6-Supuestos!$D$6)),Supuestos!$F$6-SQRT((1-C93)*(Supuestos!$F$6-Supuestos!$D$6)*(Supuestos!$F$6-Supuestos!$E$6))),IF(Supuestos!$C$6="Uniforme",Supuestos!$D$6+C93*(Supuestos!$E$6-Supuestos!$D$6),IF(Supuestos!$C$6="Lognormal",LOGINV(C93,LN(Supuestos!$D$6)-LN(1+Supuestos!$E$6^2/Supuestos!$D$6^2)/2,SQRT(LN(1+Supuestos!$E$6^2/Supuestos!$D$6^2))),Supuestos!$D$6))))))</f>
        <v/>
      </c>
      <c r="K93" s="32">
        <f>MIN(IF(Supuestos!$H$7="",1E+99,Supuestos!$H$7),MAX(IF(Supuestos!$G$7="",-1E+99,Supuestos!$G$7),IF(Supuestos!$C$7="Normal",NORMINV(D93,Supuestos!$D$7,Supuestos!$E$7),IF(Supuestos!$C$7="Triangular",IF(D93&lt;(Supuestos!$E$7-Supuestos!$D$7)/(Supuestos!$F$7-Supuestos!$D$7),Supuestos!$D$7+SQRT(D93*(Supuestos!$F$7-Supuestos!$D$7)*(Supuestos!$E$7-Supuestos!$D$7)),Supuestos!$F$7-SQRT((1-D93)*(Supuestos!$F$7-Supuestos!$D$7)*(Supuestos!$F$7-Supuestos!$E$7))),IF(Supuestos!$C$7="Uniforme",Supuestos!$D$7+D93*(Supuestos!$E$7-Supuestos!$D$7),IF(Supuestos!$C$7="Lognormal",LOGINV(D93,LN(Supuestos!$D$7)-LN(1+Supuestos!$E$7^2/Supuestos!$D$7^2)/2,SQRT(LN(1+Supuestos!$E$7^2/Supuestos!$D$7^2))),Supuestos!$D$7))))))</f>
        <v/>
      </c>
      <c r="L93" s="32">
        <f>MIN(IF(Supuestos!$H$8="",1E+99,Supuestos!$H$8),MAX(IF(Supuestos!$G$8="",-1E+99,Supuestos!$G$8),IF(Supuestos!$C$8="Normal",NORMINV(E93,Supuestos!$D$8,Supuestos!$E$8),IF(Supuestos!$C$8="Triangular",IF(E93&lt;(Supuestos!$E$8-Supuestos!$D$8)/(Supuestos!$F$8-Supuestos!$D$8),Supuestos!$D$8+SQRT(E93*(Supuestos!$F$8-Supuestos!$D$8)*(Supuestos!$E$8-Supuestos!$D$8)),Supuestos!$F$8-SQRT((1-E93)*(Supuestos!$F$8-Supuestos!$D$8)*(Supuestos!$F$8-Supuestos!$E$8))),IF(Supuestos!$C$8="Uniforme",Supuestos!$D$8+E93*(Supuestos!$E$8-Supuestos!$D$8),IF(Supuestos!$C$8="Lognormal",LOGINV(E93,LN(Supuestos!$D$8)-LN(1+Supuestos!$E$8^2/Supuestos!$D$8^2)/2,SQRT(LN(1+Supuestos!$E$8^2/Supuestos!$D$8^2))),Supuestos!$D$8))))))</f>
        <v/>
      </c>
      <c r="M93" s="32">
        <f>MIN(IF(Supuestos!$H$9="",1E+99,Supuestos!$H$9),MAX(IF(Supuestos!$G$9="",-1E+99,Supuestos!$G$9),IF(Supuestos!$C$9="Normal",NORMINV(F93,Supuestos!$D$9,Supuestos!$E$9),IF(Supuestos!$C$9="Triangular",IF(F93&lt;(Supuestos!$E$9-Supuestos!$D$9)/(Supuestos!$F$9-Supuestos!$D$9),Supuestos!$D$9+SQRT(F93*(Supuestos!$F$9-Supuestos!$D$9)*(Supuestos!$E$9-Supuestos!$D$9)),Supuestos!$F$9-SQRT((1-F93)*(Supuestos!$F$9-Supuestos!$D$9)*(Supuestos!$F$9-Supuestos!$E$9))),IF(Supuestos!$C$9="Uniforme",Supuestos!$D$9+F93*(Supuestos!$E$9-Supuestos!$D$9),IF(Supuestos!$C$9="Lognormal",LOGINV(F93,LN(Supuestos!$D$9)-LN(1+Supuestos!$E$9^2/Supuestos!$D$9^2)/2,SQRT(LN(1+Supuestos!$E$9^2/Supuestos!$D$9^2))),Supuestos!$D$9))))))</f>
        <v/>
      </c>
      <c r="N93" s="32">
        <f>MIN(IF(Supuestos!$H$10="",1E+99,Supuestos!$H$10),MAX(IF(Supuestos!$G$10="",-1E+99,Supuestos!$G$10),IF(Supuestos!$C$10="Normal",NORMINV(G93,Supuestos!$D$10,Supuestos!$E$10),IF(Supuestos!$C$10="Triangular",IF(G93&lt;(Supuestos!$E$10-Supuestos!$D$10)/(Supuestos!$F$10-Supuestos!$D$10),Supuestos!$D$10+SQRT(G93*(Supuestos!$F$10-Supuestos!$D$10)*(Supuestos!$E$10-Supuestos!$D$10)),Supuestos!$F$10-SQRT((1-G93)*(Supuestos!$F$10-Supuestos!$D$10)*(Supuestos!$F$10-Supuestos!$E$10))),IF(Supuestos!$C$10="Uniforme",Supuestos!$D$10+G93*(Supuestos!$E$10-Supuestos!$D$10),IF(Supuestos!$C$10="Lognormal",LOGINV(G93,LN(Supuestos!$D$10)-LN(1+Supuestos!$E$10^2/Supuestos!$D$10^2)/2,SQRT(LN(1+Supuestos!$E$10^2/Supuestos!$D$10^2))),Supuestos!$D$10))))))</f>
        <v/>
      </c>
      <c r="O93" s="31">
        <f>MIN(IF(Supuestos!$H$11="",1E+99,Supuestos!$H$11),MAX(IF(Supuestos!$G$11="",-1E+99,Supuestos!$G$11),IF(Supuestos!$C$11="Normal",NORMINV(H93,Supuestos!$D$11,Supuestos!$E$11),IF(Supuestos!$C$11="Triangular",IF(H93&lt;(Supuestos!$E$11-Supuestos!$D$11)/(Supuestos!$F$11-Supuestos!$D$11),Supuestos!$D$11+SQRT(H93*(Supuestos!$F$11-Supuestos!$D$11)*(Supuestos!$E$11-Supuestos!$D$11)),Supuestos!$F$11-SQRT((1-H93)*(Supuestos!$F$11-Supuestos!$D$11)*(Supuestos!$F$11-Supuestos!$E$11))),IF(Supuestos!$C$11="Uniforme",Supuestos!$D$11+H93*(Supuestos!$E$11-Supuestos!$D$11),IF(Supuestos!$C$11="Lognormal",LOGINV(H93,LN(Supuestos!$D$11)-LN(1+Supuestos!$E$11^2/Supuestos!$D$11^2)/2,SQRT(LN(1+Supuestos!$E$11^2/Supuestos!$D$11^2))),Supuestos!$D$11))))))</f>
        <v/>
      </c>
      <c r="P93" s="33">
        <f>-I93</f>
        <v/>
      </c>
      <c r="Q93" s="33">
        <f>$J93*(1+$K93)^(1-1)*(1-$L93)*(1-$M93)</f>
        <v/>
      </c>
      <c r="R93" s="33">
        <f>$J93*(1+$K93)^(2-1)*(1-$L93)*(1-$M93)</f>
        <v/>
      </c>
      <c r="S93" s="33">
        <f>$J93*(1+$K93)^(3-1)*(1-$L93)*(1-$M93)</f>
        <v/>
      </c>
      <c r="T93" s="33">
        <f>$J93*(1+$K93)^(4-1)*(1-$L93)*(1-$M93)</f>
        <v/>
      </c>
      <c r="U93" s="33">
        <f>$J93*(1+$K93)^(5-1)*(1-$L93)*(1-$M93)+$O93</f>
        <v/>
      </c>
      <c r="V93" s="33">
        <f>P93+NPV($N93,Q93:U93)</f>
        <v/>
      </c>
      <c r="W93" s="32">
        <f>IFERROR(IRR(P93:U93,0.1),"")</f>
        <v/>
      </c>
    </row>
    <row r="94">
      <c r="A94" s="14" t="n">
        <v>90</v>
      </c>
      <c r="B94" s="30">
        <f>RAND()*(1-2E-6)+1E-6</f>
        <v/>
      </c>
      <c r="C94" s="30">
        <f>RAND()*(1-2E-6)+1E-6</f>
        <v/>
      </c>
      <c r="D94" s="30">
        <f>RAND()*(1-2E-6)+1E-6</f>
        <v/>
      </c>
      <c r="E94" s="30">
        <f>RAND()*(1-2E-6)+1E-6</f>
        <v/>
      </c>
      <c r="F94" s="30">
        <f>RAND()*(1-2E-6)+1E-6</f>
        <v/>
      </c>
      <c r="G94" s="30">
        <f>RAND()*(1-2E-6)+1E-6</f>
        <v/>
      </c>
      <c r="H94" s="30">
        <f>RAND()*(1-2E-6)+1E-6</f>
        <v/>
      </c>
      <c r="I94" s="31">
        <f>MIN(IF(Supuestos!$H$5="",1E+99,Supuestos!$H$5),MAX(IF(Supuestos!$G$5="",-1E+99,Supuestos!$G$5),IF(Supuestos!$C$5="Normal",NORMINV(B94,Supuestos!$D$5,Supuestos!$E$5),IF(Supuestos!$C$5="Triangular",IF(B94&lt;(Supuestos!$E$5-Supuestos!$D$5)/(Supuestos!$F$5-Supuestos!$D$5),Supuestos!$D$5+SQRT(B94*(Supuestos!$F$5-Supuestos!$D$5)*(Supuestos!$E$5-Supuestos!$D$5)),Supuestos!$F$5-SQRT((1-B94)*(Supuestos!$F$5-Supuestos!$D$5)*(Supuestos!$F$5-Supuestos!$E$5))),IF(Supuestos!$C$5="Uniforme",Supuestos!$D$5+B94*(Supuestos!$E$5-Supuestos!$D$5),IF(Supuestos!$C$5="Lognormal",LOGINV(B94,LN(Supuestos!$D$5)-LN(1+Supuestos!$E$5^2/Supuestos!$D$5^2)/2,SQRT(LN(1+Supuestos!$E$5^2/Supuestos!$D$5^2))),Supuestos!$D$5))))))</f>
        <v/>
      </c>
      <c r="J94" s="31">
        <f>MIN(IF(Supuestos!$H$6="",1E+99,Supuestos!$H$6),MAX(IF(Supuestos!$G$6="",-1E+99,Supuestos!$G$6),IF(Supuestos!$C$6="Normal",NORMINV(C94,Supuestos!$D$6,Supuestos!$E$6),IF(Supuestos!$C$6="Triangular",IF(C94&lt;(Supuestos!$E$6-Supuestos!$D$6)/(Supuestos!$F$6-Supuestos!$D$6),Supuestos!$D$6+SQRT(C94*(Supuestos!$F$6-Supuestos!$D$6)*(Supuestos!$E$6-Supuestos!$D$6)),Supuestos!$F$6-SQRT((1-C94)*(Supuestos!$F$6-Supuestos!$D$6)*(Supuestos!$F$6-Supuestos!$E$6))),IF(Supuestos!$C$6="Uniforme",Supuestos!$D$6+C94*(Supuestos!$E$6-Supuestos!$D$6),IF(Supuestos!$C$6="Lognormal",LOGINV(C94,LN(Supuestos!$D$6)-LN(1+Supuestos!$E$6^2/Supuestos!$D$6^2)/2,SQRT(LN(1+Supuestos!$E$6^2/Supuestos!$D$6^2))),Supuestos!$D$6))))))</f>
        <v/>
      </c>
      <c r="K94" s="32">
        <f>MIN(IF(Supuestos!$H$7="",1E+99,Supuestos!$H$7),MAX(IF(Supuestos!$G$7="",-1E+99,Supuestos!$G$7),IF(Supuestos!$C$7="Normal",NORMINV(D94,Supuestos!$D$7,Supuestos!$E$7),IF(Supuestos!$C$7="Triangular",IF(D94&lt;(Supuestos!$E$7-Supuestos!$D$7)/(Supuestos!$F$7-Supuestos!$D$7),Supuestos!$D$7+SQRT(D94*(Supuestos!$F$7-Supuestos!$D$7)*(Supuestos!$E$7-Supuestos!$D$7)),Supuestos!$F$7-SQRT((1-D94)*(Supuestos!$F$7-Supuestos!$D$7)*(Supuestos!$F$7-Supuestos!$E$7))),IF(Supuestos!$C$7="Uniforme",Supuestos!$D$7+D94*(Supuestos!$E$7-Supuestos!$D$7),IF(Supuestos!$C$7="Lognormal",LOGINV(D94,LN(Supuestos!$D$7)-LN(1+Supuestos!$E$7^2/Supuestos!$D$7^2)/2,SQRT(LN(1+Supuestos!$E$7^2/Supuestos!$D$7^2))),Supuestos!$D$7))))))</f>
        <v/>
      </c>
      <c r="L94" s="32">
        <f>MIN(IF(Supuestos!$H$8="",1E+99,Supuestos!$H$8),MAX(IF(Supuestos!$G$8="",-1E+99,Supuestos!$G$8),IF(Supuestos!$C$8="Normal",NORMINV(E94,Supuestos!$D$8,Supuestos!$E$8),IF(Supuestos!$C$8="Triangular",IF(E94&lt;(Supuestos!$E$8-Supuestos!$D$8)/(Supuestos!$F$8-Supuestos!$D$8),Supuestos!$D$8+SQRT(E94*(Supuestos!$F$8-Supuestos!$D$8)*(Supuestos!$E$8-Supuestos!$D$8)),Supuestos!$F$8-SQRT((1-E94)*(Supuestos!$F$8-Supuestos!$D$8)*(Supuestos!$F$8-Supuestos!$E$8))),IF(Supuestos!$C$8="Uniforme",Supuestos!$D$8+E94*(Supuestos!$E$8-Supuestos!$D$8),IF(Supuestos!$C$8="Lognormal",LOGINV(E94,LN(Supuestos!$D$8)-LN(1+Supuestos!$E$8^2/Supuestos!$D$8^2)/2,SQRT(LN(1+Supuestos!$E$8^2/Supuestos!$D$8^2))),Supuestos!$D$8))))))</f>
        <v/>
      </c>
      <c r="M94" s="32">
        <f>MIN(IF(Supuestos!$H$9="",1E+99,Supuestos!$H$9),MAX(IF(Supuestos!$G$9="",-1E+99,Supuestos!$G$9),IF(Supuestos!$C$9="Normal",NORMINV(F94,Supuestos!$D$9,Supuestos!$E$9),IF(Supuestos!$C$9="Triangular",IF(F94&lt;(Supuestos!$E$9-Supuestos!$D$9)/(Supuestos!$F$9-Supuestos!$D$9),Supuestos!$D$9+SQRT(F94*(Supuestos!$F$9-Supuestos!$D$9)*(Supuestos!$E$9-Supuestos!$D$9)),Supuestos!$F$9-SQRT((1-F94)*(Supuestos!$F$9-Supuestos!$D$9)*(Supuestos!$F$9-Supuestos!$E$9))),IF(Supuestos!$C$9="Uniforme",Supuestos!$D$9+F94*(Supuestos!$E$9-Supuestos!$D$9),IF(Supuestos!$C$9="Lognormal",LOGINV(F94,LN(Supuestos!$D$9)-LN(1+Supuestos!$E$9^2/Supuestos!$D$9^2)/2,SQRT(LN(1+Supuestos!$E$9^2/Supuestos!$D$9^2))),Supuestos!$D$9))))))</f>
        <v/>
      </c>
      <c r="N94" s="32">
        <f>MIN(IF(Supuestos!$H$10="",1E+99,Supuestos!$H$10),MAX(IF(Supuestos!$G$10="",-1E+99,Supuestos!$G$10),IF(Supuestos!$C$10="Normal",NORMINV(G94,Supuestos!$D$10,Supuestos!$E$10),IF(Supuestos!$C$10="Triangular",IF(G94&lt;(Supuestos!$E$10-Supuestos!$D$10)/(Supuestos!$F$10-Supuestos!$D$10),Supuestos!$D$10+SQRT(G94*(Supuestos!$F$10-Supuestos!$D$10)*(Supuestos!$E$10-Supuestos!$D$10)),Supuestos!$F$10-SQRT((1-G94)*(Supuestos!$F$10-Supuestos!$D$10)*(Supuestos!$F$10-Supuestos!$E$10))),IF(Supuestos!$C$10="Uniforme",Supuestos!$D$10+G94*(Supuestos!$E$10-Supuestos!$D$10),IF(Supuestos!$C$10="Lognormal",LOGINV(G94,LN(Supuestos!$D$10)-LN(1+Supuestos!$E$10^2/Supuestos!$D$10^2)/2,SQRT(LN(1+Supuestos!$E$10^2/Supuestos!$D$10^2))),Supuestos!$D$10))))))</f>
        <v/>
      </c>
      <c r="O94" s="31">
        <f>MIN(IF(Supuestos!$H$11="",1E+99,Supuestos!$H$11),MAX(IF(Supuestos!$G$11="",-1E+99,Supuestos!$G$11),IF(Supuestos!$C$11="Normal",NORMINV(H94,Supuestos!$D$11,Supuestos!$E$11),IF(Supuestos!$C$11="Triangular",IF(H94&lt;(Supuestos!$E$11-Supuestos!$D$11)/(Supuestos!$F$11-Supuestos!$D$11),Supuestos!$D$11+SQRT(H94*(Supuestos!$F$11-Supuestos!$D$11)*(Supuestos!$E$11-Supuestos!$D$11)),Supuestos!$F$11-SQRT((1-H94)*(Supuestos!$F$11-Supuestos!$D$11)*(Supuestos!$F$11-Supuestos!$E$11))),IF(Supuestos!$C$11="Uniforme",Supuestos!$D$11+H94*(Supuestos!$E$11-Supuestos!$D$11),IF(Supuestos!$C$11="Lognormal",LOGINV(H94,LN(Supuestos!$D$11)-LN(1+Supuestos!$E$11^2/Supuestos!$D$11^2)/2,SQRT(LN(1+Supuestos!$E$11^2/Supuestos!$D$11^2))),Supuestos!$D$11))))))</f>
        <v/>
      </c>
      <c r="P94" s="33">
        <f>-I94</f>
        <v/>
      </c>
      <c r="Q94" s="33">
        <f>$J94*(1+$K94)^(1-1)*(1-$L94)*(1-$M94)</f>
        <v/>
      </c>
      <c r="R94" s="33">
        <f>$J94*(1+$K94)^(2-1)*(1-$L94)*(1-$M94)</f>
        <v/>
      </c>
      <c r="S94" s="33">
        <f>$J94*(1+$K94)^(3-1)*(1-$L94)*(1-$M94)</f>
        <v/>
      </c>
      <c r="T94" s="33">
        <f>$J94*(1+$K94)^(4-1)*(1-$L94)*(1-$M94)</f>
        <v/>
      </c>
      <c r="U94" s="33">
        <f>$J94*(1+$K94)^(5-1)*(1-$L94)*(1-$M94)+$O94</f>
        <v/>
      </c>
      <c r="V94" s="33">
        <f>P94+NPV($N94,Q94:U94)</f>
        <v/>
      </c>
      <c r="W94" s="32">
        <f>IFERROR(IRR(P94:U94,0.1),"")</f>
        <v/>
      </c>
    </row>
    <row r="95">
      <c r="A95" s="14" t="n">
        <v>91</v>
      </c>
      <c r="B95" s="30">
        <f>RAND()*(1-2E-6)+1E-6</f>
        <v/>
      </c>
      <c r="C95" s="30">
        <f>RAND()*(1-2E-6)+1E-6</f>
        <v/>
      </c>
      <c r="D95" s="30">
        <f>RAND()*(1-2E-6)+1E-6</f>
        <v/>
      </c>
      <c r="E95" s="30">
        <f>RAND()*(1-2E-6)+1E-6</f>
        <v/>
      </c>
      <c r="F95" s="30">
        <f>RAND()*(1-2E-6)+1E-6</f>
        <v/>
      </c>
      <c r="G95" s="30">
        <f>RAND()*(1-2E-6)+1E-6</f>
        <v/>
      </c>
      <c r="H95" s="30">
        <f>RAND()*(1-2E-6)+1E-6</f>
        <v/>
      </c>
      <c r="I95" s="31">
        <f>MIN(IF(Supuestos!$H$5="",1E+99,Supuestos!$H$5),MAX(IF(Supuestos!$G$5="",-1E+99,Supuestos!$G$5),IF(Supuestos!$C$5="Normal",NORMINV(B95,Supuestos!$D$5,Supuestos!$E$5),IF(Supuestos!$C$5="Triangular",IF(B95&lt;(Supuestos!$E$5-Supuestos!$D$5)/(Supuestos!$F$5-Supuestos!$D$5),Supuestos!$D$5+SQRT(B95*(Supuestos!$F$5-Supuestos!$D$5)*(Supuestos!$E$5-Supuestos!$D$5)),Supuestos!$F$5-SQRT((1-B95)*(Supuestos!$F$5-Supuestos!$D$5)*(Supuestos!$F$5-Supuestos!$E$5))),IF(Supuestos!$C$5="Uniforme",Supuestos!$D$5+B95*(Supuestos!$E$5-Supuestos!$D$5),IF(Supuestos!$C$5="Lognormal",LOGINV(B95,LN(Supuestos!$D$5)-LN(1+Supuestos!$E$5^2/Supuestos!$D$5^2)/2,SQRT(LN(1+Supuestos!$E$5^2/Supuestos!$D$5^2))),Supuestos!$D$5))))))</f>
        <v/>
      </c>
      <c r="J95" s="31">
        <f>MIN(IF(Supuestos!$H$6="",1E+99,Supuestos!$H$6),MAX(IF(Supuestos!$G$6="",-1E+99,Supuestos!$G$6),IF(Supuestos!$C$6="Normal",NORMINV(C95,Supuestos!$D$6,Supuestos!$E$6),IF(Supuestos!$C$6="Triangular",IF(C95&lt;(Supuestos!$E$6-Supuestos!$D$6)/(Supuestos!$F$6-Supuestos!$D$6),Supuestos!$D$6+SQRT(C95*(Supuestos!$F$6-Supuestos!$D$6)*(Supuestos!$E$6-Supuestos!$D$6)),Supuestos!$F$6-SQRT((1-C95)*(Supuestos!$F$6-Supuestos!$D$6)*(Supuestos!$F$6-Supuestos!$E$6))),IF(Supuestos!$C$6="Uniforme",Supuestos!$D$6+C95*(Supuestos!$E$6-Supuestos!$D$6),IF(Supuestos!$C$6="Lognormal",LOGINV(C95,LN(Supuestos!$D$6)-LN(1+Supuestos!$E$6^2/Supuestos!$D$6^2)/2,SQRT(LN(1+Supuestos!$E$6^2/Supuestos!$D$6^2))),Supuestos!$D$6))))))</f>
        <v/>
      </c>
      <c r="K95" s="32">
        <f>MIN(IF(Supuestos!$H$7="",1E+99,Supuestos!$H$7),MAX(IF(Supuestos!$G$7="",-1E+99,Supuestos!$G$7),IF(Supuestos!$C$7="Normal",NORMINV(D95,Supuestos!$D$7,Supuestos!$E$7),IF(Supuestos!$C$7="Triangular",IF(D95&lt;(Supuestos!$E$7-Supuestos!$D$7)/(Supuestos!$F$7-Supuestos!$D$7),Supuestos!$D$7+SQRT(D95*(Supuestos!$F$7-Supuestos!$D$7)*(Supuestos!$E$7-Supuestos!$D$7)),Supuestos!$F$7-SQRT((1-D95)*(Supuestos!$F$7-Supuestos!$D$7)*(Supuestos!$F$7-Supuestos!$E$7))),IF(Supuestos!$C$7="Uniforme",Supuestos!$D$7+D95*(Supuestos!$E$7-Supuestos!$D$7),IF(Supuestos!$C$7="Lognormal",LOGINV(D95,LN(Supuestos!$D$7)-LN(1+Supuestos!$E$7^2/Supuestos!$D$7^2)/2,SQRT(LN(1+Supuestos!$E$7^2/Supuestos!$D$7^2))),Supuestos!$D$7))))))</f>
        <v/>
      </c>
      <c r="L95" s="32">
        <f>MIN(IF(Supuestos!$H$8="",1E+99,Supuestos!$H$8),MAX(IF(Supuestos!$G$8="",-1E+99,Supuestos!$G$8),IF(Supuestos!$C$8="Normal",NORMINV(E95,Supuestos!$D$8,Supuestos!$E$8),IF(Supuestos!$C$8="Triangular",IF(E95&lt;(Supuestos!$E$8-Supuestos!$D$8)/(Supuestos!$F$8-Supuestos!$D$8),Supuestos!$D$8+SQRT(E95*(Supuestos!$F$8-Supuestos!$D$8)*(Supuestos!$E$8-Supuestos!$D$8)),Supuestos!$F$8-SQRT((1-E95)*(Supuestos!$F$8-Supuestos!$D$8)*(Supuestos!$F$8-Supuestos!$E$8))),IF(Supuestos!$C$8="Uniforme",Supuestos!$D$8+E95*(Supuestos!$E$8-Supuestos!$D$8),IF(Supuestos!$C$8="Lognormal",LOGINV(E95,LN(Supuestos!$D$8)-LN(1+Supuestos!$E$8^2/Supuestos!$D$8^2)/2,SQRT(LN(1+Supuestos!$E$8^2/Supuestos!$D$8^2))),Supuestos!$D$8))))))</f>
        <v/>
      </c>
      <c r="M95" s="32">
        <f>MIN(IF(Supuestos!$H$9="",1E+99,Supuestos!$H$9),MAX(IF(Supuestos!$G$9="",-1E+99,Supuestos!$G$9),IF(Supuestos!$C$9="Normal",NORMINV(F95,Supuestos!$D$9,Supuestos!$E$9),IF(Supuestos!$C$9="Triangular",IF(F95&lt;(Supuestos!$E$9-Supuestos!$D$9)/(Supuestos!$F$9-Supuestos!$D$9),Supuestos!$D$9+SQRT(F95*(Supuestos!$F$9-Supuestos!$D$9)*(Supuestos!$E$9-Supuestos!$D$9)),Supuestos!$F$9-SQRT((1-F95)*(Supuestos!$F$9-Supuestos!$D$9)*(Supuestos!$F$9-Supuestos!$E$9))),IF(Supuestos!$C$9="Uniforme",Supuestos!$D$9+F95*(Supuestos!$E$9-Supuestos!$D$9),IF(Supuestos!$C$9="Lognormal",LOGINV(F95,LN(Supuestos!$D$9)-LN(1+Supuestos!$E$9^2/Supuestos!$D$9^2)/2,SQRT(LN(1+Supuestos!$E$9^2/Supuestos!$D$9^2))),Supuestos!$D$9))))))</f>
        <v/>
      </c>
      <c r="N95" s="32">
        <f>MIN(IF(Supuestos!$H$10="",1E+99,Supuestos!$H$10),MAX(IF(Supuestos!$G$10="",-1E+99,Supuestos!$G$10),IF(Supuestos!$C$10="Normal",NORMINV(G95,Supuestos!$D$10,Supuestos!$E$10),IF(Supuestos!$C$10="Triangular",IF(G95&lt;(Supuestos!$E$10-Supuestos!$D$10)/(Supuestos!$F$10-Supuestos!$D$10),Supuestos!$D$10+SQRT(G95*(Supuestos!$F$10-Supuestos!$D$10)*(Supuestos!$E$10-Supuestos!$D$10)),Supuestos!$F$10-SQRT((1-G95)*(Supuestos!$F$10-Supuestos!$D$10)*(Supuestos!$F$10-Supuestos!$E$10))),IF(Supuestos!$C$10="Uniforme",Supuestos!$D$10+G95*(Supuestos!$E$10-Supuestos!$D$10),IF(Supuestos!$C$10="Lognormal",LOGINV(G95,LN(Supuestos!$D$10)-LN(1+Supuestos!$E$10^2/Supuestos!$D$10^2)/2,SQRT(LN(1+Supuestos!$E$10^2/Supuestos!$D$10^2))),Supuestos!$D$10))))))</f>
        <v/>
      </c>
      <c r="O95" s="31">
        <f>MIN(IF(Supuestos!$H$11="",1E+99,Supuestos!$H$11),MAX(IF(Supuestos!$G$11="",-1E+99,Supuestos!$G$11),IF(Supuestos!$C$11="Normal",NORMINV(H95,Supuestos!$D$11,Supuestos!$E$11),IF(Supuestos!$C$11="Triangular",IF(H95&lt;(Supuestos!$E$11-Supuestos!$D$11)/(Supuestos!$F$11-Supuestos!$D$11),Supuestos!$D$11+SQRT(H95*(Supuestos!$F$11-Supuestos!$D$11)*(Supuestos!$E$11-Supuestos!$D$11)),Supuestos!$F$11-SQRT((1-H95)*(Supuestos!$F$11-Supuestos!$D$11)*(Supuestos!$F$11-Supuestos!$E$11))),IF(Supuestos!$C$11="Uniforme",Supuestos!$D$11+H95*(Supuestos!$E$11-Supuestos!$D$11),IF(Supuestos!$C$11="Lognormal",LOGINV(H95,LN(Supuestos!$D$11)-LN(1+Supuestos!$E$11^2/Supuestos!$D$11^2)/2,SQRT(LN(1+Supuestos!$E$11^2/Supuestos!$D$11^2))),Supuestos!$D$11))))))</f>
        <v/>
      </c>
      <c r="P95" s="33">
        <f>-I95</f>
        <v/>
      </c>
      <c r="Q95" s="33">
        <f>$J95*(1+$K95)^(1-1)*(1-$L95)*(1-$M95)</f>
        <v/>
      </c>
      <c r="R95" s="33">
        <f>$J95*(1+$K95)^(2-1)*(1-$L95)*(1-$M95)</f>
        <v/>
      </c>
      <c r="S95" s="33">
        <f>$J95*(1+$K95)^(3-1)*(1-$L95)*(1-$M95)</f>
        <v/>
      </c>
      <c r="T95" s="33">
        <f>$J95*(1+$K95)^(4-1)*(1-$L95)*(1-$M95)</f>
        <v/>
      </c>
      <c r="U95" s="33">
        <f>$J95*(1+$K95)^(5-1)*(1-$L95)*(1-$M95)+$O95</f>
        <v/>
      </c>
      <c r="V95" s="33">
        <f>P95+NPV($N95,Q95:U95)</f>
        <v/>
      </c>
      <c r="W95" s="32">
        <f>IFERROR(IRR(P95:U95,0.1),"")</f>
        <v/>
      </c>
    </row>
    <row r="96">
      <c r="A96" s="14" t="n">
        <v>92</v>
      </c>
      <c r="B96" s="30">
        <f>RAND()*(1-2E-6)+1E-6</f>
        <v/>
      </c>
      <c r="C96" s="30">
        <f>RAND()*(1-2E-6)+1E-6</f>
        <v/>
      </c>
      <c r="D96" s="30">
        <f>RAND()*(1-2E-6)+1E-6</f>
        <v/>
      </c>
      <c r="E96" s="30">
        <f>RAND()*(1-2E-6)+1E-6</f>
        <v/>
      </c>
      <c r="F96" s="30">
        <f>RAND()*(1-2E-6)+1E-6</f>
        <v/>
      </c>
      <c r="G96" s="30">
        <f>RAND()*(1-2E-6)+1E-6</f>
        <v/>
      </c>
      <c r="H96" s="30">
        <f>RAND()*(1-2E-6)+1E-6</f>
        <v/>
      </c>
      <c r="I96" s="31">
        <f>MIN(IF(Supuestos!$H$5="",1E+99,Supuestos!$H$5),MAX(IF(Supuestos!$G$5="",-1E+99,Supuestos!$G$5),IF(Supuestos!$C$5="Normal",NORMINV(B96,Supuestos!$D$5,Supuestos!$E$5),IF(Supuestos!$C$5="Triangular",IF(B96&lt;(Supuestos!$E$5-Supuestos!$D$5)/(Supuestos!$F$5-Supuestos!$D$5),Supuestos!$D$5+SQRT(B96*(Supuestos!$F$5-Supuestos!$D$5)*(Supuestos!$E$5-Supuestos!$D$5)),Supuestos!$F$5-SQRT((1-B96)*(Supuestos!$F$5-Supuestos!$D$5)*(Supuestos!$F$5-Supuestos!$E$5))),IF(Supuestos!$C$5="Uniforme",Supuestos!$D$5+B96*(Supuestos!$E$5-Supuestos!$D$5),IF(Supuestos!$C$5="Lognormal",LOGINV(B96,LN(Supuestos!$D$5)-LN(1+Supuestos!$E$5^2/Supuestos!$D$5^2)/2,SQRT(LN(1+Supuestos!$E$5^2/Supuestos!$D$5^2))),Supuestos!$D$5))))))</f>
        <v/>
      </c>
      <c r="J96" s="31">
        <f>MIN(IF(Supuestos!$H$6="",1E+99,Supuestos!$H$6),MAX(IF(Supuestos!$G$6="",-1E+99,Supuestos!$G$6),IF(Supuestos!$C$6="Normal",NORMINV(C96,Supuestos!$D$6,Supuestos!$E$6),IF(Supuestos!$C$6="Triangular",IF(C96&lt;(Supuestos!$E$6-Supuestos!$D$6)/(Supuestos!$F$6-Supuestos!$D$6),Supuestos!$D$6+SQRT(C96*(Supuestos!$F$6-Supuestos!$D$6)*(Supuestos!$E$6-Supuestos!$D$6)),Supuestos!$F$6-SQRT((1-C96)*(Supuestos!$F$6-Supuestos!$D$6)*(Supuestos!$F$6-Supuestos!$E$6))),IF(Supuestos!$C$6="Uniforme",Supuestos!$D$6+C96*(Supuestos!$E$6-Supuestos!$D$6),IF(Supuestos!$C$6="Lognormal",LOGINV(C96,LN(Supuestos!$D$6)-LN(1+Supuestos!$E$6^2/Supuestos!$D$6^2)/2,SQRT(LN(1+Supuestos!$E$6^2/Supuestos!$D$6^2))),Supuestos!$D$6))))))</f>
        <v/>
      </c>
      <c r="K96" s="32">
        <f>MIN(IF(Supuestos!$H$7="",1E+99,Supuestos!$H$7),MAX(IF(Supuestos!$G$7="",-1E+99,Supuestos!$G$7),IF(Supuestos!$C$7="Normal",NORMINV(D96,Supuestos!$D$7,Supuestos!$E$7),IF(Supuestos!$C$7="Triangular",IF(D96&lt;(Supuestos!$E$7-Supuestos!$D$7)/(Supuestos!$F$7-Supuestos!$D$7),Supuestos!$D$7+SQRT(D96*(Supuestos!$F$7-Supuestos!$D$7)*(Supuestos!$E$7-Supuestos!$D$7)),Supuestos!$F$7-SQRT((1-D96)*(Supuestos!$F$7-Supuestos!$D$7)*(Supuestos!$F$7-Supuestos!$E$7))),IF(Supuestos!$C$7="Uniforme",Supuestos!$D$7+D96*(Supuestos!$E$7-Supuestos!$D$7),IF(Supuestos!$C$7="Lognormal",LOGINV(D96,LN(Supuestos!$D$7)-LN(1+Supuestos!$E$7^2/Supuestos!$D$7^2)/2,SQRT(LN(1+Supuestos!$E$7^2/Supuestos!$D$7^2))),Supuestos!$D$7))))))</f>
        <v/>
      </c>
      <c r="L96" s="32">
        <f>MIN(IF(Supuestos!$H$8="",1E+99,Supuestos!$H$8),MAX(IF(Supuestos!$G$8="",-1E+99,Supuestos!$G$8),IF(Supuestos!$C$8="Normal",NORMINV(E96,Supuestos!$D$8,Supuestos!$E$8),IF(Supuestos!$C$8="Triangular",IF(E96&lt;(Supuestos!$E$8-Supuestos!$D$8)/(Supuestos!$F$8-Supuestos!$D$8),Supuestos!$D$8+SQRT(E96*(Supuestos!$F$8-Supuestos!$D$8)*(Supuestos!$E$8-Supuestos!$D$8)),Supuestos!$F$8-SQRT((1-E96)*(Supuestos!$F$8-Supuestos!$D$8)*(Supuestos!$F$8-Supuestos!$E$8))),IF(Supuestos!$C$8="Uniforme",Supuestos!$D$8+E96*(Supuestos!$E$8-Supuestos!$D$8),IF(Supuestos!$C$8="Lognormal",LOGINV(E96,LN(Supuestos!$D$8)-LN(1+Supuestos!$E$8^2/Supuestos!$D$8^2)/2,SQRT(LN(1+Supuestos!$E$8^2/Supuestos!$D$8^2))),Supuestos!$D$8))))))</f>
        <v/>
      </c>
      <c r="M96" s="32">
        <f>MIN(IF(Supuestos!$H$9="",1E+99,Supuestos!$H$9),MAX(IF(Supuestos!$G$9="",-1E+99,Supuestos!$G$9),IF(Supuestos!$C$9="Normal",NORMINV(F96,Supuestos!$D$9,Supuestos!$E$9),IF(Supuestos!$C$9="Triangular",IF(F96&lt;(Supuestos!$E$9-Supuestos!$D$9)/(Supuestos!$F$9-Supuestos!$D$9),Supuestos!$D$9+SQRT(F96*(Supuestos!$F$9-Supuestos!$D$9)*(Supuestos!$E$9-Supuestos!$D$9)),Supuestos!$F$9-SQRT((1-F96)*(Supuestos!$F$9-Supuestos!$D$9)*(Supuestos!$F$9-Supuestos!$E$9))),IF(Supuestos!$C$9="Uniforme",Supuestos!$D$9+F96*(Supuestos!$E$9-Supuestos!$D$9),IF(Supuestos!$C$9="Lognormal",LOGINV(F96,LN(Supuestos!$D$9)-LN(1+Supuestos!$E$9^2/Supuestos!$D$9^2)/2,SQRT(LN(1+Supuestos!$E$9^2/Supuestos!$D$9^2))),Supuestos!$D$9))))))</f>
        <v/>
      </c>
      <c r="N96" s="32">
        <f>MIN(IF(Supuestos!$H$10="",1E+99,Supuestos!$H$10),MAX(IF(Supuestos!$G$10="",-1E+99,Supuestos!$G$10),IF(Supuestos!$C$10="Normal",NORMINV(G96,Supuestos!$D$10,Supuestos!$E$10),IF(Supuestos!$C$10="Triangular",IF(G96&lt;(Supuestos!$E$10-Supuestos!$D$10)/(Supuestos!$F$10-Supuestos!$D$10),Supuestos!$D$10+SQRT(G96*(Supuestos!$F$10-Supuestos!$D$10)*(Supuestos!$E$10-Supuestos!$D$10)),Supuestos!$F$10-SQRT((1-G96)*(Supuestos!$F$10-Supuestos!$D$10)*(Supuestos!$F$10-Supuestos!$E$10))),IF(Supuestos!$C$10="Uniforme",Supuestos!$D$10+G96*(Supuestos!$E$10-Supuestos!$D$10),IF(Supuestos!$C$10="Lognormal",LOGINV(G96,LN(Supuestos!$D$10)-LN(1+Supuestos!$E$10^2/Supuestos!$D$10^2)/2,SQRT(LN(1+Supuestos!$E$10^2/Supuestos!$D$10^2))),Supuestos!$D$10))))))</f>
        <v/>
      </c>
      <c r="O96" s="31">
        <f>MIN(IF(Supuestos!$H$11="",1E+99,Supuestos!$H$11),MAX(IF(Supuestos!$G$11="",-1E+99,Supuestos!$G$11),IF(Supuestos!$C$11="Normal",NORMINV(H96,Supuestos!$D$11,Supuestos!$E$11),IF(Supuestos!$C$11="Triangular",IF(H96&lt;(Supuestos!$E$11-Supuestos!$D$11)/(Supuestos!$F$11-Supuestos!$D$11),Supuestos!$D$11+SQRT(H96*(Supuestos!$F$11-Supuestos!$D$11)*(Supuestos!$E$11-Supuestos!$D$11)),Supuestos!$F$11-SQRT((1-H96)*(Supuestos!$F$11-Supuestos!$D$11)*(Supuestos!$F$11-Supuestos!$E$11))),IF(Supuestos!$C$11="Uniforme",Supuestos!$D$11+H96*(Supuestos!$E$11-Supuestos!$D$11),IF(Supuestos!$C$11="Lognormal",LOGINV(H96,LN(Supuestos!$D$11)-LN(1+Supuestos!$E$11^2/Supuestos!$D$11^2)/2,SQRT(LN(1+Supuestos!$E$11^2/Supuestos!$D$11^2))),Supuestos!$D$11))))))</f>
        <v/>
      </c>
      <c r="P96" s="33">
        <f>-I96</f>
        <v/>
      </c>
      <c r="Q96" s="33">
        <f>$J96*(1+$K96)^(1-1)*(1-$L96)*(1-$M96)</f>
        <v/>
      </c>
      <c r="R96" s="33">
        <f>$J96*(1+$K96)^(2-1)*(1-$L96)*(1-$M96)</f>
        <v/>
      </c>
      <c r="S96" s="33">
        <f>$J96*(1+$K96)^(3-1)*(1-$L96)*(1-$M96)</f>
        <v/>
      </c>
      <c r="T96" s="33">
        <f>$J96*(1+$K96)^(4-1)*(1-$L96)*(1-$M96)</f>
        <v/>
      </c>
      <c r="U96" s="33">
        <f>$J96*(1+$K96)^(5-1)*(1-$L96)*(1-$M96)+$O96</f>
        <v/>
      </c>
      <c r="V96" s="33">
        <f>P96+NPV($N96,Q96:U96)</f>
        <v/>
      </c>
      <c r="W96" s="32">
        <f>IFERROR(IRR(P96:U96,0.1),"")</f>
        <v/>
      </c>
    </row>
    <row r="97">
      <c r="A97" s="14" t="n">
        <v>93</v>
      </c>
      <c r="B97" s="30">
        <f>RAND()*(1-2E-6)+1E-6</f>
        <v/>
      </c>
      <c r="C97" s="30">
        <f>RAND()*(1-2E-6)+1E-6</f>
        <v/>
      </c>
      <c r="D97" s="30">
        <f>RAND()*(1-2E-6)+1E-6</f>
        <v/>
      </c>
      <c r="E97" s="30">
        <f>RAND()*(1-2E-6)+1E-6</f>
        <v/>
      </c>
      <c r="F97" s="30">
        <f>RAND()*(1-2E-6)+1E-6</f>
        <v/>
      </c>
      <c r="G97" s="30">
        <f>RAND()*(1-2E-6)+1E-6</f>
        <v/>
      </c>
      <c r="H97" s="30">
        <f>RAND()*(1-2E-6)+1E-6</f>
        <v/>
      </c>
      <c r="I97" s="31">
        <f>MIN(IF(Supuestos!$H$5="",1E+99,Supuestos!$H$5),MAX(IF(Supuestos!$G$5="",-1E+99,Supuestos!$G$5),IF(Supuestos!$C$5="Normal",NORMINV(B97,Supuestos!$D$5,Supuestos!$E$5),IF(Supuestos!$C$5="Triangular",IF(B97&lt;(Supuestos!$E$5-Supuestos!$D$5)/(Supuestos!$F$5-Supuestos!$D$5),Supuestos!$D$5+SQRT(B97*(Supuestos!$F$5-Supuestos!$D$5)*(Supuestos!$E$5-Supuestos!$D$5)),Supuestos!$F$5-SQRT((1-B97)*(Supuestos!$F$5-Supuestos!$D$5)*(Supuestos!$F$5-Supuestos!$E$5))),IF(Supuestos!$C$5="Uniforme",Supuestos!$D$5+B97*(Supuestos!$E$5-Supuestos!$D$5),IF(Supuestos!$C$5="Lognormal",LOGINV(B97,LN(Supuestos!$D$5)-LN(1+Supuestos!$E$5^2/Supuestos!$D$5^2)/2,SQRT(LN(1+Supuestos!$E$5^2/Supuestos!$D$5^2))),Supuestos!$D$5))))))</f>
        <v/>
      </c>
      <c r="J97" s="31">
        <f>MIN(IF(Supuestos!$H$6="",1E+99,Supuestos!$H$6),MAX(IF(Supuestos!$G$6="",-1E+99,Supuestos!$G$6),IF(Supuestos!$C$6="Normal",NORMINV(C97,Supuestos!$D$6,Supuestos!$E$6),IF(Supuestos!$C$6="Triangular",IF(C97&lt;(Supuestos!$E$6-Supuestos!$D$6)/(Supuestos!$F$6-Supuestos!$D$6),Supuestos!$D$6+SQRT(C97*(Supuestos!$F$6-Supuestos!$D$6)*(Supuestos!$E$6-Supuestos!$D$6)),Supuestos!$F$6-SQRT((1-C97)*(Supuestos!$F$6-Supuestos!$D$6)*(Supuestos!$F$6-Supuestos!$E$6))),IF(Supuestos!$C$6="Uniforme",Supuestos!$D$6+C97*(Supuestos!$E$6-Supuestos!$D$6),IF(Supuestos!$C$6="Lognormal",LOGINV(C97,LN(Supuestos!$D$6)-LN(1+Supuestos!$E$6^2/Supuestos!$D$6^2)/2,SQRT(LN(1+Supuestos!$E$6^2/Supuestos!$D$6^2))),Supuestos!$D$6))))))</f>
        <v/>
      </c>
      <c r="K97" s="32">
        <f>MIN(IF(Supuestos!$H$7="",1E+99,Supuestos!$H$7),MAX(IF(Supuestos!$G$7="",-1E+99,Supuestos!$G$7),IF(Supuestos!$C$7="Normal",NORMINV(D97,Supuestos!$D$7,Supuestos!$E$7),IF(Supuestos!$C$7="Triangular",IF(D97&lt;(Supuestos!$E$7-Supuestos!$D$7)/(Supuestos!$F$7-Supuestos!$D$7),Supuestos!$D$7+SQRT(D97*(Supuestos!$F$7-Supuestos!$D$7)*(Supuestos!$E$7-Supuestos!$D$7)),Supuestos!$F$7-SQRT((1-D97)*(Supuestos!$F$7-Supuestos!$D$7)*(Supuestos!$F$7-Supuestos!$E$7))),IF(Supuestos!$C$7="Uniforme",Supuestos!$D$7+D97*(Supuestos!$E$7-Supuestos!$D$7),IF(Supuestos!$C$7="Lognormal",LOGINV(D97,LN(Supuestos!$D$7)-LN(1+Supuestos!$E$7^2/Supuestos!$D$7^2)/2,SQRT(LN(1+Supuestos!$E$7^2/Supuestos!$D$7^2))),Supuestos!$D$7))))))</f>
        <v/>
      </c>
      <c r="L97" s="32">
        <f>MIN(IF(Supuestos!$H$8="",1E+99,Supuestos!$H$8),MAX(IF(Supuestos!$G$8="",-1E+99,Supuestos!$G$8),IF(Supuestos!$C$8="Normal",NORMINV(E97,Supuestos!$D$8,Supuestos!$E$8),IF(Supuestos!$C$8="Triangular",IF(E97&lt;(Supuestos!$E$8-Supuestos!$D$8)/(Supuestos!$F$8-Supuestos!$D$8),Supuestos!$D$8+SQRT(E97*(Supuestos!$F$8-Supuestos!$D$8)*(Supuestos!$E$8-Supuestos!$D$8)),Supuestos!$F$8-SQRT((1-E97)*(Supuestos!$F$8-Supuestos!$D$8)*(Supuestos!$F$8-Supuestos!$E$8))),IF(Supuestos!$C$8="Uniforme",Supuestos!$D$8+E97*(Supuestos!$E$8-Supuestos!$D$8),IF(Supuestos!$C$8="Lognormal",LOGINV(E97,LN(Supuestos!$D$8)-LN(1+Supuestos!$E$8^2/Supuestos!$D$8^2)/2,SQRT(LN(1+Supuestos!$E$8^2/Supuestos!$D$8^2))),Supuestos!$D$8))))))</f>
        <v/>
      </c>
      <c r="M97" s="32">
        <f>MIN(IF(Supuestos!$H$9="",1E+99,Supuestos!$H$9),MAX(IF(Supuestos!$G$9="",-1E+99,Supuestos!$G$9),IF(Supuestos!$C$9="Normal",NORMINV(F97,Supuestos!$D$9,Supuestos!$E$9),IF(Supuestos!$C$9="Triangular",IF(F97&lt;(Supuestos!$E$9-Supuestos!$D$9)/(Supuestos!$F$9-Supuestos!$D$9),Supuestos!$D$9+SQRT(F97*(Supuestos!$F$9-Supuestos!$D$9)*(Supuestos!$E$9-Supuestos!$D$9)),Supuestos!$F$9-SQRT((1-F97)*(Supuestos!$F$9-Supuestos!$D$9)*(Supuestos!$F$9-Supuestos!$E$9))),IF(Supuestos!$C$9="Uniforme",Supuestos!$D$9+F97*(Supuestos!$E$9-Supuestos!$D$9),IF(Supuestos!$C$9="Lognormal",LOGINV(F97,LN(Supuestos!$D$9)-LN(1+Supuestos!$E$9^2/Supuestos!$D$9^2)/2,SQRT(LN(1+Supuestos!$E$9^2/Supuestos!$D$9^2))),Supuestos!$D$9))))))</f>
        <v/>
      </c>
      <c r="N97" s="32">
        <f>MIN(IF(Supuestos!$H$10="",1E+99,Supuestos!$H$10),MAX(IF(Supuestos!$G$10="",-1E+99,Supuestos!$G$10),IF(Supuestos!$C$10="Normal",NORMINV(G97,Supuestos!$D$10,Supuestos!$E$10),IF(Supuestos!$C$10="Triangular",IF(G97&lt;(Supuestos!$E$10-Supuestos!$D$10)/(Supuestos!$F$10-Supuestos!$D$10),Supuestos!$D$10+SQRT(G97*(Supuestos!$F$10-Supuestos!$D$10)*(Supuestos!$E$10-Supuestos!$D$10)),Supuestos!$F$10-SQRT((1-G97)*(Supuestos!$F$10-Supuestos!$D$10)*(Supuestos!$F$10-Supuestos!$E$10))),IF(Supuestos!$C$10="Uniforme",Supuestos!$D$10+G97*(Supuestos!$E$10-Supuestos!$D$10),IF(Supuestos!$C$10="Lognormal",LOGINV(G97,LN(Supuestos!$D$10)-LN(1+Supuestos!$E$10^2/Supuestos!$D$10^2)/2,SQRT(LN(1+Supuestos!$E$10^2/Supuestos!$D$10^2))),Supuestos!$D$10))))))</f>
        <v/>
      </c>
      <c r="O97" s="31">
        <f>MIN(IF(Supuestos!$H$11="",1E+99,Supuestos!$H$11),MAX(IF(Supuestos!$G$11="",-1E+99,Supuestos!$G$11),IF(Supuestos!$C$11="Normal",NORMINV(H97,Supuestos!$D$11,Supuestos!$E$11),IF(Supuestos!$C$11="Triangular",IF(H97&lt;(Supuestos!$E$11-Supuestos!$D$11)/(Supuestos!$F$11-Supuestos!$D$11),Supuestos!$D$11+SQRT(H97*(Supuestos!$F$11-Supuestos!$D$11)*(Supuestos!$E$11-Supuestos!$D$11)),Supuestos!$F$11-SQRT((1-H97)*(Supuestos!$F$11-Supuestos!$D$11)*(Supuestos!$F$11-Supuestos!$E$11))),IF(Supuestos!$C$11="Uniforme",Supuestos!$D$11+H97*(Supuestos!$E$11-Supuestos!$D$11),IF(Supuestos!$C$11="Lognormal",LOGINV(H97,LN(Supuestos!$D$11)-LN(1+Supuestos!$E$11^2/Supuestos!$D$11^2)/2,SQRT(LN(1+Supuestos!$E$11^2/Supuestos!$D$11^2))),Supuestos!$D$11))))))</f>
        <v/>
      </c>
      <c r="P97" s="33">
        <f>-I97</f>
        <v/>
      </c>
      <c r="Q97" s="33">
        <f>$J97*(1+$K97)^(1-1)*(1-$L97)*(1-$M97)</f>
        <v/>
      </c>
      <c r="R97" s="33">
        <f>$J97*(1+$K97)^(2-1)*(1-$L97)*(1-$M97)</f>
        <v/>
      </c>
      <c r="S97" s="33">
        <f>$J97*(1+$K97)^(3-1)*(1-$L97)*(1-$M97)</f>
        <v/>
      </c>
      <c r="T97" s="33">
        <f>$J97*(1+$K97)^(4-1)*(1-$L97)*(1-$M97)</f>
        <v/>
      </c>
      <c r="U97" s="33">
        <f>$J97*(1+$K97)^(5-1)*(1-$L97)*(1-$M97)+$O97</f>
        <v/>
      </c>
      <c r="V97" s="33">
        <f>P97+NPV($N97,Q97:U97)</f>
        <v/>
      </c>
      <c r="W97" s="32">
        <f>IFERROR(IRR(P97:U97,0.1),"")</f>
        <v/>
      </c>
    </row>
    <row r="98">
      <c r="A98" s="14" t="n">
        <v>94</v>
      </c>
      <c r="B98" s="30">
        <f>RAND()*(1-2E-6)+1E-6</f>
        <v/>
      </c>
      <c r="C98" s="30">
        <f>RAND()*(1-2E-6)+1E-6</f>
        <v/>
      </c>
      <c r="D98" s="30">
        <f>RAND()*(1-2E-6)+1E-6</f>
        <v/>
      </c>
      <c r="E98" s="30">
        <f>RAND()*(1-2E-6)+1E-6</f>
        <v/>
      </c>
      <c r="F98" s="30">
        <f>RAND()*(1-2E-6)+1E-6</f>
        <v/>
      </c>
      <c r="G98" s="30">
        <f>RAND()*(1-2E-6)+1E-6</f>
        <v/>
      </c>
      <c r="H98" s="30">
        <f>RAND()*(1-2E-6)+1E-6</f>
        <v/>
      </c>
      <c r="I98" s="31">
        <f>MIN(IF(Supuestos!$H$5="",1E+99,Supuestos!$H$5),MAX(IF(Supuestos!$G$5="",-1E+99,Supuestos!$G$5),IF(Supuestos!$C$5="Normal",NORMINV(B98,Supuestos!$D$5,Supuestos!$E$5),IF(Supuestos!$C$5="Triangular",IF(B98&lt;(Supuestos!$E$5-Supuestos!$D$5)/(Supuestos!$F$5-Supuestos!$D$5),Supuestos!$D$5+SQRT(B98*(Supuestos!$F$5-Supuestos!$D$5)*(Supuestos!$E$5-Supuestos!$D$5)),Supuestos!$F$5-SQRT((1-B98)*(Supuestos!$F$5-Supuestos!$D$5)*(Supuestos!$F$5-Supuestos!$E$5))),IF(Supuestos!$C$5="Uniforme",Supuestos!$D$5+B98*(Supuestos!$E$5-Supuestos!$D$5),IF(Supuestos!$C$5="Lognormal",LOGINV(B98,LN(Supuestos!$D$5)-LN(1+Supuestos!$E$5^2/Supuestos!$D$5^2)/2,SQRT(LN(1+Supuestos!$E$5^2/Supuestos!$D$5^2))),Supuestos!$D$5))))))</f>
        <v/>
      </c>
      <c r="J98" s="31">
        <f>MIN(IF(Supuestos!$H$6="",1E+99,Supuestos!$H$6),MAX(IF(Supuestos!$G$6="",-1E+99,Supuestos!$G$6),IF(Supuestos!$C$6="Normal",NORMINV(C98,Supuestos!$D$6,Supuestos!$E$6),IF(Supuestos!$C$6="Triangular",IF(C98&lt;(Supuestos!$E$6-Supuestos!$D$6)/(Supuestos!$F$6-Supuestos!$D$6),Supuestos!$D$6+SQRT(C98*(Supuestos!$F$6-Supuestos!$D$6)*(Supuestos!$E$6-Supuestos!$D$6)),Supuestos!$F$6-SQRT((1-C98)*(Supuestos!$F$6-Supuestos!$D$6)*(Supuestos!$F$6-Supuestos!$E$6))),IF(Supuestos!$C$6="Uniforme",Supuestos!$D$6+C98*(Supuestos!$E$6-Supuestos!$D$6),IF(Supuestos!$C$6="Lognormal",LOGINV(C98,LN(Supuestos!$D$6)-LN(1+Supuestos!$E$6^2/Supuestos!$D$6^2)/2,SQRT(LN(1+Supuestos!$E$6^2/Supuestos!$D$6^2))),Supuestos!$D$6))))))</f>
        <v/>
      </c>
      <c r="K98" s="32">
        <f>MIN(IF(Supuestos!$H$7="",1E+99,Supuestos!$H$7),MAX(IF(Supuestos!$G$7="",-1E+99,Supuestos!$G$7),IF(Supuestos!$C$7="Normal",NORMINV(D98,Supuestos!$D$7,Supuestos!$E$7),IF(Supuestos!$C$7="Triangular",IF(D98&lt;(Supuestos!$E$7-Supuestos!$D$7)/(Supuestos!$F$7-Supuestos!$D$7),Supuestos!$D$7+SQRT(D98*(Supuestos!$F$7-Supuestos!$D$7)*(Supuestos!$E$7-Supuestos!$D$7)),Supuestos!$F$7-SQRT((1-D98)*(Supuestos!$F$7-Supuestos!$D$7)*(Supuestos!$F$7-Supuestos!$E$7))),IF(Supuestos!$C$7="Uniforme",Supuestos!$D$7+D98*(Supuestos!$E$7-Supuestos!$D$7),IF(Supuestos!$C$7="Lognormal",LOGINV(D98,LN(Supuestos!$D$7)-LN(1+Supuestos!$E$7^2/Supuestos!$D$7^2)/2,SQRT(LN(1+Supuestos!$E$7^2/Supuestos!$D$7^2))),Supuestos!$D$7))))))</f>
        <v/>
      </c>
      <c r="L98" s="32">
        <f>MIN(IF(Supuestos!$H$8="",1E+99,Supuestos!$H$8),MAX(IF(Supuestos!$G$8="",-1E+99,Supuestos!$G$8),IF(Supuestos!$C$8="Normal",NORMINV(E98,Supuestos!$D$8,Supuestos!$E$8),IF(Supuestos!$C$8="Triangular",IF(E98&lt;(Supuestos!$E$8-Supuestos!$D$8)/(Supuestos!$F$8-Supuestos!$D$8),Supuestos!$D$8+SQRT(E98*(Supuestos!$F$8-Supuestos!$D$8)*(Supuestos!$E$8-Supuestos!$D$8)),Supuestos!$F$8-SQRT((1-E98)*(Supuestos!$F$8-Supuestos!$D$8)*(Supuestos!$F$8-Supuestos!$E$8))),IF(Supuestos!$C$8="Uniforme",Supuestos!$D$8+E98*(Supuestos!$E$8-Supuestos!$D$8),IF(Supuestos!$C$8="Lognormal",LOGINV(E98,LN(Supuestos!$D$8)-LN(1+Supuestos!$E$8^2/Supuestos!$D$8^2)/2,SQRT(LN(1+Supuestos!$E$8^2/Supuestos!$D$8^2))),Supuestos!$D$8))))))</f>
        <v/>
      </c>
      <c r="M98" s="32">
        <f>MIN(IF(Supuestos!$H$9="",1E+99,Supuestos!$H$9),MAX(IF(Supuestos!$G$9="",-1E+99,Supuestos!$G$9),IF(Supuestos!$C$9="Normal",NORMINV(F98,Supuestos!$D$9,Supuestos!$E$9),IF(Supuestos!$C$9="Triangular",IF(F98&lt;(Supuestos!$E$9-Supuestos!$D$9)/(Supuestos!$F$9-Supuestos!$D$9),Supuestos!$D$9+SQRT(F98*(Supuestos!$F$9-Supuestos!$D$9)*(Supuestos!$E$9-Supuestos!$D$9)),Supuestos!$F$9-SQRT((1-F98)*(Supuestos!$F$9-Supuestos!$D$9)*(Supuestos!$F$9-Supuestos!$E$9))),IF(Supuestos!$C$9="Uniforme",Supuestos!$D$9+F98*(Supuestos!$E$9-Supuestos!$D$9),IF(Supuestos!$C$9="Lognormal",LOGINV(F98,LN(Supuestos!$D$9)-LN(1+Supuestos!$E$9^2/Supuestos!$D$9^2)/2,SQRT(LN(1+Supuestos!$E$9^2/Supuestos!$D$9^2))),Supuestos!$D$9))))))</f>
        <v/>
      </c>
      <c r="N98" s="32">
        <f>MIN(IF(Supuestos!$H$10="",1E+99,Supuestos!$H$10),MAX(IF(Supuestos!$G$10="",-1E+99,Supuestos!$G$10),IF(Supuestos!$C$10="Normal",NORMINV(G98,Supuestos!$D$10,Supuestos!$E$10),IF(Supuestos!$C$10="Triangular",IF(G98&lt;(Supuestos!$E$10-Supuestos!$D$10)/(Supuestos!$F$10-Supuestos!$D$10),Supuestos!$D$10+SQRT(G98*(Supuestos!$F$10-Supuestos!$D$10)*(Supuestos!$E$10-Supuestos!$D$10)),Supuestos!$F$10-SQRT((1-G98)*(Supuestos!$F$10-Supuestos!$D$10)*(Supuestos!$F$10-Supuestos!$E$10))),IF(Supuestos!$C$10="Uniforme",Supuestos!$D$10+G98*(Supuestos!$E$10-Supuestos!$D$10),IF(Supuestos!$C$10="Lognormal",LOGINV(G98,LN(Supuestos!$D$10)-LN(1+Supuestos!$E$10^2/Supuestos!$D$10^2)/2,SQRT(LN(1+Supuestos!$E$10^2/Supuestos!$D$10^2))),Supuestos!$D$10))))))</f>
        <v/>
      </c>
      <c r="O98" s="31">
        <f>MIN(IF(Supuestos!$H$11="",1E+99,Supuestos!$H$11),MAX(IF(Supuestos!$G$11="",-1E+99,Supuestos!$G$11),IF(Supuestos!$C$11="Normal",NORMINV(H98,Supuestos!$D$11,Supuestos!$E$11),IF(Supuestos!$C$11="Triangular",IF(H98&lt;(Supuestos!$E$11-Supuestos!$D$11)/(Supuestos!$F$11-Supuestos!$D$11),Supuestos!$D$11+SQRT(H98*(Supuestos!$F$11-Supuestos!$D$11)*(Supuestos!$E$11-Supuestos!$D$11)),Supuestos!$F$11-SQRT((1-H98)*(Supuestos!$F$11-Supuestos!$D$11)*(Supuestos!$F$11-Supuestos!$E$11))),IF(Supuestos!$C$11="Uniforme",Supuestos!$D$11+H98*(Supuestos!$E$11-Supuestos!$D$11),IF(Supuestos!$C$11="Lognormal",LOGINV(H98,LN(Supuestos!$D$11)-LN(1+Supuestos!$E$11^2/Supuestos!$D$11^2)/2,SQRT(LN(1+Supuestos!$E$11^2/Supuestos!$D$11^2))),Supuestos!$D$11))))))</f>
        <v/>
      </c>
      <c r="P98" s="33">
        <f>-I98</f>
        <v/>
      </c>
      <c r="Q98" s="33">
        <f>$J98*(1+$K98)^(1-1)*(1-$L98)*(1-$M98)</f>
        <v/>
      </c>
      <c r="R98" s="33">
        <f>$J98*(1+$K98)^(2-1)*(1-$L98)*(1-$M98)</f>
        <v/>
      </c>
      <c r="S98" s="33">
        <f>$J98*(1+$K98)^(3-1)*(1-$L98)*(1-$M98)</f>
        <v/>
      </c>
      <c r="T98" s="33">
        <f>$J98*(1+$K98)^(4-1)*(1-$L98)*(1-$M98)</f>
        <v/>
      </c>
      <c r="U98" s="33">
        <f>$J98*(1+$K98)^(5-1)*(1-$L98)*(1-$M98)+$O98</f>
        <v/>
      </c>
      <c r="V98" s="33">
        <f>P98+NPV($N98,Q98:U98)</f>
        <v/>
      </c>
      <c r="W98" s="32">
        <f>IFERROR(IRR(P98:U98,0.1),"")</f>
        <v/>
      </c>
    </row>
    <row r="99">
      <c r="A99" s="14" t="n">
        <v>95</v>
      </c>
      <c r="B99" s="30">
        <f>RAND()*(1-2E-6)+1E-6</f>
        <v/>
      </c>
      <c r="C99" s="30">
        <f>RAND()*(1-2E-6)+1E-6</f>
        <v/>
      </c>
      <c r="D99" s="30">
        <f>RAND()*(1-2E-6)+1E-6</f>
        <v/>
      </c>
      <c r="E99" s="30">
        <f>RAND()*(1-2E-6)+1E-6</f>
        <v/>
      </c>
      <c r="F99" s="30">
        <f>RAND()*(1-2E-6)+1E-6</f>
        <v/>
      </c>
      <c r="G99" s="30">
        <f>RAND()*(1-2E-6)+1E-6</f>
        <v/>
      </c>
      <c r="H99" s="30">
        <f>RAND()*(1-2E-6)+1E-6</f>
        <v/>
      </c>
      <c r="I99" s="31">
        <f>MIN(IF(Supuestos!$H$5="",1E+99,Supuestos!$H$5),MAX(IF(Supuestos!$G$5="",-1E+99,Supuestos!$G$5),IF(Supuestos!$C$5="Normal",NORMINV(B99,Supuestos!$D$5,Supuestos!$E$5),IF(Supuestos!$C$5="Triangular",IF(B99&lt;(Supuestos!$E$5-Supuestos!$D$5)/(Supuestos!$F$5-Supuestos!$D$5),Supuestos!$D$5+SQRT(B99*(Supuestos!$F$5-Supuestos!$D$5)*(Supuestos!$E$5-Supuestos!$D$5)),Supuestos!$F$5-SQRT((1-B99)*(Supuestos!$F$5-Supuestos!$D$5)*(Supuestos!$F$5-Supuestos!$E$5))),IF(Supuestos!$C$5="Uniforme",Supuestos!$D$5+B99*(Supuestos!$E$5-Supuestos!$D$5),IF(Supuestos!$C$5="Lognormal",LOGINV(B99,LN(Supuestos!$D$5)-LN(1+Supuestos!$E$5^2/Supuestos!$D$5^2)/2,SQRT(LN(1+Supuestos!$E$5^2/Supuestos!$D$5^2))),Supuestos!$D$5))))))</f>
        <v/>
      </c>
      <c r="J99" s="31">
        <f>MIN(IF(Supuestos!$H$6="",1E+99,Supuestos!$H$6),MAX(IF(Supuestos!$G$6="",-1E+99,Supuestos!$G$6),IF(Supuestos!$C$6="Normal",NORMINV(C99,Supuestos!$D$6,Supuestos!$E$6),IF(Supuestos!$C$6="Triangular",IF(C99&lt;(Supuestos!$E$6-Supuestos!$D$6)/(Supuestos!$F$6-Supuestos!$D$6),Supuestos!$D$6+SQRT(C99*(Supuestos!$F$6-Supuestos!$D$6)*(Supuestos!$E$6-Supuestos!$D$6)),Supuestos!$F$6-SQRT((1-C99)*(Supuestos!$F$6-Supuestos!$D$6)*(Supuestos!$F$6-Supuestos!$E$6))),IF(Supuestos!$C$6="Uniforme",Supuestos!$D$6+C99*(Supuestos!$E$6-Supuestos!$D$6),IF(Supuestos!$C$6="Lognormal",LOGINV(C99,LN(Supuestos!$D$6)-LN(1+Supuestos!$E$6^2/Supuestos!$D$6^2)/2,SQRT(LN(1+Supuestos!$E$6^2/Supuestos!$D$6^2))),Supuestos!$D$6))))))</f>
        <v/>
      </c>
      <c r="K99" s="32">
        <f>MIN(IF(Supuestos!$H$7="",1E+99,Supuestos!$H$7),MAX(IF(Supuestos!$G$7="",-1E+99,Supuestos!$G$7),IF(Supuestos!$C$7="Normal",NORMINV(D99,Supuestos!$D$7,Supuestos!$E$7),IF(Supuestos!$C$7="Triangular",IF(D99&lt;(Supuestos!$E$7-Supuestos!$D$7)/(Supuestos!$F$7-Supuestos!$D$7),Supuestos!$D$7+SQRT(D99*(Supuestos!$F$7-Supuestos!$D$7)*(Supuestos!$E$7-Supuestos!$D$7)),Supuestos!$F$7-SQRT((1-D99)*(Supuestos!$F$7-Supuestos!$D$7)*(Supuestos!$F$7-Supuestos!$E$7))),IF(Supuestos!$C$7="Uniforme",Supuestos!$D$7+D99*(Supuestos!$E$7-Supuestos!$D$7),IF(Supuestos!$C$7="Lognormal",LOGINV(D99,LN(Supuestos!$D$7)-LN(1+Supuestos!$E$7^2/Supuestos!$D$7^2)/2,SQRT(LN(1+Supuestos!$E$7^2/Supuestos!$D$7^2))),Supuestos!$D$7))))))</f>
        <v/>
      </c>
      <c r="L99" s="32">
        <f>MIN(IF(Supuestos!$H$8="",1E+99,Supuestos!$H$8),MAX(IF(Supuestos!$G$8="",-1E+99,Supuestos!$G$8),IF(Supuestos!$C$8="Normal",NORMINV(E99,Supuestos!$D$8,Supuestos!$E$8),IF(Supuestos!$C$8="Triangular",IF(E99&lt;(Supuestos!$E$8-Supuestos!$D$8)/(Supuestos!$F$8-Supuestos!$D$8),Supuestos!$D$8+SQRT(E99*(Supuestos!$F$8-Supuestos!$D$8)*(Supuestos!$E$8-Supuestos!$D$8)),Supuestos!$F$8-SQRT((1-E99)*(Supuestos!$F$8-Supuestos!$D$8)*(Supuestos!$F$8-Supuestos!$E$8))),IF(Supuestos!$C$8="Uniforme",Supuestos!$D$8+E99*(Supuestos!$E$8-Supuestos!$D$8),IF(Supuestos!$C$8="Lognormal",LOGINV(E99,LN(Supuestos!$D$8)-LN(1+Supuestos!$E$8^2/Supuestos!$D$8^2)/2,SQRT(LN(1+Supuestos!$E$8^2/Supuestos!$D$8^2))),Supuestos!$D$8))))))</f>
        <v/>
      </c>
      <c r="M99" s="32">
        <f>MIN(IF(Supuestos!$H$9="",1E+99,Supuestos!$H$9),MAX(IF(Supuestos!$G$9="",-1E+99,Supuestos!$G$9),IF(Supuestos!$C$9="Normal",NORMINV(F99,Supuestos!$D$9,Supuestos!$E$9),IF(Supuestos!$C$9="Triangular",IF(F99&lt;(Supuestos!$E$9-Supuestos!$D$9)/(Supuestos!$F$9-Supuestos!$D$9),Supuestos!$D$9+SQRT(F99*(Supuestos!$F$9-Supuestos!$D$9)*(Supuestos!$E$9-Supuestos!$D$9)),Supuestos!$F$9-SQRT((1-F99)*(Supuestos!$F$9-Supuestos!$D$9)*(Supuestos!$F$9-Supuestos!$E$9))),IF(Supuestos!$C$9="Uniforme",Supuestos!$D$9+F99*(Supuestos!$E$9-Supuestos!$D$9),IF(Supuestos!$C$9="Lognormal",LOGINV(F99,LN(Supuestos!$D$9)-LN(1+Supuestos!$E$9^2/Supuestos!$D$9^2)/2,SQRT(LN(1+Supuestos!$E$9^2/Supuestos!$D$9^2))),Supuestos!$D$9))))))</f>
        <v/>
      </c>
      <c r="N99" s="32">
        <f>MIN(IF(Supuestos!$H$10="",1E+99,Supuestos!$H$10),MAX(IF(Supuestos!$G$10="",-1E+99,Supuestos!$G$10),IF(Supuestos!$C$10="Normal",NORMINV(G99,Supuestos!$D$10,Supuestos!$E$10),IF(Supuestos!$C$10="Triangular",IF(G99&lt;(Supuestos!$E$10-Supuestos!$D$10)/(Supuestos!$F$10-Supuestos!$D$10),Supuestos!$D$10+SQRT(G99*(Supuestos!$F$10-Supuestos!$D$10)*(Supuestos!$E$10-Supuestos!$D$10)),Supuestos!$F$10-SQRT((1-G99)*(Supuestos!$F$10-Supuestos!$D$10)*(Supuestos!$F$10-Supuestos!$E$10))),IF(Supuestos!$C$10="Uniforme",Supuestos!$D$10+G99*(Supuestos!$E$10-Supuestos!$D$10),IF(Supuestos!$C$10="Lognormal",LOGINV(G99,LN(Supuestos!$D$10)-LN(1+Supuestos!$E$10^2/Supuestos!$D$10^2)/2,SQRT(LN(1+Supuestos!$E$10^2/Supuestos!$D$10^2))),Supuestos!$D$10))))))</f>
        <v/>
      </c>
      <c r="O99" s="31">
        <f>MIN(IF(Supuestos!$H$11="",1E+99,Supuestos!$H$11),MAX(IF(Supuestos!$G$11="",-1E+99,Supuestos!$G$11),IF(Supuestos!$C$11="Normal",NORMINV(H99,Supuestos!$D$11,Supuestos!$E$11),IF(Supuestos!$C$11="Triangular",IF(H99&lt;(Supuestos!$E$11-Supuestos!$D$11)/(Supuestos!$F$11-Supuestos!$D$11),Supuestos!$D$11+SQRT(H99*(Supuestos!$F$11-Supuestos!$D$11)*(Supuestos!$E$11-Supuestos!$D$11)),Supuestos!$F$11-SQRT((1-H99)*(Supuestos!$F$11-Supuestos!$D$11)*(Supuestos!$F$11-Supuestos!$E$11))),IF(Supuestos!$C$11="Uniforme",Supuestos!$D$11+H99*(Supuestos!$E$11-Supuestos!$D$11),IF(Supuestos!$C$11="Lognormal",LOGINV(H99,LN(Supuestos!$D$11)-LN(1+Supuestos!$E$11^2/Supuestos!$D$11^2)/2,SQRT(LN(1+Supuestos!$E$11^2/Supuestos!$D$11^2))),Supuestos!$D$11))))))</f>
        <v/>
      </c>
      <c r="P99" s="33">
        <f>-I99</f>
        <v/>
      </c>
      <c r="Q99" s="33">
        <f>$J99*(1+$K99)^(1-1)*(1-$L99)*(1-$M99)</f>
        <v/>
      </c>
      <c r="R99" s="33">
        <f>$J99*(1+$K99)^(2-1)*(1-$L99)*(1-$M99)</f>
        <v/>
      </c>
      <c r="S99" s="33">
        <f>$J99*(1+$K99)^(3-1)*(1-$L99)*(1-$M99)</f>
        <v/>
      </c>
      <c r="T99" s="33">
        <f>$J99*(1+$K99)^(4-1)*(1-$L99)*(1-$M99)</f>
        <v/>
      </c>
      <c r="U99" s="33">
        <f>$J99*(1+$K99)^(5-1)*(1-$L99)*(1-$M99)+$O99</f>
        <v/>
      </c>
      <c r="V99" s="33">
        <f>P99+NPV($N99,Q99:U99)</f>
        <v/>
      </c>
      <c r="W99" s="32">
        <f>IFERROR(IRR(P99:U99,0.1),"")</f>
        <v/>
      </c>
    </row>
    <row r="100">
      <c r="A100" s="14" t="n">
        <v>96</v>
      </c>
      <c r="B100" s="30">
        <f>RAND()*(1-2E-6)+1E-6</f>
        <v/>
      </c>
      <c r="C100" s="30">
        <f>RAND()*(1-2E-6)+1E-6</f>
        <v/>
      </c>
      <c r="D100" s="30">
        <f>RAND()*(1-2E-6)+1E-6</f>
        <v/>
      </c>
      <c r="E100" s="30">
        <f>RAND()*(1-2E-6)+1E-6</f>
        <v/>
      </c>
      <c r="F100" s="30">
        <f>RAND()*(1-2E-6)+1E-6</f>
        <v/>
      </c>
      <c r="G100" s="30">
        <f>RAND()*(1-2E-6)+1E-6</f>
        <v/>
      </c>
      <c r="H100" s="30">
        <f>RAND()*(1-2E-6)+1E-6</f>
        <v/>
      </c>
      <c r="I100" s="31">
        <f>MIN(IF(Supuestos!$H$5="",1E+99,Supuestos!$H$5),MAX(IF(Supuestos!$G$5="",-1E+99,Supuestos!$G$5),IF(Supuestos!$C$5="Normal",NORMINV(B100,Supuestos!$D$5,Supuestos!$E$5),IF(Supuestos!$C$5="Triangular",IF(B100&lt;(Supuestos!$E$5-Supuestos!$D$5)/(Supuestos!$F$5-Supuestos!$D$5),Supuestos!$D$5+SQRT(B100*(Supuestos!$F$5-Supuestos!$D$5)*(Supuestos!$E$5-Supuestos!$D$5)),Supuestos!$F$5-SQRT((1-B100)*(Supuestos!$F$5-Supuestos!$D$5)*(Supuestos!$F$5-Supuestos!$E$5))),IF(Supuestos!$C$5="Uniforme",Supuestos!$D$5+B100*(Supuestos!$E$5-Supuestos!$D$5),IF(Supuestos!$C$5="Lognormal",LOGINV(B100,LN(Supuestos!$D$5)-LN(1+Supuestos!$E$5^2/Supuestos!$D$5^2)/2,SQRT(LN(1+Supuestos!$E$5^2/Supuestos!$D$5^2))),Supuestos!$D$5))))))</f>
        <v/>
      </c>
      <c r="J100" s="31">
        <f>MIN(IF(Supuestos!$H$6="",1E+99,Supuestos!$H$6),MAX(IF(Supuestos!$G$6="",-1E+99,Supuestos!$G$6),IF(Supuestos!$C$6="Normal",NORMINV(C100,Supuestos!$D$6,Supuestos!$E$6),IF(Supuestos!$C$6="Triangular",IF(C100&lt;(Supuestos!$E$6-Supuestos!$D$6)/(Supuestos!$F$6-Supuestos!$D$6),Supuestos!$D$6+SQRT(C100*(Supuestos!$F$6-Supuestos!$D$6)*(Supuestos!$E$6-Supuestos!$D$6)),Supuestos!$F$6-SQRT((1-C100)*(Supuestos!$F$6-Supuestos!$D$6)*(Supuestos!$F$6-Supuestos!$E$6))),IF(Supuestos!$C$6="Uniforme",Supuestos!$D$6+C100*(Supuestos!$E$6-Supuestos!$D$6),IF(Supuestos!$C$6="Lognormal",LOGINV(C100,LN(Supuestos!$D$6)-LN(1+Supuestos!$E$6^2/Supuestos!$D$6^2)/2,SQRT(LN(1+Supuestos!$E$6^2/Supuestos!$D$6^2))),Supuestos!$D$6))))))</f>
        <v/>
      </c>
      <c r="K100" s="32">
        <f>MIN(IF(Supuestos!$H$7="",1E+99,Supuestos!$H$7),MAX(IF(Supuestos!$G$7="",-1E+99,Supuestos!$G$7),IF(Supuestos!$C$7="Normal",NORMINV(D100,Supuestos!$D$7,Supuestos!$E$7),IF(Supuestos!$C$7="Triangular",IF(D100&lt;(Supuestos!$E$7-Supuestos!$D$7)/(Supuestos!$F$7-Supuestos!$D$7),Supuestos!$D$7+SQRT(D100*(Supuestos!$F$7-Supuestos!$D$7)*(Supuestos!$E$7-Supuestos!$D$7)),Supuestos!$F$7-SQRT((1-D100)*(Supuestos!$F$7-Supuestos!$D$7)*(Supuestos!$F$7-Supuestos!$E$7))),IF(Supuestos!$C$7="Uniforme",Supuestos!$D$7+D100*(Supuestos!$E$7-Supuestos!$D$7),IF(Supuestos!$C$7="Lognormal",LOGINV(D100,LN(Supuestos!$D$7)-LN(1+Supuestos!$E$7^2/Supuestos!$D$7^2)/2,SQRT(LN(1+Supuestos!$E$7^2/Supuestos!$D$7^2))),Supuestos!$D$7))))))</f>
        <v/>
      </c>
      <c r="L100" s="32">
        <f>MIN(IF(Supuestos!$H$8="",1E+99,Supuestos!$H$8),MAX(IF(Supuestos!$G$8="",-1E+99,Supuestos!$G$8),IF(Supuestos!$C$8="Normal",NORMINV(E100,Supuestos!$D$8,Supuestos!$E$8),IF(Supuestos!$C$8="Triangular",IF(E100&lt;(Supuestos!$E$8-Supuestos!$D$8)/(Supuestos!$F$8-Supuestos!$D$8),Supuestos!$D$8+SQRT(E100*(Supuestos!$F$8-Supuestos!$D$8)*(Supuestos!$E$8-Supuestos!$D$8)),Supuestos!$F$8-SQRT((1-E100)*(Supuestos!$F$8-Supuestos!$D$8)*(Supuestos!$F$8-Supuestos!$E$8))),IF(Supuestos!$C$8="Uniforme",Supuestos!$D$8+E100*(Supuestos!$E$8-Supuestos!$D$8),IF(Supuestos!$C$8="Lognormal",LOGINV(E100,LN(Supuestos!$D$8)-LN(1+Supuestos!$E$8^2/Supuestos!$D$8^2)/2,SQRT(LN(1+Supuestos!$E$8^2/Supuestos!$D$8^2))),Supuestos!$D$8))))))</f>
        <v/>
      </c>
      <c r="M100" s="32">
        <f>MIN(IF(Supuestos!$H$9="",1E+99,Supuestos!$H$9),MAX(IF(Supuestos!$G$9="",-1E+99,Supuestos!$G$9),IF(Supuestos!$C$9="Normal",NORMINV(F100,Supuestos!$D$9,Supuestos!$E$9),IF(Supuestos!$C$9="Triangular",IF(F100&lt;(Supuestos!$E$9-Supuestos!$D$9)/(Supuestos!$F$9-Supuestos!$D$9),Supuestos!$D$9+SQRT(F100*(Supuestos!$F$9-Supuestos!$D$9)*(Supuestos!$E$9-Supuestos!$D$9)),Supuestos!$F$9-SQRT((1-F100)*(Supuestos!$F$9-Supuestos!$D$9)*(Supuestos!$F$9-Supuestos!$E$9))),IF(Supuestos!$C$9="Uniforme",Supuestos!$D$9+F100*(Supuestos!$E$9-Supuestos!$D$9),IF(Supuestos!$C$9="Lognormal",LOGINV(F100,LN(Supuestos!$D$9)-LN(1+Supuestos!$E$9^2/Supuestos!$D$9^2)/2,SQRT(LN(1+Supuestos!$E$9^2/Supuestos!$D$9^2))),Supuestos!$D$9))))))</f>
        <v/>
      </c>
      <c r="N100" s="32">
        <f>MIN(IF(Supuestos!$H$10="",1E+99,Supuestos!$H$10),MAX(IF(Supuestos!$G$10="",-1E+99,Supuestos!$G$10),IF(Supuestos!$C$10="Normal",NORMINV(G100,Supuestos!$D$10,Supuestos!$E$10),IF(Supuestos!$C$10="Triangular",IF(G100&lt;(Supuestos!$E$10-Supuestos!$D$10)/(Supuestos!$F$10-Supuestos!$D$10),Supuestos!$D$10+SQRT(G100*(Supuestos!$F$10-Supuestos!$D$10)*(Supuestos!$E$10-Supuestos!$D$10)),Supuestos!$F$10-SQRT((1-G100)*(Supuestos!$F$10-Supuestos!$D$10)*(Supuestos!$F$10-Supuestos!$E$10))),IF(Supuestos!$C$10="Uniforme",Supuestos!$D$10+G100*(Supuestos!$E$10-Supuestos!$D$10),IF(Supuestos!$C$10="Lognormal",LOGINV(G100,LN(Supuestos!$D$10)-LN(1+Supuestos!$E$10^2/Supuestos!$D$10^2)/2,SQRT(LN(1+Supuestos!$E$10^2/Supuestos!$D$10^2))),Supuestos!$D$10))))))</f>
        <v/>
      </c>
      <c r="O100" s="31">
        <f>MIN(IF(Supuestos!$H$11="",1E+99,Supuestos!$H$11),MAX(IF(Supuestos!$G$11="",-1E+99,Supuestos!$G$11),IF(Supuestos!$C$11="Normal",NORMINV(H100,Supuestos!$D$11,Supuestos!$E$11),IF(Supuestos!$C$11="Triangular",IF(H100&lt;(Supuestos!$E$11-Supuestos!$D$11)/(Supuestos!$F$11-Supuestos!$D$11),Supuestos!$D$11+SQRT(H100*(Supuestos!$F$11-Supuestos!$D$11)*(Supuestos!$E$11-Supuestos!$D$11)),Supuestos!$F$11-SQRT((1-H100)*(Supuestos!$F$11-Supuestos!$D$11)*(Supuestos!$F$11-Supuestos!$E$11))),IF(Supuestos!$C$11="Uniforme",Supuestos!$D$11+H100*(Supuestos!$E$11-Supuestos!$D$11),IF(Supuestos!$C$11="Lognormal",LOGINV(H100,LN(Supuestos!$D$11)-LN(1+Supuestos!$E$11^2/Supuestos!$D$11^2)/2,SQRT(LN(1+Supuestos!$E$11^2/Supuestos!$D$11^2))),Supuestos!$D$11))))))</f>
        <v/>
      </c>
      <c r="P100" s="33">
        <f>-I100</f>
        <v/>
      </c>
      <c r="Q100" s="33">
        <f>$J100*(1+$K100)^(1-1)*(1-$L100)*(1-$M100)</f>
        <v/>
      </c>
      <c r="R100" s="33">
        <f>$J100*(1+$K100)^(2-1)*(1-$L100)*(1-$M100)</f>
        <v/>
      </c>
      <c r="S100" s="33">
        <f>$J100*(1+$K100)^(3-1)*(1-$L100)*(1-$M100)</f>
        <v/>
      </c>
      <c r="T100" s="33">
        <f>$J100*(1+$K100)^(4-1)*(1-$L100)*(1-$M100)</f>
        <v/>
      </c>
      <c r="U100" s="33">
        <f>$J100*(1+$K100)^(5-1)*(1-$L100)*(1-$M100)+$O100</f>
        <v/>
      </c>
      <c r="V100" s="33">
        <f>P100+NPV($N100,Q100:U100)</f>
        <v/>
      </c>
      <c r="W100" s="32">
        <f>IFERROR(IRR(P100:U100,0.1),"")</f>
        <v/>
      </c>
    </row>
    <row r="101">
      <c r="A101" s="14" t="n">
        <v>97</v>
      </c>
      <c r="B101" s="30">
        <f>RAND()*(1-2E-6)+1E-6</f>
        <v/>
      </c>
      <c r="C101" s="30">
        <f>RAND()*(1-2E-6)+1E-6</f>
        <v/>
      </c>
      <c r="D101" s="30">
        <f>RAND()*(1-2E-6)+1E-6</f>
        <v/>
      </c>
      <c r="E101" s="30">
        <f>RAND()*(1-2E-6)+1E-6</f>
        <v/>
      </c>
      <c r="F101" s="30">
        <f>RAND()*(1-2E-6)+1E-6</f>
        <v/>
      </c>
      <c r="G101" s="30">
        <f>RAND()*(1-2E-6)+1E-6</f>
        <v/>
      </c>
      <c r="H101" s="30">
        <f>RAND()*(1-2E-6)+1E-6</f>
        <v/>
      </c>
      <c r="I101" s="31">
        <f>MIN(IF(Supuestos!$H$5="",1E+99,Supuestos!$H$5),MAX(IF(Supuestos!$G$5="",-1E+99,Supuestos!$G$5),IF(Supuestos!$C$5="Normal",NORMINV(B101,Supuestos!$D$5,Supuestos!$E$5),IF(Supuestos!$C$5="Triangular",IF(B101&lt;(Supuestos!$E$5-Supuestos!$D$5)/(Supuestos!$F$5-Supuestos!$D$5),Supuestos!$D$5+SQRT(B101*(Supuestos!$F$5-Supuestos!$D$5)*(Supuestos!$E$5-Supuestos!$D$5)),Supuestos!$F$5-SQRT((1-B101)*(Supuestos!$F$5-Supuestos!$D$5)*(Supuestos!$F$5-Supuestos!$E$5))),IF(Supuestos!$C$5="Uniforme",Supuestos!$D$5+B101*(Supuestos!$E$5-Supuestos!$D$5),IF(Supuestos!$C$5="Lognormal",LOGINV(B101,LN(Supuestos!$D$5)-LN(1+Supuestos!$E$5^2/Supuestos!$D$5^2)/2,SQRT(LN(1+Supuestos!$E$5^2/Supuestos!$D$5^2))),Supuestos!$D$5))))))</f>
        <v/>
      </c>
      <c r="J101" s="31">
        <f>MIN(IF(Supuestos!$H$6="",1E+99,Supuestos!$H$6),MAX(IF(Supuestos!$G$6="",-1E+99,Supuestos!$G$6),IF(Supuestos!$C$6="Normal",NORMINV(C101,Supuestos!$D$6,Supuestos!$E$6),IF(Supuestos!$C$6="Triangular",IF(C101&lt;(Supuestos!$E$6-Supuestos!$D$6)/(Supuestos!$F$6-Supuestos!$D$6),Supuestos!$D$6+SQRT(C101*(Supuestos!$F$6-Supuestos!$D$6)*(Supuestos!$E$6-Supuestos!$D$6)),Supuestos!$F$6-SQRT((1-C101)*(Supuestos!$F$6-Supuestos!$D$6)*(Supuestos!$F$6-Supuestos!$E$6))),IF(Supuestos!$C$6="Uniforme",Supuestos!$D$6+C101*(Supuestos!$E$6-Supuestos!$D$6),IF(Supuestos!$C$6="Lognormal",LOGINV(C101,LN(Supuestos!$D$6)-LN(1+Supuestos!$E$6^2/Supuestos!$D$6^2)/2,SQRT(LN(1+Supuestos!$E$6^2/Supuestos!$D$6^2))),Supuestos!$D$6))))))</f>
        <v/>
      </c>
      <c r="K101" s="32">
        <f>MIN(IF(Supuestos!$H$7="",1E+99,Supuestos!$H$7),MAX(IF(Supuestos!$G$7="",-1E+99,Supuestos!$G$7),IF(Supuestos!$C$7="Normal",NORMINV(D101,Supuestos!$D$7,Supuestos!$E$7),IF(Supuestos!$C$7="Triangular",IF(D101&lt;(Supuestos!$E$7-Supuestos!$D$7)/(Supuestos!$F$7-Supuestos!$D$7),Supuestos!$D$7+SQRT(D101*(Supuestos!$F$7-Supuestos!$D$7)*(Supuestos!$E$7-Supuestos!$D$7)),Supuestos!$F$7-SQRT((1-D101)*(Supuestos!$F$7-Supuestos!$D$7)*(Supuestos!$F$7-Supuestos!$E$7))),IF(Supuestos!$C$7="Uniforme",Supuestos!$D$7+D101*(Supuestos!$E$7-Supuestos!$D$7),IF(Supuestos!$C$7="Lognormal",LOGINV(D101,LN(Supuestos!$D$7)-LN(1+Supuestos!$E$7^2/Supuestos!$D$7^2)/2,SQRT(LN(1+Supuestos!$E$7^2/Supuestos!$D$7^2))),Supuestos!$D$7))))))</f>
        <v/>
      </c>
      <c r="L101" s="32">
        <f>MIN(IF(Supuestos!$H$8="",1E+99,Supuestos!$H$8),MAX(IF(Supuestos!$G$8="",-1E+99,Supuestos!$G$8),IF(Supuestos!$C$8="Normal",NORMINV(E101,Supuestos!$D$8,Supuestos!$E$8),IF(Supuestos!$C$8="Triangular",IF(E101&lt;(Supuestos!$E$8-Supuestos!$D$8)/(Supuestos!$F$8-Supuestos!$D$8),Supuestos!$D$8+SQRT(E101*(Supuestos!$F$8-Supuestos!$D$8)*(Supuestos!$E$8-Supuestos!$D$8)),Supuestos!$F$8-SQRT((1-E101)*(Supuestos!$F$8-Supuestos!$D$8)*(Supuestos!$F$8-Supuestos!$E$8))),IF(Supuestos!$C$8="Uniforme",Supuestos!$D$8+E101*(Supuestos!$E$8-Supuestos!$D$8),IF(Supuestos!$C$8="Lognormal",LOGINV(E101,LN(Supuestos!$D$8)-LN(1+Supuestos!$E$8^2/Supuestos!$D$8^2)/2,SQRT(LN(1+Supuestos!$E$8^2/Supuestos!$D$8^2))),Supuestos!$D$8))))))</f>
        <v/>
      </c>
      <c r="M101" s="32">
        <f>MIN(IF(Supuestos!$H$9="",1E+99,Supuestos!$H$9),MAX(IF(Supuestos!$G$9="",-1E+99,Supuestos!$G$9),IF(Supuestos!$C$9="Normal",NORMINV(F101,Supuestos!$D$9,Supuestos!$E$9),IF(Supuestos!$C$9="Triangular",IF(F101&lt;(Supuestos!$E$9-Supuestos!$D$9)/(Supuestos!$F$9-Supuestos!$D$9),Supuestos!$D$9+SQRT(F101*(Supuestos!$F$9-Supuestos!$D$9)*(Supuestos!$E$9-Supuestos!$D$9)),Supuestos!$F$9-SQRT((1-F101)*(Supuestos!$F$9-Supuestos!$D$9)*(Supuestos!$F$9-Supuestos!$E$9))),IF(Supuestos!$C$9="Uniforme",Supuestos!$D$9+F101*(Supuestos!$E$9-Supuestos!$D$9),IF(Supuestos!$C$9="Lognormal",LOGINV(F101,LN(Supuestos!$D$9)-LN(1+Supuestos!$E$9^2/Supuestos!$D$9^2)/2,SQRT(LN(1+Supuestos!$E$9^2/Supuestos!$D$9^2))),Supuestos!$D$9))))))</f>
        <v/>
      </c>
      <c r="N101" s="32">
        <f>MIN(IF(Supuestos!$H$10="",1E+99,Supuestos!$H$10),MAX(IF(Supuestos!$G$10="",-1E+99,Supuestos!$G$10),IF(Supuestos!$C$10="Normal",NORMINV(G101,Supuestos!$D$10,Supuestos!$E$10),IF(Supuestos!$C$10="Triangular",IF(G101&lt;(Supuestos!$E$10-Supuestos!$D$10)/(Supuestos!$F$10-Supuestos!$D$10),Supuestos!$D$10+SQRT(G101*(Supuestos!$F$10-Supuestos!$D$10)*(Supuestos!$E$10-Supuestos!$D$10)),Supuestos!$F$10-SQRT((1-G101)*(Supuestos!$F$10-Supuestos!$D$10)*(Supuestos!$F$10-Supuestos!$E$10))),IF(Supuestos!$C$10="Uniforme",Supuestos!$D$10+G101*(Supuestos!$E$10-Supuestos!$D$10),IF(Supuestos!$C$10="Lognormal",LOGINV(G101,LN(Supuestos!$D$10)-LN(1+Supuestos!$E$10^2/Supuestos!$D$10^2)/2,SQRT(LN(1+Supuestos!$E$10^2/Supuestos!$D$10^2))),Supuestos!$D$10))))))</f>
        <v/>
      </c>
      <c r="O101" s="31">
        <f>MIN(IF(Supuestos!$H$11="",1E+99,Supuestos!$H$11),MAX(IF(Supuestos!$G$11="",-1E+99,Supuestos!$G$11),IF(Supuestos!$C$11="Normal",NORMINV(H101,Supuestos!$D$11,Supuestos!$E$11),IF(Supuestos!$C$11="Triangular",IF(H101&lt;(Supuestos!$E$11-Supuestos!$D$11)/(Supuestos!$F$11-Supuestos!$D$11),Supuestos!$D$11+SQRT(H101*(Supuestos!$F$11-Supuestos!$D$11)*(Supuestos!$E$11-Supuestos!$D$11)),Supuestos!$F$11-SQRT((1-H101)*(Supuestos!$F$11-Supuestos!$D$11)*(Supuestos!$F$11-Supuestos!$E$11))),IF(Supuestos!$C$11="Uniforme",Supuestos!$D$11+H101*(Supuestos!$E$11-Supuestos!$D$11),IF(Supuestos!$C$11="Lognormal",LOGINV(H101,LN(Supuestos!$D$11)-LN(1+Supuestos!$E$11^2/Supuestos!$D$11^2)/2,SQRT(LN(1+Supuestos!$E$11^2/Supuestos!$D$11^2))),Supuestos!$D$11))))))</f>
        <v/>
      </c>
      <c r="P101" s="33">
        <f>-I101</f>
        <v/>
      </c>
      <c r="Q101" s="33">
        <f>$J101*(1+$K101)^(1-1)*(1-$L101)*(1-$M101)</f>
        <v/>
      </c>
      <c r="R101" s="33">
        <f>$J101*(1+$K101)^(2-1)*(1-$L101)*(1-$M101)</f>
        <v/>
      </c>
      <c r="S101" s="33">
        <f>$J101*(1+$K101)^(3-1)*(1-$L101)*(1-$M101)</f>
        <v/>
      </c>
      <c r="T101" s="33">
        <f>$J101*(1+$K101)^(4-1)*(1-$L101)*(1-$M101)</f>
        <v/>
      </c>
      <c r="U101" s="33">
        <f>$J101*(1+$K101)^(5-1)*(1-$L101)*(1-$M101)+$O101</f>
        <v/>
      </c>
      <c r="V101" s="33">
        <f>P101+NPV($N101,Q101:U101)</f>
        <v/>
      </c>
      <c r="W101" s="32">
        <f>IFERROR(IRR(P101:U101,0.1),"")</f>
        <v/>
      </c>
    </row>
    <row r="102">
      <c r="A102" s="14" t="n">
        <v>98</v>
      </c>
      <c r="B102" s="30">
        <f>RAND()*(1-2E-6)+1E-6</f>
        <v/>
      </c>
      <c r="C102" s="30">
        <f>RAND()*(1-2E-6)+1E-6</f>
        <v/>
      </c>
      <c r="D102" s="30">
        <f>RAND()*(1-2E-6)+1E-6</f>
        <v/>
      </c>
      <c r="E102" s="30">
        <f>RAND()*(1-2E-6)+1E-6</f>
        <v/>
      </c>
      <c r="F102" s="30">
        <f>RAND()*(1-2E-6)+1E-6</f>
        <v/>
      </c>
      <c r="G102" s="30">
        <f>RAND()*(1-2E-6)+1E-6</f>
        <v/>
      </c>
      <c r="H102" s="30">
        <f>RAND()*(1-2E-6)+1E-6</f>
        <v/>
      </c>
      <c r="I102" s="31">
        <f>MIN(IF(Supuestos!$H$5="",1E+99,Supuestos!$H$5),MAX(IF(Supuestos!$G$5="",-1E+99,Supuestos!$G$5),IF(Supuestos!$C$5="Normal",NORMINV(B102,Supuestos!$D$5,Supuestos!$E$5),IF(Supuestos!$C$5="Triangular",IF(B102&lt;(Supuestos!$E$5-Supuestos!$D$5)/(Supuestos!$F$5-Supuestos!$D$5),Supuestos!$D$5+SQRT(B102*(Supuestos!$F$5-Supuestos!$D$5)*(Supuestos!$E$5-Supuestos!$D$5)),Supuestos!$F$5-SQRT((1-B102)*(Supuestos!$F$5-Supuestos!$D$5)*(Supuestos!$F$5-Supuestos!$E$5))),IF(Supuestos!$C$5="Uniforme",Supuestos!$D$5+B102*(Supuestos!$E$5-Supuestos!$D$5),IF(Supuestos!$C$5="Lognormal",LOGINV(B102,LN(Supuestos!$D$5)-LN(1+Supuestos!$E$5^2/Supuestos!$D$5^2)/2,SQRT(LN(1+Supuestos!$E$5^2/Supuestos!$D$5^2))),Supuestos!$D$5))))))</f>
        <v/>
      </c>
      <c r="J102" s="31">
        <f>MIN(IF(Supuestos!$H$6="",1E+99,Supuestos!$H$6),MAX(IF(Supuestos!$G$6="",-1E+99,Supuestos!$G$6),IF(Supuestos!$C$6="Normal",NORMINV(C102,Supuestos!$D$6,Supuestos!$E$6),IF(Supuestos!$C$6="Triangular",IF(C102&lt;(Supuestos!$E$6-Supuestos!$D$6)/(Supuestos!$F$6-Supuestos!$D$6),Supuestos!$D$6+SQRT(C102*(Supuestos!$F$6-Supuestos!$D$6)*(Supuestos!$E$6-Supuestos!$D$6)),Supuestos!$F$6-SQRT((1-C102)*(Supuestos!$F$6-Supuestos!$D$6)*(Supuestos!$F$6-Supuestos!$E$6))),IF(Supuestos!$C$6="Uniforme",Supuestos!$D$6+C102*(Supuestos!$E$6-Supuestos!$D$6),IF(Supuestos!$C$6="Lognormal",LOGINV(C102,LN(Supuestos!$D$6)-LN(1+Supuestos!$E$6^2/Supuestos!$D$6^2)/2,SQRT(LN(1+Supuestos!$E$6^2/Supuestos!$D$6^2))),Supuestos!$D$6))))))</f>
        <v/>
      </c>
      <c r="K102" s="32">
        <f>MIN(IF(Supuestos!$H$7="",1E+99,Supuestos!$H$7),MAX(IF(Supuestos!$G$7="",-1E+99,Supuestos!$G$7),IF(Supuestos!$C$7="Normal",NORMINV(D102,Supuestos!$D$7,Supuestos!$E$7),IF(Supuestos!$C$7="Triangular",IF(D102&lt;(Supuestos!$E$7-Supuestos!$D$7)/(Supuestos!$F$7-Supuestos!$D$7),Supuestos!$D$7+SQRT(D102*(Supuestos!$F$7-Supuestos!$D$7)*(Supuestos!$E$7-Supuestos!$D$7)),Supuestos!$F$7-SQRT((1-D102)*(Supuestos!$F$7-Supuestos!$D$7)*(Supuestos!$F$7-Supuestos!$E$7))),IF(Supuestos!$C$7="Uniforme",Supuestos!$D$7+D102*(Supuestos!$E$7-Supuestos!$D$7),IF(Supuestos!$C$7="Lognormal",LOGINV(D102,LN(Supuestos!$D$7)-LN(1+Supuestos!$E$7^2/Supuestos!$D$7^2)/2,SQRT(LN(1+Supuestos!$E$7^2/Supuestos!$D$7^2))),Supuestos!$D$7))))))</f>
        <v/>
      </c>
      <c r="L102" s="32">
        <f>MIN(IF(Supuestos!$H$8="",1E+99,Supuestos!$H$8),MAX(IF(Supuestos!$G$8="",-1E+99,Supuestos!$G$8),IF(Supuestos!$C$8="Normal",NORMINV(E102,Supuestos!$D$8,Supuestos!$E$8),IF(Supuestos!$C$8="Triangular",IF(E102&lt;(Supuestos!$E$8-Supuestos!$D$8)/(Supuestos!$F$8-Supuestos!$D$8),Supuestos!$D$8+SQRT(E102*(Supuestos!$F$8-Supuestos!$D$8)*(Supuestos!$E$8-Supuestos!$D$8)),Supuestos!$F$8-SQRT((1-E102)*(Supuestos!$F$8-Supuestos!$D$8)*(Supuestos!$F$8-Supuestos!$E$8))),IF(Supuestos!$C$8="Uniforme",Supuestos!$D$8+E102*(Supuestos!$E$8-Supuestos!$D$8),IF(Supuestos!$C$8="Lognormal",LOGINV(E102,LN(Supuestos!$D$8)-LN(1+Supuestos!$E$8^2/Supuestos!$D$8^2)/2,SQRT(LN(1+Supuestos!$E$8^2/Supuestos!$D$8^2))),Supuestos!$D$8))))))</f>
        <v/>
      </c>
      <c r="M102" s="32">
        <f>MIN(IF(Supuestos!$H$9="",1E+99,Supuestos!$H$9),MAX(IF(Supuestos!$G$9="",-1E+99,Supuestos!$G$9),IF(Supuestos!$C$9="Normal",NORMINV(F102,Supuestos!$D$9,Supuestos!$E$9),IF(Supuestos!$C$9="Triangular",IF(F102&lt;(Supuestos!$E$9-Supuestos!$D$9)/(Supuestos!$F$9-Supuestos!$D$9),Supuestos!$D$9+SQRT(F102*(Supuestos!$F$9-Supuestos!$D$9)*(Supuestos!$E$9-Supuestos!$D$9)),Supuestos!$F$9-SQRT((1-F102)*(Supuestos!$F$9-Supuestos!$D$9)*(Supuestos!$F$9-Supuestos!$E$9))),IF(Supuestos!$C$9="Uniforme",Supuestos!$D$9+F102*(Supuestos!$E$9-Supuestos!$D$9),IF(Supuestos!$C$9="Lognormal",LOGINV(F102,LN(Supuestos!$D$9)-LN(1+Supuestos!$E$9^2/Supuestos!$D$9^2)/2,SQRT(LN(1+Supuestos!$E$9^2/Supuestos!$D$9^2))),Supuestos!$D$9))))))</f>
        <v/>
      </c>
      <c r="N102" s="32">
        <f>MIN(IF(Supuestos!$H$10="",1E+99,Supuestos!$H$10),MAX(IF(Supuestos!$G$10="",-1E+99,Supuestos!$G$10),IF(Supuestos!$C$10="Normal",NORMINV(G102,Supuestos!$D$10,Supuestos!$E$10),IF(Supuestos!$C$10="Triangular",IF(G102&lt;(Supuestos!$E$10-Supuestos!$D$10)/(Supuestos!$F$10-Supuestos!$D$10),Supuestos!$D$10+SQRT(G102*(Supuestos!$F$10-Supuestos!$D$10)*(Supuestos!$E$10-Supuestos!$D$10)),Supuestos!$F$10-SQRT((1-G102)*(Supuestos!$F$10-Supuestos!$D$10)*(Supuestos!$F$10-Supuestos!$E$10))),IF(Supuestos!$C$10="Uniforme",Supuestos!$D$10+G102*(Supuestos!$E$10-Supuestos!$D$10),IF(Supuestos!$C$10="Lognormal",LOGINV(G102,LN(Supuestos!$D$10)-LN(1+Supuestos!$E$10^2/Supuestos!$D$10^2)/2,SQRT(LN(1+Supuestos!$E$10^2/Supuestos!$D$10^2))),Supuestos!$D$10))))))</f>
        <v/>
      </c>
      <c r="O102" s="31">
        <f>MIN(IF(Supuestos!$H$11="",1E+99,Supuestos!$H$11),MAX(IF(Supuestos!$G$11="",-1E+99,Supuestos!$G$11),IF(Supuestos!$C$11="Normal",NORMINV(H102,Supuestos!$D$11,Supuestos!$E$11),IF(Supuestos!$C$11="Triangular",IF(H102&lt;(Supuestos!$E$11-Supuestos!$D$11)/(Supuestos!$F$11-Supuestos!$D$11),Supuestos!$D$11+SQRT(H102*(Supuestos!$F$11-Supuestos!$D$11)*(Supuestos!$E$11-Supuestos!$D$11)),Supuestos!$F$11-SQRT((1-H102)*(Supuestos!$F$11-Supuestos!$D$11)*(Supuestos!$F$11-Supuestos!$E$11))),IF(Supuestos!$C$11="Uniforme",Supuestos!$D$11+H102*(Supuestos!$E$11-Supuestos!$D$11),IF(Supuestos!$C$11="Lognormal",LOGINV(H102,LN(Supuestos!$D$11)-LN(1+Supuestos!$E$11^2/Supuestos!$D$11^2)/2,SQRT(LN(1+Supuestos!$E$11^2/Supuestos!$D$11^2))),Supuestos!$D$11))))))</f>
        <v/>
      </c>
      <c r="P102" s="33">
        <f>-I102</f>
        <v/>
      </c>
      <c r="Q102" s="33">
        <f>$J102*(1+$K102)^(1-1)*(1-$L102)*(1-$M102)</f>
        <v/>
      </c>
      <c r="R102" s="33">
        <f>$J102*(1+$K102)^(2-1)*(1-$L102)*(1-$M102)</f>
        <v/>
      </c>
      <c r="S102" s="33">
        <f>$J102*(1+$K102)^(3-1)*(1-$L102)*(1-$M102)</f>
        <v/>
      </c>
      <c r="T102" s="33">
        <f>$J102*(1+$K102)^(4-1)*(1-$L102)*(1-$M102)</f>
        <v/>
      </c>
      <c r="U102" s="33">
        <f>$J102*(1+$K102)^(5-1)*(1-$L102)*(1-$M102)+$O102</f>
        <v/>
      </c>
      <c r="V102" s="33">
        <f>P102+NPV($N102,Q102:U102)</f>
        <v/>
      </c>
      <c r="W102" s="32">
        <f>IFERROR(IRR(P102:U102,0.1),"")</f>
        <v/>
      </c>
    </row>
    <row r="103">
      <c r="A103" s="14" t="n">
        <v>99</v>
      </c>
      <c r="B103" s="30">
        <f>RAND()*(1-2E-6)+1E-6</f>
        <v/>
      </c>
      <c r="C103" s="30">
        <f>RAND()*(1-2E-6)+1E-6</f>
        <v/>
      </c>
      <c r="D103" s="30">
        <f>RAND()*(1-2E-6)+1E-6</f>
        <v/>
      </c>
      <c r="E103" s="30">
        <f>RAND()*(1-2E-6)+1E-6</f>
        <v/>
      </c>
      <c r="F103" s="30">
        <f>RAND()*(1-2E-6)+1E-6</f>
        <v/>
      </c>
      <c r="G103" s="30">
        <f>RAND()*(1-2E-6)+1E-6</f>
        <v/>
      </c>
      <c r="H103" s="30">
        <f>RAND()*(1-2E-6)+1E-6</f>
        <v/>
      </c>
      <c r="I103" s="31">
        <f>MIN(IF(Supuestos!$H$5="",1E+99,Supuestos!$H$5),MAX(IF(Supuestos!$G$5="",-1E+99,Supuestos!$G$5),IF(Supuestos!$C$5="Normal",NORMINV(B103,Supuestos!$D$5,Supuestos!$E$5),IF(Supuestos!$C$5="Triangular",IF(B103&lt;(Supuestos!$E$5-Supuestos!$D$5)/(Supuestos!$F$5-Supuestos!$D$5),Supuestos!$D$5+SQRT(B103*(Supuestos!$F$5-Supuestos!$D$5)*(Supuestos!$E$5-Supuestos!$D$5)),Supuestos!$F$5-SQRT((1-B103)*(Supuestos!$F$5-Supuestos!$D$5)*(Supuestos!$F$5-Supuestos!$E$5))),IF(Supuestos!$C$5="Uniforme",Supuestos!$D$5+B103*(Supuestos!$E$5-Supuestos!$D$5),IF(Supuestos!$C$5="Lognormal",LOGINV(B103,LN(Supuestos!$D$5)-LN(1+Supuestos!$E$5^2/Supuestos!$D$5^2)/2,SQRT(LN(1+Supuestos!$E$5^2/Supuestos!$D$5^2))),Supuestos!$D$5))))))</f>
        <v/>
      </c>
      <c r="J103" s="31">
        <f>MIN(IF(Supuestos!$H$6="",1E+99,Supuestos!$H$6),MAX(IF(Supuestos!$G$6="",-1E+99,Supuestos!$G$6),IF(Supuestos!$C$6="Normal",NORMINV(C103,Supuestos!$D$6,Supuestos!$E$6),IF(Supuestos!$C$6="Triangular",IF(C103&lt;(Supuestos!$E$6-Supuestos!$D$6)/(Supuestos!$F$6-Supuestos!$D$6),Supuestos!$D$6+SQRT(C103*(Supuestos!$F$6-Supuestos!$D$6)*(Supuestos!$E$6-Supuestos!$D$6)),Supuestos!$F$6-SQRT((1-C103)*(Supuestos!$F$6-Supuestos!$D$6)*(Supuestos!$F$6-Supuestos!$E$6))),IF(Supuestos!$C$6="Uniforme",Supuestos!$D$6+C103*(Supuestos!$E$6-Supuestos!$D$6),IF(Supuestos!$C$6="Lognormal",LOGINV(C103,LN(Supuestos!$D$6)-LN(1+Supuestos!$E$6^2/Supuestos!$D$6^2)/2,SQRT(LN(1+Supuestos!$E$6^2/Supuestos!$D$6^2))),Supuestos!$D$6))))))</f>
        <v/>
      </c>
      <c r="K103" s="32">
        <f>MIN(IF(Supuestos!$H$7="",1E+99,Supuestos!$H$7),MAX(IF(Supuestos!$G$7="",-1E+99,Supuestos!$G$7),IF(Supuestos!$C$7="Normal",NORMINV(D103,Supuestos!$D$7,Supuestos!$E$7),IF(Supuestos!$C$7="Triangular",IF(D103&lt;(Supuestos!$E$7-Supuestos!$D$7)/(Supuestos!$F$7-Supuestos!$D$7),Supuestos!$D$7+SQRT(D103*(Supuestos!$F$7-Supuestos!$D$7)*(Supuestos!$E$7-Supuestos!$D$7)),Supuestos!$F$7-SQRT((1-D103)*(Supuestos!$F$7-Supuestos!$D$7)*(Supuestos!$F$7-Supuestos!$E$7))),IF(Supuestos!$C$7="Uniforme",Supuestos!$D$7+D103*(Supuestos!$E$7-Supuestos!$D$7),IF(Supuestos!$C$7="Lognormal",LOGINV(D103,LN(Supuestos!$D$7)-LN(1+Supuestos!$E$7^2/Supuestos!$D$7^2)/2,SQRT(LN(1+Supuestos!$E$7^2/Supuestos!$D$7^2))),Supuestos!$D$7))))))</f>
        <v/>
      </c>
      <c r="L103" s="32">
        <f>MIN(IF(Supuestos!$H$8="",1E+99,Supuestos!$H$8),MAX(IF(Supuestos!$G$8="",-1E+99,Supuestos!$G$8),IF(Supuestos!$C$8="Normal",NORMINV(E103,Supuestos!$D$8,Supuestos!$E$8),IF(Supuestos!$C$8="Triangular",IF(E103&lt;(Supuestos!$E$8-Supuestos!$D$8)/(Supuestos!$F$8-Supuestos!$D$8),Supuestos!$D$8+SQRT(E103*(Supuestos!$F$8-Supuestos!$D$8)*(Supuestos!$E$8-Supuestos!$D$8)),Supuestos!$F$8-SQRT((1-E103)*(Supuestos!$F$8-Supuestos!$D$8)*(Supuestos!$F$8-Supuestos!$E$8))),IF(Supuestos!$C$8="Uniforme",Supuestos!$D$8+E103*(Supuestos!$E$8-Supuestos!$D$8),IF(Supuestos!$C$8="Lognormal",LOGINV(E103,LN(Supuestos!$D$8)-LN(1+Supuestos!$E$8^2/Supuestos!$D$8^2)/2,SQRT(LN(1+Supuestos!$E$8^2/Supuestos!$D$8^2))),Supuestos!$D$8))))))</f>
        <v/>
      </c>
      <c r="M103" s="32">
        <f>MIN(IF(Supuestos!$H$9="",1E+99,Supuestos!$H$9),MAX(IF(Supuestos!$G$9="",-1E+99,Supuestos!$G$9),IF(Supuestos!$C$9="Normal",NORMINV(F103,Supuestos!$D$9,Supuestos!$E$9),IF(Supuestos!$C$9="Triangular",IF(F103&lt;(Supuestos!$E$9-Supuestos!$D$9)/(Supuestos!$F$9-Supuestos!$D$9),Supuestos!$D$9+SQRT(F103*(Supuestos!$F$9-Supuestos!$D$9)*(Supuestos!$E$9-Supuestos!$D$9)),Supuestos!$F$9-SQRT((1-F103)*(Supuestos!$F$9-Supuestos!$D$9)*(Supuestos!$F$9-Supuestos!$E$9))),IF(Supuestos!$C$9="Uniforme",Supuestos!$D$9+F103*(Supuestos!$E$9-Supuestos!$D$9),IF(Supuestos!$C$9="Lognormal",LOGINV(F103,LN(Supuestos!$D$9)-LN(1+Supuestos!$E$9^2/Supuestos!$D$9^2)/2,SQRT(LN(1+Supuestos!$E$9^2/Supuestos!$D$9^2))),Supuestos!$D$9))))))</f>
        <v/>
      </c>
      <c r="N103" s="32">
        <f>MIN(IF(Supuestos!$H$10="",1E+99,Supuestos!$H$10),MAX(IF(Supuestos!$G$10="",-1E+99,Supuestos!$G$10),IF(Supuestos!$C$10="Normal",NORMINV(G103,Supuestos!$D$10,Supuestos!$E$10),IF(Supuestos!$C$10="Triangular",IF(G103&lt;(Supuestos!$E$10-Supuestos!$D$10)/(Supuestos!$F$10-Supuestos!$D$10),Supuestos!$D$10+SQRT(G103*(Supuestos!$F$10-Supuestos!$D$10)*(Supuestos!$E$10-Supuestos!$D$10)),Supuestos!$F$10-SQRT((1-G103)*(Supuestos!$F$10-Supuestos!$D$10)*(Supuestos!$F$10-Supuestos!$E$10))),IF(Supuestos!$C$10="Uniforme",Supuestos!$D$10+G103*(Supuestos!$E$10-Supuestos!$D$10),IF(Supuestos!$C$10="Lognormal",LOGINV(G103,LN(Supuestos!$D$10)-LN(1+Supuestos!$E$10^2/Supuestos!$D$10^2)/2,SQRT(LN(1+Supuestos!$E$10^2/Supuestos!$D$10^2))),Supuestos!$D$10))))))</f>
        <v/>
      </c>
      <c r="O103" s="31">
        <f>MIN(IF(Supuestos!$H$11="",1E+99,Supuestos!$H$11),MAX(IF(Supuestos!$G$11="",-1E+99,Supuestos!$G$11),IF(Supuestos!$C$11="Normal",NORMINV(H103,Supuestos!$D$11,Supuestos!$E$11),IF(Supuestos!$C$11="Triangular",IF(H103&lt;(Supuestos!$E$11-Supuestos!$D$11)/(Supuestos!$F$11-Supuestos!$D$11),Supuestos!$D$11+SQRT(H103*(Supuestos!$F$11-Supuestos!$D$11)*(Supuestos!$E$11-Supuestos!$D$11)),Supuestos!$F$11-SQRT((1-H103)*(Supuestos!$F$11-Supuestos!$D$11)*(Supuestos!$F$11-Supuestos!$E$11))),IF(Supuestos!$C$11="Uniforme",Supuestos!$D$11+H103*(Supuestos!$E$11-Supuestos!$D$11),IF(Supuestos!$C$11="Lognormal",LOGINV(H103,LN(Supuestos!$D$11)-LN(1+Supuestos!$E$11^2/Supuestos!$D$11^2)/2,SQRT(LN(1+Supuestos!$E$11^2/Supuestos!$D$11^2))),Supuestos!$D$11))))))</f>
        <v/>
      </c>
      <c r="P103" s="33">
        <f>-I103</f>
        <v/>
      </c>
      <c r="Q103" s="33">
        <f>$J103*(1+$K103)^(1-1)*(1-$L103)*(1-$M103)</f>
        <v/>
      </c>
      <c r="R103" s="33">
        <f>$J103*(1+$K103)^(2-1)*(1-$L103)*(1-$M103)</f>
        <v/>
      </c>
      <c r="S103" s="33">
        <f>$J103*(1+$K103)^(3-1)*(1-$L103)*(1-$M103)</f>
        <v/>
      </c>
      <c r="T103" s="33">
        <f>$J103*(1+$K103)^(4-1)*(1-$L103)*(1-$M103)</f>
        <v/>
      </c>
      <c r="U103" s="33">
        <f>$J103*(1+$K103)^(5-1)*(1-$L103)*(1-$M103)+$O103</f>
        <v/>
      </c>
      <c r="V103" s="33">
        <f>P103+NPV($N103,Q103:U103)</f>
        <v/>
      </c>
      <c r="W103" s="32">
        <f>IFERROR(IRR(P103:U103,0.1),"")</f>
        <v/>
      </c>
    </row>
    <row r="104">
      <c r="A104" s="14" t="n">
        <v>100</v>
      </c>
      <c r="B104" s="30">
        <f>RAND()*(1-2E-6)+1E-6</f>
        <v/>
      </c>
      <c r="C104" s="30">
        <f>RAND()*(1-2E-6)+1E-6</f>
        <v/>
      </c>
      <c r="D104" s="30">
        <f>RAND()*(1-2E-6)+1E-6</f>
        <v/>
      </c>
      <c r="E104" s="30">
        <f>RAND()*(1-2E-6)+1E-6</f>
        <v/>
      </c>
      <c r="F104" s="30">
        <f>RAND()*(1-2E-6)+1E-6</f>
        <v/>
      </c>
      <c r="G104" s="30">
        <f>RAND()*(1-2E-6)+1E-6</f>
        <v/>
      </c>
      <c r="H104" s="30">
        <f>RAND()*(1-2E-6)+1E-6</f>
        <v/>
      </c>
      <c r="I104" s="31">
        <f>MIN(IF(Supuestos!$H$5="",1E+99,Supuestos!$H$5),MAX(IF(Supuestos!$G$5="",-1E+99,Supuestos!$G$5),IF(Supuestos!$C$5="Normal",NORMINV(B104,Supuestos!$D$5,Supuestos!$E$5),IF(Supuestos!$C$5="Triangular",IF(B104&lt;(Supuestos!$E$5-Supuestos!$D$5)/(Supuestos!$F$5-Supuestos!$D$5),Supuestos!$D$5+SQRT(B104*(Supuestos!$F$5-Supuestos!$D$5)*(Supuestos!$E$5-Supuestos!$D$5)),Supuestos!$F$5-SQRT((1-B104)*(Supuestos!$F$5-Supuestos!$D$5)*(Supuestos!$F$5-Supuestos!$E$5))),IF(Supuestos!$C$5="Uniforme",Supuestos!$D$5+B104*(Supuestos!$E$5-Supuestos!$D$5),IF(Supuestos!$C$5="Lognormal",LOGINV(B104,LN(Supuestos!$D$5)-LN(1+Supuestos!$E$5^2/Supuestos!$D$5^2)/2,SQRT(LN(1+Supuestos!$E$5^2/Supuestos!$D$5^2))),Supuestos!$D$5))))))</f>
        <v/>
      </c>
      <c r="J104" s="31">
        <f>MIN(IF(Supuestos!$H$6="",1E+99,Supuestos!$H$6),MAX(IF(Supuestos!$G$6="",-1E+99,Supuestos!$G$6),IF(Supuestos!$C$6="Normal",NORMINV(C104,Supuestos!$D$6,Supuestos!$E$6),IF(Supuestos!$C$6="Triangular",IF(C104&lt;(Supuestos!$E$6-Supuestos!$D$6)/(Supuestos!$F$6-Supuestos!$D$6),Supuestos!$D$6+SQRT(C104*(Supuestos!$F$6-Supuestos!$D$6)*(Supuestos!$E$6-Supuestos!$D$6)),Supuestos!$F$6-SQRT((1-C104)*(Supuestos!$F$6-Supuestos!$D$6)*(Supuestos!$F$6-Supuestos!$E$6))),IF(Supuestos!$C$6="Uniforme",Supuestos!$D$6+C104*(Supuestos!$E$6-Supuestos!$D$6),IF(Supuestos!$C$6="Lognormal",LOGINV(C104,LN(Supuestos!$D$6)-LN(1+Supuestos!$E$6^2/Supuestos!$D$6^2)/2,SQRT(LN(1+Supuestos!$E$6^2/Supuestos!$D$6^2))),Supuestos!$D$6))))))</f>
        <v/>
      </c>
      <c r="K104" s="32">
        <f>MIN(IF(Supuestos!$H$7="",1E+99,Supuestos!$H$7),MAX(IF(Supuestos!$G$7="",-1E+99,Supuestos!$G$7),IF(Supuestos!$C$7="Normal",NORMINV(D104,Supuestos!$D$7,Supuestos!$E$7),IF(Supuestos!$C$7="Triangular",IF(D104&lt;(Supuestos!$E$7-Supuestos!$D$7)/(Supuestos!$F$7-Supuestos!$D$7),Supuestos!$D$7+SQRT(D104*(Supuestos!$F$7-Supuestos!$D$7)*(Supuestos!$E$7-Supuestos!$D$7)),Supuestos!$F$7-SQRT((1-D104)*(Supuestos!$F$7-Supuestos!$D$7)*(Supuestos!$F$7-Supuestos!$E$7))),IF(Supuestos!$C$7="Uniforme",Supuestos!$D$7+D104*(Supuestos!$E$7-Supuestos!$D$7),IF(Supuestos!$C$7="Lognormal",LOGINV(D104,LN(Supuestos!$D$7)-LN(1+Supuestos!$E$7^2/Supuestos!$D$7^2)/2,SQRT(LN(1+Supuestos!$E$7^2/Supuestos!$D$7^2))),Supuestos!$D$7))))))</f>
        <v/>
      </c>
      <c r="L104" s="32">
        <f>MIN(IF(Supuestos!$H$8="",1E+99,Supuestos!$H$8),MAX(IF(Supuestos!$G$8="",-1E+99,Supuestos!$G$8),IF(Supuestos!$C$8="Normal",NORMINV(E104,Supuestos!$D$8,Supuestos!$E$8),IF(Supuestos!$C$8="Triangular",IF(E104&lt;(Supuestos!$E$8-Supuestos!$D$8)/(Supuestos!$F$8-Supuestos!$D$8),Supuestos!$D$8+SQRT(E104*(Supuestos!$F$8-Supuestos!$D$8)*(Supuestos!$E$8-Supuestos!$D$8)),Supuestos!$F$8-SQRT((1-E104)*(Supuestos!$F$8-Supuestos!$D$8)*(Supuestos!$F$8-Supuestos!$E$8))),IF(Supuestos!$C$8="Uniforme",Supuestos!$D$8+E104*(Supuestos!$E$8-Supuestos!$D$8),IF(Supuestos!$C$8="Lognormal",LOGINV(E104,LN(Supuestos!$D$8)-LN(1+Supuestos!$E$8^2/Supuestos!$D$8^2)/2,SQRT(LN(1+Supuestos!$E$8^2/Supuestos!$D$8^2))),Supuestos!$D$8))))))</f>
        <v/>
      </c>
      <c r="M104" s="32">
        <f>MIN(IF(Supuestos!$H$9="",1E+99,Supuestos!$H$9),MAX(IF(Supuestos!$G$9="",-1E+99,Supuestos!$G$9),IF(Supuestos!$C$9="Normal",NORMINV(F104,Supuestos!$D$9,Supuestos!$E$9),IF(Supuestos!$C$9="Triangular",IF(F104&lt;(Supuestos!$E$9-Supuestos!$D$9)/(Supuestos!$F$9-Supuestos!$D$9),Supuestos!$D$9+SQRT(F104*(Supuestos!$F$9-Supuestos!$D$9)*(Supuestos!$E$9-Supuestos!$D$9)),Supuestos!$F$9-SQRT((1-F104)*(Supuestos!$F$9-Supuestos!$D$9)*(Supuestos!$F$9-Supuestos!$E$9))),IF(Supuestos!$C$9="Uniforme",Supuestos!$D$9+F104*(Supuestos!$E$9-Supuestos!$D$9),IF(Supuestos!$C$9="Lognormal",LOGINV(F104,LN(Supuestos!$D$9)-LN(1+Supuestos!$E$9^2/Supuestos!$D$9^2)/2,SQRT(LN(1+Supuestos!$E$9^2/Supuestos!$D$9^2))),Supuestos!$D$9))))))</f>
        <v/>
      </c>
      <c r="N104" s="32">
        <f>MIN(IF(Supuestos!$H$10="",1E+99,Supuestos!$H$10),MAX(IF(Supuestos!$G$10="",-1E+99,Supuestos!$G$10),IF(Supuestos!$C$10="Normal",NORMINV(G104,Supuestos!$D$10,Supuestos!$E$10),IF(Supuestos!$C$10="Triangular",IF(G104&lt;(Supuestos!$E$10-Supuestos!$D$10)/(Supuestos!$F$10-Supuestos!$D$10),Supuestos!$D$10+SQRT(G104*(Supuestos!$F$10-Supuestos!$D$10)*(Supuestos!$E$10-Supuestos!$D$10)),Supuestos!$F$10-SQRT((1-G104)*(Supuestos!$F$10-Supuestos!$D$10)*(Supuestos!$F$10-Supuestos!$E$10))),IF(Supuestos!$C$10="Uniforme",Supuestos!$D$10+G104*(Supuestos!$E$10-Supuestos!$D$10),IF(Supuestos!$C$10="Lognormal",LOGINV(G104,LN(Supuestos!$D$10)-LN(1+Supuestos!$E$10^2/Supuestos!$D$10^2)/2,SQRT(LN(1+Supuestos!$E$10^2/Supuestos!$D$10^2))),Supuestos!$D$10))))))</f>
        <v/>
      </c>
      <c r="O104" s="31">
        <f>MIN(IF(Supuestos!$H$11="",1E+99,Supuestos!$H$11),MAX(IF(Supuestos!$G$11="",-1E+99,Supuestos!$G$11),IF(Supuestos!$C$11="Normal",NORMINV(H104,Supuestos!$D$11,Supuestos!$E$11),IF(Supuestos!$C$11="Triangular",IF(H104&lt;(Supuestos!$E$11-Supuestos!$D$11)/(Supuestos!$F$11-Supuestos!$D$11),Supuestos!$D$11+SQRT(H104*(Supuestos!$F$11-Supuestos!$D$11)*(Supuestos!$E$11-Supuestos!$D$11)),Supuestos!$F$11-SQRT((1-H104)*(Supuestos!$F$11-Supuestos!$D$11)*(Supuestos!$F$11-Supuestos!$E$11))),IF(Supuestos!$C$11="Uniforme",Supuestos!$D$11+H104*(Supuestos!$E$11-Supuestos!$D$11),IF(Supuestos!$C$11="Lognormal",LOGINV(H104,LN(Supuestos!$D$11)-LN(1+Supuestos!$E$11^2/Supuestos!$D$11^2)/2,SQRT(LN(1+Supuestos!$E$11^2/Supuestos!$D$11^2))),Supuestos!$D$11))))))</f>
        <v/>
      </c>
      <c r="P104" s="33">
        <f>-I104</f>
        <v/>
      </c>
      <c r="Q104" s="33">
        <f>$J104*(1+$K104)^(1-1)*(1-$L104)*(1-$M104)</f>
        <v/>
      </c>
      <c r="R104" s="33">
        <f>$J104*(1+$K104)^(2-1)*(1-$L104)*(1-$M104)</f>
        <v/>
      </c>
      <c r="S104" s="33">
        <f>$J104*(1+$K104)^(3-1)*(1-$L104)*(1-$M104)</f>
        <v/>
      </c>
      <c r="T104" s="33">
        <f>$J104*(1+$K104)^(4-1)*(1-$L104)*(1-$M104)</f>
        <v/>
      </c>
      <c r="U104" s="33">
        <f>$J104*(1+$K104)^(5-1)*(1-$L104)*(1-$M104)+$O104</f>
        <v/>
      </c>
      <c r="V104" s="33">
        <f>P104+NPV($N104,Q104:U104)</f>
        <v/>
      </c>
      <c r="W104" s="32">
        <f>IFERROR(IRR(P104:U104,0.1),"")</f>
        <v/>
      </c>
    </row>
    <row r="105">
      <c r="A105" s="14" t="n">
        <v>101</v>
      </c>
      <c r="B105" s="30">
        <f>RAND()*(1-2E-6)+1E-6</f>
        <v/>
      </c>
      <c r="C105" s="30">
        <f>RAND()*(1-2E-6)+1E-6</f>
        <v/>
      </c>
      <c r="D105" s="30">
        <f>RAND()*(1-2E-6)+1E-6</f>
        <v/>
      </c>
      <c r="E105" s="30">
        <f>RAND()*(1-2E-6)+1E-6</f>
        <v/>
      </c>
      <c r="F105" s="30">
        <f>RAND()*(1-2E-6)+1E-6</f>
        <v/>
      </c>
      <c r="G105" s="30">
        <f>RAND()*(1-2E-6)+1E-6</f>
        <v/>
      </c>
      <c r="H105" s="30">
        <f>RAND()*(1-2E-6)+1E-6</f>
        <v/>
      </c>
      <c r="I105" s="31">
        <f>MIN(IF(Supuestos!$H$5="",1E+99,Supuestos!$H$5),MAX(IF(Supuestos!$G$5="",-1E+99,Supuestos!$G$5),IF(Supuestos!$C$5="Normal",NORMINV(B105,Supuestos!$D$5,Supuestos!$E$5),IF(Supuestos!$C$5="Triangular",IF(B105&lt;(Supuestos!$E$5-Supuestos!$D$5)/(Supuestos!$F$5-Supuestos!$D$5),Supuestos!$D$5+SQRT(B105*(Supuestos!$F$5-Supuestos!$D$5)*(Supuestos!$E$5-Supuestos!$D$5)),Supuestos!$F$5-SQRT((1-B105)*(Supuestos!$F$5-Supuestos!$D$5)*(Supuestos!$F$5-Supuestos!$E$5))),IF(Supuestos!$C$5="Uniforme",Supuestos!$D$5+B105*(Supuestos!$E$5-Supuestos!$D$5),IF(Supuestos!$C$5="Lognormal",LOGINV(B105,LN(Supuestos!$D$5)-LN(1+Supuestos!$E$5^2/Supuestos!$D$5^2)/2,SQRT(LN(1+Supuestos!$E$5^2/Supuestos!$D$5^2))),Supuestos!$D$5))))))</f>
        <v/>
      </c>
      <c r="J105" s="31">
        <f>MIN(IF(Supuestos!$H$6="",1E+99,Supuestos!$H$6),MAX(IF(Supuestos!$G$6="",-1E+99,Supuestos!$G$6),IF(Supuestos!$C$6="Normal",NORMINV(C105,Supuestos!$D$6,Supuestos!$E$6),IF(Supuestos!$C$6="Triangular",IF(C105&lt;(Supuestos!$E$6-Supuestos!$D$6)/(Supuestos!$F$6-Supuestos!$D$6),Supuestos!$D$6+SQRT(C105*(Supuestos!$F$6-Supuestos!$D$6)*(Supuestos!$E$6-Supuestos!$D$6)),Supuestos!$F$6-SQRT((1-C105)*(Supuestos!$F$6-Supuestos!$D$6)*(Supuestos!$F$6-Supuestos!$E$6))),IF(Supuestos!$C$6="Uniforme",Supuestos!$D$6+C105*(Supuestos!$E$6-Supuestos!$D$6),IF(Supuestos!$C$6="Lognormal",LOGINV(C105,LN(Supuestos!$D$6)-LN(1+Supuestos!$E$6^2/Supuestos!$D$6^2)/2,SQRT(LN(1+Supuestos!$E$6^2/Supuestos!$D$6^2))),Supuestos!$D$6))))))</f>
        <v/>
      </c>
      <c r="K105" s="32">
        <f>MIN(IF(Supuestos!$H$7="",1E+99,Supuestos!$H$7),MAX(IF(Supuestos!$G$7="",-1E+99,Supuestos!$G$7),IF(Supuestos!$C$7="Normal",NORMINV(D105,Supuestos!$D$7,Supuestos!$E$7),IF(Supuestos!$C$7="Triangular",IF(D105&lt;(Supuestos!$E$7-Supuestos!$D$7)/(Supuestos!$F$7-Supuestos!$D$7),Supuestos!$D$7+SQRT(D105*(Supuestos!$F$7-Supuestos!$D$7)*(Supuestos!$E$7-Supuestos!$D$7)),Supuestos!$F$7-SQRT((1-D105)*(Supuestos!$F$7-Supuestos!$D$7)*(Supuestos!$F$7-Supuestos!$E$7))),IF(Supuestos!$C$7="Uniforme",Supuestos!$D$7+D105*(Supuestos!$E$7-Supuestos!$D$7),IF(Supuestos!$C$7="Lognormal",LOGINV(D105,LN(Supuestos!$D$7)-LN(1+Supuestos!$E$7^2/Supuestos!$D$7^2)/2,SQRT(LN(1+Supuestos!$E$7^2/Supuestos!$D$7^2))),Supuestos!$D$7))))))</f>
        <v/>
      </c>
      <c r="L105" s="32">
        <f>MIN(IF(Supuestos!$H$8="",1E+99,Supuestos!$H$8),MAX(IF(Supuestos!$G$8="",-1E+99,Supuestos!$G$8),IF(Supuestos!$C$8="Normal",NORMINV(E105,Supuestos!$D$8,Supuestos!$E$8),IF(Supuestos!$C$8="Triangular",IF(E105&lt;(Supuestos!$E$8-Supuestos!$D$8)/(Supuestos!$F$8-Supuestos!$D$8),Supuestos!$D$8+SQRT(E105*(Supuestos!$F$8-Supuestos!$D$8)*(Supuestos!$E$8-Supuestos!$D$8)),Supuestos!$F$8-SQRT((1-E105)*(Supuestos!$F$8-Supuestos!$D$8)*(Supuestos!$F$8-Supuestos!$E$8))),IF(Supuestos!$C$8="Uniforme",Supuestos!$D$8+E105*(Supuestos!$E$8-Supuestos!$D$8),IF(Supuestos!$C$8="Lognormal",LOGINV(E105,LN(Supuestos!$D$8)-LN(1+Supuestos!$E$8^2/Supuestos!$D$8^2)/2,SQRT(LN(1+Supuestos!$E$8^2/Supuestos!$D$8^2))),Supuestos!$D$8))))))</f>
        <v/>
      </c>
      <c r="M105" s="32">
        <f>MIN(IF(Supuestos!$H$9="",1E+99,Supuestos!$H$9),MAX(IF(Supuestos!$G$9="",-1E+99,Supuestos!$G$9),IF(Supuestos!$C$9="Normal",NORMINV(F105,Supuestos!$D$9,Supuestos!$E$9),IF(Supuestos!$C$9="Triangular",IF(F105&lt;(Supuestos!$E$9-Supuestos!$D$9)/(Supuestos!$F$9-Supuestos!$D$9),Supuestos!$D$9+SQRT(F105*(Supuestos!$F$9-Supuestos!$D$9)*(Supuestos!$E$9-Supuestos!$D$9)),Supuestos!$F$9-SQRT((1-F105)*(Supuestos!$F$9-Supuestos!$D$9)*(Supuestos!$F$9-Supuestos!$E$9))),IF(Supuestos!$C$9="Uniforme",Supuestos!$D$9+F105*(Supuestos!$E$9-Supuestos!$D$9),IF(Supuestos!$C$9="Lognormal",LOGINV(F105,LN(Supuestos!$D$9)-LN(1+Supuestos!$E$9^2/Supuestos!$D$9^2)/2,SQRT(LN(1+Supuestos!$E$9^2/Supuestos!$D$9^2))),Supuestos!$D$9))))))</f>
        <v/>
      </c>
      <c r="N105" s="32">
        <f>MIN(IF(Supuestos!$H$10="",1E+99,Supuestos!$H$10),MAX(IF(Supuestos!$G$10="",-1E+99,Supuestos!$G$10),IF(Supuestos!$C$10="Normal",NORMINV(G105,Supuestos!$D$10,Supuestos!$E$10),IF(Supuestos!$C$10="Triangular",IF(G105&lt;(Supuestos!$E$10-Supuestos!$D$10)/(Supuestos!$F$10-Supuestos!$D$10),Supuestos!$D$10+SQRT(G105*(Supuestos!$F$10-Supuestos!$D$10)*(Supuestos!$E$10-Supuestos!$D$10)),Supuestos!$F$10-SQRT((1-G105)*(Supuestos!$F$10-Supuestos!$D$10)*(Supuestos!$F$10-Supuestos!$E$10))),IF(Supuestos!$C$10="Uniforme",Supuestos!$D$10+G105*(Supuestos!$E$10-Supuestos!$D$10),IF(Supuestos!$C$10="Lognormal",LOGINV(G105,LN(Supuestos!$D$10)-LN(1+Supuestos!$E$10^2/Supuestos!$D$10^2)/2,SQRT(LN(1+Supuestos!$E$10^2/Supuestos!$D$10^2))),Supuestos!$D$10))))))</f>
        <v/>
      </c>
      <c r="O105" s="31">
        <f>MIN(IF(Supuestos!$H$11="",1E+99,Supuestos!$H$11),MAX(IF(Supuestos!$G$11="",-1E+99,Supuestos!$G$11),IF(Supuestos!$C$11="Normal",NORMINV(H105,Supuestos!$D$11,Supuestos!$E$11),IF(Supuestos!$C$11="Triangular",IF(H105&lt;(Supuestos!$E$11-Supuestos!$D$11)/(Supuestos!$F$11-Supuestos!$D$11),Supuestos!$D$11+SQRT(H105*(Supuestos!$F$11-Supuestos!$D$11)*(Supuestos!$E$11-Supuestos!$D$11)),Supuestos!$F$11-SQRT((1-H105)*(Supuestos!$F$11-Supuestos!$D$11)*(Supuestos!$F$11-Supuestos!$E$11))),IF(Supuestos!$C$11="Uniforme",Supuestos!$D$11+H105*(Supuestos!$E$11-Supuestos!$D$11),IF(Supuestos!$C$11="Lognormal",LOGINV(H105,LN(Supuestos!$D$11)-LN(1+Supuestos!$E$11^2/Supuestos!$D$11^2)/2,SQRT(LN(1+Supuestos!$E$11^2/Supuestos!$D$11^2))),Supuestos!$D$11))))))</f>
        <v/>
      </c>
      <c r="P105" s="33">
        <f>-I105</f>
        <v/>
      </c>
      <c r="Q105" s="33">
        <f>$J105*(1+$K105)^(1-1)*(1-$L105)*(1-$M105)</f>
        <v/>
      </c>
      <c r="R105" s="33">
        <f>$J105*(1+$K105)^(2-1)*(1-$L105)*(1-$M105)</f>
        <v/>
      </c>
      <c r="S105" s="33">
        <f>$J105*(1+$K105)^(3-1)*(1-$L105)*(1-$M105)</f>
        <v/>
      </c>
      <c r="T105" s="33">
        <f>$J105*(1+$K105)^(4-1)*(1-$L105)*(1-$M105)</f>
        <v/>
      </c>
      <c r="U105" s="33">
        <f>$J105*(1+$K105)^(5-1)*(1-$L105)*(1-$M105)+$O105</f>
        <v/>
      </c>
      <c r="V105" s="33">
        <f>P105+NPV($N105,Q105:U105)</f>
        <v/>
      </c>
      <c r="W105" s="32">
        <f>IFERROR(IRR(P105:U105,0.1),"")</f>
        <v/>
      </c>
    </row>
    <row r="106">
      <c r="A106" s="14" t="n">
        <v>102</v>
      </c>
      <c r="B106" s="30">
        <f>RAND()*(1-2E-6)+1E-6</f>
        <v/>
      </c>
      <c r="C106" s="30">
        <f>RAND()*(1-2E-6)+1E-6</f>
        <v/>
      </c>
      <c r="D106" s="30">
        <f>RAND()*(1-2E-6)+1E-6</f>
        <v/>
      </c>
      <c r="E106" s="30">
        <f>RAND()*(1-2E-6)+1E-6</f>
        <v/>
      </c>
      <c r="F106" s="30">
        <f>RAND()*(1-2E-6)+1E-6</f>
        <v/>
      </c>
      <c r="G106" s="30">
        <f>RAND()*(1-2E-6)+1E-6</f>
        <v/>
      </c>
      <c r="H106" s="30">
        <f>RAND()*(1-2E-6)+1E-6</f>
        <v/>
      </c>
      <c r="I106" s="31">
        <f>MIN(IF(Supuestos!$H$5="",1E+99,Supuestos!$H$5),MAX(IF(Supuestos!$G$5="",-1E+99,Supuestos!$G$5),IF(Supuestos!$C$5="Normal",NORMINV(B106,Supuestos!$D$5,Supuestos!$E$5),IF(Supuestos!$C$5="Triangular",IF(B106&lt;(Supuestos!$E$5-Supuestos!$D$5)/(Supuestos!$F$5-Supuestos!$D$5),Supuestos!$D$5+SQRT(B106*(Supuestos!$F$5-Supuestos!$D$5)*(Supuestos!$E$5-Supuestos!$D$5)),Supuestos!$F$5-SQRT((1-B106)*(Supuestos!$F$5-Supuestos!$D$5)*(Supuestos!$F$5-Supuestos!$E$5))),IF(Supuestos!$C$5="Uniforme",Supuestos!$D$5+B106*(Supuestos!$E$5-Supuestos!$D$5),IF(Supuestos!$C$5="Lognormal",LOGINV(B106,LN(Supuestos!$D$5)-LN(1+Supuestos!$E$5^2/Supuestos!$D$5^2)/2,SQRT(LN(1+Supuestos!$E$5^2/Supuestos!$D$5^2))),Supuestos!$D$5))))))</f>
        <v/>
      </c>
      <c r="J106" s="31">
        <f>MIN(IF(Supuestos!$H$6="",1E+99,Supuestos!$H$6),MAX(IF(Supuestos!$G$6="",-1E+99,Supuestos!$G$6),IF(Supuestos!$C$6="Normal",NORMINV(C106,Supuestos!$D$6,Supuestos!$E$6),IF(Supuestos!$C$6="Triangular",IF(C106&lt;(Supuestos!$E$6-Supuestos!$D$6)/(Supuestos!$F$6-Supuestos!$D$6),Supuestos!$D$6+SQRT(C106*(Supuestos!$F$6-Supuestos!$D$6)*(Supuestos!$E$6-Supuestos!$D$6)),Supuestos!$F$6-SQRT((1-C106)*(Supuestos!$F$6-Supuestos!$D$6)*(Supuestos!$F$6-Supuestos!$E$6))),IF(Supuestos!$C$6="Uniforme",Supuestos!$D$6+C106*(Supuestos!$E$6-Supuestos!$D$6),IF(Supuestos!$C$6="Lognormal",LOGINV(C106,LN(Supuestos!$D$6)-LN(1+Supuestos!$E$6^2/Supuestos!$D$6^2)/2,SQRT(LN(1+Supuestos!$E$6^2/Supuestos!$D$6^2))),Supuestos!$D$6))))))</f>
        <v/>
      </c>
      <c r="K106" s="32">
        <f>MIN(IF(Supuestos!$H$7="",1E+99,Supuestos!$H$7),MAX(IF(Supuestos!$G$7="",-1E+99,Supuestos!$G$7),IF(Supuestos!$C$7="Normal",NORMINV(D106,Supuestos!$D$7,Supuestos!$E$7),IF(Supuestos!$C$7="Triangular",IF(D106&lt;(Supuestos!$E$7-Supuestos!$D$7)/(Supuestos!$F$7-Supuestos!$D$7),Supuestos!$D$7+SQRT(D106*(Supuestos!$F$7-Supuestos!$D$7)*(Supuestos!$E$7-Supuestos!$D$7)),Supuestos!$F$7-SQRT((1-D106)*(Supuestos!$F$7-Supuestos!$D$7)*(Supuestos!$F$7-Supuestos!$E$7))),IF(Supuestos!$C$7="Uniforme",Supuestos!$D$7+D106*(Supuestos!$E$7-Supuestos!$D$7),IF(Supuestos!$C$7="Lognormal",LOGINV(D106,LN(Supuestos!$D$7)-LN(1+Supuestos!$E$7^2/Supuestos!$D$7^2)/2,SQRT(LN(1+Supuestos!$E$7^2/Supuestos!$D$7^2))),Supuestos!$D$7))))))</f>
        <v/>
      </c>
      <c r="L106" s="32">
        <f>MIN(IF(Supuestos!$H$8="",1E+99,Supuestos!$H$8),MAX(IF(Supuestos!$G$8="",-1E+99,Supuestos!$G$8),IF(Supuestos!$C$8="Normal",NORMINV(E106,Supuestos!$D$8,Supuestos!$E$8),IF(Supuestos!$C$8="Triangular",IF(E106&lt;(Supuestos!$E$8-Supuestos!$D$8)/(Supuestos!$F$8-Supuestos!$D$8),Supuestos!$D$8+SQRT(E106*(Supuestos!$F$8-Supuestos!$D$8)*(Supuestos!$E$8-Supuestos!$D$8)),Supuestos!$F$8-SQRT((1-E106)*(Supuestos!$F$8-Supuestos!$D$8)*(Supuestos!$F$8-Supuestos!$E$8))),IF(Supuestos!$C$8="Uniforme",Supuestos!$D$8+E106*(Supuestos!$E$8-Supuestos!$D$8),IF(Supuestos!$C$8="Lognormal",LOGINV(E106,LN(Supuestos!$D$8)-LN(1+Supuestos!$E$8^2/Supuestos!$D$8^2)/2,SQRT(LN(1+Supuestos!$E$8^2/Supuestos!$D$8^2))),Supuestos!$D$8))))))</f>
        <v/>
      </c>
      <c r="M106" s="32">
        <f>MIN(IF(Supuestos!$H$9="",1E+99,Supuestos!$H$9),MAX(IF(Supuestos!$G$9="",-1E+99,Supuestos!$G$9),IF(Supuestos!$C$9="Normal",NORMINV(F106,Supuestos!$D$9,Supuestos!$E$9),IF(Supuestos!$C$9="Triangular",IF(F106&lt;(Supuestos!$E$9-Supuestos!$D$9)/(Supuestos!$F$9-Supuestos!$D$9),Supuestos!$D$9+SQRT(F106*(Supuestos!$F$9-Supuestos!$D$9)*(Supuestos!$E$9-Supuestos!$D$9)),Supuestos!$F$9-SQRT((1-F106)*(Supuestos!$F$9-Supuestos!$D$9)*(Supuestos!$F$9-Supuestos!$E$9))),IF(Supuestos!$C$9="Uniforme",Supuestos!$D$9+F106*(Supuestos!$E$9-Supuestos!$D$9),IF(Supuestos!$C$9="Lognormal",LOGINV(F106,LN(Supuestos!$D$9)-LN(1+Supuestos!$E$9^2/Supuestos!$D$9^2)/2,SQRT(LN(1+Supuestos!$E$9^2/Supuestos!$D$9^2))),Supuestos!$D$9))))))</f>
        <v/>
      </c>
      <c r="N106" s="32">
        <f>MIN(IF(Supuestos!$H$10="",1E+99,Supuestos!$H$10),MAX(IF(Supuestos!$G$10="",-1E+99,Supuestos!$G$10),IF(Supuestos!$C$10="Normal",NORMINV(G106,Supuestos!$D$10,Supuestos!$E$10),IF(Supuestos!$C$10="Triangular",IF(G106&lt;(Supuestos!$E$10-Supuestos!$D$10)/(Supuestos!$F$10-Supuestos!$D$10),Supuestos!$D$10+SQRT(G106*(Supuestos!$F$10-Supuestos!$D$10)*(Supuestos!$E$10-Supuestos!$D$10)),Supuestos!$F$10-SQRT((1-G106)*(Supuestos!$F$10-Supuestos!$D$10)*(Supuestos!$F$10-Supuestos!$E$10))),IF(Supuestos!$C$10="Uniforme",Supuestos!$D$10+G106*(Supuestos!$E$10-Supuestos!$D$10),IF(Supuestos!$C$10="Lognormal",LOGINV(G106,LN(Supuestos!$D$10)-LN(1+Supuestos!$E$10^2/Supuestos!$D$10^2)/2,SQRT(LN(1+Supuestos!$E$10^2/Supuestos!$D$10^2))),Supuestos!$D$10))))))</f>
        <v/>
      </c>
      <c r="O106" s="31">
        <f>MIN(IF(Supuestos!$H$11="",1E+99,Supuestos!$H$11),MAX(IF(Supuestos!$G$11="",-1E+99,Supuestos!$G$11),IF(Supuestos!$C$11="Normal",NORMINV(H106,Supuestos!$D$11,Supuestos!$E$11),IF(Supuestos!$C$11="Triangular",IF(H106&lt;(Supuestos!$E$11-Supuestos!$D$11)/(Supuestos!$F$11-Supuestos!$D$11),Supuestos!$D$11+SQRT(H106*(Supuestos!$F$11-Supuestos!$D$11)*(Supuestos!$E$11-Supuestos!$D$11)),Supuestos!$F$11-SQRT((1-H106)*(Supuestos!$F$11-Supuestos!$D$11)*(Supuestos!$F$11-Supuestos!$E$11))),IF(Supuestos!$C$11="Uniforme",Supuestos!$D$11+H106*(Supuestos!$E$11-Supuestos!$D$11),IF(Supuestos!$C$11="Lognormal",LOGINV(H106,LN(Supuestos!$D$11)-LN(1+Supuestos!$E$11^2/Supuestos!$D$11^2)/2,SQRT(LN(1+Supuestos!$E$11^2/Supuestos!$D$11^2))),Supuestos!$D$11))))))</f>
        <v/>
      </c>
      <c r="P106" s="33">
        <f>-I106</f>
        <v/>
      </c>
      <c r="Q106" s="33">
        <f>$J106*(1+$K106)^(1-1)*(1-$L106)*(1-$M106)</f>
        <v/>
      </c>
      <c r="R106" s="33">
        <f>$J106*(1+$K106)^(2-1)*(1-$L106)*(1-$M106)</f>
        <v/>
      </c>
      <c r="S106" s="33">
        <f>$J106*(1+$K106)^(3-1)*(1-$L106)*(1-$M106)</f>
        <v/>
      </c>
      <c r="T106" s="33">
        <f>$J106*(1+$K106)^(4-1)*(1-$L106)*(1-$M106)</f>
        <v/>
      </c>
      <c r="U106" s="33">
        <f>$J106*(1+$K106)^(5-1)*(1-$L106)*(1-$M106)+$O106</f>
        <v/>
      </c>
      <c r="V106" s="33">
        <f>P106+NPV($N106,Q106:U106)</f>
        <v/>
      </c>
      <c r="W106" s="32">
        <f>IFERROR(IRR(P106:U106,0.1),"")</f>
        <v/>
      </c>
    </row>
    <row r="107">
      <c r="A107" s="14" t="n">
        <v>103</v>
      </c>
      <c r="B107" s="30">
        <f>RAND()*(1-2E-6)+1E-6</f>
        <v/>
      </c>
      <c r="C107" s="30">
        <f>RAND()*(1-2E-6)+1E-6</f>
        <v/>
      </c>
      <c r="D107" s="30">
        <f>RAND()*(1-2E-6)+1E-6</f>
        <v/>
      </c>
      <c r="E107" s="30">
        <f>RAND()*(1-2E-6)+1E-6</f>
        <v/>
      </c>
      <c r="F107" s="30">
        <f>RAND()*(1-2E-6)+1E-6</f>
        <v/>
      </c>
      <c r="G107" s="30">
        <f>RAND()*(1-2E-6)+1E-6</f>
        <v/>
      </c>
      <c r="H107" s="30">
        <f>RAND()*(1-2E-6)+1E-6</f>
        <v/>
      </c>
      <c r="I107" s="31">
        <f>MIN(IF(Supuestos!$H$5="",1E+99,Supuestos!$H$5),MAX(IF(Supuestos!$G$5="",-1E+99,Supuestos!$G$5),IF(Supuestos!$C$5="Normal",NORMINV(B107,Supuestos!$D$5,Supuestos!$E$5),IF(Supuestos!$C$5="Triangular",IF(B107&lt;(Supuestos!$E$5-Supuestos!$D$5)/(Supuestos!$F$5-Supuestos!$D$5),Supuestos!$D$5+SQRT(B107*(Supuestos!$F$5-Supuestos!$D$5)*(Supuestos!$E$5-Supuestos!$D$5)),Supuestos!$F$5-SQRT((1-B107)*(Supuestos!$F$5-Supuestos!$D$5)*(Supuestos!$F$5-Supuestos!$E$5))),IF(Supuestos!$C$5="Uniforme",Supuestos!$D$5+B107*(Supuestos!$E$5-Supuestos!$D$5),IF(Supuestos!$C$5="Lognormal",LOGINV(B107,LN(Supuestos!$D$5)-LN(1+Supuestos!$E$5^2/Supuestos!$D$5^2)/2,SQRT(LN(1+Supuestos!$E$5^2/Supuestos!$D$5^2))),Supuestos!$D$5))))))</f>
        <v/>
      </c>
      <c r="J107" s="31">
        <f>MIN(IF(Supuestos!$H$6="",1E+99,Supuestos!$H$6),MAX(IF(Supuestos!$G$6="",-1E+99,Supuestos!$G$6),IF(Supuestos!$C$6="Normal",NORMINV(C107,Supuestos!$D$6,Supuestos!$E$6),IF(Supuestos!$C$6="Triangular",IF(C107&lt;(Supuestos!$E$6-Supuestos!$D$6)/(Supuestos!$F$6-Supuestos!$D$6),Supuestos!$D$6+SQRT(C107*(Supuestos!$F$6-Supuestos!$D$6)*(Supuestos!$E$6-Supuestos!$D$6)),Supuestos!$F$6-SQRT((1-C107)*(Supuestos!$F$6-Supuestos!$D$6)*(Supuestos!$F$6-Supuestos!$E$6))),IF(Supuestos!$C$6="Uniforme",Supuestos!$D$6+C107*(Supuestos!$E$6-Supuestos!$D$6),IF(Supuestos!$C$6="Lognormal",LOGINV(C107,LN(Supuestos!$D$6)-LN(1+Supuestos!$E$6^2/Supuestos!$D$6^2)/2,SQRT(LN(1+Supuestos!$E$6^2/Supuestos!$D$6^2))),Supuestos!$D$6))))))</f>
        <v/>
      </c>
      <c r="K107" s="32">
        <f>MIN(IF(Supuestos!$H$7="",1E+99,Supuestos!$H$7),MAX(IF(Supuestos!$G$7="",-1E+99,Supuestos!$G$7),IF(Supuestos!$C$7="Normal",NORMINV(D107,Supuestos!$D$7,Supuestos!$E$7),IF(Supuestos!$C$7="Triangular",IF(D107&lt;(Supuestos!$E$7-Supuestos!$D$7)/(Supuestos!$F$7-Supuestos!$D$7),Supuestos!$D$7+SQRT(D107*(Supuestos!$F$7-Supuestos!$D$7)*(Supuestos!$E$7-Supuestos!$D$7)),Supuestos!$F$7-SQRT((1-D107)*(Supuestos!$F$7-Supuestos!$D$7)*(Supuestos!$F$7-Supuestos!$E$7))),IF(Supuestos!$C$7="Uniforme",Supuestos!$D$7+D107*(Supuestos!$E$7-Supuestos!$D$7),IF(Supuestos!$C$7="Lognormal",LOGINV(D107,LN(Supuestos!$D$7)-LN(1+Supuestos!$E$7^2/Supuestos!$D$7^2)/2,SQRT(LN(1+Supuestos!$E$7^2/Supuestos!$D$7^2))),Supuestos!$D$7))))))</f>
        <v/>
      </c>
      <c r="L107" s="32">
        <f>MIN(IF(Supuestos!$H$8="",1E+99,Supuestos!$H$8),MAX(IF(Supuestos!$G$8="",-1E+99,Supuestos!$G$8),IF(Supuestos!$C$8="Normal",NORMINV(E107,Supuestos!$D$8,Supuestos!$E$8),IF(Supuestos!$C$8="Triangular",IF(E107&lt;(Supuestos!$E$8-Supuestos!$D$8)/(Supuestos!$F$8-Supuestos!$D$8),Supuestos!$D$8+SQRT(E107*(Supuestos!$F$8-Supuestos!$D$8)*(Supuestos!$E$8-Supuestos!$D$8)),Supuestos!$F$8-SQRT((1-E107)*(Supuestos!$F$8-Supuestos!$D$8)*(Supuestos!$F$8-Supuestos!$E$8))),IF(Supuestos!$C$8="Uniforme",Supuestos!$D$8+E107*(Supuestos!$E$8-Supuestos!$D$8),IF(Supuestos!$C$8="Lognormal",LOGINV(E107,LN(Supuestos!$D$8)-LN(1+Supuestos!$E$8^2/Supuestos!$D$8^2)/2,SQRT(LN(1+Supuestos!$E$8^2/Supuestos!$D$8^2))),Supuestos!$D$8))))))</f>
        <v/>
      </c>
      <c r="M107" s="32">
        <f>MIN(IF(Supuestos!$H$9="",1E+99,Supuestos!$H$9),MAX(IF(Supuestos!$G$9="",-1E+99,Supuestos!$G$9),IF(Supuestos!$C$9="Normal",NORMINV(F107,Supuestos!$D$9,Supuestos!$E$9),IF(Supuestos!$C$9="Triangular",IF(F107&lt;(Supuestos!$E$9-Supuestos!$D$9)/(Supuestos!$F$9-Supuestos!$D$9),Supuestos!$D$9+SQRT(F107*(Supuestos!$F$9-Supuestos!$D$9)*(Supuestos!$E$9-Supuestos!$D$9)),Supuestos!$F$9-SQRT((1-F107)*(Supuestos!$F$9-Supuestos!$D$9)*(Supuestos!$F$9-Supuestos!$E$9))),IF(Supuestos!$C$9="Uniforme",Supuestos!$D$9+F107*(Supuestos!$E$9-Supuestos!$D$9),IF(Supuestos!$C$9="Lognormal",LOGINV(F107,LN(Supuestos!$D$9)-LN(1+Supuestos!$E$9^2/Supuestos!$D$9^2)/2,SQRT(LN(1+Supuestos!$E$9^2/Supuestos!$D$9^2))),Supuestos!$D$9))))))</f>
        <v/>
      </c>
      <c r="N107" s="32">
        <f>MIN(IF(Supuestos!$H$10="",1E+99,Supuestos!$H$10),MAX(IF(Supuestos!$G$10="",-1E+99,Supuestos!$G$10),IF(Supuestos!$C$10="Normal",NORMINV(G107,Supuestos!$D$10,Supuestos!$E$10),IF(Supuestos!$C$10="Triangular",IF(G107&lt;(Supuestos!$E$10-Supuestos!$D$10)/(Supuestos!$F$10-Supuestos!$D$10),Supuestos!$D$10+SQRT(G107*(Supuestos!$F$10-Supuestos!$D$10)*(Supuestos!$E$10-Supuestos!$D$10)),Supuestos!$F$10-SQRT((1-G107)*(Supuestos!$F$10-Supuestos!$D$10)*(Supuestos!$F$10-Supuestos!$E$10))),IF(Supuestos!$C$10="Uniforme",Supuestos!$D$10+G107*(Supuestos!$E$10-Supuestos!$D$10),IF(Supuestos!$C$10="Lognormal",LOGINV(G107,LN(Supuestos!$D$10)-LN(1+Supuestos!$E$10^2/Supuestos!$D$10^2)/2,SQRT(LN(1+Supuestos!$E$10^2/Supuestos!$D$10^2))),Supuestos!$D$10))))))</f>
        <v/>
      </c>
      <c r="O107" s="31">
        <f>MIN(IF(Supuestos!$H$11="",1E+99,Supuestos!$H$11),MAX(IF(Supuestos!$G$11="",-1E+99,Supuestos!$G$11),IF(Supuestos!$C$11="Normal",NORMINV(H107,Supuestos!$D$11,Supuestos!$E$11),IF(Supuestos!$C$11="Triangular",IF(H107&lt;(Supuestos!$E$11-Supuestos!$D$11)/(Supuestos!$F$11-Supuestos!$D$11),Supuestos!$D$11+SQRT(H107*(Supuestos!$F$11-Supuestos!$D$11)*(Supuestos!$E$11-Supuestos!$D$11)),Supuestos!$F$11-SQRT((1-H107)*(Supuestos!$F$11-Supuestos!$D$11)*(Supuestos!$F$11-Supuestos!$E$11))),IF(Supuestos!$C$11="Uniforme",Supuestos!$D$11+H107*(Supuestos!$E$11-Supuestos!$D$11),IF(Supuestos!$C$11="Lognormal",LOGINV(H107,LN(Supuestos!$D$11)-LN(1+Supuestos!$E$11^2/Supuestos!$D$11^2)/2,SQRT(LN(1+Supuestos!$E$11^2/Supuestos!$D$11^2))),Supuestos!$D$11))))))</f>
        <v/>
      </c>
      <c r="P107" s="33">
        <f>-I107</f>
        <v/>
      </c>
      <c r="Q107" s="33">
        <f>$J107*(1+$K107)^(1-1)*(1-$L107)*(1-$M107)</f>
        <v/>
      </c>
      <c r="R107" s="33">
        <f>$J107*(1+$K107)^(2-1)*(1-$L107)*(1-$M107)</f>
        <v/>
      </c>
      <c r="S107" s="33">
        <f>$J107*(1+$K107)^(3-1)*(1-$L107)*(1-$M107)</f>
        <v/>
      </c>
      <c r="T107" s="33">
        <f>$J107*(1+$K107)^(4-1)*(1-$L107)*(1-$M107)</f>
        <v/>
      </c>
      <c r="U107" s="33">
        <f>$J107*(1+$K107)^(5-1)*(1-$L107)*(1-$M107)+$O107</f>
        <v/>
      </c>
      <c r="V107" s="33">
        <f>P107+NPV($N107,Q107:U107)</f>
        <v/>
      </c>
      <c r="W107" s="32">
        <f>IFERROR(IRR(P107:U107,0.1),"")</f>
        <v/>
      </c>
    </row>
    <row r="108">
      <c r="A108" s="14" t="n">
        <v>104</v>
      </c>
      <c r="B108" s="30">
        <f>RAND()*(1-2E-6)+1E-6</f>
        <v/>
      </c>
      <c r="C108" s="30">
        <f>RAND()*(1-2E-6)+1E-6</f>
        <v/>
      </c>
      <c r="D108" s="30">
        <f>RAND()*(1-2E-6)+1E-6</f>
        <v/>
      </c>
      <c r="E108" s="30">
        <f>RAND()*(1-2E-6)+1E-6</f>
        <v/>
      </c>
      <c r="F108" s="30">
        <f>RAND()*(1-2E-6)+1E-6</f>
        <v/>
      </c>
      <c r="G108" s="30">
        <f>RAND()*(1-2E-6)+1E-6</f>
        <v/>
      </c>
      <c r="H108" s="30">
        <f>RAND()*(1-2E-6)+1E-6</f>
        <v/>
      </c>
      <c r="I108" s="31">
        <f>MIN(IF(Supuestos!$H$5="",1E+99,Supuestos!$H$5),MAX(IF(Supuestos!$G$5="",-1E+99,Supuestos!$G$5),IF(Supuestos!$C$5="Normal",NORMINV(B108,Supuestos!$D$5,Supuestos!$E$5),IF(Supuestos!$C$5="Triangular",IF(B108&lt;(Supuestos!$E$5-Supuestos!$D$5)/(Supuestos!$F$5-Supuestos!$D$5),Supuestos!$D$5+SQRT(B108*(Supuestos!$F$5-Supuestos!$D$5)*(Supuestos!$E$5-Supuestos!$D$5)),Supuestos!$F$5-SQRT((1-B108)*(Supuestos!$F$5-Supuestos!$D$5)*(Supuestos!$F$5-Supuestos!$E$5))),IF(Supuestos!$C$5="Uniforme",Supuestos!$D$5+B108*(Supuestos!$E$5-Supuestos!$D$5),IF(Supuestos!$C$5="Lognormal",LOGINV(B108,LN(Supuestos!$D$5)-LN(1+Supuestos!$E$5^2/Supuestos!$D$5^2)/2,SQRT(LN(1+Supuestos!$E$5^2/Supuestos!$D$5^2))),Supuestos!$D$5))))))</f>
        <v/>
      </c>
      <c r="J108" s="31">
        <f>MIN(IF(Supuestos!$H$6="",1E+99,Supuestos!$H$6),MAX(IF(Supuestos!$G$6="",-1E+99,Supuestos!$G$6),IF(Supuestos!$C$6="Normal",NORMINV(C108,Supuestos!$D$6,Supuestos!$E$6),IF(Supuestos!$C$6="Triangular",IF(C108&lt;(Supuestos!$E$6-Supuestos!$D$6)/(Supuestos!$F$6-Supuestos!$D$6),Supuestos!$D$6+SQRT(C108*(Supuestos!$F$6-Supuestos!$D$6)*(Supuestos!$E$6-Supuestos!$D$6)),Supuestos!$F$6-SQRT((1-C108)*(Supuestos!$F$6-Supuestos!$D$6)*(Supuestos!$F$6-Supuestos!$E$6))),IF(Supuestos!$C$6="Uniforme",Supuestos!$D$6+C108*(Supuestos!$E$6-Supuestos!$D$6),IF(Supuestos!$C$6="Lognormal",LOGINV(C108,LN(Supuestos!$D$6)-LN(1+Supuestos!$E$6^2/Supuestos!$D$6^2)/2,SQRT(LN(1+Supuestos!$E$6^2/Supuestos!$D$6^2))),Supuestos!$D$6))))))</f>
        <v/>
      </c>
      <c r="K108" s="32">
        <f>MIN(IF(Supuestos!$H$7="",1E+99,Supuestos!$H$7),MAX(IF(Supuestos!$G$7="",-1E+99,Supuestos!$G$7),IF(Supuestos!$C$7="Normal",NORMINV(D108,Supuestos!$D$7,Supuestos!$E$7),IF(Supuestos!$C$7="Triangular",IF(D108&lt;(Supuestos!$E$7-Supuestos!$D$7)/(Supuestos!$F$7-Supuestos!$D$7),Supuestos!$D$7+SQRT(D108*(Supuestos!$F$7-Supuestos!$D$7)*(Supuestos!$E$7-Supuestos!$D$7)),Supuestos!$F$7-SQRT((1-D108)*(Supuestos!$F$7-Supuestos!$D$7)*(Supuestos!$F$7-Supuestos!$E$7))),IF(Supuestos!$C$7="Uniforme",Supuestos!$D$7+D108*(Supuestos!$E$7-Supuestos!$D$7),IF(Supuestos!$C$7="Lognormal",LOGINV(D108,LN(Supuestos!$D$7)-LN(1+Supuestos!$E$7^2/Supuestos!$D$7^2)/2,SQRT(LN(1+Supuestos!$E$7^2/Supuestos!$D$7^2))),Supuestos!$D$7))))))</f>
        <v/>
      </c>
      <c r="L108" s="32">
        <f>MIN(IF(Supuestos!$H$8="",1E+99,Supuestos!$H$8),MAX(IF(Supuestos!$G$8="",-1E+99,Supuestos!$G$8),IF(Supuestos!$C$8="Normal",NORMINV(E108,Supuestos!$D$8,Supuestos!$E$8),IF(Supuestos!$C$8="Triangular",IF(E108&lt;(Supuestos!$E$8-Supuestos!$D$8)/(Supuestos!$F$8-Supuestos!$D$8),Supuestos!$D$8+SQRT(E108*(Supuestos!$F$8-Supuestos!$D$8)*(Supuestos!$E$8-Supuestos!$D$8)),Supuestos!$F$8-SQRT((1-E108)*(Supuestos!$F$8-Supuestos!$D$8)*(Supuestos!$F$8-Supuestos!$E$8))),IF(Supuestos!$C$8="Uniforme",Supuestos!$D$8+E108*(Supuestos!$E$8-Supuestos!$D$8),IF(Supuestos!$C$8="Lognormal",LOGINV(E108,LN(Supuestos!$D$8)-LN(1+Supuestos!$E$8^2/Supuestos!$D$8^2)/2,SQRT(LN(1+Supuestos!$E$8^2/Supuestos!$D$8^2))),Supuestos!$D$8))))))</f>
        <v/>
      </c>
      <c r="M108" s="32">
        <f>MIN(IF(Supuestos!$H$9="",1E+99,Supuestos!$H$9),MAX(IF(Supuestos!$G$9="",-1E+99,Supuestos!$G$9),IF(Supuestos!$C$9="Normal",NORMINV(F108,Supuestos!$D$9,Supuestos!$E$9),IF(Supuestos!$C$9="Triangular",IF(F108&lt;(Supuestos!$E$9-Supuestos!$D$9)/(Supuestos!$F$9-Supuestos!$D$9),Supuestos!$D$9+SQRT(F108*(Supuestos!$F$9-Supuestos!$D$9)*(Supuestos!$E$9-Supuestos!$D$9)),Supuestos!$F$9-SQRT((1-F108)*(Supuestos!$F$9-Supuestos!$D$9)*(Supuestos!$F$9-Supuestos!$E$9))),IF(Supuestos!$C$9="Uniforme",Supuestos!$D$9+F108*(Supuestos!$E$9-Supuestos!$D$9),IF(Supuestos!$C$9="Lognormal",LOGINV(F108,LN(Supuestos!$D$9)-LN(1+Supuestos!$E$9^2/Supuestos!$D$9^2)/2,SQRT(LN(1+Supuestos!$E$9^2/Supuestos!$D$9^2))),Supuestos!$D$9))))))</f>
        <v/>
      </c>
      <c r="N108" s="32">
        <f>MIN(IF(Supuestos!$H$10="",1E+99,Supuestos!$H$10),MAX(IF(Supuestos!$G$10="",-1E+99,Supuestos!$G$10),IF(Supuestos!$C$10="Normal",NORMINV(G108,Supuestos!$D$10,Supuestos!$E$10),IF(Supuestos!$C$10="Triangular",IF(G108&lt;(Supuestos!$E$10-Supuestos!$D$10)/(Supuestos!$F$10-Supuestos!$D$10),Supuestos!$D$10+SQRT(G108*(Supuestos!$F$10-Supuestos!$D$10)*(Supuestos!$E$10-Supuestos!$D$10)),Supuestos!$F$10-SQRT((1-G108)*(Supuestos!$F$10-Supuestos!$D$10)*(Supuestos!$F$10-Supuestos!$E$10))),IF(Supuestos!$C$10="Uniforme",Supuestos!$D$10+G108*(Supuestos!$E$10-Supuestos!$D$10),IF(Supuestos!$C$10="Lognormal",LOGINV(G108,LN(Supuestos!$D$10)-LN(1+Supuestos!$E$10^2/Supuestos!$D$10^2)/2,SQRT(LN(1+Supuestos!$E$10^2/Supuestos!$D$10^2))),Supuestos!$D$10))))))</f>
        <v/>
      </c>
      <c r="O108" s="31">
        <f>MIN(IF(Supuestos!$H$11="",1E+99,Supuestos!$H$11),MAX(IF(Supuestos!$G$11="",-1E+99,Supuestos!$G$11),IF(Supuestos!$C$11="Normal",NORMINV(H108,Supuestos!$D$11,Supuestos!$E$11),IF(Supuestos!$C$11="Triangular",IF(H108&lt;(Supuestos!$E$11-Supuestos!$D$11)/(Supuestos!$F$11-Supuestos!$D$11),Supuestos!$D$11+SQRT(H108*(Supuestos!$F$11-Supuestos!$D$11)*(Supuestos!$E$11-Supuestos!$D$11)),Supuestos!$F$11-SQRT((1-H108)*(Supuestos!$F$11-Supuestos!$D$11)*(Supuestos!$F$11-Supuestos!$E$11))),IF(Supuestos!$C$11="Uniforme",Supuestos!$D$11+H108*(Supuestos!$E$11-Supuestos!$D$11),IF(Supuestos!$C$11="Lognormal",LOGINV(H108,LN(Supuestos!$D$11)-LN(1+Supuestos!$E$11^2/Supuestos!$D$11^2)/2,SQRT(LN(1+Supuestos!$E$11^2/Supuestos!$D$11^2))),Supuestos!$D$11))))))</f>
        <v/>
      </c>
      <c r="P108" s="33">
        <f>-I108</f>
        <v/>
      </c>
      <c r="Q108" s="33">
        <f>$J108*(1+$K108)^(1-1)*(1-$L108)*(1-$M108)</f>
        <v/>
      </c>
      <c r="R108" s="33">
        <f>$J108*(1+$K108)^(2-1)*(1-$L108)*(1-$M108)</f>
        <v/>
      </c>
      <c r="S108" s="33">
        <f>$J108*(1+$K108)^(3-1)*(1-$L108)*(1-$M108)</f>
        <v/>
      </c>
      <c r="T108" s="33">
        <f>$J108*(1+$K108)^(4-1)*(1-$L108)*(1-$M108)</f>
        <v/>
      </c>
      <c r="U108" s="33">
        <f>$J108*(1+$K108)^(5-1)*(1-$L108)*(1-$M108)+$O108</f>
        <v/>
      </c>
      <c r="V108" s="33">
        <f>P108+NPV($N108,Q108:U108)</f>
        <v/>
      </c>
      <c r="W108" s="32">
        <f>IFERROR(IRR(P108:U108,0.1),"")</f>
        <v/>
      </c>
    </row>
    <row r="109">
      <c r="A109" s="14" t="n">
        <v>105</v>
      </c>
      <c r="B109" s="30">
        <f>RAND()*(1-2E-6)+1E-6</f>
        <v/>
      </c>
      <c r="C109" s="30">
        <f>RAND()*(1-2E-6)+1E-6</f>
        <v/>
      </c>
      <c r="D109" s="30">
        <f>RAND()*(1-2E-6)+1E-6</f>
        <v/>
      </c>
      <c r="E109" s="30">
        <f>RAND()*(1-2E-6)+1E-6</f>
        <v/>
      </c>
      <c r="F109" s="30">
        <f>RAND()*(1-2E-6)+1E-6</f>
        <v/>
      </c>
      <c r="G109" s="30">
        <f>RAND()*(1-2E-6)+1E-6</f>
        <v/>
      </c>
      <c r="H109" s="30">
        <f>RAND()*(1-2E-6)+1E-6</f>
        <v/>
      </c>
      <c r="I109" s="31">
        <f>MIN(IF(Supuestos!$H$5="",1E+99,Supuestos!$H$5),MAX(IF(Supuestos!$G$5="",-1E+99,Supuestos!$G$5),IF(Supuestos!$C$5="Normal",NORMINV(B109,Supuestos!$D$5,Supuestos!$E$5),IF(Supuestos!$C$5="Triangular",IF(B109&lt;(Supuestos!$E$5-Supuestos!$D$5)/(Supuestos!$F$5-Supuestos!$D$5),Supuestos!$D$5+SQRT(B109*(Supuestos!$F$5-Supuestos!$D$5)*(Supuestos!$E$5-Supuestos!$D$5)),Supuestos!$F$5-SQRT((1-B109)*(Supuestos!$F$5-Supuestos!$D$5)*(Supuestos!$F$5-Supuestos!$E$5))),IF(Supuestos!$C$5="Uniforme",Supuestos!$D$5+B109*(Supuestos!$E$5-Supuestos!$D$5),IF(Supuestos!$C$5="Lognormal",LOGINV(B109,LN(Supuestos!$D$5)-LN(1+Supuestos!$E$5^2/Supuestos!$D$5^2)/2,SQRT(LN(1+Supuestos!$E$5^2/Supuestos!$D$5^2))),Supuestos!$D$5))))))</f>
        <v/>
      </c>
      <c r="J109" s="31">
        <f>MIN(IF(Supuestos!$H$6="",1E+99,Supuestos!$H$6),MAX(IF(Supuestos!$G$6="",-1E+99,Supuestos!$G$6),IF(Supuestos!$C$6="Normal",NORMINV(C109,Supuestos!$D$6,Supuestos!$E$6),IF(Supuestos!$C$6="Triangular",IF(C109&lt;(Supuestos!$E$6-Supuestos!$D$6)/(Supuestos!$F$6-Supuestos!$D$6),Supuestos!$D$6+SQRT(C109*(Supuestos!$F$6-Supuestos!$D$6)*(Supuestos!$E$6-Supuestos!$D$6)),Supuestos!$F$6-SQRT((1-C109)*(Supuestos!$F$6-Supuestos!$D$6)*(Supuestos!$F$6-Supuestos!$E$6))),IF(Supuestos!$C$6="Uniforme",Supuestos!$D$6+C109*(Supuestos!$E$6-Supuestos!$D$6),IF(Supuestos!$C$6="Lognormal",LOGINV(C109,LN(Supuestos!$D$6)-LN(1+Supuestos!$E$6^2/Supuestos!$D$6^2)/2,SQRT(LN(1+Supuestos!$E$6^2/Supuestos!$D$6^2))),Supuestos!$D$6))))))</f>
        <v/>
      </c>
      <c r="K109" s="32">
        <f>MIN(IF(Supuestos!$H$7="",1E+99,Supuestos!$H$7),MAX(IF(Supuestos!$G$7="",-1E+99,Supuestos!$G$7),IF(Supuestos!$C$7="Normal",NORMINV(D109,Supuestos!$D$7,Supuestos!$E$7),IF(Supuestos!$C$7="Triangular",IF(D109&lt;(Supuestos!$E$7-Supuestos!$D$7)/(Supuestos!$F$7-Supuestos!$D$7),Supuestos!$D$7+SQRT(D109*(Supuestos!$F$7-Supuestos!$D$7)*(Supuestos!$E$7-Supuestos!$D$7)),Supuestos!$F$7-SQRT((1-D109)*(Supuestos!$F$7-Supuestos!$D$7)*(Supuestos!$F$7-Supuestos!$E$7))),IF(Supuestos!$C$7="Uniforme",Supuestos!$D$7+D109*(Supuestos!$E$7-Supuestos!$D$7),IF(Supuestos!$C$7="Lognormal",LOGINV(D109,LN(Supuestos!$D$7)-LN(1+Supuestos!$E$7^2/Supuestos!$D$7^2)/2,SQRT(LN(1+Supuestos!$E$7^2/Supuestos!$D$7^2))),Supuestos!$D$7))))))</f>
        <v/>
      </c>
      <c r="L109" s="32">
        <f>MIN(IF(Supuestos!$H$8="",1E+99,Supuestos!$H$8),MAX(IF(Supuestos!$G$8="",-1E+99,Supuestos!$G$8),IF(Supuestos!$C$8="Normal",NORMINV(E109,Supuestos!$D$8,Supuestos!$E$8),IF(Supuestos!$C$8="Triangular",IF(E109&lt;(Supuestos!$E$8-Supuestos!$D$8)/(Supuestos!$F$8-Supuestos!$D$8),Supuestos!$D$8+SQRT(E109*(Supuestos!$F$8-Supuestos!$D$8)*(Supuestos!$E$8-Supuestos!$D$8)),Supuestos!$F$8-SQRT((1-E109)*(Supuestos!$F$8-Supuestos!$D$8)*(Supuestos!$F$8-Supuestos!$E$8))),IF(Supuestos!$C$8="Uniforme",Supuestos!$D$8+E109*(Supuestos!$E$8-Supuestos!$D$8),IF(Supuestos!$C$8="Lognormal",LOGINV(E109,LN(Supuestos!$D$8)-LN(1+Supuestos!$E$8^2/Supuestos!$D$8^2)/2,SQRT(LN(1+Supuestos!$E$8^2/Supuestos!$D$8^2))),Supuestos!$D$8))))))</f>
        <v/>
      </c>
      <c r="M109" s="32">
        <f>MIN(IF(Supuestos!$H$9="",1E+99,Supuestos!$H$9),MAX(IF(Supuestos!$G$9="",-1E+99,Supuestos!$G$9),IF(Supuestos!$C$9="Normal",NORMINV(F109,Supuestos!$D$9,Supuestos!$E$9),IF(Supuestos!$C$9="Triangular",IF(F109&lt;(Supuestos!$E$9-Supuestos!$D$9)/(Supuestos!$F$9-Supuestos!$D$9),Supuestos!$D$9+SQRT(F109*(Supuestos!$F$9-Supuestos!$D$9)*(Supuestos!$E$9-Supuestos!$D$9)),Supuestos!$F$9-SQRT((1-F109)*(Supuestos!$F$9-Supuestos!$D$9)*(Supuestos!$F$9-Supuestos!$E$9))),IF(Supuestos!$C$9="Uniforme",Supuestos!$D$9+F109*(Supuestos!$E$9-Supuestos!$D$9),IF(Supuestos!$C$9="Lognormal",LOGINV(F109,LN(Supuestos!$D$9)-LN(1+Supuestos!$E$9^2/Supuestos!$D$9^2)/2,SQRT(LN(1+Supuestos!$E$9^2/Supuestos!$D$9^2))),Supuestos!$D$9))))))</f>
        <v/>
      </c>
      <c r="N109" s="32">
        <f>MIN(IF(Supuestos!$H$10="",1E+99,Supuestos!$H$10),MAX(IF(Supuestos!$G$10="",-1E+99,Supuestos!$G$10),IF(Supuestos!$C$10="Normal",NORMINV(G109,Supuestos!$D$10,Supuestos!$E$10),IF(Supuestos!$C$10="Triangular",IF(G109&lt;(Supuestos!$E$10-Supuestos!$D$10)/(Supuestos!$F$10-Supuestos!$D$10),Supuestos!$D$10+SQRT(G109*(Supuestos!$F$10-Supuestos!$D$10)*(Supuestos!$E$10-Supuestos!$D$10)),Supuestos!$F$10-SQRT((1-G109)*(Supuestos!$F$10-Supuestos!$D$10)*(Supuestos!$F$10-Supuestos!$E$10))),IF(Supuestos!$C$10="Uniforme",Supuestos!$D$10+G109*(Supuestos!$E$10-Supuestos!$D$10),IF(Supuestos!$C$10="Lognormal",LOGINV(G109,LN(Supuestos!$D$10)-LN(1+Supuestos!$E$10^2/Supuestos!$D$10^2)/2,SQRT(LN(1+Supuestos!$E$10^2/Supuestos!$D$10^2))),Supuestos!$D$10))))))</f>
        <v/>
      </c>
      <c r="O109" s="31">
        <f>MIN(IF(Supuestos!$H$11="",1E+99,Supuestos!$H$11),MAX(IF(Supuestos!$G$11="",-1E+99,Supuestos!$G$11),IF(Supuestos!$C$11="Normal",NORMINV(H109,Supuestos!$D$11,Supuestos!$E$11),IF(Supuestos!$C$11="Triangular",IF(H109&lt;(Supuestos!$E$11-Supuestos!$D$11)/(Supuestos!$F$11-Supuestos!$D$11),Supuestos!$D$11+SQRT(H109*(Supuestos!$F$11-Supuestos!$D$11)*(Supuestos!$E$11-Supuestos!$D$11)),Supuestos!$F$11-SQRT((1-H109)*(Supuestos!$F$11-Supuestos!$D$11)*(Supuestos!$F$11-Supuestos!$E$11))),IF(Supuestos!$C$11="Uniforme",Supuestos!$D$11+H109*(Supuestos!$E$11-Supuestos!$D$11),IF(Supuestos!$C$11="Lognormal",LOGINV(H109,LN(Supuestos!$D$11)-LN(1+Supuestos!$E$11^2/Supuestos!$D$11^2)/2,SQRT(LN(1+Supuestos!$E$11^2/Supuestos!$D$11^2))),Supuestos!$D$11))))))</f>
        <v/>
      </c>
      <c r="P109" s="33">
        <f>-I109</f>
        <v/>
      </c>
      <c r="Q109" s="33">
        <f>$J109*(1+$K109)^(1-1)*(1-$L109)*(1-$M109)</f>
        <v/>
      </c>
      <c r="R109" s="33">
        <f>$J109*(1+$K109)^(2-1)*(1-$L109)*(1-$M109)</f>
        <v/>
      </c>
      <c r="S109" s="33">
        <f>$J109*(1+$K109)^(3-1)*(1-$L109)*(1-$M109)</f>
        <v/>
      </c>
      <c r="T109" s="33">
        <f>$J109*(1+$K109)^(4-1)*(1-$L109)*(1-$M109)</f>
        <v/>
      </c>
      <c r="U109" s="33">
        <f>$J109*(1+$K109)^(5-1)*(1-$L109)*(1-$M109)+$O109</f>
        <v/>
      </c>
      <c r="V109" s="33">
        <f>P109+NPV($N109,Q109:U109)</f>
        <v/>
      </c>
      <c r="W109" s="32">
        <f>IFERROR(IRR(P109:U109,0.1),"")</f>
        <v/>
      </c>
    </row>
    <row r="110">
      <c r="A110" s="14" t="n">
        <v>106</v>
      </c>
      <c r="B110" s="30">
        <f>RAND()*(1-2E-6)+1E-6</f>
        <v/>
      </c>
      <c r="C110" s="30">
        <f>RAND()*(1-2E-6)+1E-6</f>
        <v/>
      </c>
      <c r="D110" s="30">
        <f>RAND()*(1-2E-6)+1E-6</f>
        <v/>
      </c>
      <c r="E110" s="30">
        <f>RAND()*(1-2E-6)+1E-6</f>
        <v/>
      </c>
      <c r="F110" s="30">
        <f>RAND()*(1-2E-6)+1E-6</f>
        <v/>
      </c>
      <c r="G110" s="30">
        <f>RAND()*(1-2E-6)+1E-6</f>
        <v/>
      </c>
      <c r="H110" s="30">
        <f>RAND()*(1-2E-6)+1E-6</f>
        <v/>
      </c>
      <c r="I110" s="31">
        <f>MIN(IF(Supuestos!$H$5="",1E+99,Supuestos!$H$5),MAX(IF(Supuestos!$G$5="",-1E+99,Supuestos!$G$5),IF(Supuestos!$C$5="Normal",NORMINV(B110,Supuestos!$D$5,Supuestos!$E$5),IF(Supuestos!$C$5="Triangular",IF(B110&lt;(Supuestos!$E$5-Supuestos!$D$5)/(Supuestos!$F$5-Supuestos!$D$5),Supuestos!$D$5+SQRT(B110*(Supuestos!$F$5-Supuestos!$D$5)*(Supuestos!$E$5-Supuestos!$D$5)),Supuestos!$F$5-SQRT((1-B110)*(Supuestos!$F$5-Supuestos!$D$5)*(Supuestos!$F$5-Supuestos!$E$5))),IF(Supuestos!$C$5="Uniforme",Supuestos!$D$5+B110*(Supuestos!$E$5-Supuestos!$D$5),IF(Supuestos!$C$5="Lognormal",LOGINV(B110,LN(Supuestos!$D$5)-LN(1+Supuestos!$E$5^2/Supuestos!$D$5^2)/2,SQRT(LN(1+Supuestos!$E$5^2/Supuestos!$D$5^2))),Supuestos!$D$5))))))</f>
        <v/>
      </c>
      <c r="J110" s="31">
        <f>MIN(IF(Supuestos!$H$6="",1E+99,Supuestos!$H$6),MAX(IF(Supuestos!$G$6="",-1E+99,Supuestos!$G$6),IF(Supuestos!$C$6="Normal",NORMINV(C110,Supuestos!$D$6,Supuestos!$E$6),IF(Supuestos!$C$6="Triangular",IF(C110&lt;(Supuestos!$E$6-Supuestos!$D$6)/(Supuestos!$F$6-Supuestos!$D$6),Supuestos!$D$6+SQRT(C110*(Supuestos!$F$6-Supuestos!$D$6)*(Supuestos!$E$6-Supuestos!$D$6)),Supuestos!$F$6-SQRT((1-C110)*(Supuestos!$F$6-Supuestos!$D$6)*(Supuestos!$F$6-Supuestos!$E$6))),IF(Supuestos!$C$6="Uniforme",Supuestos!$D$6+C110*(Supuestos!$E$6-Supuestos!$D$6),IF(Supuestos!$C$6="Lognormal",LOGINV(C110,LN(Supuestos!$D$6)-LN(1+Supuestos!$E$6^2/Supuestos!$D$6^2)/2,SQRT(LN(1+Supuestos!$E$6^2/Supuestos!$D$6^2))),Supuestos!$D$6))))))</f>
        <v/>
      </c>
      <c r="K110" s="32">
        <f>MIN(IF(Supuestos!$H$7="",1E+99,Supuestos!$H$7),MAX(IF(Supuestos!$G$7="",-1E+99,Supuestos!$G$7),IF(Supuestos!$C$7="Normal",NORMINV(D110,Supuestos!$D$7,Supuestos!$E$7),IF(Supuestos!$C$7="Triangular",IF(D110&lt;(Supuestos!$E$7-Supuestos!$D$7)/(Supuestos!$F$7-Supuestos!$D$7),Supuestos!$D$7+SQRT(D110*(Supuestos!$F$7-Supuestos!$D$7)*(Supuestos!$E$7-Supuestos!$D$7)),Supuestos!$F$7-SQRT((1-D110)*(Supuestos!$F$7-Supuestos!$D$7)*(Supuestos!$F$7-Supuestos!$E$7))),IF(Supuestos!$C$7="Uniforme",Supuestos!$D$7+D110*(Supuestos!$E$7-Supuestos!$D$7),IF(Supuestos!$C$7="Lognormal",LOGINV(D110,LN(Supuestos!$D$7)-LN(1+Supuestos!$E$7^2/Supuestos!$D$7^2)/2,SQRT(LN(1+Supuestos!$E$7^2/Supuestos!$D$7^2))),Supuestos!$D$7))))))</f>
        <v/>
      </c>
      <c r="L110" s="32">
        <f>MIN(IF(Supuestos!$H$8="",1E+99,Supuestos!$H$8),MAX(IF(Supuestos!$G$8="",-1E+99,Supuestos!$G$8),IF(Supuestos!$C$8="Normal",NORMINV(E110,Supuestos!$D$8,Supuestos!$E$8),IF(Supuestos!$C$8="Triangular",IF(E110&lt;(Supuestos!$E$8-Supuestos!$D$8)/(Supuestos!$F$8-Supuestos!$D$8),Supuestos!$D$8+SQRT(E110*(Supuestos!$F$8-Supuestos!$D$8)*(Supuestos!$E$8-Supuestos!$D$8)),Supuestos!$F$8-SQRT((1-E110)*(Supuestos!$F$8-Supuestos!$D$8)*(Supuestos!$F$8-Supuestos!$E$8))),IF(Supuestos!$C$8="Uniforme",Supuestos!$D$8+E110*(Supuestos!$E$8-Supuestos!$D$8),IF(Supuestos!$C$8="Lognormal",LOGINV(E110,LN(Supuestos!$D$8)-LN(1+Supuestos!$E$8^2/Supuestos!$D$8^2)/2,SQRT(LN(1+Supuestos!$E$8^2/Supuestos!$D$8^2))),Supuestos!$D$8))))))</f>
        <v/>
      </c>
      <c r="M110" s="32">
        <f>MIN(IF(Supuestos!$H$9="",1E+99,Supuestos!$H$9),MAX(IF(Supuestos!$G$9="",-1E+99,Supuestos!$G$9),IF(Supuestos!$C$9="Normal",NORMINV(F110,Supuestos!$D$9,Supuestos!$E$9),IF(Supuestos!$C$9="Triangular",IF(F110&lt;(Supuestos!$E$9-Supuestos!$D$9)/(Supuestos!$F$9-Supuestos!$D$9),Supuestos!$D$9+SQRT(F110*(Supuestos!$F$9-Supuestos!$D$9)*(Supuestos!$E$9-Supuestos!$D$9)),Supuestos!$F$9-SQRT((1-F110)*(Supuestos!$F$9-Supuestos!$D$9)*(Supuestos!$F$9-Supuestos!$E$9))),IF(Supuestos!$C$9="Uniforme",Supuestos!$D$9+F110*(Supuestos!$E$9-Supuestos!$D$9),IF(Supuestos!$C$9="Lognormal",LOGINV(F110,LN(Supuestos!$D$9)-LN(1+Supuestos!$E$9^2/Supuestos!$D$9^2)/2,SQRT(LN(1+Supuestos!$E$9^2/Supuestos!$D$9^2))),Supuestos!$D$9))))))</f>
        <v/>
      </c>
      <c r="N110" s="32">
        <f>MIN(IF(Supuestos!$H$10="",1E+99,Supuestos!$H$10),MAX(IF(Supuestos!$G$10="",-1E+99,Supuestos!$G$10),IF(Supuestos!$C$10="Normal",NORMINV(G110,Supuestos!$D$10,Supuestos!$E$10),IF(Supuestos!$C$10="Triangular",IF(G110&lt;(Supuestos!$E$10-Supuestos!$D$10)/(Supuestos!$F$10-Supuestos!$D$10),Supuestos!$D$10+SQRT(G110*(Supuestos!$F$10-Supuestos!$D$10)*(Supuestos!$E$10-Supuestos!$D$10)),Supuestos!$F$10-SQRT((1-G110)*(Supuestos!$F$10-Supuestos!$D$10)*(Supuestos!$F$10-Supuestos!$E$10))),IF(Supuestos!$C$10="Uniforme",Supuestos!$D$10+G110*(Supuestos!$E$10-Supuestos!$D$10),IF(Supuestos!$C$10="Lognormal",LOGINV(G110,LN(Supuestos!$D$10)-LN(1+Supuestos!$E$10^2/Supuestos!$D$10^2)/2,SQRT(LN(1+Supuestos!$E$10^2/Supuestos!$D$10^2))),Supuestos!$D$10))))))</f>
        <v/>
      </c>
      <c r="O110" s="31">
        <f>MIN(IF(Supuestos!$H$11="",1E+99,Supuestos!$H$11),MAX(IF(Supuestos!$G$11="",-1E+99,Supuestos!$G$11),IF(Supuestos!$C$11="Normal",NORMINV(H110,Supuestos!$D$11,Supuestos!$E$11),IF(Supuestos!$C$11="Triangular",IF(H110&lt;(Supuestos!$E$11-Supuestos!$D$11)/(Supuestos!$F$11-Supuestos!$D$11),Supuestos!$D$11+SQRT(H110*(Supuestos!$F$11-Supuestos!$D$11)*(Supuestos!$E$11-Supuestos!$D$11)),Supuestos!$F$11-SQRT((1-H110)*(Supuestos!$F$11-Supuestos!$D$11)*(Supuestos!$F$11-Supuestos!$E$11))),IF(Supuestos!$C$11="Uniforme",Supuestos!$D$11+H110*(Supuestos!$E$11-Supuestos!$D$11),IF(Supuestos!$C$11="Lognormal",LOGINV(H110,LN(Supuestos!$D$11)-LN(1+Supuestos!$E$11^2/Supuestos!$D$11^2)/2,SQRT(LN(1+Supuestos!$E$11^2/Supuestos!$D$11^2))),Supuestos!$D$11))))))</f>
        <v/>
      </c>
      <c r="P110" s="33">
        <f>-I110</f>
        <v/>
      </c>
      <c r="Q110" s="33">
        <f>$J110*(1+$K110)^(1-1)*(1-$L110)*(1-$M110)</f>
        <v/>
      </c>
      <c r="R110" s="33">
        <f>$J110*(1+$K110)^(2-1)*(1-$L110)*(1-$M110)</f>
        <v/>
      </c>
      <c r="S110" s="33">
        <f>$J110*(1+$K110)^(3-1)*(1-$L110)*(1-$M110)</f>
        <v/>
      </c>
      <c r="T110" s="33">
        <f>$J110*(1+$K110)^(4-1)*(1-$L110)*(1-$M110)</f>
        <v/>
      </c>
      <c r="U110" s="33">
        <f>$J110*(1+$K110)^(5-1)*(1-$L110)*(1-$M110)+$O110</f>
        <v/>
      </c>
      <c r="V110" s="33">
        <f>P110+NPV($N110,Q110:U110)</f>
        <v/>
      </c>
      <c r="W110" s="32">
        <f>IFERROR(IRR(P110:U110,0.1),"")</f>
        <v/>
      </c>
    </row>
    <row r="111">
      <c r="A111" s="14" t="n">
        <v>107</v>
      </c>
      <c r="B111" s="30">
        <f>RAND()*(1-2E-6)+1E-6</f>
        <v/>
      </c>
      <c r="C111" s="30">
        <f>RAND()*(1-2E-6)+1E-6</f>
        <v/>
      </c>
      <c r="D111" s="30">
        <f>RAND()*(1-2E-6)+1E-6</f>
        <v/>
      </c>
      <c r="E111" s="30">
        <f>RAND()*(1-2E-6)+1E-6</f>
        <v/>
      </c>
      <c r="F111" s="30">
        <f>RAND()*(1-2E-6)+1E-6</f>
        <v/>
      </c>
      <c r="G111" s="30">
        <f>RAND()*(1-2E-6)+1E-6</f>
        <v/>
      </c>
      <c r="H111" s="30">
        <f>RAND()*(1-2E-6)+1E-6</f>
        <v/>
      </c>
      <c r="I111" s="31">
        <f>MIN(IF(Supuestos!$H$5="",1E+99,Supuestos!$H$5),MAX(IF(Supuestos!$G$5="",-1E+99,Supuestos!$G$5),IF(Supuestos!$C$5="Normal",NORMINV(B111,Supuestos!$D$5,Supuestos!$E$5),IF(Supuestos!$C$5="Triangular",IF(B111&lt;(Supuestos!$E$5-Supuestos!$D$5)/(Supuestos!$F$5-Supuestos!$D$5),Supuestos!$D$5+SQRT(B111*(Supuestos!$F$5-Supuestos!$D$5)*(Supuestos!$E$5-Supuestos!$D$5)),Supuestos!$F$5-SQRT((1-B111)*(Supuestos!$F$5-Supuestos!$D$5)*(Supuestos!$F$5-Supuestos!$E$5))),IF(Supuestos!$C$5="Uniforme",Supuestos!$D$5+B111*(Supuestos!$E$5-Supuestos!$D$5),IF(Supuestos!$C$5="Lognormal",LOGINV(B111,LN(Supuestos!$D$5)-LN(1+Supuestos!$E$5^2/Supuestos!$D$5^2)/2,SQRT(LN(1+Supuestos!$E$5^2/Supuestos!$D$5^2))),Supuestos!$D$5))))))</f>
        <v/>
      </c>
      <c r="J111" s="31">
        <f>MIN(IF(Supuestos!$H$6="",1E+99,Supuestos!$H$6),MAX(IF(Supuestos!$G$6="",-1E+99,Supuestos!$G$6),IF(Supuestos!$C$6="Normal",NORMINV(C111,Supuestos!$D$6,Supuestos!$E$6),IF(Supuestos!$C$6="Triangular",IF(C111&lt;(Supuestos!$E$6-Supuestos!$D$6)/(Supuestos!$F$6-Supuestos!$D$6),Supuestos!$D$6+SQRT(C111*(Supuestos!$F$6-Supuestos!$D$6)*(Supuestos!$E$6-Supuestos!$D$6)),Supuestos!$F$6-SQRT((1-C111)*(Supuestos!$F$6-Supuestos!$D$6)*(Supuestos!$F$6-Supuestos!$E$6))),IF(Supuestos!$C$6="Uniforme",Supuestos!$D$6+C111*(Supuestos!$E$6-Supuestos!$D$6),IF(Supuestos!$C$6="Lognormal",LOGINV(C111,LN(Supuestos!$D$6)-LN(1+Supuestos!$E$6^2/Supuestos!$D$6^2)/2,SQRT(LN(1+Supuestos!$E$6^2/Supuestos!$D$6^2))),Supuestos!$D$6))))))</f>
        <v/>
      </c>
      <c r="K111" s="32">
        <f>MIN(IF(Supuestos!$H$7="",1E+99,Supuestos!$H$7),MAX(IF(Supuestos!$G$7="",-1E+99,Supuestos!$G$7),IF(Supuestos!$C$7="Normal",NORMINV(D111,Supuestos!$D$7,Supuestos!$E$7),IF(Supuestos!$C$7="Triangular",IF(D111&lt;(Supuestos!$E$7-Supuestos!$D$7)/(Supuestos!$F$7-Supuestos!$D$7),Supuestos!$D$7+SQRT(D111*(Supuestos!$F$7-Supuestos!$D$7)*(Supuestos!$E$7-Supuestos!$D$7)),Supuestos!$F$7-SQRT((1-D111)*(Supuestos!$F$7-Supuestos!$D$7)*(Supuestos!$F$7-Supuestos!$E$7))),IF(Supuestos!$C$7="Uniforme",Supuestos!$D$7+D111*(Supuestos!$E$7-Supuestos!$D$7),IF(Supuestos!$C$7="Lognormal",LOGINV(D111,LN(Supuestos!$D$7)-LN(1+Supuestos!$E$7^2/Supuestos!$D$7^2)/2,SQRT(LN(1+Supuestos!$E$7^2/Supuestos!$D$7^2))),Supuestos!$D$7))))))</f>
        <v/>
      </c>
      <c r="L111" s="32">
        <f>MIN(IF(Supuestos!$H$8="",1E+99,Supuestos!$H$8),MAX(IF(Supuestos!$G$8="",-1E+99,Supuestos!$G$8),IF(Supuestos!$C$8="Normal",NORMINV(E111,Supuestos!$D$8,Supuestos!$E$8),IF(Supuestos!$C$8="Triangular",IF(E111&lt;(Supuestos!$E$8-Supuestos!$D$8)/(Supuestos!$F$8-Supuestos!$D$8),Supuestos!$D$8+SQRT(E111*(Supuestos!$F$8-Supuestos!$D$8)*(Supuestos!$E$8-Supuestos!$D$8)),Supuestos!$F$8-SQRT((1-E111)*(Supuestos!$F$8-Supuestos!$D$8)*(Supuestos!$F$8-Supuestos!$E$8))),IF(Supuestos!$C$8="Uniforme",Supuestos!$D$8+E111*(Supuestos!$E$8-Supuestos!$D$8),IF(Supuestos!$C$8="Lognormal",LOGINV(E111,LN(Supuestos!$D$8)-LN(1+Supuestos!$E$8^2/Supuestos!$D$8^2)/2,SQRT(LN(1+Supuestos!$E$8^2/Supuestos!$D$8^2))),Supuestos!$D$8))))))</f>
        <v/>
      </c>
      <c r="M111" s="32">
        <f>MIN(IF(Supuestos!$H$9="",1E+99,Supuestos!$H$9),MAX(IF(Supuestos!$G$9="",-1E+99,Supuestos!$G$9),IF(Supuestos!$C$9="Normal",NORMINV(F111,Supuestos!$D$9,Supuestos!$E$9),IF(Supuestos!$C$9="Triangular",IF(F111&lt;(Supuestos!$E$9-Supuestos!$D$9)/(Supuestos!$F$9-Supuestos!$D$9),Supuestos!$D$9+SQRT(F111*(Supuestos!$F$9-Supuestos!$D$9)*(Supuestos!$E$9-Supuestos!$D$9)),Supuestos!$F$9-SQRT((1-F111)*(Supuestos!$F$9-Supuestos!$D$9)*(Supuestos!$F$9-Supuestos!$E$9))),IF(Supuestos!$C$9="Uniforme",Supuestos!$D$9+F111*(Supuestos!$E$9-Supuestos!$D$9),IF(Supuestos!$C$9="Lognormal",LOGINV(F111,LN(Supuestos!$D$9)-LN(1+Supuestos!$E$9^2/Supuestos!$D$9^2)/2,SQRT(LN(1+Supuestos!$E$9^2/Supuestos!$D$9^2))),Supuestos!$D$9))))))</f>
        <v/>
      </c>
      <c r="N111" s="32">
        <f>MIN(IF(Supuestos!$H$10="",1E+99,Supuestos!$H$10),MAX(IF(Supuestos!$G$10="",-1E+99,Supuestos!$G$10),IF(Supuestos!$C$10="Normal",NORMINV(G111,Supuestos!$D$10,Supuestos!$E$10),IF(Supuestos!$C$10="Triangular",IF(G111&lt;(Supuestos!$E$10-Supuestos!$D$10)/(Supuestos!$F$10-Supuestos!$D$10),Supuestos!$D$10+SQRT(G111*(Supuestos!$F$10-Supuestos!$D$10)*(Supuestos!$E$10-Supuestos!$D$10)),Supuestos!$F$10-SQRT((1-G111)*(Supuestos!$F$10-Supuestos!$D$10)*(Supuestos!$F$10-Supuestos!$E$10))),IF(Supuestos!$C$10="Uniforme",Supuestos!$D$10+G111*(Supuestos!$E$10-Supuestos!$D$10),IF(Supuestos!$C$10="Lognormal",LOGINV(G111,LN(Supuestos!$D$10)-LN(1+Supuestos!$E$10^2/Supuestos!$D$10^2)/2,SQRT(LN(1+Supuestos!$E$10^2/Supuestos!$D$10^2))),Supuestos!$D$10))))))</f>
        <v/>
      </c>
      <c r="O111" s="31">
        <f>MIN(IF(Supuestos!$H$11="",1E+99,Supuestos!$H$11),MAX(IF(Supuestos!$G$11="",-1E+99,Supuestos!$G$11),IF(Supuestos!$C$11="Normal",NORMINV(H111,Supuestos!$D$11,Supuestos!$E$11),IF(Supuestos!$C$11="Triangular",IF(H111&lt;(Supuestos!$E$11-Supuestos!$D$11)/(Supuestos!$F$11-Supuestos!$D$11),Supuestos!$D$11+SQRT(H111*(Supuestos!$F$11-Supuestos!$D$11)*(Supuestos!$E$11-Supuestos!$D$11)),Supuestos!$F$11-SQRT((1-H111)*(Supuestos!$F$11-Supuestos!$D$11)*(Supuestos!$F$11-Supuestos!$E$11))),IF(Supuestos!$C$11="Uniforme",Supuestos!$D$11+H111*(Supuestos!$E$11-Supuestos!$D$11),IF(Supuestos!$C$11="Lognormal",LOGINV(H111,LN(Supuestos!$D$11)-LN(1+Supuestos!$E$11^2/Supuestos!$D$11^2)/2,SQRT(LN(1+Supuestos!$E$11^2/Supuestos!$D$11^2))),Supuestos!$D$11))))))</f>
        <v/>
      </c>
      <c r="P111" s="33">
        <f>-I111</f>
        <v/>
      </c>
      <c r="Q111" s="33">
        <f>$J111*(1+$K111)^(1-1)*(1-$L111)*(1-$M111)</f>
        <v/>
      </c>
      <c r="R111" s="33">
        <f>$J111*(1+$K111)^(2-1)*(1-$L111)*(1-$M111)</f>
        <v/>
      </c>
      <c r="S111" s="33">
        <f>$J111*(1+$K111)^(3-1)*(1-$L111)*(1-$M111)</f>
        <v/>
      </c>
      <c r="T111" s="33">
        <f>$J111*(1+$K111)^(4-1)*(1-$L111)*(1-$M111)</f>
        <v/>
      </c>
      <c r="U111" s="33">
        <f>$J111*(1+$K111)^(5-1)*(1-$L111)*(1-$M111)+$O111</f>
        <v/>
      </c>
      <c r="V111" s="33">
        <f>P111+NPV($N111,Q111:U111)</f>
        <v/>
      </c>
      <c r="W111" s="32">
        <f>IFERROR(IRR(P111:U111,0.1),"")</f>
        <v/>
      </c>
    </row>
    <row r="112">
      <c r="A112" s="14" t="n">
        <v>108</v>
      </c>
      <c r="B112" s="30">
        <f>RAND()*(1-2E-6)+1E-6</f>
        <v/>
      </c>
      <c r="C112" s="30">
        <f>RAND()*(1-2E-6)+1E-6</f>
        <v/>
      </c>
      <c r="D112" s="30">
        <f>RAND()*(1-2E-6)+1E-6</f>
        <v/>
      </c>
      <c r="E112" s="30">
        <f>RAND()*(1-2E-6)+1E-6</f>
        <v/>
      </c>
      <c r="F112" s="30">
        <f>RAND()*(1-2E-6)+1E-6</f>
        <v/>
      </c>
      <c r="G112" s="30">
        <f>RAND()*(1-2E-6)+1E-6</f>
        <v/>
      </c>
      <c r="H112" s="30">
        <f>RAND()*(1-2E-6)+1E-6</f>
        <v/>
      </c>
      <c r="I112" s="31">
        <f>MIN(IF(Supuestos!$H$5="",1E+99,Supuestos!$H$5),MAX(IF(Supuestos!$G$5="",-1E+99,Supuestos!$G$5),IF(Supuestos!$C$5="Normal",NORMINV(B112,Supuestos!$D$5,Supuestos!$E$5),IF(Supuestos!$C$5="Triangular",IF(B112&lt;(Supuestos!$E$5-Supuestos!$D$5)/(Supuestos!$F$5-Supuestos!$D$5),Supuestos!$D$5+SQRT(B112*(Supuestos!$F$5-Supuestos!$D$5)*(Supuestos!$E$5-Supuestos!$D$5)),Supuestos!$F$5-SQRT((1-B112)*(Supuestos!$F$5-Supuestos!$D$5)*(Supuestos!$F$5-Supuestos!$E$5))),IF(Supuestos!$C$5="Uniforme",Supuestos!$D$5+B112*(Supuestos!$E$5-Supuestos!$D$5),IF(Supuestos!$C$5="Lognormal",LOGINV(B112,LN(Supuestos!$D$5)-LN(1+Supuestos!$E$5^2/Supuestos!$D$5^2)/2,SQRT(LN(1+Supuestos!$E$5^2/Supuestos!$D$5^2))),Supuestos!$D$5))))))</f>
        <v/>
      </c>
      <c r="J112" s="31">
        <f>MIN(IF(Supuestos!$H$6="",1E+99,Supuestos!$H$6),MAX(IF(Supuestos!$G$6="",-1E+99,Supuestos!$G$6),IF(Supuestos!$C$6="Normal",NORMINV(C112,Supuestos!$D$6,Supuestos!$E$6),IF(Supuestos!$C$6="Triangular",IF(C112&lt;(Supuestos!$E$6-Supuestos!$D$6)/(Supuestos!$F$6-Supuestos!$D$6),Supuestos!$D$6+SQRT(C112*(Supuestos!$F$6-Supuestos!$D$6)*(Supuestos!$E$6-Supuestos!$D$6)),Supuestos!$F$6-SQRT((1-C112)*(Supuestos!$F$6-Supuestos!$D$6)*(Supuestos!$F$6-Supuestos!$E$6))),IF(Supuestos!$C$6="Uniforme",Supuestos!$D$6+C112*(Supuestos!$E$6-Supuestos!$D$6),IF(Supuestos!$C$6="Lognormal",LOGINV(C112,LN(Supuestos!$D$6)-LN(1+Supuestos!$E$6^2/Supuestos!$D$6^2)/2,SQRT(LN(1+Supuestos!$E$6^2/Supuestos!$D$6^2))),Supuestos!$D$6))))))</f>
        <v/>
      </c>
      <c r="K112" s="32">
        <f>MIN(IF(Supuestos!$H$7="",1E+99,Supuestos!$H$7),MAX(IF(Supuestos!$G$7="",-1E+99,Supuestos!$G$7),IF(Supuestos!$C$7="Normal",NORMINV(D112,Supuestos!$D$7,Supuestos!$E$7),IF(Supuestos!$C$7="Triangular",IF(D112&lt;(Supuestos!$E$7-Supuestos!$D$7)/(Supuestos!$F$7-Supuestos!$D$7),Supuestos!$D$7+SQRT(D112*(Supuestos!$F$7-Supuestos!$D$7)*(Supuestos!$E$7-Supuestos!$D$7)),Supuestos!$F$7-SQRT((1-D112)*(Supuestos!$F$7-Supuestos!$D$7)*(Supuestos!$F$7-Supuestos!$E$7))),IF(Supuestos!$C$7="Uniforme",Supuestos!$D$7+D112*(Supuestos!$E$7-Supuestos!$D$7),IF(Supuestos!$C$7="Lognormal",LOGINV(D112,LN(Supuestos!$D$7)-LN(1+Supuestos!$E$7^2/Supuestos!$D$7^2)/2,SQRT(LN(1+Supuestos!$E$7^2/Supuestos!$D$7^2))),Supuestos!$D$7))))))</f>
        <v/>
      </c>
      <c r="L112" s="32">
        <f>MIN(IF(Supuestos!$H$8="",1E+99,Supuestos!$H$8),MAX(IF(Supuestos!$G$8="",-1E+99,Supuestos!$G$8),IF(Supuestos!$C$8="Normal",NORMINV(E112,Supuestos!$D$8,Supuestos!$E$8),IF(Supuestos!$C$8="Triangular",IF(E112&lt;(Supuestos!$E$8-Supuestos!$D$8)/(Supuestos!$F$8-Supuestos!$D$8),Supuestos!$D$8+SQRT(E112*(Supuestos!$F$8-Supuestos!$D$8)*(Supuestos!$E$8-Supuestos!$D$8)),Supuestos!$F$8-SQRT((1-E112)*(Supuestos!$F$8-Supuestos!$D$8)*(Supuestos!$F$8-Supuestos!$E$8))),IF(Supuestos!$C$8="Uniforme",Supuestos!$D$8+E112*(Supuestos!$E$8-Supuestos!$D$8),IF(Supuestos!$C$8="Lognormal",LOGINV(E112,LN(Supuestos!$D$8)-LN(1+Supuestos!$E$8^2/Supuestos!$D$8^2)/2,SQRT(LN(1+Supuestos!$E$8^2/Supuestos!$D$8^2))),Supuestos!$D$8))))))</f>
        <v/>
      </c>
      <c r="M112" s="32">
        <f>MIN(IF(Supuestos!$H$9="",1E+99,Supuestos!$H$9),MAX(IF(Supuestos!$G$9="",-1E+99,Supuestos!$G$9),IF(Supuestos!$C$9="Normal",NORMINV(F112,Supuestos!$D$9,Supuestos!$E$9),IF(Supuestos!$C$9="Triangular",IF(F112&lt;(Supuestos!$E$9-Supuestos!$D$9)/(Supuestos!$F$9-Supuestos!$D$9),Supuestos!$D$9+SQRT(F112*(Supuestos!$F$9-Supuestos!$D$9)*(Supuestos!$E$9-Supuestos!$D$9)),Supuestos!$F$9-SQRT((1-F112)*(Supuestos!$F$9-Supuestos!$D$9)*(Supuestos!$F$9-Supuestos!$E$9))),IF(Supuestos!$C$9="Uniforme",Supuestos!$D$9+F112*(Supuestos!$E$9-Supuestos!$D$9),IF(Supuestos!$C$9="Lognormal",LOGINV(F112,LN(Supuestos!$D$9)-LN(1+Supuestos!$E$9^2/Supuestos!$D$9^2)/2,SQRT(LN(1+Supuestos!$E$9^2/Supuestos!$D$9^2))),Supuestos!$D$9))))))</f>
        <v/>
      </c>
      <c r="N112" s="32">
        <f>MIN(IF(Supuestos!$H$10="",1E+99,Supuestos!$H$10),MAX(IF(Supuestos!$G$10="",-1E+99,Supuestos!$G$10),IF(Supuestos!$C$10="Normal",NORMINV(G112,Supuestos!$D$10,Supuestos!$E$10),IF(Supuestos!$C$10="Triangular",IF(G112&lt;(Supuestos!$E$10-Supuestos!$D$10)/(Supuestos!$F$10-Supuestos!$D$10),Supuestos!$D$10+SQRT(G112*(Supuestos!$F$10-Supuestos!$D$10)*(Supuestos!$E$10-Supuestos!$D$10)),Supuestos!$F$10-SQRT((1-G112)*(Supuestos!$F$10-Supuestos!$D$10)*(Supuestos!$F$10-Supuestos!$E$10))),IF(Supuestos!$C$10="Uniforme",Supuestos!$D$10+G112*(Supuestos!$E$10-Supuestos!$D$10),IF(Supuestos!$C$10="Lognormal",LOGINV(G112,LN(Supuestos!$D$10)-LN(1+Supuestos!$E$10^2/Supuestos!$D$10^2)/2,SQRT(LN(1+Supuestos!$E$10^2/Supuestos!$D$10^2))),Supuestos!$D$10))))))</f>
        <v/>
      </c>
      <c r="O112" s="31">
        <f>MIN(IF(Supuestos!$H$11="",1E+99,Supuestos!$H$11),MAX(IF(Supuestos!$G$11="",-1E+99,Supuestos!$G$11),IF(Supuestos!$C$11="Normal",NORMINV(H112,Supuestos!$D$11,Supuestos!$E$11),IF(Supuestos!$C$11="Triangular",IF(H112&lt;(Supuestos!$E$11-Supuestos!$D$11)/(Supuestos!$F$11-Supuestos!$D$11),Supuestos!$D$11+SQRT(H112*(Supuestos!$F$11-Supuestos!$D$11)*(Supuestos!$E$11-Supuestos!$D$11)),Supuestos!$F$11-SQRT((1-H112)*(Supuestos!$F$11-Supuestos!$D$11)*(Supuestos!$F$11-Supuestos!$E$11))),IF(Supuestos!$C$11="Uniforme",Supuestos!$D$11+H112*(Supuestos!$E$11-Supuestos!$D$11),IF(Supuestos!$C$11="Lognormal",LOGINV(H112,LN(Supuestos!$D$11)-LN(1+Supuestos!$E$11^2/Supuestos!$D$11^2)/2,SQRT(LN(1+Supuestos!$E$11^2/Supuestos!$D$11^2))),Supuestos!$D$11))))))</f>
        <v/>
      </c>
      <c r="P112" s="33">
        <f>-I112</f>
        <v/>
      </c>
      <c r="Q112" s="33">
        <f>$J112*(1+$K112)^(1-1)*(1-$L112)*(1-$M112)</f>
        <v/>
      </c>
      <c r="R112" s="33">
        <f>$J112*(1+$K112)^(2-1)*(1-$L112)*(1-$M112)</f>
        <v/>
      </c>
      <c r="S112" s="33">
        <f>$J112*(1+$K112)^(3-1)*(1-$L112)*(1-$M112)</f>
        <v/>
      </c>
      <c r="T112" s="33">
        <f>$J112*(1+$K112)^(4-1)*(1-$L112)*(1-$M112)</f>
        <v/>
      </c>
      <c r="U112" s="33">
        <f>$J112*(1+$K112)^(5-1)*(1-$L112)*(1-$M112)+$O112</f>
        <v/>
      </c>
      <c r="V112" s="33">
        <f>P112+NPV($N112,Q112:U112)</f>
        <v/>
      </c>
      <c r="W112" s="32">
        <f>IFERROR(IRR(P112:U112,0.1),"")</f>
        <v/>
      </c>
    </row>
    <row r="113">
      <c r="A113" s="14" t="n">
        <v>109</v>
      </c>
      <c r="B113" s="30">
        <f>RAND()*(1-2E-6)+1E-6</f>
        <v/>
      </c>
      <c r="C113" s="30">
        <f>RAND()*(1-2E-6)+1E-6</f>
        <v/>
      </c>
      <c r="D113" s="30">
        <f>RAND()*(1-2E-6)+1E-6</f>
        <v/>
      </c>
      <c r="E113" s="30">
        <f>RAND()*(1-2E-6)+1E-6</f>
        <v/>
      </c>
      <c r="F113" s="30">
        <f>RAND()*(1-2E-6)+1E-6</f>
        <v/>
      </c>
      <c r="G113" s="30">
        <f>RAND()*(1-2E-6)+1E-6</f>
        <v/>
      </c>
      <c r="H113" s="30">
        <f>RAND()*(1-2E-6)+1E-6</f>
        <v/>
      </c>
      <c r="I113" s="31">
        <f>MIN(IF(Supuestos!$H$5="",1E+99,Supuestos!$H$5),MAX(IF(Supuestos!$G$5="",-1E+99,Supuestos!$G$5),IF(Supuestos!$C$5="Normal",NORMINV(B113,Supuestos!$D$5,Supuestos!$E$5),IF(Supuestos!$C$5="Triangular",IF(B113&lt;(Supuestos!$E$5-Supuestos!$D$5)/(Supuestos!$F$5-Supuestos!$D$5),Supuestos!$D$5+SQRT(B113*(Supuestos!$F$5-Supuestos!$D$5)*(Supuestos!$E$5-Supuestos!$D$5)),Supuestos!$F$5-SQRT((1-B113)*(Supuestos!$F$5-Supuestos!$D$5)*(Supuestos!$F$5-Supuestos!$E$5))),IF(Supuestos!$C$5="Uniforme",Supuestos!$D$5+B113*(Supuestos!$E$5-Supuestos!$D$5),IF(Supuestos!$C$5="Lognormal",LOGINV(B113,LN(Supuestos!$D$5)-LN(1+Supuestos!$E$5^2/Supuestos!$D$5^2)/2,SQRT(LN(1+Supuestos!$E$5^2/Supuestos!$D$5^2))),Supuestos!$D$5))))))</f>
        <v/>
      </c>
      <c r="J113" s="31">
        <f>MIN(IF(Supuestos!$H$6="",1E+99,Supuestos!$H$6),MAX(IF(Supuestos!$G$6="",-1E+99,Supuestos!$G$6),IF(Supuestos!$C$6="Normal",NORMINV(C113,Supuestos!$D$6,Supuestos!$E$6),IF(Supuestos!$C$6="Triangular",IF(C113&lt;(Supuestos!$E$6-Supuestos!$D$6)/(Supuestos!$F$6-Supuestos!$D$6),Supuestos!$D$6+SQRT(C113*(Supuestos!$F$6-Supuestos!$D$6)*(Supuestos!$E$6-Supuestos!$D$6)),Supuestos!$F$6-SQRT((1-C113)*(Supuestos!$F$6-Supuestos!$D$6)*(Supuestos!$F$6-Supuestos!$E$6))),IF(Supuestos!$C$6="Uniforme",Supuestos!$D$6+C113*(Supuestos!$E$6-Supuestos!$D$6),IF(Supuestos!$C$6="Lognormal",LOGINV(C113,LN(Supuestos!$D$6)-LN(1+Supuestos!$E$6^2/Supuestos!$D$6^2)/2,SQRT(LN(1+Supuestos!$E$6^2/Supuestos!$D$6^2))),Supuestos!$D$6))))))</f>
        <v/>
      </c>
      <c r="K113" s="32">
        <f>MIN(IF(Supuestos!$H$7="",1E+99,Supuestos!$H$7),MAX(IF(Supuestos!$G$7="",-1E+99,Supuestos!$G$7),IF(Supuestos!$C$7="Normal",NORMINV(D113,Supuestos!$D$7,Supuestos!$E$7),IF(Supuestos!$C$7="Triangular",IF(D113&lt;(Supuestos!$E$7-Supuestos!$D$7)/(Supuestos!$F$7-Supuestos!$D$7),Supuestos!$D$7+SQRT(D113*(Supuestos!$F$7-Supuestos!$D$7)*(Supuestos!$E$7-Supuestos!$D$7)),Supuestos!$F$7-SQRT((1-D113)*(Supuestos!$F$7-Supuestos!$D$7)*(Supuestos!$F$7-Supuestos!$E$7))),IF(Supuestos!$C$7="Uniforme",Supuestos!$D$7+D113*(Supuestos!$E$7-Supuestos!$D$7),IF(Supuestos!$C$7="Lognormal",LOGINV(D113,LN(Supuestos!$D$7)-LN(1+Supuestos!$E$7^2/Supuestos!$D$7^2)/2,SQRT(LN(1+Supuestos!$E$7^2/Supuestos!$D$7^2))),Supuestos!$D$7))))))</f>
        <v/>
      </c>
      <c r="L113" s="32">
        <f>MIN(IF(Supuestos!$H$8="",1E+99,Supuestos!$H$8),MAX(IF(Supuestos!$G$8="",-1E+99,Supuestos!$G$8),IF(Supuestos!$C$8="Normal",NORMINV(E113,Supuestos!$D$8,Supuestos!$E$8),IF(Supuestos!$C$8="Triangular",IF(E113&lt;(Supuestos!$E$8-Supuestos!$D$8)/(Supuestos!$F$8-Supuestos!$D$8),Supuestos!$D$8+SQRT(E113*(Supuestos!$F$8-Supuestos!$D$8)*(Supuestos!$E$8-Supuestos!$D$8)),Supuestos!$F$8-SQRT((1-E113)*(Supuestos!$F$8-Supuestos!$D$8)*(Supuestos!$F$8-Supuestos!$E$8))),IF(Supuestos!$C$8="Uniforme",Supuestos!$D$8+E113*(Supuestos!$E$8-Supuestos!$D$8),IF(Supuestos!$C$8="Lognormal",LOGINV(E113,LN(Supuestos!$D$8)-LN(1+Supuestos!$E$8^2/Supuestos!$D$8^2)/2,SQRT(LN(1+Supuestos!$E$8^2/Supuestos!$D$8^2))),Supuestos!$D$8))))))</f>
        <v/>
      </c>
      <c r="M113" s="32">
        <f>MIN(IF(Supuestos!$H$9="",1E+99,Supuestos!$H$9),MAX(IF(Supuestos!$G$9="",-1E+99,Supuestos!$G$9),IF(Supuestos!$C$9="Normal",NORMINV(F113,Supuestos!$D$9,Supuestos!$E$9),IF(Supuestos!$C$9="Triangular",IF(F113&lt;(Supuestos!$E$9-Supuestos!$D$9)/(Supuestos!$F$9-Supuestos!$D$9),Supuestos!$D$9+SQRT(F113*(Supuestos!$F$9-Supuestos!$D$9)*(Supuestos!$E$9-Supuestos!$D$9)),Supuestos!$F$9-SQRT((1-F113)*(Supuestos!$F$9-Supuestos!$D$9)*(Supuestos!$F$9-Supuestos!$E$9))),IF(Supuestos!$C$9="Uniforme",Supuestos!$D$9+F113*(Supuestos!$E$9-Supuestos!$D$9),IF(Supuestos!$C$9="Lognormal",LOGINV(F113,LN(Supuestos!$D$9)-LN(1+Supuestos!$E$9^2/Supuestos!$D$9^2)/2,SQRT(LN(1+Supuestos!$E$9^2/Supuestos!$D$9^2))),Supuestos!$D$9))))))</f>
        <v/>
      </c>
      <c r="N113" s="32">
        <f>MIN(IF(Supuestos!$H$10="",1E+99,Supuestos!$H$10),MAX(IF(Supuestos!$G$10="",-1E+99,Supuestos!$G$10),IF(Supuestos!$C$10="Normal",NORMINV(G113,Supuestos!$D$10,Supuestos!$E$10),IF(Supuestos!$C$10="Triangular",IF(G113&lt;(Supuestos!$E$10-Supuestos!$D$10)/(Supuestos!$F$10-Supuestos!$D$10),Supuestos!$D$10+SQRT(G113*(Supuestos!$F$10-Supuestos!$D$10)*(Supuestos!$E$10-Supuestos!$D$10)),Supuestos!$F$10-SQRT((1-G113)*(Supuestos!$F$10-Supuestos!$D$10)*(Supuestos!$F$10-Supuestos!$E$10))),IF(Supuestos!$C$10="Uniforme",Supuestos!$D$10+G113*(Supuestos!$E$10-Supuestos!$D$10),IF(Supuestos!$C$10="Lognormal",LOGINV(G113,LN(Supuestos!$D$10)-LN(1+Supuestos!$E$10^2/Supuestos!$D$10^2)/2,SQRT(LN(1+Supuestos!$E$10^2/Supuestos!$D$10^2))),Supuestos!$D$10))))))</f>
        <v/>
      </c>
      <c r="O113" s="31">
        <f>MIN(IF(Supuestos!$H$11="",1E+99,Supuestos!$H$11),MAX(IF(Supuestos!$G$11="",-1E+99,Supuestos!$G$11),IF(Supuestos!$C$11="Normal",NORMINV(H113,Supuestos!$D$11,Supuestos!$E$11),IF(Supuestos!$C$11="Triangular",IF(H113&lt;(Supuestos!$E$11-Supuestos!$D$11)/(Supuestos!$F$11-Supuestos!$D$11),Supuestos!$D$11+SQRT(H113*(Supuestos!$F$11-Supuestos!$D$11)*(Supuestos!$E$11-Supuestos!$D$11)),Supuestos!$F$11-SQRT((1-H113)*(Supuestos!$F$11-Supuestos!$D$11)*(Supuestos!$F$11-Supuestos!$E$11))),IF(Supuestos!$C$11="Uniforme",Supuestos!$D$11+H113*(Supuestos!$E$11-Supuestos!$D$11),IF(Supuestos!$C$11="Lognormal",LOGINV(H113,LN(Supuestos!$D$11)-LN(1+Supuestos!$E$11^2/Supuestos!$D$11^2)/2,SQRT(LN(1+Supuestos!$E$11^2/Supuestos!$D$11^2))),Supuestos!$D$11))))))</f>
        <v/>
      </c>
      <c r="P113" s="33">
        <f>-I113</f>
        <v/>
      </c>
      <c r="Q113" s="33">
        <f>$J113*(1+$K113)^(1-1)*(1-$L113)*(1-$M113)</f>
        <v/>
      </c>
      <c r="R113" s="33">
        <f>$J113*(1+$K113)^(2-1)*(1-$L113)*(1-$M113)</f>
        <v/>
      </c>
      <c r="S113" s="33">
        <f>$J113*(1+$K113)^(3-1)*(1-$L113)*(1-$M113)</f>
        <v/>
      </c>
      <c r="T113" s="33">
        <f>$J113*(1+$K113)^(4-1)*(1-$L113)*(1-$M113)</f>
        <v/>
      </c>
      <c r="U113" s="33">
        <f>$J113*(1+$K113)^(5-1)*(1-$L113)*(1-$M113)+$O113</f>
        <v/>
      </c>
      <c r="V113" s="33">
        <f>P113+NPV($N113,Q113:U113)</f>
        <v/>
      </c>
      <c r="W113" s="32">
        <f>IFERROR(IRR(P113:U113,0.1),"")</f>
        <v/>
      </c>
    </row>
    <row r="114">
      <c r="A114" s="14" t="n">
        <v>110</v>
      </c>
      <c r="B114" s="30">
        <f>RAND()*(1-2E-6)+1E-6</f>
        <v/>
      </c>
      <c r="C114" s="30">
        <f>RAND()*(1-2E-6)+1E-6</f>
        <v/>
      </c>
      <c r="D114" s="30">
        <f>RAND()*(1-2E-6)+1E-6</f>
        <v/>
      </c>
      <c r="E114" s="30">
        <f>RAND()*(1-2E-6)+1E-6</f>
        <v/>
      </c>
      <c r="F114" s="30">
        <f>RAND()*(1-2E-6)+1E-6</f>
        <v/>
      </c>
      <c r="G114" s="30">
        <f>RAND()*(1-2E-6)+1E-6</f>
        <v/>
      </c>
      <c r="H114" s="30">
        <f>RAND()*(1-2E-6)+1E-6</f>
        <v/>
      </c>
      <c r="I114" s="31">
        <f>MIN(IF(Supuestos!$H$5="",1E+99,Supuestos!$H$5),MAX(IF(Supuestos!$G$5="",-1E+99,Supuestos!$G$5),IF(Supuestos!$C$5="Normal",NORMINV(B114,Supuestos!$D$5,Supuestos!$E$5),IF(Supuestos!$C$5="Triangular",IF(B114&lt;(Supuestos!$E$5-Supuestos!$D$5)/(Supuestos!$F$5-Supuestos!$D$5),Supuestos!$D$5+SQRT(B114*(Supuestos!$F$5-Supuestos!$D$5)*(Supuestos!$E$5-Supuestos!$D$5)),Supuestos!$F$5-SQRT((1-B114)*(Supuestos!$F$5-Supuestos!$D$5)*(Supuestos!$F$5-Supuestos!$E$5))),IF(Supuestos!$C$5="Uniforme",Supuestos!$D$5+B114*(Supuestos!$E$5-Supuestos!$D$5),IF(Supuestos!$C$5="Lognormal",LOGINV(B114,LN(Supuestos!$D$5)-LN(1+Supuestos!$E$5^2/Supuestos!$D$5^2)/2,SQRT(LN(1+Supuestos!$E$5^2/Supuestos!$D$5^2))),Supuestos!$D$5))))))</f>
        <v/>
      </c>
      <c r="J114" s="31">
        <f>MIN(IF(Supuestos!$H$6="",1E+99,Supuestos!$H$6),MAX(IF(Supuestos!$G$6="",-1E+99,Supuestos!$G$6),IF(Supuestos!$C$6="Normal",NORMINV(C114,Supuestos!$D$6,Supuestos!$E$6),IF(Supuestos!$C$6="Triangular",IF(C114&lt;(Supuestos!$E$6-Supuestos!$D$6)/(Supuestos!$F$6-Supuestos!$D$6),Supuestos!$D$6+SQRT(C114*(Supuestos!$F$6-Supuestos!$D$6)*(Supuestos!$E$6-Supuestos!$D$6)),Supuestos!$F$6-SQRT((1-C114)*(Supuestos!$F$6-Supuestos!$D$6)*(Supuestos!$F$6-Supuestos!$E$6))),IF(Supuestos!$C$6="Uniforme",Supuestos!$D$6+C114*(Supuestos!$E$6-Supuestos!$D$6),IF(Supuestos!$C$6="Lognormal",LOGINV(C114,LN(Supuestos!$D$6)-LN(1+Supuestos!$E$6^2/Supuestos!$D$6^2)/2,SQRT(LN(1+Supuestos!$E$6^2/Supuestos!$D$6^2))),Supuestos!$D$6))))))</f>
        <v/>
      </c>
      <c r="K114" s="32">
        <f>MIN(IF(Supuestos!$H$7="",1E+99,Supuestos!$H$7),MAX(IF(Supuestos!$G$7="",-1E+99,Supuestos!$G$7),IF(Supuestos!$C$7="Normal",NORMINV(D114,Supuestos!$D$7,Supuestos!$E$7),IF(Supuestos!$C$7="Triangular",IF(D114&lt;(Supuestos!$E$7-Supuestos!$D$7)/(Supuestos!$F$7-Supuestos!$D$7),Supuestos!$D$7+SQRT(D114*(Supuestos!$F$7-Supuestos!$D$7)*(Supuestos!$E$7-Supuestos!$D$7)),Supuestos!$F$7-SQRT((1-D114)*(Supuestos!$F$7-Supuestos!$D$7)*(Supuestos!$F$7-Supuestos!$E$7))),IF(Supuestos!$C$7="Uniforme",Supuestos!$D$7+D114*(Supuestos!$E$7-Supuestos!$D$7),IF(Supuestos!$C$7="Lognormal",LOGINV(D114,LN(Supuestos!$D$7)-LN(1+Supuestos!$E$7^2/Supuestos!$D$7^2)/2,SQRT(LN(1+Supuestos!$E$7^2/Supuestos!$D$7^2))),Supuestos!$D$7))))))</f>
        <v/>
      </c>
      <c r="L114" s="32">
        <f>MIN(IF(Supuestos!$H$8="",1E+99,Supuestos!$H$8),MAX(IF(Supuestos!$G$8="",-1E+99,Supuestos!$G$8),IF(Supuestos!$C$8="Normal",NORMINV(E114,Supuestos!$D$8,Supuestos!$E$8),IF(Supuestos!$C$8="Triangular",IF(E114&lt;(Supuestos!$E$8-Supuestos!$D$8)/(Supuestos!$F$8-Supuestos!$D$8),Supuestos!$D$8+SQRT(E114*(Supuestos!$F$8-Supuestos!$D$8)*(Supuestos!$E$8-Supuestos!$D$8)),Supuestos!$F$8-SQRT((1-E114)*(Supuestos!$F$8-Supuestos!$D$8)*(Supuestos!$F$8-Supuestos!$E$8))),IF(Supuestos!$C$8="Uniforme",Supuestos!$D$8+E114*(Supuestos!$E$8-Supuestos!$D$8),IF(Supuestos!$C$8="Lognormal",LOGINV(E114,LN(Supuestos!$D$8)-LN(1+Supuestos!$E$8^2/Supuestos!$D$8^2)/2,SQRT(LN(1+Supuestos!$E$8^2/Supuestos!$D$8^2))),Supuestos!$D$8))))))</f>
        <v/>
      </c>
      <c r="M114" s="32">
        <f>MIN(IF(Supuestos!$H$9="",1E+99,Supuestos!$H$9),MAX(IF(Supuestos!$G$9="",-1E+99,Supuestos!$G$9),IF(Supuestos!$C$9="Normal",NORMINV(F114,Supuestos!$D$9,Supuestos!$E$9),IF(Supuestos!$C$9="Triangular",IF(F114&lt;(Supuestos!$E$9-Supuestos!$D$9)/(Supuestos!$F$9-Supuestos!$D$9),Supuestos!$D$9+SQRT(F114*(Supuestos!$F$9-Supuestos!$D$9)*(Supuestos!$E$9-Supuestos!$D$9)),Supuestos!$F$9-SQRT((1-F114)*(Supuestos!$F$9-Supuestos!$D$9)*(Supuestos!$F$9-Supuestos!$E$9))),IF(Supuestos!$C$9="Uniforme",Supuestos!$D$9+F114*(Supuestos!$E$9-Supuestos!$D$9),IF(Supuestos!$C$9="Lognormal",LOGINV(F114,LN(Supuestos!$D$9)-LN(1+Supuestos!$E$9^2/Supuestos!$D$9^2)/2,SQRT(LN(1+Supuestos!$E$9^2/Supuestos!$D$9^2))),Supuestos!$D$9))))))</f>
        <v/>
      </c>
      <c r="N114" s="32">
        <f>MIN(IF(Supuestos!$H$10="",1E+99,Supuestos!$H$10),MAX(IF(Supuestos!$G$10="",-1E+99,Supuestos!$G$10),IF(Supuestos!$C$10="Normal",NORMINV(G114,Supuestos!$D$10,Supuestos!$E$10),IF(Supuestos!$C$10="Triangular",IF(G114&lt;(Supuestos!$E$10-Supuestos!$D$10)/(Supuestos!$F$10-Supuestos!$D$10),Supuestos!$D$10+SQRT(G114*(Supuestos!$F$10-Supuestos!$D$10)*(Supuestos!$E$10-Supuestos!$D$10)),Supuestos!$F$10-SQRT((1-G114)*(Supuestos!$F$10-Supuestos!$D$10)*(Supuestos!$F$10-Supuestos!$E$10))),IF(Supuestos!$C$10="Uniforme",Supuestos!$D$10+G114*(Supuestos!$E$10-Supuestos!$D$10),IF(Supuestos!$C$10="Lognormal",LOGINV(G114,LN(Supuestos!$D$10)-LN(1+Supuestos!$E$10^2/Supuestos!$D$10^2)/2,SQRT(LN(1+Supuestos!$E$10^2/Supuestos!$D$10^2))),Supuestos!$D$10))))))</f>
        <v/>
      </c>
      <c r="O114" s="31">
        <f>MIN(IF(Supuestos!$H$11="",1E+99,Supuestos!$H$11),MAX(IF(Supuestos!$G$11="",-1E+99,Supuestos!$G$11),IF(Supuestos!$C$11="Normal",NORMINV(H114,Supuestos!$D$11,Supuestos!$E$11),IF(Supuestos!$C$11="Triangular",IF(H114&lt;(Supuestos!$E$11-Supuestos!$D$11)/(Supuestos!$F$11-Supuestos!$D$11),Supuestos!$D$11+SQRT(H114*(Supuestos!$F$11-Supuestos!$D$11)*(Supuestos!$E$11-Supuestos!$D$11)),Supuestos!$F$11-SQRT((1-H114)*(Supuestos!$F$11-Supuestos!$D$11)*(Supuestos!$F$11-Supuestos!$E$11))),IF(Supuestos!$C$11="Uniforme",Supuestos!$D$11+H114*(Supuestos!$E$11-Supuestos!$D$11),IF(Supuestos!$C$11="Lognormal",LOGINV(H114,LN(Supuestos!$D$11)-LN(1+Supuestos!$E$11^2/Supuestos!$D$11^2)/2,SQRT(LN(1+Supuestos!$E$11^2/Supuestos!$D$11^2))),Supuestos!$D$11))))))</f>
        <v/>
      </c>
      <c r="P114" s="33">
        <f>-I114</f>
        <v/>
      </c>
      <c r="Q114" s="33">
        <f>$J114*(1+$K114)^(1-1)*(1-$L114)*(1-$M114)</f>
        <v/>
      </c>
      <c r="R114" s="33">
        <f>$J114*(1+$K114)^(2-1)*(1-$L114)*(1-$M114)</f>
        <v/>
      </c>
      <c r="S114" s="33">
        <f>$J114*(1+$K114)^(3-1)*(1-$L114)*(1-$M114)</f>
        <v/>
      </c>
      <c r="T114" s="33">
        <f>$J114*(1+$K114)^(4-1)*(1-$L114)*(1-$M114)</f>
        <v/>
      </c>
      <c r="U114" s="33">
        <f>$J114*(1+$K114)^(5-1)*(1-$L114)*(1-$M114)+$O114</f>
        <v/>
      </c>
      <c r="V114" s="33">
        <f>P114+NPV($N114,Q114:U114)</f>
        <v/>
      </c>
      <c r="W114" s="32">
        <f>IFERROR(IRR(P114:U114,0.1),"")</f>
        <v/>
      </c>
    </row>
    <row r="115">
      <c r="A115" s="14" t="n">
        <v>111</v>
      </c>
      <c r="B115" s="30">
        <f>RAND()*(1-2E-6)+1E-6</f>
        <v/>
      </c>
      <c r="C115" s="30">
        <f>RAND()*(1-2E-6)+1E-6</f>
        <v/>
      </c>
      <c r="D115" s="30">
        <f>RAND()*(1-2E-6)+1E-6</f>
        <v/>
      </c>
      <c r="E115" s="30">
        <f>RAND()*(1-2E-6)+1E-6</f>
        <v/>
      </c>
      <c r="F115" s="30">
        <f>RAND()*(1-2E-6)+1E-6</f>
        <v/>
      </c>
      <c r="G115" s="30">
        <f>RAND()*(1-2E-6)+1E-6</f>
        <v/>
      </c>
      <c r="H115" s="30">
        <f>RAND()*(1-2E-6)+1E-6</f>
        <v/>
      </c>
      <c r="I115" s="31">
        <f>MIN(IF(Supuestos!$H$5="",1E+99,Supuestos!$H$5),MAX(IF(Supuestos!$G$5="",-1E+99,Supuestos!$G$5),IF(Supuestos!$C$5="Normal",NORMINV(B115,Supuestos!$D$5,Supuestos!$E$5),IF(Supuestos!$C$5="Triangular",IF(B115&lt;(Supuestos!$E$5-Supuestos!$D$5)/(Supuestos!$F$5-Supuestos!$D$5),Supuestos!$D$5+SQRT(B115*(Supuestos!$F$5-Supuestos!$D$5)*(Supuestos!$E$5-Supuestos!$D$5)),Supuestos!$F$5-SQRT((1-B115)*(Supuestos!$F$5-Supuestos!$D$5)*(Supuestos!$F$5-Supuestos!$E$5))),IF(Supuestos!$C$5="Uniforme",Supuestos!$D$5+B115*(Supuestos!$E$5-Supuestos!$D$5),IF(Supuestos!$C$5="Lognormal",LOGINV(B115,LN(Supuestos!$D$5)-LN(1+Supuestos!$E$5^2/Supuestos!$D$5^2)/2,SQRT(LN(1+Supuestos!$E$5^2/Supuestos!$D$5^2))),Supuestos!$D$5))))))</f>
        <v/>
      </c>
      <c r="J115" s="31">
        <f>MIN(IF(Supuestos!$H$6="",1E+99,Supuestos!$H$6),MAX(IF(Supuestos!$G$6="",-1E+99,Supuestos!$G$6),IF(Supuestos!$C$6="Normal",NORMINV(C115,Supuestos!$D$6,Supuestos!$E$6),IF(Supuestos!$C$6="Triangular",IF(C115&lt;(Supuestos!$E$6-Supuestos!$D$6)/(Supuestos!$F$6-Supuestos!$D$6),Supuestos!$D$6+SQRT(C115*(Supuestos!$F$6-Supuestos!$D$6)*(Supuestos!$E$6-Supuestos!$D$6)),Supuestos!$F$6-SQRT((1-C115)*(Supuestos!$F$6-Supuestos!$D$6)*(Supuestos!$F$6-Supuestos!$E$6))),IF(Supuestos!$C$6="Uniforme",Supuestos!$D$6+C115*(Supuestos!$E$6-Supuestos!$D$6),IF(Supuestos!$C$6="Lognormal",LOGINV(C115,LN(Supuestos!$D$6)-LN(1+Supuestos!$E$6^2/Supuestos!$D$6^2)/2,SQRT(LN(1+Supuestos!$E$6^2/Supuestos!$D$6^2))),Supuestos!$D$6))))))</f>
        <v/>
      </c>
      <c r="K115" s="32">
        <f>MIN(IF(Supuestos!$H$7="",1E+99,Supuestos!$H$7),MAX(IF(Supuestos!$G$7="",-1E+99,Supuestos!$G$7),IF(Supuestos!$C$7="Normal",NORMINV(D115,Supuestos!$D$7,Supuestos!$E$7),IF(Supuestos!$C$7="Triangular",IF(D115&lt;(Supuestos!$E$7-Supuestos!$D$7)/(Supuestos!$F$7-Supuestos!$D$7),Supuestos!$D$7+SQRT(D115*(Supuestos!$F$7-Supuestos!$D$7)*(Supuestos!$E$7-Supuestos!$D$7)),Supuestos!$F$7-SQRT((1-D115)*(Supuestos!$F$7-Supuestos!$D$7)*(Supuestos!$F$7-Supuestos!$E$7))),IF(Supuestos!$C$7="Uniforme",Supuestos!$D$7+D115*(Supuestos!$E$7-Supuestos!$D$7),IF(Supuestos!$C$7="Lognormal",LOGINV(D115,LN(Supuestos!$D$7)-LN(1+Supuestos!$E$7^2/Supuestos!$D$7^2)/2,SQRT(LN(1+Supuestos!$E$7^2/Supuestos!$D$7^2))),Supuestos!$D$7))))))</f>
        <v/>
      </c>
      <c r="L115" s="32">
        <f>MIN(IF(Supuestos!$H$8="",1E+99,Supuestos!$H$8),MAX(IF(Supuestos!$G$8="",-1E+99,Supuestos!$G$8),IF(Supuestos!$C$8="Normal",NORMINV(E115,Supuestos!$D$8,Supuestos!$E$8),IF(Supuestos!$C$8="Triangular",IF(E115&lt;(Supuestos!$E$8-Supuestos!$D$8)/(Supuestos!$F$8-Supuestos!$D$8),Supuestos!$D$8+SQRT(E115*(Supuestos!$F$8-Supuestos!$D$8)*(Supuestos!$E$8-Supuestos!$D$8)),Supuestos!$F$8-SQRT((1-E115)*(Supuestos!$F$8-Supuestos!$D$8)*(Supuestos!$F$8-Supuestos!$E$8))),IF(Supuestos!$C$8="Uniforme",Supuestos!$D$8+E115*(Supuestos!$E$8-Supuestos!$D$8),IF(Supuestos!$C$8="Lognormal",LOGINV(E115,LN(Supuestos!$D$8)-LN(1+Supuestos!$E$8^2/Supuestos!$D$8^2)/2,SQRT(LN(1+Supuestos!$E$8^2/Supuestos!$D$8^2))),Supuestos!$D$8))))))</f>
        <v/>
      </c>
      <c r="M115" s="32">
        <f>MIN(IF(Supuestos!$H$9="",1E+99,Supuestos!$H$9),MAX(IF(Supuestos!$G$9="",-1E+99,Supuestos!$G$9),IF(Supuestos!$C$9="Normal",NORMINV(F115,Supuestos!$D$9,Supuestos!$E$9),IF(Supuestos!$C$9="Triangular",IF(F115&lt;(Supuestos!$E$9-Supuestos!$D$9)/(Supuestos!$F$9-Supuestos!$D$9),Supuestos!$D$9+SQRT(F115*(Supuestos!$F$9-Supuestos!$D$9)*(Supuestos!$E$9-Supuestos!$D$9)),Supuestos!$F$9-SQRT((1-F115)*(Supuestos!$F$9-Supuestos!$D$9)*(Supuestos!$F$9-Supuestos!$E$9))),IF(Supuestos!$C$9="Uniforme",Supuestos!$D$9+F115*(Supuestos!$E$9-Supuestos!$D$9),IF(Supuestos!$C$9="Lognormal",LOGINV(F115,LN(Supuestos!$D$9)-LN(1+Supuestos!$E$9^2/Supuestos!$D$9^2)/2,SQRT(LN(1+Supuestos!$E$9^2/Supuestos!$D$9^2))),Supuestos!$D$9))))))</f>
        <v/>
      </c>
      <c r="N115" s="32">
        <f>MIN(IF(Supuestos!$H$10="",1E+99,Supuestos!$H$10),MAX(IF(Supuestos!$G$10="",-1E+99,Supuestos!$G$10),IF(Supuestos!$C$10="Normal",NORMINV(G115,Supuestos!$D$10,Supuestos!$E$10),IF(Supuestos!$C$10="Triangular",IF(G115&lt;(Supuestos!$E$10-Supuestos!$D$10)/(Supuestos!$F$10-Supuestos!$D$10),Supuestos!$D$10+SQRT(G115*(Supuestos!$F$10-Supuestos!$D$10)*(Supuestos!$E$10-Supuestos!$D$10)),Supuestos!$F$10-SQRT((1-G115)*(Supuestos!$F$10-Supuestos!$D$10)*(Supuestos!$F$10-Supuestos!$E$10))),IF(Supuestos!$C$10="Uniforme",Supuestos!$D$10+G115*(Supuestos!$E$10-Supuestos!$D$10),IF(Supuestos!$C$10="Lognormal",LOGINV(G115,LN(Supuestos!$D$10)-LN(1+Supuestos!$E$10^2/Supuestos!$D$10^2)/2,SQRT(LN(1+Supuestos!$E$10^2/Supuestos!$D$10^2))),Supuestos!$D$10))))))</f>
        <v/>
      </c>
      <c r="O115" s="31">
        <f>MIN(IF(Supuestos!$H$11="",1E+99,Supuestos!$H$11),MAX(IF(Supuestos!$G$11="",-1E+99,Supuestos!$G$11),IF(Supuestos!$C$11="Normal",NORMINV(H115,Supuestos!$D$11,Supuestos!$E$11),IF(Supuestos!$C$11="Triangular",IF(H115&lt;(Supuestos!$E$11-Supuestos!$D$11)/(Supuestos!$F$11-Supuestos!$D$11),Supuestos!$D$11+SQRT(H115*(Supuestos!$F$11-Supuestos!$D$11)*(Supuestos!$E$11-Supuestos!$D$11)),Supuestos!$F$11-SQRT((1-H115)*(Supuestos!$F$11-Supuestos!$D$11)*(Supuestos!$F$11-Supuestos!$E$11))),IF(Supuestos!$C$11="Uniforme",Supuestos!$D$11+H115*(Supuestos!$E$11-Supuestos!$D$11),IF(Supuestos!$C$11="Lognormal",LOGINV(H115,LN(Supuestos!$D$11)-LN(1+Supuestos!$E$11^2/Supuestos!$D$11^2)/2,SQRT(LN(1+Supuestos!$E$11^2/Supuestos!$D$11^2))),Supuestos!$D$11))))))</f>
        <v/>
      </c>
      <c r="P115" s="33">
        <f>-I115</f>
        <v/>
      </c>
      <c r="Q115" s="33">
        <f>$J115*(1+$K115)^(1-1)*(1-$L115)*(1-$M115)</f>
        <v/>
      </c>
      <c r="R115" s="33">
        <f>$J115*(1+$K115)^(2-1)*(1-$L115)*(1-$M115)</f>
        <v/>
      </c>
      <c r="S115" s="33">
        <f>$J115*(1+$K115)^(3-1)*(1-$L115)*(1-$M115)</f>
        <v/>
      </c>
      <c r="T115" s="33">
        <f>$J115*(1+$K115)^(4-1)*(1-$L115)*(1-$M115)</f>
        <v/>
      </c>
      <c r="U115" s="33">
        <f>$J115*(1+$K115)^(5-1)*(1-$L115)*(1-$M115)+$O115</f>
        <v/>
      </c>
      <c r="V115" s="33">
        <f>P115+NPV($N115,Q115:U115)</f>
        <v/>
      </c>
      <c r="W115" s="32">
        <f>IFERROR(IRR(P115:U115,0.1),"")</f>
        <v/>
      </c>
    </row>
    <row r="116">
      <c r="A116" s="14" t="n">
        <v>112</v>
      </c>
      <c r="B116" s="30">
        <f>RAND()*(1-2E-6)+1E-6</f>
        <v/>
      </c>
      <c r="C116" s="30">
        <f>RAND()*(1-2E-6)+1E-6</f>
        <v/>
      </c>
      <c r="D116" s="30">
        <f>RAND()*(1-2E-6)+1E-6</f>
        <v/>
      </c>
      <c r="E116" s="30">
        <f>RAND()*(1-2E-6)+1E-6</f>
        <v/>
      </c>
      <c r="F116" s="30">
        <f>RAND()*(1-2E-6)+1E-6</f>
        <v/>
      </c>
      <c r="G116" s="30">
        <f>RAND()*(1-2E-6)+1E-6</f>
        <v/>
      </c>
      <c r="H116" s="30">
        <f>RAND()*(1-2E-6)+1E-6</f>
        <v/>
      </c>
      <c r="I116" s="31">
        <f>MIN(IF(Supuestos!$H$5="",1E+99,Supuestos!$H$5),MAX(IF(Supuestos!$G$5="",-1E+99,Supuestos!$G$5),IF(Supuestos!$C$5="Normal",NORMINV(B116,Supuestos!$D$5,Supuestos!$E$5),IF(Supuestos!$C$5="Triangular",IF(B116&lt;(Supuestos!$E$5-Supuestos!$D$5)/(Supuestos!$F$5-Supuestos!$D$5),Supuestos!$D$5+SQRT(B116*(Supuestos!$F$5-Supuestos!$D$5)*(Supuestos!$E$5-Supuestos!$D$5)),Supuestos!$F$5-SQRT((1-B116)*(Supuestos!$F$5-Supuestos!$D$5)*(Supuestos!$F$5-Supuestos!$E$5))),IF(Supuestos!$C$5="Uniforme",Supuestos!$D$5+B116*(Supuestos!$E$5-Supuestos!$D$5),IF(Supuestos!$C$5="Lognormal",LOGINV(B116,LN(Supuestos!$D$5)-LN(1+Supuestos!$E$5^2/Supuestos!$D$5^2)/2,SQRT(LN(1+Supuestos!$E$5^2/Supuestos!$D$5^2))),Supuestos!$D$5))))))</f>
        <v/>
      </c>
      <c r="J116" s="31">
        <f>MIN(IF(Supuestos!$H$6="",1E+99,Supuestos!$H$6),MAX(IF(Supuestos!$G$6="",-1E+99,Supuestos!$G$6),IF(Supuestos!$C$6="Normal",NORMINV(C116,Supuestos!$D$6,Supuestos!$E$6),IF(Supuestos!$C$6="Triangular",IF(C116&lt;(Supuestos!$E$6-Supuestos!$D$6)/(Supuestos!$F$6-Supuestos!$D$6),Supuestos!$D$6+SQRT(C116*(Supuestos!$F$6-Supuestos!$D$6)*(Supuestos!$E$6-Supuestos!$D$6)),Supuestos!$F$6-SQRT((1-C116)*(Supuestos!$F$6-Supuestos!$D$6)*(Supuestos!$F$6-Supuestos!$E$6))),IF(Supuestos!$C$6="Uniforme",Supuestos!$D$6+C116*(Supuestos!$E$6-Supuestos!$D$6),IF(Supuestos!$C$6="Lognormal",LOGINV(C116,LN(Supuestos!$D$6)-LN(1+Supuestos!$E$6^2/Supuestos!$D$6^2)/2,SQRT(LN(1+Supuestos!$E$6^2/Supuestos!$D$6^2))),Supuestos!$D$6))))))</f>
        <v/>
      </c>
      <c r="K116" s="32">
        <f>MIN(IF(Supuestos!$H$7="",1E+99,Supuestos!$H$7),MAX(IF(Supuestos!$G$7="",-1E+99,Supuestos!$G$7),IF(Supuestos!$C$7="Normal",NORMINV(D116,Supuestos!$D$7,Supuestos!$E$7),IF(Supuestos!$C$7="Triangular",IF(D116&lt;(Supuestos!$E$7-Supuestos!$D$7)/(Supuestos!$F$7-Supuestos!$D$7),Supuestos!$D$7+SQRT(D116*(Supuestos!$F$7-Supuestos!$D$7)*(Supuestos!$E$7-Supuestos!$D$7)),Supuestos!$F$7-SQRT((1-D116)*(Supuestos!$F$7-Supuestos!$D$7)*(Supuestos!$F$7-Supuestos!$E$7))),IF(Supuestos!$C$7="Uniforme",Supuestos!$D$7+D116*(Supuestos!$E$7-Supuestos!$D$7),IF(Supuestos!$C$7="Lognormal",LOGINV(D116,LN(Supuestos!$D$7)-LN(1+Supuestos!$E$7^2/Supuestos!$D$7^2)/2,SQRT(LN(1+Supuestos!$E$7^2/Supuestos!$D$7^2))),Supuestos!$D$7))))))</f>
        <v/>
      </c>
      <c r="L116" s="32">
        <f>MIN(IF(Supuestos!$H$8="",1E+99,Supuestos!$H$8),MAX(IF(Supuestos!$G$8="",-1E+99,Supuestos!$G$8),IF(Supuestos!$C$8="Normal",NORMINV(E116,Supuestos!$D$8,Supuestos!$E$8),IF(Supuestos!$C$8="Triangular",IF(E116&lt;(Supuestos!$E$8-Supuestos!$D$8)/(Supuestos!$F$8-Supuestos!$D$8),Supuestos!$D$8+SQRT(E116*(Supuestos!$F$8-Supuestos!$D$8)*(Supuestos!$E$8-Supuestos!$D$8)),Supuestos!$F$8-SQRT((1-E116)*(Supuestos!$F$8-Supuestos!$D$8)*(Supuestos!$F$8-Supuestos!$E$8))),IF(Supuestos!$C$8="Uniforme",Supuestos!$D$8+E116*(Supuestos!$E$8-Supuestos!$D$8),IF(Supuestos!$C$8="Lognormal",LOGINV(E116,LN(Supuestos!$D$8)-LN(1+Supuestos!$E$8^2/Supuestos!$D$8^2)/2,SQRT(LN(1+Supuestos!$E$8^2/Supuestos!$D$8^2))),Supuestos!$D$8))))))</f>
        <v/>
      </c>
      <c r="M116" s="32">
        <f>MIN(IF(Supuestos!$H$9="",1E+99,Supuestos!$H$9),MAX(IF(Supuestos!$G$9="",-1E+99,Supuestos!$G$9),IF(Supuestos!$C$9="Normal",NORMINV(F116,Supuestos!$D$9,Supuestos!$E$9),IF(Supuestos!$C$9="Triangular",IF(F116&lt;(Supuestos!$E$9-Supuestos!$D$9)/(Supuestos!$F$9-Supuestos!$D$9),Supuestos!$D$9+SQRT(F116*(Supuestos!$F$9-Supuestos!$D$9)*(Supuestos!$E$9-Supuestos!$D$9)),Supuestos!$F$9-SQRT((1-F116)*(Supuestos!$F$9-Supuestos!$D$9)*(Supuestos!$F$9-Supuestos!$E$9))),IF(Supuestos!$C$9="Uniforme",Supuestos!$D$9+F116*(Supuestos!$E$9-Supuestos!$D$9),IF(Supuestos!$C$9="Lognormal",LOGINV(F116,LN(Supuestos!$D$9)-LN(1+Supuestos!$E$9^2/Supuestos!$D$9^2)/2,SQRT(LN(1+Supuestos!$E$9^2/Supuestos!$D$9^2))),Supuestos!$D$9))))))</f>
        <v/>
      </c>
      <c r="N116" s="32">
        <f>MIN(IF(Supuestos!$H$10="",1E+99,Supuestos!$H$10),MAX(IF(Supuestos!$G$10="",-1E+99,Supuestos!$G$10),IF(Supuestos!$C$10="Normal",NORMINV(G116,Supuestos!$D$10,Supuestos!$E$10),IF(Supuestos!$C$10="Triangular",IF(G116&lt;(Supuestos!$E$10-Supuestos!$D$10)/(Supuestos!$F$10-Supuestos!$D$10),Supuestos!$D$10+SQRT(G116*(Supuestos!$F$10-Supuestos!$D$10)*(Supuestos!$E$10-Supuestos!$D$10)),Supuestos!$F$10-SQRT((1-G116)*(Supuestos!$F$10-Supuestos!$D$10)*(Supuestos!$F$10-Supuestos!$E$10))),IF(Supuestos!$C$10="Uniforme",Supuestos!$D$10+G116*(Supuestos!$E$10-Supuestos!$D$10),IF(Supuestos!$C$10="Lognormal",LOGINV(G116,LN(Supuestos!$D$10)-LN(1+Supuestos!$E$10^2/Supuestos!$D$10^2)/2,SQRT(LN(1+Supuestos!$E$10^2/Supuestos!$D$10^2))),Supuestos!$D$10))))))</f>
        <v/>
      </c>
      <c r="O116" s="31">
        <f>MIN(IF(Supuestos!$H$11="",1E+99,Supuestos!$H$11),MAX(IF(Supuestos!$G$11="",-1E+99,Supuestos!$G$11),IF(Supuestos!$C$11="Normal",NORMINV(H116,Supuestos!$D$11,Supuestos!$E$11),IF(Supuestos!$C$11="Triangular",IF(H116&lt;(Supuestos!$E$11-Supuestos!$D$11)/(Supuestos!$F$11-Supuestos!$D$11),Supuestos!$D$11+SQRT(H116*(Supuestos!$F$11-Supuestos!$D$11)*(Supuestos!$E$11-Supuestos!$D$11)),Supuestos!$F$11-SQRT((1-H116)*(Supuestos!$F$11-Supuestos!$D$11)*(Supuestos!$F$11-Supuestos!$E$11))),IF(Supuestos!$C$11="Uniforme",Supuestos!$D$11+H116*(Supuestos!$E$11-Supuestos!$D$11),IF(Supuestos!$C$11="Lognormal",LOGINV(H116,LN(Supuestos!$D$11)-LN(1+Supuestos!$E$11^2/Supuestos!$D$11^2)/2,SQRT(LN(1+Supuestos!$E$11^2/Supuestos!$D$11^2))),Supuestos!$D$11))))))</f>
        <v/>
      </c>
      <c r="P116" s="33">
        <f>-I116</f>
        <v/>
      </c>
      <c r="Q116" s="33">
        <f>$J116*(1+$K116)^(1-1)*(1-$L116)*(1-$M116)</f>
        <v/>
      </c>
      <c r="R116" s="33">
        <f>$J116*(1+$K116)^(2-1)*(1-$L116)*(1-$M116)</f>
        <v/>
      </c>
      <c r="S116" s="33">
        <f>$J116*(1+$K116)^(3-1)*(1-$L116)*(1-$M116)</f>
        <v/>
      </c>
      <c r="T116" s="33">
        <f>$J116*(1+$K116)^(4-1)*(1-$L116)*(1-$M116)</f>
        <v/>
      </c>
      <c r="U116" s="33">
        <f>$J116*(1+$K116)^(5-1)*(1-$L116)*(1-$M116)+$O116</f>
        <v/>
      </c>
      <c r="V116" s="33">
        <f>P116+NPV($N116,Q116:U116)</f>
        <v/>
      </c>
      <c r="W116" s="32">
        <f>IFERROR(IRR(P116:U116,0.1),"")</f>
        <v/>
      </c>
    </row>
    <row r="117">
      <c r="A117" s="14" t="n">
        <v>113</v>
      </c>
      <c r="B117" s="30">
        <f>RAND()*(1-2E-6)+1E-6</f>
        <v/>
      </c>
      <c r="C117" s="30">
        <f>RAND()*(1-2E-6)+1E-6</f>
        <v/>
      </c>
      <c r="D117" s="30">
        <f>RAND()*(1-2E-6)+1E-6</f>
        <v/>
      </c>
      <c r="E117" s="30">
        <f>RAND()*(1-2E-6)+1E-6</f>
        <v/>
      </c>
      <c r="F117" s="30">
        <f>RAND()*(1-2E-6)+1E-6</f>
        <v/>
      </c>
      <c r="G117" s="30">
        <f>RAND()*(1-2E-6)+1E-6</f>
        <v/>
      </c>
      <c r="H117" s="30">
        <f>RAND()*(1-2E-6)+1E-6</f>
        <v/>
      </c>
      <c r="I117" s="31">
        <f>MIN(IF(Supuestos!$H$5="",1E+99,Supuestos!$H$5),MAX(IF(Supuestos!$G$5="",-1E+99,Supuestos!$G$5),IF(Supuestos!$C$5="Normal",NORMINV(B117,Supuestos!$D$5,Supuestos!$E$5),IF(Supuestos!$C$5="Triangular",IF(B117&lt;(Supuestos!$E$5-Supuestos!$D$5)/(Supuestos!$F$5-Supuestos!$D$5),Supuestos!$D$5+SQRT(B117*(Supuestos!$F$5-Supuestos!$D$5)*(Supuestos!$E$5-Supuestos!$D$5)),Supuestos!$F$5-SQRT((1-B117)*(Supuestos!$F$5-Supuestos!$D$5)*(Supuestos!$F$5-Supuestos!$E$5))),IF(Supuestos!$C$5="Uniforme",Supuestos!$D$5+B117*(Supuestos!$E$5-Supuestos!$D$5),IF(Supuestos!$C$5="Lognormal",LOGINV(B117,LN(Supuestos!$D$5)-LN(1+Supuestos!$E$5^2/Supuestos!$D$5^2)/2,SQRT(LN(1+Supuestos!$E$5^2/Supuestos!$D$5^2))),Supuestos!$D$5))))))</f>
        <v/>
      </c>
      <c r="J117" s="31">
        <f>MIN(IF(Supuestos!$H$6="",1E+99,Supuestos!$H$6),MAX(IF(Supuestos!$G$6="",-1E+99,Supuestos!$G$6),IF(Supuestos!$C$6="Normal",NORMINV(C117,Supuestos!$D$6,Supuestos!$E$6),IF(Supuestos!$C$6="Triangular",IF(C117&lt;(Supuestos!$E$6-Supuestos!$D$6)/(Supuestos!$F$6-Supuestos!$D$6),Supuestos!$D$6+SQRT(C117*(Supuestos!$F$6-Supuestos!$D$6)*(Supuestos!$E$6-Supuestos!$D$6)),Supuestos!$F$6-SQRT((1-C117)*(Supuestos!$F$6-Supuestos!$D$6)*(Supuestos!$F$6-Supuestos!$E$6))),IF(Supuestos!$C$6="Uniforme",Supuestos!$D$6+C117*(Supuestos!$E$6-Supuestos!$D$6),IF(Supuestos!$C$6="Lognormal",LOGINV(C117,LN(Supuestos!$D$6)-LN(1+Supuestos!$E$6^2/Supuestos!$D$6^2)/2,SQRT(LN(1+Supuestos!$E$6^2/Supuestos!$D$6^2))),Supuestos!$D$6))))))</f>
        <v/>
      </c>
      <c r="K117" s="32">
        <f>MIN(IF(Supuestos!$H$7="",1E+99,Supuestos!$H$7),MAX(IF(Supuestos!$G$7="",-1E+99,Supuestos!$G$7),IF(Supuestos!$C$7="Normal",NORMINV(D117,Supuestos!$D$7,Supuestos!$E$7),IF(Supuestos!$C$7="Triangular",IF(D117&lt;(Supuestos!$E$7-Supuestos!$D$7)/(Supuestos!$F$7-Supuestos!$D$7),Supuestos!$D$7+SQRT(D117*(Supuestos!$F$7-Supuestos!$D$7)*(Supuestos!$E$7-Supuestos!$D$7)),Supuestos!$F$7-SQRT((1-D117)*(Supuestos!$F$7-Supuestos!$D$7)*(Supuestos!$F$7-Supuestos!$E$7))),IF(Supuestos!$C$7="Uniforme",Supuestos!$D$7+D117*(Supuestos!$E$7-Supuestos!$D$7),IF(Supuestos!$C$7="Lognormal",LOGINV(D117,LN(Supuestos!$D$7)-LN(1+Supuestos!$E$7^2/Supuestos!$D$7^2)/2,SQRT(LN(1+Supuestos!$E$7^2/Supuestos!$D$7^2))),Supuestos!$D$7))))))</f>
        <v/>
      </c>
      <c r="L117" s="32">
        <f>MIN(IF(Supuestos!$H$8="",1E+99,Supuestos!$H$8),MAX(IF(Supuestos!$G$8="",-1E+99,Supuestos!$G$8),IF(Supuestos!$C$8="Normal",NORMINV(E117,Supuestos!$D$8,Supuestos!$E$8),IF(Supuestos!$C$8="Triangular",IF(E117&lt;(Supuestos!$E$8-Supuestos!$D$8)/(Supuestos!$F$8-Supuestos!$D$8),Supuestos!$D$8+SQRT(E117*(Supuestos!$F$8-Supuestos!$D$8)*(Supuestos!$E$8-Supuestos!$D$8)),Supuestos!$F$8-SQRT((1-E117)*(Supuestos!$F$8-Supuestos!$D$8)*(Supuestos!$F$8-Supuestos!$E$8))),IF(Supuestos!$C$8="Uniforme",Supuestos!$D$8+E117*(Supuestos!$E$8-Supuestos!$D$8),IF(Supuestos!$C$8="Lognormal",LOGINV(E117,LN(Supuestos!$D$8)-LN(1+Supuestos!$E$8^2/Supuestos!$D$8^2)/2,SQRT(LN(1+Supuestos!$E$8^2/Supuestos!$D$8^2))),Supuestos!$D$8))))))</f>
        <v/>
      </c>
      <c r="M117" s="32">
        <f>MIN(IF(Supuestos!$H$9="",1E+99,Supuestos!$H$9),MAX(IF(Supuestos!$G$9="",-1E+99,Supuestos!$G$9),IF(Supuestos!$C$9="Normal",NORMINV(F117,Supuestos!$D$9,Supuestos!$E$9),IF(Supuestos!$C$9="Triangular",IF(F117&lt;(Supuestos!$E$9-Supuestos!$D$9)/(Supuestos!$F$9-Supuestos!$D$9),Supuestos!$D$9+SQRT(F117*(Supuestos!$F$9-Supuestos!$D$9)*(Supuestos!$E$9-Supuestos!$D$9)),Supuestos!$F$9-SQRT((1-F117)*(Supuestos!$F$9-Supuestos!$D$9)*(Supuestos!$F$9-Supuestos!$E$9))),IF(Supuestos!$C$9="Uniforme",Supuestos!$D$9+F117*(Supuestos!$E$9-Supuestos!$D$9),IF(Supuestos!$C$9="Lognormal",LOGINV(F117,LN(Supuestos!$D$9)-LN(1+Supuestos!$E$9^2/Supuestos!$D$9^2)/2,SQRT(LN(1+Supuestos!$E$9^2/Supuestos!$D$9^2))),Supuestos!$D$9))))))</f>
        <v/>
      </c>
      <c r="N117" s="32">
        <f>MIN(IF(Supuestos!$H$10="",1E+99,Supuestos!$H$10),MAX(IF(Supuestos!$G$10="",-1E+99,Supuestos!$G$10),IF(Supuestos!$C$10="Normal",NORMINV(G117,Supuestos!$D$10,Supuestos!$E$10),IF(Supuestos!$C$10="Triangular",IF(G117&lt;(Supuestos!$E$10-Supuestos!$D$10)/(Supuestos!$F$10-Supuestos!$D$10),Supuestos!$D$10+SQRT(G117*(Supuestos!$F$10-Supuestos!$D$10)*(Supuestos!$E$10-Supuestos!$D$10)),Supuestos!$F$10-SQRT((1-G117)*(Supuestos!$F$10-Supuestos!$D$10)*(Supuestos!$F$10-Supuestos!$E$10))),IF(Supuestos!$C$10="Uniforme",Supuestos!$D$10+G117*(Supuestos!$E$10-Supuestos!$D$10),IF(Supuestos!$C$10="Lognormal",LOGINV(G117,LN(Supuestos!$D$10)-LN(1+Supuestos!$E$10^2/Supuestos!$D$10^2)/2,SQRT(LN(1+Supuestos!$E$10^2/Supuestos!$D$10^2))),Supuestos!$D$10))))))</f>
        <v/>
      </c>
      <c r="O117" s="31">
        <f>MIN(IF(Supuestos!$H$11="",1E+99,Supuestos!$H$11),MAX(IF(Supuestos!$G$11="",-1E+99,Supuestos!$G$11),IF(Supuestos!$C$11="Normal",NORMINV(H117,Supuestos!$D$11,Supuestos!$E$11),IF(Supuestos!$C$11="Triangular",IF(H117&lt;(Supuestos!$E$11-Supuestos!$D$11)/(Supuestos!$F$11-Supuestos!$D$11),Supuestos!$D$11+SQRT(H117*(Supuestos!$F$11-Supuestos!$D$11)*(Supuestos!$E$11-Supuestos!$D$11)),Supuestos!$F$11-SQRT((1-H117)*(Supuestos!$F$11-Supuestos!$D$11)*(Supuestos!$F$11-Supuestos!$E$11))),IF(Supuestos!$C$11="Uniforme",Supuestos!$D$11+H117*(Supuestos!$E$11-Supuestos!$D$11),IF(Supuestos!$C$11="Lognormal",LOGINV(H117,LN(Supuestos!$D$11)-LN(1+Supuestos!$E$11^2/Supuestos!$D$11^2)/2,SQRT(LN(1+Supuestos!$E$11^2/Supuestos!$D$11^2))),Supuestos!$D$11))))))</f>
        <v/>
      </c>
      <c r="P117" s="33">
        <f>-I117</f>
        <v/>
      </c>
      <c r="Q117" s="33">
        <f>$J117*(1+$K117)^(1-1)*(1-$L117)*(1-$M117)</f>
        <v/>
      </c>
      <c r="R117" s="33">
        <f>$J117*(1+$K117)^(2-1)*(1-$L117)*(1-$M117)</f>
        <v/>
      </c>
      <c r="S117" s="33">
        <f>$J117*(1+$K117)^(3-1)*(1-$L117)*(1-$M117)</f>
        <v/>
      </c>
      <c r="T117" s="33">
        <f>$J117*(1+$K117)^(4-1)*(1-$L117)*(1-$M117)</f>
        <v/>
      </c>
      <c r="U117" s="33">
        <f>$J117*(1+$K117)^(5-1)*(1-$L117)*(1-$M117)+$O117</f>
        <v/>
      </c>
      <c r="V117" s="33">
        <f>P117+NPV($N117,Q117:U117)</f>
        <v/>
      </c>
      <c r="W117" s="32">
        <f>IFERROR(IRR(P117:U117,0.1),"")</f>
        <v/>
      </c>
    </row>
    <row r="118">
      <c r="A118" s="14" t="n">
        <v>114</v>
      </c>
      <c r="B118" s="30">
        <f>RAND()*(1-2E-6)+1E-6</f>
        <v/>
      </c>
      <c r="C118" s="30">
        <f>RAND()*(1-2E-6)+1E-6</f>
        <v/>
      </c>
      <c r="D118" s="30">
        <f>RAND()*(1-2E-6)+1E-6</f>
        <v/>
      </c>
      <c r="E118" s="30">
        <f>RAND()*(1-2E-6)+1E-6</f>
        <v/>
      </c>
      <c r="F118" s="30">
        <f>RAND()*(1-2E-6)+1E-6</f>
        <v/>
      </c>
      <c r="G118" s="30">
        <f>RAND()*(1-2E-6)+1E-6</f>
        <v/>
      </c>
      <c r="H118" s="30">
        <f>RAND()*(1-2E-6)+1E-6</f>
        <v/>
      </c>
      <c r="I118" s="31">
        <f>MIN(IF(Supuestos!$H$5="",1E+99,Supuestos!$H$5),MAX(IF(Supuestos!$G$5="",-1E+99,Supuestos!$G$5),IF(Supuestos!$C$5="Normal",NORMINV(B118,Supuestos!$D$5,Supuestos!$E$5),IF(Supuestos!$C$5="Triangular",IF(B118&lt;(Supuestos!$E$5-Supuestos!$D$5)/(Supuestos!$F$5-Supuestos!$D$5),Supuestos!$D$5+SQRT(B118*(Supuestos!$F$5-Supuestos!$D$5)*(Supuestos!$E$5-Supuestos!$D$5)),Supuestos!$F$5-SQRT((1-B118)*(Supuestos!$F$5-Supuestos!$D$5)*(Supuestos!$F$5-Supuestos!$E$5))),IF(Supuestos!$C$5="Uniforme",Supuestos!$D$5+B118*(Supuestos!$E$5-Supuestos!$D$5),IF(Supuestos!$C$5="Lognormal",LOGINV(B118,LN(Supuestos!$D$5)-LN(1+Supuestos!$E$5^2/Supuestos!$D$5^2)/2,SQRT(LN(1+Supuestos!$E$5^2/Supuestos!$D$5^2))),Supuestos!$D$5))))))</f>
        <v/>
      </c>
      <c r="J118" s="31">
        <f>MIN(IF(Supuestos!$H$6="",1E+99,Supuestos!$H$6),MAX(IF(Supuestos!$G$6="",-1E+99,Supuestos!$G$6),IF(Supuestos!$C$6="Normal",NORMINV(C118,Supuestos!$D$6,Supuestos!$E$6),IF(Supuestos!$C$6="Triangular",IF(C118&lt;(Supuestos!$E$6-Supuestos!$D$6)/(Supuestos!$F$6-Supuestos!$D$6),Supuestos!$D$6+SQRT(C118*(Supuestos!$F$6-Supuestos!$D$6)*(Supuestos!$E$6-Supuestos!$D$6)),Supuestos!$F$6-SQRT((1-C118)*(Supuestos!$F$6-Supuestos!$D$6)*(Supuestos!$F$6-Supuestos!$E$6))),IF(Supuestos!$C$6="Uniforme",Supuestos!$D$6+C118*(Supuestos!$E$6-Supuestos!$D$6),IF(Supuestos!$C$6="Lognormal",LOGINV(C118,LN(Supuestos!$D$6)-LN(1+Supuestos!$E$6^2/Supuestos!$D$6^2)/2,SQRT(LN(1+Supuestos!$E$6^2/Supuestos!$D$6^2))),Supuestos!$D$6))))))</f>
        <v/>
      </c>
      <c r="K118" s="32">
        <f>MIN(IF(Supuestos!$H$7="",1E+99,Supuestos!$H$7),MAX(IF(Supuestos!$G$7="",-1E+99,Supuestos!$G$7),IF(Supuestos!$C$7="Normal",NORMINV(D118,Supuestos!$D$7,Supuestos!$E$7),IF(Supuestos!$C$7="Triangular",IF(D118&lt;(Supuestos!$E$7-Supuestos!$D$7)/(Supuestos!$F$7-Supuestos!$D$7),Supuestos!$D$7+SQRT(D118*(Supuestos!$F$7-Supuestos!$D$7)*(Supuestos!$E$7-Supuestos!$D$7)),Supuestos!$F$7-SQRT((1-D118)*(Supuestos!$F$7-Supuestos!$D$7)*(Supuestos!$F$7-Supuestos!$E$7))),IF(Supuestos!$C$7="Uniforme",Supuestos!$D$7+D118*(Supuestos!$E$7-Supuestos!$D$7),IF(Supuestos!$C$7="Lognormal",LOGINV(D118,LN(Supuestos!$D$7)-LN(1+Supuestos!$E$7^2/Supuestos!$D$7^2)/2,SQRT(LN(1+Supuestos!$E$7^2/Supuestos!$D$7^2))),Supuestos!$D$7))))))</f>
        <v/>
      </c>
      <c r="L118" s="32">
        <f>MIN(IF(Supuestos!$H$8="",1E+99,Supuestos!$H$8),MAX(IF(Supuestos!$G$8="",-1E+99,Supuestos!$G$8),IF(Supuestos!$C$8="Normal",NORMINV(E118,Supuestos!$D$8,Supuestos!$E$8),IF(Supuestos!$C$8="Triangular",IF(E118&lt;(Supuestos!$E$8-Supuestos!$D$8)/(Supuestos!$F$8-Supuestos!$D$8),Supuestos!$D$8+SQRT(E118*(Supuestos!$F$8-Supuestos!$D$8)*(Supuestos!$E$8-Supuestos!$D$8)),Supuestos!$F$8-SQRT((1-E118)*(Supuestos!$F$8-Supuestos!$D$8)*(Supuestos!$F$8-Supuestos!$E$8))),IF(Supuestos!$C$8="Uniforme",Supuestos!$D$8+E118*(Supuestos!$E$8-Supuestos!$D$8),IF(Supuestos!$C$8="Lognormal",LOGINV(E118,LN(Supuestos!$D$8)-LN(1+Supuestos!$E$8^2/Supuestos!$D$8^2)/2,SQRT(LN(1+Supuestos!$E$8^2/Supuestos!$D$8^2))),Supuestos!$D$8))))))</f>
        <v/>
      </c>
      <c r="M118" s="32">
        <f>MIN(IF(Supuestos!$H$9="",1E+99,Supuestos!$H$9),MAX(IF(Supuestos!$G$9="",-1E+99,Supuestos!$G$9),IF(Supuestos!$C$9="Normal",NORMINV(F118,Supuestos!$D$9,Supuestos!$E$9),IF(Supuestos!$C$9="Triangular",IF(F118&lt;(Supuestos!$E$9-Supuestos!$D$9)/(Supuestos!$F$9-Supuestos!$D$9),Supuestos!$D$9+SQRT(F118*(Supuestos!$F$9-Supuestos!$D$9)*(Supuestos!$E$9-Supuestos!$D$9)),Supuestos!$F$9-SQRT((1-F118)*(Supuestos!$F$9-Supuestos!$D$9)*(Supuestos!$F$9-Supuestos!$E$9))),IF(Supuestos!$C$9="Uniforme",Supuestos!$D$9+F118*(Supuestos!$E$9-Supuestos!$D$9),IF(Supuestos!$C$9="Lognormal",LOGINV(F118,LN(Supuestos!$D$9)-LN(1+Supuestos!$E$9^2/Supuestos!$D$9^2)/2,SQRT(LN(1+Supuestos!$E$9^2/Supuestos!$D$9^2))),Supuestos!$D$9))))))</f>
        <v/>
      </c>
      <c r="N118" s="32">
        <f>MIN(IF(Supuestos!$H$10="",1E+99,Supuestos!$H$10),MAX(IF(Supuestos!$G$10="",-1E+99,Supuestos!$G$10),IF(Supuestos!$C$10="Normal",NORMINV(G118,Supuestos!$D$10,Supuestos!$E$10),IF(Supuestos!$C$10="Triangular",IF(G118&lt;(Supuestos!$E$10-Supuestos!$D$10)/(Supuestos!$F$10-Supuestos!$D$10),Supuestos!$D$10+SQRT(G118*(Supuestos!$F$10-Supuestos!$D$10)*(Supuestos!$E$10-Supuestos!$D$10)),Supuestos!$F$10-SQRT((1-G118)*(Supuestos!$F$10-Supuestos!$D$10)*(Supuestos!$F$10-Supuestos!$E$10))),IF(Supuestos!$C$10="Uniforme",Supuestos!$D$10+G118*(Supuestos!$E$10-Supuestos!$D$10),IF(Supuestos!$C$10="Lognormal",LOGINV(G118,LN(Supuestos!$D$10)-LN(1+Supuestos!$E$10^2/Supuestos!$D$10^2)/2,SQRT(LN(1+Supuestos!$E$10^2/Supuestos!$D$10^2))),Supuestos!$D$10))))))</f>
        <v/>
      </c>
      <c r="O118" s="31">
        <f>MIN(IF(Supuestos!$H$11="",1E+99,Supuestos!$H$11),MAX(IF(Supuestos!$G$11="",-1E+99,Supuestos!$G$11),IF(Supuestos!$C$11="Normal",NORMINV(H118,Supuestos!$D$11,Supuestos!$E$11),IF(Supuestos!$C$11="Triangular",IF(H118&lt;(Supuestos!$E$11-Supuestos!$D$11)/(Supuestos!$F$11-Supuestos!$D$11),Supuestos!$D$11+SQRT(H118*(Supuestos!$F$11-Supuestos!$D$11)*(Supuestos!$E$11-Supuestos!$D$11)),Supuestos!$F$11-SQRT((1-H118)*(Supuestos!$F$11-Supuestos!$D$11)*(Supuestos!$F$11-Supuestos!$E$11))),IF(Supuestos!$C$11="Uniforme",Supuestos!$D$11+H118*(Supuestos!$E$11-Supuestos!$D$11),IF(Supuestos!$C$11="Lognormal",LOGINV(H118,LN(Supuestos!$D$11)-LN(1+Supuestos!$E$11^2/Supuestos!$D$11^2)/2,SQRT(LN(1+Supuestos!$E$11^2/Supuestos!$D$11^2))),Supuestos!$D$11))))))</f>
        <v/>
      </c>
      <c r="P118" s="33">
        <f>-I118</f>
        <v/>
      </c>
      <c r="Q118" s="33">
        <f>$J118*(1+$K118)^(1-1)*(1-$L118)*(1-$M118)</f>
        <v/>
      </c>
      <c r="R118" s="33">
        <f>$J118*(1+$K118)^(2-1)*(1-$L118)*(1-$M118)</f>
        <v/>
      </c>
      <c r="S118" s="33">
        <f>$J118*(1+$K118)^(3-1)*(1-$L118)*(1-$M118)</f>
        <v/>
      </c>
      <c r="T118" s="33">
        <f>$J118*(1+$K118)^(4-1)*(1-$L118)*(1-$M118)</f>
        <v/>
      </c>
      <c r="U118" s="33">
        <f>$J118*(1+$K118)^(5-1)*(1-$L118)*(1-$M118)+$O118</f>
        <v/>
      </c>
      <c r="V118" s="33">
        <f>P118+NPV($N118,Q118:U118)</f>
        <v/>
      </c>
      <c r="W118" s="32">
        <f>IFERROR(IRR(P118:U118,0.1),"")</f>
        <v/>
      </c>
    </row>
    <row r="119">
      <c r="A119" s="14" t="n">
        <v>115</v>
      </c>
      <c r="B119" s="30">
        <f>RAND()*(1-2E-6)+1E-6</f>
        <v/>
      </c>
      <c r="C119" s="30">
        <f>RAND()*(1-2E-6)+1E-6</f>
        <v/>
      </c>
      <c r="D119" s="30">
        <f>RAND()*(1-2E-6)+1E-6</f>
        <v/>
      </c>
      <c r="E119" s="30">
        <f>RAND()*(1-2E-6)+1E-6</f>
        <v/>
      </c>
      <c r="F119" s="30">
        <f>RAND()*(1-2E-6)+1E-6</f>
        <v/>
      </c>
      <c r="G119" s="30">
        <f>RAND()*(1-2E-6)+1E-6</f>
        <v/>
      </c>
      <c r="H119" s="30">
        <f>RAND()*(1-2E-6)+1E-6</f>
        <v/>
      </c>
      <c r="I119" s="31">
        <f>MIN(IF(Supuestos!$H$5="",1E+99,Supuestos!$H$5),MAX(IF(Supuestos!$G$5="",-1E+99,Supuestos!$G$5),IF(Supuestos!$C$5="Normal",NORMINV(B119,Supuestos!$D$5,Supuestos!$E$5),IF(Supuestos!$C$5="Triangular",IF(B119&lt;(Supuestos!$E$5-Supuestos!$D$5)/(Supuestos!$F$5-Supuestos!$D$5),Supuestos!$D$5+SQRT(B119*(Supuestos!$F$5-Supuestos!$D$5)*(Supuestos!$E$5-Supuestos!$D$5)),Supuestos!$F$5-SQRT((1-B119)*(Supuestos!$F$5-Supuestos!$D$5)*(Supuestos!$F$5-Supuestos!$E$5))),IF(Supuestos!$C$5="Uniforme",Supuestos!$D$5+B119*(Supuestos!$E$5-Supuestos!$D$5),IF(Supuestos!$C$5="Lognormal",LOGINV(B119,LN(Supuestos!$D$5)-LN(1+Supuestos!$E$5^2/Supuestos!$D$5^2)/2,SQRT(LN(1+Supuestos!$E$5^2/Supuestos!$D$5^2))),Supuestos!$D$5))))))</f>
        <v/>
      </c>
      <c r="J119" s="31">
        <f>MIN(IF(Supuestos!$H$6="",1E+99,Supuestos!$H$6),MAX(IF(Supuestos!$G$6="",-1E+99,Supuestos!$G$6),IF(Supuestos!$C$6="Normal",NORMINV(C119,Supuestos!$D$6,Supuestos!$E$6),IF(Supuestos!$C$6="Triangular",IF(C119&lt;(Supuestos!$E$6-Supuestos!$D$6)/(Supuestos!$F$6-Supuestos!$D$6),Supuestos!$D$6+SQRT(C119*(Supuestos!$F$6-Supuestos!$D$6)*(Supuestos!$E$6-Supuestos!$D$6)),Supuestos!$F$6-SQRT((1-C119)*(Supuestos!$F$6-Supuestos!$D$6)*(Supuestos!$F$6-Supuestos!$E$6))),IF(Supuestos!$C$6="Uniforme",Supuestos!$D$6+C119*(Supuestos!$E$6-Supuestos!$D$6),IF(Supuestos!$C$6="Lognormal",LOGINV(C119,LN(Supuestos!$D$6)-LN(1+Supuestos!$E$6^2/Supuestos!$D$6^2)/2,SQRT(LN(1+Supuestos!$E$6^2/Supuestos!$D$6^2))),Supuestos!$D$6))))))</f>
        <v/>
      </c>
      <c r="K119" s="32">
        <f>MIN(IF(Supuestos!$H$7="",1E+99,Supuestos!$H$7),MAX(IF(Supuestos!$G$7="",-1E+99,Supuestos!$G$7),IF(Supuestos!$C$7="Normal",NORMINV(D119,Supuestos!$D$7,Supuestos!$E$7),IF(Supuestos!$C$7="Triangular",IF(D119&lt;(Supuestos!$E$7-Supuestos!$D$7)/(Supuestos!$F$7-Supuestos!$D$7),Supuestos!$D$7+SQRT(D119*(Supuestos!$F$7-Supuestos!$D$7)*(Supuestos!$E$7-Supuestos!$D$7)),Supuestos!$F$7-SQRT((1-D119)*(Supuestos!$F$7-Supuestos!$D$7)*(Supuestos!$F$7-Supuestos!$E$7))),IF(Supuestos!$C$7="Uniforme",Supuestos!$D$7+D119*(Supuestos!$E$7-Supuestos!$D$7),IF(Supuestos!$C$7="Lognormal",LOGINV(D119,LN(Supuestos!$D$7)-LN(1+Supuestos!$E$7^2/Supuestos!$D$7^2)/2,SQRT(LN(1+Supuestos!$E$7^2/Supuestos!$D$7^2))),Supuestos!$D$7))))))</f>
        <v/>
      </c>
      <c r="L119" s="32">
        <f>MIN(IF(Supuestos!$H$8="",1E+99,Supuestos!$H$8),MAX(IF(Supuestos!$G$8="",-1E+99,Supuestos!$G$8),IF(Supuestos!$C$8="Normal",NORMINV(E119,Supuestos!$D$8,Supuestos!$E$8),IF(Supuestos!$C$8="Triangular",IF(E119&lt;(Supuestos!$E$8-Supuestos!$D$8)/(Supuestos!$F$8-Supuestos!$D$8),Supuestos!$D$8+SQRT(E119*(Supuestos!$F$8-Supuestos!$D$8)*(Supuestos!$E$8-Supuestos!$D$8)),Supuestos!$F$8-SQRT((1-E119)*(Supuestos!$F$8-Supuestos!$D$8)*(Supuestos!$F$8-Supuestos!$E$8))),IF(Supuestos!$C$8="Uniforme",Supuestos!$D$8+E119*(Supuestos!$E$8-Supuestos!$D$8),IF(Supuestos!$C$8="Lognormal",LOGINV(E119,LN(Supuestos!$D$8)-LN(1+Supuestos!$E$8^2/Supuestos!$D$8^2)/2,SQRT(LN(1+Supuestos!$E$8^2/Supuestos!$D$8^2))),Supuestos!$D$8))))))</f>
        <v/>
      </c>
      <c r="M119" s="32">
        <f>MIN(IF(Supuestos!$H$9="",1E+99,Supuestos!$H$9),MAX(IF(Supuestos!$G$9="",-1E+99,Supuestos!$G$9),IF(Supuestos!$C$9="Normal",NORMINV(F119,Supuestos!$D$9,Supuestos!$E$9),IF(Supuestos!$C$9="Triangular",IF(F119&lt;(Supuestos!$E$9-Supuestos!$D$9)/(Supuestos!$F$9-Supuestos!$D$9),Supuestos!$D$9+SQRT(F119*(Supuestos!$F$9-Supuestos!$D$9)*(Supuestos!$E$9-Supuestos!$D$9)),Supuestos!$F$9-SQRT((1-F119)*(Supuestos!$F$9-Supuestos!$D$9)*(Supuestos!$F$9-Supuestos!$E$9))),IF(Supuestos!$C$9="Uniforme",Supuestos!$D$9+F119*(Supuestos!$E$9-Supuestos!$D$9),IF(Supuestos!$C$9="Lognormal",LOGINV(F119,LN(Supuestos!$D$9)-LN(1+Supuestos!$E$9^2/Supuestos!$D$9^2)/2,SQRT(LN(1+Supuestos!$E$9^2/Supuestos!$D$9^2))),Supuestos!$D$9))))))</f>
        <v/>
      </c>
      <c r="N119" s="32">
        <f>MIN(IF(Supuestos!$H$10="",1E+99,Supuestos!$H$10),MAX(IF(Supuestos!$G$10="",-1E+99,Supuestos!$G$10),IF(Supuestos!$C$10="Normal",NORMINV(G119,Supuestos!$D$10,Supuestos!$E$10),IF(Supuestos!$C$10="Triangular",IF(G119&lt;(Supuestos!$E$10-Supuestos!$D$10)/(Supuestos!$F$10-Supuestos!$D$10),Supuestos!$D$10+SQRT(G119*(Supuestos!$F$10-Supuestos!$D$10)*(Supuestos!$E$10-Supuestos!$D$10)),Supuestos!$F$10-SQRT((1-G119)*(Supuestos!$F$10-Supuestos!$D$10)*(Supuestos!$F$10-Supuestos!$E$10))),IF(Supuestos!$C$10="Uniforme",Supuestos!$D$10+G119*(Supuestos!$E$10-Supuestos!$D$10),IF(Supuestos!$C$10="Lognormal",LOGINV(G119,LN(Supuestos!$D$10)-LN(1+Supuestos!$E$10^2/Supuestos!$D$10^2)/2,SQRT(LN(1+Supuestos!$E$10^2/Supuestos!$D$10^2))),Supuestos!$D$10))))))</f>
        <v/>
      </c>
      <c r="O119" s="31">
        <f>MIN(IF(Supuestos!$H$11="",1E+99,Supuestos!$H$11),MAX(IF(Supuestos!$G$11="",-1E+99,Supuestos!$G$11),IF(Supuestos!$C$11="Normal",NORMINV(H119,Supuestos!$D$11,Supuestos!$E$11),IF(Supuestos!$C$11="Triangular",IF(H119&lt;(Supuestos!$E$11-Supuestos!$D$11)/(Supuestos!$F$11-Supuestos!$D$11),Supuestos!$D$11+SQRT(H119*(Supuestos!$F$11-Supuestos!$D$11)*(Supuestos!$E$11-Supuestos!$D$11)),Supuestos!$F$11-SQRT((1-H119)*(Supuestos!$F$11-Supuestos!$D$11)*(Supuestos!$F$11-Supuestos!$E$11))),IF(Supuestos!$C$11="Uniforme",Supuestos!$D$11+H119*(Supuestos!$E$11-Supuestos!$D$11),IF(Supuestos!$C$11="Lognormal",LOGINV(H119,LN(Supuestos!$D$11)-LN(1+Supuestos!$E$11^2/Supuestos!$D$11^2)/2,SQRT(LN(1+Supuestos!$E$11^2/Supuestos!$D$11^2))),Supuestos!$D$11))))))</f>
        <v/>
      </c>
      <c r="P119" s="33">
        <f>-I119</f>
        <v/>
      </c>
      <c r="Q119" s="33">
        <f>$J119*(1+$K119)^(1-1)*(1-$L119)*(1-$M119)</f>
        <v/>
      </c>
      <c r="R119" s="33">
        <f>$J119*(1+$K119)^(2-1)*(1-$L119)*(1-$M119)</f>
        <v/>
      </c>
      <c r="S119" s="33">
        <f>$J119*(1+$K119)^(3-1)*(1-$L119)*(1-$M119)</f>
        <v/>
      </c>
      <c r="T119" s="33">
        <f>$J119*(1+$K119)^(4-1)*(1-$L119)*(1-$M119)</f>
        <v/>
      </c>
      <c r="U119" s="33">
        <f>$J119*(1+$K119)^(5-1)*(1-$L119)*(1-$M119)+$O119</f>
        <v/>
      </c>
      <c r="V119" s="33">
        <f>P119+NPV($N119,Q119:U119)</f>
        <v/>
      </c>
      <c r="W119" s="32">
        <f>IFERROR(IRR(P119:U119,0.1),"")</f>
        <v/>
      </c>
    </row>
    <row r="120">
      <c r="A120" s="14" t="n">
        <v>116</v>
      </c>
      <c r="B120" s="30">
        <f>RAND()*(1-2E-6)+1E-6</f>
        <v/>
      </c>
      <c r="C120" s="30">
        <f>RAND()*(1-2E-6)+1E-6</f>
        <v/>
      </c>
      <c r="D120" s="30">
        <f>RAND()*(1-2E-6)+1E-6</f>
        <v/>
      </c>
      <c r="E120" s="30">
        <f>RAND()*(1-2E-6)+1E-6</f>
        <v/>
      </c>
      <c r="F120" s="30">
        <f>RAND()*(1-2E-6)+1E-6</f>
        <v/>
      </c>
      <c r="G120" s="30">
        <f>RAND()*(1-2E-6)+1E-6</f>
        <v/>
      </c>
      <c r="H120" s="30">
        <f>RAND()*(1-2E-6)+1E-6</f>
        <v/>
      </c>
      <c r="I120" s="31">
        <f>MIN(IF(Supuestos!$H$5="",1E+99,Supuestos!$H$5),MAX(IF(Supuestos!$G$5="",-1E+99,Supuestos!$G$5),IF(Supuestos!$C$5="Normal",NORMINV(B120,Supuestos!$D$5,Supuestos!$E$5),IF(Supuestos!$C$5="Triangular",IF(B120&lt;(Supuestos!$E$5-Supuestos!$D$5)/(Supuestos!$F$5-Supuestos!$D$5),Supuestos!$D$5+SQRT(B120*(Supuestos!$F$5-Supuestos!$D$5)*(Supuestos!$E$5-Supuestos!$D$5)),Supuestos!$F$5-SQRT((1-B120)*(Supuestos!$F$5-Supuestos!$D$5)*(Supuestos!$F$5-Supuestos!$E$5))),IF(Supuestos!$C$5="Uniforme",Supuestos!$D$5+B120*(Supuestos!$E$5-Supuestos!$D$5),IF(Supuestos!$C$5="Lognormal",LOGINV(B120,LN(Supuestos!$D$5)-LN(1+Supuestos!$E$5^2/Supuestos!$D$5^2)/2,SQRT(LN(1+Supuestos!$E$5^2/Supuestos!$D$5^2))),Supuestos!$D$5))))))</f>
        <v/>
      </c>
      <c r="J120" s="31">
        <f>MIN(IF(Supuestos!$H$6="",1E+99,Supuestos!$H$6),MAX(IF(Supuestos!$G$6="",-1E+99,Supuestos!$G$6),IF(Supuestos!$C$6="Normal",NORMINV(C120,Supuestos!$D$6,Supuestos!$E$6),IF(Supuestos!$C$6="Triangular",IF(C120&lt;(Supuestos!$E$6-Supuestos!$D$6)/(Supuestos!$F$6-Supuestos!$D$6),Supuestos!$D$6+SQRT(C120*(Supuestos!$F$6-Supuestos!$D$6)*(Supuestos!$E$6-Supuestos!$D$6)),Supuestos!$F$6-SQRT((1-C120)*(Supuestos!$F$6-Supuestos!$D$6)*(Supuestos!$F$6-Supuestos!$E$6))),IF(Supuestos!$C$6="Uniforme",Supuestos!$D$6+C120*(Supuestos!$E$6-Supuestos!$D$6),IF(Supuestos!$C$6="Lognormal",LOGINV(C120,LN(Supuestos!$D$6)-LN(1+Supuestos!$E$6^2/Supuestos!$D$6^2)/2,SQRT(LN(1+Supuestos!$E$6^2/Supuestos!$D$6^2))),Supuestos!$D$6))))))</f>
        <v/>
      </c>
      <c r="K120" s="32">
        <f>MIN(IF(Supuestos!$H$7="",1E+99,Supuestos!$H$7),MAX(IF(Supuestos!$G$7="",-1E+99,Supuestos!$G$7),IF(Supuestos!$C$7="Normal",NORMINV(D120,Supuestos!$D$7,Supuestos!$E$7),IF(Supuestos!$C$7="Triangular",IF(D120&lt;(Supuestos!$E$7-Supuestos!$D$7)/(Supuestos!$F$7-Supuestos!$D$7),Supuestos!$D$7+SQRT(D120*(Supuestos!$F$7-Supuestos!$D$7)*(Supuestos!$E$7-Supuestos!$D$7)),Supuestos!$F$7-SQRT((1-D120)*(Supuestos!$F$7-Supuestos!$D$7)*(Supuestos!$F$7-Supuestos!$E$7))),IF(Supuestos!$C$7="Uniforme",Supuestos!$D$7+D120*(Supuestos!$E$7-Supuestos!$D$7),IF(Supuestos!$C$7="Lognormal",LOGINV(D120,LN(Supuestos!$D$7)-LN(1+Supuestos!$E$7^2/Supuestos!$D$7^2)/2,SQRT(LN(1+Supuestos!$E$7^2/Supuestos!$D$7^2))),Supuestos!$D$7))))))</f>
        <v/>
      </c>
      <c r="L120" s="32">
        <f>MIN(IF(Supuestos!$H$8="",1E+99,Supuestos!$H$8),MAX(IF(Supuestos!$G$8="",-1E+99,Supuestos!$G$8),IF(Supuestos!$C$8="Normal",NORMINV(E120,Supuestos!$D$8,Supuestos!$E$8),IF(Supuestos!$C$8="Triangular",IF(E120&lt;(Supuestos!$E$8-Supuestos!$D$8)/(Supuestos!$F$8-Supuestos!$D$8),Supuestos!$D$8+SQRT(E120*(Supuestos!$F$8-Supuestos!$D$8)*(Supuestos!$E$8-Supuestos!$D$8)),Supuestos!$F$8-SQRT((1-E120)*(Supuestos!$F$8-Supuestos!$D$8)*(Supuestos!$F$8-Supuestos!$E$8))),IF(Supuestos!$C$8="Uniforme",Supuestos!$D$8+E120*(Supuestos!$E$8-Supuestos!$D$8),IF(Supuestos!$C$8="Lognormal",LOGINV(E120,LN(Supuestos!$D$8)-LN(1+Supuestos!$E$8^2/Supuestos!$D$8^2)/2,SQRT(LN(1+Supuestos!$E$8^2/Supuestos!$D$8^2))),Supuestos!$D$8))))))</f>
        <v/>
      </c>
      <c r="M120" s="32">
        <f>MIN(IF(Supuestos!$H$9="",1E+99,Supuestos!$H$9),MAX(IF(Supuestos!$G$9="",-1E+99,Supuestos!$G$9),IF(Supuestos!$C$9="Normal",NORMINV(F120,Supuestos!$D$9,Supuestos!$E$9),IF(Supuestos!$C$9="Triangular",IF(F120&lt;(Supuestos!$E$9-Supuestos!$D$9)/(Supuestos!$F$9-Supuestos!$D$9),Supuestos!$D$9+SQRT(F120*(Supuestos!$F$9-Supuestos!$D$9)*(Supuestos!$E$9-Supuestos!$D$9)),Supuestos!$F$9-SQRT((1-F120)*(Supuestos!$F$9-Supuestos!$D$9)*(Supuestos!$F$9-Supuestos!$E$9))),IF(Supuestos!$C$9="Uniforme",Supuestos!$D$9+F120*(Supuestos!$E$9-Supuestos!$D$9),IF(Supuestos!$C$9="Lognormal",LOGINV(F120,LN(Supuestos!$D$9)-LN(1+Supuestos!$E$9^2/Supuestos!$D$9^2)/2,SQRT(LN(1+Supuestos!$E$9^2/Supuestos!$D$9^2))),Supuestos!$D$9))))))</f>
        <v/>
      </c>
      <c r="N120" s="32">
        <f>MIN(IF(Supuestos!$H$10="",1E+99,Supuestos!$H$10),MAX(IF(Supuestos!$G$10="",-1E+99,Supuestos!$G$10),IF(Supuestos!$C$10="Normal",NORMINV(G120,Supuestos!$D$10,Supuestos!$E$10),IF(Supuestos!$C$10="Triangular",IF(G120&lt;(Supuestos!$E$10-Supuestos!$D$10)/(Supuestos!$F$10-Supuestos!$D$10),Supuestos!$D$10+SQRT(G120*(Supuestos!$F$10-Supuestos!$D$10)*(Supuestos!$E$10-Supuestos!$D$10)),Supuestos!$F$10-SQRT((1-G120)*(Supuestos!$F$10-Supuestos!$D$10)*(Supuestos!$F$10-Supuestos!$E$10))),IF(Supuestos!$C$10="Uniforme",Supuestos!$D$10+G120*(Supuestos!$E$10-Supuestos!$D$10),IF(Supuestos!$C$10="Lognormal",LOGINV(G120,LN(Supuestos!$D$10)-LN(1+Supuestos!$E$10^2/Supuestos!$D$10^2)/2,SQRT(LN(1+Supuestos!$E$10^2/Supuestos!$D$10^2))),Supuestos!$D$10))))))</f>
        <v/>
      </c>
      <c r="O120" s="31">
        <f>MIN(IF(Supuestos!$H$11="",1E+99,Supuestos!$H$11),MAX(IF(Supuestos!$G$11="",-1E+99,Supuestos!$G$11),IF(Supuestos!$C$11="Normal",NORMINV(H120,Supuestos!$D$11,Supuestos!$E$11),IF(Supuestos!$C$11="Triangular",IF(H120&lt;(Supuestos!$E$11-Supuestos!$D$11)/(Supuestos!$F$11-Supuestos!$D$11),Supuestos!$D$11+SQRT(H120*(Supuestos!$F$11-Supuestos!$D$11)*(Supuestos!$E$11-Supuestos!$D$11)),Supuestos!$F$11-SQRT((1-H120)*(Supuestos!$F$11-Supuestos!$D$11)*(Supuestos!$F$11-Supuestos!$E$11))),IF(Supuestos!$C$11="Uniforme",Supuestos!$D$11+H120*(Supuestos!$E$11-Supuestos!$D$11),IF(Supuestos!$C$11="Lognormal",LOGINV(H120,LN(Supuestos!$D$11)-LN(1+Supuestos!$E$11^2/Supuestos!$D$11^2)/2,SQRT(LN(1+Supuestos!$E$11^2/Supuestos!$D$11^2))),Supuestos!$D$11))))))</f>
        <v/>
      </c>
      <c r="P120" s="33">
        <f>-I120</f>
        <v/>
      </c>
      <c r="Q120" s="33">
        <f>$J120*(1+$K120)^(1-1)*(1-$L120)*(1-$M120)</f>
        <v/>
      </c>
      <c r="R120" s="33">
        <f>$J120*(1+$K120)^(2-1)*(1-$L120)*(1-$M120)</f>
        <v/>
      </c>
      <c r="S120" s="33">
        <f>$J120*(1+$K120)^(3-1)*(1-$L120)*(1-$M120)</f>
        <v/>
      </c>
      <c r="T120" s="33">
        <f>$J120*(1+$K120)^(4-1)*(1-$L120)*(1-$M120)</f>
        <v/>
      </c>
      <c r="U120" s="33">
        <f>$J120*(1+$K120)^(5-1)*(1-$L120)*(1-$M120)+$O120</f>
        <v/>
      </c>
      <c r="V120" s="33">
        <f>P120+NPV($N120,Q120:U120)</f>
        <v/>
      </c>
      <c r="W120" s="32">
        <f>IFERROR(IRR(P120:U120,0.1),"")</f>
        <v/>
      </c>
    </row>
    <row r="121">
      <c r="A121" s="14" t="n">
        <v>117</v>
      </c>
      <c r="B121" s="30">
        <f>RAND()*(1-2E-6)+1E-6</f>
        <v/>
      </c>
      <c r="C121" s="30">
        <f>RAND()*(1-2E-6)+1E-6</f>
        <v/>
      </c>
      <c r="D121" s="30">
        <f>RAND()*(1-2E-6)+1E-6</f>
        <v/>
      </c>
      <c r="E121" s="30">
        <f>RAND()*(1-2E-6)+1E-6</f>
        <v/>
      </c>
      <c r="F121" s="30">
        <f>RAND()*(1-2E-6)+1E-6</f>
        <v/>
      </c>
      <c r="G121" s="30">
        <f>RAND()*(1-2E-6)+1E-6</f>
        <v/>
      </c>
      <c r="H121" s="30">
        <f>RAND()*(1-2E-6)+1E-6</f>
        <v/>
      </c>
      <c r="I121" s="31">
        <f>MIN(IF(Supuestos!$H$5="",1E+99,Supuestos!$H$5),MAX(IF(Supuestos!$G$5="",-1E+99,Supuestos!$G$5),IF(Supuestos!$C$5="Normal",NORMINV(B121,Supuestos!$D$5,Supuestos!$E$5),IF(Supuestos!$C$5="Triangular",IF(B121&lt;(Supuestos!$E$5-Supuestos!$D$5)/(Supuestos!$F$5-Supuestos!$D$5),Supuestos!$D$5+SQRT(B121*(Supuestos!$F$5-Supuestos!$D$5)*(Supuestos!$E$5-Supuestos!$D$5)),Supuestos!$F$5-SQRT((1-B121)*(Supuestos!$F$5-Supuestos!$D$5)*(Supuestos!$F$5-Supuestos!$E$5))),IF(Supuestos!$C$5="Uniforme",Supuestos!$D$5+B121*(Supuestos!$E$5-Supuestos!$D$5),IF(Supuestos!$C$5="Lognormal",LOGINV(B121,LN(Supuestos!$D$5)-LN(1+Supuestos!$E$5^2/Supuestos!$D$5^2)/2,SQRT(LN(1+Supuestos!$E$5^2/Supuestos!$D$5^2))),Supuestos!$D$5))))))</f>
        <v/>
      </c>
      <c r="J121" s="31">
        <f>MIN(IF(Supuestos!$H$6="",1E+99,Supuestos!$H$6),MAX(IF(Supuestos!$G$6="",-1E+99,Supuestos!$G$6),IF(Supuestos!$C$6="Normal",NORMINV(C121,Supuestos!$D$6,Supuestos!$E$6),IF(Supuestos!$C$6="Triangular",IF(C121&lt;(Supuestos!$E$6-Supuestos!$D$6)/(Supuestos!$F$6-Supuestos!$D$6),Supuestos!$D$6+SQRT(C121*(Supuestos!$F$6-Supuestos!$D$6)*(Supuestos!$E$6-Supuestos!$D$6)),Supuestos!$F$6-SQRT((1-C121)*(Supuestos!$F$6-Supuestos!$D$6)*(Supuestos!$F$6-Supuestos!$E$6))),IF(Supuestos!$C$6="Uniforme",Supuestos!$D$6+C121*(Supuestos!$E$6-Supuestos!$D$6),IF(Supuestos!$C$6="Lognormal",LOGINV(C121,LN(Supuestos!$D$6)-LN(1+Supuestos!$E$6^2/Supuestos!$D$6^2)/2,SQRT(LN(1+Supuestos!$E$6^2/Supuestos!$D$6^2))),Supuestos!$D$6))))))</f>
        <v/>
      </c>
      <c r="K121" s="32">
        <f>MIN(IF(Supuestos!$H$7="",1E+99,Supuestos!$H$7),MAX(IF(Supuestos!$G$7="",-1E+99,Supuestos!$G$7),IF(Supuestos!$C$7="Normal",NORMINV(D121,Supuestos!$D$7,Supuestos!$E$7),IF(Supuestos!$C$7="Triangular",IF(D121&lt;(Supuestos!$E$7-Supuestos!$D$7)/(Supuestos!$F$7-Supuestos!$D$7),Supuestos!$D$7+SQRT(D121*(Supuestos!$F$7-Supuestos!$D$7)*(Supuestos!$E$7-Supuestos!$D$7)),Supuestos!$F$7-SQRT((1-D121)*(Supuestos!$F$7-Supuestos!$D$7)*(Supuestos!$F$7-Supuestos!$E$7))),IF(Supuestos!$C$7="Uniforme",Supuestos!$D$7+D121*(Supuestos!$E$7-Supuestos!$D$7),IF(Supuestos!$C$7="Lognormal",LOGINV(D121,LN(Supuestos!$D$7)-LN(1+Supuestos!$E$7^2/Supuestos!$D$7^2)/2,SQRT(LN(1+Supuestos!$E$7^2/Supuestos!$D$7^2))),Supuestos!$D$7))))))</f>
        <v/>
      </c>
      <c r="L121" s="32">
        <f>MIN(IF(Supuestos!$H$8="",1E+99,Supuestos!$H$8),MAX(IF(Supuestos!$G$8="",-1E+99,Supuestos!$G$8),IF(Supuestos!$C$8="Normal",NORMINV(E121,Supuestos!$D$8,Supuestos!$E$8),IF(Supuestos!$C$8="Triangular",IF(E121&lt;(Supuestos!$E$8-Supuestos!$D$8)/(Supuestos!$F$8-Supuestos!$D$8),Supuestos!$D$8+SQRT(E121*(Supuestos!$F$8-Supuestos!$D$8)*(Supuestos!$E$8-Supuestos!$D$8)),Supuestos!$F$8-SQRT((1-E121)*(Supuestos!$F$8-Supuestos!$D$8)*(Supuestos!$F$8-Supuestos!$E$8))),IF(Supuestos!$C$8="Uniforme",Supuestos!$D$8+E121*(Supuestos!$E$8-Supuestos!$D$8),IF(Supuestos!$C$8="Lognormal",LOGINV(E121,LN(Supuestos!$D$8)-LN(1+Supuestos!$E$8^2/Supuestos!$D$8^2)/2,SQRT(LN(1+Supuestos!$E$8^2/Supuestos!$D$8^2))),Supuestos!$D$8))))))</f>
        <v/>
      </c>
      <c r="M121" s="32">
        <f>MIN(IF(Supuestos!$H$9="",1E+99,Supuestos!$H$9),MAX(IF(Supuestos!$G$9="",-1E+99,Supuestos!$G$9),IF(Supuestos!$C$9="Normal",NORMINV(F121,Supuestos!$D$9,Supuestos!$E$9),IF(Supuestos!$C$9="Triangular",IF(F121&lt;(Supuestos!$E$9-Supuestos!$D$9)/(Supuestos!$F$9-Supuestos!$D$9),Supuestos!$D$9+SQRT(F121*(Supuestos!$F$9-Supuestos!$D$9)*(Supuestos!$E$9-Supuestos!$D$9)),Supuestos!$F$9-SQRT((1-F121)*(Supuestos!$F$9-Supuestos!$D$9)*(Supuestos!$F$9-Supuestos!$E$9))),IF(Supuestos!$C$9="Uniforme",Supuestos!$D$9+F121*(Supuestos!$E$9-Supuestos!$D$9),IF(Supuestos!$C$9="Lognormal",LOGINV(F121,LN(Supuestos!$D$9)-LN(1+Supuestos!$E$9^2/Supuestos!$D$9^2)/2,SQRT(LN(1+Supuestos!$E$9^2/Supuestos!$D$9^2))),Supuestos!$D$9))))))</f>
        <v/>
      </c>
      <c r="N121" s="32">
        <f>MIN(IF(Supuestos!$H$10="",1E+99,Supuestos!$H$10),MAX(IF(Supuestos!$G$10="",-1E+99,Supuestos!$G$10),IF(Supuestos!$C$10="Normal",NORMINV(G121,Supuestos!$D$10,Supuestos!$E$10),IF(Supuestos!$C$10="Triangular",IF(G121&lt;(Supuestos!$E$10-Supuestos!$D$10)/(Supuestos!$F$10-Supuestos!$D$10),Supuestos!$D$10+SQRT(G121*(Supuestos!$F$10-Supuestos!$D$10)*(Supuestos!$E$10-Supuestos!$D$10)),Supuestos!$F$10-SQRT((1-G121)*(Supuestos!$F$10-Supuestos!$D$10)*(Supuestos!$F$10-Supuestos!$E$10))),IF(Supuestos!$C$10="Uniforme",Supuestos!$D$10+G121*(Supuestos!$E$10-Supuestos!$D$10),IF(Supuestos!$C$10="Lognormal",LOGINV(G121,LN(Supuestos!$D$10)-LN(1+Supuestos!$E$10^2/Supuestos!$D$10^2)/2,SQRT(LN(1+Supuestos!$E$10^2/Supuestos!$D$10^2))),Supuestos!$D$10))))))</f>
        <v/>
      </c>
      <c r="O121" s="31">
        <f>MIN(IF(Supuestos!$H$11="",1E+99,Supuestos!$H$11),MAX(IF(Supuestos!$G$11="",-1E+99,Supuestos!$G$11),IF(Supuestos!$C$11="Normal",NORMINV(H121,Supuestos!$D$11,Supuestos!$E$11),IF(Supuestos!$C$11="Triangular",IF(H121&lt;(Supuestos!$E$11-Supuestos!$D$11)/(Supuestos!$F$11-Supuestos!$D$11),Supuestos!$D$11+SQRT(H121*(Supuestos!$F$11-Supuestos!$D$11)*(Supuestos!$E$11-Supuestos!$D$11)),Supuestos!$F$11-SQRT((1-H121)*(Supuestos!$F$11-Supuestos!$D$11)*(Supuestos!$F$11-Supuestos!$E$11))),IF(Supuestos!$C$11="Uniforme",Supuestos!$D$11+H121*(Supuestos!$E$11-Supuestos!$D$11),IF(Supuestos!$C$11="Lognormal",LOGINV(H121,LN(Supuestos!$D$11)-LN(1+Supuestos!$E$11^2/Supuestos!$D$11^2)/2,SQRT(LN(1+Supuestos!$E$11^2/Supuestos!$D$11^2))),Supuestos!$D$11))))))</f>
        <v/>
      </c>
      <c r="P121" s="33">
        <f>-I121</f>
        <v/>
      </c>
      <c r="Q121" s="33">
        <f>$J121*(1+$K121)^(1-1)*(1-$L121)*(1-$M121)</f>
        <v/>
      </c>
      <c r="R121" s="33">
        <f>$J121*(1+$K121)^(2-1)*(1-$L121)*(1-$M121)</f>
        <v/>
      </c>
      <c r="S121" s="33">
        <f>$J121*(1+$K121)^(3-1)*(1-$L121)*(1-$M121)</f>
        <v/>
      </c>
      <c r="T121" s="33">
        <f>$J121*(1+$K121)^(4-1)*(1-$L121)*(1-$M121)</f>
        <v/>
      </c>
      <c r="U121" s="33">
        <f>$J121*(1+$K121)^(5-1)*(1-$L121)*(1-$M121)+$O121</f>
        <v/>
      </c>
      <c r="V121" s="33">
        <f>P121+NPV($N121,Q121:U121)</f>
        <v/>
      </c>
      <c r="W121" s="32">
        <f>IFERROR(IRR(P121:U121,0.1),"")</f>
        <v/>
      </c>
    </row>
    <row r="122">
      <c r="A122" s="14" t="n">
        <v>118</v>
      </c>
      <c r="B122" s="30">
        <f>RAND()*(1-2E-6)+1E-6</f>
        <v/>
      </c>
      <c r="C122" s="30">
        <f>RAND()*(1-2E-6)+1E-6</f>
        <v/>
      </c>
      <c r="D122" s="30">
        <f>RAND()*(1-2E-6)+1E-6</f>
        <v/>
      </c>
      <c r="E122" s="30">
        <f>RAND()*(1-2E-6)+1E-6</f>
        <v/>
      </c>
      <c r="F122" s="30">
        <f>RAND()*(1-2E-6)+1E-6</f>
        <v/>
      </c>
      <c r="G122" s="30">
        <f>RAND()*(1-2E-6)+1E-6</f>
        <v/>
      </c>
      <c r="H122" s="30">
        <f>RAND()*(1-2E-6)+1E-6</f>
        <v/>
      </c>
      <c r="I122" s="31">
        <f>MIN(IF(Supuestos!$H$5="",1E+99,Supuestos!$H$5),MAX(IF(Supuestos!$G$5="",-1E+99,Supuestos!$G$5),IF(Supuestos!$C$5="Normal",NORMINV(B122,Supuestos!$D$5,Supuestos!$E$5),IF(Supuestos!$C$5="Triangular",IF(B122&lt;(Supuestos!$E$5-Supuestos!$D$5)/(Supuestos!$F$5-Supuestos!$D$5),Supuestos!$D$5+SQRT(B122*(Supuestos!$F$5-Supuestos!$D$5)*(Supuestos!$E$5-Supuestos!$D$5)),Supuestos!$F$5-SQRT((1-B122)*(Supuestos!$F$5-Supuestos!$D$5)*(Supuestos!$F$5-Supuestos!$E$5))),IF(Supuestos!$C$5="Uniforme",Supuestos!$D$5+B122*(Supuestos!$E$5-Supuestos!$D$5),IF(Supuestos!$C$5="Lognormal",LOGINV(B122,LN(Supuestos!$D$5)-LN(1+Supuestos!$E$5^2/Supuestos!$D$5^2)/2,SQRT(LN(1+Supuestos!$E$5^2/Supuestos!$D$5^2))),Supuestos!$D$5))))))</f>
        <v/>
      </c>
      <c r="J122" s="31">
        <f>MIN(IF(Supuestos!$H$6="",1E+99,Supuestos!$H$6),MAX(IF(Supuestos!$G$6="",-1E+99,Supuestos!$G$6),IF(Supuestos!$C$6="Normal",NORMINV(C122,Supuestos!$D$6,Supuestos!$E$6),IF(Supuestos!$C$6="Triangular",IF(C122&lt;(Supuestos!$E$6-Supuestos!$D$6)/(Supuestos!$F$6-Supuestos!$D$6),Supuestos!$D$6+SQRT(C122*(Supuestos!$F$6-Supuestos!$D$6)*(Supuestos!$E$6-Supuestos!$D$6)),Supuestos!$F$6-SQRT((1-C122)*(Supuestos!$F$6-Supuestos!$D$6)*(Supuestos!$F$6-Supuestos!$E$6))),IF(Supuestos!$C$6="Uniforme",Supuestos!$D$6+C122*(Supuestos!$E$6-Supuestos!$D$6),IF(Supuestos!$C$6="Lognormal",LOGINV(C122,LN(Supuestos!$D$6)-LN(1+Supuestos!$E$6^2/Supuestos!$D$6^2)/2,SQRT(LN(1+Supuestos!$E$6^2/Supuestos!$D$6^2))),Supuestos!$D$6))))))</f>
        <v/>
      </c>
      <c r="K122" s="32">
        <f>MIN(IF(Supuestos!$H$7="",1E+99,Supuestos!$H$7),MAX(IF(Supuestos!$G$7="",-1E+99,Supuestos!$G$7),IF(Supuestos!$C$7="Normal",NORMINV(D122,Supuestos!$D$7,Supuestos!$E$7),IF(Supuestos!$C$7="Triangular",IF(D122&lt;(Supuestos!$E$7-Supuestos!$D$7)/(Supuestos!$F$7-Supuestos!$D$7),Supuestos!$D$7+SQRT(D122*(Supuestos!$F$7-Supuestos!$D$7)*(Supuestos!$E$7-Supuestos!$D$7)),Supuestos!$F$7-SQRT((1-D122)*(Supuestos!$F$7-Supuestos!$D$7)*(Supuestos!$F$7-Supuestos!$E$7))),IF(Supuestos!$C$7="Uniforme",Supuestos!$D$7+D122*(Supuestos!$E$7-Supuestos!$D$7),IF(Supuestos!$C$7="Lognormal",LOGINV(D122,LN(Supuestos!$D$7)-LN(1+Supuestos!$E$7^2/Supuestos!$D$7^2)/2,SQRT(LN(1+Supuestos!$E$7^2/Supuestos!$D$7^2))),Supuestos!$D$7))))))</f>
        <v/>
      </c>
      <c r="L122" s="32">
        <f>MIN(IF(Supuestos!$H$8="",1E+99,Supuestos!$H$8),MAX(IF(Supuestos!$G$8="",-1E+99,Supuestos!$G$8),IF(Supuestos!$C$8="Normal",NORMINV(E122,Supuestos!$D$8,Supuestos!$E$8),IF(Supuestos!$C$8="Triangular",IF(E122&lt;(Supuestos!$E$8-Supuestos!$D$8)/(Supuestos!$F$8-Supuestos!$D$8),Supuestos!$D$8+SQRT(E122*(Supuestos!$F$8-Supuestos!$D$8)*(Supuestos!$E$8-Supuestos!$D$8)),Supuestos!$F$8-SQRT((1-E122)*(Supuestos!$F$8-Supuestos!$D$8)*(Supuestos!$F$8-Supuestos!$E$8))),IF(Supuestos!$C$8="Uniforme",Supuestos!$D$8+E122*(Supuestos!$E$8-Supuestos!$D$8),IF(Supuestos!$C$8="Lognormal",LOGINV(E122,LN(Supuestos!$D$8)-LN(1+Supuestos!$E$8^2/Supuestos!$D$8^2)/2,SQRT(LN(1+Supuestos!$E$8^2/Supuestos!$D$8^2))),Supuestos!$D$8))))))</f>
        <v/>
      </c>
      <c r="M122" s="32">
        <f>MIN(IF(Supuestos!$H$9="",1E+99,Supuestos!$H$9),MAX(IF(Supuestos!$G$9="",-1E+99,Supuestos!$G$9),IF(Supuestos!$C$9="Normal",NORMINV(F122,Supuestos!$D$9,Supuestos!$E$9),IF(Supuestos!$C$9="Triangular",IF(F122&lt;(Supuestos!$E$9-Supuestos!$D$9)/(Supuestos!$F$9-Supuestos!$D$9),Supuestos!$D$9+SQRT(F122*(Supuestos!$F$9-Supuestos!$D$9)*(Supuestos!$E$9-Supuestos!$D$9)),Supuestos!$F$9-SQRT((1-F122)*(Supuestos!$F$9-Supuestos!$D$9)*(Supuestos!$F$9-Supuestos!$E$9))),IF(Supuestos!$C$9="Uniforme",Supuestos!$D$9+F122*(Supuestos!$E$9-Supuestos!$D$9),IF(Supuestos!$C$9="Lognormal",LOGINV(F122,LN(Supuestos!$D$9)-LN(1+Supuestos!$E$9^2/Supuestos!$D$9^2)/2,SQRT(LN(1+Supuestos!$E$9^2/Supuestos!$D$9^2))),Supuestos!$D$9))))))</f>
        <v/>
      </c>
      <c r="N122" s="32">
        <f>MIN(IF(Supuestos!$H$10="",1E+99,Supuestos!$H$10),MAX(IF(Supuestos!$G$10="",-1E+99,Supuestos!$G$10),IF(Supuestos!$C$10="Normal",NORMINV(G122,Supuestos!$D$10,Supuestos!$E$10),IF(Supuestos!$C$10="Triangular",IF(G122&lt;(Supuestos!$E$10-Supuestos!$D$10)/(Supuestos!$F$10-Supuestos!$D$10),Supuestos!$D$10+SQRT(G122*(Supuestos!$F$10-Supuestos!$D$10)*(Supuestos!$E$10-Supuestos!$D$10)),Supuestos!$F$10-SQRT((1-G122)*(Supuestos!$F$10-Supuestos!$D$10)*(Supuestos!$F$10-Supuestos!$E$10))),IF(Supuestos!$C$10="Uniforme",Supuestos!$D$10+G122*(Supuestos!$E$10-Supuestos!$D$10),IF(Supuestos!$C$10="Lognormal",LOGINV(G122,LN(Supuestos!$D$10)-LN(1+Supuestos!$E$10^2/Supuestos!$D$10^2)/2,SQRT(LN(1+Supuestos!$E$10^2/Supuestos!$D$10^2))),Supuestos!$D$10))))))</f>
        <v/>
      </c>
      <c r="O122" s="31">
        <f>MIN(IF(Supuestos!$H$11="",1E+99,Supuestos!$H$11),MAX(IF(Supuestos!$G$11="",-1E+99,Supuestos!$G$11),IF(Supuestos!$C$11="Normal",NORMINV(H122,Supuestos!$D$11,Supuestos!$E$11),IF(Supuestos!$C$11="Triangular",IF(H122&lt;(Supuestos!$E$11-Supuestos!$D$11)/(Supuestos!$F$11-Supuestos!$D$11),Supuestos!$D$11+SQRT(H122*(Supuestos!$F$11-Supuestos!$D$11)*(Supuestos!$E$11-Supuestos!$D$11)),Supuestos!$F$11-SQRT((1-H122)*(Supuestos!$F$11-Supuestos!$D$11)*(Supuestos!$F$11-Supuestos!$E$11))),IF(Supuestos!$C$11="Uniforme",Supuestos!$D$11+H122*(Supuestos!$E$11-Supuestos!$D$11),IF(Supuestos!$C$11="Lognormal",LOGINV(H122,LN(Supuestos!$D$11)-LN(1+Supuestos!$E$11^2/Supuestos!$D$11^2)/2,SQRT(LN(1+Supuestos!$E$11^2/Supuestos!$D$11^2))),Supuestos!$D$11))))))</f>
        <v/>
      </c>
      <c r="P122" s="33">
        <f>-I122</f>
        <v/>
      </c>
      <c r="Q122" s="33">
        <f>$J122*(1+$K122)^(1-1)*(1-$L122)*(1-$M122)</f>
        <v/>
      </c>
      <c r="R122" s="33">
        <f>$J122*(1+$K122)^(2-1)*(1-$L122)*(1-$M122)</f>
        <v/>
      </c>
      <c r="S122" s="33">
        <f>$J122*(1+$K122)^(3-1)*(1-$L122)*(1-$M122)</f>
        <v/>
      </c>
      <c r="T122" s="33">
        <f>$J122*(1+$K122)^(4-1)*(1-$L122)*(1-$M122)</f>
        <v/>
      </c>
      <c r="U122" s="33">
        <f>$J122*(1+$K122)^(5-1)*(1-$L122)*(1-$M122)+$O122</f>
        <v/>
      </c>
      <c r="V122" s="33">
        <f>P122+NPV($N122,Q122:U122)</f>
        <v/>
      </c>
      <c r="W122" s="32">
        <f>IFERROR(IRR(P122:U122,0.1),"")</f>
        <v/>
      </c>
    </row>
    <row r="123">
      <c r="A123" s="14" t="n">
        <v>119</v>
      </c>
      <c r="B123" s="30">
        <f>RAND()*(1-2E-6)+1E-6</f>
        <v/>
      </c>
      <c r="C123" s="30">
        <f>RAND()*(1-2E-6)+1E-6</f>
        <v/>
      </c>
      <c r="D123" s="30">
        <f>RAND()*(1-2E-6)+1E-6</f>
        <v/>
      </c>
      <c r="E123" s="30">
        <f>RAND()*(1-2E-6)+1E-6</f>
        <v/>
      </c>
      <c r="F123" s="30">
        <f>RAND()*(1-2E-6)+1E-6</f>
        <v/>
      </c>
      <c r="G123" s="30">
        <f>RAND()*(1-2E-6)+1E-6</f>
        <v/>
      </c>
      <c r="H123" s="30">
        <f>RAND()*(1-2E-6)+1E-6</f>
        <v/>
      </c>
      <c r="I123" s="31">
        <f>MIN(IF(Supuestos!$H$5="",1E+99,Supuestos!$H$5),MAX(IF(Supuestos!$G$5="",-1E+99,Supuestos!$G$5),IF(Supuestos!$C$5="Normal",NORMINV(B123,Supuestos!$D$5,Supuestos!$E$5),IF(Supuestos!$C$5="Triangular",IF(B123&lt;(Supuestos!$E$5-Supuestos!$D$5)/(Supuestos!$F$5-Supuestos!$D$5),Supuestos!$D$5+SQRT(B123*(Supuestos!$F$5-Supuestos!$D$5)*(Supuestos!$E$5-Supuestos!$D$5)),Supuestos!$F$5-SQRT((1-B123)*(Supuestos!$F$5-Supuestos!$D$5)*(Supuestos!$F$5-Supuestos!$E$5))),IF(Supuestos!$C$5="Uniforme",Supuestos!$D$5+B123*(Supuestos!$E$5-Supuestos!$D$5),IF(Supuestos!$C$5="Lognormal",LOGINV(B123,LN(Supuestos!$D$5)-LN(1+Supuestos!$E$5^2/Supuestos!$D$5^2)/2,SQRT(LN(1+Supuestos!$E$5^2/Supuestos!$D$5^2))),Supuestos!$D$5))))))</f>
        <v/>
      </c>
      <c r="J123" s="31">
        <f>MIN(IF(Supuestos!$H$6="",1E+99,Supuestos!$H$6),MAX(IF(Supuestos!$G$6="",-1E+99,Supuestos!$G$6),IF(Supuestos!$C$6="Normal",NORMINV(C123,Supuestos!$D$6,Supuestos!$E$6),IF(Supuestos!$C$6="Triangular",IF(C123&lt;(Supuestos!$E$6-Supuestos!$D$6)/(Supuestos!$F$6-Supuestos!$D$6),Supuestos!$D$6+SQRT(C123*(Supuestos!$F$6-Supuestos!$D$6)*(Supuestos!$E$6-Supuestos!$D$6)),Supuestos!$F$6-SQRT((1-C123)*(Supuestos!$F$6-Supuestos!$D$6)*(Supuestos!$F$6-Supuestos!$E$6))),IF(Supuestos!$C$6="Uniforme",Supuestos!$D$6+C123*(Supuestos!$E$6-Supuestos!$D$6),IF(Supuestos!$C$6="Lognormal",LOGINV(C123,LN(Supuestos!$D$6)-LN(1+Supuestos!$E$6^2/Supuestos!$D$6^2)/2,SQRT(LN(1+Supuestos!$E$6^2/Supuestos!$D$6^2))),Supuestos!$D$6))))))</f>
        <v/>
      </c>
      <c r="K123" s="32">
        <f>MIN(IF(Supuestos!$H$7="",1E+99,Supuestos!$H$7),MAX(IF(Supuestos!$G$7="",-1E+99,Supuestos!$G$7),IF(Supuestos!$C$7="Normal",NORMINV(D123,Supuestos!$D$7,Supuestos!$E$7),IF(Supuestos!$C$7="Triangular",IF(D123&lt;(Supuestos!$E$7-Supuestos!$D$7)/(Supuestos!$F$7-Supuestos!$D$7),Supuestos!$D$7+SQRT(D123*(Supuestos!$F$7-Supuestos!$D$7)*(Supuestos!$E$7-Supuestos!$D$7)),Supuestos!$F$7-SQRT((1-D123)*(Supuestos!$F$7-Supuestos!$D$7)*(Supuestos!$F$7-Supuestos!$E$7))),IF(Supuestos!$C$7="Uniforme",Supuestos!$D$7+D123*(Supuestos!$E$7-Supuestos!$D$7),IF(Supuestos!$C$7="Lognormal",LOGINV(D123,LN(Supuestos!$D$7)-LN(1+Supuestos!$E$7^2/Supuestos!$D$7^2)/2,SQRT(LN(1+Supuestos!$E$7^2/Supuestos!$D$7^2))),Supuestos!$D$7))))))</f>
        <v/>
      </c>
      <c r="L123" s="32">
        <f>MIN(IF(Supuestos!$H$8="",1E+99,Supuestos!$H$8),MAX(IF(Supuestos!$G$8="",-1E+99,Supuestos!$G$8),IF(Supuestos!$C$8="Normal",NORMINV(E123,Supuestos!$D$8,Supuestos!$E$8),IF(Supuestos!$C$8="Triangular",IF(E123&lt;(Supuestos!$E$8-Supuestos!$D$8)/(Supuestos!$F$8-Supuestos!$D$8),Supuestos!$D$8+SQRT(E123*(Supuestos!$F$8-Supuestos!$D$8)*(Supuestos!$E$8-Supuestos!$D$8)),Supuestos!$F$8-SQRT((1-E123)*(Supuestos!$F$8-Supuestos!$D$8)*(Supuestos!$F$8-Supuestos!$E$8))),IF(Supuestos!$C$8="Uniforme",Supuestos!$D$8+E123*(Supuestos!$E$8-Supuestos!$D$8),IF(Supuestos!$C$8="Lognormal",LOGINV(E123,LN(Supuestos!$D$8)-LN(1+Supuestos!$E$8^2/Supuestos!$D$8^2)/2,SQRT(LN(1+Supuestos!$E$8^2/Supuestos!$D$8^2))),Supuestos!$D$8))))))</f>
        <v/>
      </c>
      <c r="M123" s="32">
        <f>MIN(IF(Supuestos!$H$9="",1E+99,Supuestos!$H$9),MAX(IF(Supuestos!$G$9="",-1E+99,Supuestos!$G$9),IF(Supuestos!$C$9="Normal",NORMINV(F123,Supuestos!$D$9,Supuestos!$E$9),IF(Supuestos!$C$9="Triangular",IF(F123&lt;(Supuestos!$E$9-Supuestos!$D$9)/(Supuestos!$F$9-Supuestos!$D$9),Supuestos!$D$9+SQRT(F123*(Supuestos!$F$9-Supuestos!$D$9)*(Supuestos!$E$9-Supuestos!$D$9)),Supuestos!$F$9-SQRT((1-F123)*(Supuestos!$F$9-Supuestos!$D$9)*(Supuestos!$F$9-Supuestos!$E$9))),IF(Supuestos!$C$9="Uniforme",Supuestos!$D$9+F123*(Supuestos!$E$9-Supuestos!$D$9),IF(Supuestos!$C$9="Lognormal",LOGINV(F123,LN(Supuestos!$D$9)-LN(1+Supuestos!$E$9^2/Supuestos!$D$9^2)/2,SQRT(LN(1+Supuestos!$E$9^2/Supuestos!$D$9^2))),Supuestos!$D$9))))))</f>
        <v/>
      </c>
      <c r="N123" s="32">
        <f>MIN(IF(Supuestos!$H$10="",1E+99,Supuestos!$H$10),MAX(IF(Supuestos!$G$10="",-1E+99,Supuestos!$G$10),IF(Supuestos!$C$10="Normal",NORMINV(G123,Supuestos!$D$10,Supuestos!$E$10),IF(Supuestos!$C$10="Triangular",IF(G123&lt;(Supuestos!$E$10-Supuestos!$D$10)/(Supuestos!$F$10-Supuestos!$D$10),Supuestos!$D$10+SQRT(G123*(Supuestos!$F$10-Supuestos!$D$10)*(Supuestos!$E$10-Supuestos!$D$10)),Supuestos!$F$10-SQRT((1-G123)*(Supuestos!$F$10-Supuestos!$D$10)*(Supuestos!$F$10-Supuestos!$E$10))),IF(Supuestos!$C$10="Uniforme",Supuestos!$D$10+G123*(Supuestos!$E$10-Supuestos!$D$10),IF(Supuestos!$C$10="Lognormal",LOGINV(G123,LN(Supuestos!$D$10)-LN(1+Supuestos!$E$10^2/Supuestos!$D$10^2)/2,SQRT(LN(1+Supuestos!$E$10^2/Supuestos!$D$10^2))),Supuestos!$D$10))))))</f>
        <v/>
      </c>
      <c r="O123" s="31">
        <f>MIN(IF(Supuestos!$H$11="",1E+99,Supuestos!$H$11),MAX(IF(Supuestos!$G$11="",-1E+99,Supuestos!$G$11),IF(Supuestos!$C$11="Normal",NORMINV(H123,Supuestos!$D$11,Supuestos!$E$11),IF(Supuestos!$C$11="Triangular",IF(H123&lt;(Supuestos!$E$11-Supuestos!$D$11)/(Supuestos!$F$11-Supuestos!$D$11),Supuestos!$D$11+SQRT(H123*(Supuestos!$F$11-Supuestos!$D$11)*(Supuestos!$E$11-Supuestos!$D$11)),Supuestos!$F$11-SQRT((1-H123)*(Supuestos!$F$11-Supuestos!$D$11)*(Supuestos!$F$11-Supuestos!$E$11))),IF(Supuestos!$C$11="Uniforme",Supuestos!$D$11+H123*(Supuestos!$E$11-Supuestos!$D$11),IF(Supuestos!$C$11="Lognormal",LOGINV(H123,LN(Supuestos!$D$11)-LN(1+Supuestos!$E$11^2/Supuestos!$D$11^2)/2,SQRT(LN(1+Supuestos!$E$11^2/Supuestos!$D$11^2))),Supuestos!$D$11))))))</f>
        <v/>
      </c>
      <c r="P123" s="33">
        <f>-I123</f>
        <v/>
      </c>
      <c r="Q123" s="33">
        <f>$J123*(1+$K123)^(1-1)*(1-$L123)*(1-$M123)</f>
        <v/>
      </c>
      <c r="R123" s="33">
        <f>$J123*(1+$K123)^(2-1)*(1-$L123)*(1-$M123)</f>
        <v/>
      </c>
      <c r="S123" s="33">
        <f>$J123*(1+$K123)^(3-1)*(1-$L123)*(1-$M123)</f>
        <v/>
      </c>
      <c r="T123" s="33">
        <f>$J123*(1+$K123)^(4-1)*(1-$L123)*(1-$M123)</f>
        <v/>
      </c>
      <c r="U123" s="33">
        <f>$J123*(1+$K123)^(5-1)*(1-$L123)*(1-$M123)+$O123</f>
        <v/>
      </c>
      <c r="V123" s="33">
        <f>P123+NPV($N123,Q123:U123)</f>
        <v/>
      </c>
      <c r="W123" s="32">
        <f>IFERROR(IRR(P123:U123,0.1),"")</f>
        <v/>
      </c>
    </row>
    <row r="124">
      <c r="A124" s="14" t="n">
        <v>120</v>
      </c>
      <c r="B124" s="30">
        <f>RAND()*(1-2E-6)+1E-6</f>
        <v/>
      </c>
      <c r="C124" s="30">
        <f>RAND()*(1-2E-6)+1E-6</f>
        <v/>
      </c>
      <c r="D124" s="30">
        <f>RAND()*(1-2E-6)+1E-6</f>
        <v/>
      </c>
      <c r="E124" s="30">
        <f>RAND()*(1-2E-6)+1E-6</f>
        <v/>
      </c>
      <c r="F124" s="30">
        <f>RAND()*(1-2E-6)+1E-6</f>
        <v/>
      </c>
      <c r="G124" s="30">
        <f>RAND()*(1-2E-6)+1E-6</f>
        <v/>
      </c>
      <c r="H124" s="30">
        <f>RAND()*(1-2E-6)+1E-6</f>
        <v/>
      </c>
      <c r="I124" s="31">
        <f>MIN(IF(Supuestos!$H$5="",1E+99,Supuestos!$H$5),MAX(IF(Supuestos!$G$5="",-1E+99,Supuestos!$G$5),IF(Supuestos!$C$5="Normal",NORMINV(B124,Supuestos!$D$5,Supuestos!$E$5),IF(Supuestos!$C$5="Triangular",IF(B124&lt;(Supuestos!$E$5-Supuestos!$D$5)/(Supuestos!$F$5-Supuestos!$D$5),Supuestos!$D$5+SQRT(B124*(Supuestos!$F$5-Supuestos!$D$5)*(Supuestos!$E$5-Supuestos!$D$5)),Supuestos!$F$5-SQRT((1-B124)*(Supuestos!$F$5-Supuestos!$D$5)*(Supuestos!$F$5-Supuestos!$E$5))),IF(Supuestos!$C$5="Uniforme",Supuestos!$D$5+B124*(Supuestos!$E$5-Supuestos!$D$5),IF(Supuestos!$C$5="Lognormal",LOGINV(B124,LN(Supuestos!$D$5)-LN(1+Supuestos!$E$5^2/Supuestos!$D$5^2)/2,SQRT(LN(1+Supuestos!$E$5^2/Supuestos!$D$5^2))),Supuestos!$D$5))))))</f>
        <v/>
      </c>
      <c r="J124" s="31">
        <f>MIN(IF(Supuestos!$H$6="",1E+99,Supuestos!$H$6),MAX(IF(Supuestos!$G$6="",-1E+99,Supuestos!$G$6),IF(Supuestos!$C$6="Normal",NORMINV(C124,Supuestos!$D$6,Supuestos!$E$6),IF(Supuestos!$C$6="Triangular",IF(C124&lt;(Supuestos!$E$6-Supuestos!$D$6)/(Supuestos!$F$6-Supuestos!$D$6),Supuestos!$D$6+SQRT(C124*(Supuestos!$F$6-Supuestos!$D$6)*(Supuestos!$E$6-Supuestos!$D$6)),Supuestos!$F$6-SQRT((1-C124)*(Supuestos!$F$6-Supuestos!$D$6)*(Supuestos!$F$6-Supuestos!$E$6))),IF(Supuestos!$C$6="Uniforme",Supuestos!$D$6+C124*(Supuestos!$E$6-Supuestos!$D$6),IF(Supuestos!$C$6="Lognormal",LOGINV(C124,LN(Supuestos!$D$6)-LN(1+Supuestos!$E$6^2/Supuestos!$D$6^2)/2,SQRT(LN(1+Supuestos!$E$6^2/Supuestos!$D$6^2))),Supuestos!$D$6))))))</f>
        <v/>
      </c>
      <c r="K124" s="32">
        <f>MIN(IF(Supuestos!$H$7="",1E+99,Supuestos!$H$7),MAX(IF(Supuestos!$G$7="",-1E+99,Supuestos!$G$7),IF(Supuestos!$C$7="Normal",NORMINV(D124,Supuestos!$D$7,Supuestos!$E$7),IF(Supuestos!$C$7="Triangular",IF(D124&lt;(Supuestos!$E$7-Supuestos!$D$7)/(Supuestos!$F$7-Supuestos!$D$7),Supuestos!$D$7+SQRT(D124*(Supuestos!$F$7-Supuestos!$D$7)*(Supuestos!$E$7-Supuestos!$D$7)),Supuestos!$F$7-SQRT((1-D124)*(Supuestos!$F$7-Supuestos!$D$7)*(Supuestos!$F$7-Supuestos!$E$7))),IF(Supuestos!$C$7="Uniforme",Supuestos!$D$7+D124*(Supuestos!$E$7-Supuestos!$D$7),IF(Supuestos!$C$7="Lognormal",LOGINV(D124,LN(Supuestos!$D$7)-LN(1+Supuestos!$E$7^2/Supuestos!$D$7^2)/2,SQRT(LN(1+Supuestos!$E$7^2/Supuestos!$D$7^2))),Supuestos!$D$7))))))</f>
        <v/>
      </c>
      <c r="L124" s="32">
        <f>MIN(IF(Supuestos!$H$8="",1E+99,Supuestos!$H$8),MAX(IF(Supuestos!$G$8="",-1E+99,Supuestos!$G$8),IF(Supuestos!$C$8="Normal",NORMINV(E124,Supuestos!$D$8,Supuestos!$E$8),IF(Supuestos!$C$8="Triangular",IF(E124&lt;(Supuestos!$E$8-Supuestos!$D$8)/(Supuestos!$F$8-Supuestos!$D$8),Supuestos!$D$8+SQRT(E124*(Supuestos!$F$8-Supuestos!$D$8)*(Supuestos!$E$8-Supuestos!$D$8)),Supuestos!$F$8-SQRT((1-E124)*(Supuestos!$F$8-Supuestos!$D$8)*(Supuestos!$F$8-Supuestos!$E$8))),IF(Supuestos!$C$8="Uniforme",Supuestos!$D$8+E124*(Supuestos!$E$8-Supuestos!$D$8),IF(Supuestos!$C$8="Lognormal",LOGINV(E124,LN(Supuestos!$D$8)-LN(1+Supuestos!$E$8^2/Supuestos!$D$8^2)/2,SQRT(LN(1+Supuestos!$E$8^2/Supuestos!$D$8^2))),Supuestos!$D$8))))))</f>
        <v/>
      </c>
      <c r="M124" s="32">
        <f>MIN(IF(Supuestos!$H$9="",1E+99,Supuestos!$H$9),MAX(IF(Supuestos!$G$9="",-1E+99,Supuestos!$G$9),IF(Supuestos!$C$9="Normal",NORMINV(F124,Supuestos!$D$9,Supuestos!$E$9),IF(Supuestos!$C$9="Triangular",IF(F124&lt;(Supuestos!$E$9-Supuestos!$D$9)/(Supuestos!$F$9-Supuestos!$D$9),Supuestos!$D$9+SQRT(F124*(Supuestos!$F$9-Supuestos!$D$9)*(Supuestos!$E$9-Supuestos!$D$9)),Supuestos!$F$9-SQRT((1-F124)*(Supuestos!$F$9-Supuestos!$D$9)*(Supuestos!$F$9-Supuestos!$E$9))),IF(Supuestos!$C$9="Uniforme",Supuestos!$D$9+F124*(Supuestos!$E$9-Supuestos!$D$9),IF(Supuestos!$C$9="Lognormal",LOGINV(F124,LN(Supuestos!$D$9)-LN(1+Supuestos!$E$9^2/Supuestos!$D$9^2)/2,SQRT(LN(1+Supuestos!$E$9^2/Supuestos!$D$9^2))),Supuestos!$D$9))))))</f>
        <v/>
      </c>
      <c r="N124" s="32">
        <f>MIN(IF(Supuestos!$H$10="",1E+99,Supuestos!$H$10),MAX(IF(Supuestos!$G$10="",-1E+99,Supuestos!$G$10),IF(Supuestos!$C$10="Normal",NORMINV(G124,Supuestos!$D$10,Supuestos!$E$10),IF(Supuestos!$C$10="Triangular",IF(G124&lt;(Supuestos!$E$10-Supuestos!$D$10)/(Supuestos!$F$10-Supuestos!$D$10),Supuestos!$D$10+SQRT(G124*(Supuestos!$F$10-Supuestos!$D$10)*(Supuestos!$E$10-Supuestos!$D$10)),Supuestos!$F$10-SQRT((1-G124)*(Supuestos!$F$10-Supuestos!$D$10)*(Supuestos!$F$10-Supuestos!$E$10))),IF(Supuestos!$C$10="Uniforme",Supuestos!$D$10+G124*(Supuestos!$E$10-Supuestos!$D$10),IF(Supuestos!$C$10="Lognormal",LOGINV(G124,LN(Supuestos!$D$10)-LN(1+Supuestos!$E$10^2/Supuestos!$D$10^2)/2,SQRT(LN(1+Supuestos!$E$10^2/Supuestos!$D$10^2))),Supuestos!$D$10))))))</f>
        <v/>
      </c>
      <c r="O124" s="31">
        <f>MIN(IF(Supuestos!$H$11="",1E+99,Supuestos!$H$11),MAX(IF(Supuestos!$G$11="",-1E+99,Supuestos!$G$11),IF(Supuestos!$C$11="Normal",NORMINV(H124,Supuestos!$D$11,Supuestos!$E$11),IF(Supuestos!$C$11="Triangular",IF(H124&lt;(Supuestos!$E$11-Supuestos!$D$11)/(Supuestos!$F$11-Supuestos!$D$11),Supuestos!$D$11+SQRT(H124*(Supuestos!$F$11-Supuestos!$D$11)*(Supuestos!$E$11-Supuestos!$D$11)),Supuestos!$F$11-SQRT((1-H124)*(Supuestos!$F$11-Supuestos!$D$11)*(Supuestos!$F$11-Supuestos!$E$11))),IF(Supuestos!$C$11="Uniforme",Supuestos!$D$11+H124*(Supuestos!$E$11-Supuestos!$D$11),IF(Supuestos!$C$11="Lognormal",LOGINV(H124,LN(Supuestos!$D$11)-LN(1+Supuestos!$E$11^2/Supuestos!$D$11^2)/2,SQRT(LN(1+Supuestos!$E$11^2/Supuestos!$D$11^2))),Supuestos!$D$11))))))</f>
        <v/>
      </c>
      <c r="P124" s="33">
        <f>-I124</f>
        <v/>
      </c>
      <c r="Q124" s="33">
        <f>$J124*(1+$K124)^(1-1)*(1-$L124)*(1-$M124)</f>
        <v/>
      </c>
      <c r="R124" s="33">
        <f>$J124*(1+$K124)^(2-1)*(1-$L124)*(1-$M124)</f>
        <v/>
      </c>
      <c r="S124" s="33">
        <f>$J124*(1+$K124)^(3-1)*(1-$L124)*(1-$M124)</f>
        <v/>
      </c>
      <c r="T124" s="33">
        <f>$J124*(1+$K124)^(4-1)*(1-$L124)*(1-$M124)</f>
        <v/>
      </c>
      <c r="U124" s="33">
        <f>$J124*(1+$K124)^(5-1)*(1-$L124)*(1-$M124)+$O124</f>
        <v/>
      </c>
      <c r="V124" s="33">
        <f>P124+NPV($N124,Q124:U124)</f>
        <v/>
      </c>
      <c r="W124" s="32">
        <f>IFERROR(IRR(P124:U124,0.1),"")</f>
        <v/>
      </c>
    </row>
    <row r="125">
      <c r="A125" s="14" t="n">
        <v>121</v>
      </c>
      <c r="B125" s="30">
        <f>RAND()*(1-2E-6)+1E-6</f>
        <v/>
      </c>
      <c r="C125" s="30">
        <f>RAND()*(1-2E-6)+1E-6</f>
        <v/>
      </c>
      <c r="D125" s="30">
        <f>RAND()*(1-2E-6)+1E-6</f>
        <v/>
      </c>
      <c r="E125" s="30">
        <f>RAND()*(1-2E-6)+1E-6</f>
        <v/>
      </c>
      <c r="F125" s="30">
        <f>RAND()*(1-2E-6)+1E-6</f>
        <v/>
      </c>
      <c r="G125" s="30">
        <f>RAND()*(1-2E-6)+1E-6</f>
        <v/>
      </c>
      <c r="H125" s="30">
        <f>RAND()*(1-2E-6)+1E-6</f>
        <v/>
      </c>
      <c r="I125" s="31">
        <f>MIN(IF(Supuestos!$H$5="",1E+99,Supuestos!$H$5),MAX(IF(Supuestos!$G$5="",-1E+99,Supuestos!$G$5),IF(Supuestos!$C$5="Normal",NORMINV(B125,Supuestos!$D$5,Supuestos!$E$5),IF(Supuestos!$C$5="Triangular",IF(B125&lt;(Supuestos!$E$5-Supuestos!$D$5)/(Supuestos!$F$5-Supuestos!$D$5),Supuestos!$D$5+SQRT(B125*(Supuestos!$F$5-Supuestos!$D$5)*(Supuestos!$E$5-Supuestos!$D$5)),Supuestos!$F$5-SQRT((1-B125)*(Supuestos!$F$5-Supuestos!$D$5)*(Supuestos!$F$5-Supuestos!$E$5))),IF(Supuestos!$C$5="Uniforme",Supuestos!$D$5+B125*(Supuestos!$E$5-Supuestos!$D$5),IF(Supuestos!$C$5="Lognormal",LOGINV(B125,LN(Supuestos!$D$5)-LN(1+Supuestos!$E$5^2/Supuestos!$D$5^2)/2,SQRT(LN(1+Supuestos!$E$5^2/Supuestos!$D$5^2))),Supuestos!$D$5))))))</f>
        <v/>
      </c>
      <c r="J125" s="31">
        <f>MIN(IF(Supuestos!$H$6="",1E+99,Supuestos!$H$6),MAX(IF(Supuestos!$G$6="",-1E+99,Supuestos!$G$6),IF(Supuestos!$C$6="Normal",NORMINV(C125,Supuestos!$D$6,Supuestos!$E$6),IF(Supuestos!$C$6="Triangular",IF(C125&lt;(Supuestos!$E$6-Supuestos!$D$6)/(Supuestos!$F$6-Supuestos!$D$6),Supuestos!$D$6+SQRT(C125*(Supuestos!$F$6-Supuestos!$D$6)*(Supuestos!$E$6-Supuestos!$D$6)),Supuestos!$F$6-SQRT((1-C125)*(Supuestos!$F$6-Supuestos!$D$6)*(Supuestos!$F$6-Supuestos!$E$6))),IF(Supuestos!$C$6="Uniforme",Supuestos!$D$6+C125*(Supuestos!$E$6-Supuestos!$D$6),IF(Supuestos!$C$6="Lognormal",LOGINV(C125,LN(Supuestos!$D$6)-LN(1+Supuestos!$E$6^2/Supuestos!$D$6^2)/2,SQRT(LN(1+Supuestos!$E$6^2/Supuestos!$D$6^2))),Supuestos!$D$6))))))</f>
        <v/>
      </c>
      <c r="K125" s="32">
        <f>MIN(IF(Supuestos!$H$7="",1E+99,Supuestos!$H$7),MAX(IF(Supuestos!$G$7="",-1E+99,Supuestos!$G$7),IF(Supuestos!$C$7="Normal",NORMINV(D125,Supuestos!$D$7,Supuestos!$E$7),IF(Supuestos!$C$7="Triangular",IF(D125&lt;(Supuestos!$E$7-Supuestos!$D$7)/(Supuestos!$F$7-Supuestos!$D$7),Supuestos!$D$7+SQRT(D125*(Supuestos!$F$7-Supuestos!$D$7)*(Supuestos!$E$7-Supuestos!$D$7)),Supuestos!$F$7-SQRT((1-D125)*(Supuestos!$F$7-Supuestos!$D$7)*(Supuestos!$F$7-Supuestos!$E$7))),IF(Supuestos!$C$7="Uniforme",Supuestos!$D$7+D125*(Supuestos!$E$7-Supuestos!$D$7),IF(Supuestos!$C$7="Lognormal",LOGINV(D125,LN(Supuestos!$D$7)-LN(1+Supuestos!$E$7^2/Supuestos!$D$7^2)/2,SQRT(LN(1+Supuestos!$E$7^2/Supuestos!$D$7^2))),Supuestos!$D$7))))))</f>
        <v/>
      </c>
      <c r="L125" s="32">
        <f>MIN(IF(Supuestos!$H$8="",1E+99,Supuestos!$H$8),MAX(IF(Supuestos!$G$8="",-1E+99,Supuestos!$G$8),IF(Supuestos!$C$8="Normal",NORMINV(E125,Supuestos!$D$8,Supuestos!$E$8),IF(Supuestos!$C$8="Triangular",IF(E125&lt;(Supuestos!$E$8-Supuestos!$D$8)/(Supuestos!$F$8-Supuestos!$D$8),Supuestos!$D$8+SQRT(E125*(Supuestos!$F$8-Supuestos!$D$8)*(Supuestos!$E$8-Supuestos!$D$8)),Supuestos!$F$8-SQRT((1-E125)*(Supuestos!$F$8-Supuestos!$D$8)*(Supuestos!$F$8-Supuestos!$E$8))),IF(Supuestos!$C$8="Uniforme",Supuestos!$D$8+E125*(Supuestos!$E$8-Supuestos!$D$8),IF(Supuestos!$C$8="Lognormal",LOGINV(E125,LN(Supuestos!$D$8)-LN(1+Supuestos!$E$8^2/Supuestos!$D$8^2)/2,SQRT(LN(1+Supuestos!$E$8^2/Supuestos!$D$8^2))),Supuestos!$D$8))))))</f>
        <v/>
      </c>
      <c r="M125" s="32">
        <f>MIN(IF(Supuestos!$H$9="",1E+99,Supuestos!$H$9),MAX(IF(Supuestos!$G$9="",-1E+99,Supuestos!$G$9),IF(Supuestos!$C$9="Normal",NORMINV(F125,Supuestos!$D$9,Supuestos!$E$9),IF(Supuestos!$C$9="Triangular",IF(F125&lt;(Supuestos!$E$9-Supuestos!$D$9)/(Supuestos!$F$9-Supuestos!$D$9),Supuestos!$D$9+SQRT(F125*(Supuestos!$F$9-Supuestos!$D$9)*(Supuestos!$E$9-Supuestos!$D$9)),Supuestos!$F$9-SQRT((1-F125)*(Supuestos!$F$9-Supuestos!$D$9)*(Supuestos!$F$9-Supuestos!$E$9))),IF(Supuestos!$C$9="Uniforme",Supuestos!$D$9+F125*(Supuestos!$E$9-Supuestos!$D$9),IF(Supuestos!$C$9="Lognormal",LOGINV(F125,LN(Supuestos!$D$9)-LN(1+Supuestos!$E$9^2/Supuestos!$D$9^2)/2,SQRT(LN(1+Supuestos!$E$9^2/Supuestos!$D$9^2))),Supuestos!$D$9))))))</f>
        <v/>
      </c>
      <c r="N125" s="32">
        <f>MIN(IF(Supuestos!$H$10="",1E+99,Supuestos!$H$10),MAX(IF(Supuestos!$G$10="",-1E+99,Supuestos!$G$10),IF(Supuestos!$C$10="Normal",NORMINV(G125,Supuestos!$D$10,Supuestos!$E$10),IF(Supuestos!$C$10="Triangular",IF(G125&lt;(Supuestos!$E$10-Supuestos!$D$10)/(Supuestos!$F$10-Supuestos!$D$10),Supuestos!$D$10+SQRT(G125*(Supuestos!$F$10-Supuestos!$D$10)*(Supuestos!$E$10-Supuestos!$D$10)),Supuestos!$F$10-SQRT((1-G125)*(Supuestos!$F$10-Supuestos!$D$10)*(Supuestos!$F$10-Supuestos!$E$10))),IF(Supuestos!$C$10="Uniforme",Supuestos!$D$10+G125*(Supuestos!$E$10-Supuestos!$D$10),IF(Supuestos!$C$10="Lognormal",LOGINV(G125,LN(Supuestos!$D$10)-LN(1+Supuestos!$E$10^2/Supuestos!$D$10^2)/2,SQRT(LN(1+Supuestos!$E$10^2/Supuestos!$D$10^2))),Supuestos!$D$10))))))</f>
        <v/>
      </c>
      <c r="O125" s="31">
        <f>MIN(IF(Supuestos!$H$11="",1E+99,Supuestos!$H$11),MAX(IF(Supuestos!$G$11="",-1E+99,Supuestos!$G$11),IF(Supuestos!$C$11="Normal",NORMINV(H125,Supuestos!$D$11,Supuestos!$E$11),IF(Supuestos!$C$11="Triangular",IF(H125&lt;(Supuestos!$E$11-Supuestos!$D$11)/(Supuestos!$F$11-Supuestos!$D$11),Supuestos!$D$11+SQRT(H125*(Supuestos!$F$11-Supuestos!$D$11)*(Supuestos!$E$11-Supuestos!$D$11)),Supuestos!$F$11-SQRT((1-H125)*(Supuestos!$F$11-Supuestos!$D$11)*(Supuestos!$F$11-Supuestos!$E$11))),IF(Supuestos!$C$11="Uniforme",Supuestos!$D$11+H125*(Supuestos!$E$11-Supuestos!$D$11),IF(Supuestos!$C$11="Lognormal",LOGINV(H125,LN(Supuestos!$D$11)-LN(1+Supuestos!$E$11^2/Supuestos!$D$11^2)/2,SQRT(LN(1+Supuestos!$E$11^2/Supuestos!$D$11^2))),Supuestos!$D$11))))))</f>
        <v/>
      </c>
      <c r="P125" s="33">
        <f>-I125</f>
        <v/>
      </c>
      <c r="Q125" s="33">
        <f>$J125*(1+$K125)^(1-1)*(1-$L125)*(1-$M125)</f>
        <v/>
      </c>
      <c r="R125" s="33">
        <f>$J125*(1+$K125)^(2-1)*(1-$L125)*(1-$M125)</f>
        <v/>
      </c>
      <c r="S125" s="33">
        <f>$J125*(1+$K125)^(3-1)*(1-$L125)*(1-$M125)</f>
        <v/>
      </c>
      <c r="T125" s="33">
        <f>$J125*(1+$K125)^(4-1)*(1-$L125)*(1-$M125)</f>
        <v/>
      </c>
      <c r="U125" s="33">
        <f>$J125*(1+$K125)^(5-1)*(1-$L125)*(1-$M125)+$O125</f>
        <v/>
      </c>
      <c r="V125" s="33">
        <f>P125+NPV($N125,Q125:U125)</f>
        <v/>
      </c>
      <c r="W125" s="32">
        <f>IFERROR(IRR(P125:U125,0.1),"")</f>
        <v/>
      </c>
    </row>
    <row r="126">
      <c r="A126" s="14" t="n">
        <v>122</v>
      </c>
      <c r="B126" s="30">
        <f>RAND()*(1-2E-6)+1E-6</f>
        <v/>
      </c>
      <c r="C126" s="30">
        <f>RAND()*(1-2E-6)+1E-6</f>
        <v/>
      </c>
      <c r="D126" s="30">
        <f>RAND()*(1-2E-6)+1E-6</f>
        <v/>
      </c>
      <c r="E126" s="30">
        <f>RAND()*(1-2E-6)+1E-6</f>
        <v/>
      </c>
      <c r="F126" s="30">
        <f>RAND()*(1-2E-6)+1E-6</f>
        <v/>
      </c>
      <c r="G126" s="30">
        <f>RAND()*(1-2E-6)+1E-6</f>
        <v/>
      </c>
      <c r="H126" s="30">
        <f>RAND()*(1-2E-6)+1E-6</f>
        <v/>
      </c>
      <c r="I126" s="31">
        <f>MIN(IF(Supuestos!$H$5="",1E+99,Supuestos!$H$5),MAX(IF(Supuestos!$G$5="",-1E+99,Supuestos!$G$5),IF(Supuestos!$C$5="Normal",NORMINV(B126,Supuestos!$D$5,Supuestos!$E$5),IF(Supuestos!$C$5="Triangular",IF(B126&lt;(Supuestos!$E$5-Supuestos!$D$5)/(Supuestos!$F$5-Supuestos!$D$5),Supuestos!$D$5+SQRT(B126*(Supuestos!$F$5-Supuestos!$D$5)*(Supuestos!$E$5-Supuestos!$D$5)),Supuestos!$F$5-SQRT((1-B126)*(Supuestos!$F$5-Supuestos!$D$5)*(Supuestos!$F$5-Supuestos!$E$5))),IF(Supuestos!$C$5="Uniforme",Supuestos!$D$5+B126*(Supuestos!$E$5-Supuestos!$D$5),IF(Supuestos!$C$5="Lognormal",LOGINV(B126,LN(Supuestos!$D$5)-LN(1+Supuestos!$E$5^2/Supuestos!$D$5^2)/2,SQRT(LN(1+Supuestos!$E$5^2/Supuestos!$D$5^2))),Supuestos!$D$5))))))</f>
        <v/>
      </c>
      <c r="J126" s="31">
        <f>MIN(IF(Supuestos!$H$6="",1E+99,Supuestos!$H$6),MAX(IF(Supuestos!$G$6="",-1E+99,Supuestos!$G$6),IF(Supuestos!$C$6="Normal",NORMINV(C126,Supuestos!$D$6,Supuestos!$E$6),IF(Supuestos!$C$6="Triangular",IF(C126&lt;(Supuestos!$E$6-Supuestos!$D$6)/(Supuestos!$F$6-Supuestos!$D$6),Supuestos!$D$6+SQRT(C126*(Supuestos!$F$6-Supuestos!$D$6)*(Supuestos!$E$6-Supuestos!$D$6)),Supuestos!$F$6-SQRT((1-C126)*(Supuestos!$F$6-Supuestos!$D$6)*(Supuestos!$F$6-Supuestos!$E$6))),IF(Supuestos!$C$6="Uniforme",Supuestos!$D$6+C126*(Supuestos!$E$6-Supuestos!$D$6),IF(Supuestos!$C$6="Lognormal",LOGINV(C126,LN(Supuestos!$D$6)-LN(1+Supuestos!$E$6^2/Supuestos!$D$6^2)/2,SQRT(LN(1+Supuestos!$E$6^2/Supuestos!$D$6^2))),Supuestos!$D$6))))))</f>
        <v/>
      </c>
      <c r="K126" s="32">
        <f>MIN(IF(Supuestos!$H$7="",1E+99,Supuestos!$H$7),MAX(IF(Supuestos!$G$7="",-1E+99,Supuestos!$G$7),IF(Supuestos!$C$7="Normal",NORMINV(D126,Supuestos!$D$7,Supuestos!$E$7),IF(Supuestos!$C$7="Triangular",IF(D126&lt;(Supuestos!$E$7-Supuestos!$D$7)/(Supuestos!$F$7-Supuestos!$D$7),Supuestos!$D$7+SQRT(D126*(Supuestos!$F$7-Supuestos!$D$7)*(Supuestos!$E$7-Supuestos!$D$7)),Supuestos!$F$7-SQRT((1-D126)*(Supuestos!$F$7-Supuestos!$D$7)*(Supuestos!$F$7-Supuestos!$E$7))),IF(Supuestos!$C$7="Uniforme",Supuestos!$D$7+D126*(Supuestos!$E$7-Supuestos!$D$7),IF(Supuestos!$C$7="Lognormal",LOGINV(D126,LN(Supuestos!$D$7)-LN(1+Supuestos!$E$7^2/Supuestos!$D$7^2)/2,SQRT(LN(1+Supuestos!$E$7^2/Supuestos!$D$7^2))),Supuestos!$D$7))))))</f>
        <v/>
      </c>
      <c r="L126" s="32">
        <f>MIN(IF(Supuestos!$H$8="",1E+99,Supuestos!$H$8),MAX(IF(Supuestos!$G$8="",-1E+99,Supuestos!$G$8),IF(Supuestos!$C$8="Normal",NORMINV(E126,Supuestos!$D$8,Supuestos!$E$8),IF(Supuestos!$C$8="Triangular",IF(E126&lt;(Supuestos!$E$8-Supuestos!$D$8)/(Supuestos!$F$8-Supuestos!$D$8),Supuestos!$D$8+SQRT(E126*(Supuestos!$F$8-Supuestos!$D$8)*(Supuestos!$E$8-Supuestos!$D$8)),Supuestos!$F$8-SQRT((1-E126)*(Supuestos!$F$8-Supuestos!$D$8)*(Supuestos!$F$8-Supuestos!$E$8))),IF(Supuestos!$C$8="Uniforme",Supuestos!$D$8+E126*(Supuestos!$E$8-Supuestos!$D$8),IF(Supuestos!$C$8="Lognormal",LOGINV(E126,LN(Supuestos!$D$8)-LN(1+Supuestos!$E$8^2/Supuestos!$D$8^2)/2,SQRT(LN(1+Supuestos!$E$8^2/Supuestos!$D$8^2))),Supuestos!$D$8))))))</f>
        <v/>
      </c>
      <c r="M126" s="32">
        <f>MIN(IF(Supuestos!$H$9="",1E+99,Supuestos!$H$9),MAX(IF(Supuestos!$G$9="",-1E+99,Supuestos!$G$9),IF(Supuestos!$C$9="Normal",NORMINV(F126,Supuestos!$D$9,Supuestos!$E$9),IF(Supuestos!$C$9="Triangular",IF(F126&lt;(Supuestos!$E$9-Supuestos!$D$9)/(Supuestos!$F$9-Supuestos!$D$9),Supuestos!$D$9+SQRT(F126*(Supuestos!$F$9-Supuestos!$D$9)*(Supuestos!$E$9-Supuestos!$D$9)),Supuestos!$F$9-SQRT((1-F126)*(Supuestos!$F$9-Supuestos!$D$9)*(Supuestos!$F$9-Supuestos!$E$9))),IF(Supuestos!$C$9="Uniforme",Supuestos!$D$9+F126*(Supuestos!$E$9-Supuestos!$D$9),IF(Supuestos!$C$9="Lognormal",LOGINV(F126,LN(Supuestos!$D$9)-LN(1+Supuestos!$E$9^2/Supuestos!$D$9^2)/2,SQRT(LN(1+Supuestos!$E$9^2/Supuestos!$D$9^2))),Supuestos!$D$9))))))</f>
        <v/>
      </c>
      <c r="N126" s="32">
        <f>MIN(IF(Supuestos!$H$10="",1E+99,Supuestos!$H$10),MAX(IF(Supuestos!$G$10="",-1E+99,Supuestos!$G$10),IF(Supuestos!$C$10="Normal",NORMINV(G126,Supuestos!$D$10,Supuestos!$E$10),IF(Supuestos!$C$10="Triangular",IF(G126&lt;(Supuestos!$E$10-Supuestos!$D$10)/(Supuestos!$F$10-Supuestos!$D$10),Supuestos!$D$10+SQRT(G126*(Supuestos!$F$10-Supuestos!$D$10)*(Supuestos!$E$10-Supuestos!$D$10)),Supuestos!$F$10-SQRT((1-G126)*(Supuestos!$F$10-Supuestos!$D$10)*(Supuestos!$F$10-Supuestos!$E$10))),IF(Supuestos!$C$10="Uniforme",Supuestos!$D$10+G126*(Supuestos!$E$10-Supuestos!$D$10),IF(Supuestos!$C$10="Lognormal",LOGINV(G126,LN(Supuestos!$D$10)-LN(1+Supuestos!$E$10^2/Supuestos!$D$10^2)/2,SQRT(LN(1+Supuestos!$E$10^2/Supuestos!$D$10^2))),Supuestos!$D$10))))))</f>
        <v/>
      </c>
      <c r="O126" s="31">
        <f>MIN(IF(Supuestos!$H$11="",1E+99,Supuestos!$H$11),MAX(IF(Supuestos!$G$11="",-1E+99,Supuestos!$G$11),IF(Supuestos!$C$11="Normal",NORMINV(H126,Supuestos!$D$11,Supuestos!$E$11),IF(Supuestos!$C$11="Triangular",IF(H126&lt;(Supuestos!$E$11-Supuestos!$D$11)/(Supuestos!$F$11-Supuestos!$D$11),Supuestos!$D$11+SQRT(H126*(Supuestos!$F$11-Supuestos!$D$11)*(Supuestos!$E$11-Supuestos!$D$11)),Supuestos!$F$11-SQRT((1-H126)*(Supuestos!$F$11-Supuestos!$D$11)*(Supuestos!$F$11-Supuestos!$E$11))),IF(Supuestos!$C$11="Uniforme",Supuestos!$D$11+H126*(Supuestos!$E$11-Supuestos!$D$11),IF(Supuestos!$C$11="Lognormal",LOGINV(H126,LN(Supuestos!$D$11)-LN(1+Supuestos!$E$11^2/Supuestos!$D$11^2)/2,SQRT(LN(1+Supuestos!$E$11^2/Supuestos!$D$11^2))),Supuestos!$D$11))))))</f>
        <v/>
      </c>
      <c r="P126" s="33">
        <f>-I126</f>
        <v/>
      </c>
      <c r="Q126" s="33">
        <f>$J126*(1+$K126)^(1-1)*(1-$L126)*(1-$M126)</f>
        <v/>
      </c>
      <c r="R126" s="33">
        <f>$J126*(1+$K126)^(2-1)*(1-$L126)*(1-$M126)</f>
        <v/>
      </c>
      <c r="S126" s="33">
        <f>$J126*(1+$K126)^(3-1)*(1-$L126)*(1-$M126)</f>
        <v/>
      </c>
      <c r="T126" s="33">
        <f>$J126*(1+$K126)^(4-1)*(1-$L126)*(1-$M126)</f>
        <v/>
      </c>
      <c r="U126" s="33">
        <f>$J126*(1+$K126)^(5-1)*(1-$L126)*(1-$M126)+$O126</f>
        <v/>
      </c>
      <c r="V126" s="33">
        <f>P126+NPV($N126,Q126:U126)</f>
        <v/>
      </c>
      <c r="W126" s="32">
        <f>IFERROR(IRR(P126:U126,0.1),"")</f>
        <v/>
      </c>
    </row>
    <row r="127">
      <c r="A127" s="14" t="n">
        <v>123</v>
      </c>
      <c r="B127" s="30">
        <f>RAND()*(1-2E-6)+1E-6</f>
        <v/>
      </c>
      <c r="C127" s="30">
        <f>RAND()*(1-2E-6)+1E-6</f>
        <v/>
      </c>
      <c r="D127" s="30">
        <f>RAND()*(1-2E-6)+1E-6</f>
        <v/>
      </c>
      <c r="E127" s="30">
        <f>RAND()*(1-2E-6)+1E-6</f>
        <v/>
      </c>
      <c r="F127" s="30">
        <f>RAND()*(1-2E-6)+1E-6</f>
        <v/>
      </c>
      <c r="G127" s="30">
        <f>RAND()*(1-2E-6)+1E-6</f>
        <v/>
      </c>
      <c r="H127" s="30">
        <f>RAND()*(1-2E-6)+1E-6</f>
        <v/>
      </c>
      <c r="I127" s="31">
        <f>MIN(IF(Supuestos!$H$5="",1E+99,Supuestos!$H$5),MAX(IF(Supuestos!$G$5="",-1E+99,Supuestos!$G$5),IF(Supuestos!$C$5="Normal",NORMINV(B127,Supuestos!$D$5,Supuestos!$E$5),IF(Supuestos!$C$5="Triangular",IF(B127&lt;(Supuestos!$E$5-Supuestos!$D$5)/(Supuestos!$F$5-Supuestos!$D$5),Supuestos!$D$5+SQRT(B127*(Supuestos!$F$5-Supuestos!$D$5)*(Supuestos!$E$5-Supuestos!$D$5)),Supuestos!$F$5-SQRT((1-B127)*(Supuestos!$F$5-Supuestos!$D$5)*(Supuestos!$F$5-Supuestos!$E$5))),IF(Supuestos!$C$5="Uniforme",Supuestos!$D$5+B127*(Supuestos!$E$5-Supuestos!$D$5),IF(Supuestos!$C$5="Lognormal",LOGINV(B127,LN(Supuestos!$D$5)-LN(1+Supuestos!$E$5^2/Supuestos!$D$5^2)/2,SQRT(LN(1+Supuestos!$E$5^2/Supuestos!$D$5^2))),Supuestos!$D$5))))))</f>
        <v/>
      </c>
      <c r="J127" s="31">
        <f>MIN(IF(Supuestos!$H$6="",1E+99,Supuestos!$H$6),MAX(IF(Supuestos!$G$6="",-1E+99,Supuestos!$G$6),IF(Supuestos!$C$6="Normal",NORMINV(C127,Supuestos!$D$6,Supuestos!$E$6),IF(Supuestos!$C$6="Triangular",IF(C127&lt;(Supuestos!$E$6-Supuestos!$D$6)/(Supuestos!$F$6-Supuestos!$D$6),Supuestos!$D$6+SQRT(C127*(Supuestos!$F$6-Supuestos!$D$6)*(Supuestos!$E$6-Supuestos!$D$6)),Supuestos!$F$6-SQRT((1-C127)*(Supuestos!$F$6-Supuestos!$D$6)*(Supuestos!$F$6-Supuestos!$E$6))),IF(Supuestos!$C$6="Uniforme",Supuestos!$D$6+C127*(Supuestos!$E$6-Supuestos!$D$6),IF(Supuestos!$C$6="Lognormal",LOGINV(C127,LN(Supuestos!$D$6)-LN(1+Supuestos!$E$6^2/Supuestos!$D$6^2)/2,SQRT(LN(1+Supuestos!$E$6^2/Supuestos!$D$6^2))),Supuestos!$D$6))))))</f>
        <v/>
      </c>
      <c r="K127" s="32">
        <f>MIN(IF(Supuestos!$H$7="",1E+99,Supuestos!$H$7),MAX(IF(Supuestos!$G$7="",-1E+99,Supuestos!$G$7),IF(Supuestos!$C$7="Normal",NORMINV(D127,Supuestos!$D$7,Supuestos!$E$7),IF(Supuestos!$C$7="Triangular",IF(D127&lt;(Supuestos!$E$7-Supuestos!$D$7)/(Supuestos!$F$7-Supuestos!$D$7),Supuestos!$D$7+SQRT(D127*(Supuestos!$F$7-Supuestos!$D$7)*(Supuestos!$E$7-Supuestos!$D$7)),Supuestos!$F$7-SQRT((1-D127)*(Supuestos!$F$7-Supuestos!$D$7)*(Supuestos!$F$7-Supuestos!$E$7))),IF(Supuestos!$C$7="Uniforme",Supuestos!$D$7+D127*(Supuestos!$E$7-Supuestos!$D$7),IF(Supuestos!$C$7="Lognormal",LOGINV(D127,LN(Supuestos!$D$7)-LN(1+Supuestos!$E$7^2/Supuestos!$D$7^2)/2,SQRT(LN(1+Supuestos!$E$7^2/Supuestos!$D$7^2))),Supuestos!$D$7))))))</f>
        <v/>
      </c>
      <c r="L127" s="32">
        <f>MIN(IF(Supuestos!$H$8="",1E+99,Supuestos!$H$8),MAX(IF(Supuestos!$G$8="",-1E+99,Supuestos!$G$8),IF(Supuestos!$C$8="Normal",NORMINV(E127,Supuestos!$D$8,Supuestos!$E$8),IF(Supuestos!$C$8="Triangular",IF(E127&lt;(Supuestos!$E$8-Supuestos!$D$8)/(Supuestos!$F$8-Supuestos!$D$8),Supuestos!$D$8+SQRT(E127*(Supuestos!$F$8-Supuestos!$D$8)*(Supuestos!$E$8-Supuestos!$D$8)),Supuestos!$F$8-SQRT((1-E127)*(Supuestos!$F$8-Supuestos!$D$8)*(Supuestos!$F$8-Supuestos!$E$8))),IF(Supuestos!$C$8="Uniforme",Supuestos!$D$8+E127*(Supuestos!$E$8-Supuestos!$D$8),IF(Supuestos!$C$8="Lognormal",LOGINV(E127,LN(Supuestos!$D$8)-LN(1+Supuestos!$E$8^2/Supuestos!$D$8^2)/2,SQRT(LN(1+Supuestos!$E$8^2/Supuestos!$D$8^2))),Supuestos!$D$8))))))</f>
        <v/>
      </c>
      <c r="M127" s="32">
        <f>MIN(IF(Supuestos!$H$9="",1E+99,Supuestos!$H$9),MAX(IF(Supuestos!$G$9="",-1E+99,Supuestos!$G$9),IF(Supuestos!$C$9="Normal",NORMINV(F127,Supuestos!$D$9,Supuestos!$E$9),IF(Supuestos!$C$9="Triangular",IF(F127&lt;(Supuestos!$E$9-Supuestos!$D$9)/(Supuestos!$F$9-Supuestos!$D$9),Supuestos!$D$9+SQRT(F127*(Supuestos!$F$9-Supuestos!$D$9)*(Supuestos!$E$9-Supuestos!$D$9)),Supuestos!$F$9-SQRT((1-F127)*(Supuestos!$F$9-Supuestos!$D$9)*(Supuestos!$F$9-Supuestos!$E$9))),IF(Supuestos!$C$9="Uniforme",Supuestos!$D$9+F127*(Supuestos!$E$9-Supuestos!$D$9),IF(Supuestos!$C$9="Lognormal",LOGINV(F127,LN(Supuestos!$D$9)-LN(1+Supuestos!$E$9^2/Supuestos!$D$9^2)/2,SQRT(LN(1+Supuestos!$E$9^2/Supuestos!$D$9^2))),Supuestos!$D$9))))))</f>
        <v/>
      </c>
      <c r="N127" s="32">
        <f>MIN(IF(Supuestos!$H$10="",1E+99,Supuestos!$H$10),MAX(IF(Supuestos!$G$10="",-1E+99,Supuestos!$G$10),IF(Supuestos!$C$10="Normal",NORMINV(G127,Supuestos!$D$10,Supuestos!$E$10),IF(Supuestos!$C$10="Triangular",IF(G127&lt;(Supuestos!$E$10-Supuestos!$D$10)/(Supuestos!$F$10-Supuestos!$D$10),Supuestos!$D$10+SQRT(G127*(Supuestos!$F$10-Supuestos!$D$10)*(Supuestos!$E$10-Supuestos!$D$10)),Supuestos!$F$10-SQRT((1-G127)*(Supuestos!$F$10-Supuestos!$D$10)*(Supuestos!$F$10-Supuestos!$E$10))),IF(Supuestos!$C$10="Uniforme",Supuestos!$D$10+G127*(Supuestos!$E$10-Supuestos!$D$10),IF(Supuestos!$C$10="Lognormal",LOGINV(G127,LN(Supuestos!$D$10)-LN(1+Supuestos!$E$10^2/Supuestos!$D$10^2)/2,SQRT(LN(1+Supuestos!$E$10^2/Supuestos!$D$10^2))),Supuestos!$D$10))))))</f>
        <v/>
      </c>
      <c r="O127" s="31">
        <f>MIN(IF(Supuestos!$H$11="",1E+99,Supuestos!$H$11),MAX(IF(Supuestos!$G$11="",-1E+99,Supuestos!$G$11),IF(Supuestos!$C$11="Normal",NORMINV(H127,Supuestos!$D$11,Supuestos!$E$11),IF(Supuestos!$C$11="Triangular",IF(H127&lt;(Supuestos!$E$11-Supuestos!$D$11)/(Supuestos!$F$11-Supuestos!$D$11),Supuestos!$D$11+SQRT(H127*(Supuestos!$F$11-Supuestos!$D$11)*(Supuestos!$E$11-Supuestos!$D$11)),Supuestos!$F$11-SQRT((1-H127)*(Supuestos!$F$11-Supuestos!$D$11)*(Supuestos!$F$11-Supuestos!$E$11))),IF(Supuestos!$C$11="Uniforme",Supuestos!$D$11+H127*(Supuestos!$E$11-Supuestos!$D$11),IF(Supuestos!$C$11="Lognormal",LOGINV(H127,LN(Supuestos!$D$11)-LN(1+Supuestos!$E$11^2/Supuestos!$D$11^2)/2,SQRT(LN(1+Supuestos!$E$11^2/Supuestos!$D$11^2))),Supuestos!$D$11))))))</f>
        <v/>
      </c>
      <c r="P127" s="33">
        <f>-I127</f>
        <v/>
      </c>
      <c r="Q127" s="33">
        <f>$J127*(1+$K127)^(1-1)*(1-$L127)*(1-$M127)</f>
        <v/>
      </c>
      <c r="R127" s="33">
        <f>$J127*(1+$K127)^(2-1)*(1-$L127)*(1-$M127)</f>
        <v/>
      </c>
      <c r="S127" s="33">
        <f>$J127*(1+$K127)^(3-1)*(1-$L127)*(1-$M127)</f>
        <v/>
      </c>
      <c r="T127" s="33">
        <f>$J127*(1+$K127)^(4-1)*(1-$L127)*(1-$M127)</f>
        <v/>
      </c>
      <c r="U127" s="33">
        <f>$J127*(1+$K127)^(5-1)*(1-$L127)*(1-$M127)+$O127</f>
        <v/>
      </c>
      <c r="V127" s="33">
        <f>P127+NPV($N127,Q127:U127)</f>
        <v/>
      </c>
      <c r="W127" s="32">
        <f>IFERROR(IRR(P127:U127,0.1),"")</f>
        <v/>
      </c>
    </row>
    <row r="128">
      <c r="A128" s="14" t="n">
        <v>124</v>
      </c>
      <c r="B128" s="30">
        <f>RAND()*(1-2E-6)+1E-6</f>
        <v/>
      </c>
      <c r="C128" s="30">
        <f>RAND()*(1-2E-6)+1E-6</f>
        <v/>
      </c>
      <c r="D128" s="30">
        <f>RAND()*(1-2E-6)+1E-6</f>
        <v/>
      </c>
      <c r="E128" s="30">
        <f>RAND()*(1-2E-6)+1E-6</f>
        <v/>
      </c>
      <c r="F128" s="30">
        <f>RAND()*(1-2E-6)+1E-6</f>
        <v/>
      </c>
      <c r="G128" s="30">
        <f>RAND()*(1-2E-6)+1E-6</f>
        <v/>
      </c>
      <c r="H128" s="30">
        <f>RAND()*(1-2E-6)+1E-6</f>
        <v/>
      </c>
      <c r="I128" s="31">
        <f>MIN(IF(Supuestos!$H$5="",1E+99,Supuestos!$H$5),MAX(IF(Supuestos!$G$5="",-1E+99,Supuestos!$G$5),IF(Supuestos!$C$5="Normal",NORMINV(B128,Supuestos!$D$5,Supuestos!$E$5),IF(Supuestos!$C$5="Triangular",IF(B128&lt;(Supuestos!$E$5-Supuestos!$D$5)/(Supuestos!$F$5-Supuestos!$D$5),Supuestos!$D$5+SQRT(B128*(Supuestos!$F$5-Supuestos!$D$5)*(Supuestos!$E$5-Supuestos!$D$5)),Supuestos!$F$5-SQRT((1-B128)*(Supuestos!$F$5-Supuestos!$D$5)*(Supuestos!$F$5-Supuestos!$E$5))),IF(Supuestos!$C$5="Uniforme",Supuestos!$D$5+B128*(Supuestos!$E$5-Supuestos!$D$5),IF(Supuestos!$C$5="Lognormal",LOGINV(B128,LN(Supuestos!$D$5)-LN(1+Supuestos!$E$5^2/Supuestos!$D$5^2)/2,SQRT(LN(1+Supuestos!$E$5^2/Supuestos!$D$5^2))),Supuestos!$D$5))))))</f>
        <v/>
      </c>
      <c r="J128" s="31">
        <f>MIN(IF(Supuestos!$H$6="",1E+99,Supuestos!$H$6),MAX(IF(Supuestos!$G$6="",-1E+99,Supuestos!$G$6),IF(Supuestos!$C$6="Normal",NORMINV(C128,Supuestos!$D$6,Supuestos!$E$6),IF(Supuestos!$C$6="Triangular",IF(C128&lt;(Supuestos!$E$6-Supuestos!$D$6)/(Supuestos!$F$6-Supuestos!$D$6),Supuestos!$D$6+SQRT(C128*(Supuestos!$F$6-Supuestos!$D$6)*(Supuestos!$E$6-Supuestos!$D$6)),Supuestos!$F$6-SQRT((1-C128)*(Supuestos!$F$6-Supuestos!$D$6)*(Supuestos!$F$6-Supuestos!$E$6))),IF(Supuestos!$C$6="Uniforme",Supuestos!$D$6+C128*(Supuestos!$E$6-Supuestos!$D$6),IF(Supuestos!$C$6="Lognormal",LOGINV(C128,LN(Supuestos!$D$6)-LN(1+Supuestos!$E$6^2/Supuestos!$D$6^2)/2,SQRT(LN(1+Supuestos!$E$6^2/Supuestos!$D$6^2))),Supuestos!$D$6))))))</f>
        <v/>
      </c>
      <c r="K128" s="32">
        <f>MIN(IF(Supuestos!$H$7="",1E+99,Supuestos!$H$7),MAX(IF(Supuestos!$G$7="",-1E+99,Supuestos!$G$7),IF(Supuestos!$C$7="Normal",NORMINV(D128,Supuestos!$D$7,Supuestos!$E$7),IF(Supuestos!$C$7="Triangular",IF(D128&lt;(Supuestos!$E$7-Supuestos!$D$7)/(Supuestos!$F$7-Supuestos!$D$7),Supuestos!$D$7+SQRT(D128*(Supuestos!$F$7-Supuestos!$D$7)*(Supuestos!$E$7-Supuestos!$D$7)),Supuestos!$F$7-SQRT((1-D128)*(Supuestos!$F$7-Supuestos!$D$7)*(Supuestos!$F$7-Supuestos!$E$7))),IF(Supuestos!$C$7="Uniforme",Supuestos!$D$7+D128*(Supuestos!$E$7-Supuestos!$D$7),IF(Supuestos!$C$7="Lognormal",LOGINV(D128,LN(Supuestos!$D$7)-LN(1+Supuestos!$E$7^2/Supuestos!$D$7^2)/2,SQRT(LN(1+Supuestos!$E$7^2/Supuestos!$D$7^2))),Supuestos!$D$7))))))</f>
        <v/>
      </c>
      <c r="L128" s="32">
        <f>MIN(IF(Supuestos!$H$8="",1E+99,Supuestos!$H$8),MAX(IF(Supuestos!$G$8="",-1E+99,Supuestos!$G$8),IF(Supuestos!$C$8="Normal",NORMINV(E128,Supuestos!$D$8,Supuestos!$E$8),IF(Supuestos!$C$8="Triangular",IF(E128&lt;(Supuestos!$E$8-Supuestos!$D$8)/(Supuestos!$F$8-Supuestos!$D$8),Supuestos!$D$8+SQRT(E128*(Supuestos!$F$8-Supuestos!$D$8)*(Supuestos!$E$8-Supuestos!$D$8)),Supuestos!$F$8-SQRT((1-E128)*(Supuestos!$F$8-Supuestos!$D$8)*(Supuestos!$F$8-Supuestos!$E$8))),IF(Supuestos!$C$8="Uniforme",Supuestos!$D$8+E128*(Supuestos!$E$8-Supuestos!$D$8),IF(Supuestos!$C$8="Lognormal",LOGINV(E128,LN(Supuestos!$D$8)-LN(1+Supuestos!$E$8^2/Supuestos!$D$8^2)/2,SQRT(LN(1+Supuestos!$E$8^2/Supuestos!$D$8^2))),Supuestos!$D$8))))))</f>
        <v/>
      </c>
      <c r="M128" s="32">
        <f>MIN(IF(Supuestos!$H$9="",1E+99,Supuestos!$H$9),MAX(IF(Supuestos!$G$9="",-1E+99,Supuestos!$G$9),IF(Supuestos!$C$9="Normal",NORMINV(F128,Supuestos!$D$9,Supuestos!$E$9),IF(Supuestos!$C$9="Triangular",IF(F128&lt;(Supuestos!$E$9-Supuestos!$D$9)/(Supuestos!$F$9-Supuestos!$D$9),Supuestos!$D$9+SQRT(F128*(Supuestos!$F$9-Supuestos!$D$9)*(Supuestos!$E$9-Supuestos!$D$9)),Supuestos!$F$9-SQRT((1-F128)*(Supuestos!$F$9-Supuestos!$D$9)*(Supuestos!$F$9-Supuestos!$E$9))),IF(Supuestos!$C$9="Uniforme",Supuestos!$D$9+F128*(Supuestos!$E$9-Supuestos!$D$9),IF(Supuestos!$C$9="Lognormal",LOGINV(F128,LN(Supuestos!$D$9)-LN(1+Supuestos!$E$9^2/Supuestos!$D$9^2)/2,SQRT(LN(1+Supuestos!$E$9^2/Supuestos!$D$9^2))),Supuestos!$D$9))))))</f>
        <v/>
      </c>
      <c r="N128" s="32">
        <f>MIN(IF(Supuestos!$H$10="",1E+99,Supuestos!$H$10),MAX(IF(Supuestos!$G$10="",-1E+99,Supuestos!$G$10),IF(Supuestos!$C$10="Normal",NORMINV(G128,Supuestos!$D$10,Supuestos!$E$10),IF(Supuestos!$C$10="Triangular",IF(G128&lt;(Supuestos!$E$10-Supuestos!$D$10)/(Supuestos!$F$10-Supuestos!$D$10),Supuestos!$D$10+SQRT(G128*(Supuestos!$F$10-Supuestos!$D$10)*(Supuestos!$E$10-Supuestos!$D$10)),Supuestos!$F$10-SQRT((1-G128)*(Supuestos!$F$10-Supuestos!$D$10)*(Supuestos!$F$10-Supuestos!$E$10))),IF(Supuestos!$C$10="Uniforme",Supuestos!$D$10+G128*(Supuestos!$E$10-Supuestos!$D$10),IF(Supuestos!$C$10="Lognormal",LOGINV(G128,LN(Supuestos!$D$10)-LN(1+Supuestos!$E$10^2/Supuestos!$D$10^2)/2,SQRT(LN(1+Supuestos!$E$10^2/Supuestos!$D$10^2))),Supuestos!$D$10))))))</f>
        <v/>
      </c>
      <c r="O128" s="31">
        <f>MIN(IF(Supuestos!$H$11="",1E+99,Supuestos!$H$11),MAX(IF(Supuestos!$G$11="",-1E+99,Supuestos!$G$11),IF(Supuestos!$C$11="Normal",NORMINV(H128,Supuestos!$D$11,Supuestos!$E$11),IF(Supuestos!$C$11="Triangular",IF(H128&lt;(Supuestos!$E$11-Supuestos!$D$11)/(Supuestos!$F$11-Supuestos!$D$11),Supuestos!$D$11+SQRT(H128*(Supuestos!$F$11-Supuestos!$D$11)*(Supuestos!$E$11-Supuestos!$D$11)),Supuestos!$F$11-SQRT((1-H128)*(Supuestos!$F$11-Supuestos!$D$11)*(Supuestos!$F$11-Supuestos!$E$11))),IF(Supuestos!$C$11="Uniforme",Supuestos!$D$11+H128*(Supuestos!$E$11-Supuestos!$D$11),IF(Supuestos!$C$11="Lognormal",LOGINV(H128,LN(Supuestos!$D$11)-LN(1+Supuestos!$E$11^2/Supuestos!$D$11^2)/2,SQRT(LN(1+Supuestos!$E$11^2/Supuestos!$D$11^2))),Supuestos!$D$11))))))</f>
        <v/>
      </c>
      <c r="P128" s="33">
        <f>-I128</f>
        <v/>
      </c>
      <c r="Q128" s="33">
        <f>$J128*(1+$K128)^(1-1)*(1-$L128)*(1-$M128)</f>
        <v/>
      </c>
      <c r="R128" s="33">
        <f>$J128*(1+$K128)^(2-1)*(1-$L128)*(1-$M128)</f>
        <v/>
      </c>
      <c r="S128" s="33">
        <f>$J128*(1+$K128)^(3-1)*(1-$L128)*(1-$M128)</f>
        <v/>
      </c>
      <c r="T128" s="33">
        <f>$J128*(1+$K128)^(4-1)*(1-$L128)*(1-$M128)</f>
        <v/>
      </c>
      <c r="U128" s="33">
        <f>$J128*(1+$K128)^(5-1)*(1-$L128)*(1-$M128)+$O128</f>
        <v/>
      </c>
      <c r="V128" s="33">
        <f>P128+NPV($N128,Q128:U128)</f>
        <v/>
      </c>
      <c r="W128" s="32">
        <f>IFERROR(IRR(P128:U128,0.1),"")</f>
        <v/>
      </c>
    </row>
    <row r="129">
      <c r="A129" s="14" t="n">
        <v>125</v>
      </c>
      <c r="B129" s="30">
        <f>RAND()*(1-2E-6)+1E-6</f>
        <v/>
      </c>
      <c r="C129" s="30">
        <f>RAND()*(1-2E-6)+1E-6</f>
        <v/>
      </c>
      <c r="D129" s="30">
        <f>RAND()*(1-2E-6)+1E-6</f>
        <v/>
      </c>
      <c r="E129" s="30">
        <f>RAND()*(1-2E-6)+1E-6</f>
        <v/>
      </c>
      <c r="F129" s="30">
        <f>RAND()*(1-2E-6)+1E-6</f>
        <v/>
      </c>
      <c r="G129" s="30">
        <f>RAND()*(1-2E-6)+1E-6</f>
        <v/>
      </c>
      <c r="H129" s="30">
        <f>RAND()*(1-2E-6)+1E-6</f>
        <v/>
      </c>
      <c r="I129" s="31">
        <f>MIN(IF(Supuestos!$H$5="",1E+99,Supuestos!$H$5),MAX(IF(Supuestos!$G$5="",-1E+99,Supuestos!$G$5),IF(Supuestos!$C$5="Normal",NORMINV(B129,Supuestos!$D$5,Supuestos!$E$5),IF(Supuestos!$C$5="Triangular",IF(B129&lt;(Supuestos!$E$5-Supuestos!$D$5)/(Supuestos!$F$5-Supuestos!$D$5),Supuestos!$D$5+SQRT(B129*(Supuestos!$F$5-Supuestos!$D$5)*(Supuestos!$E$5-Supuestos!$D$5)),Supuestos!$F$5-SQRT((1-B129)*(Supuestos!$F$5-Supuestos!$D$5)*(Supuestos!$F$5-Supuestos!$E$5))),IF(Supuestos!$C$5="Uniforme",Supuestos!$D$5+B129*(Supuestos!$E$5-Supuestos!$D$5),IF(Supuestos!$C$5="Lognormal",LOGINV(B129,LN(Supuestos!$D$5)-LN(1+Supuestos!$E$5^2/Supuestos!$D$5^2)/2,SQRT(LN(1+Supuestos!$E$5^2/Supuestos!$D$5^2))),Supuestos!$D$5))))))</f>
        <v/>
      </c>
      <c r="J129" s="31">
        <f>MIN(IF(Supuestos!$H$6="",1E+99,Supuestos!$H$6),MAX(IF(Supuestos!$G$6="",-1E+99,Supuestos!$G$6),IF(Supuestos!$C$6="Normal",NORMINV(C129,Supuestos!$D$6,Supuestos!$E$6),IF(Supuestos!$C$6="Triangular",IF(C129&lt;(Supuestos!$E$6-Supuestos!$D$6)/(Supuestos!$F$6-Supuestos!$D$6),Supuestos!$D$6+SQRT(C129*(Supuestos!$F$6-Supuestos!$D$6)*(Supuestos!$E$6-Supuestos!$D$6)),Supuestos!$F$6-SQRT((1-C129)*(Supuestos!$F$6-Supuestos!$D$6)*(Supuestos!$F$6-Supuestos!$E$6))),IF(Supuestos!$C$6="Uniforme",Supuestos!$D$6+C129*(Supuestos!$E$6-Supuestos!$D$6),IF(Supuestos!$C$6="Lognormal",LOGINV(C129,LN(Supuestos!$D$6)-LN(1+Supuestos!$E$6^2/Supuestos!$D$6^2)/2,SQRT(LN(1+Supuestos!$E$6^2/Supuestos!$D$6^2))),Supuestos!$D$6))))))</f>
        <v/>
      </c>
      <c r="K129" s="32">
        <f>MIN(IF(Supuestos!$H$7="",1E+99,Supuestos!$H$7),MAX(IF(Supuestos!$G$7="",-1E+99,Supuestos!$G$7),IF(Supuestos!$C$7="Normal",NORMINV(D129,Supuestos!$D$7,Supuestos!$E$7),IF(Supuestos!$C$7="Triangular",IF(D129&lt;(Supuestos!$E$7-Supuestos!$D$7)/(Supuestos!$F$7-Supuestos!$D$7),Supuestos!$D$7+SQRT(D129*(Supuestos!$F$7-Supuestos!$D$7)*(Supuestos!$E$7-Supuestos!$D$7)),Supuestos!$F$7-SQRT((1-D129)*(Supuestos!$F$7-Supuestos!$D$7)*(Supuestos!$F$7-Supuestos!$E$7))),IF(Supuestos!$C$7="Uniforme",Supuestos!$D$7+D129*(Supuestos!$E$7-Supuestos!$D$7),IF(Supuestos!$C$7="Lognormal",LOGINV(D129,LN(Supuestos!$D$7)-LN(1+Supuestos!$E$7^2/Supuestos!$D$7^2)/2,SQRT(LN(1+Supuestos!$E$7^2/Supuestos!$D$7^2))),Supuestos!$D$7))))))</f>
        <v/>
      </c>
      <c r="L129" s="32">
        <f>MIN(IF(Supuestos!$H$8="",1E+99,Supuestos!$H$8),MAX(IF(Supuestos!$G$8="",-1E+99,Supuestos!$G$8),IF(Supuestos!$C$8="Normal",NORMINV(E129,Supuestos!$D$8,Supuestos!$E$8),IF(Supuestos!$C$8="Triangular",IF(E129&lt;(Supuestos!$E$8-Supuestos!$D$8)/(Supuestos!$F$8-Supuestos!$D$8),Supuestos!$D$8+SQRT(E129*(Supuestos!$F$8-Supuestos!$D$8)*(Supuestos!$E$8-Supuestos!$D$8)),Supuestos!$F$8-SQRT((1-E129)*(Supuestos!$F$8-Supuestos!$D$8)*(Supuestos!$F$8-Supuestos!$E$8))),IF(Supuestos!$C$8="Uniforme",Supuestos!$D$8+E129*(Supuestos!$E$8-Supuestos!$D$8),IF(Supuestos!$C$8="Lognormal",LOGINV(E129,LN(Supuestos!$D$8)-LN(1+Supuestos!$E$8^2/Supuestos!$D$8^2)/2,SQRT(LN(1+Supuestos!$E$8^2/Supuestos!$D$8^2))),Supuestos!$D$8))))))</f>
        <v/>
      </c>
      <c r="M129" s="32">
        <f>MIN(IF(Supuestos!$H$9="",1E+99,Supuestos!$H$9),MAX(IF(Supuestos!$G$9="",-1E+99,Supuestos!$G$9),IF(Supuestos!$C$9="Normal",NORMINV(F129,Supuestos!$D$9,Supuestos!$E$9),IF(Supuestos!$C$9="Triangular",IF(F129&lt;(Supuestos!$E$9-Supuestos!$D$9)/(Supuestos!$F$9-Supuestos!$D$9),Supuestos!$D$9+SQRT(F129*(Supuestos!$F$9-Supuestos!$D$9)*(Supuestos!$E$9-Supuestos!$D$9)),Supuestos!$F$9-SQRT((1-F129)*(Supuestos!$F$9-Supuestos!$D$9)*(Supuestos!$F$9-Supuestos!$E$9))),IF(Supuestos!$C$9="Uniforme",Supuestos!$D$9+F129*(Supuestos!$E$9-Supuestos!$D$9),IF(Supuestos!$C$9="Lognormal",LOGINV(F129,LN(Supuestos!$D$9)-LN(1+Supuestos!$E$9^2/Supuestos!$D$9^2)/2,SQRT(LN(1+Supuestos!$E$9^2/Supuestos!$D$9^2))),Supuestos!$D$9))))))</f>
        <v/>
      </c>
      <c r="N129" s="32">
        <f>MIN(IF(Supuestos!$H$10="",1E+99,Supuestos!$H$10),MAX(IF(Supuestos!$G$10="",-1E+99,Supuestos!$G$10),IF(Supuestos!$C$10="Normal",NORMINV(G129,Supuestos!$D$10,Supuestos!$E$10),IF(Supuestos!$C$10="Triangular",IF(G129&lt;(Supuestos!$E$10-Supuestos!$D$10)/(Supuestos!$F$10-Supuestos!$D$10),Supuestos!$D$10+SQRT(G129*(Supuestos!$F$10-Supuestos!$D$10)*(Supuestos!$E$10-Supuestos!$D$10)),Supuestos!$F$10-SQRT((1-G129)*(Supuestos!$F$10-Supuestos!$D$10)*(Supuestos!$F$10-Supuestos!$E$10))),IF(Supuestos!$C$10="Uniforme",Supuestos!$D$10+G129*(Supuestos!$E$10-Supuestos!$D$10),IF(Supuestos!$C$10="Lognormal",LOGINV(G129,LN(Supuestos!$D$10)-LN(1+Supuestos!$E$10^2/Supuestos!$D$10^2)/2,SQRT(LN(1+Supuestos!$E$10^2/Supuestos!$D$10^2))),Supuestos!$D$10))))))</f>
        <v/>
      </c>
      <c r="O129" s="31">
        <f>MIN(IF(Supuestos!$H$11="",1E+99,Supuestos!$H$11),MAX(IF(Supuestos!$G$11="",-1E+99,Supuestos!$G$11),IF(Supuestos!$C$11="Normal",NORMINV(H129,Supuestos!$D$11,Supuestos!$E$11),IF(Supuestos!$C$11="Triangular",IF(H129&lt;(Supuestos!$E$11-Supuestos!$D$11)/(Supuestos!$F$11-Supuestos!$D$11),Supuestos!$D$11+SQRT(H129*(Supuestos!$F$11-Supuestos!$D$11)*(Supuestos!$E$11-Supuestos!$D$11)),Supuestos!$F$11-SQRT((1-H129)*(Supuestos!$F$11-Supuestos!$D$11)*(Supuestos!$F$11-Supuestos!$E$11))),IF(Supuestos!$C$11="Uniforme",Supuestos!$D$11+H129*(Supuestos!$E$11-Supuestos!$D$11),IF(Supuestos!$C$11="Lognormal",LOGINV(H129,LN(Supuestos!$D$11)-LN(1+Supuestos!$E$11^2/Supuestos!$D$11^2)/2,SQRT(LN(1+Supuestos!$E$11^2/Supuestos!$D$11^2))),Supuestos!$D$11))))))</f>
        <v/>
      </c>
      <c r="P129" s="33">
        <f>-I129</f>
        <v/>
      </c>
      <c r="Q129" s="33">
        <f>$J129*(1+$K129)^(1-1)*(1-$L129)*(1-$M129)</f>
        <v/>
      </c>
      <c r="R129" s="33">
        <f>$J129*(1+$K129)^(2-1)*(1-$L129)*(1-$M129)</f>
        <v/>
      </c>
      <c r="S129" s="33">
        <f>$J129*(1+$K129)^(3-1)*(1-$L129)*(1-$M129)</f>
        <v/>
      </c>
      <c r="T129" s="33">
        <f>$J129*(1+$K129)^(4-1)*(1-$L129)*(1-$M129)</f>
        <v/>
      </c>
      <c r="U129" s="33">
        <f>$J129*(1+$K129)^(5-1)*(1-$L129)*(1-$M129)+$O129</f>
        <v/>
      </c>
      <c r="V129" s="33">
        <f>P129+NPV($N129,Q129:U129)</f>
        <v/>
      </c>
      <c r="W129" s="32">
        <f>IFERROR(IRR(P129:U129,0.1),"")</f>
        <v/>
      </c>
    </row>
    <row r="130">
      <c r="A130" s="14" t="n">
        <v>126</v>
      </c>
      <c r="B130" s="30">
        <f>RAND()*(1-2E-6)+1E-6</f>
        <v/>
      </c>
      <c r="C130" s="30">
        <f>RAND()*(1-2E-6)+1E-6</f>
        <v/>
      </c>
      <c r="D130" s="30">
        <f>RAND()*(1-2E-6)+1E-6</f>
        <v/>
      </c>
      <c r="E130" s="30">
        <f>RAND()*(1-2E-6)+1E-6</f>
        <v/>
      </c>
      <c r="F130" s="30">
        <f>RAND()*(1-2E-6)+1E-6</f>
        <v/>
      </c>
      <c r="G130" s="30">
        <f>RAND()*(1-2E-6)+1E-6</f>
        <v/>
      </c>
      <c r="H130" s="30">
        <f>RAND()*(1-2E-6)+1E-6</f>
        <v/>
      </c>
      <c r="I130" s="31">
        <f>MIN(IF(Supuestos!$H$5="",1E+99,Supuestos!$H$5),MAX(IF(Supuestos!$G$5="",-1E+99,Supuestos!$G$5),IF(Supuestos!$C$5="Normal",NORMINV(B130,Supuestos!$D$5,Supuestos!$E$5),IF(Supuestos!$C$5="Triangular",IF(B130&lt;(Supuestos!$E$5-Supuestos!$D$5)/(Supuestos!$F$5-Supuestos!$D$5),Supuestos!$D$5+SQRT(B130*(Supuestos!$F$5-Supuestos!$D$5)*(Supuestos!$E$5-Supuestos!$D$5)),Supuestos!$F$5-SQRT((1-B130)*(Supuestos!$F$5-Supuestos!$D$5)*(Supuestos!$F$5-Supuestos!$E$5))),IF(Supuestos!$C$5="Uniforme",Supuestos!$D$5+B130*(Supuestos!$E$5-Supuestos!$D$5),IF(Supuestos!$C$5="Lognormal",LOGINV(B130,LN(Supuestos!$D$5)-LN(1+Supuestos!$E$5^2/Supuestos!$D$5^2)/2,SQRT(LN(1+Supuestos!$E$5^2/Supuestos!$D$5^2))),Supuestos!$D$5))))))</f>
        <v/>
      </c>
      <c r="J130" s="31">
        <f>MIN(IF(Supuestos!$H$6="",1E+99,Supuestos!$H$6),MAX(IF(Supuestos!$G$6="",-1E+99,Supuestos!$G$6),IF(Supuestos!$C$6="Normal",NORMINV(C130,Supuestos!$D$6,Supuestos!$E$6),IF(Supuestos!$C$6="Triangular",IF(C130&lt;(Supuestos!$E$6-Supuestos!$D$6)/(Supuestos!$F$6-Supuestos!$D$6),Supuestos!$D$6+SQRT(C130*(Supuestos!$F$6-Supuestos!$D$6)*(Supuestos!$E$6-Supuestos!$D$6)),Supuestos!$F$6-SQRT((1-C130)*(Supuestos!$F$6-Supuestos!$D$6)*(Supuestos!$F$6-Supuestos!$E$6))),IF(Supuestos!$C$6="Uniforme",Supuestos!$D$6+C130*(Supuestos!$E$6-Supuestos!$D$6),IF(Supuestos!$C$6="Lognormal",LOGINV(C130,LN(Supuestos!$D$6)-LN(1+Supuestos!$E$6^2/Supuestos!$D$6^2)/2,SQRT(LN(1+Supuestos!$E$6^2/Supuestos!$D$6^2))),Supuestos!$D$6))))))</f>
        <v/>
      </c>
      <c r="K130" s="32">
        <f>MIN(IF(Supuestos!$H$7="",1E+99,Supuestos!$H$7),MAX(IF(Supuestos!$G$7="",-1E+99,Supuestos!$G$7),IF(Supuestos!$C$7="Normal",NORMINV(D130,Supuestos!$D$7,Supuestos!$E$7),IF(Supuestos!$C$7="Triangular",IF(D130&lt;(Supuestos!$E$7-Supuestos!$D$7)/(Supuestos!$F$7-Supuestos!$D$7),Supuestos!$D$7+SQRT(D130*(Supuestos!$F$7-Supuestos!$D$7)*(Supuestos!$E$7-Supuestos!$D$7)),Supuestos!$F$7-SQRT((1-D130)*(Supuestos!$F$7-Supuestos!$D$7)*(Supuestos!$F$7-Supuestos!$E$7))),IF(Supuestos!$C$7="Uniforme",Supuestos!$D$7+D130*(Supuestos!$E$7-Supuestos!$D$7),IF(Supuestos!$C$7="Lognormal",LOGINV(D130,LN(Supuestos!$D$7)-LN(1+Supuestos!$E$7^2/Supuestos!$D$7^2)/2,SQRT(LN(1+Supuestos!$E$7^2/Supuestos!$D$7^2))),Supuestos!$D$7))))))</f>
        <v/>
      </c>
      <c r="L130" s="32">
        <f>MIN(IF(Supuestos!$H$8="",1E+99,Supuestos!$H$8),MAX(IF(Supuestos!$G$8="",-1E+99,Supuestos!$G$8),IF(Supuestos!$C$8="Normal",NORMINV(E130,Supuestos!$D$8,Supuestos!$E$8),IF(Supuestos!$C$8="Triangular",IF(E130&lt;(Supuestos!$E$8-Supuestos!$D$8)/(Supuestos!$F$8-Supuestos!$D$8),Supuestos!$D$8+SQRT(E130*(Supuestos!$F$8-Supuestos!$D$8)*(Supuestos!$E$8-Supuestos!$D$8)),Supuestos!$F$8-SQRT((1-E130)*(Supuestos!$F$8-Supuestos!$D$8)*(Supuestos!$F$8-Supuestos!$E$8))),IF(Supuestos!$C$8="Uniforme",Supuestos!$D$8+E130*(Supuestos!$E$8-Supuestos!$D$8),IF(Supuestos!$C$8="Lognormal",LOGINV(E130,LN(Supuestos!$D$8)-LN(1+Supuestos!$E$8^2/Supuestos!$D$8^2)/2,SQRT(LN(1+Supuestos!$E$8^2/Supuestos!$D$8^2))),Supuestos!$D$8))))))</f>
        <v/>
      </c>
      <c r="M130" s="32">
        <f>MIN(IF(Supuestos!$H$9="",1E+99,Supuestos!$H$9),MAX(IF(Supuestos!$G$9="",-1E+99,Supuestos!$G$9),IF(Supuestos!$C$9="Normal",NORMINV(F130,Supuestos!$D$9,Supuestos!$E$9),IF(Supuestos!$C$9="Triangular",IF(F130&lt;(Supuestos!$E$9-Supuestos!$D$9)/(Supuestos!$F$9-Supuestos!$D$9),Supuestos!$D$9+SQRT(F130*(Supuestos!$F$9-Supuestos!$D$9)*(Supuestos!$E$9-Supuestos!$D$9)),Supuestos!$F$9-SQRT((1-F130)*(Supuestos!$F$9-Supuestos!$D$9)*(Supuestos!$F$9-Supuestos!$E$9))),IF(Supuestos!$C$9="Uniforme",Supuestos!$D$9+F130*(Supuestos!$E$9-Supuestos!$D$9),IF(Supuestos!$C$9="Lognormal",LOGINV(F130,LN(Supuestos!$D$9)-LN(1+Supuestos!$E$9^2/Supuestos!$D$9^2)/2,SQRT(LN(1+Supuestos!$E$9^2/Supuestos!$D$9^2))),Supuestos!$D$9))))))</f>
        <v/>
      </c>
      <c r="N130" s="32">
        <f>MIN(IF(Supuestos!$H$10="",1E+99,Supuestos!$H$10),MAX(IF(Supuestos!$G$10="",-1E+99,Supuestos!$G$10),IF(Supuestos!$C$10="Normal",NORMINV(G130,Supuestos!$D$10,Supuestos!$E$10),IF(Supuestos!$C$10="Triangular",IF(G130&lt;(Supuestos!$E$10-Supuestos!$D$10)/(Supuestos!$F$10-Supuestos!$D$10),Supuestos!$D$10+SQRT(G130*(Supuestos!$F$10-Supuestos!$D$10)*(Supuestos!$E$10-Supuestos!$D$10)),Supuestos!$F$10-SQRT((1-G130)*(Supuestos!$F$10-Supuestos!$D$10)*(Supuestos!$F$10-Supuestos!$E$10))),IF(Supuestos!$C$10="Uniforme",Supuestos!$D$10+G130*(Supuestos!$E$10-Supuestos!$D$10),IF(Supuestos!$C$10="Lognormal",LOGINV(G130,LN(Supuestos!$D$10)-LN(1+Supuestos!$E$10^2/Supuestos!$D$10^2)/2,SQRT(LN(1+Supuestos!$E$10^2/Supuestos!$D$10^2))),Supuestos!$D$10))))))</f>
        <v/>
      </c>
      <c r="O130" s="31">
        <f>MIN(IF(Supuestos!$H$11="",1E+99,Supuestos!$H$11),MAX(IF(Supuestos!$G$11="",-1E+99,Supuestos!$G$11),IF(Supuestos!$C$11="Normal",NORMINV(H130,Supuestos!$D$11,Supuestos!$E$11),IF(Supuestos!$C$11="Triangular",IF(H130&lt;(Supuestos!$E$11-Supuestos!$D$11)/(Supuestos!$F$11-Supuestos!$D$11),Supuestos!$D$11+SQRT(H130*(Supuestos!$F$11-Supuestos!$D$11)*(Supuestos!$E$11-Supuestos!$D$11)),Supuestos!$F$11-SQRT((1-H130)*(Supuestos!$F$11-Supuestos!$D$11)*(Supuestos!$F$11-Supuestos!$E$11))),IF(Supuestos!$C$11="Uniforme",Supuestos!$D$11+H130*(Supuestos!$E$11-Supuestos!$D$11),IF(Supuestos!$C$11="Lognormal",LOGINV(H130,LN(Supuestos!$D$11)-LN(1+Supuestos!$E$11^2/Supuestos!$D$11^2)/2,SQRT(LN(1+Supuestos!$E$11^2/Supuestos!$D$11^2))),Supuestos!$D$11))))))</f>
        <v/>
      </c>
      <c r="P130" s="33">
        <f>-I130</f>
        <v/>
      </c>
      <c r="Q130" s="33">
        <f>$J130*(1+$K130)^(1-1)*(1-$L130)*(1-$M130)</f>
        <v/>
      </c>
      <c r="R130" s="33">
        <f>$J130*(1+$K130)^(2-1)*(1-$L130)*(1-$M130)</f>
        <v/>
      </c>
      <c r="S130" s="33">
        <f>$J130*(1+$K130)^(3-1)*(1-$L130)*(1-$M130)</f>
        <v/>
      </c>
      <c r="T130" s="33">
        <f>$J130*(1+$K130)^(4-1)*(1-$L130)*(1-$M130)</f>
        <v/>
      </c>
      <c r="U130" s="33">
        <f>$J130*(1+$K130)^(5-1)*(1-$L130)*(1-$M130)+$O130</f>
        <v/>
      </c>
      <c r="V130" s="33">
        <f>P130+NPV($N130,Q130:U130)</f>
        <v/>
      </c>
      <c r="W130" s="32">
        <f>IFERROR(IRR(P130:U130,0.1),"")</f>
        <v/>
      </c>
    </row>
    <row r="131">
      <c r="A131" s="14" t="n">
        <v>127</v>
      </c>
      <c r="B131" s="30">
        <f>RAND()*(1-2E-6)+1E-6</f>
        <v/>
      </c>
      <c r="C131" s="30">
        <f>RAND()*(1-2E-6)+1E-6</f>
        <v/>
      </c>
      <c r="D131" s="30">
        <f>RAND()*(1-2E-6)+1E-6</f>
        <v/>
      </c>
      <c r="E131" s="30">
        <f>RAND()*(1-2E-6)+1E-6</f>
        <v/>
      </c>
      <c r="F131" s="30">
        <f>RAND()*(1-2E-6)+1E-6</f>
        <v/>
      </c>
      <c r="G131" s="30">
        <f>RAND()*(1-2E-6)+1E-6</f>
        <v/>
      </c>
      <c r="H131" s="30">
        <f>RAND()*(1-2E-6)+1E-6</f>
        <v/>
      </c>
      <c r="I131" s="31">
        <f>MIN(IF(Supuestos!$H$5="",1E+99,Supuestos!$H$5),MAX(IF(Supuestos!$G$5="",-1E+99,Supuestos!$G$5),IF(Supuestos!$C$5="Normal",NORMINV(B131,Supuestos!$D$5,Supuestos!$E$5),IF(Supuestos!$C$5="Triangular",IF(B131&lt;(Supuestos!$E$5-Supuestos!$D$5)/(Supuestos!$F$5-Supuestos!$D$5),Supuestos!$D$5+SQRT(B131*(Supuestos!$F$5-Supuestos!$D$5)*(Supuestos!$E$5-Supuestos!$D$5)),Supuestos!$F$5-SQRT((1-B131)*(Supuestos!$F$5-Supuestos!$D$5)*(Supuestos!$F$5-Supuestos!$E$5))),IF(Supuestos!$C$5="Uniforme",Supuestos!$D$5+B131*(Supuestos!$E$5-Supuestos!$D$5),IF(Supuestos!$C$5="Lognormal",LOGINV(B131,LN(Supuestos!$D$5)-LN(1+Supuestos!$E$5^2/Supuestos!$D$5^2)/2,SQRT(LN(1+Supuestos!$E$5^2/Supuestos!$D$5^2))),Supuestos!$D$5))))))</f>
        <v/>
      </c>
      <c r="J131" s="31">
        <f>MIN(IF(Supuestos!$H$6="",1E+99,Supuestos!$H$6),MAX(IF(Supuestos!$G$6="",-1E+99,Supuestos!$G$6),IF(Supuestos!$C$6="Normal",NORMINV(C131,Supuestos!$D$6,Supuestos!$E$6),IF(Supuestos!$C$6="Triangular",IF(C131&lt;(Supuestos!$E$6-Supuestos!$D$6)/(Supuestos!$F$6-Supuestos!$D$6),Supuestos!$D$6+SQRT(C131*(Supuestos!$F$6-Supuestos!$D$6)*(Supuestos!$E$6-Supuestos!$D$6)),Supuestos!$F$6-SQRT((1-C131)*(Supuestos!$F$6-Supuestos!$D$6)*(Supuestos!$F$6-Supuestos!$E$6))),IF(Supuestos!$C$6="Uniforme",Supuestos!$D$6+C131*(Supuestos!$E$6-Supuestos!$D$6),IF(Supuestos!$C$6="Lognormal",LOGINV(C131,LN(Supuestos!$D$6)-LN(1+Supuestos!$E$6^2/Supuestos!$D$6^2)/2,SQRT(LN(1+Supuestos!$E$6^2/Supuestos!$D$6^2))),Supuestos!$D$6))))))</f>
        <v/>
      </c>
      <c r="K131" s="32">
        <f>MIN(IF(Supuestos!$H$7="",1E+99,Supuestos!$H$7),MAX(IF(Supuestos!$G$7="",-1E+99,Supuestos!$G$7),IF(Supuestos!$C$7="Normal",NORMINV(D131,Supuestos!$D$7,Supuestos!$E$7),IF(Supuestos!$C$7="Triangular",IF(D131&lt;(Supuestos!$E$7-Supuestos!$D$7)/(Supuestos!$F$7-Supuestos!$D$7),Supuestos!$D$7+SQRT(D131*(Supuestos!$F$7-Supuestos!$D$7)*(Supuestos!$E$7-Supuestos!$D$7)),Supuestos!$F$7-SQRT((1-D131)*(Supuestos!$F$7-Supuestos!$D$7)*(Supuestos!$F$7-Supuestos!$E$7))),IF(Supuestos!$C$7="Uniforme",Supuestos!$D$7+D131*(Supuestos!$E$7-Supuestos!$D$7),IF(Supuestos!$C$7="Lognormal",LOGINV(D131,LN(Supuestos!$D$7)-LN(1+Supuestos!$E$7^2/Supuestos!$D$7^2)/2,SQRT(LN(1+Supuestos!$E$7^2/Supuestos!$D$7^2))),Supuestos!$D$7))))))</f>
        <v/>
      </c>
      <c r="L131" s="32">
        <f>MIN(IF(Supuestos!$H$8="",1E+99,Supuestos!$H$8),MAX(IF(Supuestos!$G$8="",-1E+99,Supuestos!$G$8),IF(Supuestos!$C$8="Normal",NORMINV(E131,Supuestos!$D$8,Supuestos!$E$8),IF(Supuestos!$C$8="Triangular",IF(E131&lt;(Supuestos!$E$8-Supuestos!$D$8)/(Supuestos!$F$8-Supuestos!$D$8),Supuestos!$D$8+SQRT(E131*(Supuestos!$F$8-Supuestos!$D$8)*(Supuestos!$E$8-Supuestos!$D$8)),Supuestos!$F$8-SQRT((1-E131)*(Supuestos!$F$8-Supuestos!$D$8)*(Supuestos!$F$8-Supuestos!$E$8))),IF(Supuestos!$C$8="Uniforme",Supuestos!$D$8+E131*(Supuestos!$E$8-Supuestos!$D$8),IF(Supuestos!$C$8="Lognormal",LOGINV(E131,LN(Supuestos!$D$8)-LN(1+Supuestos!$E$8^2/Supuestos!$D$8^2)/2,SQRT(LN(1+Supuestos!$E$8^2/Supuestos!$D$8^2))),Supuestos!$D$8))))))</f>
        <v/>
      </c>
      <c r="M131" s="32">
        <f>MIN(IF(Supuestos!$H$9="",1E+99,Supuestos!$H$9),MAX(IF(Supuestos!$G$9="",-1E+99,Supuestos!$G$9),IF(Supuestos!$C$9="Normal",NORMINV(F131,Supuestos!$D$9,Supuestos!$E$9),IF(Supuestos!$C$9="Triangular",IF(F131&lt;(Supuestos!$E$9-Supuestos!$D$9)/(Supuestos!$F$9-Supuestos!$D$9),Supuestos!$D$9+SQRT(F131*(Supuestos!$F$9-Supuestos!$D$9)*(Supuestos!$E$9-Supuestos!$D$9)),Supuestos!$F$9-SQRT((1-F131)*(Supuestos!$F$9-Supuestos!$D$9)*(Supuestos!$F$9-Supuestos!$E$9))),IF(Supuestos!$C$9="Uniforme",Supuestos!$D$9+F131*(Supuestos!$E$9-Supuestos!$D$9),IF(Supuestos!$C$9="Lognormal",LOGINV(F131,LN(Supuestos!$D$9)-LN(1+Supuestos!$E$9^2/Supuestos!$D$9^2)/2,SQRT(LN(1+Supuestos!$E$9^2/Supuestos!$D$9^2))),Supuestos!$D$9))))))</f>
        <v/>
      </c>
      <c r="N131" s="32">
        <f>MIN(IF(Supuestos!$H$10="",1E+99,Supuestos!$H$10),MAX(IF(Supuestos!$G$10="",-1E+99,Supuestos!$G$10),IF(Supuestos!$C$10="Normal",NORMINV(G131,Supuestos!$D$10,Supuestos!$E$10),IF(Supuestos!$C$10="Triangular",IF(G131&lt;(Supuestos!$E$10-Supuestos!$D$10)/(Supuestos!$F$10-Supuestos!$D$10),Supuestos!$D$10+SQRT(G131*(Supuestos!$F$10-Supuestos!$D$10)*(Supuestos!$E$10-Supuestos!$D$10)),Supuestos!$F$10-SQRT((1-G131)*(Supuestos!$F$10-Supuestos!$D$10)*(Supuestos!$F$10-Supuestos!$E$10))),IF(Supuestos!$C$10="Uniforme",Supuestos!$D$10+G131*(Supuestos!$E$10-Supuestos!$D$10),IF(Supuestos!$C$10="Lognormal",LOGINV(G131,LN(Supuestos!$D$10)-LN(1+Supuestos!$E$10^2/Supuestos!$D$10^2)/2,SQRT(LN(1+Supuestos!$E$10^2/Supuestos!$D$10^2))),Supuestos!$D$10))))))</f>
        <v/>
      </c>
      <c r="O131" s="31">
        <f>MIN(IF(Supuestos!$H$11="",1E+99,Supuestos!$H$11),MAX(IF(Supuestos!$G$11="",-1E+99,Supuestos!$G$11),IF(Supuestos!$C$11="Normal",NORMINV(H131,Supuestos!$D$11,Supuestos!$E$11),IF(Supuestos!$C$11="Triangular",IF(H131&lt;(Supuestos!$E$11-Supuestos!$D$11)/(Supuestos!$F$11-Supuestos!$D$11),Supuestos!$D$11+SQRT(H131*(Supuestos!$F$11-Supuestos!$D$11)*(Supuestos!$E$11-Supuestos!$D$11)),Supuestos!$F$11-SQRT((1-H131)*(Supuestos!$F$11-Supuestos!$D$11)*(Supuestos!$F$11-Supuestos!$E$11))),IF(Supuestos!$C$11="Uniforme",Supuestos!$D$11+H131*(Supuestos!$E$11-Supuestos!$D$11),IF(Supuestos!$C$11="Lognormal",LOGINV(H131,LN(Supuestos!$D$11)-LN(1+Supuestos!$E$11^2/Supuestos!$D$11^2)/2,SQRT(LN(1+Supuestos!$E$11^2/Supuestos!$D$11^2))),Supuestos!$D$11))))))</f>
        <v/>
      </c>
      <c r="P131" s="33">
        <f>-I131</f>
        <v/>
      </c>
      <c r="Q131" s="33">
        <f>$J131*(1+$K131)^(1-1)*(1-$L131)*(1-$M131)</f>
        <v/>
      </c>
      <c r="R131" s="33">
        <f>$J131*(1+$K131)^(2-1)*(1-$L131)*(1-$M131)</f>
        <v/>
      </c>
      <c r="S131" s="33">
        <f>$J131*(1+$K131)^(3-1)*(1-$L131)*(1-$M131)</f>
        <v/>
      </c>
      <c r="T131" s="33">
        <f>$J131*(1+$K131)^(4-1)*(1-$L131)*(1-$M131)</f>
        <v/>
      </c>
      <c r="U131" s="33">
        <f>$J131*(1+$K131)^(5-1)*(1-$L131)*(1-$M131)+$O131</f>
        <v/>
      </c>
      <c r="V131" s="33">
        <f>P131+NPV($N131,Q131:U131)</f>
        <v/>
      </c>
      <c r="W131" s="32">
        <f>IFERROR(IRR(P131:U131,0.1),"")</f>
        <v/>
      </c>
    </row>
    <row r="132">
      <c r="A132" s="14" t="n">
        <v>128</v>
      </c>
      <c r="B132" s="30">
        <f>RAND()*(1-2E-6)+1E-6</f>
        <v/>
      </c>
      <c r="C132" s="30">
        <f>RAND()*(1-2E-6)+1E-6</f>
        <v/>
      </c>
      <c r="D132" s="30">
        <f>RAND()*(1-2E-6)+1E-6</f>
        <v/>
      </c>
      <c r="E132" s="30">
        <f>RAND()*(1-2E-6)+1E-6</f>
        <v/>
      </c>
      <c r="F132" s="30">
        <f>RAND()*(1-2E-6)+1E-6</f>
        <v/>
      </c>
      <c r="G132" s="30">
        <f>RAND()*(1-2E-6)+1E-6</f>
        <v/>
      </c>
      <c r="H132" s="30">
        <f>RAND()*(1-2E-6)+1E-6</f>
        <v/>
      </c>
      <c r="I132" s="31">
        <f>MIN(IF(Supuestos!$H$5="",1E+99,Supuestos!$H$5),MAX(IF(Supuestos!$G$5="",-1E+99,Supuestos!$G$5),IF(Supuestos!$C$5="Normal",NORMINV(B132,Supuestos!$D$5,Supuestos!$E$5),IF(Supuestos!$C$5="Triangular",IF(B132&lt;(Supuestos!$E$5-Supuestos!$D$5)/(Supuestos!$F$5-Supuestos!$D$5),Supuestos!$D$5+SQRT(B132*(Supuestos!$F$5-Supuestos!$D$5)*(Supuestos!$E$5-Supuestos!$D$5)),Supuestos!$F$5-SQRT((1-B132)*(Supuestos!$F$5-Supuestos!$D$5)*(Supuestos!$F$5-Supuestos!$E$5))),IF(Supuestos!$C$5="Uniforme",Supuestos!$D$5+B132*(Supuestos!$E$5-Supuestos!$D$5),IF(Supuestos!$C$5="Lognormal",LOGINV(B132,LN(Supuestos!$D$5)-LN(1+Supuestos!$E$5^2/Supuestos!$D$5^2)/2,SQRT(LN(1+Supuestos!$E$5^2/Supuestos!$D$5^2))),Supuestos!$D$5))))))</f>
        <v/>
      </c>
      <c r="J132" s="31">
        <f>MIN(IF(Supuestos!$H$6="",1E+99,Supuestos!$H$6),MAX(IF(Supuestos!$G$6="",-1E+99,Supuestos!$G$6),IF(Supuestos!$C$6="Normal",NORMINV(C132,Supuestos!$D$6,Supuestos!$E$6),IF(Supuestos!$C$6="Triangular",IF(C132&lt;(Supuestos!$E$6-Supuestos!$D$6)/(Supuestos!$F$6-Supuestos!$D$6),Supuestos!$D$6+SQRT(C132*(Supuestos!$F$6-Supuestos!$D$6)*(Supuestos!$E$6-Supuestos!$D$6)),Supuestos!$F$6-SQRT((1-C132)*(Supuestos!$F$6-Supuestos!$D$6)*(Supuestos!$F$6-Supuestos!$E$6))),IF(Supuestos!$C$6="Uniforme",Supuestos!$D$6+C132*(Supuestos!$E$6-Supuestos!$D$6),IF(Supuestos!$C$6="Lognormal",LOGINV(C132,LN(Supuestos!$D$6)-LN(1+Supuestos!$E$6^2/Supuestos!$D$6^2)/2,SQRT(LN(1+Supuestos!$E$6^2/Supuestos!$D$6^2))),Supuestos!$D$6))))))</f>
        <v/>
      </c>
      <c r="K132" s="32">
        <f>MIN(IF(Supuestos!$H$7="",1E+99,Supuestos!$H$7),MAX(IF(Supuestos!$G$7="",-1E+99,Supuestos!$G$7),IF(Supuestos!$C$7="Normal",NORMINV(D132,Supuestos!$D$7,Supuestos!$E$7),IF(Supuestos!$C$7="Triangular",IF(D132&lt;(Supuestos!$E$7-Supuestos!$D$7)/(Supuestos!$F$7-Supuestos!$D$7),Supuestos!$D$7+SQRT(D132*(Supuestos!$F$7-Supuestos!$D$7)*(Supuestos!$E$7-Supuestos!$D$7)),Supuestos!$F$7-SQRT((1-D132)*(Supuestos!$F$7-Supuestos!$D$7)*(Supuestos!$F$7-Supuestos!$E$7))),IF(Supuestos!$C$7="Uniforme",Supuestos!$D$7+D132*(Supuestos!$E$7-Supuestos!$D$7),IF(Supuestos!$C$7="Lognormal",LOGINV(D132,LN(Supuestos!$D$7)-LN(1+Supuestos!$E$7^2/Supuestos!$D$7^2)/2,SQRT(LN(1+Supuestos!$E$7^2/Supuestos!$D$7^2))),Supuestos!$D$7))))))</f>
        <v/>
      </c>
      <c r="L132" s="32">
        <f>MIN(IF(Supuestos!$H$8="",1E+99,Supuestos!$H$8),MAX(IF(Supuestos!$G$8="",-1E+99,Supuestos!$G$8),IF(Supuestos!$C$8="Normal",NORMINV(E132,Supuestos!$D$8,Supuestos!$E$8),IF(Supuestos!$C$8="Triangular",IF(E132&lt;(Supuestos!$E$8-Supuestos!$D$8)/(Supuestos!$F$8-Supuestos!$D$8),Supuestos!$D$8+SQRT(E132*(Supuestos!$F$8-Supuestos!$D$8)*(Supuestos!$E$8-Supuestos!$D$8)),Supuestos!$F$8-SQRT((1-E132)*(Supuestos!$F$8-Supuestos!$D$8)*(Supuestos!$F$8-Supuestos!$E$8))),IF(Supuestos!$C$8="Uniforme",Supuestos!$D$8+E132*(Supuestos!$E$8-Supuestos!$D$8),IF(Supuestos!$C$8="Lognormal",LOGINV(E132,LN(Supuestos!$D$8)-LN(1+Supuestos!$E$8^2/Supuestos!$D$8^2)/2,SQRT(LN(1+Supuestos!$E$8^2/Supuestos!$D$8^2))),Supuestos!$D$8))))))</f>
        <v/>
      </c>
      <c r="M132" s="32">
        <f>MIN(IF(Supuestos!$H$9="",1E+99,Supuestos!$H$9),MAX(IF(Supuestos!$G$9="",-1E+99,Supuestos!$G$9),IF(Supuestos!$C$9="Normal",NORMINV(F132,Supuestos!$D$9,Supuestos!$E$9),IF(Supuestos!$C$9="Triangular",IF(F132&lt;(Supuestos!$E$9-Supuestos!$D$9)/(Supuestos!$F$9-Supuestos!$D$9),Supuestos!$D$9+SQRT(F132*(Supuestos!$F$9-Supuestos!$D$9)*(Supuestos!$E$9-Supuestos!$D$9)),Supuestos!$F$9-SQRT((1-F132)*(Supuestos!$F$9-Supuestos!$D$9)*(Supuestos!$F$9-Supuestos!$E$9))),IF(Supuestos!$C$9="Uniforme",Supuestos!$D$9+F132*(Supuestos!$E$9-Supuestos!$D$9),IF(Supuestos!$C$9="Lognormal",LOGINV(F132,LN(Supuestos!$D$9)-LN(1+Supuestos!$E$9^2/Supuestos!$D$9^2)/2,SQRT(LN(1+Supuestos!$E$9^2/Supuestos!$D$9^2))),Supuestos!$D$9))))))</f>
        <v/>
      </c>
      <c r="N132" s="32">
        <f>MIN(IF(Supuestos!$H$10="",1E+99,Supuestos!$H$10),MAX(IF(Supuestos!$G$10="",-1E+99,Supuestos!$G$10),IF(Supuestos!$C$10="Normal",NORMINV(G132,Supuestos!$D$10,Supuestos!$E$10),IF(Supuestos!$C$10="Triangular",IF(G132&lt;(Supuestos!$E$10-Supuestos!$D$10)/(Supuestos!$F$10-Supuestos!$D$10),Supuestos!$D$10+SQRT(G132*(Supuestos!$F$10-Supuestos!$D$10)*(Supuestos!$E$10-Supuestos!$D$10)),Supuestos!$F$10-SQRT((1-G132)*(Supuestos!$F$10-Supuestos!$D$10)*(Supuestos!$F$10-Supuestos!$E$10))),IF(Supuestos!$C$10="Uniforme",Supuestos!$D$10+G132*(Supuestos!$E$10-Supuestos!$D$10),IF(Supuestos!$C$10="Lognormal",LOGINV(G132,LN(Supuestos!$D$10)-LN(1+Supuestos!$E$10^2/Supuestos!$D$10^2)/2,SQRT(LN(1+Supuestos!$E$10^2/Supuestos!$D$10^2))),Supuestos!$D$10))))))</f>
        <v/>
      </c>
      <c r="O132" s="31">
        <f>MIN(IF(Supuestos!$H$11="",1E+99,Supuestos!$H$11),MAX(IF(Supuestos!$G$11="",-1E+99,Supuestos!$G$11),IF(Supuestos!$C$11="Normal",NORMINV(H132,Supuestos!$D$11,Supuestos!$E$11),IF(Supuestos!$C$11="Triangular",IF(H132&lt;(Supuestos!$E$11-Supuestos!$D$11)/(Supuestos!$F$11-Supuestos!$D$11),Supuestos!$D$11+SQRT(H132*(Supuestos!$F$11-Supuestos!$D$11)*(Supuestos!$E$11-Supuestos!$D$11)),Supuestos!$F$11-SQRT((1-H132)*(Supuestos!$F$11-Supuestos!$D$11)*(Supuestos!$F$11-Supuestos!$E$11))),IF(Supuestos!$C$11="Uniforme",Supuestos!$D$11+H132*(Supuestos!$E$11-Supuestos!$D$11),IF(Supuestos!$C$11="Lognormal",LOGINV(H132,LN(Supuestos!$D$11)-LN(1+Supuestos!$E$11^2/Supuestos!$D$11^2)/2,SQRT(LN(1+Supuestos!$E$11^2/Supuestos!$D$11^2))),Supuestos!$D$11))))))</f>
        <v/>
      </c>
      <c r="P132" s="33">
        <f>-I132</f>
        <v/>
      </c>
      <c r="Q132" s="33">
        <f>$J132*(1+$K132)^(1-1)*(1-$L132)*(1-$M132)</f>
        <v/>
      </c>
      <c r="R132" s="33">
        <f>$J132*(1+$K132)^(2-1)*(1-$L132)*(1-$M132)</f>
        <v/>
      </c>
      <c r="S132" s="33">
        <f>$J132*(1+$K132)^(3-1)*(1-$L132)*(1-$M132)</f>
        <v/>
      </c>
      <c r="T132" s="33">
        <f>$J132*(1+$K132)^(4-1)*(1-$L132)*(1-$M132)</f>
        <v/>
      </c>
      <c r="U132" s="33">
        <f>$J132*(1+$K132)^(5-1)*(1-$L132)*(1-$M132)+$O132</f>
        <v/>
      </c>
      <c r="V132" s="33">
        <f>P132+NPV($N132,Q132:U132)</f>
        <v/>
      </c>
      <c r="W132" s="32">
        <f>IFERROR(IRR(P132:U132,0.1),"")</f>
        <v/>
      </c>
    </row>
    <row r="133">
      <c r="A133" s="14" t="n">
        <v>129</v>
      </c>
      <c r="B133" s="30">
        <f>RAND()*(1-2E-6)+1E-6</f>
        <v/>
      </c>
      <c r="C133" s="30">
        <f>RAND()*(1-2E-6)+1E-6</f>
        <v/>
      </c>
      <c r="D133" s="30">
        <f>RAND()*(1-2E-6)+1E-6</f>
        <v/>
      </c>
      <c r="E133" s="30">
        <f>RAND()*(1-2E-6)+1E-6</f>
        <v/>
      </c>
      <c r="F133" s="30">
        <f>RAND()*(1-2E-6)+1E-6</f>
        <v/>
      </c>
      <c r="G133" s="30">
        <f>RAND()*(1-2E-6)+1E-6</f>
        <v/>
      </c>
      <c r="H133" s="30">
        <f>RAND()*(1-2E-6)+1E-6</f>
        <v/>
      </c>
      <c r="I133" s="31">
        <f>MIN(IF(Supuestos!$H$5="",1E+99,Supuestos!$H$5),MAX(IF(Supuestos!$G$5="",-1E+99,Supuestos!$G$5),IF(Supuestos!$C$5="Normal",NORMINV(B133,Supuestos!$D$5,Supuestos!$E$5),IF(Supuestos!$C$5="Triangular",IF(B133&lt;(Supuestos!$E$5-Supuestos!$D$5)/(Supuestos!$F$5-Supuestos!$D$5),Supuestos!$D$5+SQRT(B133*(Supuestos!$F$5-Supuestos!$D$5)*(Supuestos!$E$5-Supuestos!$D$5)),Supuestos!$F$5-SQRT((1-B133)*(Supuestos!$F$5-Supuestos!$D$5)*(Supuestos!$F$5-Supuestos!$E$5))),IF(Supuestos!$C$5="Uniforme",Supuestos!$D$5+B133*(Supuestos!$E$5-Supuestos!$D$5),IF(Supuestos!$C$5="Lognormal",LOGINV(B133,LN(Supuestos!$D$5)-LN(1+Supuestos!$E$5^2/Supuestos!$D$5^2)/2,SQRT(LN(1+Supuestos!$E$5^2/Supuestos!$D$5^2))),Supuestos!$D$5))))))</f>
        <v/>
      </c>
      <c r="J133" s="31">
        <f>MIN(IF(Supuestos!$H$6="",1E+99,Supuestos!$H$6),MAX(IF(Supuestos!$G$6="",-1E+99,Supuestos!$G$6),IF(Supuestos!$C$6="Normal",NORMINV(C133,Supuestos!$D$6,Supuestos!$E$6),IF(Supuestos!$C$6="Triangular",IF(C133&lt;(Supuestos!$E$6-Supuestos!$D$6)/(Supuestos!$F$6-Supuestos!$D$6),Supuestos!$D$6+SQRT(C133*(Supuestos!$F$6-Supuestos!$D$6)*(Supuestos!$E$6-Supuestos!$D$6)),Supuestos!$F$6-SQRT((1-C133)*(Supuestos!$F$6-Supuestos!$D$6)*(Supuestos!$F$6-Supuestos!$E$6))),IF(Supuestos!$C$6="Uniforme",Supuestos!$D$6+C133*(Supuestos!$E$6-Supuestos!$D$6),IF(Supuestos!$C$6="Lognormal",LOGINV(C133,LN(Supuestos!$D$6)-LN(1+Supuestos!$E$6^2/Supuestos!$D$6^2)/2,SQRT(LN(1+Supuestos!$E$6^2/Supuestos!$D$6^2))),Supuestos!$D$6))))))</f>
        <v/>
      </c>
      <c r="K133" s="32">
        <f>MIN(IF(Supuestos!$H$7="",1E+99,Supuestos!$H$7),MAX(IF(Supuestos!$G$7="",-1E+99,Supuestos!$G$7),IF(Supuestos!$C$7="Normal",NORMINV(D133,Supuestos!$D$7,Supuestos!$E$7),IF(Supuestos!$C$7="Triangular",IF(D133&lt;(Supuestos!$E$7-Supuestos!$D$7)/(Supuestos!$F$7-Supuestos!$D$7),Supuestos!$D$7+SQRT(D133*(Supuestos!$F$7-Supuestos!$D$7)*(Supuestos!$E$7-Supuestos!$D$7)),Supuestos!$F$7-SQRT((1-D133)*(Supuestos!$F$7-Supuestos!$D$7)*(Supuestos!$F$7-Supuestos!$E$7))),IF(Supuestos!$C$7="Uniforme",Supuestos!$D$7+D133*(Supuestos!$E$7-Supuestos!$D$7),IF(Supuestos!$C$7="Lognormal",LOGINV(D133,LN(Supuestos!$D$7)-LN(1+Supuestos!$E$7^2/Supuestos!$D$7^2)/2,SQRT(LN(1+Supuestos!$E$7^2/Supuestos!$D$7^2))),Supuestos!$D$7))))))</f>
        <v/>
      </c>
      <c r="L133" s="32">
        <f>MIN(IF(Supuestos!$H$8="",1E+99,Supuestos!$H$8),MAX(IF(Supuestos!$G$8="",-1E+99,Supuestos!$G$8),IF(Supuestos!$C$8="Normal",NORMINV(E133,Supuestos!$D$8,Supuestos!$E$8),IF(Supuestos!$C$8="Triangular",IF(E133&lt;(Supuestos!$E$8-Supuestos!$D$8)/(Supuestos!$F$8-Supuestos!$D$8),Supuestos!$D$8+SQRT(E133*(Supuestos!$F$8-Supuestos!$D$8)*(Supuestos!$E$8-Supuestos!$D$8)),Supuestos!$F$8-SQRT((1-E133)*(Supuestos!$F$8-Supuestos!$D$8)*(Supuestos!$F$8-Supuestos!$E$8))),IF(Supuestos!$C$8="Uniforme",Supuestos!$D$8+E133*(Supuestos!$E$8-Supuestos!$D$8),IF(Supuestos!$C$8="Lognormal",LOGINV(E133,LN(Supuestos!$D$8)-LN(1+Supuestos!$E$8^2/Supuestos!$D$8^2)/2,SQRT(LN(1+Supuestos!$E$8^2/Supuestos!$D$8^2))),Supuestos!$D$8))))))</f>
        <v/>
      </c>
      <c r="M133" s="32">
        <f>MIN(IF(Supuestos!$H$9="",1E+99,Supuestos!$H$9),MAX(IF(Supuestos!$G$9="",-1E+99,Supuestos!$G$9),IF(Supuestos!$C$9="Normal",NORMINV(F133,Supuestos!$D$9,Supuestos!$E$9),IF(Supuestos!$C$9="Triangular",IF(F133&lt;(Supuestos!$E$9-Supuestos!$D$9)/(Supuestos!$F$9-Supuestos!$D$9),Supuestos!$D$9+SQRT(F133*(Supuestos!$F$9-Supuestos!$D$9)*(Supuestos!$E$9-Supuestos!$D$9)),Supuestos!$F$9-SQRT((1-F133)*(Supuestos!$F$9-Supuestos!$D$9)*(Supuestos!$F$9-Supuestos!$E$9))),IF(Supuestos!$C$9="Uniforme",Supuestos!$D$9+F133*(Supuestos!$E$9-Supuestos!$D$9),IF(Supuestos!$C$9="Lognormal",LOGINV(F133,LN(Supuestos!$D$9)-LN(1+Supuestos!$E$9^2/Supuestos!$D$9^2)/2,SQRT(LN(1+Supuestos!$E$9^2/Supuestos!$D$9^2))),Supuestos!$D$9))))))</f>
        <v/>
      </c>
      <c r="N133" s="32">
        <f>MIN(IF(Supuestos!$H$10="",1E+99,Supuestos!$H$10),MAX(IF(Supuestos!$G$10="",-1E+99,Supuestos!$G$10),IF(Supuestos!$C$10="Normal",NORMINV(G133,Supuestos!$D$10,Supuestos!$E$10),IF(Supuestos!$C$10="Triangular",IF(G133&lt;(Supuestos!$E$10-Supuestos!$D$10)/(Supuestos!$F$10-Supuestos!$D$10),Supuestos!$D$10+SQRT(G133*(Supuestos!$F$10-Supuestos!$D$10)*(Supuestos!$E$10-Supuestos!$D$10)),Supuestos!$F$10-SQRT((1-G133)*(Supuestos!$F$10-Supuestos!$D$10)*(Supuestos!$F$10-Supuestos!$E$10))),IF(Supuestos!$C$10="Uniforme",Supuestos!$D$10+G133*(Supuestos!$E$10-Supuestos!$D$10),IF(Supuestos!$C$10="Lognormal",LOGINV(G133,LN(Supuestos!$D$10)-LN(1+Supuestos!$E$10^2/Supuestos!$D$10^2)/2,SQRT(LN(1+Supuestos!$E$10^2/Supuestos!$D$10^2))),Supuestos!$D$10))))))</f>
        <v/>
      </c>
      <c r="O133" s="31">
        <f>MIN(IF(Supuestos!$H$11="",1E+99,Supuestos!$H$11),MAX(IF(Supuestos!$G$11="",-1E+99,Supuestos!$G$11),IF(Supuestos!$C$11="Normal",NORMINV(H133,Supuestos!$D$11,Supuestos!$E$11),IF(Supuestos!$C$11="Triangular",IF(H133&lt;(Supuestos!$E$11-Supuestos!$D$11)/(Supuestos!$F$11-Supuestos!$D$11),Supuestos!$D$11+SQRT(H133*(Supuestos!$F$11-Supuestos!$D$11)*(Supuestos!$E$11-Supuestos!$D$11)),Supuestos!$F$11-SQRT((1-H133)*(Supuestos!$F$11-Supuestos!$D$11)*(Supuestos!$F$11-Supuestos!$E$11))),IF(Supuestos!$C$11="Uniforme",Supuestos!$D$11+H133*(Supuestos!$E$11-Supuestos!$D$11),IF(Supuestos!$C$11="Lognormal",LOGINV(H133,LN(Supuestos!$D$11)-LN(1+Supuestos!$E$11^2/Supuestos!$D$11^2)/2,SQRT(LN(1+Supuestos!$E$11^2/Supuestos!$D$11^2))),Supuestos!$D$11))))))</f>
        <v/>
      </c>
      <c r="P133" s="33">
        <f>-I133</f>
        <v/>
      </c>
      <c r="Q133" s="33">
        <f>$J133*(1+$K133)^(1-1)*(1-$L133)*(1-$M133)</f>
        <v/>
      </c>
      <c r="R133" s="33">
        <f>$J133*(1+$K133)^(2-1)*(1-$L133)*(1-$M133)</f>
        <v/>
      </c>
      <c r="S133" s="33">
        <f>$J133*(1+$K133)^(3-1)*(1-$L133)*(1-$M133)</f>
        <v/>
      </c>
      <c r="T133" s="33">
        <f>$J133*(1+$K133)^(4-1)*(1-$L133)*(1-$M133)</f>
        <v/>
      </c>
      <c r="U133" s="33">
        <f>$J133*(1+$K133)^(5-1)*(1-$L133)*(1-$M133)+$O133</f>
        <v/>
      </c>
      <c r="V133" s="33">
        <f>P133+NPV($N133,Q133:U133)</f>
        <v/>
      </c>
      <c r="W133" s="32">
        <f>IFERROR(IRR(P133:U133,0.1),"")</f>
        <v/>
      </c>
    </row>
    <row r="134">
      <c r="A134" s="14" t="n">
        <v>130</v>
      </c>
      <c r="B134" s="30">
        <f>RAND()*(1-2E-6)+1E-6</f>
        <v/>
      </c>
      <c r="C134" s="30">
        <f>RAND()*(1-2E-6)+1E-6</f>
        <v/>
      </c>
      <c r="D134" s="30">
        <f>RAND()*(1-2E-6)+1E-6</f>
        <v/>
      </c>
      <c r="E134" s="30">
        <f>RAND()*(1-2E-6)+1E-6</f>
        <v/>
      </c>
      <c r="F134" s="30">
        <f>RAND()*(1-2E-6)+1E-6</f>
        <v/>
      </c>
      <c r="G134" s="30">
        <f>RAND()*(1-2E-6)+1E-6</f>
        <v/>
      </c>
      <c r="H134" s="30">
        <f>RAND()*(1-2E-6)+1E-6</f>
        <v/>
      </c>
      <c r="I134" s="31">
        <f>MIN(IF(Supuestos!$H$5="",1E+99,Supuestos!$H$5),MAX(IF(Supuestos!$G$5="",-1E+99,Supuestos!$G$5),IF(Supuestos!$C$5="Normal",NORMINV(B134,Supuestos!$D$5,Supuestos!$E$5),IF(Supuestos!$C$5="Triangular",IF(B134&lt;(Supuestos!$E$5-Supuestos!$D$5)/(Supuestos!$F$5-Supuestos!$D$5),Supuestos!$D$5+SQRT(B134*(Supuestos!$F$5-Supuestos!$D$5)*(Supuestos!$E$5-Supuestos!$D$5)),Supuestos!$F$5-SQRT((1-B134)*(Supuestos!$F$5-Supuestos!$D$5)*(Supuestos!$F$5-Supuestos!$E$5))),IF(Supuestos!$C$5="Uniforme",Supuestos!$D$5+B134*(Supuestos!$E$5-Supuestos!$D$5),IF(Supuestos!$C$5="Lognormal",LOGINV(B134,LN(Supuestos!$D$5)-LN(1+Supuestos!$E$5^2/Supuestos!$D$5^2)/2,SQRT(LN(1+Supuestos!$E$5^2/Supuestos!$D$5^2))),Supuestos!$D$5))))))</f>
        <v/>
      </c>
      <c r="J134" s="31">
        <f>MIN(IF(Supuestos!$H$6="",1E+99,Supuestos!$H$6),MAX(IF(Supuestos!$G$6="",-1E+99,Supuestos!$G$6),IF(Supuestos!$C$6="Normal",NORMINV(C134,Supuestos!$D$6,Supuestos!$E$6),IF(Supuestos!$C$6="Triangular",IF(C134&lt;(Supuestos!$E$6-Supuestos!$D$6)/(Supuestos!$F$6-Supuestos!$D$6),Supuestos!$D$6+SQRT(C134*(Supuestos!$F$6-Supuestos!$D$6)*(Supuestos!$E$6-Supuestos!$D$6)),Supuestos!$F$6-SQRT((1-C134)*(Supuestos!$F$6-Supuestos!$D$6)*(Supuestos!$F$6-Supuestos!$E$6))),IF(Supuestos!$C$6="Uniforme",Supuestos!$D$6+C134*(Supuestos!$E$6-Supuestos!$D$6),IF(Supuestos!$C$6="Lognormal",LOGINV(C134,LN(Supuestos!$D$6)-LN(1+Supuestos!$E$6^2/Supuestos!$D$6^2)/2,SQRT(LN(1+Supuestos!$E$6^2/Supuestos!$D$6^2))),Supuestos!$D$6))))))</f>
        <v/>
      </c>
      <c r="K134" s="32">
        <f>MIN(IF(Supuestos!$H$7="",1E+99,Supuestos!$H$7),MAX(IF(Supuestos!$G$7="",-1E+99,Supuestos!$G$7),IF(Supuestos!$C$7="Normal",NORMINV(D134,Supuestos!$D$7,Supuestos!$E$7),IF(Supuestos!$C$7="Triangular",IF(D134&lt;(Supuestos!$E$7-Supuestos!$D$7)/(Supuestos!$F$7-Supuestos!$D$7),Supuestos!$D$7+SQRT(D134*(Supuestos!$F$7-Supuestos!$D$7)*(Supuestos!$E$7-Supuestos!$D$7)),Supuestos!$F$7-SQRT((1-D134)*(Supuestos!$F$7-Supuestos!$D$7)*(Supuestos!$F$7-Supuestos!$E$7))),IF(Supuestos!$C$7="Uniforme",Supuestos!$D$7+D134*(Supuestos!$E$7-Supuestos!$D$7),IF(Supuestos!$C$7="Lognormal",LOGINV(D134,LN(Supuestos!$D$7)-LN(1+Supuestos!$E$7^2/Supuestos!$D$7^2)/2,SQRT(LN(1+Supuestos!$E$7^2/Supuestos!$D$7^2))),Supuestos!$D$7))))))</f>
        <v/>
      </c>
      <c r="L134" s="32">
        <f>MIN(IF(Supuestos!$H$8="",1E+99,Supuestos!$H$8),MAX(IF(Supuestos!$G$8="",-1E+99,Supuestos!$G$8),IF(Supuestos!$C$8="Normal",NORMINV(E134,Supuestos!$D$8,Supuestos!$E$8),IF(Supuestos!$C$8="Triangular",IF(E134&lt;(Supuestos!$E$8-Supuestos!$D$8)/(Supuestos!$F$8-Supuestos!$D$8),Supuestos!$D$8+SQRT(E134*(Supuestos!$F$8-Supuestos!$D$8)*(Supuestos!$E$8-Supuestos!$D$8)),Supuestos!$F$8-SQRT((1-E134)*(Supuestos!$F$8-Supuestos!$D$8)*(Supuestos!$F$8-Supuestos!$E$8))),IF(Supuestos!$C$8="Uniforme",Supuestos!$D$8+E134*(Supuestos!$E$8-Supuestos!$D$8),IF(Supuestos!$C$8="Lognormal",LOGINV(E134,LN(Supuestos!$D$8)-LN(1+Supuestos!$E$8^2/Supuestos!$D$8^2)/2,SQRT(LN(1+Supuestos!$E$8^2/Supuestos!$D$8^2))),Supuestos!$D$8))))))</f>
        <v/>
      </c>
      <c r="M134" s="32">
        <f>MIN(IF(Supuestos!$H$9="",1E+99,Supuestos!$H$9),MAX(IF(Supuestos!$G$9="",-1E+99,Supuestos!$G$9),IF(Supuestos!$C$9="Normal",NORMINV(F134,Supuestos!$D$9,Supuestos!$E$9),IF(Supuestos!$C$9="Triangular",IF(F134&lt;(Supuestos!$E$9-Supuestos!$D$9)/(Supuestos!$F$9-Supuestos!$D$9),Supuestos!$D$9+SQRT(F134*(Supuestos!$F$9-Supuestos!$D$9)*(Supuestos!$E$9-Supuestos!$D$9)),Supuestos!$F$9-SQRT((1-F134)*(Supuestos!$F$9-Supuestos!$D$9)*(Supuestos!$F$9-Supuestos!$E$9))),IF(Supuestos!$C$9="Uniforme",Supuestos!$D$9+F134*(Supuestos!$E$9-Supuestos!$D$9),IF(Supuestos!$C$9="Lognormal",LOGINV(F134,LN(Supuestos!$D$9)-LN(1+Supuestos!$E$9^2/Supuestos!$D$9^2)/2,SQRT(LN(1+Supuestos!$E$9^2/Supuestos!$D$9^2))),Supuestos!$D$9))))))</f>
        <v/>
      </c>
      <c r="N134" s="32">
        <f>MIN(IF(Supuestos!$H$10="",1E+99,Supuestos!$H$10),MAX(IF(Supuestos!$G$10="",-1E+99,Supuestos!$G$10),IF(Supuestos!$C$10="Normal",NORMINV(G134,Supuestos!$D$10,Supuestos!$E$10),IF(Supuestos!$C$10="Triangular",IF(G134&lt;(Supuestos!$E$10-Supuestos!$D$10)/(Supuestos!$F$10-Supuestos!$D$10),Supuestos!$D$10+SQRT(G134*(Supuestos!$F$10-Supuestos!$D$10)*(Supuestos!$E$10-Supuestos!$D$10)),Supuestos!$F$10-SQRT((1-G134)*(Supuestos!$F$10-Supuestos!$D$10)*(Supuestos!$F$10-Supuestos!$E$10))),IF(Supuestos!$C$10="Uniforme",Supuestos!$D$10+G134*(Supuestos!$E$10-Supuestos!$D$10),IF(Supuestos!$C$10="Lognormal",LOGINV(G134,LN(Supuestos!$D$10)-LN(1+Supuestos!$E$10^2/Supuestos!$D$10^2)/2,SQRT(LN(1+Supuestos!$E$10^2/Supuestos!$D$10^2))),Supuestos!$D$10))))))</f>
        <v/>
      </c>
      <c r="O134" s="31">
        <f>MIN(IF(Supuestos!$H$11="",1E+99,Supuestos!$H$11),MAX(IF(Supuestos!$G$11="",-1E+99,Supuestos!$G$11),IF(Supuestos!$C$11="Normal",NORMINV(H134,Supuestos!$D$11,Supuestos!$E$11),IF(Supuestos!$C$11="Triangular",IF(H134&lt;(Supuestos!$E$11-Supuestos!$D$11)/(Supuestos!$F$11-Supuestos!$D$11),Supuestos!$D$11+SQRT(H134*(Supuestos!$F$11-Supuestos!$D$11)*(Supuestos!$E$11-Supuestos!$D$11)),Supuestos!$F$11-SQRT((1-H134)*(Supuestos!$F$11-Supuestos!$D$11)*(Supuestos!$F$11-Supuestos!$E$11))),IF(Supuestos!$C$11="Uniforme",Supuestos!$D$11+H134*(Supuestos!$E$11-Supuestos!$D$11),IF(Supuestos!$C$11="Lognormal",LOGINV(H134,LN(Supuestos!$D$11)-LN(1+Supuestos!$E$11^2/Supuestos!$D$11^2)/2,SQRT(LN(1+Supuestos!$E$11^2/Supuestos!$D$11^2))),Supuestos!$D$11))))))</f>
        <v/>
      </c>
      <c r="P134" s="33">
        <f>-I134</f>
        <v/>
      </c>
      <c r="Q134" s="33">
        <f>$J134*(1+$K134)^(1-1)*(1-$L134)*(1-$M134)</f>
        <v/>
      </c>
      <c r="R134" s="33">
        <f>$J134*(1+$K134)^(2-1)*(1-$L134)*(1-$M134)</f>
        <v/>
      </c>
      <c r="S134" s="33">
        <f>$J134*(1+$K134)^(3-1)*(1-$L134)*(1-$M134)</f>
        <v/>
      </c>
      <c r="T134" s="33">
        <f>$J134*(1+$K134)^(4-1)*(1-$L134)*(1-$M134)</f>
        <v/>
      </c>
      <c r="U134" s="33">
        <f>$J134*(1+$K134)^(5-1)*(1-$L134)*(1-$M134)+$O134</f>
        <v/>
      </c>
      <c r="V134" s="33">
        <f>P134+NPV($N134,Q134:U134)</f>
        <v/>
      </c>
      <c r="W134" s="32">
        <f>IFERROR(IRR(P134:U134,0.1),"")</f>
        <v/>
      </c>
    </row>
    <row r="135">
      <c r="A135" s="14" t="n">
        <v>131</v>
      </c>
      <c r="B135" s="30">
        <f>RAND()*(1-2E-6)+1E-6</f>
        <v/>
      </c>
      <c r="C135" s="30">
        <f>RAND()*(1-2E-6)+1E-6</f>
        <v/>
      </c>
      <c r="D135" s="30">
        <f>RAND()*(1-2E-6)+1E-6</f>
        <v/>
      </c>
      <c r="E135" s="30">
        <f>RAND()*(1-2E-6)+1E-6</f>
        <v/>
      </c>
      <c r="F135" s="30">
        <f>RAND()*(1-2E-6)+1E-6</f>
        <v/>
      </c>
      <c r="G135" s="30">
        <f>RAND()*(1-2E-6)+1E-6</f>
        <v/>
      </c>
      <c r="H135" s="30">
        <f>RAND()*(1-2E-6)+1E-6</f>
        <v/>
      </c>
      <c r="I135" s="31">
        <f>MIN(IF(Supuestos!$H$5="",1E+99,Supuestos!$H$5),MAX(IF(Supuestos!$G$5="",-1E+99,Supuestos!$G$5),IF(Supuestos!$C$5="Normal",NORMINV(B135,Supuestos!$D$5,Supuestos!$E$5),IF(Supuestos!$C$5="Triangular",IF(B135&lt;(Supuestos!$E$5-Supuestos!$D$5)/(Supuestos!$F$5-Supuestos!$D$5),Supuestos!$D$5+SQRT(B135*(Supuestos!$F$5-Supuestos!$D$5)*(Supuestos!$E$5-Supuestos!$D$5)),Supuestos!$F$5-SQRT((1-B135)*(Supuestos!$F$5-Supuestos!$D$5)*(Supuestos!$F$5-Supuestos!$E$5))),IF(Supuestos!$C$5="Uniforme",Supuestos!$D$5+B135*(Supuestos!$E$5-Supuestos!$D$5),IF(Supuestos!$C$5="Lognormal",LOGINV(B135,LN(Supuestos!$D$5)-LN(1+Supuestos!$E$5^2/Supuestos!$D$5^2)/2,SQRT(LN(1+Supuestos!$E$5^2/Supuestos!$D$5^2))),Supuestos!$D$5))))))</f>
        <v/>
      </c>
      <c r="J135" s="31">
        <f>MIN(IF(Supuestos!$H$6="",1E+99,Supuestos!$H$6),MAX(IF(Supuestos!$G$6="",-1E+99,Supuestos!$G$6),IF(Supuestos!$C$6="Normal",NORMINV(C135,Supuestos!$D$6,Supuestos!$E$6),IF(Supuestos!$C$6="Triangular",IF(C135&lt;(Supuestos!$E$6-Supuestos!$D$6)/(Supuestos!$F$6-Supuestos!$D$6),Supuestos!$D$6+SQRT(C135*(Supuestos!$F$6-Supuestos!$D$6)*(Supuestos!$E$6-Supuestos!$D$6)),Supuestos!$F$6-SQRT((1-C135)*(Supuestos!$F$6-Supuestos!$D$6)*(Supuestos!$F$6-Supuestos!$E$6))),IF(Supuestos!$C$6="Uniforme",Supuestos!$D$6+C135*(Supuestos!$E$6-Supuestos!$D$6),IF(Supuestos!$C$6="Lognormal",LOGINV(C135,LN(Supuestos!$D$6)-LN(1+Supuestos!$E$6^2/Supuestos!$D$6^2)/2,SQRT(LN(1+Supuestos!$E$6^2/Supuestos!$D$6^2))),Supuestos!$D$6))))))</f>
        <v/>
      </c>
      <c r="K135" s="32">
        <f>MIN(IF(Supuestos!$H$7="",1E+99,Supuestos!$H$7),MAX(IF(Supuestos!$G$7="",-1E+99,Supuestos!$G$7),IF(Supuestos!$C$7="Normal",NORMINV(D135,Supuestos!$D$7,Supuestos!$E$7),IF(Supuestos!$C$7="Triangular",IF(D135&lt;(Supuestos!$E$7-Supuestos!$D$7)/(Supuestos!$F$7-Supuestos!$D$7),Supuestos!$D$7+SQRT(D135*(Supuestos!$F$7-Supuestos!$D$7)*(Supuestos!$E$7-Supuestos!$D$7)),Supuestos!$F$7-SQRT((1-D135)*(Supuestos!$F$7-Supuestos!$D$7)*(Supuestos!$F$7-Supuestos!$E$7))),IF(Supuestos!$C$7="Uniforme",Supuestos!$D$7+D135*(Supuestos!$E$7-Supuestos!$D$7),IF(Supuestos!$C$7="Lognormal",LOGINV(D135,LN(Supuestos!$D$7)-LN(1+Supuestos!$E$7^2/Supuestos!$D$7^2)/2,SQRT(LN(1+Supuestos!$E$7^2/Supuestos!$D$7^2))),Supuestos!$D$7))))))</f>
        <v/>
      </c>
      <c r="L135" s="32">
        <f>MIN(IF(Supuestos!$H$8="",1E+99,Supuestos!$H$8),MAX(IF(Supuestos!$G$8="",-1E+99,Supuestos!$G$8),IF(Supuestos!$C$8="Normal",NORMINV(E135,Supuestos!$D$8,Supuestos!$E$8),IF(Supuestos!$C$8="Triangular",IF(E135&lt;(Supuestos!$E$8-Supuestos!$D$8)/(Supuestos!$F$8-Supuestos!$D$8),Supuestos!$D$8+SQRT(E135*(Supuestos!$F$8-Supuestos!$D$8)*(Supuestos!$E$8-Supuestos!$D$8)),Supuestos!$F$8-SQRT((1-E135)*(Supuestos!$F$8-Supuestos!$D$8)*(Supuestos!$F$8-Supuestos!$E$8))),IF(Supuestos!$C$8="Uniforme",Supuestos!$D$8+E135*(Supuestos!$E$8-Supuestos!$D$8),IF(Supuestos!$C$8="Lognormal",LOGINV(E135,LN(Supuestos!$D$8)-LN(1+Supuestos!$E$8^2/Supuestos!$D$8^2)/2,SQRT(LN(1+Supuestos!$E$8^2/Supuestos!$D$8^2))),Supuestos!$D$8))))))</f>
        <v/>
      </c>
      <c r="M135" s="32">
        <f>MIN(IF(Supuestos!$H$9="",1E+99,Supuestos!$H$9),MAX(IF(Supuestos!$G$9="",-1E+99,Supuestos!$G$9),IF(Supuestos!$C$9="Normal",NORMINV(F135,Supuestos!$D$9,Supuestos!$E$9),IF(Supuestos!$C$9="Triangular",IF(F135&lt;(Supuestos!$E$9-Supuestos!$D$9)/(Supuestos!$F$9-Supuestos!$D$9),Supuestos!$D$9+SQRT(F135*(Supuestos!$F$9-Supuestos!$D$9)*(Supuestos!$E$9-Supuestos!$D$9)),Supuestos!$F$9-SQRT((1-F135)*(Supuestos!$F$9-Supuestos!$D$9)*(Supuestos!$F$9-Supuestos!$E$9))),IF(Supuestos!$C$9="Uniforme",Supuestos!$D$9+F135*(Supuestos!$E$9-Supuestos!$D$9),IF(Supuestos!$C$9="Lognormal",LOGINV(F135,LN(Supuestos!$D$9)-LN(1+Supuestos!$E$9^2/Supuestos!$D$9^2)/2,SQRT(LN(1+Supuestos!$E$9^2/Supuestos!$D$9^2))),Supuestos!$D$9))))))</f>
        <v/>
      </c>
      <c r="N135" s="32">
        <f>MIN(IF(Supuestos!$H$10="",1E+99,Supuestos!$H$10),MAX(IF(Supuestos!$G$10="",-1E+99,Supuestos!$G$10),IF(Supuestos!$C$10="Normal",NORMINV(G135,Supuestos!$D$10,Supuestos!$E$10),IF(Supuestos!$C$10="Triangular",IF(G135&lt;(Supuestos!$E$10-Supuestos!$D$10)/(Supuestos!$F$10-Supuestos!$D$10),Supuestos!$D$10+SQRT(G135*(Supuestos!$F$10-Supuestos!$D$10)*(Supuestos!$E$10-Supuestos!$D$10)),Supuestos!$F$10-SQRT((1-G135)*(Supuestos!$F$10-Supuestos!$D$10)*(Supuestos!$F$10-Supuestos!$E$10))),IF(Supuestos!$C$10="Uniforme",Supuestos!$D$10+G135*(Supuestos!$E$10-Supuestos!$D$10),IF(Supuestos!$C$10="Lognormal",LOGINV(G135,LN(Supuestos!$D$10)-LN(1+Supuestos!$E$10^2/Supuestos!$D$10^2)/2,SQRT(LN(1+Supuestos!$E$10^2/Supuestos!$D$10^2))),Supuestos!$D$10))))))</f>
        <v/>
      </c>
      <c r="O135" s="31">
        <f>MIN(IF(Supuestos!$H$11="",1E+99,Supuestos!$H$11),MAX(IF(Supuestos!$G$11="",-1E+99,Supuestos!$G$11),IF(Supuestos!$C$11="Normal",NORMINV(H135,Supuestos!$D$11,Supuestos!$E$11),IF(Supuestos!$C$11="Triangular",IF(H135&lt;(Supuestos!$E$11-Supuestos!$D$11)/(Supuestos!$F$11-Supuestos!$D$11),Supuestos!$D$11+SQRT(H135*(Supuestos!$F$11-Supuestos!$D$11)*(Supuestos!$E$11-Supuestos!$D$11)),Supuestos!$F$11-SQRT((1-H135)*(Supuestos!$F$11-Supuestos!$D$11)*(Supuestos!$F$11-Supuestos!$E$11))),IF(Supuestos!$C$11="Uniforme",Supuestos!$D$11+H135*(Supuestos!$E$11-Supuestos!$D$11),IF(Supuestos!$C$11="Lognormal",LOGINV(H135,LN(Supuestos!$D$11)-LN(1+Supuestos!$E$11^2/Supuestos!$D$11^2)/2,SQRT(LN(1+Supuestos!$E$11^2/Supuestos!$D$11^2))),Supuestos!$D$11))))))</f>
        <v/>
      </c>
      <c r="P135" s="33">
        <f>-I135</f>
        <v/>
      </c>
      <c r="Q135" s="33">
        <f>$J135*(1+$K135)^(1-1)*(1-$L135)*(1-$M135)</f>
        <v/>
      </c>
      <c r="R135" s="33">
        <f>$J135*(1+$K135)^(2-1)*(1-$L135)*(1-$M135)</f>
        <v/>
      </c>
      <c r="S135" s="33">
        <f>$J135*(1+$K135)^(3-1)*(1-$L135)*(1-$M135)</f>
        <v/>
      </c>
      <c r="T135" s="33">
        <f>$J135*(1+$K135)^(4-1)*(1-$L135)*(1-$M135)</f>
        <v/>
      </c>
      <c r="U135" s="33">
        <f>$J135*(1+$K135)^(5-1)*(1-$L135)*(1-$M135)+$O135</f>
        <v/>
      </c>
      <c r="V135" s="33">
        <f>P135+NPV($N135,Q135:U135)</f>
        <v/>
      </c>
      <c r="W135" s="32">
        <f>IFERROR(IRR(P135:U135,0.1),"")</f>
        <v/>
      </c>
    </row>
    <row r="136">
      <c r="A136" s="14" t="n">
        <v>132</v>
      </c>
      <c r="B136" s="30">
        <f>RAND()*(1-2E-6)+1E-6</f>
        <v/>
      </c>
      <c r="C136" s="30">
        <f>RAND()*(1-2E-6)+1E-6</f>
        <v/>
      </c>
      <c r="D136" s="30">
        <f>RAND()*(1-2E-6)+1E-6</f>
        <v/>
      </c>
      <c r="E136" s="30">
        <f>RAND()*(1-2E-6)+1E-6</f>
        <v/>
      </c>
      <c r="F136" s="30">
        <f>RAND()*(1-2E-6)+1E-6</f>
        <v/>
      </c>
      <c r="G136" s="30">
        <f>RAND()*(1-2E-6)+1E-6</f>
        <v/>
      </c>
      <c r="H136" s="30">
        <f>RAND()*(1-2E-6)+1E-6</f>
        <v/>
      </c>
      <c r="I136" s="31">
        <f>MIN(IF(Supuestos!$H$5="",1E+99,Supuestos!$H$5),MAX(IF(Supuestos!$G$5="",-1E+99,Supuestos!$G$5),IF(Supuestos!$C$5="Normal",NORMINV(B136,Supuestos!$D$5,Supuestos!$E$5),IF(Supuestos!$C$5="Triangular",IF(B136&lt;(Supuestos!$E$5-Supuestos!$D$5)/(Supuestos!$F$5-Supuestos!$D$5),Supuestos!$D$5+SQRT(B136*(Supuestos!$F$5-Supuestos!$D$5)*(Supuestos!$E$5-Supuestos!$D$5)),Supuestos!$F$5-SQRT((1-B136)*(Supuestos!$F$5-Supuestos!$D$5)*(Supuestos!$F$5-Supuestos!$E$5))),IF(Supuestos!$C$5="Uniforme",Supuestos!$D$5+B136*(Supuestos!$E$5-Supuestos!$D$5),IF(Supuestos!$C$5="Lognormal",LOGINV(B136,LN(Supuestos!$D$5)-LN(1+Supuestos!$E$5^2/Supuestos!$D$5^2)/2,SQRT(LN(1+Supuestos!$E$5^2/Supuestos!$D$5^2))),Supuestos!$D$5))))))</f>
        <v/>
      </c>
      <c r="J136" s="31">
        <f>MIN(IF(Supuestos!$H$6="",1E+99,Supuestos!$H$6),MAX(IF(Supuestos!$G$6="",-1E+99,Supuestos!$G$6),IF(Supuestos!$C$6="Normal",NORMINV(C136,Supuestos!$D$6,Supuestos!$E$6),IF(Supuestos!$C$6="Triangular",IF(C136&lt;(Supuestos!$E$6-Supuestos!$D$6)/(Supuestos!$F$6-Supuestos!$D$6),Supuestos!$D$6+SQRT(C136*(Supuestos!$F$6-Supuestos!$D$6)*(Supuestos!$E$6-Supuestos!$D$6)),Supuestos!$F$6-SQRT((1-C136)*(Supuestos!$F$6-Supuestos!$D$6)*(Supuestos!$F$6-Supuestos!$E$6))),IF(Supuestos!$C$6="Uniforme",Supuestos!$D$6+C136*(Supuestos!$E$6-Supuestos!$D$6),IF(Supuestos!$C$6="Lognormal",LOGINV(C136,LN(Supuestos!$D$6)-LN(1+Supuestos!$E$6^2/Supuestos!$D$6^2)/2,SQRT(LN(1+Supuestos!$E$6^2/Supuestos!$D$6^2))),Supuestos!$D$6))))))</f>
        <v/>
      </c>
      <c r="K136" s="32">
        <f>MIN(IF(Supuestos!$H$7="",1E+99,Supuestos!$H$7),MAX(IF(Supuestos!$G$7="",-1E+99,Supuestos!$G$7),IF(Supuestos!$C$7="Normal",NORMINV(D136,Supuestos!$D$7,Supuestos!$E$7),IF(Supuestos!$C$7="Triangular",IF(D136&lt;(Supuestos!$E$7-Supuestos!$D$7)/(Supuestos!$F$7-Supuestos!$D$7),Supuestos!$D$7+SQRT(D136*(Supuestos!$F$7-Supuestos!$D$7)*(Supuestos!$E$7-Supuestos!$D$7)),Supuestos!$F$7-SQRT((1-D136)*(Supuestos!$F$7-Supuestos!$D$7)*(Supuestos!$F$7-Supuestos!$E$7))),IF(Supuestos!$C$7="Uniforme",Supuestos!$D$7+D136*(Supuestos!$E$7-Supuestos!$D$7),IF(Supuestos!$C$7="Lognormal",LOGINV(D136,LN(Supuestos!$D$7)-LN(1+Supuestos!$E$7^2/Supuestos!$D$7^2)/2,SQRT(LN(1+Supuestos!$E$7^2/Supuestos!$D$7^2))),Supuestos!$D$7))))))</f>
        <v/>
      </c>
      <c r="L136" s="32">
        <f>MIN(IF(Supuestos!$H$8="",1E+99,Supuestos!$H$8),MAX(IF(Supuestos!$G$8="",-1E+99,Supuestos!$G$8),IF(Supuestos!$C$8="Normal",NORMINV(E136,Supuestos!$D$8,Supuestos!$E$8),IF(Supuestos!$C$8="Triangular",IF(E136&lt;(Supuestos!$E$8-Supuestos!$D$8)/(Supuestos!$F$8-Supuestos!$D$8),Supuestos!$D$8+SQRT(E136*(Supuestos!$F$8-Supuestos!$D$8)*(Supuestos!$E$8-Supuestos!$D$8)),Supuestos!$F$8-SQRT((1-E136)*(Supuestos!$F$8-Supuestos!$D$8)*(Supuestos!$F$8-Supuestos!$E$8))),IF(Supuestos!$C$8="Uniforme",Supuestos!$D$8+E136*(Supuestos!$E$8-Supuestos!$D$8),IF(Supuestos!$C$8="Lognormal",LOGINV(E136,LN(Supuestos!$D$8)-LN(1+Supuestos!$E$8^2/Supuestos!$D$8^2)/2,SQRT(LN(1+Supuestos!$E$8^2/Supuestos!$D$8^2))),Supuestos!$D$8))))))</f>
        <v/>
      </c>
      <c r="M136" s="32">
        <f>MIN(IF(Supuestos!$H$9="",1E+99,Supuestos!$H$9),MAX(IF(Supuestos!$G$9="",-1E+99,Supuestos!$G$9),IF(Supuestos!$C$9="Normal",NORMINV(F136,Supuestos!$D$9,Supuestos!$E$9),IF(Supuestos!$C$9="Triangular",IF(F136&lt;(Supuestos!$E$9-Supuestos!$D$9)/(Supuestos!$F$9-Supuestos!$D$9),Supuestos!$D$9+SQRT(F136*(Supuestos!$F$9-Supuestos!$D$9)*(Supuestos!$E$9-Supuestos!$D$9)),Supuestos!$F$9-SQRT((1-F136)*(Supuestos!$F$9-Supuestos!$D$9)*(Supuestos!$F$9-Supuestos!$E$9))),IF(Supuestos!$C$9="Uniforme",Supuestos!$D$9+F136*(Supuestos!$E$9-Supuestos!$D$9),IF(Supuestos!$C$9="Lognormal",LOGINV(F136,LN(Supuestos!$D$9)-LN(1+Supuestos!$E$9^2/Supuestos!$D$9^2)/2,SQRT(LN(1+Supuestos!$E$9^2/Supuestos!$D$9^2))),Supuestos!$D$9))))))</f>
        <v/>
      </c>
      <c r="N136" s="32">
        <f>MIN(IF(Supuestos!$H$10="",1E+99,Supuestos!$H$10),MAX(IF(Supuestos!$G$10="",-1E+99,Supuestos!$G$10),IF(Supuestos!$C$10="Normal",NORMINV(G136,Supuestos!$D$10,Supuestos!$E$10),IF(Supuestos!$C$10="Triangular",IF(G136&lt;(Supuestos!$E$10-Supuestos!$D$10)/(Supuestos!$F$10-Supuestos!$D$10),Supuestos!$D$10+SQRT(G136*(Supuestos!$F$10-Supuestos!$D$10)*(Supuestos!$E$10-Supuestos!$D$10)),Supuestos!$F$10-SQRT((1-G136)*(Supuestos!$F$10-Supuestos!$D$10)*(Supuestos!$F$10-Supuestos!$E$10))),IF(Supuestos!$C$10="Uniforme",Supuestos!$D$10+G136*(Supuestos!$E$10-Supuestos!$D$10),IF(Supuestos!$C$10="Lognormal",LOGINV(G136,LN(Supuestos!$D$10)-LN(1+Supuestos!$E$10^2/Supuestos!$D$10^2)/2,SQRT(LN(1+Supuestos!$E$10^2/Supuestos!$D$10^2))),Supuestos!$D$10))))))</f>
        <v/>
      </c>
      <c r="O136" s="31">
        <f>MIN(IF(Supuestos!$H$11="",1E+99,Supuestos!$H$11),MAX(IF(Supuestos!$G$11="",-1E+99,Supuestos!$G$11),IF(Supuestos!$C$11="Normal",NORMINV(H136,Supuestos!$D$11,Supuestos!$E$11),IF(Supuestos!$C$11="Triangular",IF(H136&lt;(Supuestos!$E$11-Supuestos!$D$11)/(Supuestos!$F$11-Supuestos!$D$11),Supuestos!$D$11+SQRT(H136*(Supuestos!$F$11-Supuestos!$D$11)*(Supuestos!$E$11-Supuestos!$D$11)),Supuestos!$F$11-SQRT((1-H136)*(Supuestos!$F$11-Supuestos!$D$11)*(Supuestos!$F$11-Supuestos!$E$11))),IF(Supuestos!$C$11="Uniforme",Supuestos!$D$11+H136*(Supuestos!$E$11-Supuestos!$D$11),IF(Supuestos!$C$11="Lognormal",LOGINV(H136,LN(Supuestos!$D$11)-LN(1+Supuestos!$E$11^2/Supuestos!$D$11^2)/2,SQRT(LN(1+Supuestos!$E$11^2/Supuestos!$D$11^2))),Supuestos!$D$11))))))</f>
        <v/>
      </c>
      <c r="P136" s="33">
        <f>-I136</f>
        <v/>
      </c>
      <c r="Q136" s="33">
        <f>$J136*(1+$K136)^(1-1)*(1-$L136)*(1-$M136)</f>
        <v/>
      </c>
      <c r="R136" s="33">
        <f>$J136*(1+$K136)^(2-1)*(1-$L136)*(1-$M136)</f>
        <v/>
      </c>
      <c r="S136" s="33">
        <f>$J136*(1+$K136)^(3-1)*(1-$L136)*(1-$M136)</f>
        <v/>
      </c>
      <c r="T136" s="33">
        <f>$J136*(1+$K136)^(4-1)*(1-$L136)*(1-$M136)</f>
        <v/>
      </c>
      <c r="U136" s="33">
        <f>$J136*(1+$K136)^(5-1)*(1-$L136)*(1-$M136)+$O136</f>
        <v/>
      </c>
      <c r="V136" s="33">
        <f>P136+NPV($N136,Q136:U136)</f>
        <v/>
      </c>
      <c r="W136" s="32">
        <f>IFERROR(IRR(P136:U136,0.1),"")</f>
        <v/>
      </c>
    </row>
    <row r="137">
      <c r="A137" s="14" t="n">
        <v>133</v>
      </c>
      <c r="B137" s="30">
        <f>RAND()*(1-2E-6)+1E-6</f>
        <v/>
      </c>
      <c r="C137" s="30">
        <f>RAND()*(1-2E-6)+1E-6</f>
        <v/>
      </c>
      <c r="D137" s="30">
        <f>RAND()*(1-2E-6)+1E-6</f>
        <v/>
      </c>
      <c r="E137" s="30">
        <f>RAND()*(1-2E-6)+1E-6</f>
        <v/>
      </c>
      <c r="F137" s="30">
        <f>RAND()*(1-2E-6)+1E-6</f>
        <v/>
      </c>
      <c r="G137" s="30">
        <f>RAND()*(1-2E-6)+1E-6</f>
        <v/>
      </c>
      <c r="H137" s="30">
        <f>RAND()*(1-2E-6)+1E-6</f>
        <v/>
      </c>
      <c r="I137" s="31">
        <f>MIN(IF(Supuestos!$H$5="",1E+99,Supuestos!$H$5),MAX(IF(Supuestos!$G$5="",-1E+99,Supuestos!$G$5),IF(Supuestos!$C$5="Normal",NORMINV(B137,Supuestos!$D$5,Supuestos!$E$5),IF(Supuestos!$C$5="Triangular",IF(B137&lt;(Supuestos!$E$5-Supuestos!$D$5)/(Supuestos!$F$5-Supuestos!$D$5),Supuestos!$D$5+SQRT(B137*(Supuestos!$F$5-Supuestos!$D$5)*(Supuestos!$E$5-Supuestos!$D$5)),Supuestos!$F$5-SQRT((1-B137)*(Supuestos!$F$5-Supuestos!$D$5)*(Supuestos!$F$5-Supuestos!$E$5))),IF(Supuestos!$C$5="Uniforme",Supuestos!$D$5+B137*(Supuestos!$E$5-Supuestos!$D$5),IF(Supuestos!$C$5="Lognormal",LOGINV(B137,LN(Supuestos!$D$5)-LN(1+Supuestos!$E$5^2/Supuestos!$D$5^2)/2,SQRT(LN(1+Supuestos!$E$5^2/Supuestos!$D$5^2))),Supuestos!$D$5))))))</f>
        <v/>
      </c>
      <c r="J137" s="31">
        <f>MIN(IF(Supuestos!$H$6="",1E+99,Supuestos!$H$6),MAX(IF(Supuestos!$G$6="",-1E+99,Supuestos!$G$6),IF(Supuestos!$C$6="Normal",NORMINV(C137,Supuestos!$D$6,Supuestos!$E$6),IF(Supuestos!$C$6="Triangular",IF(C137&lt;(Supuestos!$E$6-Supuestos!$D$6)/(Supuestos!$F$6-Supuestos!$D$6),Supuestos!$D$6+SQRT(C137*(Supuestos!$F$6-Supuestos!$D$6)*(Supuestos!$E$6-Supuestos!$D$6)),Supuestos!$F$6-SQRT((1-C137)*(Supuestos!$F$6-Supuestos!$D$6)*(Supuestos!$F$6-Supuestos!$E$6))),IF(Supuestos!$C$6="Uniforme",Supuestos!$D$6+C137*(Supuestos!$E$6-Supuestos!$D$6),IF(Supuestos!$C$6="Lognormal",LOGINV(C137,LN(Supuestos!$D$6)-LN(1+Supuestos!$E$6^2/Supuestos!$D$6^2)/2,SQRT(LN(1+Supuestos!$E$6^2/Supuestos!$D$6^2))),Supuestos!$D$6))))))</f>
        <v/>
      </c>
      <c r="K137" s="32">
        <f>MIN(IF(Supuestos!$H$7="",1E+99,Supuestos!$H$7),MAX(IF(Supuestos!$G$7="",-1E+99,Supuestos!$G$7),IF(Supuestos!$C$7="Normal",NORMINV(D137,Supuestos!$D$7,Supuestos!$E$7),IF(Supuestos!$C$7="Triangular",IF(D137&lt;(Supuestos!$E$7-Supuestos!$D$7)/(Supuestos!$F$7-Supuestos!$D$7),Supuestos!$D$7+SQRT(D137*(Supuestos!$F$7-Supuestos!$D$7)*(Supuestos!$E$7-Supuestos!$D$7)),Supuestos!$F$7-SQRT((1-D137)*(Supuestos!$F$7-Supuestos!$D$7)*(Supuestos!$F$7-Supuestos!$E$7))),IF(Supuestos!$C$7="Uniforme",Supuestos!$D$7+D137*(Supuestos!$E$7-Supuestos!$D$7),IF(Supuestos!$C$7="Lognormal",LOGINV(D137,LN(Supuestos!$D$7)-LN(1+Supuestos!$E$7^2/Supuestos!$D$7^2)/2,SQRT(LN(1+Supuestos!$E$7^2/Supuestos!$D$7^2))),Supuestos!$D$7))))))</f>
        <v/>
      </c>
      <c r="L137" s="32">
        <f>MIN(IF(Supuestos!$H$8="",1E+99,Supuestos!$H$8),MAX(IF(Supuestos!$G$8="",-1E+99,Supuestos!$G$8),IF(Supuestos!$C$8="Normal",NORMINV(E137,Supuestos!$D$8,Supuestos!$E$8),IF(Supuestos!$C$8="Triangular",IF(E137&lt;(Supuestos!$E$8-Supuestos!$D$8)/(Supuestos!$F$8-Supuestos!$D$8),Supuestos!$D$8+SQRT(E137*(Supuestos!$F$8-Supuestos!$D$8)*(Supuestos!$E$8-Supuestos!$D$8)),Supuestos!$F$8-SQRT((1-E137)*(Supuestos!$F$8-Supuestos!$D$8)*(Supuestos!$F$8-Supuestos!$E$8))),IF(Supuestos!$C$8="Uniforme",Supuestos!$D$8+E137*(Supuestos!$E$8-Supuestos!$D$8),IF(Supuestos!$C$8="Lognormal",LOGINV(E137,LN(Supuestos!$D$8)-LN(1+Supuestos!$E$8^2/Supuestos!$D$8^2)/2,SQRT(LN(1+Supuestos!$E$8^2/Supuestos!$D$8^2))),Supuestos!$D$8))))))</f>
        <v/>
      </c>
      <c r="M137" s="32">
        <f>MIN(IF(Supuestos!$H$9="",1E+99,Supuestos!$H$9),MAX(IF(Supuestos!$G$9="",-1E+99,Supuestos!$G$9),IF(Supuestos!$C$9="Normal",NORMINV(F137,Supuestos!$D$9,Supuestos!$E$9),IF(Supuestos!$C$9="Triangular",IF(F137&lt;(Supuestos!$E$9-Supuestos!$D$9)/(Supuestos!$F$9-Supuestos!$D$9),Supuestos!$D$9+SQRT(F137*(Supuestos!$F$9-Supuestos!$D$9)*(Supuestos!$E$9-Supuestos!$D$9)),Supuestos!$F$9-SQRT((1-F137)*(Supuestos!$F$9-Supuestos!$D$9)*(Supuestos!$F$9-Supuestos!$E$9))),IF(Supuestos!$C$9="Uniforme",Supuestos!$D$9+F137*(Supuestos!$E$9-Supuestos!$D$9),IF(Supuestos!$C$9="Lognormal",LOGINV(F137,LN(Supuestos!$D$9)-LN(1+Supuestos!$E$9^2/Supuestos!$D$9^2)/2,SQRT(LN(1+Supuestos!$E$9^2/Supuestos!$D$9^2))),Supuestos!$D$9))))))</f>
        <v/>
      </c>
      <c r="N137" s="32">
        <f>MIN(IF(Supuestos!$H$10="",1E+99,Supuestos!$H$10),MAX(IF(Supuestos!$G$10="",-1E+99,Supuestos!$G$10),IF(Supuestos!$C$10="Normal",NORMINV(G137,Supuestos!$D$10,Supuestos!$E$10),IF(Supuestos!$C$10="Triangular",IF(G137&lt;(Supuestos!$E$10-Supuestos!$D$10)/(Supuestos!$F$10-Supuestos!$D$10),Supuestos!$D$10+SQRT(G137*(Supuestos!$F$10-Supuestos!$D$10)*(Supuestos!$E$10-Supuestos!$D$10)),Supuestos!$F$10-SQRT((1-G137)*(Supuestos!$F$10-Supuestos!$D$10)*(Supuestos!$F$10-Supuestos!$E$10))),IF(Supuestos!$C$10="Uniforme",Supuestos!$D$10+G137*(Supuestos!$E$10-Supuestos!$D$10),IF(Supuestos!$C$10="Lognormal",LOGINV(G137,LN(Supuestos!$D$10)-LN(1+Supuestos!$E$10^2/Supuestos!$D$10^2)/2,SQRT(LN(1+Supuestos!$E$10^2/Supuestos!$D$10^2))),Supuestos!$D$10))))))</f>
        <v/>
      </c>
      <c r="O137" s="31">
        <f>MIN(IF(Supuestos!$H$11="",1E+99,Supuestos!$H$11),MAX(IF(Supuestos!$G$11="",-1E+99,Supuestos!$G$11),IF(Supuestos!$C$11="Normal",NORMINV(H137,Supuestos!$D$11,Supuestos!$E$11),IF(Supuestos!$C$11="Triangular",IF(H137&lt;(Supuestos!$E$11-Supuestos!$D$11)/(Supuestos!$F$11-Supuestos!$D$11),Supuestos!$D$11+SQRT(H137*(Supuestos!$F$11-Supuestos!$D$11)*(Supuestos!$E$11-Supuestos!$D$11)),Supuestos!$F$11-SQRT((1-H137)*(Supuestos!$F$11-Supuestos!$D$11)*(Supuestos!$F$11-Supuestos!$E$11))),IF(Supuestos!$C$11="Uniforme",Supuestos!$D$11+H137*(Supuestos!$E$11-Supuestos!$D$11),IF(Supuestos!$C$11="Lognormal",LOGINV(H137,LN(Supuestos!$D$11)-LN(1+Supuestos!$E$11^2/Supuestos!$D$11^2)/2,SQRT(LN(1+Supuestos!$E$11^2/Supuestos!$D$11^2))),Supuestos!$D$11))))))</f>
        <v/>
      </c>
      <c r="P137" s="33">
        <f>-I137</f>
        <v/>
      </c>
      <c r="Q137" s="33">
        <f>$J137*(1+$K137)^(1-1)*(1-$L137)*(1-$M137)</f>
        <v/>
      </c>
      <c r="R137" s="33">
        <f>$J137*(1+$K137)^(2-1)*(1-$L137)*(1-$M137)</f>
        <v/>
      </c>
      <c r="S137" s="33">
        <f>$J137*(1+$K137)^(3-1)*(1-$L137)*(1-$M137)</f>
        <v/>
      </c>
      <c r="T137" s="33">
        <f>$J137*(1+$K137)^(4-1)*(1-$L137)*(1-$M137)</f>
        <v/>
      </c>
      <c r="U137" s="33">
        <f>$J137*(1+$K137)^(5-1)*(1-$L137)*(1-$M137)+$O137</f>
        <v/>
      </c>
      <c r="V137" s="33">
        <f>P137+NPV($N137,Q137:U137)</f>
        <v/>
      </c>
      <c r="W137" s="32">
        <f>IFERROR(IRR(P137:U137,0.1),"")</f>
        <v/>
      </c>
    </row>
    <row r="138">
      <c r="A138" s="14" t="n">
        <v>134</v>
      </c>
      <c r="B138" s="30">
        <f>RAND()*(1-2E-6)+1E-6</f>
        <v/>
      </c>
      <c r="C138" s="30">
        <f>RAND()*(1-2E-6)+1E-6</f>
        <v/>
      </c>
      <c r="D138" s="30">
        <f>RAND()*(1-2E-6)+1E-6</f>
        <v/>
      </c>
      <c r="E138" s="30">
        <f>RAND()*(1-2E-6)+1E-6</f>
        <v/>
      </c>
      <c r="F138" s="30">
        <f>RAND()*(1-2E-6)+1E-6</f>
        <v/>
      </c>
      <c r="G138" s="30">
        <f>RAND()*(1-2E-6)+1E-6</f>
        <v/>
      </c>
      <c r="H138" s="30">
        <f>RAND()*(1-2E-6)+1E-6</f>
        <v/>
      </c>
      <c r="I138" s="31">
        <f>MIN(IF(Supuestos!$H$5="",1E+99,Supuestos!$H$5),MAX(IF(Supuestos!$G$5="",-1E+99,Supuestos!$G$5),IF(Supuestos!$C$5="Normal",NORMINV(B138,Supuestos!$D$5,Supuestos!$E$5),IF(Supuestos!$C$5="Triangular",IF(B138&lt;(Supuestos!$E$5-Supuestos!$D$5)/(Supuestos!$F$5-Supuestos!$D$5),Supuestos!$D$5+SQRT(B138*(Supuestos!$F$5-Supuestos!$D$5)*(Supuestos!$E$5-Supuestos!$D$5)),Supuestos!$F$5-SQRT((1-B138)*(Supuestos!$F$5-Supuestos!$D$5)*(Supuestos!$F$5-Supuestos!$E$5))),IF(Supuestos!$C$5="Uniforme",Supuestos!$D$5+B138*(Supuestos!$E$5-Supuestos!$D$5),IF(Supuestos!$C$5="Lognormal",LOGINV(B138,LN(Supuestos!$D$5)-LN(1+Supuestos!$E$5^2/Supuestos!$D$5^2)/2,SQRT(LN(1+Supuestos!$E$5^2/Supuestos!$D$5^2))),Supuestos!$D$5))))))</f>
        <v/>
      </c>
      <c r="J138" s="31">
        <f>MIN(IF(Supuestos!$H$6="",1E+99,Supuestos!$H$6),MAX(IF(Supuestos!$G$6="",-1E+99,Supuestos!$G$6),IF(Supuestos!$C$6="Normal",NORMINV(C138,Supuestos!$D$6,Supuestos!$E$6),IF(Supuestos!$C$6="Triangular",IF(C138&lt;(Supuestos!$E$6-Supuestos!$D$6)/(Supuestos!$F$6-Supuestos!$D$6),Supuestos!$D$6+SQRT(C138*(Supuestos!$F$6-Supuestos!$D$6)*(Supuestos!$E$6-Supuestos!$D$6)),Supuestos!$F$6-SQRT((1-C138)*(Supuestos!$F$6-Supuestos!$D$6)*(Supuestos!$F$6-Supuestos!$E$6))),IF(Supuestos!$C$6="Uniforme",Supuestos!$D$6+C138*(Supuestos!$E$6-Supuestos!$D$6),IF(Supuestos!$C$6="Lognormal",LOGINV(C138,LN(Supuestos!$D$6)-LN(1+Supuestos!$E$6^2/Supuestos!$D$6^2)/2,SQRT(LN(1+Supuestos!$E$6^2/Supuestos!$D$6^2))),Supuestos!$D$6))))))</f>
        <v/>
      </c>
      <c r="K138" s="32">
        <f>MIN(IF(Supuestos!$H$7="",1E+99,Supuestos!$H$7),MAX(IF(Supuestos!$G$7="",-1E+99,Supuestos!$G$7),IF(Supuestos!$C$7="Normal",NORMINV(D138,Supuestos!$D$7,Supuestos!$E$7),IF(Supuestos!$C$7="Triangular",IF(D138&lt;(Supuestos!$E$7-Supuestos!$D$7)/(Supuestos!$F$7-Supuestos!$D$7),Supuestos!$D$7+SQRT(D138*(Supuestos!$F$7-Supuestos!$D$7)*(Supuestos!$E$7-Supuestos!$D$7)),Supuestos!$F$7-SQRT((1-D138)*(Supuestos!$F$7-Supuestos!$D$7)*(Supuestos!$F$7-Supuestos!$E$7))),IF(Supuestos!$C$7="Uniforme",Supuestos!$D$7+D138*(Supuestos!$E$7-Supuestos!$D$7),IF(Supuestos!$C$7="Lognormal",LOGINV(D138,LN(Supuestos!$D$7)-LN(1+Supuestos!$E$7^2/Supuestos!$D$7^2)/2,SQRT(LN(1+Supuestos!$E$7^2/Supuestos!$D$7^2))),Supuestos!$D$7))))))</f>
        <v/>
      </c>
      <c r="L138" s="32">
        <f>MIN(IF(Supuestos!$H$8="",1E+99,Supuestos!$H$8),MAX(IF(Supuestos!$G$8="",-1E+99,Supuestos!$G$8),IF(Supuestos!$C$8="Normal",NORMINV(E138,Supuestos!$D$8,Supuestos!$E$8),IF(Supuestos!$C$8="Triangular",IF(E138&lt;(Supuestos!$E$8-Supuestos!$D$8)/(Supuestos!$F$8-Supuestos!$D$8),Supuestos!$D$8+SQRT(E138*(Supuestos!$F$8-Supuestos!$D$8)*(Supuestos!$E$8-Supuestos!$D$8)),Supuestos!$F$8-SQRT((1-E138)*(Supuestos!$F$8-Supuestos!$D$8)*(Supuestos!$F$8-Supuestos!$E$8))),IF(Supuestos!$C$8="Uniforme",Supuestos!$D$8+E138*(Supuestos!$E$8-Supuestos!$D$8),IF(Supuestos!$C$8="Lognormal",LOGINV(E138,LN(Supuestos!$D$8)-LN(1+Supuestos!$E$8^2/Supuestos!$D$8^2)/2,SQRT(LN(1+Supuestos!$E$8^2/Supuestos!$D$8^2))),Supuestos!$D$8))))))</f>
        <v/>
      </c>
      <c r="M138" s="32">
        <f>MIN(IF(Supuestos!$H$9="",1E+99,Supuestos!$H$9),MAX(IF(Supuestos!$G$9="",-1E+99,Supuestos!$G$9),IF(Supuestos!$C$9="Normal",NORMINV(F138,Supuestos!$D$9,Supuestos!$E$9),IF(Supuestos!$C$9="Triangular",IF(F138&lt;(Supuestos!$E$9-Supuestos!$D$9)/(Supuestos!$F$9-Supuestos!$D$9),Supuestos!$D$9+SQRT(F138*(Supuestos!$F$9-Supuestos!$D$9)*(Supuestos!$E$9-Supuestos!$D$9)),Supuestos!$F$9-SQRT((1-F138)*(Supuestos!$F$9-Supuestos!$D$9)*(Supuestos!$F$9-Supuestos!$E$9))),IF(Supuestos!$C$9="Uniforme",Supuestos!$D$9+F138*(Supuestos!$E$9-Supuestos!$D$9),IF(Supuestos!$C$9="Lognormal",LOGINV(F138,LN(Supuestos!$D$9)-LN(1+Supuestos!$E$9^2/Supuestos!$D$9^2)/2,SQRT(LN(1+Supuestos!$E$9^2/Supuestos!$D$9^2))),Supuestos!$D$9))))))</f>
        <v/>
      </c>
      <c r="N138" s="32">
        <f>MIN(IF(Supuestos!$H$10="",1E+99,Supuestos!$H$10),MAX(IF(Supuestos!$G$10="",-1E+99,Supuestos!$G$10),IF(Supuestos!$C$10="Normal",NORMINV(G138,Supuestos!$D$10,Supuestos!$E$10),IF(Supuestos!$C$10="Triangular",IF(G138&lt;(Supuestos!$E$10-Supuestos!$D$10)/(Supuestos!$F$10-Supuestos!$D$10),Supuestos!$D$10+SQRT(G138*(Supuestos!$F$10-Supuestos!$D$10)*(Supuestos!$E$10-Supuestos!$D$10)),Supuestos!$F$10-SQRT((1-G138)*(Supuestos!$F$10-Supuestos!$D$10)*(Supuestos!$F$10-Supuestos!$E$10))),IF(Supuestos!$C$10="Uniforme",Supuestos!$D$10+G138*(Supuestos!$E$10-Supuestos!$D$10),IF(Supuestos!$C$10="Lognormal",LOGINV(G138,LN(Supuestos!$D$10)-LN(1+Supuestos!$E$10^2/Supuestos!$D$10^2)/2,SQRT(LN(1+Supuestos!$E$10^2/Supuestos!$D$10^2))),Supuestos!$D$10))))))</f>
        <v/>
      </c>
      <c r="O138" s="31">
        <f>MIN(IF(Supuestos!$H$11="",1E+99,Supuestos!$H$11),MAX(IF(Supuestos!$G$11="",-1E+99,Supuestos!$G$11),IF(Supuestos!$C$11="Normal",NORMINV(H138,Supuestos!$D$11,Supuestos!$E$11),IF(Supuestos!$C$11="Triangular",IF(H138&lt;(Supuestos!$E$11-Supuestos!$D$11)/(Supuestos!$F$11-Supuestos!$D$11),Supuestos!$D$11+SQRT(H138*(Supuestos!$F$11-Supuestos!$D$11)*(Supuestos!$E$11-Supuestos!$D$11)),Supuestos!$F$11-SQRT((1-H138)*(Supuestos!$F$11-Supuestos!$D$11)*(Supuestos!$F$11-Supuestos!$E$11))),IF(Supuestos!$C$11="Uniforme",Supuestos!$D$11+H138*(Supuestos!$E$11-Supuestos!$D$11),IF(Supuestos!$C$11="Lognormal",LOGINV(H138,LN(Supuestos!$D$11)-LN(1+Supuestos!$E$11^2/Supuestos!$D$11^2)/2,SQRT(LN(1+Supuestos!$E$11^2/Supuestos!$D$11^2))),Supuestos!$D$11))))))</f>
        <v/>
      </c>
      <c r="P138" s="33">
        <f>-I138</f>
        <v/>
      </c>
      <c r="Q138" s="33">
        <f>$J138*(1+$K138)^(1-1)*(1-$L138)*(1-$M138)</f>
        <v/>
      </c>
      <c r="R138" s="33">
        <f>$J138*(1+$K138)^(2-1)*(1-$L138)*(1-$M138)</f>
        <v/>
      </c>
      <c r="S138" s="33">
        <f>$J138*(1+$K138)^(3-1)*(1-$L138)*(1-$M138)</f>
        <v/>
      </c>
      <c r="T138" s="33">
        <f>$J138*(1+$K138)^(4-1)*(1-$L138)*(1-$M138)</f>
        <v/>
      </c>
      <c r="U138" s="33">
        <f>$J138*(1+$K138)^(5-1)*(1-$L138)*(1-$M138)+$O138</f>
        <v/>
      </c>
      <c r="V138" s="33">
        <f>P138+NPV($N138,Q138:U138)</f>
        <v/>
      </c>
      <c r="W138" s="32">
        <f>IFERROR(IRR(P138:U138,0.1),"")</f>
        <v/>
      </c>
    </row>
    <row r="139">
      <c r="A139" s="14" t="n">
        <v>135</v>
      </c>
      <c r="B139" s="30">
        <f>RAND()*(1-2E-6)+1E-6</f>
        <v/>
      </c>
      <c r="C139" s="30">
        <f>RAND()*(1-2E-6)+1E-6</f>
        <v/>
      </c>
      <c r="D139" s="30">
        <f>RAND()*(1-2E-6)+1E-6</f>
        <v/>
      </c>
      <c r="E139" s="30">
        <f>RAND()*(1-2E-6)+1E-6</f>
        <v/>
      </c>
      <c r="F139" s="30">
        <f>RAND()*(1-2E-6)+1E-6</f>
        <v/>
      </c>
      <c r="G139" s="30">
        <f>RAND()*(1-2E-6)+1E-6</f>
        <v/>
      </c>
      <c r="H139" s="30">
        <f>RAND()*(1-2E-6)+1E-6</f>
        <v/>
      </c>
      <c r="I139" s="31">
        <f>MIN(IF(Supuestos!$H$5="",1E+99,Supuestos!$H$5),MAX(IF(Supuestos!$G$5="",-1E+99,Supuestos!$G$5),IF(Supuestos!$C$5="Normal",NORMINV(B139,Supuestos!$D$5,Supuestos!$E$5),IF(Supuestos!$C$5="Triangular",IF(B139&lt;(Supuestos!$E$5-Supuestos!$D$5)/(Supuestos!$F$5-Supuestos!$D$5),Supuestos!$D$5+SQRT(B139*(Supuestos!$F$5-Supuestos!$D$5)*(Supuestos!$E$5-Supuestos!$D$5)),Supuestos!$F$5-SQRT((1-B139)*(Supuestos!$F$5-Supuestos!$D$5)*(Supuestos!$F$5-Supuestos!$E$5))),IF(Supuestos!$C$5="Uniforme",Supuestos!$D$5+B139*(Supuestos!$E$5-Supuestos!$D$5),IF(Supuestos!$C$5="Lognormal",LOGINV(B139,LN(Supuestos!$D$5)-LN(1+Supuestos!$E$5^2/Supuestos!$D$5^2)/2,SQRT(LN(1+Supuestos!$E$5^2/Supuestos!$D$5^2))),Supuestos!$D$5))))))</f>
        <v/>
      </c>
      <c r="J139" s="31">
        <f>MIN(IF(Supuestos!$H$6="",1E+99,Supuestos!$H$6),MAX(IF(Supuestos!$G$6="",-1E+99,Supuestos!$G$6),IF(Supuestos!$C$6="Normal",NORMINV(C139,Supuestos!$D$6,Supuestos!$E$6),IF(Supuestos!$C$6="Triangular",IF(C139&lt;(Supuestos!$E$6-Supuestos!$D$6)/(Supuestos!$F$6-Supuestos!$D$6),Supuestos!$D$6+SQRT(C139*(Supuestos!$F$6-Supuestos!$D$6)*(Supuestos!$E$6-Supuestos!$D$6)),Supuestos!$F$6-SQRT((1-C139)*(Supuestos!$F$6-Supuestos!$D$6)*(Supuestos!$F$6-Supuestos!$E$6))),IF(Supuestos!$C$6="Uniforme",Supuestos!$D$6+C139*(Supuestos!$E$6-Supuestos!$D$6),IF(Supuestos!$C$6="Lognormal",LOGINV(C139,LN(Supuestos!$D$6)-LN(1+Supuestos!$E$6^2/Supuestos!$D$6^2)/2,SQRT(LN(1+Supuestos!$E$6^2/Supuestos!$D$6^2))),Supuestos!$D$6))))))</f>
        <v/>
      </c>
      <c r="K139" s="32">
        <f>MIN(IF(Supuestos!$H$7="",1E+99,Supuestos!$H$7),MAX(IF(Supuestos!$G$7="",-1E+99,Supuestos!$G$7),IF(Supuestos!$C$7="Normal",NORMINV(D139,Supuestos!$D$7,Supuestos!$E$7),IF(Supuestos!$C$7="Triangular",IF(D139&lt;(Supuestos!$E$7-Supuestos!$D$7)/(Supuestos!$F$7-Supuestos!$D$7),Supuestos!$D$7+SQRT(D139*(Supuestos!$F$7-Supuestos!$D$7)*(Supuestos!$E$7-Supuestos!$D$7)),Supuestos!$F$7-SQRT((1-D139)*(Supuestos!$F$7-Supuestos!$D$7)*(Supuestos!$F$7-Supuestos!$E$7))),IF(Supuestos!$C$7="Uniforme",Supuestos!$D$7+D139*(Supuestos!$E$7-Supuestos!$D$7),IF(Supuestos!$C$7="Lognormal",LOGINV(D139,LN(Supuestos!$D$7)-LN(1+Supuestos!$E$7^2/Supuestos!$D$7^2)/2,SQRT(LN(1+Supuestos!$E$7^2/Supuestos!$D$7^2))),Supuestos!$D$7))))))</f>
        <v/>
      </c>
      <c r="L139" s="32">
        <f>MIN(IF(Supuestos!$H$8="",1E+99,Supuestos!$H$8),MAX(IF(Supuestos!$G$8="",-1E+99,Supuestos!$G$8),IF(Supuestos!$C$8="Normal",NORMINV(E139,Supuestos!$D$8,Supuestos!$E$8),IF(Supuestos!$C$8="Triangular",IF(E139&lt;(Supuestos!$E$8-Supuestos!$D$8)/(Supuestos!$F$8-Supuestos!$D$8),Supuestos!$D$8+SQRT(E139*(Supuestos!$F$8-Supuestos!$D$8)*(Supuestos!$E$8-Supuestos!$D$8)),Supuestos!$F$8-SQRT((1-E139)*(Supuestos!$F$8-Supuestos!$D$8)*(Supuestos!$F$8-Supuestos!$E$8))),IF(Supuestos!$C$8="Uniforme",Supuestos!$D$8+E139*(Supuestos!$E$8-Supuestos!$D$8),IF(Supuestos!$C$8="Lognormal",LOGINV(E139,LN(Supuestos!$D$8)-LN(1+Supuestos!$E$8^2/Supuestos!$D$8^2)/2,SQRT(LN(1+Supuestos!$E$8^2/Supuestos!$D$8^2))),Supuestos!$D$8))))))</f>
        <v/>
      </c>
      <c r="M139" s="32">
        <f>MIN(IF(Supuestos!$H$9="",1E+99,Supuestos!$H$9),MAX(IF(Supuestos!$G$9="",-1E+99,Supuestos!$G$9),IF(Supuestos!$C$9="Normal",NORMINV(F139,Supuestos!$D$9,Supuestos!$E$9),IF(Supuestos!$C$9="Triangular",IF(F139&lt;(Supuestos!$E$9-Supuestos!$D$9)/(Supuestos!$F$9-Supuestos!$D$9),Supuestos!$D$9+SQRT(F139*(Supuestos!$F$9-Supuestos!$D$9)*(Supuestos!$E$9-Supuestos!$D$9)),Supuestos!$F$9-SQRT((1-F139)*(Supuestos!$F$9-Supuestos!$D$9)*(Supuestos!$F$9-Supuestos!$E$9))),IF(Supuestos!$C$9="Uniforme",Supuestos!$D$9+F139*(Supuestos!$E$9-Supuestos!$D$9),IF(Supuestos!$C$9="Lognormal",LOGINV(F139,LN(Supuestos!$D$9)-LN(1+Supuestos!$E$9^2/Supuestos!$D$9^2)/2,SQRT(LN(1+Supuestos!$E$9^2/Supuestos!$D$9^2))),Supuestos!$D$9))))))</f>
        <v/>
      </c>
      <c r="N139" s="32">
        <f>MIN(IF(Supuestos!$H$10="",1E+99,Supuestos!$H$10),MAX(IF(Supuestos!$G$10="",-1E+99,Supuestos!$G$10),IF(Supuestos!$C$10="Normal",NORMINV(G139,Supuestos!$D$10,Supuestos!$E$10),IF(Supuestos!$C$10="Triangular",IF(G139&lt;(Supuestos!$E$10-Supuestos!$D$10)/(Supuestos!$F$10-Supuestos!$D$10),Supuestos!$D$10+SQRT(G139*(Supuestos!$F$10-Supuestos!$D$10)*(Supuestos!$E$10-Supuestos!$D$10)),Supuestos!$F$10-SQRT((1-G139)*(Supuestos!$F$10-Supuestos!$D$10)*(Supuestos!$F$10-Supuestos!$E$10))),IF(Supuestos!$C$10="Uniforme",Supuestos!$D$10+G139*(Supuestos!$E$10-Supuestos!$D$10),IF(Supuestos!$C$10="Lognormal",LOGINV(G139,LN(Supuestos!$D$10)-LN(1+Supuestos!$E$10^2/Supuestos!$D$10^2)/2,SQRT(LN(1+Supuestos!$E$10^2/Supuestos!$D$10^2))),Supuestos!$D$10))))))</f>
        <v/>
      </c>
      <c r="O139" s="31">
        <f>MIN(IF(Supuestos!$H$11="",1E+99,Supuestos!$H$11),MAX(IF(Supuestos!$G$11="",-1E+99,Supuestos!$G$11),IF(Supuestos!$C$11="Normal",NORMINV(H139,Supuestos!$D$11,Supuestos!$E$11),IF(Supuestos!$C$11="Triangular",IF(H139&lt;(Supuestos!$E$11-Supuestos!$D$11)/(Supuestos!$F$11-Supuestos!$D$11),Supuestos!$D$11+SQRT(H139*(Supuestos!$F$11-Supuestos!$D$11)*(Supuestos!$E$11-Supuestos!$D$11)),Supuestos!$F$11-SQRT((1-H139)*(Supuestos!$F$11-Supuestos!$D$11)*(Supuestos!$F$11-Supuestos!$E$11))),IF(Supuestos!$C$11="Uniforme",Supuestos!$D$11+H139*(Supuestos!$E$11-Supuestos!$D$11),IF(Supuestos!$C$11="Lognormal",LOGINV(H139,LN(Supuestos!$D$11)-LN(1+Supuestos!$E$11^2/Supuestos!$D$11^2)/2,SQRT(LN(1+Supuestos!$E$11^2/Supuestos!$D$11^2))),Supuestos!$D$11))))))</f>
        <v/>
      </c>
      <c r="P139" s="33">
        <f>-I139</f>
        <v/>
      </c>
      <c r="Q139" s="33">
        <f>$J139*(1+$K139)^(1-1)*(1-$L139)*(1-$M139)</f>
        <v/>
      </c>
      <c r="R139" s="33">
        <f>$J139*(1+$K139)^(2-1)*(1-$L139)*(1-$M139)</f>
        <v/>
      </c>
      <c r="S139" s="33">
        <f>$J139*(1+$K139)^(3-1)*(1-$L139)*(1-$M139)</f>
        <v/>
      </c>
      <c r="T139" s="33">
        <f>$J139*(1+$K139)^(4-1)*(1-$L139)*(1-$M139)</f>
        <v/>
      </c>
      <c r="U139" s="33">
        <f>$J139*(1+$K139)^(5-1)*(1-$L139)*(1-$M139)+$O139</f>
        <v/>
      </c>
      <c r="V139" s="33">
        <f>P139+NPV($N139,Q139:U139)</f>
        <v/>
      </c>
      <c r="W139" s="32">
        <f>IFERROR(IRR(P139:U139,0.1),"")</f>
        <v/>
      </c>
    </row>
    <row r="140">
      <c r="A140" s="14" t="n">
        <v>136</v>
      </c>
      <c r="B140" s="30">
        <f>RAND()*(1-2E-6)+1E-6</f>
        <v/>
      </c>
      <c r="C140" s="30">
        <f>RAND()*(1-2E-6)+1E-6</f>
        <v/>
      </c>
      <c r="D140" s="30">
        <f>RAND()*(1-2E-6)+1E-6</f>
        <v/>
      </c>
      <c r="E140" s="30">
        <f>RAND()*(1-2E-6)+1E-6</f>
        <v/>
      </c>
      <c r="F140" s="30">
        <f>RAND()*(1-2E-6)+1E-6</f>
        <v/>
      </c>
      <c r="G140" s="30">
        <f>RAND()*(1-2E-6)+1E-6</f>
        <v/>
      </c>
      <c r="H140" s="30">
        <f>RAND()*(1-2E-6)+1E-6</f>
        <v/>
      </c>
      <c r="I140" s="31">
        <f>MIN(IF(Supuestos!$H$5="",1E+99,Supuestos!$H$5),MAX(IF(Supuestos!$G$5="",-1E+99,Supuestos!$G$5),IF(Supuestos!$C$5="Normal",NORMINV(B140,Supuestos!$D$5,Supuestos!$E$5),IF(Supuestos!$C$5="Triangular",IF(B140&lt;(Supuestos!$E$5-Supuestos!$D$5)/(Supuestos!$F$5-Supuestos!$D$5),Supuestos!$D$5+SQRT(B140*(Supuestos!$F$5-Supuestos!$D$5)*(Supuestos!$E$5-Supuestos!$D$5)),Supuestos!$F$5-SQRT((1-B140)*(Supuestos!$F$5-Supuestos!$D$5)*(Supuestos!$F$5-Supuestos!$E$5))),IF(Supuestos!$C$5="Uniforme",Supuestos!$D$5+B140*(Supuestos!$E$5-Supuestos!$D$5),IF(Supuestos!$C$5="Lognormal",LOGINV(B140,LN(Supuestos!$D$5)-LN(1+Supuestos!$E$5^2/Supuestos!$D$5^2)/2,SQRT(LN(1+Supuestos!$E$5^2/Supuestos!$D$5^2))),Supuestos!$D$5))))))</f>
        <v/>
      </c>
      <c r="J140" s="31">
        <f>MIN(IF(Supuestos!$H$6="",1E+99,Supuestos!$H$6),MAX(IF(Supuestos!$G$6="",-1E+99,Supuestos!$G$6),IF(Supuestos!$C$6="Normal",NORMINV(C140,Supuestos!$D$6,Supuestos!$E$6),IF(Supuestos!$C$6="Triangular",IF(C140&lt;(Supuestos!$E$6-Supuestos!$D$6)/(Supuestos!$F$6-Supuestos!$D$6),Supuestos!$D$6+SQRT(C140*(Supuestos!$F$6-Supuestos!$D$6)*(Supuestos!$E$6-Supuestos!$D$6)),Supuestos!$F$6-SQRT((1-C140)*(Supuestos!$F$6-Supuestos!$D$6)*(Supuestos!$F$6-Supuestos!$E$6))),IF(Supuestos!$C$6="Uniforme",Supuestos!$D$6+C140*(Supuestos!$E$6-Supuestos!$D$6),IF(Supuestos!$C$6="Lognormal",LOGINV(C140,LN(Supuestos!$D$6)-LN(1+Supuestos!$E$6^2/Supuestos!$D$6^2)/2,SQRT(LN(1+Supuestos!$E$6^2/Supuestos!$D$6^2))),Supuestos!$D$6))))))</f>
        <v/>
      </c>
      <c r="K140" s="32">
        <f>MIN(IF(Supuestos!$H$7="",1E+99,Supuestos!$H$7),MAX(IF(Supuestos!$G$7="",-1E+99,Supuestos!$G$7),IF(Supuestos!$C$7="Normal",NORMINV(D140,Supuestos!$D$7,Supuestos!$E$7),IF(Supuestos!$C$7="Triangular",IF(D140&lt;(Supuestos!$E$7-Supuestos!$D$7)/(Supuestos!$F$7-Supuestos!$D$7),Supuestos!$D$7+SQRT(D140*(Supuestos!$F$7-Supuestos!$D$7)*(Supuestos!$E$7-Supuestos!$D$7)),Supuestos!$F$7-SQRT((1-D140)*(Supuestos!$F$7-Supuestos!$D$7)*(Supuestos!$F$7-Supuestos!$E$7))),IF(Supuestos!$C$7="Uniforme",Supuestos!$D$7+D140*(Supuestos!$E$7-Supuestos!$D$7),IF(Supuestos!$C$7="Lognormal",LOGINV(D140,LN(Supuestos!$D$7)-LN(1+Supuestos!$E$7^2/Supuestos!$D$7^2)/2,SQRT(LN(1+Supuestos!$E$7^2/Supuestos!$D$7^2))),Supuestos!$D$7))))))</f>
        <v/>
      </c>
      <c r="L140" s="32">
        <f>MIN(IF(Supuestos!$H$8="",1E+99,Supuestos!$H$8),MAX(IF(Supuestos!$G$8="",-1E+99,Supuestos!$G$8),IF(Supuestos!$C$8="Normal",NORMINV(E140,Supuestos!$D$8,Supuestos!$E$8),IF(Supuestos!$C$8="Triangular",IF(E140&lt;(Supuestos!$E$8-Supuestos!$D$8)/(Supuestos!$F$8-Supuestos!$D$8),Supuestos!$D$8+SQRT(E140*(Supuestos!$F$8-Supuestos!$D$8)*(Supuestos!$E$8-Supuestos!$D$8)),Supuestos!$F$8-SQRT((1-E140)*(Supuestos!$F$8-Supuestos!$D$8)*(Supuestos!$F$8-Supuestos!$E$8))),IF(Supuestos!$C$8="Uniforme",Supuestos!$D$8+E140*(Supuestos!$E$8-Supuestos!$D$8),IF(Supuestos!$C$8="Lognormal",LOGINV(E140,LN(Supuestos!$D$8)-LN(1+Supuestos!$E$8^2/Supuestos!$D$8^2)/2,SQRT(LN(1+Supuestos!$E$8^2/Supuestos!$D$8^2))),Supuestos!$D$8))))))</f>
        <v/>
      </c>
      <c r="M140" s="32">
        <f>MIN(IF(Supuestos!$H$9="",1E+99,Supuestos!$H$9),MAX(IF(Supuestos!$G$9="",-1E+99,Supuestos!$G$9),IF(Supuestos!$C$9="Normal",NORMINV(F140,Supuestos!$D$9,Supuestos!$E$9),IF(Supuestos!$C$9="Triangular",IF(F140&lt;(Supuestos!$E$9-Supuestos!$D$9)/(Supuestos!$F$9-Supuestos!$D$9),Supuestos!$D$9+SQRT(F140*(Supuestos!$F$9-Supuestos!$D$9)*(Supuestos!$E$9-Supuestos!$D$9)),Supuestos!$F$9-SQRT((1-F140)*(Supuestos!$F$9-Supuestos!$D$9)*(Supuestos!$F$9-Supuestos!$E$9))),IF(Supuestos!$C$9="Uniforme",Supuestos!$D$9+F140*(Supuestos!$E$9-Supuestos!$D$9),IF(Supuestos!$C$9="Lognormal",LOGINV(F140,LN(Supuestos!$D$9)-LN(1+Supuestos!$E$9^2/Supuestos!$D$9^2)/2,SQRT(LN(1+Supuestos!$E$9^2/Supuestos!$D$9^2))),Supuestos!$D$9))))))</f>
        <v/>
      </c>
      <c r="N140" s="32">
        <f>MIN(IF(Supuestos!$H$10="",1E+99,Supuestos!$H$10),MAX(IF(Supuestos!$G$10="",-1E+99,Supuestos!$G$10),IF(Supuestos!$C$10="Normal",NORMINV(G140,Supuestos!$D$10,Supuestos!$E$10),IF(Supuestos!$C$10="Triangular",IF(G140&lt;(Supuestos!$E$10-Supuestos!$D$10)/(Supuestos!$F$10-Supuestos!$D$10),Supuestos!$D$10+SQRT(G140*(Supuestos!$F$10-Supuestos!$D$10)*(Supuestos!$E$10-Supuestos!$D$10)),Supuestos!$F$10-SQRT((1-G140)*(Supuestos!$F$10-Supuestos!$D$10)*(Supuestos!$F$10-Supuestos!$E$10))),IF(Supuestos!$C$10="Uniforme",Supuestos!$D$10+G140*(Supuestos!$E$10-Supuestos!$D$10),IF(Supuestos!$C$10="Lognormal",LOGINV(G140,LN(Supuestos!$D$10)-LN(1+Supuestos!$E$10^2/Supuestos!$D$10^2)/2,SQRT(LN(1+Supuestos!$E$10^2/Supuestos!$D$10^2))),Supuestos!$D$10))))))</f>
        <v/>
      </c>
      <c r="O140" s="31">
        <f>MIN(IF(Supuestos!$H$11="",1E+99,Supuestos!$H$11),MAX(IF(Supuestos!$G$11="",-1E+99,Supuestos!$G$11),IF(Supuestos!$C$11="Normal",NORMINV(H140,Supuestos!$D$11,Supuestos!$E$11),IF(Supuestos!$C$11="Triangular",IF(H140&lt;(Supuestos!$E$11-Supuestos!$D$11)/(Supuestos!$F$11-Supuestos!$D$11),Supuestos!$D$11+SQRT(H140*(Supuestos!$F$11-Supuestos!$D$11)*(Supuestos!$E$11-Supuestos!$D$11)),Supuestos!$F$11-SQRT((1-H140)*(Supuestos!$F$11-Supuestos!$D$11)*(Supuestos!$F$11-Supuestos!$E$11))),IF(Supuestos!$C$11="Uniforme",Supuestos!$D$11+H140*(Supuestos!$E$11-Supuestos!$D$11),IF(Supuestos!$C$11="Lognormal",LOGINV(H140,LN(Supuestos!$D$11)-LN(1+Supuestos!$E$11^2/Supuestos!$D$11^2)/2,SQRT(LN(1+Supuestos!$E$11^2/Supuestos!$D$11^2))),Supuestos!$D$11))))))</f>
        <v/>
      </c>
      <c r="P140" s="33">
        <f>-I140</f>
        <v/>
      </c>
      <c r="Q140" s="33">
        <f>$J140*(1+$K140)^(1-1)*(1-$L140)*(1-$M140)</f>
        <v/>
      </c>
      <c r="R140" s="33">
        <f>$J140*(1+$K140)^(2-1)*(1-$L140)*(1-$M140)</f>
        <v/>
      </c>
      <c r="S140" s="33">
        <f>$J140*(1+$K140)^(3-1)*(1-$L140)*(1-$M140)</f>
        <v/>
      </c>
      <c r="T140" s="33">
        <f>$J140*(1+$K140)^(4-1)*(1-$L140)*(1-$M140)</f>
        <v/>
      </c>
      <c r="U140" s="33">
        <f>$J140*(1+$K140)^(5-1)*(1-$L140)*(1-$M140)+$O140</f>
        <v/>
      </c>
      <c r="V140" s="33">
        <f>P140+NPV($N140,Q140:U140)</f>
        <v/>
      </c>
      <c r="W140" s="32">
        <f>IFERROR(IRR(P140:U140,0.1),"")</f>
        <v/>
      </c>
    </row>
    <row r="141">
      <c r="A141" s="14" t="n">
        <v>137</v>
      </c>
      <c r="B141" s="30">
        <f>RAND()*(1-2E-6)+1E-6</f>
        <v/>
      </c>
      <c r="C141" s="30">
        <f>RAND()*(1-2E-6)+1E-6</f>
        <v/>
      </c>
      <c r="D141" s="30">
        <f>RAND()*(1-2E-6)+1E-6</f>
        <v/>
      </c>
      <c r="E141" s="30">
        <f>RAND()*(1-2E-6)+1E-6</f>
        <v/>
      </c>
      <c r="F141" s="30">
        <f>RAND()*(1-2E-6)+1E-6</f>
        <v/>
      </c>
      <c r="G141" s="30">
        <f>RAND()*(1-2E-6)+1E-6</f>
        <v/>
      </c>
      <c r="H141" s="30">
        <f>RAND()*(1-2E-6)+1E-6</f>
        <v/>
      </c>
      <c r="I141" s="31">
        <f>MIN(IF(Supuestos!$H$5="",1E+99,Supuestos!$H$5),MAX(IF(Supuestos!$G$5="",-1E+99,Supuestos!$G$5),IF(Supuestos!$C$5="Normal",NORMINV(B141,Supuestos!$D$5,Supuestos!$E$5),IF(Supuestos!$C$5="Triangular",IF(B141&lt;(Supuestos!$E$5-Supuestos!$D$5)/(Supuestos!$F$5-Supuestos!$D$5),Supuestos!$D$5+SQRT(B141*(Supuestos!$F$5-Supuestos!$D$5)*(Supuestos!$E$5-Supuestos!$D$5)),Supuestos!$F$5-SQRT((1-B141)*(Supuestos!$F$5-Supuestos!$D$5)*(Supuestos!$F$5-Supuestos!$E$5))),IF(Supuestos!$C$5="Uniforme",Supuestos!$D$5+B141*(Supuestos!$E$5-Supuestos!$D$5),IF(Supuestos!$C$5="Lognormal",LOGINV(B141,LN(Supuestos!$D$5)-LN(1+Supuestos!$E$5^2/Supuestos!$D$5^2)/2,SQRT(LN(1+Supuestos!$E$5^2/Supuestos!$D$5^2))),Supuestos!$D$5))))))</f>
        <v/>
      </c>
      <c r="J141" s="31">
        <f>MIN(IF(Supuestos!$H$6="",1E+99,Supuestos!$H$6),MAX(IF(Supuestos!$G$6="",-1E+99,Supuestos!$G$6),IF(Supuestos!$C$6="Normal",NORMINV(C141,Supuestos!$D$6,Supuestos!$E$6),IF(Supuestos!$C$6="Triangular",IF(C141&lt;(Supuestos!$E$6-Supuestos!$D$6)/(Supuestos!$F$6-Supuestos!$D$6),Supuestos!$D$6+SQRT(C141*(Supuestos!$F$6-Supuestos!$D$6)*(Supuestos!$E$6-Supuestos!$D$6)),Supuestos!$F$6-SQRT((1-C141)*(Supuestos!$F$6-Supuestos!$D$6)*(Supuestos!$F$6-Supuestos!$E$6))),IF(Supuestos!$C$6="Uniforme",Supuestos!$D$6+C141*(Supuestos!$E$6-Supuestos!$D$6),IF(Supuestos!$C$6="Lognormal",LOGINV(C141,LN(Supuestos!$D$6)-LN(1+Supuestos!$E$6^2/Supuestos!$D$6^2)/2,SQRT(LN(1+Supuestos!$E$6^2/Supuestos!$D$6^2))),Supuestos!$D$6))))))</f>
        <v/>
      </c>
      <c r="K141" s="32">
        <f>MIN(IF(Supuestos!$H$7="",1E+99,Supuestos!$H$7),MAX(IF(Supuestos!$G$7="",-1E+99,Supuestos!$G$7),IF(Supuestos!$C$7="Normal",NORMINV(D141,Supuestos!$D$7,Supuestos!$E$7),IF(Supuestos!$C$7="Triangular",IF(D141&lt;(Supuestos!$E$7-Supuestos!$D$7)/(Supuestos!$F$7-Supuestos!$D$7),Supuestos!$D$7+SQRT(D141*(Supuestos!$F$7-Supuestos!$D$7)*(Supuestos!$E$7-Supuestos!$D$7)),Supuestos!$F$7-SQRT((1-D141)*(Supuestos!$F$7-Supuestos!$D$7)*(Supuestos!$F$7-Supuestos!$E$7))),IF(Supuestos!$C$7="Uniforme",Supuestos!$D$7+D141*(Supuestos!$E$7-Supuestos!$D$7),IF(Supuestos!$C$7="Lognormal",LOGINV(D141,LN(Supuestos!$D$7)-LN(1+Supuestos!$E$7^2/Supuestos!$D$7^2)/2,SQRT(LN(1+Supuestos!$E$7^2/Supuestos!$D$7^2))),Supuestos!$D$7))))))</f>
        <v/>
      </c>
      <c r="L141" s="32">
        <f>MIN(IF(Supuestos!$H$8="",1E+99,Supuestos!$H$8),MAX(IF(Supuestos!$G$8="",-1E+99,Supuestos!$G$8),IF(Supuestos!$C$8="Normal",NORMINV(E141,Supuestos!$D$8,Supuestos!$E$8),IF(Supuestos!$C$8="Triangular",IF(E141&lt;(Supuestos!$E$8-Supuestos!$D$8)/(Supuestos!$F$8-Supuestos!$D$8),Supuestos!$D$8+SQRT(E141*(Supuestos!$F$8-Supuestos!$D$8)*(Supuestos!$E$8-Supuestos!$D$8)),Supuestos!$F$8-SQRT((1-E141)*(Supuestos!$F$8-Supuestos!$D$8)*(Supuestos!$F$8-Supuestos!$E$8))),IF(Supuestos!$C$8="Uniforme",Supuestos!$D$8+E141*(Supuestos!$E$8-Supuestos!$D$8),IF(Supuestos!$C$8="Lognormal",LOGINV(E141,LN(Supuestos!$D$8)-LN(1+Supuestos!$E$8^2/Supuestos!$D$8^2)/2,SQRT(LN(1+Supuestos!$E$8^2/Supuestos!$D$8^2))),Supuestos!$D$8))))))</f>
        <v/>
      </c>
      <c r="M141" s="32">
        <f>MIN(IF(Supuestos!$H$9="",1E+99,Supuestos!$H$9),MAX(IF(Supuestos!$G$9="",-1E+99,Supuestos!$G$9),IF(Supuestos!$C$9="Normal",NORMINV(F141,Supuestos!$D$9,Supuestos!$E$9),IF(Supuestos!$C$9="Triangular",IF(F141&lt;(Supuestos!$E$9-Supuestos!$D$9)/(Supuestos!$F$9-Supuestos!$D$9),Supuestos!$D$9+SQRT(F141*(Supuestos!$F$9-Supuestos!$D$9)*(Supuestos!$E$9-Supuestos!$D$9)),Supuestos!$F$9-SQRT((1-F141)*(Supuestos!$F$9-Supuestos!$D$9)*(Supuestos!$F$9-Supuestos!$E$9))),IF(Supuestos!$C$9="Uniforme",Supuestos!$D$9+F141*(Supuestos!$E$9-Supuestos!$D$9),IF(Supuestos!$C$9="Lognormal",LOGINV(F141,LN(Supuestos!$D$9)-LN(1+Supuestos!$E$9^2/Supuestos!$D$9^2)/2,SQRT(LN(1+Supuestos!$E$9^2/Supuestos!$D$9^2))),Supuestos!$D$9))))))</f>
        <v/>
      </c>
      <c r="N141" s="32">
        <f>MIN(IF(Supuestos!$H$10="",1E+99,Supuestos!$H$10),MAX(IF(Supuestos!$G$10="",-1E+99,Supuestos!$G$10),IF(Supuestos!$C$10="Normal",NORMINV(G141,Supuestos!$D$10,Supuestos!$E$10),IF(Supuestos!$C$10="Triangular",IF(G141&lt;(Supuestos!$E$10-Supuestos!$D$10)/(Supuestos!$F$10-Supuestos!$D$10),Supuestos!$D$10+SQRT(G141*(Supuestos!$F$10-Supuestos!$D$10)*(Supuestos!$E$10-Supuestos!$D$10)),Supuestos!$F$10-SQRT((1-G141)*(Supuestos!$F$10-Supuestos!$D$10)*(Supuestos!$F$10-Supuestos!$E$10))),IF(Supuestos!$C$10="Uniforme",Supuestos!$D$10+G141*(Supuestos!$E$10-Supuestos!$D$10),IF(Supuestos!$C$10="Lognormal",LOGINV(G141,LN(Supuestos!$D$10)-LN(1+Supuestos!$E$10^2/Supuestos!$D$10^2)/2,SQRT(LN(1+Supuestos!$E$10^2/Supuestos!$D$10^2))),Supuestos!$D$10))))))</f>
        <v/>
      </c>
      <c r="O141" s="31">
        <f>MIN(IF(Supuestos!$H$11="",1E+99,Supuestos!$H$11),MAX(IF(Supuestos!$G$11="",-1E+99,Supuestos!$G$11),IF(Supuestos!$C$11="Normal",NORMINV(H141,Supuestos!$D$11,Supuestos!$E$11),IF(Supuestos!$C$11="Triangular",IF(H141&lt;(Supuestos!$E$11-Supuestos!$D$11)/(Supuestos!$F$11-Supuestos!$D$11),Supuestos!$D$11+SQRT(H141*(Supuestos!$F$11-Supuestos!$D$11)*(Supuestos!$E$11-Supuestos!$D$11)),Supuestos!$F$11-SQRT((1-H141)*(Supuestos!$F$11-Supuestos!$D$11)*(Supuestos!$F$11-Supuestos!$E$11))),IF(Supuestos!$C$11="Uniforme",Supuestos!$D$11+H141*(Supuestos!$E$11-Supuestos!$D$11),IF(Supuestos!$C$11="Lognormal",LOGINV(H141,LN(Supuestos!$D$11)-LN(1+Supuestos!$E$11^2/Supuestos!$D$11^2)/2,SQRT(LN(1+Supuestos!$E$11^2/Supuestos!$D$11^2))),Supuestos!$D$11))))))</f>
        <v/>
      </c>
      <c r="P141" s="33">
        <f>-I141</f>
        <v/>
      </c>
      <c r="Q141" s="33">
        <f>$J141*(1+$K141)^(1-1)*(1-$L141)*(1-$M141)</f>
        <v/>
      </c>
      <c r="R141" s="33">
        <f>$J141*(1+$K141)^(2-1)*(1-$L141)*(1-$M141)</f>
        <v/>
      </c>
      <c r="S141" s="33">
        <f>$J141*(1+$K141)^(3-1)*(1-$L141)*(1-$M141)</f>
        <v/>
      </c>
      <c r="T141" s="33">
        <f>$J141*(1+$K141)^(4-1)*(1-$L141)*(1-$M141)</f>
        <v/>
      </c>
      <c r="U141" s="33">
        <f>$J141*(1+$K141)^(5-1)*(1-$L141)*(1-$M141)+$O141</f>
        <v/>
      </c>
      <c r="V141" s="33">
        <f>P141+NPV($N141,Q141:U141)</f>
        <v/>
      </c>
      <c r="W141" s="32">
        <f>IFERROR(IRR(P141:U141,0.1),"")</f>
        <v/>
      </c>
    </row>
    <row r="142">
      <c r="A142" s="14" t="n">
        <v>138</v>
      </c>
      <c r="B142" s="30">
        <f>RAND()*(1-2E-6)+1E-6</f>
        <v/>
      </c>
      <c r="C142" s="30">
        <f>RAND()*(1-2E-6)+1E-6</f>
        <v/>
      </c>
      <c r="D142" s="30">
        <f>RAND()*(1-2E-6)+1E-6</f>
        <v/>
      </c>
      <c r="E142" s="30">
        <f>RAND()*(1-2E-6)+1E-6</f>
        <v/>
      </c>
      <c r="F142" s="30">
        <f>RAND()*(1-2E-6)+1E-6</f>
        <v/>
      </c>
      <c r="G142" s="30">
        <f>RAND()*(1-2E-6)+1E-6</f>
        <v/>
      </c>
      <c r="H142" s="30">
        <f>RAND()*(1-2E-6)+1E-6</f>
        <v/>
      </c>
      <c r="I142" s="31">
        <f>MIN(IF(Supuestos!$H$5="",1E+99,Supuestos!$H$5),MAX(IF(Supuestos!$G$5="",-1E+99,Supuestos!$G$5),IF(Supuestos!$C$5="Normal",NORMINV(B142,Supuestos!$D$5,Supuestos!$E$5),IF(Supuestos!$C$5="Triangular",IF(B142&lt;(Supuestos!$E$5-Supuestos!$D$5)/(Supuestos!$F$5-Supuestos!$D$5),Supuestos!$D$5+SQRT(B142*(Supuestos!$F$5-Supuestos!$D$5)*(Supuestos!$E$5-Supuestos!$D$5)),Supuestos!$F$5-SQRT((1-B142)*(Supuestos!$F$5-Supuestos!$D$5)*(Supuestos!$F$5-Supuestos!$E$5))),IF(Supuestos!$C$5="Uniforme",Supuestos!$D$5+B142*(Supuestos!$E$5-Supuestos!$D$5),IF(Supuestos!$C$5="Lognormal",LOGINV(B142,LN(Supuestos!$D$5)-LN(1+Supuestos!$E$5^2/Supuestos!$D$5^2)/2,SQRT(LN(1+Supuestos!$E$5^2/Supuestos!$D$5^2))),Supuestos!$D$5))))))</f>
        <v/>
      </c>
      <c r="J142" s="31">
        <f>MIN(IF(Supuestos!$H$6="",1E+99,Supuestos!$H$6),MAX(IF(Supuestos!$G$6="",-1E+99,Supuestos!$G$6),IF(Supuestos!$C$6="Normal",NORMINV(C142,Supuestos!$D$6,Supuestos!$E$6),IF(Supuestos!$C$6="Triangular",IF(C142&lt;(Supuestos!$E$6-Supuestos!$D$6)/(Supuestos!$F$6-Supuestos!$D$6),Supuestos!$D$6+SQRT(C142*(Supuestos!$F$6-Supuestos!$D$6)*(Supuestos!$E$6-Supuestos!$D$6)),Supuestos!$F$6-SQRT((1-C142)*(Supuestos!$F$6-Supuestos!$D$6)*(Supuestos!$F$6-Supuestos!$E$6))),IF(Supuestos!$C$6="Uniforme",Supuestos!$D$6+C142*(Supuestos!$E$6-Supuestos!$D$6),IF(Supuestos!$C$6="Lognormal",LOGINV(C142,LN(Supuestos!$D$6)-LN(1+Supuestos!$E$6^2/Supuestos!$D$6^2)/2,SQRT(LN(1+Supuestos!$E$6^2/Supuestos!$D$6^2))),Supuestos!$D$6))))))</f>
        <v/>
      </c>
      <c r="K142" s="32">
        <f>MIN(IF(Supuestos!$H$7="",1E+99,Supuestos!$H$7),MAX(IF(Supuestos!$G$7="",-1E+99,Supuestos!$G$7),IF(Supuestos!$C$7="Normal",NORMINV(D142,Supuestos!$D$7,Supuestos!$E$7),IF(Supuestos!$C$7="Triangular",IF(D142&lt;(Supuestos!$E$7-Supuestos!$D$7)/(Supuestos!$F$7-Supuestos!$D$7),Supuestos!$D$7+SQRT(D142*(Supuestos!$F$7-Supuestos!$D$7)*(Supuestos!$E$7-Supuestos!$D$7)),Supuestos!$F$7-SQRT((1-D142)*(Supuestos!$F$7-Supuestos!$D$7)*(Supuestos!$F$7-Supuestos!$E$7))),IF(Supuestos!$C$7="Uniforme",Supuestos!$D$7+D142*(Supuestos!$E$7-Supuestos!$D$7),IF(Supuestos!$C$7="Lognormal",LOGINV(D142,LN(Supuestos!$D$7)-LN(1+Supuestos!$E$7^2/Supuestos!$D$7^2)/2,SQRT(LN(1+Supuestos!$E$7^2/Supuestos!$D$7^2))),Supuestos!$D$7))))))</f>
        <v/>
      </c>
      <c r="L142" s="32">
        <f>MIN(IF(Supuestos!$H$8="",1E+99,Supuestos!$H$8),MAX(IF(Supuestos!$G$8="",-1E+99,Supuestos!$G$8),IF(Supuestos!$C$8="Normal",NORMINV(E142,Supuestos!$D$8,Supuestos!$E$8),IF(Supuestos!$C$8="Triangular",IF(E142&lt;(Supuestos!$E$8-Supuestos!$D$8)/(Supuestos!$F$8-Supuestos!$D$8),Supuestos!$D$8+SQRT(E142*(Supuestos!$F$8-Supuestos!$D$8)*(Supuestos!$E$8-Supuestos!$D$8)),Supuestos!$F$8-SQRT((1-E142)*(Supuestos!$F$8-Supuestos!$D$8)*(Supuestos!$F$8-Supuestos!$E$8))),IF(Supuestos!$C$8="Uniforme",Supuestos!$D$8+E142*(Supuestos!$E$8-Supuestos!$D$8),IF(Supuestos!$C$8="Lognormal",LOGINV(E142,LN(Supuestos!$D$8)-LN(1+Supuestos!$E$8^2/Supuestos!$D$8^2)/2,SQRT(LN(1+Supuestos!$E$8^2/Supuestos!$D$8^2))),Supuestos!$D$8))))))</f>
        <v/>
      </c>
      <c r="M142" s="32">
        <f>MIN(IF(Supuestos!$H$9="",1E+99,Supuestos!$H$9),MAX(IF(Supuestos!$G$9="",-1E+99,Supuestos!$G$9),IF(Supuestos!$C$9="Normal",NORMINV(F142,Supuestos!$D$9,Supuestos!$E$9),IF(Supuestos!$C$9="Triangular",IF(F142&lt;(Supuestos!$E$9-Supuestos!$D$9)/(Supuestos!$F$9-Supuestos!$D$9),Supuestos!$D$9+SQRT(F142*(Supuestos!$F$9-Supuestos!$D$9)*(Supuestos!$E$9-Supuestos!$D$9)),Supuestos!$F$9-SQRT((1-F142)*(Supuestos!$F$9-Supuestos!$D$9)*(Supuestos!$F$9-Supuestos!$E$9))),IF(Supuestos!$C$9="Uniforme",Supuestos!$D$9+F142*(Supuestos!$E$9-Supuestos!$D$9),IF(Supuestos!$C$9="Lognormal",LOGINV(F142,LN(Supuestos!$D$9)-LN(1+Supuestos!$E$9^2/Supuestos!$D$9^2)/2,SQRT(LN(1+Supuestos!$E$9^2/Supuestos!$D$9^2))),Supuestos!$D$9))))))</f>
        <v/>
      </c>
      <c r="N142" s="32">
        <f>MIN(IF(Supuestos!$H$10="",1E+99,Supuestos!$H$10),MAX(IF(Supuestos!$G$10="",-1E+99,Supuestos!$G$10),IF(Supuestos!$C$10="Normal",NORMINV(G142,Supuestos!$D$10,Supuestos!$E$10),IF(Supuestos!$C$10="Triangular",IF(G142&lt;(Supuestos!$E$10-Supuestos!$D$10)/(Supuestos!$F$10-Supuestos!$D$10),Supuestos!$D$10+SQRT(G142*(Supuestos!$F$10-Supuestos!$D$10)*(Supuestos!$E$10-Supuestos!$D$10)),Supuestos!$F$10-SQRT((1-G142)*(Supuestos!$F$10-Supuestos!$D$10)*(Supuestos!$F$10-Supuestos!$E$10))),IF(Supuestos!$C$10="Uniforme",Supuestos!$D$10+G142*(Supuestos!$E$10-Supuestos!$D$10),IF(Supuestos!$C$10="Lognormal",LOGINV(G142,LN(Supuestos!$D$10)-LN(1+Supuestos!$E$10^2/Supuestos!$D$10^2)/2,SQRT(LN(1+Supuestos!$E$10^2/Supuestos!$D$10^2))),Supuestos!$D$10))))))</f>
        <v/>
      </c>
      <c r="O142" s="31">
        <f>MIN(IF(Supuestos!$H$11="",1E+99,Supuestos!$H$11),MAX(IF(Supuestos!$G$11="",-1E+99,Supuestos!$G$11),IF(Supuestos!$C$11="Normal",NORMINV(H142,Supuestos!$D$11,Supuestos!$E$11),IF(Supuestos!$C$11="Triangular",IF(H142&lt;(Supuestos!$E$11-Supuestos!$D$11)/(Supuestos!$F$11-Supuestos!$D$11),Supuestos!$D$11+SQRT(H142*(Supuestos!$F$11-Supuestos!$D$11)*(Supuestos!$E$11-Supuestos!$D$11)),Supuestos!$F$11-SQRT((1-H142)*(Supuestos!$F$11-Supuestos!$D$11)*(Supuestos!$F$11-Supuestos!$E$11))),IF(Supuestos!$C$11="Uniforme",Supuestos!$D$11+H142*(Supuestos!$E$11-Supuestos!$D$11),IF(Supuestos!$C$11="Lognormal",LOGINV(H142,LN(Supuestos!$D$11)-LN(1+Supuestos!$E$11^2/Supuestos!$D$11^2)/2,SQRT(LN(1+Supuestos!$E$11^2/Supuestos!$D$11^2))),Supuestos!$D$11))))))</f>
        <v/>
      </c>
      <c r="P142" s="33">
        <f>-I142</f>
        <v/>
      </c>
      <c r="Q142" s="33">
        <f>$J142*(1+$K142)^(1-1)*(1-$L142)*(1-$M142)</f>
        <v/>
      </c>
      <c r="R142" s="33">
        <f>$J142*(1+$K142)^(2-1)*(1-$L142)*(1-$M142)</f>
        <v/>
      </c>
      <c r="S142" s="33">
        <f>$J142*(1+$K142)^(3-1)*(1-$L142)*(1-$M142)</f>
        <v/>
      </c>
      <c r="T142" s="33">
        <f>$J142*(1+$K142)^(4-1)*(1-$L142)*(1-$M142)</f>
        <v/>
      </c>
      <c r="U142" s="33">
        <f>$J142*(1+$K142)^(5-1)*(1-$L142)*(1-$M142)+$O142</f>
        <v/>
      </c>
      <c r="V142" s="33">
        <f>P142+NPV($N142,Q142:U142)</f>
        <v/>
      </c>
      <c r="W142" s="32">
        <f>IFERROR(IRR(P142:U142,0.1),"")</f>
        <v/>
      </c>
    </row>
    <row r="143">
      <c r="A143" s="14" t="n">
        <v>139</v>
      </c>
      <c r="B143" s="30">
        <f>RAND()*(1-2E-6)+1E-6</f>
        <v/>
      </c>
      <c r="C143" s="30">
        <f>RAND()*(1-2E-6)+1E-6</f>
        <v/>
      </c>
      <c r="D143" s="30">
        <f>RAND()*(1-2E-6)+1E-6</f>
        <v/>
      </c>
      <c r="E143" s="30">
        <f>RAND()*(1-2E-6)+1E-6</f>
        <v/>
      </c>
      <c r="F143" s="30">
        <f>RAND()*(1-2E-6)+1E-6</f>
        <v/>
      </c>
      <c r="G143" s="30">
        <f>RAND()*(1-2E-6)+1E-6</f>
        <v/>
      </c>
      <c r="H143" s="30">
        <f>RAND()*(1-2E-6)+1E-6</f>
        <v/>
      </c>
      <c r="I143" s="31">
        <f>MIN(IF(Supuestos!$H$5="",1E+99,Supuestos!$H$5),MAX(IF(Supuestos!$G$5="",-1E+99,Supuestos!$G$5),IF(Supuestos!$C$5="Normal",NORMINV(B143,Supuestos!$D$5,Supuestos!$E$5),IF(Supuestos!$C$5="Triangular",IF(B143&lt;(Supuestos!$E$5-Supuestos!$D$5)/(Supuestos!$F$5-Supuestos!$D$5),Supuestos!$D$5+SQRT(B143*(Supuestos!$F$5-Supuestos!$D$5)*(Supuestos!$E$5-Supuestos!$D$5)),Supuestos!$F$5-SQRT((1-B143)*(Supuestos!$F$5-Supuestos!$D$5)*(Supuestos!$F$5-Supuestos!$E$5))),IF(Supuestos!$C$5="Uniforme",Supuestos!$D$5+B143*(Supuestos!$E$5-Supuestos!$D$5),IF(Supuestos!$C$5="Lognormal",LOGINV(B143,LN(Supuestos!$D$5)-LN(1+Supuestos!$E$5^2/Supuestos!$D$5^2)/2,SQRT(LN(1+Supuestos!$E$5^2/Supuestos!$D$5^2))),Supuestos!$D$5))))))</f>
        <v/>
      </c>
      <c r="J143" s="31">
        <f>MIN(IF(Supuestos!$H$6="",1E+99,Supuestos!$H$6),MAX(IF(Supuestos!$G$6="",-1E+99,Supuestos!$G$6),IF(Supuestos!$C$6="Normal",NORMINV(C143,Supuestos!$D$6,Supuestos!$E$6),IF(Supuestos!$C$6="Triangular",IF(C143&lt;(Supuestos!$E$6-Supuestos!$D$6)/(Supuestos!$F$6-Supuestos!$D$6),Supuestos!$D$6+SQRT(C143*(Supuestos!$F$6-Supuestos!$D$6)*(Supuestos!$E$6-Supuestos!$D$6)),Supuestos!$F$6-SQRT((1-C143)*(Supuestos!$F$6-Supuestos!$D$6)*(Supuestos!$F$6-Supuestos!$E$6))),IF(Supuestos!$C$6="Uniforme",Supuestos!$D$6+C143*(Supuestos!$E$6-Supuestos!$D$6),IF(Supuestos!$C$6="Lognormal",LOGINV(C143,LN(Supuestos!$D$6)-LN(1+Supuestos!$E$6^2/Supuestos!$D$6^2)/2,SQRT(LN(1+Supuestos!$E$6^2/Supuestos!$D$6^2))),Supuestos!$D$6))))))</f>
        <v/>
      </c>
      <c r="K143" s="32">
        <f>MIN(IF(Supuestos!$H$7="",1E+99,Supuestos!$H$7),MAX(IF(Supuestos!$G$7="",-1E+99,Supuestos!$G$7),IF(Supuestos!$C$7="Normal",NORMINV(D143,Supuestos!$D$7,Supuestos!$E$7),IF(Supuestos!$C$7="Triangular",IF(D143&lt;(Supuestos!$E$7-Supuestos!$D$7)/(Supuestos!$F$7-Supuestos!$D$7),Supuestos!$D$7+SQRT(D143*(Supuestos!$F$7-Supuestos!$D$7)*(Supuestos!$E$7-Supuestos!$D$7)),Supuestos!$F$7-SQRT((1-D143)*(Supuestos!$F$7-Supuestos!$D$7)*(Supuestos!$F$7-Supuestos!$E$7))),IF(Supuestos!$C$7="Uniforme",Supuestos!$D$7+D143*(Supuestos!$E$7-Supuestos!$D$7),IF(Supuestos!$C$7="Lognormal",LOGINV(D143,LN(Supuestos!$D$7)-LN(1+Supuestos!$E$7^2/Supuestos!$D$7^2)/2,SQRT(LN(1+Supuestos!$E$7^2/Supuestos!$D$7^2))),Supuestos!$D$7))))))</f>
        <v/>
      </c>
      <c r="L143" s="32">
        <f>MIN(IF(Supuestos!$H$8="",1E+99,Supuestos!$H$8),MAX(IF(Supuestos!$G$8="",-1E+99,Supuestos!$G$8),IF(Supuestos!$C$8="Normal",NORMINV(E143,Supuestos!$D$8,Supuestos!$E$8),IF(Supuestos!$C$8="Triangular",IF(E143&lt;(Supuestos!$E$8-Supuestos!$D$8)/(Supuestos!$F$8-Supuestos!$D$8),Supuestos!$D$8+SQRT(E143*(Supuestos!$F$8-Supuestos!$D$8)*(Supuestos!$E$8-Supuestos!$D$8)),Supuestos!$F$8-SQRT((1-E143)*(Supuestos!$F$8-Supuestos!$D$8)*(Supuestos!$F$8-Supuestos!$E$8))),IF(Supuestos!$C$8="Uniforme",Supuestos!$D$8+E143*(Supuestos!$E$8-Supuestos!$D$8),IF(Supuestos!$C$8="Lognormal",LOGINV(E143,LN(Supuestos!$D$8)-LN(1+Supuestos!$E$8^2/Supuestos!$D$8^2)/2,SQRT(LN(1+Supuestos!$E$8^2/Supuestos!$D$8^2))),Supuestos!$D$8))))))</f>
        <v/>
      </c>
      <c r="M143" s="32">
        <f>MIN(IF(Supuestos!$H$9="",1E+99,Supuestos!$H$9),MAX(IF(Supuestos!$G$9="",-1E+99,Supuestos!$G$9),IF(Supuestos!$C$9="Normal",NORMINV(F143,Supuestos!$D$9,Supuestos!$E$9),IF(Supuestos!$C$9="Triangular",IF(F143&lt;(Supuestos!$E$9-Supuestos!$D$9)/(Supuestos!$F$9-Supuestos!$D$9),Supuestos!$D$9+SQRT(F143*(Supuestos!$F$9-Supuestos!$D$9)*(Supuestos!$E$9-Supuestos!$D$9)),Supuestos!$F$9-SQRT((1-F143)*(Supuestos!$F$9-Supuestos!$D$9)*(Supuestos!$F$9-Supuestos!$E$9))),IF(Supuestos!$C$9="Uniforme",Supuestos!$D$9+F143*(Supuestos!$E$9-Supuestos!$D$9),IF(Supuestos!$C$9="Lognormal",LOGINV(F143,LN(Supuestos!$D$9)-LN(1+Supuestos!$E$9^2/Supuestos!$D$9^2)/2,SQRT(LN(1+Supuestos!$E$9^2/Supuestos!$D$9^2))),Supuestos!$D$9))))))</f>
        <v/>
      </c>
      <c r="N143" s="32">
        <f>MIN(IF(Supuestos!$H$10="",1E+99,Supuestos!$H$10),MAX(IF(Supuestos!$G$10="",-1E+99,Supuestos!$G$10),IF(Supuestos!$C$10="Normal",NORMINV(G143,Supuestos!$D$10,Supuestos!$E$10),IF(Supuestos!$C$10="Triangular",IF(G143&lt;(Supuestos!$E$10-Supuestos!$D$10)/(Supuestos!$F$10-Supuestos!$D$10),Supuestos!$D$10+SQRT(G143*(Supuestos!$F$10-Supuestos!$D$10)*(Supuestos!$E$10-Supuestos!$D$10)),Supuestos!$F$10-SQRT((1-G143)*(Supuestos!$F$10-Supuestos!$D$10)*(Supuestos!$F$10-Supuestos!$E$10))),IF(Supuestos!$C$10="Uniforme",Supuestos!$D$10+G143*(Supuestos!$E$10-Supuestos!$D$10),IF(Supuestos!$C$10="Lognormal",LOGINV(G143,LN(Supuestos!$D$10)-LN(1+Supuestos!$E$10^2/Supuestos!$D$10^2)/2,SQRT(LN(1+Supuestos!$E$10^2/Supuestos!$D$10^2))),Supuestos!$D$10))))))</f>
        <v/>
      </c>
      <c r="O143" s="31">
        <f>MIN(IF(Supuestos!$H$11="",1E+99,Supuestos!$H$11),MAX(IF(Supuestos!$G$11="",-1E+99,Supuestos!$G$11),IF(Supuestos!$C$11="Normal",NORMINV(H143,Supuestos!$D$11,Supuestos!$E$11),IF(Supuestos!$C$11="Triangular",IF(H143&lt;(Supuestos!$E$11-Supuestos!$D$11)/(Supuestos!$F$11-Supuestos!$D$11),Supuestos!$D$11+SQRT(H143*(Supuestos!$F$11-Supuestos!$D$11)*(Supuestos!$E$11-Supuestos!$D$11)),Supuestos!$F$11-SQRT((1-H143)*(Supuestos!$F$11-Supuestos!$D$11)*(Supuestos!$F$11-Supuestos!$E$11))),IF(Supuestos!$C$11="Uniforme",Supuestos!$D$11+H143*(Supuestos!$E$11-Supuestos!$D$11),IF(Supuestos!$C$11="Lognormal",LOGINV(H143,LN(Supuestos!$D$11)-LN(1+Supuestos!$E$11^2/Supuestos!$D$11^2)/2,SQRT(LN(1+Supuestos!$E$11^2/Supuestos!$D$11^2))),Supuestos!$D$11))))))</f>
        <v/>
      </c>
      <c r="P143" s="33">
        <f>-I143</f>
        <v/>
      </c>
      <c r="Q143" s="33">
        <f>$J143*(1+$K143)^(1-1)*(1-$L143)*(1-$M143)</f>
        <v/>
      </c>
      <c r="R143" s="33">
        <f>$J143*(1+$K143)^(2-1)*(1-$L143)*(1-$M143)</f>
        <v/>
      </c>
      <c r="S143" s="33">
        <f>$J143*(1+$K143)^(3-1)*(1-$L143)*(1-$M143)</f>
        <v/>
      </c>
      <c r="T143" s="33">
        <f>$J143*(1+$K143)^(4-1)*(1-$L143)*(1-$M143)</f>
        <v/>
      </c>
      <c r="U143" s="33">
        <f>$J143*(1+$K143)^(5-1)*(1-$L143)*(1-$M143)+$O143</f>
        <v/>
      </c>
      <c r="V143" s="33">
        <f>P143+NPV($N143,Q143:U143)</f>
        <v/>
      </c>
      <c r="W143" s="32">
        <f>IFERROR(IRR(P143:U143,0.1),"")</f>
        <v/>
      </c>
    </row>
    <row r="144">
      <c r="A144" s="14" t="n">
        <v>140</v>
      </c>
      <c r="B144" s="30">
        <f>RAND()*(1-2E-6)+1E-6</f>
        <v/>
      </c>
      <c r="C144" s="30">
        <f>RAND()*(1-2E-6)+1E-6</f>
        <v/>
      </c>
      <c r="D144" s="30">
        <f>RAND()*(1-2E-6)+1E-6</f>
        <v/>
      </c>
      <c r="E144" s="30">
        <f>RAND()*(1-2E-6)+1E-6</f>
        <v/>
      </c>
      <c r="F144" s="30">
        <f>RAND()*(1-2E-6)+1E-6</f>
        <v/>
      </c>
      <c r="G144" s="30">
        <f>RAND()*(1-2E-6)+1E-6</f>
        <v/>
      </c>
      <c r="H144" s="30">
        <f>RAND()*(1-2E-6)+1E-6</f>
        <v/>
      </c>
      <c r="I144" s="31">
        <f>MIN(IF(Supuestos!$H$5="",1E+99,Supuestos!$H$5),MAX(IF(Supuestos!$G$5="",-1E+99,Supuestos!$G$5),IF(Supuestos!$C$5="Normal",NORMINV(B144,Supuestos!$D$5,Supuestos!$E$5),IF(Supuestos!$C$5="Triangular",IF(B144&lt;(Supuestos!$E$5-Supuestos!$D$5)/(Supuestos!$F$5-Supuestos!$D$5),Supuestos!$D$5+SQRT(B144*(Supuestos!$F$5-Supuestos!$D$5)*(Supuestos!$E$5-Supuestos!$D$5)),Supuestos!$F$5-SQRT((1-B144)*(Supuestos!$F$5-Supuestos!$D$5)*(Supuestos!$F$5-Supuestos!$E$5))),IF(Supuestos!$C$5="Uniforme",Supuestos!$D$5+B144*(Supuestos!$E$5-Supuestos!$D$5),IF(Supuestos!$C$5="Lognormal",LOGINV(B144,LN(Supuestos!$D$5)-LN(1+Supuestos!$E$5^2/Supuestos!$D$5^2)/2,SQRT(LN(1+Supuestos!$E$5^2/Supuestos!$D$5^2))),Supuestos!$D$5))))))</f>
        <v/>
      </c>
      <c r="J144" s="31">
        <f>MIN(IF(Supuestos!$H$6="",1E+99,Supuestos!$H$6),MAX(IF(Supuestos!$G$6="",-1E+99,Supuestos!$G$6),IF(Supuestos!$C$6="Normal",NORMINV(C144,Supuestos!$D$6,Supuestos!$E$6),IF(Supuestos!$C$6="Triangular",IF(C144&lt;(Supuestos!$E$6-Supuestos!$D$6)/(Supuestos!$F$6-Supuestos!$D$6),Supuestos!$D$6+SQRT(C144*(Supuestos!$F$6-Supuestos!$D$6)*(Supuestos!$E$6-Supuestos!$D$6)),Supuestos!$F$6-SQRT((1-C144)*(Supuestos!$F$6-Supuestos!$D$6)*(Supuestos!$F$6-Supuestos!$E$6))),IF(Supuestos!$C$6="Uniforme",Supuestos!$D$6+C144*(Supuestos!$E$6-Supuestos!$D$6),IF(Supuestos!$C$6="Lognormal",LOGINV(C144,LN(Supuestos!$D$6)-LN(1+Supuestos!$E$6^2/Supuestos!$D$6^2)/2,SQRT(LN(1+Supuestos!$E$6^2/Supuestos!$D$6^2))),Supuestos!$D$6))))))</f>
        <v/>
      </c>
      <c r="K144" s="32">
        <f>MIN(IF(Supuestos!$H$7="",1E+99,Supuestos!$H$7),MAX(IF(Supuestos!$G$7="",-1E+99,Supuestos!$G$7),IF(Supuestos!$C$7="Normal",NORMINV(D144,Supuestos!$D$7,Supuestos!$E$7),IF(Supuestos!$C$7="Triangular",IF(D144&lt;(Supuestos!$E$7-Supuestos!$D$7)/(Supuestos!$F$7-Supuestos!$D$7),Supuestos!$D$7+SQRT(D144*(Supuestos!$F$7-Supuestos!$D$7)*(Supuestos!$E$7-Supuestos!$D$7)),Supuestos!$F$7-SQRT((1-D144)*(Supuestos!$F$7-Supuestos!$D$7)*(Supuestos!$F$7-Supuestos!$E$7))),IF(Supuestos!$C$7="Uniforme",Supuestos!$D$7+D144*(Supuestos!$E$7-Supuestos!$D$7),IF(Supuestos!$C$7="Lognormal",LOGINV(D144,LN(Supuestos!$D$7)-LN(1+Supuestos!$E$7^2/Supuestos!$D$7^2)/2,SQRT(LN(1+Supuestos!$E$7^2/Supuestos!$D$7^2))),Supuestos!$D$7))))))</f>
        <v/>
      </c>
      <c r="L144" s="32">
        <f>MIN(IF(Supuestos!$H$8="",1E+99,Supuestos!$H$8),MAX(IF(Supuestos!$G$8="",-1E+99,Supuestos!$G$8),IF(Supuestos!$C$8="Normal",NORMINV(E144,Supuestos!$D$8,Supuestos!$E$8),IF(Supuestos!$C$8="Triangular",IF(E144&lt;(Supuestos!$E$8-Supuestos!$D$8)/(Supuestos!$F$8-Supuestos!$D$8),Supuestos!$D$8+SQRT(E144*(Supuestos!$F$8-Supuestos!$D$8)*(Supuestos!$E$8-Supuestos!$D$8)),Supuestos!$F$8-SQRT((1-E144)*(Supuestos!$F$8-Supuestos!$D$8)*(Supuestos!$F$8-Supuestos!$E$8))),IF(Supuestos!$C$8="Uniforme",Supuestos!$D$8+E144*(Supuestos!$E$8-Supuestos!$D$8),IF(Supuestos!$C$8="Lognormal",LOGINV(E144,LN(Supuestos!$D$8)-LN(1+Supuestos!$E$8^2/Supuestos!$D$8^2)/2,SQRT(LN(1+Supuestos!$E$8^2/Supuestos!$D$8^2))),Supuestos!$D$8))))))</f>
        <v/>
      </c>
      <c r="M144" s="32">
        <f>MIN(IF(Supuestos!$H$9="",1E+99,Supuestos!$H$9),MAX(IF(Supuestos!$G$9="",-1E+99,Supuestos!$G$9),IF(Supuestos!$C$9="Normal",NORMINV(F144,Supuestos!$D$9,Supuestos!$E$9),IF(Supuestos!$C$9="Triangular",IF(F144&lt;(Supuestos!$E$9-Supuestos!$D$9)/(Supuestos!$F$9-Supuestos!$D$9),Supuestos!$D$9+SQRT(F144*(Supuestos!$F$9-Supuestos!$D$9)*(Supuestos!$E$9-Supuestos!$D$9)),Supuestos!$F$9-SQRT((1-F144)*(Supuestos!$F$9-Supuestos!$D$9)*(Supuestos!$F$9-Supuestos!$E$9))),IF(Supuestos!$C$9="Uniforme",Supuestos!$D$9+F144*(Supuestos!$E$9-Supuestos!$D$9),IF(Supuestos!$C$9="Lognormal",LOGINV(F144,LN(Supuestos!$D$9)-LN(1+Supuestos!$E$9^2/Supuestos!$D$9^2)/2,SQRT(LN(1+Supuestos!$E$9^2/Supuestos!$D$9^2))),Supuestos!$D$9))))))</f>
        <v/>
      </c>
      <c r="N144" s="32">
        <f>MIN(IF(Supuestos!$H$10="",1E+99,Supuestos!$H$10),MAX(IF(Supuestos!$G$10="",-1E+99,Supuestos!$G$10),IF(Supuestos!$C$10="Normal",NORMINV(G144,Supuestos!$D$10,Supuestos!$E$10),IF(Supuestos!$C$10="Triangular",IF(G144&lt;(Supuestos!$E$10-Supuestos!$D$10)/(Supuestos!$F$10-Supuestos!$D$10),Supuestos!$D$10+SQRT(G144*(Supuestos!$F$10-Supuestos!$D$10)*(Supuestos!$E$10-Supuestos!$D$10)),Supuestos!$F$10-SQRT((1-G144)*(Supuestos!$F$10-Supuestos!$D$10)*(Supuestos!$F$10-Supuestos!$E$10))),IF(Supuestos!$C$10="Uniforme",Supuestos!$D$10+G144*(Supuestos!$E$10-Supuestos!$D$10),IF(Supuestos!$C$10="Lognormal",LOGINV(G144,LN(Supuestos!$D$10)-LN(1+Supuestos!$E$10^2/Supuestos!$D$10^2)/2,SQRT(LN(1+Supuestos!$E$10^2/Supuestos!$D$10^2))),Supuestos!$D$10))))))</f>
        <v/>
      </c>
      <c r="O144" s="31">
        <f>MIN(IF(Supuestos!$H$11="",1E+99,Supuestos!$H$11),MAX(IF(Supuestos!$G$11="",-1E+99,Supuestos!$G$11),IF(Supuestos!$C$11="Normal",NORMINV(H144,Supuestos!$D$11,Supuestos!$E$11),IF(Supuestos!$C$11="Triangular",IF(H144&lt;(Supuestos!$E$11-Supuestos!$D$11)/(Supuestos!$F$11-Supuestos!$D$11),Supuestos!$D$11+SQRT(H144*(Supuestos!$F$11-Supuestos!$D$11)*(Supuestos!$E$11-Supuestos!$D$11)),Supuestos!$F$11-SQRT((1-H144)*(Supuestos!$F$11-Supuestos!$D$11)*(Supuestos!$F$11-Supuestos!$E$11))),IF(Supuestos!$C$11="Uniforme",Supuestos!$D$11+H144*(Supuestos!$E$11-Supuestos!$D$11),IF(Supuestos!$C$11="Lognormal",LOGINV(H144,LN(Supuestos!$D$11)-LN(1+Supuestos!$E$11^2/Supuestos!$D$11^2)/2,SQRT(LN(1+Supuestos!$E$11^2/Supuestos!$D$11^2))),Supuestos!$D$11))))))</f>
        <v/>
      </c>
      <c r="P144" s="33">
        <f>-I144</f>
        <v/>
      </c>
      <c r="Q144" s="33">
        <f>$J144*(1+$K144)^(1-1)*(1-$L144)*(1-$M144)</f>
        <v/>
      </c>
      <c r="R144" s="33">
        <f>$J144*(1+$K144)^(2-1)*(1-$L144)*(1-$M144)</f>
        <v/>
      </c>
      <c r="S144" s="33">
        <f>$J144*(1+$K144)^(3-1)*(1-$L144)*(1-$M144)</f>
        <v/>
      </c>
      <c r="T144" s="33">
        <f>$J144*(1+$K144)^(4-1)*(1-$L144)*(1-$M144)</f>
        <v/>
      </c>
      <c r="U144" s="33">
        <f>$J144*(1+$K144)^(5-1)*(1-$L144)*(1-$M144)+$O144</f>
        <v/>
      </c>
      <c r="V144" s="33">
        <f>P144+NPV($N144,Q144:U144)</f>
        <v/>
      </c>
      <c r="W144" s="32">
        <f>IFERROR(IRR(P144:U144,0.1),"")</f>
        <v/>
      </c>
    </row>
    <row r="145">
      <c r="A145" s="14" t="n">
        <v>141</v>
      </c>
      <c r="B145" s="30">
        <f>RAND()*(1-2E-6)+1E-6</f>
        <v/>
      </c>
      <c r="C145" s="30">
        <f>RAND()*(1-2E-6)+1E-6</f>
        <v/>
      </c>
      <c r="D145" s="30">
        <f>RAND()*(1-2E-6)+1E-6</f>
        <v/>
      </c>
      <c r="E145" s="30">
        <f>RAND()*(1-2E-6)+1E-6</f>
        <v/>
      </c>
      <c r="F145" s="30">
        <f>RAND()*(1-2E-6)+1E-6</f>
        <v/>
      </c>
      <c r="G145" s="30">
        <f>RAND()*(1-2E-6)+1E-6</f>
        <v/>
      </c>
      <c r="H145" s="30">
        <f>RAND()*(1-2E-6)+1E-6</f>
        <v/>
      </c>
      <c r="I145" s="31">
        <f>MIN(IF(Supuestos!$H$5="",1E+99,Supuestos!$H$5),MAX(IF(Supuestos!$G$5="",-1E+99,Supuestos!$G$5),IF(Supuestos!$C$5="Normal",NORMINV(B145,Supuestos!$D$5,Supuestos!$E$5),IF(Supuestos!$C$5="Triangular",IF(B145&lt;(Supuestos!$E$5-Supuestos!$D$5)/(Supuestos!$F$5-Supuestos!$D$5),Supuestos!$D$5+SQRT(B145*(Supuestos!$F$5-Supuestos!$D$5)*(Supuestos!$E$5-Supuestos!$D$5)),Supuestos!$F$5-SQRT((1-B145)*(Supuestos!$F$5-Supuestos!$D$5)*(Supuestos!$F$5-Supuestos!$E$5))),IF(Supuestos!$C$5="Uniforme",Supuestos!$D$5+B145*(Supuestos!$E$5-Supuestos!$D$5),IF(Supuestos!$C$5="Lognormal",LOGINV(B145,LN(Supuestos!$D$5)-LN(1+Supuestos!$E$5^2/Supuestos!$D$5^2)/2,SQRT(LN(1+Supuestos!$E$5^2/Supuestos!$D$5^2))),Supuestos!$D$5))))))</f>
        <v/>
      </c>
      <c r="J145" s="31">
        <f>MIN(IF(Supuestos!$H$6="",1E+99,Supuestos!$H$6),MAX(IF(Supuestos!$G$6="",-1E+99,Supuestos!$G$6),IF(Supuestos!$C$6="Normal",NORMINV(C145,Supuestos!$D$6,Supuestos!$E$6),IF(Supuestos!$C$6="Triangular",IF(C145&lt;(Supuestos!$E$6-Supuestos!$D$6)/(Supuestos!$F$6-Supuestos!$D$6),Supuestos!$D$6+SQRT(C145*(Supuestos!$F$6-Supuestos!$D$6)*(Supuestos!$E$6-Supuestos!$D$6)),Supuestos!$F$6-SQRT((1-C145)*(Supuestos!$F$6-Supuestos!$D$6)*(Supuestos!$F$6-Supuestos!$E$6))),IF(Supuestos!$C$6="Uniforme",Supuestos!$D$6+C145*(Supuestos!$E$6-Supuestos!$D$6),IF(Supuestos!$C$6="Lognormal",LOGINV(C145,LN(Supuestos!$D$6)-LN(1+Supuestos!$E$6^2/Supuestos!$D$6^2)/2,SQRT(LN(1+Supuestos!$E$6^2/Supuestos!$D$6^2))),Supuestos!$D$6))))))</f>
        <v/>
      </c>
      <c r="K145" s="32">
        <f>MIN(IF(Supuestos!$H$7="",1E+99,Supuestos!$H$7),MAX(IF(Supuestos!$G$7="",-1E+99,Supuestos!$G$7),IF(Supuestos!$C$7="Normal",NORMINV(D145,Supuestos!$D$7,Supuestos!$E$7),IF(Supuestos!$C$7="Triangular",IF(D145&lt;(Supuestos!$E$7-Supuestos!$D$7)/(Supuestos!$F$7-Supuestos!$D$7),Supuestos!$D$7+SQRT(D145*(Supuestos!$F$7-Supuestos!$D$7)*(Supuestos!$E$7-Supuestos!$D$7)),Supuestos!$F$7-SQRT((1-D145)*(Supuestos!$F$7-Supuestos!$D$7)*(Supuestos!$F$7-Supuestos!$E$7))),IF(Supuestos!$C$7="Uniforme",Supuestos!$D$7+D145*(Supuestos!$E$7-Supuestos!$D$7),IF(Supuestos!$C$7="Lognormal",LOGINV(D145,LN(Supuestos!$D$7)-LN(1+Supuestos!$E$7^2/Supuestos!$D$7^2)/2,SQRT(LN(1+Supuestos!$E$7^2/Supuestos!$D$7^2))),Supuestos!$D$7))))))</f>
        <v/>
      </c>
      <c r="L145" s="32">
        <f>MIN(IF(Supuestos!$H$8="",1E+99,Supuestos!$H$8),MAX(IF(Supuestos!$G$8="",-1E+99,Supuestos!$G$8),IF(Supuestos!$C$8="Normal",NORMINV(E145,Supuestos!$D$8,Supuestos!$E$8),IF(Supuestos!$C$8="Triangular",IF(E145&lt;(Supuestos!$E$8-Supuestos!$D$8)/(Supuestos!$F$8-Supuestos!$D$8),Supuestos!$D$8+SQRT(E145*(Supuestos!$F$8-Supuestos!$D$8)*(Supuestos!$E$8-Supuestos!$D$8)),Supuestos!$F$8-SQRT((1-E145)*(Supuestos!$F$8-Supuestos!$D$8)*(Supuestos!$F$8-Supuestos!$E$8))),IF(Supuestos!$C$8="Uniforme",Supuestos!$D$8+E145*(Supuestos!$E$8-Supuestos!$D$8),IF(Supuestos!$C$8="Lognormal",LOGINV(E145,LN(Supuestos!$D$8)-LN(1+Supuestos!$E$8^2/Supuestos!$D$8^2)/2,SQRT(LN(1+Supuestos!$E$8^2/Supuestos!$D$8^2))),Supuestos!$D$8))))))</f>
        <v/>
      </c>
      <c r="M145" s="32">
        <f>MIN(IF(Supuestos!$H$9="",1E+99,Supuestos!$H$9),MAX(IF(Supuestos!$G$9="",-1E+99,Supuestos!$G$9),IF(Supuestos!$C$9="Normal",NORMINV(F145,Supuestos!$D$9,Supuestos!$E$9),IF(Supuestos!$C$9="Triangular",IF(F145&lt;(Supuestos!$E$9-Supuestos!$D$9)/(Supuestos!$F$9-Supuestos!$D$9),Supuestos!$D$9+SQRT(F145*(Supuestos!$F$9-Supuestos!$D$9)*(Supuestos!$E$9-Supuestos!$D$9)),Supuestos!$F$9-SQRT((1-F145)*(Supuestos!$F$9-Supuestos!$D$9)*(Supuestos!$F$9-Supuestos!$E$9))),IF(Supuestos!$C$9="Uniforme",Supuestos!$D$9+F145*(Supuestos!$E$9-Supuestos!$D$9),IF(Supuestos!$C$9="Lognormal",LOGINV(F145,LN(Supuestos!$D$9)-LN(1+Supuestos!$E$9^2/Supuestos!$D$9^2)/2,SQRT(LN(1+Supuestos!$E$9^2/Supuestos!$D$9^2))),Supuestos!$D$9))))))</f>
        <v/>
      </c>
      <c r="N145" s="32">
        <f>MIN(IF(Supuestos!$H$10="",1E+99,Supuestos!$H$10),MAX(IF(Supuestos!$G$10="",-1E+99,Supuestos!$G$10),IF(Supuestos!$C$10="Normal",NORMINV(G145,Supuestos!$D$10,Supuestos!$E$10),IF(Supuestos!$C$10="Triangular",IF(G145&lt;(Supuestos!$E$10-Supuestos!$D$10)/(Supuestos!$F$10-Supuestos!$D$10),Supuestos!$D$10+SQRT(G145*(Supuestos!$F$10-Supuestos!$D$10)*(Supuestos!$E$10-Supuestos!$D$10)),Supuestos!$F$10-SQRT((1-G145)*(Supuestos!$F$10-Supuestos!$D$10)*(Supuestos!$F$10-Supuestos!$E$10))),IF(Supuestos!$C$10="Uniforme",Supuestos!$D$10+G145*(Supuestos!$E$10-Supuestos!$D$10),IF(Supuestos!$C$10="Lognormal",LOGINV(G145,LN(Supuestos!$D$10)-LN(1+Supuestos!$E$10^2/Supuestos!$D$10^2)/2,SQRT(LN(1+Supuestos!$E$10^2/Supuestos!$D$10^2))),Supuestos!$D$10))))))</f>
        <v/>
      </c>
      <c r="O145" s="31">
        <f>MIN(IF(Supuestos!$H$11="",1E+99,Supuestos!$H$11),MAX(IF(Supuestos!$G$11="",-1E+99,Supuestos!$G$11),IF(Supuestos!$C$11="Normal",NORMINV(H145,Supuestos!$D$11,Supuestos!$E$11),IF(Supuestos!$C$11="Triangular",IF(H145&lt;(Supuestos!$E$11-Supuestos!$D$11)/(Supuestos!$F$11-Supuestos!$D$11),Supuestos!$D$11+SQRT(H145*(Supuestos!$F$11-Supuestos!$D$11)*(Supuestos!$E$11-Supuestos!$D$11)),Supuestos!$F$11-SQRT((1-H145)*(Supuestos!$F$11-Supuestos!$D$11)*(Supuestos!$F$11-Supuestos!$E$11))),IF(Supuestos!$C$11="Uniforme",Supuestos!$D$11+H145*(Supuestos!$E$11-Supuestos!$D$11),IF(Supuestos!$C$11="Lognormal",LOGINV(H145,LN(Supuestos!$D$11)-LN(1+Supuestos!$E$11^2/Supuestos!$D$11^2)/2,SQRT(LN(1+Supuestos!$E$11^2/Supuestos!$D$11^2))),Supuestos!$D$11))))))</f>
        <v/>
      </c>
      <c r="P145" s="33">
        <f>-I145</f>
        <v/>
      </c>
      <c r="Q145" s="33">
        <f>$J145*(1+$K145)^(1-1)*(1-$L145)*(1-$M145)</f>
        <v/>
      </c>
      <c r="R145" s="33">
        <f>$J145*(1+$K145)^(2-1)*(1-$L145)*(1-$M145)</f>
        <v/>
      </c>
      <c r="S145" s="33">
        <f>$J145*(1+$K145)^(3-1)*(1-$L145)*(1-$M145)</f>
        <v/>
      </c>
      <c r="T145" s="33">
        <f>$J145*(1+$K145)^(4-1)*(1-$L145)*(1-$M145)</f>
        <v/>
      </c>
      <c r="U145" s="33">
        <f>$J145*(1+$K145)^(5-1)*(1-$L145)*(1-$M145)+$O145</f>
        <v/>
      </c>
      <c r="V145" s="33">
        <f>P145+NPV($N145,Q145:U145)</f>
        <v/>
      </c>
      <c r="W145" s="32">
        <f>IFERROR(IRR(P145:U145,0.1),"")</f>
        <v/>
      </c>
    </row>
    <row r="146">
      <c r="A146" s="14" t="n">
        <v>142</v>
      </c>
      <c r="B146" s="30">
        <f>RAND()*(1-2E-6)+1E-6</f>
        <v/>
      </c>
      <c r="C146" s="30">
        <f>RAND()*(1-2E-6)+1E-6</f>
        <v/>
      </c>
      <c r="D146" s="30">
        <f>RAND()*(1-2E-6)+1E-6</f>
        <v/>
      </c>
      <c r="E146" s="30">
        <f>RAND()*(1-2E-6)+1E-6</f>
        <v/>
      </c>
      <c r="F146" s="30">
        <f>RAND()*(1-2E-6)+1E-6</f>
        <v/>
      </c>
      <c r="G146" s="30">
        <f>RAND()*(1-2E-6)+1E-6</f>
        <v/>
      </c>
      <c r="H146" s="30">
        <f>RAND()*(1-2E-6)+1E-6</f>
        <v/>
      </c>
      <c r="I146" s="31">
        <f>MIN(IF(Supuestos!$H$5="",1E+99,Supuestos!$H$5),MAX(IF(Supuestos!$G$5="",-1E+99,Supuestos!$G$5),IF(Supuestos!$C$5="Normal",NORMINV(B146,Supuestos!$D$5,Supuestos!$E$5),IF(Supuestos!$C$5="Triangular",IF(B146&lt;(Supuestos!$E$5-Supuestos!$D$5)/(Supuestos!$F$5-Supuestos!$D$5),Supuestos!$D$5+SQRT(B146*(Supuestos!$F$5-Supuestos!$D$5)*(Supuestos!$E$5-Supuestos!$D$5)),Supuestos!$F$5-SQRT((1-B146)*(Supuestos!$F$5-Supuestos!$D$5)*(Supuestos!$F$5-Supuestos!$E$5))),IF(Supuestos!$C$5="Uniforme",Supuestos!$D$5+B146*(Supuestos!$E$5-Supuestos!$D$5),IF(Supuestos!$C$5="Lognormal",LOGINV(B146,LN(Supuestos!$D$5)-LN(1+Supuestos!$E$5^2/Supuestos!$D$5^2)/2,SQRT(LN(1+Supuestos!$E$5^2/Supuestos!$D$5^2))),Supuestos!$D$5))))))</f>
        <v/>
      </c>
      <c r="J146" s="31">
        <f>MIN(IF(Supuestos!$H$6="",1E+99,Supuestos!$H$6),MAX(IF(Supuestos!$G$6="",-1E+99,Supuestos!$G$6),IF(Supuestos!$C$6="Normal",NORMINV(C146,Supuestos!$D$6,Supuestos!$E$6),IF(Supuestos!$C$6="Triangular",IF(C146&lt;(Supuestos!$E$6-Supuestos!$D$6)/(Supuestos!$F$6-Supuestos!$D$6),Supuestos!$D$6+SQRT(C146*(Supuestos!$F$6-Supuestos!$D$6)*(Supuestos!$E$6-Supuestos!$D$6)),Supuestos!$F$6-SQRT((1-C146)*(Supuestos!$F$6-Supuestos!$D$6)*(Supuestos!$F$6-Supuestos!$E$6))),IF(Supuestos!$C$6="Uniforme",Supuestos!$D$6+C146*(Supuestos!$E$6-Supuestos!$D$6),IF(Supuestos!$C$6="Lognormal",LOGINV(C146,LN(Supuestos!$D$6)-LN(1+Supuestos!$E$6^2/Supuestos!$D$6^2)/2,SQRT(LN(1+Supuestos!$E$6^2/Supuestos!$D$6^2))),Supuestos!$D$6))))))</f>
        <v/>
      </c>
      <c r="K146" s="32">
        <f>MIN(IF(Supuestos!$H$7="",1E+99,Supuestos!$H$7),MAX(IF(Supuestos!$G$7="",-1E+99,Supuestos!$G$7),IF(Supuestos!$C$7="Normal",NORMINV(D146,Supuestos!$D$7,Supuestos!$E$7),IF(Supuestos!$C$7="Triangular",IF(D146&lt;(Supuestos!$E$7-Supuestos!$D$7)/(Supuestos!$F$7-Supuestos!$D$7),Supuestos!$D$7+SQRT(D146*(Supuestos!$F$7-Supuestos!$D$7)*(Supuestos!$E$7-Supuestos!$D$7)),Supuestos!$F$7-SQRT((1-D146)*(Supuestos!$F$7-Supuestos!$D$7)*(Supuestos!$F$7-Supuestos!$E$7))),IF(Supuestos!$C$7="Uniforme",Supuestos!$D$7+D146*(Supuestos!$E$7-Supuestos!$D$7),IF(Supuestos!$C$7="Lognormal",LOGINV(D146,LN(Supuestos!$D$7)-LN(1+Supuestos!$E$7^2/Supuestos!$D$7^2)/2,SQRT(LN(1+Supuestos!$E$7^2/Supuestos!$D$7^2))),Supuestos!$D$7))))))</f>
        <v/>
      </c>
      <c r="L146" s="32">
        <f>MIN(IF(Supuestos!$H$8="",1E+99,Supuestos!$H$8),MAX(IF(Supuestos!$G$8="",-1E+99,Supuestos!$G$8),IF(Supuestos!$C$8="Normal",NORMINV(E146,Supuestos!$D$8,Supuestos!$E$8),IF(Supuestos!$C$8="Triangular",IF(E146&lt;(Supuestos!$E$8-Supuestos!$D$8)/(Supuestos!$F$8-Supuestos!$D$8),Supuestos!$D$8+SQRT(E146*(Supuestos!$F$8-Supuestos!$D$8)*(Supuestos!$E$8-Supuestos!$D$8)),Supuestos!$F$8-SQRT((1-E146)*(Supuestos!$F$8-Supuestos!$D$8)*(Supuestos!$F$8-Supuestos!$E$8))),IF(Supuestos!$C$8="Uniforme",Supuestos!$D$8+E146*(Supuestos!$E$8-Supuestos!$D$8),IF(Supuestos!$C$8="Lognormal",LOGINV(E146,LN(Supuestos!$D$8)-LN(1+Supuestos!$E$8^2/Supuestos!$D$8^2)/2,SQRT(LN(1+Supuestos!$E$8^2/Supuestos!$D$8^2))),Supuestos!$D$8))))))</f>
        <v/>
      </c>
      <c r="M146" s="32">
        <f>MIN(IF(Supuestos!$H$9="",1E+99,Supuestos!$H$9),MAX(IF(Supuestos!$G$9="",-1E+99,Supuestos!$G$9),IF(Supuestos!$C$9="Normal",NORMINV(F146,Supuestos!$D$9,Supuestos!$E$9),IF(Supuestos!$C$9="Triangular",IF(F146&lt;(Supuestos!$E$9-Supuestos!$D$9)/(Supuestos!$F$9-Supuestos!$D$9),Supuestos!$D$9+SQRT(F146*(Supuestos!$F$9-Supuestos!$D$9)*(Supuestos!$E$9-Supuestos!$D$9)),Supuestos!$F$9-SQRT((1-F146)*(Supuestos!$F$9-Supuestos!$D$9)*(Supuestos!$F$9-Supuestos!$E$9))),IF(Supuestos!$C$9="Uniforme",Supuestos!$D$9+F146*(Supuestos!$E$9-Supuestos!$D$9),IF(Supuestos!$C$9="Lognormal",LOGINV(F146,LN(Supuestos!$D$9)-LN(1+Supuestos!$E$9^2/Supuestos!$D$9^2)/2,SQRT(LN(1+Supuestos!$E$9^2/Supuestos!$D$9^2))),Supuestos!$D$9))))))</f>
        <v/>
      </c>
      <c r="N146" s="32">
        <f>MIN(IF(Supuestos!$H$10="",1E+99,Supuestos!$H$10),MAX(IF(Supuestos!$G$10="",-1E+99,Supuestos!$G$10),IF(Supuestos!$C$10="Normal",NORMINV(G146,Supuestos!$D$10,Supuestos!$E$10),IF(Supuestos!$C$10="Triangular",IF(G146&lt;(Supuestos!$E$10-Supuestos!$D$10)/(Supuestos!$F$10-Supuestos!$D$10),Supuestos!$D$10+SQRT(G146*(Supuestos!$F$10-Supuestos!$D$10)*(Supuestos!$E$10-Supuestos!$D$10)),Supuestos!$F$10-SQRT((1-G146)*(Supuestos!$F$10-Supuestos!$D$10)*(Supuestos!$F$10-Supuestos!$E$10))),IF(Supuestos!$C$10="Uniforme",Supuestos!$D$10+G146*(Supuestos!$E$10-Supuestos!$D$10),IF(Supuestos!$C$10="Lognormal",LOGINV(G146,LN(Supuestos!$D$10)-LN(1+Supuestos!$E$10^2/Supuestos!$D$10^2)/2,SQRT(LN(1+Supuestos!$E$10^2/Supuestos!$D$10^2))),Supuestos!$D$10))))))</f>
        <v/>
      </c>
      <c r="O146" s="31">
        <f>MIN(IF(Supuestos!$H$11="",1E+99,Supuestos!$H$11),MAX(IF(Supuestos!$G$11="",-1E+99,Supuestos!$G$11),IF(Supuestos!$C$11="Normal",NORMINV(H146,Supuestos!$D$11,Supuestos!$E$11),IF(Supuestos!$C$11="Triangular",IF(H146&lt;(Supuestos!$E$11-Supuestos!$D$11)/(Supuestos!$F$11-Supuestos!$D$11),Supuestos!$D$11+SQRT(H146*(Supuestos!$F$11-Supuestos!$D$11)*(Supuestos!$E$11-Supuestos!$D$11)),Supuestos!$F$11-SQRT((1-H146)*(Supuestos!$F$11-Supuestos!$D$11)*(Supuestos!$F$11-Supuestos!$E$11))),IF(Supuestos!$C$11="Uniforme",Supuestos!$D$11+H146*(Supuestos!$E$11-Supuestos!$D$11),IF(Supuestos!$C$11="Lognormal",LOGINV(H146,LN(Supuestos!$D$11)-LN(1+Supuestos!$E$11^2/Supuestos!$D$11^2)/2,SQRT(LN(1+Supuestos!$E$11^2/Supuestos!$D$11^2))),Supuestos!$D$11))))))</f>
        <v/>
      </c>
      <c r="P146" s="33">
        <f>-I146</f>
        <v/>
      </c>
      <c r="Q146" s="33">
        <f>$J146*(1+$K146)^(1-1)*(1-$L146)*(1-$M146)</f>
        <v/>
      </c>
      <c r="R146" s="33">
        <f>$J146*(1+$K146)^(2-1)*(1-$L146)*(1-$M146)</f>
        <v/>
      </c>
      <c r="S146" s="33">
        <f>$J146*(1+$K146)^(3-1)*(1-$L146)*(1-$M146)</f>
        <v/>
      </c>
      <c r="T146" s="33">
        <f>$J146*(1+$K146)^(4-1)*(1-$L146)*(1-$M146)</f>
        <v/>
      </c>
      <c r="U146" s="33">
        <f>$J146*(1+$K146)^(5-1)*(1-$L146)*(1-$M146)+$O146</f>
        <v/>
      </c>
      <c r="V146" s="33">
        <f>P146+NPV($N146,Q146:U146)</f>
        <v/>
      </c>
      <c r="W146" s="32">
        <f>IFERROR(IRR(P146:U146,0.1),"")</f>
        <v/>
      </c>
    </row>
    <row r="147">
      <c r="A147" s="14" t="n">
        <v>143</v>
      </c>
      <c r="B147" s="30">
        <f>RAND()*(1-2E-6)+1E-6</f>
        <v/>
      </c>
      <c r="C147" s="30">
        <f>RAND()*(1-2E-6)+1E-6</f>
        <v/>
      </c>
      <c r="D147" s="30">
        <f>RAND()*(1-2E-6)+1E-6</f>
        <v/>
      </c>
      <c r="E147" s="30">
        <f>RAND()*(1-2E-6)+1E-6</f>
        <v/>
      </c>
      <c r="F147" s="30">
        <f>RAND()*(1-2E-6)+1E-6</f>
        <v/>
      </c>
      <c r="G147" s="30">
        <f>RAND()*(1-2E-6)+1E-6</f>
        <v/>
      </c>
      <c r="H147" s="30">
        <f>RAND()*(1-2E-6)+1E-6</f>
        <v/>
      </c>
      <c r="I147" s="31">
        <f>MIN(IF(Supuestos!$H$5="",1E+99,Supuestos!$H$5),MAX(IF(Supuestos!$G$5="",-1E+99,Supuestos!$G$5),IF(Supuestos!$C$5="Normal",NORMINV(B147,Supuestos!$D$5,Supuestos!$E$5),IF(Supuestos!$C$5="Triangular",IF(B147&lt;(Supuestos!$E$5-Supuestos!$D$5)/(Supuestos!$F$5-Supuestos!$D$5),Supuestos!$D$5+SQRT(B147*(Supuestos!$F$5-Supuestos!$D$5)*(Supuestos!$E$5-Supuestos!$D$5)),Supuestos!$F$5-SQRT((1-B147)*(Supuestos!$F$5-Supuestos!$D$5)*(Supuestos!$F$5-Supuestos!$E$5))),IF(Supuestos!$C$5="Uniforme",Supuestos!$D$5+B147*(Supuestos!$E$5-Supuestos!$D$5),IF(Supuestos!$C$5="Lognormal",LOGINV(B147,LN(Supuestos!$D$5)-LN(1+Supuestos!$E$5^2/Supuestos!$D$5^2)/2,SQRT(LN(1+Supuestos!$E$5^2/Supuestos!$D$5^2))),Supuestos!$D$5))))))</f>
        <v/>
      </c>
      <c r="J147" s="31">
        <f>MIN(IF(Supuestos!$H$6="",1E+99,Supuestos!$H$6),MAX(IF(Supuestos!$G$6="",-1E+99,Supuestos!$G$6),IF(Supuestos!$C$6="Normal",NORMINV(C147,Supuestos!$D$6,Supuestos!$E$6),IF(Supuestos!$C$6="Triangular",IF(C147&lt;(Supuestos!$E$6-Supuestos!$D$6)/(Supuestos!$F$6-Supuestos!$D$6),Supuestos!$D$6+SQRT(C147*(Supuestos!$F$6-Supuestos!$D$6)*(Supuestos!$E$6-Supuestos!$D$6)),Supuestos!$F$6-SQRT((1-C147)*(Supuestos!$F$6-Supuestos!$D$6)*(Supuestos!$F$6-Supuestos!$E$6))),IF(Supuestos!$C$6="Uniforme",Supuestos!$D$6+C147*(Supuestos!$E$6-Supuestos!$D$6),IF(Supuestos!$C$6="Lognormal",LOGINV(C147,LN(Supuestos!$D$6)-LN(1+Supuestos!$E$6^2/Supuestos!$D$6^2)/2,SQRT(LN(1+Supuestos!$E$6^2/Supuestos!$D$6^2))),Supuestos!$D$6))))))</f>
        <v/>
      </c>
      <c r="K147" s="32">
        <f>MIN(IF(Supuestos!$H$7="",1E+99,Supuestos!$H$7),MAX(IF(Supuestos!$G$7="",-1E+99,Supuestos!$G$7),IF(Supuestos!$C$7="Normal",NORMINV(D147,Supuestos!$D$7,Supuestos!$E$7),IF(Supuestos!$C$7="Triangular",IF(D147&lt;(Supuestos!$E$7-Supuestos!$D$7)/(Supuestos!$F$7-Supuestos!$D$7),Supuestos!$D$7+SQRT(D147*(Supuestos!$F$7-Supuestos!$D$7)*(Supuestos!$E$7-Supuestos!$D$7)),Supuestos!$F$7-SQRT((1-D147)*(Supuestos!$F$7-Supuestos!$D$7)*(Supuestos!$F$7-Supuestos!$E$7))),IF(Supuestos!$C$7="Uniforme",Supuestos!$D$7+D147*(Supuestos!$E$7-Supuestos!$D$7),IF(Supuestos!$C$7="Lognormal",LOGINV(D147,LN(Supuestos!$D$7)-LN(1+Supuestos!$E$7^2/Supuestos!$D$7^2)/2,SQRT(LN(1+Supuestos!$E$7^2/Supuestos!$D$7^2))),Supuestos!$D$7))))))</f>
        <v/>
      </c>
      <c r="L147" s="32">
        <f>MIN(IF(Supuestos!$H$8="",1E+99,Supuestos!$H$8),MAX(IF(Supuestos!$G$8="",-1E+99,Supuestos!$G$8),IF(Supuestos!$C$8="Normal",NORMINV(E147,Supuestos!$D$8,Supuestos!$E$8),IF(Supuestos!$C$8="Triangular",IF(E147&lt;(Supuestos!$E$8-Supuestos!$D$8)/(Supuestos!$F$8-Supuestos!$D$8),Supuestos!$D$8+SQRT(E147*(Supuestos!$F$8-Supuestos!$D$8)*(Supuestos!$E$8-Supuestos!$D$8)),Supuestos!$F$8-SQRT((1-E147)*(Supuestos!$F$8-Supuestos!$D$8)*(Supuestos!$F$8-Supuestos!$E$8))),IF(Supuestos!$C$8="Uniforme",Supuestos!$D$8+E147*(Supuestos!$E$8-Supuestos!$D$8),IF(Supuestos!$C$8="Lognormal",LOGINV(E147,LN(Supuestos!$D$8)-LN(1+Supuestos!$E$8^2/Supuestos!$D$8^2)/2,SQRT(LN(1+Supuestos!$E$8^2/Supuestos!$D$8^2))),Supuestos!$D$8))))))</f>
        <v/>
      </c>
      <c r="M147" s="32">
        <f>MIN(IF(Supuestos!$H$9="",1E+99,Supuestos!$H$9),MAX(IF(Supuestos!$G$9="",-1E+99,Supuestos!$G$9),IF(Supuestos!$C$9="Normal",NORMINV(F147,Supuestos!$D$9,Supuestos!$E$9),IF(Supuestos!$C$9="Triangular",IF(F147&lt;(Supuestos!$E$9-Supuestos!$D$9)/(Supuestos!$F$9-Supuestos!$D$9),Supuestos!$D$9+SQRT(F147*(Supuestos!$F$9-Supuestos!$D$9)*(Supuestos!$E$9-Supuestos!$D$9)),Supuestos!$F$9-SQRT((1-F147)*(Supuestos!$F$9-Supuestos!$D$9)*(Supuestos!$F$9-Supuestos!$E$9))),IF(Supuestos!$C$9="Uniforme",Supuestos!$D$9+F147*(Supuestos!$E$9-Supuestos!$D$9),IF(Supuestos!$C$9="Lognormal",LOGINV(F147,LN(Supuestos!$D$9)-LN(1+Supuestos!$E$9^2/Supuestos!$D$9^2)/2,SQRT(LN(1+Supuestos!$E$9^2/Supuestos!$D$9^2))),Supuestos!$D$9))))))</f>
        <v/>
      </c>
      <c r="N147" s="32">
        <f>MIN(IF(Supuestos!$H$10="",1E+99,Supuestos!$H$10),MAX(IF(Supuestos!$G$10="",-1E+99,Supuestos!$G$10),IF(Supuestos!$C$10="Normal",NORMINV(G147,Supuestos!$D$10,Supuestos!$E$10),IF(Supuestos!$C$10="Triangular",IF(G147&lt;(Supuestos!$E$10-Supuestos!$D$10)/(Supuestos!$F$10-Supuestos!$D$10),Supuestos!$D$10+SQRT(G147*(Supuestos!$F$10-Supuestos!$D$10)*(Supuestos!$E$10-Supuestos!$D$10)),Supuestos!$F$10-SQRT((1-G147)*(Supuestos!$F$10-Supuestos!$D$10)*(Supuestos!$F$10-Supuestos!$E$10))),IF(Supuestos!$C$10="Uniforme",Supuestos!$D$10+G147*(Supuestos!$E$10-Supuestos!$D$10),IF(Supuestos!$C$10="Lognormal",LOGINV(G147,LN(Supuestos!$D$10)-LN(1+Supuestos!$E$10^2/Supuestos!$D$10^2)/2,SQRT(LN(1+Supuestos!$E$10^2/Supuestos!$D$10^2))),Supuestos!$D$10))))))</f>
        <v/>
      </c>
      <c r="O147" s="31">
        <f>MIN(IF(Supuestos!$H$11="",1E+99,Supuestos!$H$11),MAX(IF(Supuestos!$G$11="",-1E+99,Supuestos!$G$11),IF(Supuestos!$C$11="Normal",NORMINV(H147,Supuestos!$D$11,Supuestos!$E$11),IF(Supuestos!$C$11="Triangular",IF(H147&lt;(Supuestos!$E$11-Supuestos!$D$11)/(Supuestos!$F$11-Supuestos!$D$11),Supuestos!$D$11+SQRT(H147*(Supuestos!$F$11-Supuestos!$D$11)*(Supuestos!$E$11-Supuestos!$D$11)),Supuestos!$F$11-SQRT((1-H147)*(Supuestos!$F$11-Supuestos!$D$11)*(Supuestos!$F$11-Supuestos!$E$11))),IF(Supuestos!$C$11="Uniforme",Supuestos!$D$11+H147*(Supuestos!$E$11-Supuestos!$D$11),IF(Supuestos!$C$11="Lognormal",LOGINV(H147,LN(Supuestos!$D$11)-LN(1+Supuestos!$E$11^2/Supuestos!$D$11^2)/2,SQRT(LN(1+Supuestos!$E$11^2/Supuestos!$D$11^2))),Supuestos!$D$11))))))</f>
        <v/>
      </c>
      <c r="P147" s="33">
        <f>-I147</f>
        <v/>
      </c>
      <c r="Q147" s="33">
        <f>$J147*(1+$K147)^(1-1)*(1-$L147)*(1-$M147)</f>
        <v/>
      </c>
      <c r="R147" s="33">
        <f>$J147*(1+$K147)^(2-1)*(1-$L147)*(1-$M147)</f>
        <v/>
      </c>
      <c r="S147" s="33">
        <f>$J147*(1+$K147)^(3-1)*(1-$L147)*(1-$M147)</f>
        <v/>
      </c>
      <c r="T147" s="33">
        <f>$J147*(1+$K147)^(4-1)*(1-$L147)*(1-$M147)</f>
        <v/>
      </c>
      <c r="U147" s="33">
        <f>$J147*(1+$K147)^(5-1)*(1-$L147)*(1-$M147)+$O147</f>
        <v/>
      </c>
      <c r="V147" s="33">
        <f>P147+NPV($N147,Q147:U147)</f>
        <v/>
      </c>
      <c r="W147" s="32">
        <f>IFERROR(IRR(P147:U147,0.1),"")</f>
        <v/>
      </c>
    </row>
    <row r="148">
      <c r="A148" s="14" t="n">
        <v>144</v>
      </c>
      <c r="B148" s="30">
        <f>RAND()*(1-2E-6)+1E-6</f>
        <v/>
      </c>
      <c r="C148" s="30">
        <f>RAND()*(1-2E-6)+1E-6</f>
        <v/>
      </c>
      <c r="D148" s="30">
        <f>RAND()*(1-2E-6)+1E-6</f>
        <v/>
      </c>
      <c r="E148" s="30">
        <f>RAND()*(1-2E-6)+1E-6</f>
        <v/>
      </c>
      <c r="F148" s="30">
        <f>RAND()*(1-2E-6)+1E-6</f>
        <v/>
      </c>
      <c r="G148" s="30">
        <f>RAND()*(1-2E-6)+1E-6</f>
        <v/>
      </c>
      <c r="H148" s="30">
        <f>RAND()*(1-2E-6)+1E-6</f>
        <v/>
      </c>
      <c r="I148" s="31">
        <f>MIN(IF(Supuestos!$H$5="",1E+99,Supuestos!$H$5),MAX(IF(Supuestos!$G$5="",-1E+99,Supuestos!$G$5),IF(Supuestos!$C$5="Normal",NORMINV(B148,Supuestos!$D$5,Supuestos!$E$5),IF(Supuestos!$C$5="Triangular",IF(B148&lt;(Supuestos!$E$5-Supuestos!$D$5)/(Supuestos!$F$5-Supuestos!$D$5),Supuestos!$D$5+SQRT(B148*(Supuestos!$F$5-Supuestos!$D$5)*(Supuestos!$E$5-Supuestos!$D$5)),Supuestos!$F$5-SQRT((1-B148)*(Supuestos!$F$5-Supuestos!$D$5)*(Supuestos!$F$5-Supuestos!$E$5))),IF(Supuestos!$C$5="Uniforme",Supuestos!$D$5+B148*(Supuestos!$E$5-Supuestos!$D$5),IF(Supuestos!$C$5="Lognormal",LOGINV(B148,LN(Supuestos!$D$5)-LN(1+Supuestos!$E$5^2/Supuestos!$D$5^2)/2,SQRT(LN(1+Supuestos!$E$5^2/Supuestos!$D$5^2))),Supuestos!$D$5))))))</f>
        <v/>
      </c>
      <c r="J148" s="31">
        <f>MIN(IF(Supuestos!$H$6="",1E+99,Supuestos!$H$6),MAX(IF(Supuestos!$G$6="",-1E+99,Supuestos!$G$6),IF(Supuestos!$C$6="Normal",NORMINV(C148,Supuestos!$D$6,Supuestos!$E$6),IF(Supuestos!$C$6="Triangular",IF(C148&lt;(Supuestos!$E$6-Supuestos!$D$6)/(Supuestos!$F$6-Supuestos!$D$6),Supuestos!$D$6+SQRT(C148*(Supuestos!$F$6-Supuestos!$D$6)*(Supuestos!$E$6-Supuestos!$D$6)),Supuestos!$F$6-SQRT((1-C148)*(Supuestos!$F$6-Supuestos!$D$6)*(Supuestos!$F$6-Supuestos!$E$6))),IF(Supuestos!$C$6="Uniforme",Supuestos!$D$6+C148*(Supuestos!$E$6-Supuestos!$D$6),IF(Supuestos!$C$6="Lognormal",LOGINV(C148,LN(Supuestos!$D$6)-LN(1+Supuestos!$E$6^2/Supuestos!$D$6^2)/2,SQRT(LN(1+Supuestos!$E$6^2/Supuestos!$D$6^2))),Supuestos!$D$6))))))</f>
        <v/>
      </c>
      <c r="K148" s="32">
        <f>MIN(IF(Supuestos!$H$7="",1E+99,Supuestos!$H$7),MAX(IF(Supuestos!$G$7="",-1E+99,Supuestos!$G$7),IF(Supuestos!$C$7="Normal",NORMINV(D148,Supuestos!$D$7,Supuestos!$E$7),IF(Supuestos!$C$7="Triangular",IF(D148&lt;(Supuestos!$E$7-Supuestos!$D$7)/(Supuestos!$F$7-Supuestos!$D$7),Supuestos!$D$7+SQRT(D148*(Supuestos!$F$7-Supuestos!$D$7)*(Supuestos!$E$7-Supuestos!$D$7)),Supuestos!$F$7-SQRT((1-D148)*(Supuestos!$F$7-Supuestos!$D$7)*(Supuestos!$F$7-Supuestos!$E$7))),IF(Supuestos!$C$7="Uniforme",Supuestos!$D$7+D148*(Supuestos!$E$7-Supuestos!$D$7),IF(Supuestos!$C$7="Lognormal",LOGINV(D148,LN(Supuestos!$D$7)-LN(1+Supuestos!$E$7^2/Supuestos!$D$7^2)/2,SQRT(LN(1+Supuestos!$E$7^2/Supuestos!$D$7^2))),Supuestos!$D$7))))))</f>
        <v/>
      </c>
      <c r="L148" s="32">
        <f>MIN(IF(Supuestos!$H$8="",1E+99,Supuestos!$H$8),MAX(IF(Supuestos!$G$8="",-1E+99,Supuestos!$G$8),IF(Supuestos!$C$8="Normal",NORMINV(E148,Supuestos!$D$8,Supuestos!$E$8),IF(Supuestos!$C$8="Triangular",IF(E148&lt;(Supuestos!$E$8-Supuestos!$D$8)/(Supuestos!$F$8-Supuestos!$D$8),Supuestos!$D$8+SQRT(E148*(Supuestos!$F$8-Supuestos!$D$8)*(Supuestos!$E$8-Supuestos!$D$8)),Supuestos!$F$8-SQRT((1-E148)*(Supuestos!$F$8-Supuestos!$D$8)*(Supuestos!$F$8-Supuestos!$E$8))),IF(Supuestos!$C$8="Uniforme",Supuestos!$D$8+E148*(Supuestos!$E$8-Supuestos!$D$8),IF(Supuestos!$C$8="Lognormal",LOGINV(E148,LN(Supuestos!$D$8)-LN(1+Supuestos!$E$8^2/Supuestos!$D$8^2)/2,SQRT(LN(1+Supuestos!$E$8^2/Supuestos!$D$8^2))),Supuestos!$D$8))))))</f>
        <v/>
      </c>
      <c r="M148" s="32">
        <f>MIN(IF(Supuestos!$H$9="",1E+99,Supuestos!$H$9),MAX(IF(Supuestos!$G$9="",-1E+99,Supuestos!$G$9),IF(Supuestos!$C$9="Normal",NORMINV(F148,Supuestos!$D$9,Supuestos!$E$9),IF(Supuestos!$C$9="Triangular",IF(F148&lt;(Supuestos!$E$9-Supuestos!$D$9)/(Supuestos!$F$9-Supuestos!$D$9),Supuestos!$D$9+SQRT(F148*(Supuestos!$F$9-Supuestos!$D$9)*(Supuestos!$E$9-Supuestos!$D$9)),Supuestos!$F$9-SQRT((1-F148)*(Supuestos!$F$9-Supuestos!$D$9)*(Supuestos!$F$9-Supuestos!$E$9))),IF(Supuestos!$C$9="Uniforme",Supuestos!$D$9+F148*(Supuestos!$E$9-Supuestos!$D$9),IF(Supuestos!$C$9="Lognormal",LOGINV(F148,LN(Supuestos!$D$9)-LN(1+Supuestos!$E$9^2/Supuestos!$D$9^2)/2,SQRT(LN(1+Supuestos!$E$9^2/Supuestos!$D$9^2))),Supuestos!$D$9))))))</f>
        <v/>
      </c>
      <c r="N148" s="32">
        <f>MIN(IF(Supuestos!$H$10="",1E+99,Supuestos!$H$10),MAX(IF(Supuestos!$G$10="",-1E+99,Supuestos!$G$10),IF(Supuestos!$C$10="Normal",NORMINV(G148,Supuestos!$D$10,Supuestos!$E$10),IF(Supuestos!$C$10="Triangular",IF(G148&lt;(Supuestos!$E$10-Supuestos!$D$10)/(Supuestos!$F$10-Supuestos!$D$10),Supuestos!$D$10+SQRT(G148*(Supuestos!$F$10-Supuestos!$D$10)*(Supuestos!$E$10-Supuestos!$D$10)),Supuestos!$F$10-SQRT((1-G148)*(Supuestos!$F$10-Supuestos!$D$10)*(Supuestos!$F$10-Supuestos!$E$10))),IF(Supuestos!$C$10="Uniforme",Supuestos!$D$10+G148*(Supuestos!$E$10-Supuestos!$D$10),IF(Supuestos!$C$10="Lognormal",LOGINV(G148,LN(Supuestos!$D$10)-LN(1+Supuestos!$E$10^2/Supuestos!$D$10^2)/2,SQRT(LN(1+Supuestos!$E$10^2/Supuestos!$D$10^2))),Supuestos!$D$10))))))</f>
        <v/>
      </c>
      <c r="O148" s="31">
        <f>MIN(IF(Supuestos!$H$11="",1E+99,Supuestos!$H$11),MAX(IF(Supuestos!$G$11="",-1E+99,Supuestos!$G$11),IF(Supuestos!$C$11="Normal",NORMINV(H148,Supuestos!$D$11,Supuestos!$E$11),IF(Supuestos!$C$11="Triangular",IF(H148&lt;(Supuestos!$E$11-Supuestos!$D$11)/(Supuestos!$F$11-Supuestos!$D$11),Supuestos!$D$11+SQRT(H148*(Supuestos!$F$11-Supuestos!$D$11)*(Supuestos!$E$11-Supuestos!$D$11)),Supuestos!$F$11-SQRT((1-H148)*(Supuestos!$F$11-Supuestos!$D$11)*(Supuestos!$F$11-Supuestos!$E$11))),IF(Supuestos!$C$11="Uniforme",Supuestos!$D$11+H148*(Supuestos!$E$11-Supuestos!$D$11),IF(Supuestos!$C$11="Lognormal",LOGINV(H148,LN(Supuestos!$D$11)-LN(1+Supuestos!$E$11^2/Supuestos!$D$11^2)/2,SQRT(LN(1+Supuestos!$E$11^2/Supuestos!$D$11^2))),Supuestos!$D$11))))))</f>
        <v/>
      </c>
      <c r="P148" s="33">
        <f>-I148</f>
        <v/>
      </c>
      <c r="Q148" s="33">
        <f>$J148*(1+$K148)^(1-1)*(1-$L148)*(1-$M148)</f>
        <v/>
      </c>
      <c r="R148" s="33">
        <f>$J148*(1+$K148)^(2-1)*(1-$L148)*(1-$M148)</f>
        <v/>
      </c>
      <c r="S148" s="33">
        <f>$J148*(1+$K148)^(3-1)*(1-$L148)*(1-$M148)</f>
        <v/>
      </c>
      <c r="T148" s="33">
        <f>$J148*(1+$K148)^(4-1)*(1-$L148)*(1-$M148)</f>
        <v/>
      </c>
      <c r="U148" s="33">
        <f>$J148*(1+$K148)^(5-1)*(1-$L148)*(1-$M148)+$O148</f>
        <v/>
      </c>
      <c r="V148" s="33">
        <f>P148+NPV($N148,Q148:U148)</f>
        <v/>
      </c>
      <c r="W148" s="32">
        <f>IFERROR(IRR(P148:U148,0.1),"")</f>
        <v/>
      </c>
    </row>
    <row r="149">
      <c r="A149" s="14" t="n">
        <v>145</v>
      </c>
      <c r="B149" s="30">
        <f>RAND()*(1-2E-6)+1E-6</f>
        <v/>
      </c>
      <c r="C149" s="30">
        <f>RAND()*(1-2E-6)+1E-6</f>
        <v/>
      </c>
      <c r="D149" s="30">
        <f>RAND()*(1-2E-6)+1E-6</f>
        <v/>
      </c>
      <c r="E149" s="30">
        <f>RAND()*(1-2E-6)+1E-6</f>
        <v/>
      </c>
      <c r="F149" s="30">
        <f>RAND()*(1-2E-6)+1E-6</f>
        <v/>
      </c>
      <c r="G149" s="30">
        <f>RAND()*(1-2E-6)+1E-6</f>
        <v/>
      </c>
      <c r="H149" s="30">
        <f>RAND()*(1-2E-6)+1E-6</f>
        <v/>
      </c>
      <c r="I149" s="31">
        <f>MIN(IF(Supuestos!$H$5="",1E+99,Supuestos!$H$5),MAX(IF(Supuestos!$G$5="",-1E+99,Supuestos!$G$5),IF(Supuestos!$C$5="Normal",NORMINV(B149,Supuestos!$D$5,Supuestos!$E$5),IF(Supuestos!$C$5="Triangular",IF(B149&lt;(Supuestos!$E$5-Supuestos!$D$5)/(Supuestos!$F$5-Supuestos!$D$5),Supuestos!$D$5+SQRT(B149*(Supuestos!$F$5-Supuestos!$D$5)*(Supuestos!$E$5-Supuestos!$D$5)),Supuestos!$F$5-SQRT((1-B149)*(Supuestos!$F$5-Supuestos!$D$5)*(Supuestos!$F$5-Supuestos!$E$5))),IF(Supuestos!$C$5="Uniforme",Supuestos!$D$5+B149*(Supuestos!$E$5-Supuestos!$D$5),IF(Supuestos!$C$5="Lognormal",LOGINV(B149,LN(Supuestos!$D$5)-LN(1+Supuestos!$E$5^2/Supuestos!$D$5^2)/2,SQRT(LN(1+Supuestos!$E$5^2/Supuestos!$D$5^2))),Supuestos!$D$5))))))</f>
        <v/>
      </c>
      <c r="J149" s="31">
        <f>MIN(IF(Supuestos!$H$6="",1E+99,Supuestos!$H$6),MAX(IF(Supuestos!$G$6="",-1E+99,Supuestos!$G$6),IF(Supuestos!$C$6="Normal",NORMINV(C149,Supuestos!$D$6,Supuestos!$E$6),IF(Supuestos!$C$6="Triangular",IF(C149&lt;(Supuestos!$E$6-Supuestos!$D$6)/(Supuestos!$F$6-Supuestos!$D$6),Supuestos!$D$6+SQRT(C149*(Supuestos!$F$6-Supuestos!$D$6)*(Supuestos!$E$6-Supuestos!$D$6)),Supuestos!$F$6-SQRT((1-C149)*(Supuestos!$F$6-Supuestos!$D$6)*(Supuestos!$F$6-Supuestos!$E$6))),IF(Supuestos!$C$6="Uniforme",Supuestos!$D$6+C149*(Supuestos!$E$6-Supuestos!$D$6),IF(Supuestos!$C$6="Lognormal",LOGINV(C149,LN(Supuestos!$D$6)-LN(1+Supuestos!$E$6^2/Supuestos!$D$6^2)/2,SQRT(LN(1+Supuestos!$E$6^2/Supuestos!$D$6^2))),Supuestos!$D$6))))))</f>
        <v/>
      </c>
      <c r="K149" s="32">
        <f>MIN(IF(Supuestos!$H$7="",1E+99,Supuestos!$H$7),MAX(IF(Supuestos!$G$7="",-1E+99,Supuestos!$G$7),IF(Supuestos!$C$7="Normal",NORMINV(D149,Supuestos!$D$7,Supuestos!$E$7),IF(Supuestos!$C$7="Triangular",IF(D149&lt;(Supuestos!$E$7-Supuestos!$D$7)/(Supuestos!$F$7-Supuestos!$D$7),Supuestos!$D$7+SQRT(D149*(Supuestos!$F$7-Supuestos!$D$7)*(Supuestos!$E$7-Supuestos!$D$7)),Supuestos!$F$7-SQRT((1-D149)*(Supuestos!$F$7-Supuestos!$D$7)*(Supuestos!$F$7-Supuestos!$E$7))),IF(Supuestos!$C$7="Uniforme",Supuestos!$D$7+D149*(Supuestos!$E$7-Supuestos!$D$7),IF(Supuestos!$C$7="Lognormal",LOGINV(D149,LN(Supuestos!$D$7)-LN(1+Supuestos!$E$7^2/Supuestos!$D$7^2)/2,SQRT(LN(1+Supuestos!$E$7^2/Supuestos!$D$7^2))),Supuestos!$D$7))))))</f>
        <v/>
      </c>
      <c r="L149" s="32">
        <f>MIN(IF(Supuestos!$H$8="",1E+99,Supuestos!$H$8),MAX(IF(Supuestos!$G$8="",-1E+99,Supuestos!$G$8),IF(Supuestos!$C$8="Normal",NORMINV(E149,Supuestos!$D$8,Supuestos!$E$8),IF(Supuestos!$C$8="Triangular",IF(E149&lt;(Supuestos!$E$8-Supuestos!$D$8)/(Supuestos!$F$8-Supuestos!$D$8),Supuestos!$D$8+SQRT(E149*(Supuestos!$F$8-Supuestos!$D$8)*(Supuestos!$E$8-Supuestos!$D$8)),Supuestos!$F$8-SQRT((1-E149)*(Supuestos!$F$8-Supuestos!$D$8)*(Supuestos!$F$8-Supuestos!$E$8))),IF(Supuestos!$C$8="Uniforme",Supuestos!$D$8+E149*(Supuestos!$E$8-Supuestos!$D$8),IF(Supuestos!$C$8="Lognormal",LOGINV(E149,LN(Supuestos!$D$8)-LN(1+Supuestos!$E$8^2/Supuestos!$D$8^2)/2,SQRT(LN(1+Supuestos!$E$8^2/Supuestos!$D$8^2))),Supuestos!$D$8))))))</f>
        <v/>
      </c>
      <c r="M149" s="32">
        <f>MIN(IF(Supuestos!$H$9="",1E+99,Supuestos!$H$9),MAX(IF(Supuestos!$G$9="",-1E+99,Supuestos!$G$9),IF(Supuestos!$C$9="Normal",NORMINV(F149,Supuestos!$D$9,Supuestos!$E$9),IF(Supuestos!$C$9="Triangular",IF(F149&lt;(Supuestos!$E$9-Supuestos!$D$9)/(Supuestos!$F$9-Supuestos!$D$9),Supuestos!$D$9+SQRT(F149*(Supuestos!$F$9-Supuestos!$D$9)*(Supuestos!$E$9-Supuestos!$D$9)),Supuestos!$F$9-SQRT((1-F149)*(Supuestos!$F$9-Supuestos!$D$9)*(Supuestos!$F$9-Supuestos!$E$9))),IF(Supuestos!$C$9="Uniforme",Supuestos!$D$9+F149*(Supuestos!$E$9-Supuestos!$D$9),IF(Supuestos!$C$9="Lognormal",LOGINV(F149,LN(Supuestos!$D$9)-LN(1+Supuestos!$E$9^2/Supuestos!$D$9^2)/2,SQRT(LN(1+Supuestos!$E$9^2/Supuestos!$D$9^2))),Supuestos!$D$9))))))</f>
        <v/>
      </c>
      <c r="N149" s="32">
        <f>MIN(IF(Supuestos!$H$10="",1E+99,Supuestos!$H$10),MAX(IF(Supuestos!$G$10="",-1E+99,Supuestos!$G$10),IF(Supuestos!$C$10="Normal",NORMINV(G149,Supuestos!$D$10,Supuestos!$E$10),IF(Supuestos!$C$10="Triangular",IF(G149&lt;(Supuestos!$E$10-Supuestos!$D$10)/(Supuestos!$F$10-Supuestos!$D$10),Supuestos!$D$10+SQRT(G149*(Supuestos!$F$10-Supuestos!$D$10)*(Supuestos!$E$10-Supuestos!$D$10)),Supuestos!$F$10-SQRT((1-G149)*(Supuestos!$F$10-Supuestos!$D$10)*(Supuestos!$F$10-Supuestos!$E$10))),IF(Supuestos!$C$10="Uniforme",Supuestos!$D$10+G149*(Supuestos!$E$10-Supuestos!$D$10),IF(Supuestos!$C$10="Lognormal",LOGINV(G149,LN(Supuestos!$D$10)-LN(1+Supuestos!$E$10^2/Supuestos!$D$10^2)/2,SQRT(LN(1+Supuestos!$E$10^2/Supuestos!$D$10^2))),Supuestos!$D$10))))))</f>
        <v/>
      </c>
      <c r="O149" s="31">
        <f>MIN(IF(Supuestos!$H$11="",1E+99,Supuestos!$H$11),MAX(IF(Supuestos!$G$11="",-1E+99,Supuestos!$G$11),IF(Supuestos!$C$11="Normal",NORMINV(H149,Supuestos!$D$11,Supuestos!$E$11),IF(Supuestos!$C$11="Triangular",IF(H149&lt;(Supuestos!$E$11-Supuestos!$D$11)/(Supuestos!$F$11-Supuestos!$D$11),Supuestos!$D$11+SQRT(H149*(Supuestos!$F$11-Supuestos!$D$11)*(Supuestos!$E$11-Supuestos!$D$11)),Supuestos!$F$11-SQRT((1-H149)*(Supuestos!$F$11-Supuestos!$D$11)*(Supuestos!$F$11-Supuestos!$E$11))),IF(Supuestos!$C$11="Uniforme",Supuestos!$D$11+H149*(Supuestos!$E$11-Supuestos!$D$11),IF(Supuestos!$C$11="Lognormal",LOGINV(H149,LN(Supuestos!$D$11)-LN(1+Supuestos!$E$11^2/Supuestos!$D$11^2)/2,SQRT(LN(1+Supuestos!$E$11^2/Supuestos!$D$11^2))),Supuestos!$D$11))))))</f>
        <v/>
      </c>
      <c r="P149" s="33">
        <f>-I149</f>
        <v/>
      </c>
      <c r="Q149" s="33">
        <f>$J149*(1+$K149)^(1-1)*(1-$L149)*(1-$M149)</f>
        <v/>
      </c>
      <c r="R149" s="33">
        <f>$J149*(1+$K149)^(2-1)*(1-$L149)*(1-$M149)</f>
        <v/>
      </c>
      <c r="S149" s="33">
        <f>$J149*(1+$K149)^(3-1)*(1-$L149)*(1-$M149)</f>
        <v/>
      </c>
      <c r="T149" s="33">
        <f>$J149*(1+$K149)^(4-1)*(1-$L149)*(1-$M149)</f>
        <v/>
      </c>
      <c r="U149" s="33">
        <f>$J149*(1+$K149)^(5-1)*(1-$L149)*(1-$M149)+$O149</f>
        <v/>
      </c>
      <c r="V149" s="33">
        <f>P149+NPV($N149,Q149:U149)</f>
        <v/>
      </c>
      <c r="W149" s="32">
        <f>IFERROR(IRR(P149:U149,0.1),"")</f>
        <v/>
      </c>
    </row>
    <row r="150">
      <c r="A150" s="14" t="n">
        <v>146</v>
      </c>
      <c r="B150" s="30">
        <f>RAND()*(1-2E-6)+1E-6</f>
        <v/>
      </c>
      <c r="C150" s="30">
        <f>RAND()*(1-2E-6)+1E-6</f>
        <v/>
      </c>
      <c r="D150" s="30">
        <f>RAND()*(1-2E-6)+1E-6</f>
        <v/>
      </c>
      <c r="E150" s="30">
        <f>RAND()*(1-2E-6)+1E-6</f>
        <v/>
      </c>
      <c r="F150" s="30">
        <f>RAND()*(1-2E-6)+1E-6</f>
        <v/>
      </c>
      <c r="G150" s="30">
        <f>RAND()*(1-2E-6)+1E-6</f>
        <v/>
      </c>
      <c r="H150" s="30">
        <f>RAND()*(1-2E-6)+1E-6</f>
        <v/>
      </c>
      <c r="I150" s="31">
        <f>MIN(IF(Supuestos!$H$5="",1E+99,Supuestos!$H$5),MAX(IF(Supuestos!$G$5="",-1E+99,Supuestos!$G$5),IF(Supuestos!$C$5="Normal",NORMINV(B150,Supuestos!$D$5,Supuestos!$E$5),IF(Supuestos!$C$5="Triangular",IF(B150&lt;(Supuestos!$E$5-Supuestos!$D$5)/(Supuestos!$F$5-Supuestos!$D$5),Supuestos!$D$5+SQRT(B150*(Supuestos!$F$5-Supuestos!$D$5)*(Supuestos!$E$5-Supuestos!$D$5)),Supuestos!$F$5-SQRT((1-B150)*(Supuestos!$F$5-Supuestos!$D$5)*(Supuestos!$F$5-Supuestos!$E$5))),IF(Supuestos!$C$5="Uniforme",Supuestos!$D$5+B150*(Supuestos!$E$5-Supuestos!$D$5),IF(Supuestos!$C$5="Lognormal",LOGINV(B150,LN(Supuestos!$D$5)-LN(1+Supuestos!$E$5^2/Supuestos!$D$5^2)/2,SQRT(LN(1+Supuestos!$E$5^2/Supuestos!$D$5^2))),Supuestos!$D$5))))))</f>
        <v/>
      </c>
      <c r="J150" s="31">
        <f>MIN(IF(Supuestos!$H$6="",1E+99,Supuestos!$H$6),MAX(IF(Supuestos!$G$6="",-1E+99,Supuestos!$G$6),IF(Supuestos!$C$6="Normal",NORMINV(C150,Supuestos!$D$6,Supuestos!$E$6),IF(Supuestos!$C$6="Triangular",IF(C150&lt;(Supuestos!$E$6-Supuestos!$D$6)/(Supuestos!$F$6-Supuestos!$D$6),Supuestos!$D$6+SQRT(C150*(Supuestos!$F$6-Supuestos!$D$6)*(Supuestos!$E$6-Supuestos!$D$6)),Supuestos!$F$6-SQRT((1-C150)*(Supuestos!$F$6-Supuestos!$D$6)*(Supuestos!$F$6-Supuestos!$E$6))),IF(Supuestos!$C$6="Uniforme",Supuestos!$D$6+C150*(Supuestos!$E$6-Supuestos!$D$6),IF(Supuestos!$C$6="Lognormal",LOGINV(C150,LN(Supuestos!$D$6)-LN(1+Supuestos!$E$6^2/Supuestos!$D$6^2)/2,SQRT(LN(1+Supuestos!$E$6^2/Supuestos!$D$6^2))),Supuestos!$D$6))))))</f>
        <v/>
      </c>
      <c r="K150" s="32">
        <f>MIN(IF(Supuestos!$H$7="",1E+99,Supuestos!$H$7),MAX(IF(Supuestos!$G$7="",-1E+99,Supuestos!$G$7),IF(Supuestos!$C$7="Normal",NORMINV(D150,Supuestos!$D$7,Supuestos!$E$7),IF(Supuestos!$C$7="Triangular",IF(D150&lt;(Supuestos!$E$7-Supuestos!$D$7)/(Supuestos!$F$7-Supuestos!$D$7),Supuestos!$D$7+SQRT(D150*(Supuestos!$F$7-Supuestos!$D$7)*(Supuestos!$E$7-Supuestos!$D$7)),Supuestos!$F$7-SQRT((1-D150)*(Supuestos!$F$7-Supuestos!$D$7)*(Supuestos!$F$7-Supuestos!$E$7))),IF(Supuestos!$C$7="Uniforme",Supuestos!$D$7+D150*(Supuestos!$E$7-Supuestos!$D$7),IF(Supuestos!$C$7="Lognormal",LOGINV(D150,LN(Supuestos!$D$7)-LN(1+Supuestos!$E$7^2/Supuestos!$D$7^2)/2,SQRT(LN(1+Supuestos!$E$7^2/Supuestos!$D$7^2))),Supuestos!$D$7))))))</f>
        <v/>
      </c>
      <c r="L150" s="32">
        <f>MIN(IF(Supuestos!$H$8="",1E+99,Supuestos!$H$8),MAX(IF(Supuestos!$G$8="",-1E+99,Supuestos!$G$8),IF(Supuestos!$C$8="Normal",NORMINV(E150,Supuestos!$D$8,Supuestos!$E$8),IF(Supuestos!$C$8="Triangular",IF(E150&lt;(Supuestos!$E$8-Supuestos!$D$8)/(Supuestos!$F$8-Supuestos!$D$8),Supuestos!$D$8+SQRT(E150*(Supuestos!$F$8-Supuestos!$D$8)*(Supuestos!$E$8-Supuestos!$D$8)),Supuestos!$F$8-SQRT((1-E150)*(Supuestos!$F$8-Supuestos!$D$8)*(Supuestos!$F$8-Supuestos!$E$8))),IF(Supuestos!$C$8="Uniforme",Supuestos!$D$8+E150*(Supuestos!$E$8-Supuestos!$D$8),IF(Supuestos!$C$8="Lognormal",LOGINV(E150,LN(Supuestos!$D$8)-LN(1+Supuestos!$E$8^2/Supuestos!$D$8^2)/2,SQRT(LN(1+Supuestos!$E$8^2/Supuestos!$D$8^2))),Supuestos!$D$8))))))</f>
        <v/>
      </c>
      <c r="M150" s="32">
        <f>MIN(IF(Supuestos!$H$9="",1E+99,Supuestos!$H$9),MAX(IF(Supuestos!$G$9="",-1E+99,Supuestos!$G$9),IF(Supuestos!$C$9="Normal",NORMINV(F150,Supuestos!$D$9,Supuestos!$E$9),IF(Supuestos!$C$9="Triangular",IF(F150&lt;(Supuestos!$E$9-Supuestos!$D$9)/(Supuestos!$F$9-Supuestos!$D$9),Supuestos!$D$9+SQRT(F150*(Supuestos!$F$9-Supuestos!$D$9)*(Supuestos!$E$9-Supuestos!$D$9)),Supuestos!$F$9-SQRT((1-F150)*(Supuestos!$F$9-Supuestos!$D$9)*(Supuestos!$F$9-Supuestos!$E$9))),IF(Supuestos!$C$9="Uniforme",Supuestos!$D$9+F150*(Supuestos!$E$9-Supuestos!$D$9),IF(Supuestos!$C$9="Lognormal",LOGINV(F150,LN(Supuestos!$D$9)-LN(1+Supuestos!$E$9^2/Supuestos!$D$9^2)/2,SQRT(LN(1+Supuestos!$E$9^2/Supuestos!$D$9^2))),Supuestos!$D$9))))))</f>
        <v/>
      </c>
      <c r="N150" s="32">
        <f>MIN(IF(Supuestos!$H$10="",1E+99,Supuestos!$H$10),MAX(IF(Supuestos!$G$10="",-1E+99,Supuestos!$G$10),IF(Supuestos!$C$10="Normal",NORMINV(G150,Supuestos!$D$10,Supuestos!$E$10),IF(Supuestos!$C$10="Triangular",IF(G150&lt;(Supuestos!$E$10-Supuestos!$D$10)/(Supuestos!$F$10-Supuestos!$D$10),Supuestos!$D$10+SQRT(G150*(Supuestos!$F$10-Supuestos!$D$10)*(Supuestos!$E$10-Supuestos!$D$10)),Supuestos!$F$10-SQRT((1-G150)*(Supuestos!$F$10-Supuestos!$D$10)*(Supuestos!$F$10-Supuestos!$E$10))),IF(Supuestos!$C$10="Uniforme",Supuestos!$D$10+G150*(Supuestos!$E$10-Supuestos!$D$10),IF(Supuestos!$C$10="Lognormal",LOGINV(G150,LN(Supuestos!$D$10)-LN(1+Supuestos!$E$10^2/Supuestos!$D$10^2)/2,SQRT(LN(1+Supuestos!$E$10^2/Supuestos!$D$10^2))),Supuestos!$D$10))))))</f>
        <v/>
      </c>
      <c r="O150" s="31">
        <f>MIN(IF(Supuestos!$H$11="",1E+99,Supuestos!$H$11),MAX(IF(Supuestos!$G$11="",-1E+99,Supuestos!$G$11),IF(Supuestos!$C$11="Normal",NORMINV(H150,Supuestos!$D$11,Supuestos!$E$11),IF(Supuestos!$C$11="Triangular",IF(H150&lt;(Supuestos!$E$11-Supuestos!$D$11)/(Supuestos!$F$11-Supuestos!$D$11),Supuestos!$D$11+SQRT(H150*(Supuestos!$F$11-Supuestos!$D$11)*(Supuestos!$E$11-Supuestos!$D$11)),Supuestos!$F$11-SQRT((1-H150)*(Supuestos!$F$11-Supuestos!$D$11)*(Supuestos!$F$11-Supuestos!$E$11))),IF(Supuestos!$C$11="Uniforme",Supuestos!$D$11+H150*(Supuestos!$E$11-Supuestos!$D$11),IF(Supuestos!$C$11="Lognormal",LOGINV(H150,LN(Supuestos!$D$11)-LN(1+Supuestos!$E$11^2/Supuestos!$D$11^2)/2,SQRT(LN(1+Supuestos!$E$11^2/Supuestos!$D$11^2))),Supuestos!$D$11))))))</f>
        <v/>
      </c>
      <c r="P150" s="33">
        <f>-I150</f>
        <v/>
      </c>
      <c r="Q150" s="33">
        <f>$J150*(1+$K150)^(1-1)*(1-$L150)*(1-$M150)</f>
        <v/>
      </c>
      <c r="R150" s="33">
        <f>$J150*(1+$K150)^(2-1)*(1-$L150)*(1-$M150)</f>
        <v/>
      </c>
      <c r="S150" s="33">
        <f>$J150*(1+$K150)^(3-1)*(1-$L150)*(1-$M150)</f>
        <v/>
      </c>
      <c r="T150" s="33">
        <f>$J150*(1+$K150)^(4-1)*(1-$L150)*(1-$M150)</f>
        <v/>
      </c>
      <c r="U150" s="33">
        <f>$J150*(1+$K150)^(5-1)*(1-$L150)*(1-$M150)+$O150</f>
        <v/>
      </c>
      <c r="V150" s="33">
        <f>P150+NPV($N150,Q150:U150)</f>
        <v/>
      </c>
      <c r="W150" s="32">
        <f>IFERROR(IRR(P150:U150,0.1),"")</f>
        <v/>
      </c>
    </row>
    <row r="151">
      <c r="A151" s="14" t="n">
        <v>147</v>
      </c>
      <c r="B151" s="30">
        <f>RAND()*(1-2E-6)+1E-6</f>
        <v/>
      </c>
      <c r="C151" s="30">
        <f>RAND()*(1-2E-6)+1E-6</f>
        <v/>
      </c>
      <c r="D151" s="30">
        <f>RAND()*(1-2E-6)+1E-6</f>
        <v/>
      </c>
      <c r="E151" s="30">
        <f>RAND()*(1-2E-6)+1E-6</f>
        <v/>
      </c>
      <c r="F151" s="30">
        <f>RAND()*(1-2E-6)+1E-6</f>
        <v/>
      </c>
      <c r="G151" s="30">
        <f>RAND()*(1-2E-6)+1E-6</f>
        <v/>
      </c>
      <c r="H151" s="30">
        <f>RAND()*(1-2E-6)+1E-6</f>
        <v/>
      </c>
      <c r="I151" s="31">
        <f>MIN(IF(Supuestos!$H$5="",1E+99,Supuestos!$H$5),MAX(IF(Supuestos!$G$5="",-1E+99,Supuestos!$G$5),IF(Supuestos!$C$5="Normal",NORMINV(B151,Supuestos!$D$5,Supuestos!$E$5),IF(Supuestos!$C$5="Triangular",IF(B151&lt;(Supuestos!$E$5-Supuestos!$D$5)/(Supuestos!$F$5-Supuestos!$D$5),Supuestos!$D$5+SQRT(B151*(Supuestos!$F$5-Supuestos!$D$5)*(Supuestos!$E$5-Supuestos!$D$5)),Supuestos!$F$5-SQRT((1-B151)*(Supuestos!$F$5-Supuestos!$D$5)*(Supuestos!$F$5-Supuestos!$E$5))),IF(Supuestos!$C$5="Uniforme",Supuestos!$D$5+B151*(Supuestos!$E$5-Supuestos!$D$5),IF(Supuestos!$C$5="Lognormal",LOGINV(B151,LN(Supuestos!$D$5)-LN(1+Supuestos!$E$5^2/Supuestos!$D$5^2)/2,SQRT(LN(1+Supuestos!$E$5^2/Supuestos!$D$5^2))),Supuestos!$D$5))))))</f>
        <v/>
      </c>
      <c r="J151" s="31">
        <f>MIN(IF(Supuestos!$H$6="",1E+99,Supuestos!$H$6),MAX(IF(Supuestos!$G$6="",-1E+99,Supuestos!$G$6),IF(Supuestos!$C$6="Normal",NORMINV(C151,Supuestos!$D$6,Supuestos!$E$6),IF(Supuestos!$C$6="Triangular",IF(C151&lt;(Supuestos!$E$6-Supuestos!$D$6)/(Supuestos!$F$6-Supuestos!$D$6),Supuestos!$D$6+SQRT(C151*(Supuestos!$F$6-Supuestos!$D$6)*(Supuestos!$E$6-Supuestos!$D$6)),Supuestos!$F$6-SQRT((1-C151)*(Supuestos!$F$6-Supuestos!$D$6)*(Supuestos!$F$6-Supuestos!$E$6))),IF(Supuestos!$C$6="Uniforme",Supuestos!$D$6+C151*(Supuestos!$E$6-Supuestos!$D$6),IF(Supuestos!$C$6="Lognormal",LOGINV(C151,LN(Supuestos!$D$6)-LN(1+Supuestos!$E$6^2/Supuestos!$D$6^2)/2,SQRT(LN(1+Supuestos!$E$6^2/Supuestos!$D$6^2))),Supuestos!$D$6))))))</f>
        <v/>
      </c>
      <c r="K151" s="32">
        <f>MIN(IF(Supuestos!$H$7="",1E+99,Supuestos!$H$7),MAX(IF(Supuestos!$G$7="",-1E+99,Supuestos!$G$7),IF(Supuestos!$C$7="Normal",NORMINV(D151,Supuestos!$D$7,Supuestos!$E$7),IF(Supuestos!$C$7="Triangular",IF(D151&lt;(Supuestos!$E$7-Supuestos!$D$7)/(Supuestos!$F$7-Supuestos!$D$7),Supuestos!$D$7+SQRT(D151*(Supuestos!$F$7-Supuestos!$D$7)*(Supuestos!$E$7-Supuestos!$D$7)),Supuestos!$F$7-SQRT((1-D151)*(Supuestos!$F$7-Supuestos!$D$7)*(Supuestos!$F$7-Supuestos!$E$7))),IF(Supuestos!$C$7="Uniforme",Supuestos!$D$7+D151*(Supuestos!$E$7-Supuestos!$D$7),IF(Supuestos!$C$7="Lognormal",LOGINV(D151,LN(Supuestos!$D$7)-LN(1+Supuestos!$E$7^2/Supuestos!$D$7^2)/2,SQRT(LN(1+Supuestos!$E$7^2/Supuestos!$D$7^2))),Supuestos!$D$7))))))</f>
        <v/>
      </c>
      <c r="L151" s="32">
        <f>MIN(IF(Supuestos!$H$8="",1E+99,Supuestos!$H$8),MAX(IF(Supuestos!$G$8="",-1E+99,Supuestos!$G$8),IF(Supuestos!$C$8="Normal",NORMINV(E151,Supuestos!$D$8,Supuestos!$E$8),IF(Supuestos!$C$8="Triangular",IF(E151&lt;(Supuestos!$E$8-Supuestos!$D$8)/(Supuestos!$F$8-Supuestos!$D$8),Supuestos!$D$8+SQRT(E151*(Supuestos!$F$8-Supuestos!$D$8)*(Supuestos!$E$8-Supuestos!$D$8)),Supuestos!$F$8-SQRT((1-E151)*(Supuestos!$F$8-Supuestos!$D$8)*(Supuestos!$F$8-Supuestos!$E$8))),IF(Supuestos!$C$8="Uniforme",Supuestos!$D$8+E151*(Supuestos!$E$8-Supuestos!$D$8),IF(Supuestos!$C$8="Lognormal",LOGINV(E151,LN(Supuestos!$D$8)-LN(1+Supuestos!$E$8^2/Supuestos!$D$8^2)/2,SQRT(LN(1+Supuestos!$E$8^2/Supuestos!$D$8^2))),Supuestos!$D$8))))))</f>
        <v/>
      </c>
      <c r="M151" s="32">
        <f>MIN(IF(Supuestos!$H$9="",1E+99,Supuestos!$H$9),MAX(IF(Supuestos!$G$9="",-1E+99,Supuestos!$G$9),IF(Supuestos!$C$9="Normal",NORMINV(F151,Supuestos!$D$9,Supuestos!$E$9),IF(Supuestos!$C$9="Triangular",IF(F151&lt;(Supuestos!$E$9-Supuestos!$D$9)/(Supuestos!$F$9-Supuestos!$D$9),Supuestos!$D$9+SQRT(F151*(Supuestos!$F$9-Supuestos!$D$9)*(Supuestos!$E$9-Supuestos!$D$9)),Supuestos!$F$9-SQRT((1-F151)*(Supuestos!$F$9-Supuestos!$D$9)*(Supuestos!$F$9-Supuestos!$E$9))),IF(Supuestos!$C$9="Uniforme",Supuestos!$D$9+F151*(Supuestos!$E$9-Supuestos!$D$9),IF(Supuestos!$C$9="Lognormal",LOGINV(F151,LN(Supuestos!$D$9)-LN(1+Supuestos!$E$9^2/Supuestos!$D$9^2)/2,SQRT(LN(1+Supuestos!$E$9^2/Supuestos!$D$9^2))),Supuestos!$D$9))))))</f>
        <v/>
      </c>
      <c r="N151" s="32">
        <f>MIN(IF(Supuestos!$H$10="",1E+99,Supuestos!$H$10),MAX(IF(Supuestos!$G$10="",-1E+99,Supuestos!$G$10),IF(Supuestos!$C$10="Normal",NORMINV(G151,Supuestos!$D$10,Supuestos!$E$10),IF(Supuestos!$C$10="Triangular",IF(G151&lt;(Supuestos!$E$10-Supuestos!$D$10)/(Supuestos!$F$10-Supuestos!$D$10),Supuestos!$D$10+SQRT(G151*(Supuestos!$F$10-Supuestos!$D$10)*(Supuestos!$E$10-Supuestos!$D$10)),Supuestos!$F$10-SQRT((1-G151)*(Supuestos!$F$10-Supuestos!$D$10)*(Supuestos!$F$10-Supuestos!$E$10))),IF(Supuestos!$C$10="Uniforme",Supuestos!$D$10+G151*(Supuestos!$E$10-Supuestos!$D$10),IF(Supuestos!$C$10="Lognormal",LOGINV(G151,LN(Supuestos!$D$10)-LN(1+Supuestos!$E$10^2/Supuestos!$D$10^2)/2,SQRT(LN(1+Supuestos!$E$10^2/Supuestos!$D$10^2))),Supuestos!$D$10))))))</f>
        <v/>
      </c>
      <c r="O151" s="31">
        <f>MIN(IF(Supuestos!$H$11="",1E+99,Supuestos!$H$11),MAX(IF(Supuestos!$G$11="",-1E+99,Supuestos!$G$11),IF(Supuestos!$C$11="Normal",NORMINV(H151,Supuestos!$D$11,Supuestos!$E$11),IF(Supuestos!$C$11="Triangular",IF(H151&lt;(Supuestos!$E$11-Supuestos!$D$11)/(Supuestos!$F$11-Supuestos!$D$11),Supuestos!$D$11+SQRT(H151*(Supuestos!$F$11-Supuestos!$D$11)*(Supuestos!$E$11-Supuestos!$D$11)),Supuestos!$F$11-SQRT((1-H151)*(Supuestos!$F$11-Supuestos!$D$11)*(Supuestos!$F$11-Supuestos!$E$11))),IF(Supuestos!$C$11="Uniforme",Supuestos!$D$11+H151*(Supuestos!$E$11-Supuestos!$D$11),IF(Supuestos!$C$11="Lognormal",LOGINV(H151,LN(Supuestos!$D$11)-LN(1+Supuestos!$E$11^2/Supuestos!$D$11^2)/2,SQRT(LN(1+Supuestos!$E$11^2/Supuestos!$D$11^2))),Supuestos!$D$11))))))</f>
        <v/>
      </c>
      <c r="P151" s="33">
        <f>-I151</f>
        <v/>
      </c>
      <c r="Q151" s="33">
        <f>$J151*(1+$K151)^(1-1)*(1-$L151)*(1-$M151)</f>
        <v/>
      </c>
      <c r="R151" s="33">
        <f>$J151*(1+$K151)^(2-1)*(1-$L151)*(1-$M151)</f>
        <v/>
      </c>
      <c r="S151" s="33">
        <f>$J151*(1+$K151)^(3-1)*(1-$L151)*(1-$M151)</f>
        <v/>
      </c>
      <c r="T151" s="33">
        <f>$J151*(1+$K151)^(4-1)*(1-$L151)*(1-$M151)</f>
        <v/>
      </c>
      <c r="U151" s="33">
        <f>$J151*(1+$K151)^(5-1)*(1-$L151)*(1-$M151)+$O151</f>
        <v/>
      </c>
      <c r="V151" s="33">
        <f>P151+NPV($N151,Q151:U151)</f>
        <v/>
      </c>
      <c r="W151" s="32">
        <f>IFERROR(IRR(P151:U151,0.1),"")</f>
        <v/>
      </c>
    </row>
    <row r="152">
      <c r="A152" s="14" t="n">
        <v>148</v>
      </c>
      <c r="B152" s="30">
        <f>RAND()*(1-2E-6)+1E-6</f>
        <v/>
      </c>
      <c r="C152" s="30">
        <f>RAND()*(1-2E-6)+1E-6</f>
        <v/>
      </c>
      <c r="D152" s="30">
        <f>RAND()*(1-2E-6)+1E-6</f>
        <v/>
      </c>
      <c r="E152" s="30">
        <f>RAND()*(1-2E-6)+1E-6</f>
        <v/>
      </c>
      <c r="F152" s="30">
        <f>RAND()*(1-2E-6)+1E-6</f>
        <v/>
      </c>
      <c r="G152" s="30">
        <f>RAND()*(1-2E-6)+1E-6</f>
        <v/>
      </c>
      <c r="H152" s="30">
        <f>RAND()*(1-2E-6)+1E-6</f>
        <v/>
      </c>
      <c r="I152" s="31">
        <f>MIN(IF(Supuestos!$H$5="",1E+99,Supuestos!$H$5),MAX(IF(Supuestos!$G$5="",-1E+99,Supuestos!$G$5),IF(Supuestos!$C$5="Normal",NORMINV(B152,Supuestos!$D$5,Supuestos!$E$5),IF(Supuestos!$C$5="Triangular",IF(B152&lt;(Supuestos!$E$5-Supuestos!$D$5)/(Supuestos!$F$5-Supuestos!$D$5),Supuestos!$D$5+SQRT(B152*(Supuestos!$F$5-Supuestos!$D$5)*(Supuestos!$E$5-Supuestos!$D$5)),Supuestos!$F$5-SQRT((1-B152)*(Supuestos!$F$5-Supuestos!$D$5)*(Supuestos!$F$5-Supuestos!$E$5))),IF(Supuestos!$C$5="Uniforme",Supuestos!$D$5+B152*(Supuestos!$E$5-Supuestos!$D$5),IF(Supuestos!$C$5="Lognormal",LOGINV(B152,LN(Supuestos!$D$5)-LN(1+Supuestos!$E$5^2/Supuestos!$D$5^2)/2,SQRT(LN(1+Supuestos!$E$5^2/Supuestos!$D$5^2))),Supuestos!$D$5))))))</f>
        <v/>
      </c>
      <c r="J152" s="31">
        <f>MIN(IF(Supuestos!$H$6="",1E+99,Supuestos!$H$6),MAX(IF(Supuestos!$G$6="",-1E+99,Supuestos!$G$6),IF(Supuestos!$C$6="Normal",NORMINV(C152,Supuestos!$D$6,Supuestos!$E$6),IF(Supuestos!$C$6="Triangular",IF(C152&lt;(Supuestos!$E$6-Supuestos!$D$6)/(Supuestos!$F$6-Supuestos!$D$6),Supuestos!$D$6+SQRT(C152*(Supuestos!$F$6-Supuestos!$D$6)*(Supuestos!$E$6-Supuestos!$D$6)),Supuestos!$F$6-SQRT((1-C152)*(Supuestos!$F$6-Supuestos!$D$6)*(Supuestos!$F$6-Supuestos!$E$6))),IF(Supuestos!$C$6="Uniforme",Supuestos!$D$6+C152*(Supuestos!$E$6-Supuestos!$D$6),IF(Supuestos!$C$6="Lognormal",LOGINV(C152,LN(Supuestos!$D$6)-LN(1+Supuestos!$E$6^2/Supuestos!$D$6^2)/2,SQRT(LN(1+Supuestos!$E$6^2/Supuestos!$D$6^2))),Supuestos!$D$6))))))</f>
        <v/>
      </c>
      <c r="K152" s="32">
        <f>MIN(IF(Supuestos!$H$7="",1E+99,Supuestos!$H$7),MAX(IF(Supuestos!$G$7="",-1E+99,Supuestos!$G$7),IF(Supuestos!$C$7="Normal",NORMINV(D152,Supuestos!$D$7,Supuestos!$E$7),IF(Supuestos!$C$7="Triangular",IF(D152&lt;(Supuestos!$E$7-Supuestos!$D$7)/(Supuestos!$F$7-Supuestos!$D$7),Supuestos!$D$7+SQRT(D152*(Supuestos!$F$7-Supuestos!$D$7)*(Supuestos!$E$7-Supuestos!$D$7)),Supuestos!$F$7-SQRT((1-D152)*(Supuestos!$F$7-Supuestos!$D$7)*(Supuestos!$F$7-Supuestos!$E$7))),IF(Supuestos!$C$7="Uniforme",Supuestos!$D$7+D152*(Supuestos!$E$7-Supuestos!$D$7),IF(Supuestos!$C$7="Lognormal",LOGINV(D152,LN(Supuestos!$D$7)-LN(1+Supuestos!$E$7^2/Supuestos!$D$7^2)/2,SQRT(LN(1+Supuestos!$E$7^2/Supuestos!$D$7^2))),Supuestos!$D$7))))))</f>
        <v/>
      </c>
      <c r="L152" s="32">
        <f>MIN(IF(Supuestos!$H$8="",1E+99,Supuestos!$H$8),MAX(IF(Supuestos!$G$8="",-1E+99,Supuestos!$G$8),IF(Supuestos!$C$8="Normal",NORMINV(E152,Supuestos!$D$8,Supuestos!$E$8),IF(Supuestos!$C$8="Triangular",IF(E152&lt;(Supuestos!$E$8-Supuestos!$D$8)/(Supuestos!$F$8-Supuestos!$D$8),Supuestos!$D$8+SQRT(E152*(Supuestos!$F$8-Supuestos!$D$8)*(Supuestos!$E$8-Supuestos!$D$8)),Supuestos!$F$8-SQRT((1-E152)*(Supuestos!$F$8-Supuestos!$D$8)*(Supuestos!$F$8-Supuestos!$E$8))),IF(Supuestos!$C$8="Uniforme",Supuestos!$D$8+E152*(Supuestos!$E$8-Supuestos!$D$8),IF(Supuestos!$C$8="Lognormal",LOGINV(E152,LN(Supuestos!$D$8)-LN(1+Supuestos!$E$8^2/Supuestos!$D$8^2)/2,SQRT(LN(1+Supuestos!$E$8^2/Supuestos!$D$8^2))),Supuestos!$D$8))))))</f>
        <v/>
      </c>
      <c r="M152" s="32">
        <f>MIN(IF(Supuestos!$H$9="",1E+99,Supuestos!$H$9),MAX(IF(Supuestos!$G$9="",-1E+99,Supuestos!$G$9),IF(Supuestos!$C$9="Normal",NORMINV(F152,Supuestos!$D$9,Supuestos!$E$9),IF(Supuestos!$C$9="Triangular",IF(F152&lt;(Supuestos!$E$9-Supuestos!$D$9)/(Supuestos!$F$9-Supuestos!$D$9),Supuestos!$D$9+SQRT(F152*(Supuestos!$F$9-Supuestos!$D$9)*(Supuestos!$E$9-Supuestos!$D$9)),Supuestos!$F$9-SQRT((1-F152)*(Supuestos!$F$9-Supuestos!$D$9)*(Supuestos!$F$9-Supuestos!$E$9))),IF(Supuestos!$C$9="Uniforme",Supuestos!$D$9+F152*(Supuestos!$E$9-Supuestos!$D$9),IF(Supuestos!$C$9="Lognormal",LOGINV(F152,LN(Supuestos!$D$9)-LN(1+Supuestos!$E$9^2/Supuestos!$D$9^2)/2,SQRT(LN(1+Supuestos!$E$9^2/Supuestos!$D$9^2))),Supuestos!$D$9))))))</f>
        <v/>
      </c>
      <c r="N152" s="32">
        <f>MIN(IF(Supuestos!$H$10="",1E+99,Supuestos!$H$10),MAX(IF(Supuestos!$G$10="",-1E+99,Supuestos!$G$10),IF(Supuestos!$C$10="Normal",NORMINV(G152,Supuestos!$D$10,Supuestos!$E$10),IF(Supuestos!$C$10="Triangular",IF(G152&lt;(Supuestos!$E$10-Supuestos!$D$10)/(Supuestos!$F$10-Supuestos!$D$10),Supuestos!$D$10+SQRT(G152*(Supuestos!$F$10-Supuestos!$D$10)*(Supuestos!$E$10-Supuestos!$D$10)),Supuestos!$F$10-SQRT((1-G152)*(Supuestos!$F$10-Supuestos!$D$10)*(Supuestos!$F$10-Supuestos!$E$10))),IF(Supuestos!$C$10="Uniforme",Supuestos!$D$10+G152*(Supuestos!$E$10-Supuestos!$D$10),IF(Supuestos!$C$10="Lognormal",LOGINV(G152,LN(Supuestos!$D$10)-LN(1+Supuestos!$E$10^2/Supuestos!$D$10^2)/2,SQRT(LN(1+Supuestos!$E$10^2/Supuestos!$D$10^2))),Supuestos!$D$10))))))</f>
        <v/>
      </c>
      <c r="O152" s="31">
        <f>MIN(IF(Supuestos!$H$11="",1E+99,Supuestos!$H$11),MAX(IF(Supuestos!$G$11="",-1E+99,Supuestos!$G$11),IF(Supuestos!$C$11="Normal",NORMINV(H152,Supuestos!$D$11,Supuestos!$E$11),IF(Supuestos!$C$11="Triangular",IF(H152&lt;(Supuestos!$E$11-Supuestos!$D$11)/(Supuestos!$F$11-Supuestos!$D$11),Supuestos!$D$11+SQRT(H152*(Supuestos!$F$11-Supuestos!$D$11)*(Supuestos!$E$11-Supuestos!$D$11)),Supuestos!$F$11-SQRT((1-H152)*(Supuestos!$F$11-Supuestos!$D$11)*(Supuestos!$F$11-Supuestos!$E$11))),IF(Supuestos!$C$11="Uniforme",Supuestos!$D$11+H152*(Supuestos!$E$11-Supuestos!$D$11),IF(Supuestos!$C$11="Lognormal",LOGINV(H152,LN(Supuestos!$D$11)-LN(1+Supuestos!$E$11^2/Supuestos!$D$11^2)/2,SQRT(LN(1+Supuestos!$E$11^2/Supuestos!$D$11^2))),Supuestos!$D$11))))))</f>
        <v/>
      </c>
      <c r="P152" s="33">
        <f>-I152</f>
        <v/>
      </c>
      <c r="Q152" s="33">
        <f>$J152*(1+$K152)^(1-1)*(1-$L152)*(1-$M152)</f>
        <v/>
      </c>
      <c r="R152" s="33">
        <f>$J152*(1+$K152)^(2-1)*(1-$L152)*(1-$M152)</f>
        <v/>
      </c>
      <c r="S152" s="33">
        <f>$J152*(1+$K152)^(3-1)*(1-$L152)*(1-$M152)</f>
        <v/>
      </c>
      <c r="T152" s="33">
        <f>$J152*(1+$K152)^(4-1)*(1-$L152)*(1-$M152)</f>
        <v/>
      </c>
      <c r="U152" s="33">
        <f>$J152*(1+$K152)^(5-1)*(1-$L152)*(1-$M152)+$O152</f>
        <v/>
      </c>
      <c r="V152" s="33">
        <f>P152+NPV($N152,Q152:U152)</f>
        <v/>
      </c>
      <c r="W152" s="32">
        <f>IFERROR(IRR(P152:U152,0.1),"")</f>
        <v/>
      </c>
    </row>
    <row r="153">
      <c r="A153" s="14" t="n">
        <v>149</v>
      </c>
      <c r="B153" s="30">
        <f>RAND()*(1-2E-6)+1E-6</f>
        <v/>
      </c>
      <c r="C153" s="30">
        <f>RAND()*(1-2E-6)+1E-6</f>
        <v/>
      </c>
      <c r="D153" s="30">
        <f>RAND()*(1-2E-6)+1E-6</f>
        <v/>
      </c>
      <c r="E153" s="30">
        <f>RAND()*(1-2E-6)+1E-6</f>
        <v/>
      </c>
      <c r="F153" s="30">
        <f>RAND()*(1-2E-6)+1E-6</f>
        <v/>
      </c>
      <c r="G153" s="30">
        <f>RAND()*(1-2E-6)+1E-6</f>
        <v/>
      </c>
      <c r="H153" s="30">
        <f>RAND()*(1-2E-6)+1E-6</f>
        <v/>
      </c>
      <c r="I153" s="31">
        <f>MIN(IF(Supuestos!$H$5="",1E+99,Supuestos!$H$5),MAX(IF(Supuestos!$G$5="",-1E+99,Supuestos!$G$5),IF(Supuestos!$C$5="Normal",NORMINV(B153,Supuestos!$D$5,Supuestos!$E$5),IF(Supuestos!$C$5="Triangular",IF(B153&lt;(Supuestos!$E$5-Supuestos!$D$5)/(Supuestos!$F$5-Supuestos!$D$5),Supuestos!$D$5+SQRT(B153*(Supuestos!$F$5-Supuestos!$D$5)*(Supuestos!$E$5-Supuestos!$D$5)),Supuestos!$F$5-SQRT((1-B153)*(Supuestos!$F$5-Supuestos!$D$5)*(Supuestos!$F$5-Supuestos!$E$5))),IF(Supuestos!$C$5="Uniforme",Supuestos!$D$5+B153*(Supuestos!$E$5-Supuestos!$D$5),IF(Supuestos!$C$5="Lognormal",LOGINV(B153,LN(Supuestos!$D$5)-LN(1+Supuestos!$E$5^2/Supuestos!$D$5^2)/2,SQRT(LN(1+Supuestos!$E$5^2/Supuestos!$D$5^2))),Supuestos!$D$5))))))</f>
        <v/>
      </c>
      <c r="J153" s="31">
        <f>MIN(IF(Supuestos!$H$6="",1E+99,Supuestos!$H$6),MAX(IF(Supuestos!$G$6="",-1E+99,Supuestos!$G$6),IF(Supuestos!$C$6="Normal",NORMINV(C153,Supuestos!$D$6,Supuestos!$E$6),IF(Supuestos!$C$6="Triangular",IF(C153&lt;(Supuestos!$E$6-Supuestos!$D$6)/(Supuestos!$F$6-Supuestos!$D$6),Supuestos!$D$6+SQRT(C153*(Supuestos!$F$6-Supuestos!$D$6)*(Supuestos!$E$6-Supuestos!$D$6)),Supuestos!$F$6-SQRT((1-C153)*(Supuestos!$F$6-Supuestos!$D$6)*(Supuestos!$F$6-Supuestos!$E$6))),IF(Supuestos!$C$6="Uniforme",Supuestos!$D$6+C153*(Supuestos!$E$6-Supuestos!$D$6),IF(Supuestos!$C$6="Lognormal",LOGINV(C153,LN(Supuestos!$D$6)-LN(1+Supuestos!$E$6^2/Supuestos!$D$6^2)/2,SQRT(LN(1+Supuestos!$E$6^2/Supuestos!$D$6^2))),Supuestos!$D$6))))))</f>
        <v/>
      </c>
      <c r="K153" s="32">
        <f>MIN(IF(Supuestos!$H$7="",1E+99,Supuestos!$H$7),MAX(IF(Supuestos!$G$7="",-1E+99,Supuestos!$G$7),IF(Supuestos!$C$7="Normal",NORMINV(D153,Supuestos!$D$7,Supuestos!$E$7),IF(Supuestos!$C$7="Triangular",IF(D153&lt;(Supuestos!$E$7-Supuestos!$D$7)/(Supuestos!$F$7-Supuestos!$D$7),Supuestos!$D$7+SQRT(D153*(Supuestos!$F$7-Supuestos!$D$7)*(Supuestos!$E$7-Supuestos!$D$7)),Supuestos!$F$7-SQRT((1-D153)*(Supuestos!$F$7-Supuestos!$D$7)*(Supuestos!$F$7-Supuestos!$E$7))),IF(Supuestos!$C$7="Uniforme",Supuestos!$D$7+D153*(Supuestos!$E$7-Supuestos!$D$7),IF(Supuestos!$C$7="Lognormal",LOGINV(D153,LN(Supuestos!$D$7)-LN(1+Supuestos!$E$7^2/Supuestos!$D$7^2)/2,SQRT(LN(1+Supuestos!$E$7^2/Supuestos!$D$7^2))),Supuestos!$D$7))))))</f>
        <v/>
      </c>
      <c r="L153" s="32">
        <f>MIN(IF(Supuestos!$H$8="",1E+99,Supuestos!$H$8),MAX(IF(Supuestos!$G$8="",-1E+99,Supuestos!$G$8),IF(Supuestos!$C$8="Normal",NORMINV(E153,Supuestos!$D$8,Supuestos!$E$8),IF(Supuestos!$C$8="Triangular",IF(E153&lt;(Supuestos!$E$8-Supuestos!$D$8)/(Supuestos!$F$8-Supuestos!$D$8),Supuestos!$D$8+SQRT(E153*(Supuestos!$F$8-Supuestos!$D$8)*(Supuestos!$E$8-Supuestos!$D$8)),Supuestos!$F$8-SQRT((1-E153)*(Supuestos!$F$8-Supuestos!$D$8)*(Supuestos!$F$8-Supuestos!$E$8))),IF(Supuestos!$C$8="Uniforme",Supuestos!$D$8+E153*(Supuestos!$E$8-Supuestos!$D$8),IF(Supuestos!$C$8="Lognormal",LOGINV(E153,LN(Supuestos!$D$8)-LN(1+Supuestos!$E$8^2/Supuestos!$D$8^2)/2,SQRT(LN(1+Supuestos!$E$8^2/Supuestos!$D$8^2))),Supuestos!$D$8))))))</f>
        <v/>
      </c>
      <c r="M153" s="32">
        <f>MIN(IF(Supuestos!$H$9="",1E+99,Supuestos!$H$9),MAX(IF(Supuestos!$G$9="",-1E+99,Supuestos!$G$9),IF(Supuestos!$C$9="Normal",NORMINV(F153,Supuestos!$D$9,Supuestos!$E$9),IF(Supuestos!$C$9="Triangular",IF(F153&lt;(Supuestos!$E$9-Supuestos!$D$9)/(Supuestos!$F$9-Supuestos!$D$9),Supuestos!$D$9+SQRT(F153*(Supuestos!$F$9-Supuestos!$D$9)*(Supuestos!$E$9-Supuestos!$D$9)),Supuestos!$F$9-SQRT((1-F153)*(Supuestos!$F$9-Supuestos!$D$9)*(Supuestos!$F$9-Supuestos!$E$9))),IF(Supuestos!$C$9="Uniforme",Supuestos!$D$9+F153*(Supuestos!$E$9-Supuestos!$D$9),IF(Supuestos!$C$9="Lognormal",LOGINV(F153,LN(Supuestos!$D$9)-LN(1+Supuestos!$E$9^2/Supuestos!$D$9^2)/2,SQRT(LN(1+Supuestos!$E$9^2/Supuestos!$D$9^2))),Supuestos!$D$9))))))</f>
        <v/>
      </c>
      <c r="N153" s="32">
        <f>MIN(IF(Supuestos!$H$10="",1E+99,Supuestos!$H$10),MAX(IF(Supuestos!$G$10="",-1E+99,Supuestos!$G$10),IF(Supuestos!$C$10="Normal",NORMINV(G153,Supuestos!$D$10,Supuestos!$E$10),IF(Supuestos!$C$10="Triangular",IF(G153&lt;(Supuestos!$E$10-Supuestos!$D$10)/(Supuestos!$F$10-Supuestos!$D$10),Supuestos!$D$10+SQRT(G153*(Supuestos!$F$10-Supuestos!$D$10)*(Supuestos!$E$10-Supuestos!$D$10)),Supuestos!$F$10-SQRT((1-G153)*(Supuestos!$F$10-Supuestos!$D$10)*(Supuestos!$F$10-Supuestos!$E$10))),IF(Supuestos!$C$10="Uniforme",Supuestos!$D$10+G153*(Supuestos!$E$10-Supuestos!$D$10),IF(Supuestos!$C$10="Lognormal",LOGINV(G153,LN(Supuestos!$D$10)-LN(1+Supuestos!$E$10^2/Supuestos!$D$10^2)/2,SQRT(LN(1+Supuestos!$E$10^2/Supuestos!$D$10^2))),Supuestos!$D$10))))))</f>
        <v/>
      </c>
      <c r="O153" s="31">
        <f>MIN(IF(Supuestos!$H$11="",1E+99,Supuestos!$H$11),MAX(IF(Supuestos!$G$11="",-1E+99,Supuestos!$G$11),IF(Supuestos!$C$11="Normal",NORMINV(H153,Supuestos!$D$11,Supuestos!$E$11),IF(Supuestos!$C$11="Triangular",IF(H153&lt;(Supuestos!$E$11-Supuestos!$D$11)/(Supuestos!$F$11-Supuestos!$D$11),Supuestos!$D$11+SQRT(H153*(Supuestos!$F$11-Supuestos!$D$11)*(Supuestos!$E$11-Supuestos!$D$11)),Supuestos!$F$11-SQRT((1-H153)*(Supuestos!$F$11-Supuestos!$D$11)*(Supuestos!$F$11-Supuestos!$E$11))),IF(Supuestos!$C$11="Uniforme",Supuestos!$D$11+H153*(Supuestos!$E$11-Supuestos!$D$11),IF(Supuestos!$C$11="Lognormal",LOGINV(H153,LN(Supuestos!$D$11)-LN(1+Supuestos!$E$11^2/Supuestos!$D$11^2)/2,SQRT(LN(1+Supuestos!$E$11^2/Supuestos!$D$11^2))),Supuestos!$D$11))))))</f>
        <v/>
      </c>
      <c r="P153" s="33">
        <f>-I153</f>
        <v/>
      </c>
      <c r="Q153" s="33">
        <f>$J153*(1+$K153)^(1-1)*(1-$L153)*(1-$M153)</f>
        <v/>
      </c>
      <c r="R153" s="33">
        <f>$J153*(1+$K153)^(2-1)*(1-$L153)*(1-$M153)</f>
        <v/>
      </c>
      <c r="S153" s="33">
        <f>$J153*(1+$K153)^(3-1)*(1-$L153)*(1-$M153)</f>
        <v/>
      </c>
      <c r="T153" s="33">
        <f>$J153*(1+$K153)^(4-1)*(1-$L153)*(1-$M153)</f>
        <v/>
      </c>
      <c r="U153" s="33">
        <f>$J153*(1+$K153)^(5-1)*(1-$L153)*(1-$M153)+$O153</f>
        <v/>
      </c>
      <c r="V153" s="33">
        <f>P153+NPV($N153,Q153:U153)</f>
        <v/>
      </c>
      <c r="W153" s="32">
        <f>IFERROR(IRR(P153:U153,0.1),"")</f>
        <v/>
      </c>
    </row>
    <row r="154">
      <c r="A154" s="14" t="n">
        <v>150</v>
      </c>
      <c r="B154" s="30">
        <f>RAND()*(1-2E-6)+1E-6</f>
        <v/>
      </c>
      <c r="C154" s="30">
        <f>RAND()*(1-2E-6)+1E-6</f>
        <v/>
      </c>
      <c r="D154" s="30">
        <f>RAND()*(1-2E-6)+1E-6</f>
        <v/>
      </c>
      <c r="E154" s="30">
        <f>RAND()*(1-2E-6)+1E-6</f>
        <v/>
      </c>
      <c r="F154" s="30">
        <f>RAND()*(1-2E-6)+1E-6</f>
        <v/>
      </c>
      <c r="G154" s="30">
        <f>RAND()*(1-2E-6)+1E-6</f>
        <v/>
      </c>
      <c r="H154" s="30">
        <f>RAND()*(1-2E-6)+1E-6</f>
        <v/>
      </c>
      <c r="I154" s="31">
        <f>MIN(IF(Supuestos!$H$5="",1E+99,Supuestos!$H$5),MAX(IF(Supuestos!$G$5="",-1E+99,Supuestos!$G$5),IF(Supuestos!$C$5="Normal",NORMINV(B154,Supuestos!$D$5,Supuestos!$E$5),IF(Supuestos!$C$5="Triangular",IF(B154&lt;(Supuestos!$E$5-Supuestos!$D$5)/(Supuestos!$F$5-Supuestos!$D$5),Supuestos!$D$5+SQRT(B154*(Supuestos!$F$5-Supuestos!$D$5)*(Supuestos!$E$5-Supuestos!$D$5)),Supuestos!$F$5-SQRT((1-B154)*(Supuestos!$F$5-Supuestos!$D$5)*(Supuestos!$F$5-Supuestos!$E$5))),IF(Supuestos!$C$5="Uniforme",Supuestos!$D$5+B154*(Supuestos!$E$5-Supuestos!$D$5),IF(Supuestos!$C$5="Lognormal",LOGINV(B154,LN(Supuestos!$D$5)-LN(1+Supuestos!$E$5^2/Supuestos!$D$5^2)/2,SQRT(LN(1+Supuestos!$E$5^2/Supuestos!$D$5^2))),Supuestos!$D$5))))))</f>
        <v/>
      </c>
      <c r="J154" s="31">
        <f>MIN(IF(Supuestos!$H$6="",1E+99,Supuestos!$H$6),MAX(IF(Supuestos!$G$6="",-1E+99,Supuestos!$G$6),IF(Supuestos!$C$6="Normal",NORMINV(C154,Supuestos!$D$6,Supuestos!$E$6),IF(Supuestos!$C$6="Triangular",IF(C154&lt;(Supuestos!$E$6-Supuestos!$D$6)/(Supuestos!$F$6-Supuestos!$D$6),Supuestos!$D$6+SQRT(C154*(Supuestos!$F$6-Supuestos!$D$6)*(Supuestos!$E$6-Supuestos!$D$6)),Supuestos!$F$6-SQRT((1-C154)*(Supuestos!$F$6-Supuestos!$D$6)*(Supuestos!$F$6-Supuestos!$E$6))),IF(Supuestos!$C$6="Uniforme",Supuestos!$D$6+C154*(Supuestos!$E$6-Supuestos!$D$6),IF(Supuestos!$C$6="Lognormal",LOGINV(C154,LN(Supuestos!$D$6)-LN(1+Supuestos!$E$6^2/Supuestos!$D$6^2)/2,SQRT(LN(1+Supuestos!$E$6^2/Supuestos!$D$6^2))),Supuestos!$D$6))))))</f>
        <v/>
      </c>
      <c r="K154" s="32">
        <f>MIN(IF(Supuestos!$H$7="",1E+99,Supuestos!$H$7),MAX(IF(Supuestos!$G$7="",-1E+99,Supuestos!$G$7),IF(Supuestos!$C$7="Normal",NORMINV(D154,Supuestos!$D$7,Supuestos!$E$7),IF(Supuestos!$C$7="Triangular",IF(D154&lt;(Supuestos!$E$7-Supuestos!$D$7)/(Supuestos!$F$7-Supuestos!$D$7),Supuestos!$D$7+SQRT(D154*(Supuestos!$F$7-Supuestos!$D$7)*(Supuestos!$E$7-Supuestos!$D$7)),Supuestos!$F$7-SQRT((1-D154)*(Supuestos!$F$7-Supuestos!$D$7)*(Supuestos!$F$7-Supuestos!$E$7))),IF(Supuestos!$C$7="Uniforme",Supuestos!$D$7+D154*(Supuestos!$E$7-Supuestos!$D$7),IF(Supuestos!$C$7="Lognormal",LOGINV(D154,LN(Supuestos!$D$7)-LN(1+Supuestos!$E$7^2/Supuestos!$D$7^2)/2,SQRT(LN(1+Supuestos!$E$7^2/Supuestos!$D$7^2))),Supuestos!$D$7))))))</f>
        <v/>
      </c>
      <c r="L154" s="32">
        <f>MIN(IF(Supuestos!$H$8="",1E+99,Supuestos!$H$8),MAX(IF(Supuestos!$G$8="",-1E+99,Supuestos!$G$8),IF(Supuestos!$C$8="Normal",NORMINV(E154,Supuestos!$D$8,Supuestos!$E$8),IF(Supuestos!$C$8="Triangular",IF(E154&lt;(Supuestos!$E$8-Supuestos!$D$8)/(Supuestos!$F$8-Supuestos!$D$8),Supuestos!$D$8+SQRT(E154*(Supuestos!$F$8-Supuestos!$D$8)*(Supuestos!$E$8-Supuestos!$D$8)),Supuestos!$F$8-SQRT((1-E154)*(Supuestos!$F$8-Supuestos!$D$8)*(Supuestos!$F$8-Supuestos!$E$8))),IF(Supuestos!$C$8="Uniforme",Supuestos!$D$8+E154*(Supuestos!$E$8-Supuestos!$D$8),IF(Supuestos!$C$8="Lognormal",LOGINV(E154,LN(Supuestos!$D$8)-LN(1+Supuestos!$E$8^2/Supuestos!$D$8^2)/2,SQRT(LN(1+Supuestos!$E$8^2/Supuestos!$D$8^2))),Supuestos!$D$8))))))</f>
        <v/>
      </c>
      <c r="M154" s="32">
        <f>MIN(IF(Supuestos!$H$9="",1E+99,Supuestos!$H$9),MAX(IF(Supuestos!$G$9="",-1E+99,Supuestos!$G$9),IF(Supuestos!$C$9="Normal",NORMINV(F154,Supuestos!$D$9,Supuestos!$E$9),IF(Supuestos!$C$9="Triangular",IF(F154&lt;(Supuestos!$E$9-Supuestos!$D$9)/(Supuestos!$F$9-Supuestos!$D$9),Supuestos!$D$9+SQRT(F154*(Supuestos!$F$9-Supuestos!$D$9)*(Supuestos!$E$9-Supuestos!$D$9)),Supuestos!$F$9-SQRT((1-F154)*(Supuestos!$F$9-Supuestos!$D$9)*(Supuestos!$F$9-Supuestos!$E$9))),IF(Supuestos!$C$9="Uniforme",Supuestos!$D$9+F154*(Supuestos!$E$9-Supuestos!$D$9),IF(Supuestos!$C$9="Lognormal",LOGINV(F154,LN(Supuestos!$D$9)-LN(1+Supuestos!$E$9^2/Supuestos!$D$9^2)/2,SQRT(LN(1+Supuestos!$E$9^2/Supuestos!$D$9^2))),Supuestos!$D$9))))))</f>
        <v/>
      </c>
      <c r="N154" s="32">
        <f>MIN(IF(Supuestos!$H$10="",1E+99,Supuestos!$H$10),MAX(IF(Supuestos!$G$10="",-1E+99,Supuestos!$G$10),IF(Supuestos!$C$10="Normal",NORMINV(G154,Supuestos!$D$10,Supuestos!$E$10),IF(Supuestos!$C$10="Triangular",IF(G154&lt;(Supuestos!$E$10-Supuestos!$D$10)/(Supuestos!$F$10-Supuestos!$D$10),Supuestos!$D$10+SQRT(G154*(Supuestos!$F$10-Supuestos!$D$10)*(Supuestos!$E$10-Supuestos!$D$10)),Supuestos!$F$10-SQRT((1-G154)*(Supuestos!$F$10-Supuestos!$D$10)*(Supuestos!$F$10-Supuestos!$E$10))),IF(Supuestos!$C$10="Uniforme",Supuestos!$D$10+G154*(Supuestos!$E$10-Supuestos!$D$10),IF(Supuestos!$C$10="Lognormal",LOGINV(G154,LN(Supuestos!$D$10)-LN(1+Supuestos!$E$10^2/Supuestos!$D$10^2)/2,SQRT(LN(1+Supuestos!$E$10^2/Supuestos!$D$10^2))),Supuestos!$D$10))))))</f>
        <v/>
      </c>
      <c r="O154" s="31">
        <f>MIN(IF(Supuestos!$H$11="",1E+99,Supuestos!$H$11),MAX(IF(Supuestos!$G$11="",-1E+99,Supuestos!$G$11),IF(Supuestos!$C$11="Normal",NORMINV(H154,Supuestos!$D$11,Supuestos!$E$11),IF(Supuestos!$C$11="Triangular",IF(H154&lt;(Supuestos!$E$11-Supuestos!$D$11)/(Supuestos!$F$11-Supuestos!$D$11),Supuestos!$D$11+SQRT(H154*(Supuestos!$F$11-Supuestos!$D$11)*(Supuestos!$E$11-Supuestos!$D$11)),Supuestos!$F$11-SQRT((1-H154)*(Supuestos!$F$11-Supuestos!$D$11)*(Supuestos!$F$11-Supuestos!$E$11))),IF(Supuestos!$C$11="Uniforme",Supuestos!$D$11+H154*(Supuestos!$E$11-Supuestos!$D$11),IF(Supuestos!$C$11="Lognormal",LOGINV(H154,LN(Supuestos!$D$11)-LN(1+Supuestos!$E$11^2/Supuestos!$D$11^2)/2,SQRT(LN(1+Supuestos!$E$11^2/Supuestos!$D$11^2))),Supuestos!$D$11))))))</f>
        <v/>
      </c>
      <c r="P154" s="33">
        <f>-I154</f>
        <v/>
      </c>
      <c r="Q154" s="33">
        <f>$J154*(1+$K154)^(1-1)*(1-$L154)*(1-$M154)</f>
        <v/>
      </c>
      <c r="R154" s="33">
        <f>$J154*(1+$K154)^(2-1)*(1-$L154)*(1-$M154)</f>
        <v/>
      </c>
      <c r="S154" s="33">
        <f>$J154*(1+$K154)^(3-1)*(1-$L154)*(1-$M154)</f>
        <v/>
      </c>
      <c r="T154" s="33">
        <f>$J154*(1+$K154)^(4-1)*(1-$L154)*(1-$M154)</f>
        <v/>
      </c>
      <c r="U154" s="33">
        <f>$J154*(1+$K154)^(5-1)*(1-$L154)*(1-$M154)+$O154</f>
        <v/>
      </c>
      <c r="V154" s="33">
        <f>P154+NPV($N154,Q154:U154)</f>
        <v/>
      </c>
      <c r="W154" s="32">
        <f>IFERROR(IRR(P154:U154,0.1),"")</f>
        <v/>
      </c>
    </row>
    <row r="155">
      <c r="A155" s="14" t="n">
        <v>151</v>
      </c>
      <c r="B155" s="30">
        <f>RAND()*(1-2E-6)+1E-6</f>
        <v/>
      </c>
      <c r="C155" s="30">
        <f>RAND()*(1-2E-6)+1E-6</f>
        <v/>
      </c>
      <c r="D155" s="30">
        <f>RAND()*(1-2E-6)+1E-6</f>
        <v/>
      </c>
      <c r="E155" s="30">
        <f>RAND()*(1-2E-6)+1E-6</f>
        <v/>
      </c>
      <c r="F155" s="30">
        <f>RAND()*(1-2E-6)+1E-6</f>
        <v/>
      </c>
      <c r="G155" s="30">
        <f>RAND()*(1-2E-6)+1E-6</f>
        <v/>
      </c>
      <c r="H155" s="30">
        <f>RAND()*(1-2E-6)+1E-6</f>
        <v/>
      </c>
      <c r="I155" s="31">
        <f>MIN(IF(Supuestos!$H$5="",1E+99,Supuestos!$H$5),MAX(IF(Supuestos!$G$5="",-1E+99,Supuestos!$G$5),IF(Supuestos!$C$5="Normal",NORMINV(B155,Supuestos!$D$5,Supuestos!$E$5),IF(Supuestos!$C$5="Triangular",IF(B155&lt;(Supuestos!$E$5-Supuestos!$D$5)/(Supuestos!$F$5-Supuestos!$D$5),Supuestos!$D$5+SQRT(B155*(Supuestos!$F$5-Supuestos!$D$5)*(Supuestos!$E$5-Supuestos!$D$5)),Supuestos!$F$5-SQRT((1-B155)*(Supuestos!$F$5-Supuestos!$D$5)*(Supuestos!$F$5-Supuestos!$E$5))),IF(Supuestos!$C$5="Uniforme",Supuestos!$D$5+B155*(Supuestos!$E$5-Supuestos!$D$5),IF(Supuestos!$C$5="Lognormal",LOGINV(B155,LN(Supuestos!$D$5)-LN(1+Supuestos!$E$5^2/Supuestos!$D$5^2)/2,SQRT(LN(1+Supuestos!$E$5^2/Supuestos!$D$5^2))),Supuestos!$D$5))))))</f>
        <v/>
      </c>
      <c r="J155" s="31">
        <f>MIN(IF(Supuestos!$H$6="",1E+99,Supuestos!$H$6),MAX(IF(Supuestos!$G$6="",-1E+99,Supuestos!$G$6),IF(Supuestos!$C$6="Normal",NORMINV(C155,Supuestos!$D$6,Supuestos!$E$6),IF(Supuestos!$C$6="Triangular",IF(C155&lt;(Supuestos!$E$6-Supuestos!$D$6)/(Supuestos!$F$6-Supuestos!$D$6),Supuestos!$D$6+SQRT(C155*(Supuestos!$F$6-Supuestos!$D$6)*(Supuestos!$E$6-Supuestos!$D$6)),Supuestos!$F$6-SQRT((1-C155)*(Supuestos!$F$6-Supuestos!$D$6)*(Supuestos!$F$6-Supuestos!$E$6))),IF(Supuestos!$C$6="Uniforme",Supuestos!$D$6+C155*(Supuestos!$E$6-Supuestos!$D$6),IF(Supuestos!$C$6="Lognormal",LOGINV(C155,LN(Supuestos!$D$6)-LN(1+Supuestos!$E$6^2/Supuestos!$D$6^2)/2,SQRT(LN(1+Supuestos!$E$6^2/Supuestos!$D$6^2))),Supuestos!$D$6))))))</f>
        <v/>
      </c>
      <c r="K155" s="32">
        <f>MIN(IF(Supuestos!$H$7="",1E+99,Supuestos!$H$7),MAX(IF(Supuestos!$G$7="",-1E+99,Supuestos!$G$7),IF(Supuestos!$C$7="Normal",NORMINV(D155,Supuestos!$D$7,Supuestos!$E$7),IF(Supuestos!$C$7="Triangular",IF(D155&lt;(Supuestos!$E$7-Supuestos!$D$7)/(Supuestos!$F$7-Supuestos!$D$7),Supuestos!$D$7+SQRT(D155*(Supuestos!$F$7-Supuestos!$D$7)*(Supuestos!$E$7-Supuestos!$D$7)),Supuestos!$F$7-SQRT((1-D155)*(Supuestos!$F$7-Supuestos!$D$7)*(Supuestos!$F$7-Supuestos!$E$7))),IF(Supuestos!$C$7="Uniforme",Supuestos!$D$7+D155*(Supuestos!$E$7-Supuestos!$D$7),IF(Supuestos!$C$7="Lognormal",LOGINV(D155,LN(Supuestos!$D$7)-LN(1+Supuestos!$E$7^2/Supuestos!$D$7^2)/2,SQRT(LN(1+Supuestos!$E$7^2/Supuestos!$D$7^2))),Supuestos!$D$7))))))</f>
        <v/>
      </c>
      <c r="L155" s="32">
        <f>MIN(IF(Supuestos!$H$8="",1E+99,Supuestos!$H$8),MAX(IF(Supuestos!$G$8="",-1E+99,Supuestos!$G$8),IF(Supuestos!$C$8="Normal",NORMINV(E155,Supuestos!$D$8,Supuestos!$E$8),IF(Supuestos!$C$8="Triangular",IF(E155&lt;(Supuestos!$E$8-Supuestos!$D$8)/(Supuestos!$F$8-Supuestos!$D$8),Supuestos!$D$8+SQRT(E155*(Supuestos!$F$8-Supuestos!$D$8)*(Supuestos!$E$8-Supuestos!$D$8)),Supuestos!$F$8-SQRT((1-E155)*(Supuestos!$F$8-Supuestos!$D$8)*(Supuestos!$F$8-Supuestos!$E$8))),IF(Supuestos!$C$8="Uniforme",Supuestos!$D$8+E155*(Supuestos!$E$8-Supuestos!$D$8),IF(Supuestos!$C$8="Lognormal",LOGINV(E155,LN(Supuestos!$D$8)-LN(1+Supuestos!$E$8^2/Supuestos!$D$8^2)/2,SQRT(LN(1+Supuestos!$E$8^2/Supuestos!$D$8^2))),Supuestos!$D$8))))))</f>
        <v/>
      </c>
      <c r="M155" s="32">
        <f>MIN(IF(Supuestos!$H$9="",1E+99,Supuestos!$H$9),MAX(IF(Supuestos!$G$9="",-1E+99,Supuestos!$G$9),IF(Supuestos!$C$9="Normal",NORMINV(F155,Supuestos!$D$9,Supuestos!$E$9),IF(Supuestos!$C$9="Triangular",IF(F155&lt;(Supuestos!$E$9-Supuestos!$D$9)/(Supuestos!$F$9-Supuestos!$D$9),Supuestos!$D$9+SQRT(F155*(Supuestos!$F$9-Supuestos!$D$9)*(Supuestos!$E$9-Supuestos!$D$9)),Supuestos!$F$9-SQRT((1-F155)*(Supuestos!$F$9-Supuestos!$D$9)*(Supuestos!$F$9-Supuestos!$E$9))),IF(Supuestos!$C$9="Uniforme",Supuestos!$D$9+F155*(Supuestos!$E$9-Supuestos!$D$9),IF(Supuestos!$C$9="Lognormal",LOGINV(F155,LN(Supuestos!$D$9)-LN(1+Supuestos!$E$9^2/Supuestos!$D$9^2)/2,SQRT(LN(1+Supuestos!$E$9^2/Supuestos!$D$9^2))),Supuestos!$D$9))))))</f>
        <v/>
      </c>
      <c r="N155" s="32">
        <f>MIN(IF(Supuestos!$H$10="",1E+99,Supuestos!$H$10),MAX(IF(Supuestos!$G$10="",-1E+99,Supuestos!$G$10),IF(Supuestos!$C$10="Normal",NORMINV(G155,Supuestos!$D$10,Supuestos!$E$10),IF(Supuestos!$C$10="Triangular",IF(G155&lt;(Supuestos!$E$10-Supuestos!$D$10)/(Supuestos!$F$10-Supuestos!$D$10),Supuestos!$D$10+SQRT(G155*(Supuestos!$F$10-Supuestos!$D$10)*(Supuestos!$E$10-Supuestos!$D$10)),Supuestos!$F$10-SQRT((1-G155)*(Supuestos!$F$10-Supuestos!$D$10)*(Supuestos!$F$10-Supuestos!$E$10))),IF(Supuestos!$C$10="Uniforme",Supuestos!$D$10+G155*(Supuestos!$E$10-Supuestos!$D$10),IF(Supuestos!$C$10="Lognormal",LOGINV(G155,LN(Supuestos!$D$10)-LN(1+Supuestos!$E$10^2/Supuestos!$D$10^2)/2,SQRT(LN(1+Supuestos!$E$10^2/Supuestos!$D$10^2))),Supuestos!$D$10))))))</f>
        <v/>
      </c>
      <c r="O155" s="31">
        <f>MIN(IF(Supuestos!$H$11="",1E+99,Supuestos!$H$11),MAX(IF(Supuestos!$G$11="",-1E+99,Supuestos!$G$11),IF(Supuestos!$C$11="Normal",NORMINV(H155,Supuestos!$D$11,Supuestos!$E$11),IF(Supuestos!$C$11="Triangular",IF(H155&lt;(Supuestos!$E$11-Supuestos!$D$11)/(Supuestos!$F$11-Supuestos!$D$11),Supuestos!$D$11+SQRT(H155*(Supuestos!$F$11-Supuestos!$D$11)*(Supuestos!$E$11-Supuestos!$D$11)),Supuestos!$F$11-SQRT((1-H155)*(Supuestos!$F$11-Supuestos!$D$11)*(Supuestos!$F$11-Supuestos!$E$11))),IF(Supuestos!$C$11="Uniforme",Supuestos!$D$11+H155*(Supuestos!$E$11-Supuestos!$D$11),IF(Supuestos!$C$11="Lognormal",LOGINV(H155,LN(Supuestos!$D$11)-LN(1+Supuestos!$E$11^2/Supuestos!$D$11^2)/2,SQRT(LN(1+Supuestos!$E$11^2/Supuestos!$D$11^2))),Supuestos!$D$11))))))</f>
        <v/>
      </c>
      <c r="P155" s="33">
        <f>-I155</f>
        <v/>
      </c>
      <c r="Q155" s="33">
        <f>$J155*(1+$K155)^(1-1)*(1-$L155)*(1-$M155)</f>
        <v/>
      </c>
      <c r="R155" s="33">
        <f>$J155*(1+$K155)^(2-1)*(1-$L155)*(1-$M155)</f>
        <v/>
      </c>
      <c r="S155" s="33">
        <f>$J155*(1+$K155)^(3-1)*(1-$L155)*(1-$M155)</f>
        <v/>
      </c>
      <c r="T155" s="33">
        <f>$J155*(1+$K155)^(4-1)*(1-$L155)*(1-$M155)</f>
        <v/>
      </c>
      <c r="U155" s="33">
        <f>$J155*(1+$K155)^(5-1)*(1-$L155)*(1-$M155)+$O155</f>
        <v/>
      </c>
      <c r="V155" s="33">
        <f>P155+NPV($N155,Q155:U155)</f>
        <v/>
      </c>
      <c r="W155" s="32">
        <f>IFERROR(IRR(P155:U155,0.1),"")</f>
        <v/>
      </c>
    </row>
    <row r="156">
      <c r="A156" s="14" t="n">
        <v>152</v>
      </c>
      <c r="B156" s="30">
        <f>RAND()*(1-2E-6)+1E-6</f>
        <v/>
      </c>
      <c r="C156" s="30">
        <f>RAND()*(1-2E-6)+1E-6</f>
        <v/>
      </c>
      <c r="D156" s="30">
        <f>RAND()*(1-2E-6)+1E-6</f>
        <v/>
      </c>
      <c r="E156" s="30">
        <f>RAND()*(1-2E-6)+1E-6</f>
        <v/>
      </c>
      <c r="F156" s="30">
        <f>RAND()*(1-2E-6)+1E-6</f>
        <v/>
      </c>
      <c r="G156" s="30">
        <f>RAND()*(1-2E-6)+1E-6</f>
        <v/>
      </c>
      <c r="H156" s="30">
        <f>RAND()*(1-2E-6)+1E-6</f>
        <v/>
      </c>
      <c r="I156" s="31">
        <f>MIN(IF(Supuestos!$H$5="",1E+99,Supuestos!$H$5),MAX(IF(Supuestos!$G$5="",-1E+99,Supuestos!$G$5),IF(Supuestos!$C$5="Normal",NORMINV(B156,Supuestos!$D$5,Supuestos!$E$5),IF(Supuestos!$C$5="Triangular",IF(B156&lt;(Supuestos!$E$5-Supuestos!$D$5)/(Supuestos!$F$5-Supuestos!$D$5),Supuestos!$D$5+SQRT(B156*(Supuestos!$F$5-Supuestos!$D$5)*(Supuestos!$E$5-Supuestos!$D$5)),Supuestos!$F$5-SQRT((1-B156)*(Supuestos!$F$5-Supuestos!$D$5)*(Supuestos!$F$5-Supuestos!$E$5))),IF(Supuestos!$C$5="Uniforme",Supuestos!$D$5+B156*(Supuestos!$E$5-Supuestos!$D$5),IF(Supuestos!$C$5="Lognormal",LOGINV(B156,LN(Supuestos!$D$5)-LN(1+Supuestos!$E$5^2/Supuestos!$D$5^2)/2,SQRT(LN(1+Supuestos!$E$5^2/Supuestos!$D$5^2))),Supuestos!$D$5))))))</f>
        <v/>
      </c>
      <c r="J156" s="31">
        <f>MIN(IF(Supuestos!$H$6="",1E+99,Supuestos!$H$6),MAX(IF(Supuestos!$G$6="",-1E+99,Supuestos!$G$6),IF(Supuestos!$C$6="Normal",NORMINV(C156,Supuestos!$D$6,Supuestos!$E$6),IF(Supuestos!$C$6="Triangular",IF(C156&lt;(Supuestos!$E$6-Supuestos!$D$6)/(Supuestos!$F$6-Supuestos!$D$6),Supuestos!$D$6+SQRT(C156*(Supuestos!$F$6-Supuestos!$D$6)*(Supuestos!$E$6-Supuestos!$D$6)),Supuestos!$F$6-SQRT((1-C156)*(Supuestos!$F$6-Supuestos!$D$6)*(Supuestos!$F$6-Supuestos!$E$6))),IF(Supuestos!$C$6="Uniforme",Supuestos!$D$6+C156*(Supuestos!$E$6-Supuestos!$D$6),IF(Supuestos!$C$6="Lognormal",LOGINV(C156,LN(Supuestos!$D$6)-LN(1+Supuestos!$E$6^2/Supuestos!$D$6^2)/2,SQRT(LN(1+Supuestos!$E$6^2/Supuestos!$D$6^2))),Supuestos!$D$6))))))</f>
        <v/>
      </c>
      <c r="K156" s="32">
        <f>MIN(IF(Supuestos!$H$7="",1E+99,Supuestos!$H$7),MAX(IF(Supuestos!$G$7="",-1E+99,Supuestos!$G$7),IF(Supuestos!$C$7="Normal",NORMINV(D156,Supuestos!$D$7,Supuestos!$E$7),IF(Supuestos!$C$7="Triangular",IF(D156&lt;(Supuestos!$E$7-Supuestos!$D$7)/(Supuestos!$F$7-Supuestos!$D$7),Supuestos!$D$7+SQRT(D156*(Supuestos!$F$7-Supuestos!$D$7)*(Supuestos!$E$7-Supuestos!$D$7)),Supuestos!$F$7-SQRT((1-D156)*(Supuestos!$F$7-Supuestos!$D$7)*(Supuestos!$F$7-Supuestos!$E$7))),IF(Supuestos!$C$7="Uniforme",Supuestos!$D$7+D156*(Supuestos!$E$7-Supuestos!$D$7),IF(Supuestos!$C$7="Lognormal",LOGINV(D156,LN(Supuestos!$D$7)-LN(1+Supuestos!$E$7^2/Supuestos!$D$7^2)/2,SQRT(LN(1+Supuestos!$E$7^2/Supuestos!$D$7^2))),Supuestos!$D$7))))))</f>
        <v/>
      </c>
      <c r="L156" s="32">
        <f>MIN(IF(Supuestos!$H$8="",1E+99,Supuestos!$H$8),MAX(IF(Supuestos!$G$8="",-1E+99,Supuestos!$G$8),IF(Supuestos!$C$8="Normal",NORMINV(E156,Supuestos!$D$8,Supuestos!$E$8),IF(Supuestos!$C$8="Triangular",IF(E156&lt;(Supuestos!$E$8-Supuestos!$D$8)/(Supuestos!$F$8-Supuestos!$D$8),Supuestos!$D$8+SQRT(E156*(Supuestos!$F$8-Supuestos!$D$8)*(Supuestos!$E$8-Supuestos!$D$8)),Supuestos!$F$8-SQRT((1-E156)*(Supuestos!$F$8-Supuestos!$D$8)*(Supuestos!$F$8-Supuestos!$E$8))),IF(Supuestos!$C$8="Uniforme",Supuestos!$D$8+E156*(Supuestos!$E$8-Supuestos!$D$8),IF(Supuestos!$C$8="Lognormal",LOGINV(E156,LN(Supuestos!$D$8)-LN(1+Supuestos!$E$8^2/Supuestos!$D$8^2)/2,SQRT(LN(1+Supuestos!$E$8^2/Supuestos!$D$8^2))),Supuestos!$D$8))))))</f>
        <v/>
      </c>
      <c r="M156" s="32">
        <f>MIN(IF(Supuestos!$H$9="",1E+99,Supuestos!$H$9),MAX(IF(Supuestos!$G$9="",-1E+99,Supuestos!$G$9),IF(Supuestos!$C$9="Normal",NORMINV(F156,Supuestos!$D$9,Supuestos!$E$9),IF(Supuestos!$C$9="Triangular",IF(F156&lt;(Supuestos!$E$9-Supuestos!$D$9)/(Supuestos!$F$9-Supuestos!$D$9),Supuestos!$D$9+SQRT(F156*(Supuestos!$F$9-Supuestos!$D$9)*(Supuestos!$E$9-Supuestos!$D$9)),Supuestos!$F$9-SQRT((1-F156)*(Supuestos!$F$9-Supuestos!$D$9)*(Supuestos!$F$9-Supuestos!$E$9))),IF(Supuestos!$C$9="Uniforme",Supuestos!$D$9+F156*(Supuestos!$E$9-Supuestos!$D$9),IF(Supuestos!$C$9="Lognormal",LOGINV(F156,LN(Supuestos!$D$9)-LN(1+Supuestos!$E$9^2/Supuestos!$D$9^2)/2,SQRT(LN(1+Supuestos!$E$9^2/Supuestos!$D$9^2))),Supuestos!$D$9))))))</f>
        <v/>
      </c>
      <c r="N156" s="32">
        <f>MIN(IF(Supuestos!$H$10="",1E+99,Supuestos!$H$10),MAX(IF(Supuestos!$G$10="",-1E+99,Supuestos!$G$10),IF(Supuestos!$C$10="Normal",NORMINV(G156,Supuestos!$D$10,Supuestos!$E$10),IF(Supuestos!$C$10="Triangular",IF(G156&lt;(Supuestos!$E$10-Supuestos!$D$10)/(Supuestos!$F$10-Supuestos!$D$10),Supuestos!$D$10+SQRT(G156*(Supuestos!$F$10-Supuestos!$D$10)*(Supuestos!$E$10-Supuestos!$D$10)),Supuestos!$F$10-SQRT((1-G156)*(Supuestos!$F$10-Supuestos!$D$10)*(Supuestos!$F$10-Supuestos!$E$10))),IF(Supuestos!$C$10="Uniforme",Supuestos!$D$10+G156*(Supuestos!$E$10-Supuestos!$D$10),IF(Supuestos!$C$10="Lognormal",LOGINV(G156,LN(Supuestos!$D$10)-LN(1+Supuestos!$E$10^2/Supuestos!$D$10^2)/2,SQRT(LN(1+Supuestos!$E$10^2/Supuestos!$D$10^2))),Supuestos!$D$10))))))</f>
        <v/>
      </c>
      <c r="O156" s="31">
        <f>MIN(IF(Supuestos!$H$11="",1E+99,Supuestos!$H$11),MAX(IF(Supuestos!$G$11="",-1E+99,Supuestos!$G$11),IF(Supuestos!$C$11="Normal",NORMINV(H156,Supuestos!$D$11,Supuestos!$E$11),IF(Supuestos!$C$11="Triangular",IF(H156&lt;(Supuestos!$E$11-Supuestos!$D$11)/(Supuestos!$F$11-Supuestos!$D$11),Supuestos!$D$11+SQRT(H156*(Supuestos!$F$11-Supuestos!$D$11)*(Supuestos!$E$11-Supuestos!$D$11)),Supuestos!$F$11-SQRT((1-H156)*(Supuestos!$F$11-Supuestos!$D$11)*(Supuestos!$F$11-Supuestos!$E$11))),IF(Supuestos!$C$11="Uniforme",Supuestos!$D$11+H156*(Supuestos!$E$11-Supuestos!$D$11),IF(Supuestos!$C$11="Lognormal",LOGINV(H156,LN(Supuestos!$D$11)-LN(1+Supuestos!$E$11^2/Supuestos!$D$11^2)/2,SQRT(LN(1+Supuestos!$E$11^2/Supuestos!$D$11^2))),Supuestos!$D$11))))))</f>
        <v/>
      </c>
      <c r="P156" s="33">
        <f>-I156</f>
        <v/>
      </c>
      <c r="Q156" s="33">
        <f>$J156*(1+$K156)^(1-1)*(1-$L156)*(1-$M156)</f>
        <v/>
      </c>
      <c r="R156" s="33">
        <f>$J156*(1+$K156)^(2-1)*(1-$L156)*(1-$M156)</f>
        <v/>
      </c>
      <c r="S156" s="33">
        <f>$J156*(1+$K156)^(3-1)*(1-$L156)*(1-$M156)</f>
        <v/>
      </c>
      <c r="T156" s="33">
        <f>$J156*(1+$K156)^(4-1)*(1-$L156)*(1-$M156)</f>
        <v/>
      </c>
      <c r="U156" s="33">
        <f>$J156*(1+$K156)^(5-1)*(1-$L156)*(1-$M156)+$O156</f>
        <v/>
      </c>
      <c r="V156" s="33">
        <f>P156+NPV($N156,Q156:U156)</f>
        <v/>
      </c>
      <c r="W156" s="32">
        <f>IFERROR(IRR(P156:U156,0.1),"")</f>
        <v/>
      </c>
    </row>
    <row r="157">
      <c r="A157" s="14" t="n">
        <v>153</v>
      </c>
      <c r="B157" s="30">
        <f>RAND()*(1-2E-6)+1E-6</f>
        <v/>
      </c>
      <c r="C157" s="30">
        <f>RAND()*(1-2E-6)+1E-6</f>
        <v/>
      </c>
      <c r="D157" s="30">
        <f>RAND()*(1-2E-6)+1E-6</f>
        <v/>
      </c>
      <c r="E157" s="30">
        <f>RAND()*(1-2E-6)+1E-6</f>
        <v/>
      </c>
      <c r="F157" s="30">
        <f>RAND()*(1-2E-6)+1E-6</f>
        <v/>
      </c>
      <c r="G157" s="30">
        <f>RAND()*(1-2E-6)+1E-6</f>
        <v/>
      </c>
      <c r="H157" s="30">
        <f>RAND()*(1-2E-6)+1E-6</f>
        <v/>
      </c>
      <c r="I157" s="31">
        <f>MIN(IF(Supuestos!$H$5="",1E+99,Supuestos!$H$5),MAX(IF(Supuestos!$G$5="",-1E+99,Supuestos!$G$5),IF(Supuestos!$C$5="Normal",NORMINV(B157,Supuestos!$D$5,Supuestos!$E$5),IF(Supuestos!$C$5="Triangular",IF(B157&lt;(Supuestos!$E$5-Supuestos!$D$5)/(Supuestos!$F$5-Supuestos!$D$5),Supuestos!$D$5+SQRT(B157*(Supuestos!$F$5-Supuestos!$D$5)*(Supuestos!$E$5-Supuestos!$D$5)),Supuestos!$F$5-SQRT((1-B157)*(Supuestos!$F$5-Supuestos!$D$5)*(Supuestos!$F$5-Supuestos!$E$5))),IF(Supuestos!$C$5="Uniforme",Supuestos!$D$5+B157*(Supuestos!$E$5-Supuestos!$D$5),IF(Supuestos!$C$5="Lognormal",LOGINV(B157,LN(Supuestos!$D$5)-LN(1+Supuestos!$E$5^2/Supuestos!$D$5^2)/2,SQRT(LN(1+Supuestos!$E$5^2/Supuestos!$D$5^2))),Supuestos!$D$5))))))</f>
        <v/>
      </c>
      <c r="J157" s="31">
        <f>MIN(IF(Supuestos!$H$6="",1E+99,Supuestos!$H$6),MAX(IF(Supuestos!$G$6="",-1E+99,Supuestos!$G$6),IF(Supuestos!$C$6="Normal",NORMINV(C157,Supuestos!$D$6,Supuestos!$E$6),IF(Supuestos!$C$6="Triangular",IF(C157&lt;(Supuestos!$E$6-Supuestos!$D$6)/(Supuestos!$F$6-Supuestos!$D$6),Supuestos!$D$6+SQRT(C157*(Supuestos!$F$6-Supuestos!$D$6)*(Supuestos!$E$6-Supuestos!$D$6)),Supuestos!$F$6-SQRT((1-C157)*(Supuestos!$F$6-Supuestos!$D$6)*(Supuestos!$F$6-Supuestos!$E$6))),IF(Supuestos!$C$6="Uniforme",Supuestos!$D$6+C157*(Supuestos!$E$6-Supuestos!$D$6),IF(Supuestos!$C$6="Lognormal",LOGINV(C157,LN(Supuestos!$D$6)-LN(1+Supuestos!$E$6^2/Supuestos!$D$6^2)/2,SQRT(LN(1+Supuestos!$E$6^2/Supuestos!$D$6^2))),Supuestos!$D$6))))))</f>
        <v/>
      </c>
      <c r="K157" s="32">
        <f>MIN(IF(Supuestos!$H$7="",1E+99,Supuestos!$H$7),MAX(IF(Supuestos!$G$7="",-1E+99,Supuestos!$G$7),IF(Supuestos!$C$7="Normal",NORMINV(D157,Supuestos!$D$7,Supuestos!$E$7),IF(Supuestos!$C$7="Triangular",IF(D157&lt;(Supuestos!$E$7-Supuestos!$D$7)/(Supuestos!$F$7-Supuestos!$D$7),Supuestos!$D$7+SQRT(D157*(Supuestos!$F$7-Supuestos!$D$7)*(Supuestos!$E$7-Supuestos!$D$7)),Supuestos!$F$7-SQRT((1-D157)*(Supuestos!$F$7-Supuestos!$D$7)*(Supuestos!$F$7-Supuestos!$E$7))),IF(Supuestos!$C$7="Uniforme",Supuestos!$D$7+D157*(Supuestos!$E$7-Supuestos!$D$7),IF(Supuestos!$C$7="Lognormal",LOGINV(D157,LN(Supuestos!$D$7)-LN(1+Supuestos!$E$7^2/Supuestos!$D$7^2)/2,SQRT(LN(1+Supuestos!$E$7^2/Supuestos!$D$7^2))),Supuestos!$D$7))))))</f>
        <v/>
      </c>
      <c r="L157" s="32">
        <f>MIN(IF(Supuestos!$H$8="",1E+99,Supuestos!$H$8),MAX(IF(Supuestos!$G$8="",-1E+99,Supuestos!$G$8),IF(Supuestos!$C$8="Normal",NORMINV(E157,Supuestos!$D$8,Supuestos!$E$8),IF(Supuestos!$C$8="Triangular",IF(E157&lt;(Supuestos!$E$8-Supuestos!$D$8)/(Supuestos!$F$8-Supuestos!$D$8),Supuestos!$D$8+SQRT(E157*(Supuestos!$F$8-Supuestos!$D$8)*(Supuestos!$E$8-Supuestos!$D$8)),Supuestos!$F$8-SQRT((1-E157)*(Supuestos!$F$8-Supuestos!$D$8)*(Supuestos!$F$8-Supuestos!$E$8))),IF(Supuestos!$C$8="Uniforme",Supuestos!$D$8+E157*(Supuestos!$E$8-Supuestos!$D$8),IF(Supuestos!$C$8="Lognormal",LOGINV(E157,LN(Supuestos!$D$8)-LN(1+Supuestos!$E$8^2/Supuestos!$D$8^2)/2,SQRT(LN(1+Supuestos!$E$8^2/Supuestos!$D$8^2))),Supuestos!$D$8))))))</f>
        <v/>
      </c>
      <c r="M157" s="32">
        <f>MIN(IF(Supuestos!$H$9="",1E+99,Supuestos!$H$9),MAX(IF(Supuestos!$G$9="",-1E+99,Supuestos!$G$9),IF(Supuestos!$C$9="Normal",NORMINV(F157,Supuestos!$D$9,Supuestos!$E$9),IF(Supuestos!$C$9="Triangular",IF(F157&lt;(Supuestos!$E$9-Supuestos!$D$9)/(Supuestos!$F$9-Supuestos!$D$9),Supuestos!$D$9+SQRT(F157*(Supuestos!$F$9-Supuestos!$D$9)*(Supuestos!$E$9-Supuestos!$D$9)),Supuestos!$F$9-SQRT((1-F157)*(Supuestos!$F$9-Supuestos!$D$9)*(Supuestos!$F$9-Supuestos!$E$9))),IF(Supuestos!$C$9="Uniforme",Supuestos!$D$9+F157*(Supuestos!$E$9-Supuestos!$D$9),IF(Supuestos!$C$9="Lognormal",LOGINV(F157,LN(Supuestos!$D$9)-LN(1+Supuestos!$E$9^2/Supuestos!$D$9^2)/2,SQRT(LN(1+Supuestos!$E$9^2/Supuestos!$D$9^2))),Supuestos!$D$9))))))</f>
        <v/>
      </c>
      <c r="N157" s="32">
        <f>MIN(IF(Supuestos!$H$10="",1E+99,Supuestos!$H$10),MAX(IF(Supuestos!$G$10="",-1E+99,Supuestos!$G$10),IF(Supuestos!$C$10="Normal",NORMINV(G157,Supuestos!$D$10,Supuestos!$E$10),IF(Supuestos!$C$10="Triangular",IF(G157&lt;(Supuestos!$E$10-Supuestos!$D$10)/(Supuestos!$F$10-Supuestos!$D$10),Supuestos!$D$10+SQRT(G157*(Supuestos!$F$10-Supuestos!$D$10)*(Supuestos!$E$10-Supuestos!$D$10)),Supuestos!$F$10-SQRT((1-G157)*(Supuestos!$F$10-Supuestos!$D$10)*(Supuestos!$F$10-Supuestos!$E$10))),IF(Supuestos!$C$10="Uniforme",Supuestos!$D$10+G157*(Supuestos!$E$10-Supuestos!$D$10),IF(Supuestos!$C$10="Lognormal",LOGINV(G157,LN(Supuestos!$D$10)-LN(1+Supuestos!$E$10^2/Supuestos!$D$10^2)/2,SQRT(LN(1+Supuestos!$E$10^2/Supuestos!$D$10^2))),Supuestos!$D$10))))))</f>
        <v/>
      </c>
      <c r="O157" s="31">
        <f>MIN(IF(Supuestos!$H$11="",1E+99,Supuestos!$H$11),MAX(IF(Supuestos!$G$11="",-1E+99,Supuestos!$G$11),IF(Supuestos!$C$11="Normal",NORMINV(H157,Supuestos!$D$11,Supuestos!$E$11),IF(Supuestos!$C$11="Triangular",IF(H157&lt;(Supuestos!$E$11-Supuestos!$D$11)/(Supuestos!$F$11-Supuestos!$D$11),Supuestos!$D$11+SQRT(H157*(Supuestos!$F$11-Supuestos!$D$11)*(Supuestos!$E$11-Supuestos!$D$11)),Supuestos!$F$11-SQRT((1-H157)*(Supuestos!$F$11-Supuestos!$D$11)*(Supuestos!$F$11-Supuestos!$E$11))),IF(Supuestos!$C$11="Uniforme",Supuestos!$D$11+H157*(Supuestos!$E$11-Supuestos!$D$11),IF(Supuestos!$C$11="Lognormal",LOGINV(H157,LN(Supuestos!$D$11)-LN(1+Supuestos!$E$11^2/Supuestos!$D$11^2)/2,SQRT(LN(1+Supuestos!$E$11^2/Supuestos!$D$11^2))),Supuestos!$D$11))))))</f>
        <v/>
      </c>
      <c r="P157" s="33">
        <f>-I157</f>
        <v/>
      </c>
      <c r="Q157" s="33">
        <f>$J157*(1+$K157)^(1-1)*(1-$L157)*(1-$M157)</f>
        <v/>
      </c>
      <c r="R157" s="33">
        <f>$J157*(1+$K157)^(2-1)*(1-$L157)*(1-$M157)</f>
        <v/>
      </c>
      <c r="S157" s="33">
        <f>$J157*(1+$K157)^(3-1)*(1-$L157)*(1-$M157)</f>
        <v/>
      </c>
      <c r="T157" s="33">
        <f>$J157*(1+$K157)^(4-1)*(1-$L157)*(1-$M157)</f>
        <v/>
      </c>
      <c r="U157" s="33">
        <f>$J157*(1+$K157)^(5-1)*(1-$L157)*(1-$M157)+$O157</f>
        <v/>
      </c>
      <c r="V157" s="33">
        <f>P157+NPV($N157,Q157:U157)</f>
        <v/>
      </c>
      <c r="W157" s="32">
        <f>IFERROR(IRR(P157:U157,0.1),"")</f>
        <v/>
      </c>
    </row>
    <row r="158">
      <c r="A158" s="14" t="n">
        <v>154</v>
      </c>
      <c r="B158" s="30">
        <f>RAND()*(1-2E-6)+1E-6</f>
        <v/>
      </c>
      <c r="C158" s="30">
        <f>RAND()*(1-2E-6)+1E-6</f>
        <v/>
      </c>
      <c r="D158" s="30">
        <f>RAND()*(1-2E-6)+1E-6</f>
        <v/>
      </c>
      <c r="E158" s="30">
        <f>RAND()*(1-2E-6)+1E-6</f>
        <v/>
      </c>
      <c r="F158" s="30">
        <f>RAND()*(1-2E-6)+1E-6</f>
        <v/>
      </c>
      <c r="G158" s="30">
        <f>RAND()*(1-2E-6)+1E-6</f>
        <v/>
      </c>
      <c r="H158" s="30">
        <f>RAND()*(1-2E-6)+1E-6</f>
        <v/>
      </c>
      <c r="I158" s="31">
        <f>MIN(IF(Supuestos!$H$5="",1E+99,Supuestos!$H$5),MAX(IF(Supuestos!$G$5="",-1E+99,Supuestos!$G$5),IF(Supuestos!$C$5="Normal",NORMINV(B158,Supuestos!$D$5,Supuestos!$E$5),IF(Supuestos!$C$5="Triangular",IF(B158&lt;(Supuestos!$E$5-Supuestos!$D$5)/(Supuestos!$F$5-Supuestos!$D$5),Supuestos!$D$5+SQRT(B158*(Supuestos!$F$5-Supuestos!$D$5)*(Supuestos!$E$5-Supuestos!$D$5)),Supuestos!$F$5-SQRT((1-B158)*(Supuestos!$F$5-Supuestos!$D$5)*(Supuestos!$F$5-Supuestos!$E$5))),IF(Supuestos!$C$5="Uniforme",Supuestos!$D$5+B158*(Supuestos!$E$5-Supuestos!$D$5),IF(Supuestos!$C$5="Lognormal",LOGINV(B158,LN(Supuestos!$D$5)-LN(1+Supuestos!$E$5^2/Supuestos!$D$5^2)/2,SQRT(LN(1+Supuestos!$E$5^2/Supuestos!$D$5^2))),Supuestos!$D$5))))))</f>
        <v/>
      </c>
      <c r="J158" s="31">
        <f>MIN(IF(Supuestos!$H$6="",1E+99,Supuestos!$H$6),MAX(IF(Supuestos!$G$6="",-1E+99,Supuestos!$G$6),IF(Supuestos!$C$6="Normal",NORMINV(C158,Supuestos!$D$6,Supuestos!$E$6),IF(Supuestos!$C$6="Triangular",IF(C158&lt;(Supuestos!$E$6-Supuestos!$D$6)/(Supuestos!$F$6-Supuestos!$D$6),Supuestos!$D$6+SQRT(C158*(Supuestos!$F$6-Supuestos!$D$6)*(Supuestos!$E$6-Supuestos!$D$6)),Supuestos!$F$6-SQRT((1-C158)*(Supuestos!$F$6-Supuestos!$D$6)*(Supuestos!$F$6-Supuestos!$E$6))),IF(Supuestos!$C$6="Uniforme",Supuestos!$D$6+C158*(Supuestos!$E$6-Supuestos!$D$6),IF(Supuestos!$C$6="Lognormal",LOGINV(C158,LN(Supuestos!$D$6)-LN(1+Supuestos!$E$6^2/Supuestos!$D$6^2)/2,SQRT(LN(1+Supuestos!$E$6^2/Supuestos!$D$6^2))),Supuestos!$D$6))))))</f>
        <v/>
      </c>
      <c r="K158" s="32">
        <f>MIN(IF(Supuestos!$H$7="",1E+99,Supuestos!$H$7),MAX(IF(Supuestos!$G$7="",-1E+99,Supuestos!$G$7),IF(Supuestos!$C$7="Normal",NORMINV(D158,Supuestos!$D$7,Supuestos!$E$7),IF(Supuestos!$C$7="Triangular",IF(D158&lt;(Supuestos!$E$7-Supuestos!$D$7)/(Supuestos!$F$7-Supuestos!$D$7),Supuestos!$D$7+SQRT(D158*(Supuestos!$F$7-Supuestos!$D$7)*(Supuestos!$E$7-Supuestos!$D$7)),Supuestos!$F$7-SQRT((1-D158)*(Supuestos!$F$7-Supuestos!$D$7)*(Supuestos!$F$7-Supuestos!$E$7))),IF(Supuestos!$C$7="Uniforme",Supuestos!$D$7+D158*(Supuestos!$E$7-Supuestos!$D$7),IF(Supuestos!$C$7="Lognormal",LOGINV(D158,LN(Supuestos!$D$7)-LN(1+Supuestos!$E$7^2/Supuestos!$D$7^2)/2,SQRT(LN(1+Supuestos!$E$7^2/Supuestos!$D$7^2))),Supuestos!$D$7))))))</f>
        <v/>
      </c>
      <c r="L158" s="32">
        <f>MIN(IF(Supuestos!$H$8="",1E+99,Supuestos!$H$8),MAX(IF(Supuestos!$G$8="",-1E+99,Supuestos!$G$8),IF(Supuestos!$C$8="Normal",NORMINV(E158,Supuestos!$D$8,Supuestos!$E$8),IF(Supuestos!$C$8="Triangular",IF(E158&lt;(Supuestos!$E$8-Supuestos!$D$8)/(Supuestos!$F$8-Supuestos!$D$8),Supuestos!$D$8+SQRT(E158*(Supuestos!$F$8-Supuestos!$D$8)*(Supuestos!$E$8-Supuestos!$D$8)),Supuestos!$F$8-SQRT((1-E158)*(Supuestos!$F$8-Supuestos!$D$8)*(Supuestos!$F$8-Supuestos!$E$8))),IF(Supuestos!$C$8="Uniforme",Supuestos!$D$8+E158*(Supuestos!$E$8-Supuestos!$D$8),IF(Supuestos!$C$8="Lognormal",LOGINV(E158,LN(Supuestos!$D$8)-LN(1+Supuestos!$E$8^2/Supuestos!$D$8^2)/2,SQRT(LN(1+Supuestos!$E$8^2/Supuestos!$D$8^2))),Supuestos!$D$8))))))</f>
        <v/>
      </c>
      <c r="M158" s="32">
        <f>MIN(IF(Supuestos!$H$9="",1E+99,Supuestos!$H$9),MAX(IF(Supuestos!$G$9="",-1E+99,Supuestos!$G$9),IF(Supuestos!$C$9="Normal",NORMINV(F158,Supuestos!$D$9,Supuestos!$E$9),IF(Supuestos!$C$9="Triangular",IF(F158&lt;(Supuestos!$E$9-Supuestos!$D$9)/(Supuestos!$F$9-Supuestos!$D$9),Supuestos!$D$9+SQRT(F158*(Supuestos!$F$9-Supuestos!$D$9)*(Supuestos!$E$9-Supuestos!$D$9)),Supuestos!$F$9-SQRT((1-F158)*(Supuestos!$F$9-Supuestos!$D$9)*(Supuestos!$F$9-Supuestos!$E$9))),IF(Supuestos!$C$9="Uniforme",Supuestos!$D$9+F158*(Supuestos!$E$9-Supuestos!$D$9),IF(Supuestos!$C$9="Lognormal",LOGINV(F158,LN(Supuestos!$D$9)-LN(1+Supuestos!$E$9^2/Supuestos!$D$9^2)/2,SQRT(LN(1+Supuestos!$E$9^2/Supuestos!$D$9^2))),Supuestos!$D$9))))))</f>
        <v/>
      </c>
      <c r="N158" s="32">
        <f>MIN(IF(Supuestos!$H$10="",1E+99,Supuestos!$H$10),MAX(IF(Supuestos!$G$10="",-1E+99,Supuestos!$G$10),IF(Supuestos!$C$10="Normal",NORMINV(G158,Supuestos!$D$10,Supuestos!$E$10),IF(Supuestos!$C$10="Triangular",IF(G158&lt;(Supuestos!$E$10-Supuestos!$D$10)/(Supuestos!$F$10-Supuestos!$D$10),Supuestos!$D$10+SQRT(G158*(Supuestos!$F$10-Supuestos!$D$10)*(Supuestos!$E$10-Supuestos!$D$10)),Supuestos!$F$10-SQRT((1-G158)*(Supuestos!$F$10-Supuestos!$D$10)*(Supuestos!$F$10-Supuestos!$E$10))),IF(Supuestos!$C$10="Uniforme",Supuestos!$D$10+G158*(Supuestos!$E$10-Supuestos!$D$10),IF(Supuestos!$C$10="Lognormal",LOGINV(G158,LN(Supuestos!$D$10)-LN(1+Supuestos!$E$10^2/Supuestos!$D$10^2)/2,SQRT(LN(1+Supuestos!$E$10^2/Supuestos!$D$10^2))),Supuestos!$D$10))))))</f>
        <v/>
      </c>
      <c r="O158" s="31">
        <f>MIN(IF(Supuestos!$H$11="",1E+99,Supuestos!$H$11),MAX(IF(Supuestos!$G$11="",-1E+99,Supuestos!$G$11),IF(Supuestos!$C$11="Normal",NORMINV(H158,Supuestos!$D$11,Supuestos!$E$11),IF(Supuestos!$C$11="Triangular",IF(H158&lt;(Supuestos!$E$11-Supuestos!$D$11)/(Supuestos!$F$11-Supuestos!$D$11),Supuestos!$D$11+SQRT(H158*(Supuestos!$F$11-Supuestos!$D$11)*(Supuestos!$E$11-Supuestos!$D$11)),Supuestos!$F$11-SQRT((1-H158)*(Supuestos!$F$11-Supuestos!$D$11)*(Supuestos!$F$11-Supuestos!$E$11))),IF(Supuestos!$C$11="Uniforme",Supuestos!$D$11+H158*(Supuestos!$E$11-Supuestos!$D$11),IF(Supuestos!$C$11="Lognormal",LOGINV(H158,LN(Supuestos!$D$11)-LN(1+Supuestos!$E$11^2/Supuestos!$D$11^2)/2,SQRT(LN(1+Supuestos!$E$11^2/Supuestos!$D$11^2))),Supuestos!$D$11))))))</f>
        <v/>
      </c>
      <c r="P158" s="33">
        <f>-I158</f>
        <v/>
      </c>
      <c r="Q158" s="33">
        <f>$J158*(1+$K158)^(1-1)*(1-$L158)*(1-$M158)</f>
        <v/>
      </c>
      <c r="R158" s="33">
        <f>$J158*(1+$K158)^(2-1)*(1-$L158)*(1-$M158)</f>
        <v/>
      </c>
      <c r="S158" s="33">
        <f>$J158*(1+$K158)^(3-1)*(1-$L158)*(1-$M158)</f>
        <v/>
      </c>
      <c r="T158" s="33">
        <f>$J158*(1+$K158)^(4-1)*(1-$L158)*(1-$M158)</f>
        <v/>
      </c>
      <c r="U158" s="33">
        <f>$J158*(1+$K158)^(5-1)*(1-$L158)*(1-$M158)+$O158</f>
        <v/>
      </c>
      <c r="V158" s="33">
        <f>P158+NPV($N158,Q158:U158)</f>
        <v/>
      </c>
      <c r="W158" s="32">
        <f>IFERROR(IRR(P158:U158,0.1),"")</f>
        <v/>
      </c>
    </row>
    <row r="159">
      <c r="A159" s="14" t="n">
        <v>155</v>
      </c>
      <c r="B159" s="30">
        <f>RAND()*(1-2E-6)+1E-6</f>
        <v/>
      </c>
      <c r="C159" s="30">
        <f>RAND()*(1-2E-6)+1E-6</f>
        <v/>
      </c>
      <c r="D159" s="30">
        <f>RAND()*(1-2E-6)+1E-6</f>
        <v/>
      </c>
      <c r="E159" s="30">
        <f>RAND()*(1-2E-6)+1E-6</f>
        <v/>
      </c>
      <c r="F159" s="30">
        <f>RAND()*(1-2E-6)+1E-6</f>
        <v/>
      </c>
      <c r="G159" s="30">
        <f>RAND()*(1-2E-6)+1E-6</f>
        <v/>
      </c>
      <c r="H159" s="30">
        <f>RAND()*(1-2E-6)+1E-6</f>
        <v/>
      </c>
      <c r="I159" s="31">
        <f>MIN(IF(Supuestos!$H$5="",1E+99,Supuestos!$H$5),MAX(IF(Supuestos!$G$5="",-1E+99,Supuestos!$G$5),IF(Supuestos!$C$5="Normal",NORMINV(B159,Supuestos!$D$5,Supuestos!$E$5),IF(Supuestos!$C$5="Triangular",IF(B159&lt;(Supuestos!$E$5-Supuestos!$D$5)/(Supuestos!$F$5-Supuestos!$D$5),Supuestos!$D$5+SQRT(B159*(Supuestos!$F$5-Supuestos!$D$5)*(Supuestos!$E$5-Supuestos!$D$5)),Supuestos!$F$5-SQRT((1-B159)*(Supuestos!$F$5-Supuestos!$D$5)*(Supuestos!$F$5-Supuestos!$E$5))),IF(Supuestos!$C$5="Uniforme",Supuestos!$D$5+B159*(Supuestos!$E$5-Supuestos!$D$5),IF(Supuestos!$C$5="Lognormal",LOGINV(B159,LN(Supuestos!$D$5)-LN(1+Supuestos!$E$5^2/Supuestos!$D$5^2)/2,SQRT(LN(1+Supuestos!$E$5^2/Supuestos!$D$5^2))),Supuestos!$D$5))))))</f>
        <v/>
      </c>
      <c r="J159" s="31">
        <f>MIN(IF(Supuestos!$H$6="",1E+99,Supuestos!$H$6),MAX(IF(Supuestos!$G$6="",-1E+99,Supuestos!$G$6),IF(Supuestos!$C$6="Normal",NORMINV(C159,Supuestos!$D$6,Supuestos!$E$6),IF(Supuestos!$C$6="Triangular",IF(C159&lt;(Supuestos!$E$6-Supuestos!$D$6)/(Supuestos!$F$6-Supuestos!$D$6),Supuestos!$D$6+SQRT(C159*(Supuestos!$F$6-Supuestos!$D$6)*(Supuestos!$E$6-Supuestos!$D$6)),Supuestos!$F$6-SQRT((1-C159)*(Supuestos!$F$6-Supuestos!$D$6)*(Supuestos!$F$6-Supuestos!$E$6))),IF(Supuestos!$C$6="Uniforme",Supuestos!$D$6+C159*(Supuestos!$E$6-Supuestos!$D$6),IF(Supuestos!$C$6="Lognormal",LOGINV(C159,LN(Supuestos!$D$6)-LN(1+Supuestos!$E$6^2/Supuestos!$D$6^2)/2,SQRT(LN(1+Supuestos!$E$6^2/Supuestos!$D$6^2))),Supuestos!$D$6))))))</f>
        <v/>
      </c>
      <c r="K159" s="32">
        <f>MIN(IF(Supuestos!$H$7="",1E+99,Supuestos!$H$7),MAX(IF(Supuestos!$G$7="",-1E+99,Supuestos!$G$7),IF(Supuestos!$C$7="Normal",NORMINV(D159,Supuestos!$D$7,Supuestos!$E$7),IF(Supuestos!$C$7="Triangular",IF(D159&lt;(Supuestos!$E$7-Supuestos!$D$7)/(Supuestos!$F$7-Supuestos!$D$7),Supuestos!$D$7+SQRT(D159*(Supuestos!$F$7-Supuestos!$D$7)*(Supuestos!$E$7-Supuestos!$D$7)),Supuestos!$F$7-SQRT((1-D159)*(Supuestos!$F$7-Supuestos!$D$7)*(Supuestos!$F$7-Supuestos!$E$7))),IF(Supuestos!$C$7="Uniforme",Supuestos!$D$7+D159*(Supuestos!$E$7-Supuestos!$D$7),IF(Supuestos!$C$7="Lognormal",LOGINV(D159,LN(Supuestos!$D$7)-LN(1+Supuestos!$E$7^2/Supuestos!$D$7^2)/2,SQRT(LN(1+Supuestos!$E$7^2/Supuestos!$D$7^2))),Supuestos!$D$7))))))</f>
        <v/>
      </c>
      <c r="L159" s="32">
        <f>MIN(IF(Supuestos!$H$8="",1E+99,Supuestos!$H$8),MAX(IF(Supuestos!$G$8="",-1E+99,Supuestos!$G$8),IF(Supuestos!$C$8="Normal",NORMINV(E159,Supuestos!$D$8,Supuestos!$E$8),IF(Supuestos!$C$8="Triangular",IF(E159&lt;(Supuestos!$E$8-Supuestos!$D$8)/(Supuestos!$F$8-Supuestos!$D$8),Supuestos!$D$8+SQRT(E159*(Supuestos!$F$8-Supuestos!$D$8)*(Supuestos!$E$8-Supuestos!$D$8)),Supuestos!$F$8-SQRT((1-E159)*(Supuestos!$F$8-Supuestos!$D$8)*(Supuestos!$F$8-Supuestos!$E$8))),IF(Supuestos!$C$8="Uniforme",Supuestos!$D$8+E159*(Supuestos!$E$8-Supuestos!$D$8),IF(Supuestos!$C$8="Lognormal",LOGINV(E159,LN(Supuestos!$D$8)-LN(1+Supuestos!$E$8^2/Supuestos!$D$8^2)/2,SQRT(LN(1+Supuestos!$E$8^2/Supuestos!$D$8^2))),Supuestos!$D$8))))))</f>
        <v/>
      </c>
      <c r="M159" s="32">
        <f>MIN(IF(Supuestos!$H$9="",1E+99,Supuestos!$H$9),MAX(IF(Supuestos!$G$9="",-1E+99,Supuestos!$G$9),IF(Supuestos!$C$9="Normal",NORMINV(F159,Supuestos!$D$9,Supuestos!$E$9),IF(Supuestos!$C$9="Triangular",IF(F159&lt;(Supuestos!$E$9-Supuestos!$D$9)/(Supuestos!$F$9-Supuestos!$D$9),Supuestos!$D$9+SQRT(F159*(Supuestos!$F$9-Supuestos!$D$9)*(Supuestos!$E$9-Supuestos!$D$9)),Supuestos!$F$9-SQRT((1-F159)*(Supuestos!$F$9-Supuestos!$D$9)*(Supuestos!$F$9-Supuestos!$E$9))),IF(Supuestos!$C$9="Uniforme",Supuestos!$D$9+F159*(Supuestos!$E$9-Supuestos!$D$9),IF(Supuestos!$C$9="Lognormal",LOGINV(F159,LN(Supuestos!$D$9)-LN(1+Supuestos!$E$9^2/Supuestos!$D$9^2)/2,SQRT(LN(1+Supuestos!$E$9^2/Supuestos!$D$9^2))),Supuestos!$D$9))))))</f>
        <v/>
      </c>
      <c r="N159" s="32">
        <f>MIN(IF(Supuestos!$H$10="",1E+99,Supuestos!$H$10),MAX(IF(Supuestos!$G$10="",-1E+99,Supuestos!$G$10),IF(Supuestos!$C$10="Normal",NORMINV(G159,Supuestos!$D$10,Supuestos!$E$10),IF(Supuestos!$C$10="Triangular",IF(G159&lt;(Supuestos!$E$10-Supuestos!$D$10)/(Supuestos!$F$10-Supuestos!$D$10),Supuestos!$D$10+SQRT(G159*(Supuestos!$F$10-Supuestos!$D$10)*(Supuestos!$E$10-Supuestos!$D$10)),Supuestos!$F$10-SQRT((1-G159)*(Supuestos!$F$10-Supuestos!$D$10)*(Supuestos!$F$10-Supuestos!$E$10))),IF(Supuestos!$C$10="Uniforme",Supuestos!$D$10+G159*(Supuestos!$E$10-Supuestos!$D$10),IF(Supuestos!$C$10="Lognormal",LOGINV(G159,LN(Supuestos!$D$10)-LN(1+Supuestos!$E$10^2/Supuestos!$D$10^2)/2,SQRT(LN(1+Supuestos!$E$10^2/Supuestos!$D$10^2))),Supuestos!$D$10))))))</f>
        <v/>
      </c>
      <c r="O159" s="31">
        <f>MIN(IF(Supuestos!$H$11="",1E+99,Supuestos!$H$11),MAX(IF(Supuestos!$G$11="",-1E+99,Supuestos!$G$11),IF(Supuestos!$C$11="Normal",NORMINV(H159,Supuestos!$D$11,Supuestos!$E$11),IF(Supuestos!$C$11="Triangular",IF(H159&lt;(Supuestos!$E$11-Supuestos!$D$11)/(Supuestos!$F$11-Supuestos!$D$11),Supuestos!$D$11+SQRT(H159*(Supuestos!$F$11-Supuestos!$D$11)*(Supuestos!$E$11-Supuestos!$D$11)),Supuestos!$F$11-SQRT((1-H159)*(Supuestos!$F$11-Supuestos!$D$11)*(Supuestos!$F$11-Supuestos!$E$11))),IF(Supuestos!$C$11="Uniforme",Supuestos!$D$11+H159*(Supuestos!$E$11-Supuestos!$D$11),IF(Supuestos!$C$11="Lognormal",LOGINV(H159,LN(Supuestos!$D$11)-LN(1+Supuestos!$E$11^2/Supuestos!$D$11^2)/2,SQRT(LN(1+Supuestos!$E$11^2/Supuestos!$D$11^2))),Supuestos!$D$11))))))</f>
        <v/>
      </c>
      <c r="P159" s="33">
        <f>-I159</f>
        <v/>
      </c>
      <c r="Q159" s="33">
        <f>$J159*(1+$K159)^(1-1)*(1-$L159)*(1-$M159)</f>
        <v/>
      </c>
      <c r="R159" s="33">
        <f>$J159*(1+$K159)^(2-1)*(1-$L159)*(1-$M159)</f>
        <v/>
      </c>
      <c r="S159" s="33">
        <f>$J159*(1+$K159)^(3-1)*(1-$L159)*(1-$M159)</f>
        <v/>
      </c>
      <c r="T159" s="33">
        <f>$J159*(1+$K159)^(4-1)*(1-$L159)*(1-$M159)</f>
        <v/>
      </c>
      <c r="U159" s="33">
        <f>$J159*(1+$K159)^(5-1)*(1-$L159)*(1-$M159)+$O159</f>
        <v/>
      </c>
      <c r="V159" s="33">
        <f>P159+NPV($N159,Q159:U159)</f>
        <v/>
      </c>
      <c r="W159" s="32">
        <f>IFERROR(IRR(P159:U159,0.1),"")</f>
        <v/>
      </c>
    </row>
    <row r="160">
      <c r="A160" s="14" t="n">
        <v>156</v>
      </c>
      <c r="B160" s="30">
        <f>RAND()*(1-2E-6)+1E-6</f>
        <v/>
      </c>
      <c r="C160" s="30">
        <f>RAND()*(1-2E-6)+1E-6</f>
        <v/>
      </c>
      <c r="D160" s="30">
        <f>RAND()*(1-2E-6)+1E-6</f>
        <v/>
      </c>
      <c r="E160" s="30">
        <f>RAND()*(1-2E-6)+1E-6</f>
        <v/>
      </c>
      <c r="F160" s="30">
        <f>RAND()*(1-2E-6)+1E-6</f>
        <v/>
      </c>
      <c r="G160" s="30">
        <f>RAND()*(1-2E-6)+1E-6</f>
        <v/>
      </c>
      <c r="H160" s="30">
        <f>RAND()*(1-2E-6)+1E-6</f>
        <v/>
      </c>
      <c r="I160" s="31">
        <f>MIN(IF(Supuestos!$H$5="",1E+99,Supuestos!$H$5),MAX(IF(Supuestos!$G$5="",-1E+99,Supuestos!$G$5),IF(Supuestos!$C$5="Normal",NORMINV(B160,Supuestos!$D$5,Supuestos!$E$5),IF(Supuestos!$C$5="Triangular",IF(B160&lt;(Supuestos!$E$5-Supuestos!$D$5)/(Supuestos!$F$5-Supuestos!$D$5),Supuestos!$D$5+SQRT(B160*(Supuestos!$F$5-Supuestos!$D$5)*(Supuestos!$E$5-Supuestos!$D$5)),Supuestos!$F$5-SQRT((1-B160)*(Supuestos!$F$5-Supuestos!$D$5)*(Supuestos!$F$5-Supuestos!$E$5))),IF(Supuestos!$C$5="Uniforme",Supuestos!$D$5+B160*(Supuestos!$E$5-Supuestos!$D$5),IF(Supuestos!$C$5="Lognormal",LOGINV(B160,LN(Supuestos!$D$5)-LN(1+Supuestos!$E$5^2/Supuestos!$D$5^2)/2,SQRT(LN(1+Supuestos!$E$5^2/Supuestos!$D$5^2))),Supuestos!$D$5))))))</f>
        <v/>
      </c>
      <c r="J160" s="31">
        <f>MIN(IF(Supuestos!$H$6="",1E+99,Supuestos!$H$6),MAX(IF(Supuestos!$G$6="",-1E+99,Supuestos!$G$6),IF(Supuestos!$C$6="Normal",NORMINV(C160,Supuestos!$D$6,Supuestos!$E$6),IF(Supuestos!$C$6="Triangular",IF(C160&lt;(Supuestos!$E$6-Supuestos!$D$6)/(Supuestos!$F$6-Supuestos!$D$6),Supuestos!$D$6+SQRT(C160*(Supuestos!$F$6-Supuestos!$D$6)*(Supuestos!$E$6-Supuestos!$D$6)),Supuestos!$F$6-SQRT((1-C160)*(Supuestos!$F$6-Supuestos!$D$6)*(Supuestos!$F$6-Supuestos!$E$6))),IF(Supuestos!$C$6="Uniforme",Supuestos!$D$6+C160*(Supuestos!$E$6-Supuestos!$D$6),IF(Supuestos!$C$6="Lognormal",LOGINV(C160,LN(Supuestos!$D$6)-LN(1+Supuestos!$E$6^2/Supuestos!$D$6^2)/2,SQRT(LN(1+Supuestos!$E$6^2/Supuestos!$D$6^2))),Supuestos!$D$6))))))</f>
        <v/>
      </c>
      <c r="K160" s="32">
        <f>MIN(IF(Supuestos!$H$7="",1E+99,Supuestos!$H$7),MAX(IF(Supuestos!$G$7="",-1E+99,Supuestos!$G$7),IF(Supuestos!$C$7="Normal",NORMINV(D160,Supuestos!$D$7,Supuestos!$E$7),IF(Supuestos!$C$7="Triangular",IF(D160&lt;(Supuestos!$E$7-Supuestos!$D$7)/(Supuestos!$F$7-Supuestos!$D$7),Supuestos!$D$7+SQRT(D160*(Supuestos!$F$7-Supuestos!$D$7)*(Supuestos!$E$7-Supuestos!$D$7)),Supuestos!$F$7-SQRT((1-D160)*(Supuestos!$F$7-Supuestos!$D$7)*(Supuestos!$F$7-Supuestos!$E$7))),IF(Supuestos!$C$7="Uniforme",Supuestos!$D$7+D160*(Supuestos!$E$7-Supuestos!$D$7),IF(Supuestos!$C$7="Lognormal",LOGINV(D160,LN(Supuestos!$D$7)-LN(1+Supuestos!$E$7^2/Supuestos!$D$7^2)/2,SQRT(LN(1+Supuestos!$E$7^2/Supuestos!$D$7^2))),Supuestos!$D$7))))))</f>
        <v/>
      </c>
      <c r="L160" s="32">
        <f>MIN(IF(Supuestos!$H$8="",1E+99,Supuestos!$H$8),MAX(IF(Supuestos!$G$8="",-1E+99,Supuestos!$G$8),IF(Supuestos!$C$8="Normal",NORMINV(E160,Supuestos!$D$8,Supuestos!$E$8),IF(Supuestos!$C$8="Triangular",IF(E160&lt;(Supuestos!$E$8-Supuestos!$D$8)/(Supuestos!$F$8-Supuestos!$D$8),Supuestos!$D$8+SQRT(E160*(Supuestos!$F$8-Supuestos!$D$8)*(Supuestos!$E$8-Supuestos!$D$8)),Supuestos!$F$8-SQRT((1-E160)*(Supuestos!$F$8-Supuestos!$D$8)*(Supuestos!$F$8-Supuestos!$E$8))),IF(Supuestos!$C$8="Uniforme",Supuestos!$D$8+E160*(Supuestos!$E$8-Supuestos!$D$8),IF(Supuestos!$C$8="Lognormal",LOGINV(E160,LN(Supuestos!$D$8)-LN(1+Supuestos!$E$8^2/Supuestos!$D$8^2)/2,SQRT(LN(1+Supuestos!$E$8^2/Supuestos!$D$8^2))),Supuestos!$D$8))))))</f>
        <v/>
      </c>
      <c r="M160" s="32">
        <f>MIN(IF(Supuestos!$H$9="",1E+99,Supuestos!$H$9),MAX(IF(Supuestos!$G$9="",-1E+99,Supuestos!$G$9),IF(Supuestos!$C$9="Normal",NORMINV(F160,Supuestos!$D$9,Supuestos!$E$9),IF(Supuestos!$C$9="Triangular",IF(F160&lt;(Supuestos!$E$9-Supuestos!$D$9)/(Supuestos!$F$9-Supuestos!$D$9),Supuestos!$D$9+SQRT(F160*(Supuestos!$F$9-Supuestos!$D$9)*(Supuestos!$E$9-Supuestos!$D$9)),Supuestos!$F$9-SQRT((1-F160)*(Supuestos!$F$9-Supuestos!$D$9)*(Supuestos!$F$9-Supuestos!$E$9))),IF(Supuestos!$C$9="Uniforme",Supuestos!$D$9+F160*(Supuestos!$E$9-Supuestos!$D$9),IF(Supuestos!$C$9="Lognormal",LOGINV(F160,LN(Supuestos!$D$9)-LN(1+Supuestos!$E$9^2/Supuestos!$D$9^2)/2,SQRT(LN(1+Supuestos!$E$9^2/Supuestos!$D$9^2))),Supuestos!$D$9))))))</f>
        <v/>
      </c>
      <c r="N160" s="32">
        <f>MIN(IF(Supuestos!$H$10="",1E+99,Supuestos!$H$10),MAX(IF(Supuestos!$G$10="",-1E+99,Supuestos!$G$10),IF(Supuestos!$C$10="Normal",NORMINV(G160,Supuestos!$D$10,Supuestos!$E$10),IF(Supuestos!$C$10="Triangular",IF(G160&lt;(Supuestos!$E$10-Supuestos!$D$10)/(Supuestos!$F$10-Supuestos!$D$10),Supuestos!$D$10+SQRT(G160*(Supuestos!$F$10-Supuestos!$D$10)*(Supuestos!$E$10-Supuestos!$D$10)),Supuestos!$F$10-SQRT((1-G160)*(Supuestos!$F$10-Supuestos!$D$10)*(Supuestos!$F$10-Supuestos!$E$10))),IF(Supuestos!$C$10="Uniforme",Supuestos!$D$10+G160*(Supuestos!$E$10-Supuestos!$D$10),IF(Supuestos!$C$10="Lognormal",LOGINV(G160,LN(Supuestos!$D$10)-LN(1+Supuestos!$E$10^2/Supuestos!$D$10^2)/2,SQRT(LN(1+Supuestos!$E$10^2/Supuestos!$D$10^2))),Supuestos!$D$10))))))</f>
        <v/>
      </c>
      <c r="O160" s="31">
        <f>MIN(IF(Supuestos!$H$11="",1E+99,Supuestos!$H$11),MAX(IF(Supuestos!$G$11="",-1E+99,Supuestos!$G$11),IF(Supuestos!$C$11="Normal",NORMINV(H160,Supuestos!$D$11,Supuestos!$E$11),IF(Supuestos!$C$11="Triangular",IF(H160&lt;(Supuestos!$E$11-Supuestos!$D$11)/(Supuestos!$F$11-Supuestos!$D$11),Supuestos!$D$11+SQRT(H160*(Supuestos!$F$11-Supuestos!$D$11)*(Supuestos!$E$11-Supuestos!$D$11)),Supuestos!$F$11-SQRT((1-H160)*(Supuestos!$F$11-Supuestos!$D$11)*(Supuestos!$F$11-Supuestos!$E$11))),IF(Supuestos!$C$11="Uniforme",Supuestos!$D$11+H160*(Supuestos!$E$11-Supuestos!$D$11),IF(Supuestos!$C$11="Lognormal",LOGINV(H160,LN(Supuestos!$D$11)-LN(1+Supuestos!$E$11^2/Supuestos!$D$11^2)/2,SQRT(LN(1+Supuestos!$E$11^2/Supuestos!$D$11^2))),Supuestos!$D$11))))))</f>
        <v/>
      </c>
      <c r="P160" s="33">
        <f>-I160</f>
        <v/>
      </c>
      <c r="Q160" s="33">
        <f>$J160*(1+$K160)^(1-1)*(1-$L160)*(1-$M160)</f>
        <v/>
      </c>
      <c r="R160" s="33">
        <f>$J160*(1+$K160)^(2-1)*(1-$L160)*(1-$M160)</f>
        <v/>
      </c>
      <c r="S160" s="33">
        <f>$J160*(1+$K160)^(3-1)*(1-$L160)*(1-$M160)</f>
        <v/>
      </c>
      <c r="T160" s="33">
        <f>$J160*(1+$K160)^(4-1)*(1-$L160)*(1-$M160)</f>
        <v/>
      </c>
      <c r="U160" s="33">
        <f>$J160*(1+$K160)^(5-1)*(1-$L160)*(1-$M160)+$O160</f>
        <v/>
      </c>
      <c r="V160" s="33">
        <f>P160+NPV($N160,Q160:U160)</f>
        <v/>
      </c>
      <c r="W160" s="32">
        <f>IFERROR(IRR(P160:U160,0.1),"")</f>
        <v/>
      </c>
    </row>
    <row r="161">
      <c r="A161" s="14" t="n">
        <v>157</v>
      </c>
      <c r="B161" s="30">
        <f>RAND()*(1-2E-6)+1E-6</f>
        <v/>
      </c>
      <c r="C161" s="30">
        <f>RAND()*(1-2E-6)+1E-6</f>
        <v/>
      </c>
      <c r="D161" s="30">
        <f>RAND()*(1-2E-6)+1E-6</f>
        <v/>
      </c>
      <c r="E161" s="30">
        <f>RAND()*(1-2E-6)+1E-6</f>
        <v/>
      </c>
      <c r="F161" s="30">
        <f>RAND()*(1-2E-6)+1E-6</f>
        <v/>
      </c>
      <c r="G161" s="30">
        <f>RAND()*(1-2E-6)+1E-6</f>
        <v/>
      </c>
      <c r="H161" s="30">
        <f>RAND()*(1-2E-6)+1E-6</f>
        <v/>
      </c>
      <c r="I161" s="31">
        <f>MIN(IF(Supuestos!$H$5="",1E+99,Supuestos!$H$5),MAX(IF(Supuestos!$G$5="",-1E+99,Supuestos!$G$5),IF(Supuestos!$C$5="Normal",NORMINV(B161,Supuestos!$D$5,Supuestos!$E$5),IF(Supuestos!$C$5="Triangular",IF(B161&lt;(Supuestos!$E$5-Supuestos!$D$5)/(Supuestos!$F$5-Supuestos!$D$5),Supuestos!$D$5+SQRT(B161*(Supuestos!$F$5-Supuestos!$D$5)*(Supuestos!$E$5-Supuestos!$D$5)),Supuestos!$F$5-SQRT((1-B161)*(Supuestos!$F$5-Supuestos!$D$5)*(Supuestos!$F$5-Supuestos!$E$5))),IF(Supuestos!$C$5="Uniforme",Supuestos!$D$5+B161*(Supuestos!$E$5-Supuestos!$D$5),IF(Supuestos!$C$5="Lognormal",LOGINV(B161,LN(Supuestos!$D$5)-LN(1+Supuestos!$E$5^2/Supuestos!$D$5^2)/2,SQRT(LN(1+Supuestos!$E$5^2/Supuestos!$D$5^2))),Supuestos!$D$5))))))</f>
        <v/>
      </c>
      <c r="J161" s="31">
        <f>MIN(IF(Supuestos!$H$6="",1E+99,Supuestos!$H$6),MAX(IF(Supuestos!$G$6="",-1E+99,Supuestos!$G$6),IF(Supuestos!$C$6="Normal",NORMINV(C161,Supuestos!$D$6,Supuestos!$E$6),IF(Supuestos!$C$6="Triangular",IF(C161&lt;(Supuestos!$E$6-Supuestos!$D$6)/(Supuestos!$F$6-Supuestos!$D$6),Supuestos!$D$6+SQRT(C161*(Supuestos!$F$6-Supuestos!$D$6)*(Supuestos!$E$6-Supuestos!$D$6)),Supuestos!$F$6-SQRT((1-C161)*(Supuestos!$F$6-Supuestos!$D$6)*(Supuestos!$F$6-Supuestos!$E$6))),IF(Supuestos!$C$6="Uniforme",Supuestos!$D$6+C161*(Supuestos!$E$6-Supuestos!$D$6),IF(Supuestos!$C$6="Lognormal",LOGINV(C161,LN(Supuestos!$D$6)-LN(1+Supuestos!$E$6^2/Supuestos!$D$6^2)/2,SQRT(LN(1+Supuestos!$E$6^2/Supuestos!$D$6^2))),Supuestos!$D$6))))))</f>
        <v/>
      </c>
      <c r="K161" s="32">
        <f>MIN(IF(Supuestos!$H$7="",1E+99,Supuestos!$H$7),MAX(IF(Supuestos!$G$7="",-1E+99,Supuestos!$G$7),IF(Supuestos!$C$7="Normal",NORMINV(D161,Supuestos!$D$7,Supuestos!$E$7),IF(Supuestos!$C$7="Triangular",IF(D161&lt;(Supuestos!$E$7-Supuestos!$D$7)/(Supuestos!$F$7-Supuestos!$D$7),Supuestos!$D$7+SQRT(D161*(Supuestos!$F$7-Supuestos!$D$7)*(Supuestos!$E$7-Supuestos!$D$7)),Supuestos!$F$7-SQRT((1-D161)*(Supuestos!$F$7-Supuestos!$D$7)*(Supuestos!$F$7-Supuestos!$E$7))),IF(Supuestos!$C$7="Uniforme",Supuestos!$D$7+D161*(Supuestos!$E$7-Supuestos!$D$7),IF(Supuestos!$C$7="Lognormal",LOGINV(D161,LN(Supuestos!$D$7)-LN(1+Supuestos!$E$7^2/Supuestos!$D$7^2)/2,SQRT(LN(1+Supuestos!$E$7^2/Supuestos!$D$7^2))),Supuestos!$D$7))))))</f>
        <v/>
      </c>
      <c r="L161" s="32">
        <f>MIN(IF(Supuestos!$H$8="",1E+99,Supuestos!$H$8),MAX(IF(Supuestos!$G$8="",-1E+99,Supuestos!$G$8),IF(Supuestos!$C$8="Normal",NORMINV(E161,Supuestos!$D$8,Supuestos!$E$8),IF(Supuestos!$C$8="Triangular",IF(E161&lt;(Supuestos!$E$8-Supuestos!$D$8)/(Supuestos!$F$8-Supuestos!$D$8),Supuestos!$D$8+SQRT(E161*(Supuestos!$F$8-Supuestos!$D$8)*(Supuestos!$E$8-Supuestos!$D$8)),Supuestos!$F$8-SQRT((1-E161)*(Supuestos!$F$8-Supuestos!$D$8)*(Supuestos!$F$8-Supuestos!$E$8))),IF(Supuestos!$C$8="Uniforme",Supuestos!$D$8+E161*(Supuestos!$E$8-Supuestos!$D$8),IF(Supuestos!$C$8="Lognormal",LOGINV(E161,LN(Supuestos!$D$8)-LN(1+Supuestos!$E$8^2/Supuestos!$D$8^2)/2,SQRT(LN(1+Supuestos!$E$8^2/Supuestos!$D$8^2))),Supuestos!$D$8))))))</f>
        <v/>
      </c>
      <c r="M161" s="32">
        <f>MIN(IF(Supuestos!$H$9="",1E+99,Supuestos!$H$9),MAX(IF(Supuestos!$G$9="",-1E+99,Supuestos!$G$9),IF(Supuestos!$C$9="Normal",NORMINV(F161,Supuestos!$D$9,Supuestos!$E$9),IF(Supuestos!$C$9="Triangular",IF(F161&lt;(Supuestos!$E$9-Supuestos!$D$9)/(Supuestos!$F$9-Supuestos!$D$9),Supuestos!$D$9+SQRT(F161*(Supuestos!$F$9-Supuestos!$D$9)*(Supuestos!$E$9-Supuestos!$D$9)),Supuestos!$F$9-SQRT((1-F161)*(Supuestos!$F$9-Supuestos!$D$9)*(Supuestos!$F$9-Supuestos!$E$9))),IF(Supuestos!$C$9="Uniforme",Supuestos!$D$9+F161*(Supuestos!$E$9-Supuestos!$D$9),IF(Supuestos!$C$9="Lognormal",LOGINV(F161,LN(Supuestos!$D$9)-LN(1+Supuestos!$E$9^2/Supuestos!$D$9^2)/2,SQRT(LN(1+Supuestos!$E$9^2/Supuestos!$D$9^2))),Supuestos!$D$9))))))</f>
        <v/>
      </c>
      <c r="N161" s="32">
        <f>MIN(IF(Supuestos!$H$10="",1E+99,Supuestos!$H$10),MAX(IF(Supuestos!$G$10="",-1E+99,Supuestos!$G$10),IF(Supuestos!$C$10="Normal",NORMINV(G161,Supuestos!$D$10,Supuestos!$E$10),IF(Supuestos!$C$10="Triangular",IF(G161&lt;(Supuestos!$E$10-Supuestos!$D$10)/(Supuestos!$F$10-Supuestos!$D$10),Supuestos!$D$10+SQRT(G161*(Supuestos!$F$10-Supuestos!$D$10)*(Supuestos!$E$10-Supuestos!$D$10)),Supuestos!$F$10-SQRT((1-G161)*(Supuestos!$F$10-Supuestos!$D$10)*(Supuestos!$F$10-Supuestos!$E$10))),IF(Supuestos!$C$10="Uniforme",Supuestos!$D$10+G161*(Supuestos!$E$10-Supuestos!$D$10),IF(Supuestos!$C$10="Lognormal",LOGINV(G161,LN(Supuestos!$D$10)-LN(1+Supuestos!$E$10^2/Supuestos!$D$10^2)/2,SQRT(LN(1+Supuestos!$E$10^2/Supuestos!$D$10^2))),Supuestos!$D$10))))))</f>
        <v/>
      </c>
      <c r="O161" s="31">
        <f>MIN(IF(Supuestos!$H$11="",1E+99,Supuestos!$H$11),MAX(IF(Supuestos!$G$11="",-1E+99,Supuestos!$G$11),IF(Supuestos!$C$11="Normal",NORMINV(H161,Supuestos!$D$11,Supuestos!$E$11),IF(Supuestos!$C$11="Triangular",IF(H161&lt;(Supuestos!$E$11-Supuestos!$D$11)/(Supuestos!$F$11-Supuestos!$D$11),Supuestos!$D$11+SQRT(H161*(Supuestos!$F$11-Supuestos!$D$11)*(Supuestos!$E$11-Supuestos!$D$11)),Supuestos!$F$11-SQRT((1-H161)*(Supuestos!$F$11-Supuestos!$D$11)*(Supuestos!$F$11-Supuestos!$E$11))),IF(Supuestos!$C$11="Uniforme",Supuestos!$D$11+H161*(Supuestos!$E$11-Supuestos!$D$11),IF(Supuestos!$C$11="Lognormal",LOGINV(H161,LN(Supuestos!$D$11)-LN(1+Supuestos!$E$11^2/Supuestos!$D$11^2)/2,SQRT(LN(1+Supuestos!$E$11^2/Supuestos!$D$11^2))),Supuestos!$D$11))))))</f>
        <v/>
      </c>
      <c r="P161" s="33">
        <f>-I161</f>
        <v/>
      </c>
      <c r="Q161" s="33">
        <f>$J161*(1+$K161)^(1-1)*(1-$L161)*(1-$M161)</f>
        <v/>
      </c>
      <c r="R161" s="33">
        <f>$J161*(1+$K161)^(2-1)*(1-$L161)*(1-$M161)</f>
        <v/>
      </c>
      <c r="S161" s="33">
        <f>$J161*(1+$K161)^(3-1)*(1-$L161)*(1-$M161)</f>
        <v/>
      </c>
      <c r="T161" s="33">
        <f>$J161*(1+$K161)^(4-1)*(1-$L161)*(1-$M161)</f>
        <v/>
      </c>
      <c r="U161" s="33">
        <f>$J161*(1+$K161)^(5-1)*(1-$L161)*(1-$M161)+$O161</f>
        <v/>
      </c>
      <c r="V161" s="33">
        <f>P161+NPV($N161,Q161:U161)</f>
        <v/>
      </c>
      <c r="W161" s="32">
        <f>IFERROR(IRR(P161:U161,0.1),"")</f>
        <v/>
      </c>
    </row>
    <row r="162">
      <c r="A162" s="14" t="n">
        <v>158</v>
      </c>
      <c r="B162" s="30">
        <f>RAND()*(1-2E-6)+1E-6</f>
        <v/>
      </c>
      <c r="C162" s="30">
        <f>RAND()*(1-2E-6)+1E-6</f>
        <v/>
      </c>
      <c r="D162" s="30">
        <f>RAND()*(1-2E-6)+1E-6</f>
        <v/>
      </c>
      <c r="E162" s="30">
        <f>RAND()*(1-2E-6)+1E-6</f>
        <v/>
      </c>
      <c r="F162" s="30">
        <f>RAND()*(1-2E-6)+1E-6</f>
        <v/>
      </c>
      <c r="G162" s="30">
        <f>RAND()*(1-2E-6)+1E-6</f>
        <v/>
      </c>
      <c r="H162" s="30">
        <f>RAND()*(1-2E-6)+1E-6</f>
        <v/>
      </c>
      <c r="I162" s="31">
        <f>MIN(IF(Supuestos!$H$5="",1E+99,Supuestos!$H$5),MAX(IF(Supuestos!$G$5="",-1E+99,Supuestos!$G$5),IF(Supuestos!$C$5="Normal",NORMINV(B162,Supuestos!$D$5,Supuestos!$E$5),IF(Supuestos!$C$5="Triangular",IF(B162&lt;(Supuestos!$E$5-Supuestos!$D$5)/(Supuestos!$F$5-Supuestos!$D$5),Supuestos!$D$5+SQRT(B162*(Supuestos!$F$5-Supuestos!$D$5)*(Supuestos!$E$5-Supuestos!$D$5)),Supuestos!$F$5-SQRT((1-B162)*(Supuestos!$F$5-Supuestos!$D$5)*(Supuestos!$F$5-Supuestos!$E$5))),IF(Supuestos!$C$5="Uniforme",Supuestos!$D$5+B162*(Supuestos!$E$5-Supuestos!$D$5),IF(Supuestos!$C$5="Lognormal",LOGINV(B162,LN(Supuestos!$D$5)-LN(1+Supuestos!$E$5^2/Supuestos!$D$5^2)/2,SQRT(LN(1+Supuestos!$E$5^2/Supuestos!$D$5^2))),Supuestos!$D$5))))))</f>
        <v/>
      </c>
      <c r="J162" s="31">
        <f>MIN(IF(Supuestos!$H$6="",1E+99,Supuestos!$H$6),MAX(IF(Supuestos!$G$6="",-1E+99,Supuestos!$G$6),IF(Supuestos!$C$6="Normal",NORMINV(C162,Supuestos!$D$6,Supuestos!$E$6),IF(Supuestos!$C$6="Triangular",IF(C162&lt;(Supuestos!$E$6-Supuestos!$D$6)/(Supuestos!$F$6-Supuestos!$D$6),Supuestos!$D$6+SQRT(C162*(Supuestos!$F$6-Supuestos!$D$6)*(Supuestos!$E$6-Supuestos!$D$6)),Supuestos!$F$6-SQRT((1-C162)*(Supuestos!$F$6-Supuestos!$D$6)*(Supuestos!$F$6-Supuestos!$E$6))),IF(Supuestos!$C$6="Uniforme",Supuestos!$D$6+C162*(Supuestos!$E$6-Supuestos!$D$6),IF(Supuestos!$C$6="Lognormal",LOGINV(C162,LN(Supuestos!$D$6)-LN(1+Supuestos!$E$6^2/Supuestos!$D$6^2)/2,SQRT(LN(1+Supuestos!$E$6^2/Supuestos!$D$6^2))),Supuestos!$D$6))))))</f>
        <v/>
      </c>
      <c r="K162" s="32">
        <f>MIN(IF(Supuestos!$H$7="",1E+99,Supuestos!$H$7),MAX(IF(Supuestos!$G$7="",-1E+99,Supuestos!$G$7),IF(Supuestos!$C$7="Normal",NORMINV(D162,Supuestos!$D$7,Supuestos!$E$7),IF(Supuestos!$C$7="Triangular",IF(D162&lt;(Supuestos!$E$7-Supuestos!$D$7)/(Supuestos!$F$7-Supuestos!$D$7),Supuestos!$D$7+SQRT(D162*(Supuestos!$F$7-Supuestos!$D$7)*(Supuestos!$E$7-Supuestos!$D$7)),Supuestos!$F$7-SQRT((1-D162)*(Supuestos!$F$7-Supuestos!$D$7)*(Supuestos!$F$7-Supuestos!$E$7))),IF(Supuestos!$C$7="Uniforme",Supuestos!$D$7+D162*(Supuestos!$E$7-Supuestos!$D$7),IF(Supuestos!$C$7="Lognormal",LOGINV(D162,LN(Supuestos!$D$7)-LN(1+Supuestos!$E$7^2/Supuestos!$D$7^2)/2,SQRT(LN(1+Supuestos!$E$7^2/Supuestos!$D$7^2))),Supuestos!$D$7))))))</f>
        <v/>
      </c>
      <c r="L162" s="32">
        <f>MIN(IF(Supuestos!$H$8="",1E+99,Supuestos!$H$8),MAX(IF(Supuestos!$G$8="",-1E+99,Supuestos!$G$8),IF(Supuestos!$C$8="Normal",NORMINV(E162,Supuestos!$D$8,Supuestos!$E$8),IF(Supuestos!$C$8="Triangular",IF(E162&lt;(Supuestos!$E$8-Supuestos!$D$8)/(Supuestos!$F$8-Supuestos!$D$8),Supuestos!$D$8+SQRT(E162*(Supuestos!$F$8-Supuestos!$D$8)*(Supuestos!$E$8-Supuestos!$D$8)),Supuestos!$F$8-SQRT((1-E162)*(Supuestos!$F$8-Supuestos!$D$8)*(Supuestos!$F$8-Supuestos!$E$8))),IF(Supuestos!$C$8="Uniforme",Supuestos!$D$8+E162*(Supuestos!$E$8-Supuestos!$D$8),IF(Supuestos!$C$8="Lognormal",LOGINV(E162,LN(Supuestos!$D$8)-LN(1+Supuestos!$E$8^2/Supuestos!$D$8^2)/2,SQRT(LN(1+Supuestos!$E$8^2/Supuestos!$D$8^2))),Supuestos!$D$8))))))</f>
        <v/>
      </c>
      <c r="M162" s="32">
        <f>MIN(IF(Supuestos!$H$9="",1E+99,Supuestos!$H$9),MAX(IF(Supuestos!$G$9="",-1E+99,Supuestos!$G$9),IF(Supuestos!$C$9="Normal",NORMINV(F162,Supuestos!$D$9,Supuestos!$E$9),IF(Supuestos!$C$9="Triangular",IF(F162&lt;(Supuestos!$E$9-Supuestos!$D$9)/(Supuestos!$F$9-Supuestos!$D$9),Supuestos!$D$9+SQRT(F162*(Supuestos!$F$9-Supuestos!$D$9)*(Supuestos!$E$9-Supuestos!$D$9)),Supuestos!$F$9-SQRT((1-F162)*(Supuestos!$F$9-Supuestos!$D$9)*(Supuestos!$F$9-Supuestos!$E$9))),IF(Supuestos!$C$9="Uniforme",Supuestos!$D$9+F162*(Supuestos!$E$9-Supuestos!$D$9),IF(Supuestos!$C$9="Lognormal",LOGINV(F162,LN(Supuestos!$D$9)-LN(1+Supuestos!$E$9^2/Supuestos!$D$9^2)/2,SQRT(LN(1+Supuestos!$E$9^2/Supuestos!$D$9^2))),Supuestos!$D$9))))))</f>
        <v/>
      </c>
      <c r="N162" s="32">
        <f>MIN(IF(Supuestos!$H$10="",1E+99,Supuestos!$H$10),MAX(IF(Supuestos!$G$10="",-1E+99,Supuestos!$G$10),IF(Supuestos!$C$10="Normal",NORMINV(G162,Supuestos!$D$10,Supuestos!$E$10),IF(Supuestos!$C$10="Triangular",IF(G162&lt;(Supuestos!$E$10-Supuestos!$D$10)/(Supuestos!$F$10-Supuestos!$D$10),Supuestos!$D$10+SQRT(G162*(Supuestos!$F$10-Supuestos!$D$10)*(Supuestos!$E$10-Supuestos!$D$10)),Supuestos!$F$10-SQRT((1-G162)*(Supuestos!$F$10-Supuestos!$D$10)*(Supuestos!$F$10-Supuestos!$E$10))),IF(Supuestos!$C$10="Uniforme",Supuestos!$D$10+G162*(Supuestos!$E$10-Supuestos!$D$10),IF(Supuestos!$C$10="Lognormal",LOGINV(G162,LN(Supuestos!$D$10)-LN(1+Supuestos!$E$10^2/Supuestos!$D$10^2)/2,SQRT(LN(1+Supuestos!$E$10^2/Supuestos!$D$10^2))),Supuestos!$D$10))))))</f>
        <v/>
      </c>
      <c r="O162" s="31">
        <f>MIN(IF(Supuestos!$H$11="",1E+99,Supuestos!$H$11),MAX(IF(Supuestos!$G$11="",-1E+99,Supuestos!$G$11),IF(Supuestos!$C$11="Normal",NORMINV(H162,Supuestos!$D$11,Supuestos!$E$11),IF(Supuestos!$C$11="Triangular",IF(H162&lt;(Supuestos!$E$11-Supuestos!$D$11)/(Supuestos!$F$11-Supuestos!$D$11),Supuestos!$D$11+SQRT(H162*(Supuestos!$F$11-Supuestos!$D$11)*(Supuestos!$E$11-Supuestos!$D$11)),Supuestos!$F$11-SQRT((1-H162)*(Supuestos!$F$11-Supuestos!$D$11)*(Supuestos!$F$11-Supuestos!$E$11))),IF(Supuestos!$C$11="Uniforme",Supuestos!$D$11+H162*(Supuestos!$E$11-Supuestos!$D$11),IF(Supuestos!$C$11="Lognormal",LOGINV(H162,LN(Supuestos!$D$11)-LN(1+Supuestos!$E$11^2/Supuestos!$D$11^2)/2,SQRT(LN(1+Supuestos!$E$11^2/Supuestos!$D$11^2))),Supuestos!$D$11))))))</f>
        <v/>
      </c>
      <c r="P162" s="33">
        <f>-I162</f>
        <v/>
      </c>
      <c r="Q162" s="33">
        <f>$J162*(1+$K162)^(1-1)*(1-$L162)*(1-$M162)</f>
        <v/>
      </c>
      <c r="R162" s="33">
        <f>$J162*(1+$K162)^(2-1)*(1-$L162)*(1-$M162)</f>
        <v/>
      </c>
      <c r="S162" s="33">
        <f>$J162*(1+$K162)^(3-1)*(1-$L162)*(1-$M162)</f>
        <v/>
      </c>
      <c r="T162" s="33">
        <f>$J162*(1+$K162)^(4-1)*(1-$L162)*(1-$M162)</f>
        <v/>
      </c>
      <c r="U162" s="33">
        <f>$J162*(1+$K162)^(5-1)*(1-$L162)*(1-$M162)+$O162</f>
        <v/>
      </c>
      <c r="V162" s="33">
        <f>P162+NPV($N162,Q162:U162)</f>
        <v/>
      </c>
      <c r="W162" s="32">
        <f>IFERROR(IRR(P162:U162,0.1),"")</f>
        <v/>
      </c>
    </row>
    <row r="163">
      <c r="A163" s="14" t="n">
        <v>159</v>
      </c>
      <c r="B163" s="30">
        <f>RAND()*(1-2E-6)+1E-6</f>
        <v/>
      </c>
      <c r="C163" s="30">
        <f>RAND()*(1-2E-6)+1E-6</f>
        <v/>
      </c>
      <c r="D163" s="30">
        <f>RAND()*(1-2E-6)+1E-6</f>
        <v/>
      </c>
      <c r="E163" s="30">
        <f>RAND()*(1-2E-6)+1E-6</f>
        <v/>
      </c>
      <c r="F163" s="30">
        <f>RAND()*(1-2E-6)+1E-6</f>
        <v/>
      </c>
      <c r="G163" s="30">
        <f>RAND()*(1-2E-6)+1E-6</f>
        <v/>
      </c>
      <c r="H163" s="30">
        <f>RAND()*(1-2E-6)+1E-6</f>
        <v/>
      </c>
      <c r="I163" s="31">
        <f>MIN(IF(Supuestos!$H$5="",1E+99,Supuestos!$H$5),MAX(IF(Supuestos!$G$5="",-1E+99,Supuestos!$G$5),IF(Supuestos!$C$5="Normal",NORMINV(B163,Supuestos!$D$5,Supuestos!$E$5),IF(Supuestos!$C$5="Triangular",IF(B163&lt;(Supuestos!$E$5-Supuestos!$D$5)/(Supuestos!$F$5-Supuestos!$D$5),Supuestos!$D$5+SQRT(B163*(Supuestos!$F$5-Supuestos!$D$5)*(Supuestos!$E$5-Supuestos!$D$5)),Supuestos!$F$5-SQRT((1-B163)*(Supuestos!$F$5-Supuestos!$D$5)*(Supuestos!$F$5-Supuestos!$E$5))),IF(Supuestos!$C$5="Uniforme",Supuestos!$D$5+B163*(Supuestos!$E$5-Supuestos!$D$5),IF(Supuestos!$C$5="Lognormal",LOGINV(B163,LN(Supuestos!$D$5)-LN(1+Supuestos!$E$5^2/Supuestos!$D$5^2)/2,SQRT(LN(1+Supuestos!$E$5^2/Supuestos!$D$5^2))),Supuestos!$D$5))))))</f>
        <v/>
      </c>
      <c r="J163" s="31">
        <f>MIN(IF(Supuestos!$H$6="",1E+99,Supuestos!$H$6),MAX(IF(Supuestos!$G$6="",-1E+99,Supuestos!$G$6),IF(Supuestos!$C$6="Normal",NORMINV(C163,Supuestos!$D$6,Supuestos!$E$6),IF(Supuestos!$C$6="Triangular",IF(C163&lt;(Supuestos!$E$6-Supuestos!$D$6)/(Supuestos!$F$6-Supuestos!$D$6),Supuestos!$D$6+SQRT(C163*(Supuestos!$F$6-Supuestos!$D$6)*(Supuestos!$E$6-Supuestos!$D$6)),Supuestos!$F$6-SQRT((1-C163)*(Supuestos!$F$6-Supuestos!$D$6)*(Supuestos!$F$6-Supuestos!$E$6))),IF(Supuestos!$C$6="Uniforme",Supuestos!$D$6+C163*(Supuestos!$E$6-Supuestos!$D$6),IF(Supuestos!$C$6="Lognormal",LOGINV(C163,LN(Supuestos!$D$6)-LN(1+Supuestos!$E$6^2/Supuestos!$D$6^2)/2,SQRT(LN(1+Supuestos!$E$6^2/Supuestos!$D$6^2))),Supuestos!$D$6))))))</f>
        <v/>
      </c>
      <c r="K163" s="32">
        <f>MIN(IF(Supuestos!$H$7="",1E+99,Supuestos!$H$7),MAX(IF(Supuestos!$G$7="",-1E+99,Supuestos!$G$7),IF(Supuestos!$C$7="Normal",NORMINV(D163,Supuestos!$D$7,Supuestos!$E$7),IF(Supuestos!$C$7="Triangular",IF(D163&lt;(Supuestos!$E$7-Supuestos!$D$7)/(Supuestos!$F$7-Supuestos!$D$7),Supuestos!$D$7+SQRT(D163*(Supuestos!$F$7-Supuestos!$D$7)*(Supuestos!$E$7-Supuestos!$D$7)),Supuestos!$F$7-SQRT((1-D163)*(Supuestos!$F$7-Supuestos!$D$7)*(Supuestos!$F$7-Supuestos!$E$7))),IF(Supuestos!$C$7="Uniforme",Supuestos!$D$7+D163*(Supuestos!$E$7-Supuestos!$D$7),IF(Supuestos!$C$7="Lognormal",LOGINV(D163,LN(Supuestos!$D$7)-LN(1+Supuestos!$E$7^2/Supuestos!$D$7^2)/2,SQRT(LN(1+Supuestos!$E$7^2/Supuestos!$D$7^2))),Supuestos!$D$7))))))</f>
        <v/>
      </c>
      <c r="L163" s="32">
        <f>MIN(IF(Supuestos!$H$8="",1E+99,Supuestos!$H$8),MAX(IF(Supuestos!$G$8="",-1E+99,Supuestos!$G$8),IF(Supuestos!$C$8="Normal",NORMINV(E163,Supuestos!$D$8,Supuestos!$E$8),IF(Supuestos!$C$8="Triangular",IF(E163&lt;(Supuestos!$E$8-Supuestos!$D$8)/(Supuestos!$F$8-Supuestos!$D$8),Supuestos!$D$8+SQRT(E163*(Supuestos!$F$8-Supuestos!$D$8)*(Supuestos!$E$8-Supuestos!$D$8)),Supuestos!$F$8-SQRT((1-E163)*(Supuestos!$F$8-Supuestos!$D$8)*(Supuestos!$F$8-Supuestos!$E$8))),IF(Supuestos!$C$8="Uniforme",Supuestos!$D$8+E163*(Supuestos!$E$8-Supuestos!$D$8),IF(Supuestos!$C$8="Lognormal",LOGINV(E163,LN(Supuestos!$D$8)-LN(1+Supuestos!$E$8^2/Supuestos!$D$8^2)/2,SQRT(LN(1+Supuestos!$E$8^2/Supuestos!$D$8^2))),Supuestos!$D$8))))))</f>
        <v/>
      </c>
      <c r="M163" s="32">
        <f>MIN(IF(Supuestos!$H$9="",1E+99,Supuestos!$H$9),MAX(IF(Supuestos!$G$9="",-1E+99,Supuestos!$G$9),IF(Supuestos!$C$9="Normal",NORMINV(F163,Supuestos!$D$9,Supuestos!$E$9),IF(Supuestos!$C$9="Triangular",IF(F163&lt;(Supuestos!$E$9-Supuestos!$D$9)/(Supuestos!$F$9-Supuestos!$D$9),Supuestos!$D$9+SQRT(F163*(Supuestos!$F$9-Supuestos!$D$9)*(Supuestos!$E$9-Supuestos!$D$9)),Supuestos!$F$9-SQRT((1-F163)*(Supuestos!$F$9-Supuestos!$D$9)*(Supuestos!$F$9-Supuestos!$E$9))),IF(Supuestos!$C$9="Uniforme",Supuestos!$D$9+F163*(Supuestos!$E$9-Supuestos!$D$9),IF(Supuestos!$C$9="Lognormal",LOGINV(F163,LN(Supuestos!$D$9)-LN(1+Supuestos!$E$9^2/Supuestos!$D$9^2)/2,SQRT(LN(1+Supuestos!$E$9^2/Supuestos!$D$9^2))),Supuestos!$D$9))))))</f>
        <v/>
      </c>
      <c r="N163" s="32">
        <f>MIN(IF(Supuestos!$H$10="",1E+99,Supuestos!$H$10),MAX(IF(Supuestos!$G$10="",-1E+99,Supuestos!$G$10),IF(Supuestos!$C$10="Normal",NORMINV(G163,Supuestos!$D$10,Supuestos!$E$10),IF(Supuestos!$C$10="Triangular",IF(G163&lt;(Supuestos!$E$10-Supuestos!$D$10)/(Supuestos!$F$10-Supuestos!$D$10),Supuestos!$D$10+SQRT(G163*(Supuestos!$F$10-Supuestos!$D$10)*(Supuestos!$E$10-Supuestos!$D$10)),Supuestos!$F$10-SQRT((1-G163)*(Supuestos!$F$10-Supuestos!$D$10)*(Supuestos!$F$10-Supuestos!$E$10))),IF(Supuestos!$C$10="Uniforme",Supuestos!$D$10+G163*(Supuestos!$E$10-Supuestos!$D$10),IF(Supuestos!$C$10="Lognormal",LOGINV(G163,LN(Supuestos!$D$10)-LN(1+Supuestos!$E$10^2/Supuestos!$D$10^2)/2,SQRT(LN(1+Supuestos!$E$10^2/Supuestos!$D$10^2))),Supuestos!$D$10))))))</f>
        <v/>
      </c>
      <c r="O163" s="31">
        <f>MIN(IF(Supuestos!$H$11="",1E+99,Supuestos!$H$11),MAX(IF(Supuestos!$G$11="",-1E+99,Supuestos!$G$11),IF(Supuestos!$C$11="Normal",NORMINV(H163,Supuestos!$D$11,Supuestos!$E$11),IF(Supuestos!$C$11="Triangular",IF(H163&lt;(Supuestos!$E$11-Supuestos!$D$11)/(Supuestos!$F$11-Supuestos!$D$11),Supuestos!$D$11+SQRT(H163*(Supuestos!$F$11-Supuestos!$D$11)*(Supuestos!$E$11-Supuestos!$D$11)),Supuestos!$F$11-SQRT((1-H163)*(Supuestos!$F$11-Supuestos!$D$11)*(Supuestos!$F$11-Supuestos!$E$11))),IF(Supuestos!$C$11="Uniforme",Supuestos!$D$11+H163*(Supuestos!$E$11-Supuestos!$D$11),IF(Supuestos!$C$11="Lognormal",LOGINV(H163,LN(Supuestos!$D$11)-LN(1+Supuestos!$E$11^2/Supuestos!$D$11^2)/2,SQRT(LN(1+Supuestos!$E$11^2/Supuestos!$D$11^2))),Supuestos!$D$11))))))</f>
        <v/>
      </c>
      <c r="P163" s="33">
        <f>-I163</f>
        <v/>
      </c>
      <c r="Q163" s="33">
        <f>$J163*(1+$K163)^(1-1)*(1-$L163)*(1-$M163)</f>
        <v/>
      </c>
      <c r="R163" s="33">
        <f>$J163*(1+$K163)^(2-1)*(1-$L163)*(1-$M163)</f>
        <v/>
      </c>
      <c r="S163" s="33">
        <f>$J163*(1+$K163)^(3-1)*(1-$L163)*(1-$M163)</f>
        <v/>
      </c>
      <c r="T163" s="33">
        <f>$J163*(1+$K163)^(4-1)*(1-$L163)*(1-$M163)</f>
        <v/>
      </c>
      <c r="U163" s="33">
        <f>$J163*(1+$K163)^(5-1)*(1-$L163)*(1-$M163)+$O163</f>
        <v/>
      </c>
      <c r="V163" s="33">
        <f>P163+NPV($N163,Q163:U163)</f>
        <v/>
      </c>
      <c r="W163" s="32">
        <f>IFERROR(IRR(P163:U163,0.1),"")</f>
        <v/>
      </c>
    </row>
    <row r="164">
      <c r="A164" s="14" t="n">
        <v>160</v>
      </c>
      <c r="B164" s="30">
        <f>RAND()*(1-2E-6)+1E-6</f>
        <v/>
      </c>
      <c r="C164" s="30">
        <f>RAND()*(1-2E-6)+1E-6</f>
        <v/>
      </c>
      <c r="D164" s="30">
        <f>RAND()*(1-2E-6)+1E-6</f>
        <v/>
      </c>
      <c r="E164" s="30">
        <f>RAND()*(1-2E-6)+1E-6</f>
        <v/>
      </c>
      <c r="F164" s="30">
        <f>RAND()*(1-2E-6)+1E-6</f>
        <v/>
      </c>
      <c r="G164" s="30">
        <f>RAND()*(1-2E-6)+1E-6</f>
        <v/>
      </c>
      <c r="H164" s="30">
        <f>RAND()*(1-2E-6)+1E-6</f>
        <v/>
      </c>
      <c r="I164" s="31">
        <f>MIN(IF(Supuestos!$H$5="",1E+99,Supuestos!$H$5),MAX(IF(Supuestos!$G$5="",-1E+99,Supuestos!$G$5),IF(Supuestos!$C$5="Normal",NORMINV(B164,Supuestos!$D$5,Supuestos!$E$5),IF(Supuestos!$C$5="Triangular",IF(B164&lt;(Supuestos!$E$5-Supuestos!$D$5)/(Supuestos!$F$5-Supuestos!$D$5),Supuestos!$D$5+SQRT(B164*(Supuestos!$F$5-Supuestos!$D$5)*(Supuestos!$E$5-Supuestos!$D$5)),Supuestos!$F$5-SQRT((1-B164)*(Supuestos!$F$5-Supuestos!$D$5)*(Supuestos!$F$5-Supuestos!$E$5))),IF(Supuestos!$C$5="Uniforme",Supuestos!$D$5+B164*(Supuestos!$E$5-Supuestos!$D$5),IF(Supuestos!$C$5="Lognormal",LOGINV(B164,LN(Supuestos!$D$5)-LN(1+Supuestos!$E$5^2/Supuestos!$D$5^2)/2,SQRT(LN(1+Supuestos!$E$5^2/Supuestos!$D$5^2))),Supuestos!$D$5))))))</f>
        <v/>
      </c>
      <c r="J164" s="31">
        <f>MIN(IF(Supuestos!$H$6="",1E+99,Supuestos!$H$6),MAX(IF(Supuestos!$G$6="",-1E+99,Supuestos!$G$6),IF(Supuestos!$C$6="Normal",NORMINV(C164,Supuestos!$D$6,Supuestos!$E$6),IF(Supuestos!$C$6="Triangular",IF(C164&lt;(Supuestos!$E$6-Supuestos!$D$6)/(Supuestos!$F$6-Supuestos!$D$6),Supuestos!$D$6+SQRT(C164*(Supuestos!$F$6-Supuestos!$D$6)*(Supuestos!$E$6-Supuestos!$D$6)),Supuestos!$F$6-SQRT((1-C164)*(Supuestos!$F$6-Supuestos!$D$6)*(Supuestos!$F$6-Supuestos!$E$6))),IF(Supuestos!$C$6="Uniforme",Supuestos!$D$6+C164*(Supuestos!$E$6-Supuestos!$D$6),IF(Supuestos!$C$6="Lognormal",LOGINV(C164,LN(Supuestos!$D$6)-LN(1+Supuestos!$E$6^2/Supuestos!$D$6^2)/2,SQRT(LN(1+Supuestos!$E$6^2/Supuestos!$D$6^2))),Supuestos!$D$6))))))</f>
        <v/>
      </c>
      <c r="K164" s="32">
        <f>MIN(IF(Supuestos!$H$7="",1E+99,Supuestos!$H$7),MAX(IF(Supuestos!$G$7="",-1E+99,Supuestos!$G$7),IF(Supuestos!$C$7="Normal",NORMINV(D164,Supuestos!$D$7,Supuestos!$E$7),IF(Supuestos!$C$7="Triangular",IF(D164&lt;(Supuestos!$E$7-Supuestos!$D$7)/(Supuestos!$F$7-Supuestos!$D$7),Supuestos!$D$7+SQRT(D164*(Supuestos!$F$7-Supuestos!$D$7)*(Supuestos!$E$7-Supuestos!$D$7)),Supuestos!$F$7-SQRT((1-D164)*(Supuestos!$F$7-Supuestos!$D$7)*(Supuestos!$F$7-Supuestos!$E$7))),IF(Supuestos!$C$7="Uniforme",Supuestos!$D$7+D164*(Supuestos!$E$7-Supuestos!$D$7),IF(Supuestos!$C$7="Lognormal",LOGINV(D164,LN(Supuestos!$D$7)-LN(1+Supuestos!$E$7^2/Supuestos!$D$7^2)/2,SQRT(LN(1+Supuestos!$E$7^2/Supuestos!$D$7^2))),Supuestos!$D$7))))))</f>
        <v/>
      </c>
      <c r="L164" s="32">
        <f>MIN(IF(Supuestos!$H$8="",1E+99,Supuestos!$H$8),MAX(IF(Supuestos!$G$8="",-1E+99,Supuestos!$G$8),IF(Supuestos!$C$8="Normal",NORMINV(E164,Supuestos!$D$8,Supuestos!$E$8),IF(Supuestos!$C$8="Triangular",IF(E164&lt;(Supuestos!$E$8-Supuestos!$D$8)/(Supuestos!$F$8-Supuestos!$D$8),Supuestos!$D$8+SQRT(E164*(Supuestos!$F$8-Supuestos!$D$8)*(Supuestos!$E$8-Supuestos!$D$8)),Supuestos!$F$8-SQRT((1-E164)*(Supuestos!$F$8-Supuestos!$D$8)*(Supuestos!$F$8-Supuestos!$E$8))),IF(Supuestos!$C$8="Uniforme",Supuestos!$D$8+E164*(Supuestos!$E$8-Supuestos!$D$8),IF(Supuestos!$C$8="Lognormal",LOGINV(E164,LN(Supuestos!$D$8)-LN(1+Supuestos!$E$8^2/Supuestos!$D$8^2)/2,SQRT(LN(1+Supuestos!$E$8^2/Supuestos!$D$8^2))),Supuestos!$D$8))))))</f>
        <v/>
      </c>
      <c r="M164" s="32">
        <f>MIN(IF(Supuestos!$H$9="",1E+99,Supuestos!$H$9),MAX(IF(Supuestos!$G$9="",-1E+99,Supuestos!$G$9),IF(Supuestos!$C$9="Normal",NORMINV(F164,Supuestos!$D$9,Supuestos!$E$9),IF(Supuestos!$C$9="Triangular",IF(F164&lt;(Supuestos!$E$9-Supuestos!$D$9)/(Supuestos!$F$9-Supuestos!$D$9),Supuestos!$D$9+SQRT(F164*(Supuestos!$F$9-Supuestos!$D$9)*(Supuestos!$E$9-Supuestos!$D$9)),Supuestos!$F$9-SQRT((1-F164)*(Supuestos!$F$9-Supuestos!$D$9)*(Supuestos!$F$9-Supuestos!$E$9))),IF(Supuestos!$C$9="Uniforme",Supuestos!$D$9+F164*(Supuestos!$E$9-Supuestos!$D$9),IF(Supuestos!$C$9="Lognormal",LOGINV(F164,LN(Supuestos!$D$9)-LN(1+Supuestos!$E$9^2/Supuestos!$D$9^2)/2,SQRT(LN(1+Supuestos!$E$9^2/Supuestos!$D$9^2))),Supuestos!$D$9))))))</f>
        <v/>
      </c>
      <c r="N164" s="32">
        <f>MIN(IF(Supuestos!$H$10="",1E+99,Supuestos!$H$10),MAX(IF(Supuestos!$G$10="",-1E+99,Supuestos!$G$10),IF(Supuestos!$C$10="Normal",NORMINV(G164,Supuestos!$D$10,Supuestos!$E$10),IF(Supuestos!$C$10="Triangular",IF(G164&lt;(Supuestos!$E$10-Supuestos!$D$10)/(Supuestos!$F$10-Supuestos!$D$10),Supuestos!$D$10+SQRT(G164*(Supuestos!$F$10-Supuestos!$D$10)*(Supuestos!$E$10-Supuestos!$D$10)),Supuestos!$F$10-SQRT((1-G164)*(Supuestos!$F$10-Supuestos!$D$10)*(Supuestos!$F$10-Supuestos!$E$10))),IF(Supuestos!$C$10="Uniforme",Supuestos!$D$10+G164*(Supuestos!$E$10-Supuestos!$D$10),IF(Supuestos!$C$10="Lognormal",LOGINV(G164,LN(Supuestos!$D$10)-LN(1+Supuestos!$E$10^2/Supuestos!$D$10^2)/2,SQRT(LN(1+Supuestos!$E$10^2/Supuestos!$D$10^2))),Supuestos!$D$10))))))</f>
        <v/>
      </c>
      <c r="O164" s="31">
        <f>MIN(IF(Supuestos!$H$11="",1E+99,Supuestos!$H$11),MAX(IF(Supuestos!$G$11="",-1E+99,Supuestos!$G$11),IF(Supuestos!$C$11="Normal",NORMINV(H164,Supuestos!$D$11,Supuestos!$E$11),IF(Supuestos!$C$11="Triangular",IF(H164&lt;(Supuestos!$E$11-Supuestos!$D$11)/(Supuestos!$F$11-Supuestos!$D$11),Supuestos!$D$11+SQRT(H164*(Supuestos!$F$11-Supuestos!$D$11)*(Supuestos!$E$11-Supuestos!$D$11)),Supuestos!$F$11-SQRT((1-H164)*(Supuestos!$F$11-Supuestos!$D$11)*(Supuestos!$F$11-Supuestos!$E$11))),IF(Supuestos!$C$11="Uniforme",Supuestos!$D$11+H164*(Supuestos!$E$11-Supuestos!$D$11),IF(Supuestos!$C$11="Lognormal",LOGINV(H164,LN(Supuestos!$D$11)-LN(1+Supuestos!$E$11^2/Supuestos!$D$11^2)/2,SQRT(LN(1+Supuestos!$E$11^2/Supuestos!$D$11^2))),Supuestos!$D$11))))))</f>
        <v/>
      </c>
      <c r="P164" s="33">
        <f>-I164</f>
        <v/>
      </c>
      <c r="Q164" s="33">
        <f>$J164*(1+$K164)^(1-1)*(1-$L164)*(1-$M164)</f>
        <v/>
      </c>
      <c r="R164" s="33">
        <f>$J164*(1+$K164)^(2-1)*(1-$L164)*(1-$M164)</f>
        <v/>
      </c>
      <c r="S164" s="33">
        <f>$J164*(1+$K164)^(3-1)*(1-$L164)*(1-$M164)</f>
        <v/>
      </c>
      <c r="T164" s="33">
        <f>$J164*(1+$K164)^(4-1)*(1-$L164)*(1-$M164)</f>
        <v/>
      </c>
      <c r="U164" s="33">
        <f>$J164*(1+$K164)^(5-1)*(1-$L164)*(1-$M164)+$O164</f>
        <v/>
      </c>
      <c r="V164" s="33">
        <f>P164+NPV($N164,Q164:U164)</f>
        <v/>
      </c>
      <c r="W164" s="32">
        <f>IFERROR(IRR(P164:U164,0.1),"")</f>
        <v/>
      </c>
    </row>
    <row r="165">
      <c r="A165" s="14" t="n">
        <v>161</v>
      </c>
      <c r="B165" s="30">
        <f>RAND()*(1-2E-6)+1E-6</f>
        <v/>
      </c>
      <c r="C165" s="30">
        <f>RAND()*(1-2E-6)+1E-6</f>
        <v/>
      </c>
      <c r="D165" s="30">
        <f>RAND()*(1-2E-6)+1E-6</f>
        <v/>
      </c>
      <c r="E165" s="30">
        <f>RAND()*(1-2E-6)+1E-6</f>
        <v/>
      </c>
      <c r="F165" s="30">
        <f>RAND()*(1-2E-6)+1E-6</f>
        <v/>
      </c>
      <c r="G165" s="30">
        <f>RAND()*(1-2E-6)+1E-6</f>
        <v/>
      </c>
      <c r="H165" s="30">
        <f>RAND()*(1-2E-6)+1E-6</f>
        <v/>
      </c>
      <c r="I165" s="31">
        <f>MIN(IF(Supuestos!$H$5="",1E+99,Supuestos!$H$5),MAX(IF(Supuestos!$G$5="",-1E+99,Supuestos!$G$5),IF(Supuestos!$C$5="Normal",NORMINV(B165,Supuestos!$D$5,Supuestos!$E$5),IF(Supuestos!$C$5="Triangular",IF(B165&lt;(Supuestos!$E$5-Supuestos!$D$5)/(Supuestos!$F$5-Supuestos!$D$5),Supuestos!$D$5+SQRT(B165*(Supuestos!$F$5-Supuestos!$D$5)*(Supuestos!$E$5-Supuestos!$D$5)),Supuestos!$F$5-SQRT((1-B165)*(Supuestos!$F$5-Supuestos!$D$5)*(Supuestos!$F$5-Supuestos!$E$5))),IF(Supuestos!$C$5="Uniforme",Supuestos!$D$5+B165*(Supuestos!$E$5-Supuestos!$D$5),IF(Supuestos!$C$5="Lognormal",LOGINV(B165,LN(Supuestos!$D$5)-LN(1+Supuestos!$E$5^2/Supuestos!$D$5^2)/2,SQRT(LN(1+Supuestos!$E$5^2/Supuestos!$D$5^2))),Supuestos!$D$5))))))</f>
        <v/>
      </c>
      <c r="J165" s="31">
        <f>MIN(IF(Supuestos!$H$6="",1E+99,Supuestos!$H$6),MAX(IF(Supuestos!$G$6="",-1E+99,Supuestos!$G$6),IF(Supuestos!$C$6="Normal",NORMINV(C165,Supuestos!$D$6,Supuestos!$E$6),IF(Supuestos!$C$6="Triangular",IF(C165&lt;(Supuestos!$E$6-Supuestos!$D$6)/(Supuestos!$F$6-Supuestos!$D$6),Supuestos!$D$6+SQRT(C165*(Supuestos!$F$6-Supuestos!$D$6)*(Supuestos!$E$6-Supuestos!$D$6)),Supuestos!$F$6-SQRT((1-C165)*(Supuestos!$F$6-Supuestos!$D$6)*(Supuestos!$F$6-Supuestos!$E$6))),IF(Supuestos!$C$6="Uniforme",Supuestos!$D$6+C165*(Supuestos!$E$6-Supuestos!$D$6),IF(Supuestos!$C$6="Lognormal",LOGINV(C165,LN(Supuestos!$D$6)-LN(1+Supuestos!$E$6^2/Supuestos!$D$6^2)/2,SQRT(LN(1+Supuestos!$E$6^2/Supuestos!$D$6^2))),Supuestos!$D$6))))))</f>
        <v/>
      </c>
      <c r="K165" s="32">
        <f>MIN(IF(Supuestos!$H$7="",1E+99,Supuestos!$H$7),MAX(IF(Supuestos!$G$7="",-1E+99,Supuestos!$G$7),IF(Supuestos!$C$7="Normal",NORMINV(D165,Supuestos!$D$7,Supuestos!$E$7),IF(Supuestos!$C$7="Triangular",IF(D165&lt;(Supuestos!$E$7-Supuestos!$D$7)/(Supuestos!$F$7-Supuestos!$D$7),Supuestos!$D$7+SQRT(D165*(Supuestos!$F$7-Supuestos!$D$7)*(Supuestos!$E$7-Supuestos!$D$7)),Supuestos!$F$7-SQRT((1-D165)*(Supuestos!$F$7-Supuestos!$D$7)*(Supuestos!$F$7-Supuestos!$E$7))),IF(Supuestos!$C$7="Uniforme",Supuestos!$D$7+D165*(Supuestos!$E$7-Supuestos!$D$7),IF(Supuestos!$C$7="Lognormal",LOGINV(D165,LN(Supuestos!$D$7)-LN(1+Supuestos!$E$7^2/Supuestos!$D$7^2)/2,SQRT(LN(1+Supuestos!$E$7^2/Supuestos!$D$7^2))),Supuestos!$D$7))))))</f>
        <v/>
      </c>
      <c r="L165" s="32">
        <f>MIN(IF(Supuestos!$H$8="",1E+99,Supuestos!$H$8),MAX(IF(Supuestos!$G$8="",-1E+99,Supuestos!$G$8),IF(Supuestos!$C$8="Normal",NORMINV(E165,Supuestos!$D$8,Supuestos!$E$8),IF(Supuestos!$C$8="Triangular",IF(E165&lt;(Supuestos!$E$8-Supuestos!$D$8)/(Supuestos!$F$8-Supuestos!$D$8),Supuestos!$D$8+SQRT(E165*(Supuestos!$F$8-Supuestos!$D$8)*(Supuestos!$E$8-Supuestos!$D$8)),Supuestos!$F$8-SQRT((1-E165)*(Supuestos!$F$8-Supuestos!$D$8)*(Supuestos!$F$8-Supuestos!$E$8))),IF(Supuestos!$C$8="Uniforme",Supuestos!$D$8+E165*(Supuestos!$E$8-Supuestos!$D$8),IF(Supuestos!$C$8="Lognormal",LOGINV(E165,LN(Supuestos!$D$8)-LN(1+Supuestos!$E$8^2/Supuestos!$D$8^2)/2,SQRT(LN(1+Supuestos!$E$8^2/Supuestos!$D$8^2))),Supuestos!$D$8))))))</f>
        <v/>
      </c>
      <c r="M165" s="32">
        <f>MIN(IF(Supuestos!$H$9="",1E+99,Supuestos!$H$9),MAX(IF(Supuestos!$G$9="",-1E+99,Supuestos!$G$9),IF(Supuestos!$C$9="Normal",NORMINV(F165,Supuestos!$D$9,Supuestos!$E$9),IF(Supuestos!$C$9="Triangular",IF(F165&lt;(Supuestos!$E$9-Supuestos!$D$9)/(Supuestos!$F$9-Supuestos!$D$9),Supuestos!$D$9+SQRT(F165*(Supuestos!$F$9-Supuestos!$D$9)*(Supuestos!$E$9-Supuestos!$D$9)),Supuestos!$F$9-SQRT((1-F165)*(Supuestos!$F$9-Supuestos!$D$9)*(Supuestos!$F$9-Supuestos!$E$9))),IF(Supuestos!$C$9="Uniforme",Supuestos!$D$9+F165*(Supuestos!$E$9-Supuestos!$D$9),IF(Supuestos!$C$9="Lognormal",LOGINV(F165,LN(Supuestos!$D$9)-LN(1+Supuestos!$E$9^2/Supuestos!$D$9^2)/2,SQRT(LN(1+Supuestos!$E$9^2/Supuestos!$D$9^2))),Supuestos!$D$9))))))</f>
        <v/>
      </c>
      <c r="N165" s="32">
        <f>MIN(IF(Supuestos!$H$10="",1E+99,Supuestos!$H$10),MAX(IF(Supuestos!$G$10="",-1E+99,Supuestos!$G$10),IF(Supuestos!$C$10="Normal",NORMINV(G165,Supuestos!$D$10,Supuestos!$E$10),IF(Supuestos!$C$10="Triangular",IF(G165&lt;(Supuestos!$E$10-Supuestos!$D$10)/(Supuestos!$F$10-Supuestos!$D$10),Supuestos!$D$10+SQRT(G165*(Supuestos!$F$10-Supuestos!$D$10)*(Supuestos!$E$10-Supuestos!$D$10)),Supuestos!$F$10-SQRT((1-G165)*(Supuestos!$F$10-Supuestos!$D$10)*(Supuestos!$F$10-Supuestos!$E$10))),IF(Supuestos!$C$10="Uniforme",Supuestos!$D$10+G165*(Supuestos!$E$10-Supuestos!$D$10),IF(Supuestos!$C$10="Lognormal",LOGINV(G165,LN(Supuestos!$D$10)-LN(1+Supuestos!$E$10^2/Supuestos!$D$10^2)/2,SQRT(LN(1+Supuestos!$E$10^2/Supuestos!$D$10^2))),Supuestos!$D$10))))))</f>
        <v/>
      </c>
      <c r="O165" s="31">
        <f>MIN(IF(Supuestos!$H$11="",1E+99,Supuestos!$H$11),MAX(IF(Supuestos!$G$11="",-1E+99,Supuestos!$G$11),IF(Supuestos!$C$11="Normal",NORMINV(H165,Supuestos!$D$11,Supuestos!$E$11),IF(Supuestos!$C$11="Triangular",IF(H165&lt;(Supuestos!$E$11-Supuestos!$D$11)/(Supuestos!$F$11-Supuestos!$D$11),Supuestos!$D$11+SQRT(H165*(Supuestos!$F$11-Supuestos!$D$11)*(Supuestos!$E$11-Supuestos!$D$11)),Supuestos!$F$11-SQRT((1-H165)*(Supuestos!$F$11-Supuestos!$D$11)*(Supuestos!$F$11-Supuestos!$E$11))),IF(Supuestos!$C$11="Uniforme",Supuestos!$D$11+H165*(Supuestos!$E$11-Supuestos!$D$11),IF(Supuestos!$C$11="Lognormal",LOGINV(H165,LN(Supuestos!$D$11)-LN(1+Supuestos!$E$11^2/Supuestos!$D$11^2)/2,SQRT(LN(1+Supuestos!$E$11^2/Supuestos!$D$11^2))),Supuestos!$D$11))))))</f>
        <v/>
      </c>
      <c r="P165" s="33">
        <f>-I165</f>
        <v/>
      </c>
      <c r="Q165" s="33">
        <f>$J165*(1+$K165)^(1-1)*(1-$L165)*(1-$M165)</f>
        <v/>
      </c>
      <c r="R165" s="33">
        <f>$J165*(1+$K165)^(2-1)*(1-$L165)*(1-$M165)</f>
        <v/>
      </c>
      <c r="S165" s="33">
        <f>$J165*(1+$K165)^(3-1)*(1-$L165)*(1-$M165)</f>
        <v/>
      </c>
      <c r="T165" s="33">
        <f>$J165*(1+$K165)^(4-1)*(1-$L165)*(1-$M165)</f>
        <v/>
      </c>
      <c r="U165" s="33">
        <f>$J165*(1+$K165)^(5-1)*(1-$L165)*(1-$M165)+$O165</f>
        <v/>
      </c>
      <c r="V165" s="33">
        <f>P165+NPV($N165,Q165:U165)</f>
        <v/>
      </c>
      <c r="W165" s="32">
        <f>IFERROR(IRR(P165:U165,0.1),"")</f>
        <v/>
      </c>
    </row>
    <row r="166">
      <c r="A166" s="14" t="n">
        <v>162</v>
      </c>
      <c r="B166" s="30">
        <f>RAND()*(1-2E-6)+1E-6</f>
        <v/>
      </c>
      <c r="C166" s="30">
        <f>RAND()*(1-2E-6)+1E-6</f>
        <v/>
      </c>
      <c r="D166" s="30">
        <f>RAND()*(1-2E-6)+1E-6</f>
        <v/>
      </c>
      <c r="E166" s="30">
        <f>RAND()*(1-2E-6)+1E-6</f>
        <v/>
      </c>
      <c r="F166" s="30">
        <f>RAND()*(1-2E-6)+1E-6</f>
        <v/>
      </c>
      <c r="G166" s="30">
        <f>RAND()*(1-2E-6)+1E-6</f>
        <v/>
      </c>
      <c r="H166" s="30">
        <f>RAND()*(1-2E-6)+1E-6</f>
        <v/>
      </c>
      <c r="I166" s="31">
        <f>MIN(IF(Supuestos!$H$5="",1E+99,Supuestos!$H$5),MAX(IF(Supuestos!$G$5="",-1E+99,Supuestos!$G$5),IF(Supuestos!$C$5="Normal",NORMINV(B166,Supuestos!$D$5,Supuestos!$E$5),IF(Supuestos!$C$5="Triangular",IF(B166&lt;(Supuestos!$E$5-Supuestos!$D$5)/(Supuestos!$F$5-Supuestos!$D$5),Supuestos!$D$5+SQRT(B166*(Supuestos!$F$5-Supuestos!$D$5)*(Supuestos!$E$5-Supuestos!$D$5)),Supuestos!$F$5-SQRT((1-B166)*(Supuestos!$F$5-Supuestos!$D$5)*(Supuestos!$F$5-Supuestos!$E$5))),IF(Supuestos!$C$5="Uniforme",Supuestos!$D$5+B166*(Supuestos!$E$5-Supuestos!$D$5),IF(Supuestos!$C$5="Lognormal",LOGINV(B166,LN(Supuestos!$D$5)-LN(1+Supuestos!$E$5^2/Supuestos!$D$5^2)/2,SQRT(LN(1+Supuestos!$E$5^2/Supuestos!$D$5^2))),Supuestos!$D$5))))))</f>
        <v/>
      </c>
      <c r="J166" s="31">
        <f>MIN(IF(Supuestos!$H$6="",1E+99,Supuestos!$H$6),MAX(IF(Supuestos!$G$6="",-1E+99,Supuestos!$G$6),IF(Supuestos!$C$6="Normal",NORMINV(C166,Supuestos!$D$6,Supuestos!$E$6),IF(Supuestos!$C$6="Triangular",IF(C166&lt;(Supuestos!$E$6-Supuestos!$D$6)/(Supuestos!$F$6-Supuestos!$D$6),Supuestos!$D$6+SQRT(C166*(Supuestos!$F$6-Supuestos!$D$6)*(Supuestos!$E$6-Supuestos!$D$6)),Supuestos!$F$6-SQRT((1-C166)*(Supuestos!$F$6-Supuestos!$D$6)*(Supuestos!$F$6-Supuestos!$E$6))),IF(Supuestos!$C$6="Uniforme",Supuestos!$D$6+C166*(Supuestos!$E$6-Supuestos!$D$6),IF(Supuestos!$C$6="Lognormal",LOGINV(C166,LN(Supuestos!$D$6)-LN(1+Supuestos!$E$6^2/Supuestos!$D$6^2)/2,SQRT(LN(1+Supuestos!$E$6^2/Supuestos!$D$6^2))),Supuestos!$D$6))))))</f>
        <v/>
      </c>
      <c r="K166" s="32">
        <f>MIN(IF(Supuestos!$H$7="",1E+99,Supuestos!$H$7),MAX(IF(Supuestos!$G$7="",-1E+99,Supuestos!$G$7),IF(Supuestos!$C$7="Normal",NORMINV(D166,Supuestos!$D$7,Supuestos!$E$7),IF(Supuestos!$C$7="Triangular",IF(D166&lt;(Supuestos!$E$7-Supuestos!$D$7)/(Supuestos!$F$7-Supuestos!$D$7),Supuestos!$D$7+SQRT(D166*(Supuestos!$F$7-Supuestos!$D$7)*(Supuestos!$E$7-Supuestos!$D$7)),Supuestos!$F$7-SQRT((1-D166)*(Supuestos!$F$7-Supuestos!$D$7)*(Supuestos!$F$7-Supuestos!$E$7))),IF(Supuestos!$C$7="Uniforme",Supuestos!$D$7+D166*(Supuestos!$E$7-Supuestos!$D$7),IF(Supuestos!$C$7="Lognormal",LOGINV(D166,LN(Supuestos!$D$7)-LN(1+Supuestos!$E$7^2/Supuestos!$D$7^2)/2,SQRT(LN(1+Supuestos!$E$7^2/Supuestos!$D$7^2))),Supuestos!$D$7))))))</f>
        <v/>
      </c>
      <c r="L166" s="32">
        <f>MIN(IF(Supuestos!$H$8="",1E+99,Supuestos!$H$8),MAX(IF(Supuestos!$G$8="",-1E+99,Supuestos!$G$8),IF(Supuestos!$C$8="Normal",NORMINV(E166,Supuestos!$D$8,Supuestos!$E$8),IF(Supuestos!$C$8="Triangular",IF(E166&lt;(Supuestos!$E$8-Supuestos!$D$8)/(Supuestos!$F$8-Supuestos!$D$8),Supuestos!$D$8+SQRT(E166*(Supuestos!$F$8-Supuestos!$D$8)*(Supuestos!$E$8-Supuestos!$D$8)),Supuestos!$F$8-SQRT((1-E166)*(Supuestos!$F$8-Supuestos!$D$8)*(Supuestos!$F$8-Supuestos!$E$8))),IF(Supuestos!$C$8="Uniforme",Supuestos!$D$8+E166*(Supuestos!$E$8-Supuestos!$D$8),IF(Supuestos!$C$8="Lognormal",LOGINV(E166,LN(Supuestos!$D$8)-LN(1+Supuestos!$E$8^2/Supuestos!$D$8^2)/2,SQRT(LN(1+Supuestos!$E$8^2/Supuestos!$D$8^2))),Supuestos!$D$8))))))</f>
        <v/>
      </c>
      <c r="M166" s="32">
        <f>MIN(IF(Supuestos!$H$9="",1E+99,Supuestos!$H$9),MAX(IF(Supuestos!$G$9="",-1E+99,Supuestos!$G$9),IF(Supuestos!$C$9="Normal",NORMINV(F166,Supuestos!$D$9,Supuestos!$E$9),IF(Supuestos!$C$9="Triangular",IF(F166&lt;(Supuestos!$E$9-Supuestos!$D$9)/(Supuestos!$F$9-Supuestos!$D$9),Supuestos!$D$9+SQRT(F166*(Supuestos!$F$9-Supuestos!$D$9)*(Supuestos!$E$9-Supuestos!$D$9)),Supuestos!$F$9-SQRT((1-F166)*(Supuestos!$F$9-Supuestos!$D$9)*(Supuestos!$F$9-Supuestos!$E$9))),IF(Supuestos!$C$9="Uniforme",Supuestos!$D$9+F166*(Supuestos!$E$9-Supuestos!$D$9),IF(Supuestos!$C$9="Lognormal",LOGINV(F166,LN(Supuestos!$D$9)-LN(1+Supuestos!$E$9^2/Supuestos!$D$9^2)/2,SQRT(LN(1+Supuestos!$E$9^2/Supuestos!$D$9^2))),Supuestos!$D$9))))))</f>
        <v/>
      </c>
      <c r="N166" s="32">
        <f>MIN(IF(Supuestos!$H$10="",1E+99,Supuestos!$H$10),MAX(IF(Supuestos!$G$10="",-1E+99,Supuestos!$G$10),IF(Supuestos!$C$10="Normal",NORMINV(G166,Supuestos!$D$10,Supuestos!$E$10),IF(Supuestos!$C$10="Triangular",IF(G166&lt;(Supuestos!$E$10-Supuestos!$D$10)/(Supuestos!$F$10-Supuestos!$D$10),Supuestos!$D$10+SQRT(G166*(Supuestos!$F$10-Supuestos!$D$10)*(Supuestos!$E$10-Supuestos!$D$10)),Supuestos!$F$10-SQRT((1-G166)*(Supuestos!$F$10-Supuestos!$D$10)*(Supuestos!$F$10-Supuestos!$E$10))),IF(Supuestos!$C$10="Uniforme",Supuestos!$D$10+G166*(Supuestos!$E$10-Supuestos!$D$10),IF(Supuestos!$C$10="Lognormal",LOGINV(G166,LN(Supuestos!$D$10)-LN(1+Supuestos!$E$10^2/Supuestos!$D$10^2)/2,SQRT(LN(1+Supuestos!$E$10^2/Supuestos!$D$10^2))),Supuestos!$D$10))))))</f>
        <v/>
      </c>
      <c r="O166" s="31">
        <f>MIN(IF(Supuestos!$H$11="",1E+99,Supuestos!$H$11),MAX(IF(Supuestos!$G$11="",-1E+99,Supuestos!$G$11),IF(Supuestos!$C$11="Normal",NORMINV(H166,Supuestos!$D$11,Supuestos!$E$11),IF(Supuestos!$C$11="Triangular",IF(H166&lt;(Supuestos!$E$11-Supuestos!$D$11)/(Supuestos!$F$11-Supuestos!$D$11),Supuestos!$D$11+SQRT(H166*(Supuestos!$F$11-Supuestos!$D$11)*(Supuestos!$E$11-Supuestos!$D$11)),Supuestos!$F$11-SQRT((1-H166)*(Supuestos!$F$11-Supuestos!$D$11)*(Supuestos!$F$11-Supuestos!$E$11))),IF(Supuestos!$C$11="Uniforme",Supuestos!$D$11+H166*(Supuestos!$E$11-Supuestos!$D$11),IF(Supuestos!$C$11="Lognormal",LOGINV(H166,LN(Supuestos!$D$11)-LN(1+Supuestos!$E$11^2/Supuestos!$D$11^2)/2,SQRT(LN(1+Supuestos!$E$11^2/Supuestos!$D$11^2))),Supuestos!$D$11))))))</f>
        <v/>
      </c>
      <c r="P166" s="33">
        <f>-I166</f>
        <v/>
      </c>
      <c r="Q166" s="33">
        <f>$J166*(1+$K166)^(1-1)*(1-$L166)*(1-$M166)</f>
        <v/>
      </c>
      <c r="R166" s="33">
        <f>$J166*(1+$K166)^(2-1)*(1-$L166)*(1-$M166)</f>
        <v/>
      </c>
      <c r="S166" s="33">
        <f>$J166*(1+$K166)^(3-1)*(1-$L166)*(1-$M166)</f>
        <v/>
      </c>
      <c r="T166" s="33">
        <f>$J166*(1+$K166)^(4-1)*(1-$L166)*(1-$M166)</f>
        <v/>
      </c>
      <c r="U166" s="33">
        <f>$J166*(1+$K166)^(5-1)*(1-$L166)*(1-$M166)+$O166</f>
        <v/>
      </c>
      <c r="V166" s="33">
        <f>P166+NPV($N166,Q166:U166)</f>
        <v/>
      </c>
      <c r="W166" s="32">
        <f>IFERROR(IRR(P166:U166,0.1),"")</f>
        <v/>
      </c>
    </row>
    <row r="167">
      <c r="A167" s="14" t="n">
        <v>163</v>
      </c>
      <c r="B167" s="30">
        <f>RAND()*(1-2E-6)+1E-6</f>
        <v/>
      </c>
      <c r="C167" s="30">
        <f>RAND()*(1-2E-6)+1E-6</f>
        <v/>
      </c>
      <c r="D167" s="30">
        <f>RAND()*(1-2E-6)+1E-6</f>
        <v/>
      </c>
      <c r="E167" s="30">
        <f>RAND()*(1-2E-6)+1E-6</f>
        <v/>
      </c>
      <c r="F167" s="30">
        <f>RAND()*(1-2E-6)+1E-6</f>
        <v/>
      </c>
      <c r="G167" s="30">
        <f>RAND()*(1-2E-6)+1E-6</f>
        <v/>
      </c>
      <c r="H167" s="30">
        <f>RAND()*(1-2E-6)+1E-6</f>
        <v/>
      </c>
      <c r="I167" s="31">
        <f>MIN(IF(Supuestos!$H$5="",1E+99,Supuestos!$H$5),MAX(IF(Supuestos!$G$5="",-1E+99,Supuestos!$G$5),IF(Supuestos!$C$5="Normal",NORMINV(B167,Supuestos!$D$5,Supuestos!$E$5),IF(Supuestos!$C$5="Triangular",IF(B167&lt;(Supuestos!$E$5-Supuestos!$D$5)/(Supuestos!$F$5-Supuestos!$D$5),Supuestos!$D$5+SQRT(B167*(Supuestos!$F$5-Supuestos!$D$5)*(Supuestos!$E$5-Supuestos!$D$5)),Supuestos!$F$5-SQRT((1-B167)*(Supuestos!$F$5-Supuestos!$D$5)*(Supuestos!$F$5-Supuestos!$E$5))),IF(Supuestos!$C$5="Uniforme",Supuestos!$D$5+B167*(Supuestos!$E$5-Supuestos!$D$5),IF(Supuestos!$C$5="Lognormal",LOGINV(B167,LN(Supuestos!$D$5)-LN(1+Supuestos!$E$5^2/Supuestos!$D$5^2)/2,SQRT(LN(1+Supuestos!$E$5^2/Supuestos!$D$5^2))),Supuestos!$D$5))))))</f>
        <v/>
      </c>
      <c r="J167" s="31">
        <f>MIN(IF(Supuestos!$H$6="",1E+99,Supuestos!$H$6),MAX(IF(Supuestos!$G$6="",-1E+99,Supuestos!$G$6),IF(Supuestos!$C$6="Normal",NORMINV(C167,Supuestos!$D$6,Supuestos!$E$6),IF(Supuestos!$C$6="Triangular",IF(C167&lt;(Supuestos!$E$6-Supuestos!$D$6)/(Supuestos!$F$6-Supuestos!$D$6),Supuestos!$D$6+SQRT(C167*(Supuestos!$F$6-Supuestos!$D$6)*(Supuestos!$E$6-Supuestos!$D$6)),Supuestos!$F$6-SQRT((1-C167)*(Supuestos!$F$6-Supuestos!$D$6)*(Supuestos!$F$6-Supuestos!$E$6))),IF(Supuestos!$C$6="Uniforme",Supuestos!$D$6+C167*(Supuestos!$E$6-Supuestos!$D$6),IF(Supuestos!$C$6="Lognormal",LOGINV(C167,LN(Supuestos!$D$6)-LN(1+Supuestos!$E$6^2/Supuestos!$D$6^2)/2,SQRT(LN(1+Supuestos!$E$6^2/Supuestos!$D$6^2))),Supuestos!$D$6))))))</f>
        <v/>
      </c>
      <c r="K167" s="32">
        <f>MIN(IF(Supuestos!$H$7="",1E+99,Supuestos!$H$7),MAX(IF(Supuestos!$G$7="",-1E+99,Supuestos!$G$7),IF(Supuestos!$C$7="Normal",NORMINV(D167,Supuestos!$D$7,Supuestos!$E$7),IF(Supuestos!$C$7="Triangular",IF(D167&lt;(Supuestos!$E$7-Supuestos!$D$7)/(Supuestos!$F$7-Supuestos!$D$7),Supuestos!$D$7+SQRT(D167*(Supuestos!$F$7-Supuestos!$D$7)*(Supuestos!$E$7-Supuestos!$D$7)),Supuestos!$F$7-SQRT((1-D167)*(Supuestos!$F$7-Supuestos!$D$7)*(Supuestos!$F$7-Supuestos!$E$7))),IF(Supuestos!$C$7="Uniforme",Supuestos!$D$7+D167*(Supuestos!$E$7-Supuestos!$D$7),IF(Supuestos!$C$7="Lognormal",LOGINV(D167,LN(Supuestos!$D$7)-LN(1+Supuestos!$E$7^2/Supuestos!$D$7^2)/2,SQRT(LN(1+Supuestos!$E$7^2/Supuestos!$D$7^2))),Supuestos!$D$7))))))</f>
        <v/>
      </c>
      <c r="L167" s="32">
        <f>MIN(IF(Supuestos!$H$8="",1E+99,Supuestos!$H$8),MAX(IF(Supuestos!$G$8="",-1E+99,Supuestos!$G$8),IF(Supuestos!$C$8="Normal",NORMINV(E167,Supuestos!$D$8,Supuestos!$E$8),IF(Supuestos!$C$8="Triangular",IF(E167&lt;(Supuestos!$E$8-Supuestos!$D$8)/(Supuestos!$F$8-Supuestos!$D$8),Supuestos!$D$8+SQRT(E167*(Supuestos!$F$8-Supuestos!$D$8)*(Supuestos!$E$8-Supuestos!$D$8)),Supuestos!$F$8-SQRT((1-E167)*(Supuestos!$F$8-Supuestos!$D$8)*(Supuestos!$F$8-Supuestos!$E$8))),IF(Supuestos!$C$8="Uniforme",Supuestos!$D$8+E167*(Supuestos!$E$8-Supuestos!$D$8),IF(Supuestos!$C$8="Lognormal",LOGINV(E167,LN(Supuestos!$D$8)-LN(1+Supuestos!$E$8^2/Supuestos!$D$8^2)/2,SQRT(LN(1+Supuestos!$E$8^2/Supuestos!$D$8^2))),Supuestos!$D$8))))))</f>
        <v/>
      </c>
      <c r="M167" s="32">
        <f>MIN(IF(Supuestos!$H$9="",1E+99,Supuestos!$H$9),MAX(IF(Supuestos!$G$9="",-1E+99,Supuestos!$G$9),IF(Supuestos!$C$9="Normal",NORMINV(F167,Supuestos!$D$9,Supuestos!$E$9),IF(Supuestos!$C$9="Triangular",IF(F167&lt;(Supuestos!$E$9-Supuestos!$D$9)/(Supuestos!$F$9-Supuestos!$D$9),Supuestos!$D$9+SQRT(F167*(Supuestos!$F$9-Supuestos!$D$9)*(Supuestos!$E$9-Supuestos!$D$9)),Supuestos!$F$9-SQRT((1-F167)*(Supuestos!$F$9-Supuestos!$D$9)*(Supuestos!$F$9-Supuestos!$E$9))),IF(Supuestos!$C$9="Uniforme",Supuestos!$D$9+F167*(Supuestos!$E$9-Supuestos!$D$9),IF(Supuestos!$C$9="Lognormal",LOGINV(F167,LN(Supuestos!$D$9)-LN(1+Supuestos!$E$9^2/Supuestos!$D$9^2)/2,SQRT(LN(1+Supuestos!$E$9^2/Supuestos!$D$9^2))),Supuestos!$D$9))))))</f>
        <v/>
      </c>
      <c r="N167" s="32">
        <f>MIN(IF(Supuestos!$H$10="",1E+99,Supuestos!$H$10),MAX(IF(Supuestos!$G$10="",-1E+99,Supuestos!$G$10),IF(Supuestos!$C$10="Normal",NORMINV(G167,Supuestos!$D$10,Supuestos!$E$10),IF(Supuestos!$C$10="Triangular",IF(G167&lt;(Supuestos!$E$10-Supuestos!$D$10)/(Supuestos!$F$10-Supuestos!$D$10),Supuestos!$D$10+SQRT(G167*(Supuestos!$F$10-Supuestos!$D$10)*(Supuestos!$E$10-Supuestos!$D$10)),Supuestos!$F$10-SQRT((1-G167)*(Supuestos!$F$10-Supuestos!$D$10)*(Supuestos!$F$10-Supuestos!$E$10))),IF(Supuestos!$C$10="Uniforme",Supuestos!$D$10+G167*(Supuestos!$E$10-Supuestos!$D$10),IF(Supuestos!$C$10="Lognormal",LOGINV(G167,LN(Supuestos!$D$10)-LN(1+Supuestos!$E$10^2/Supuestos!$D$10^2)/2,SQRT(LN(1+Supuestos!$E$10^2/Supuestos!$D$10^2))),Supuestos!$D$10))))))</f>
        <v/>
      </c>
      <c r="O167" s="31">
        <f>MIN(IF(Supuestos!$H$11="",1E+99,Supuestos!$H$11),MAX(IF(Supuestos!$G$11="",-1E+99,Supuestos!$G$11),IF(Supuestos!$C$11="Normal",NORMINV(H167,Supuestos!$D$11,Supuestos!$E$11),IF(Supuestos!$C$11="Triangular",IF(H167&lt;(Supuestos!$E$11-Supuestos!$D$11)/(Supuestos!$F$11-Supuestos!$D$11),Supuestos!$D$11+SQRT(H167*(Supuestos!$F$11-Supuestos!$D$11)*(Supuestos!$E$11-Supuestos!$D$11)),Supuestos!$F$11-SQRT((1-H167)*(Supuestos!$F$11-Supuestos!$D$11)*(Supuestos!$F$11-Supuestos!$E$11))),IF(Supuestos!$C$11="Uniforme",Supuestos!$D$11+H167*(Supuestos!$E$11-Supuestos!$D$11),IF(Supuestos!$C$11="Lognormal",LOGINV(H167,LN(Supuestos!$D$11)-LN(1+Supuestos!$E$11^2/Supuestos!$D$11^2)/2,SQRT(LN(1+Supuestos!$E$11^2/Supuestos!$D$11^2))),Supuestos!$D$11))))))</f>
        <v/>
      </c>
      <c r="P167" s="33">
        <f>-I167</f>
        <v/>
      </c>
      <c r="Q167" s="33">
        <f>$J167*(1+$K167)^(1-1)*(1-$L167)*(1-$M167)</f>
        <v/>
      </c>
      <c r="R167" s="33">
        <f>$J167*(1+$K167)^(2-1)*(1-$L167)*(1-$M167)</f>
        <v/>
      </c>
      <c r="S167" s="33">
        <f>$J167*(1+$K167)^(3-1)*(1-$L167)*(1-$M167)</f>
        <v/>
      </c>
      <c r="T167" s="33">
        <f>$J167*(1+$K167)^(4-1)*(1-$L167)*(1-$M167)</f>
        <v/>
      </c>
      <c r="U167" s="33">
        <f>$J167*(1+$K167)^(5-1)*(1-$L167)*(1-$M167)+$O167</f>
        <v/>
      </c>
      <c r="V167" s="33">
        <f>P167+NPV($N167,Q167:U167)</f>
        <v/>
      </c>
      <c r="W167" s="32">
        <f>IFERROR(IRR(P167:U167,0.1),"")</f>
        <v/>
      </c>
    </row>
    <row r="168">
      <c r="A168" s="14" t="n">
        <v>164</v>
      </c>
      <c r="B168" s="30">
        <f>RAND()*(1-2E-6)+1E-6</f>
        <v/>
      </c>
      <c r="C168" s="30">
        <f>RAND()*(1-2E-6)+1E-6</f>
        <v/>
      </c>
      <c r="D168" s="30">
        <f>RAND()*(1-2E-6)+1E-6</f>
        <v/>
      </c>
      <c r="E168" s="30">
        <f>RAND()*(1-2E-6)+1E-6</f>
        <v/>
      </c>
      <c r="F168" s="30">
        <f>RAND()*(1-2E-6)+1E-6</f>
        <v/>
      </c>
      <c r="G168" s="30">
        <f>RAND()*(1-2E-6)+1E-6</f>
        <v/>
      </c>
      <c r="H168" s="30">
        <f>RAND()*(1-2E-6)+1E-6</f>
        <v/>
      </c>
      <c r="I168" s="31">
        <f>MIN(IF(Supuestos!$H$5="",1E+99,Supuestos!$H$5),MAX(IF(Supuestos!$G$5="",-1E+99,Supuestos!$G$5),IF(Supuestos!$C$5="Normal",NORMINV(B168,Supuestos!$D$5,Supuestos!$E$5),IF(Supuestos!$C$5="Triangular",IF(B168&lt;(Supuestos!$E$5-Supuestos!$D$5)/(Supuestos!$F$5-Supuestos!$D$5),Supuestos!$D$5+SQRT(B168*(Supuestos!$F$5-Supuestos!$D$5)*(Supuestos!$E$5-Supuestos!$D$5)),Supuestos!$F$5-SQRT((1-B168)*(Supuestos!$F$5-Supuestos!$D$5)*(Supuestos!$F$5-Supuestos!$E$5))),IF(Supuestos!$C$5="Uniforme",Supuestos!$D$5+B168*(Supuestos!$E$5-Supuestos!$D$5),IF(Supuestos!$C$5="Lognormal",LOGINV(B168,LN(Supuestos!$D$5)-LN(1+Supuestos!$E$5^2/Supuestos!$D$5^2)/2,SQRT(LN(1+Supuestos!$E$5^2/Supuestos!$D$5^2))),Supuestos!$D$5))))))</f>
        <v/>
      </c>
      <c r="J168" s="31">
        <f>MIN(IF(Supuestos!$H$6="",1E+99,Supuestos!$H$6),MAX(IF(Supuestos!$G$6="",-1E+99,Supuestos!$G$6),IF(Supuestos!$C$6="Normal",NORMINV(C168,Supuestos!$D$6,Supuestos!$E$6),IF(Supuestos!$C$6="Triangular",IF(C168&lt;(Supuestos!$E$6-Supuestos!$D$6)/(Supuestos!$F$6-Supuestos!$D$6),Supuestos!$D$6+SQRT(C168*(Supuestos!$F$6-Supuestos!$D$6)*(Supuestos!$E$6-Supuestos!$D$6)),Supuestos!$F$6-SQRT((1-C168)*(Supuestos!$F$6-Supuestos!$D$6)*(Supuestos!$F$6-Supuestos!$E$6))),IF(Supuestos!$C$6="Uniforme",Supuestos!$D$6+C168*(Supuestos!$E$6-Supuestos!$D$6),IF(Supuestos!$C$6="Lognormal",LOGINV(C168,LN(Supuestos!$D$6)-LN(1+Supuestos!$E$6^2/Supuestos!$D$6^2)/2,SQRT(LN(1+Supuestos!$E$6^2/Supuestos!$D$6^2))),Supuestos!$D$6))))))</f>
        <v/>
      </c>
      <c r="K168" s="32">
        <f>MIN(IF(Supuestos!$H$7="",1E+99,Supuestos!$H$7),MAX(IF(Supuestos!$G$7="",-1E+99,Supuestos!$G$7),IF(Supuestos!$C$7="Normal",NORMINV(D168,Supuestos!$D$7,Supuestos!$E$7),IF(Supuestos!$C$7="Triangular",IF(D168&lt;(Supuestos!$E$7-Supuestos!$D$7)/(Supuestos!$F$7-Supuestos!$D$7),Supuestos!$D$7+SQRT(D168*(Supuestos!$F$7-Supuestos!$D$7)*(Supuestos!$E$7-Supuestos!$D$7)),Supuestos!$F$7-SQRT((1-D168)*(Supuestos!$F$7-Supuestos!$D$7)*(Supuestos!$F$7-Supuestos!$E$7))),IF(Supuestos!$C$7="Uniforme",Supuestos!$D$7+D168*(Supuestos!$E$7-Supuestos!$D$7),IF(Supuestos!$C$7="Lognormal",LOGINV(D168,LN(Supuestos!$D$7)-LN(1+Supuestos!$E$7^2/Supuestos!$D$7^2)/2,SQRT(LN(1+Supuestos!$E$7^2/Supuestos!$D$7^2))),Supuestos!$D$7))))))</f>
        <v/>
      </c>
      <c r="L168" s="32">
        <f>MIN(IF(Supuestos!$H$8="",1E+99,Supuestos!$H$8),MAX(IF(Supuestos!$G$8="",-1E+99,Supuestos!$G$8),IF(Supuestos!$C$8="Normal",NORMINV(E168,Supuestos!$D$8,Supuestos!$E$8),IF(Supuestos!$C$8="Triangular",IF(E168&lt;(Supuestos!$E$8-Supuestos!$D$8)/(Supuestos!$F$8-Supuestos!$D$8),Supuestos!$D$8+SQRT(E168*(Supuestos!$F$8-Supuestos!$D$8)*(Supuestos!$E$8-Supuestos!$D$8)),Supuestos!$F$8-SQRT((1-E168)*(Supuestos!$F$8-Supuestos!$D$8)*(Supuestos!$F$8-Supuestos!$E$8))),IF(Supuestos!$C$8="Uniforme",Supuestos!$D$8+E168*(Supuestos!$E$8-Supuestos!$D$8),IF(Supuestos!$C$8="Lognormal",LOGINV(E168,LN(Supuestos!$D$8)-LN(1+Supuestos!$E$8^2/Supuestos!$D$8^2)/2,SQRT(LN(1+Supuestos!$E$8^2/Supuestos!$D$8^2))),Supuestos!$D$8))))))</f>
        <v/>
      </c>
      <c r="M168" s="32">
        <f>MIN(IF(Supuestos!$H$9="",1E+99,Supuestos!$H$9),MAX(IF(Supuestos!$G$9="",-1E+99,Supuestos!$G$9),IF(Supuestos!$C$9="Normal",NORMINV(F168,Supuestos!$D$9,Supuestos!$E$9),IF(Supuestos!$C$9="Triangular",IF(F168&lt;(Supuestos!$E$9-Supuestos!$D$9)/(Supuestos!$F$9-Supuestos!$D$9),Supuestos!$D$9+SQRT(F168*(Supuestos!$F$9-Supuestos!$D$9)*(Supuestos!$E$9-Supuestos!$D$9)),Supuestos!$F$9-SQRT((1-F168)*(Supuestos!$F$9-Supuestos!$D$9)*(Supuestos!$F$9-Supuestos!$E$9))),IF(Supuestos!$C$9="Uniforme",Supuestos!$D$9+F168*(Supuestos!$E$9-Supuestos!$D$9),IF(Supuestos!$C$9="Lognormal",LOGINV(F168,LN(Supuestos!$D$9)-LN(1+Supuestos!$E$9^2/Supuestos!$D$9^2)/2,SQRT(LN(1+Supuestos!$E$9^2/Supuestos!$D$9^2))),Supuestos!$D$9))))))</f>
        <v/>
      </c>
      <c r="N168" s="32">
        <f>MIN(IF(Supuestos!$H$10="",1E+99,Supuestos!$H$10),MAX(IF(Supuestos!$G$10="",-1E+99,Supuestos!$G$10),IF(Supuestos!$C$10="Normal",NORMINV(G168,Supuestos!$D$10,Supuestos!$E$10),IF(Supuestos!$C$10="Triangular",IF(G168&lt;(Supuestos!$E$10-Supuestos!$D$10)/(Supuestos!$F$10-Supuestos!$D$10),Supuestos!$D$10+SQRT(G168*(Supuestos!$F$10-Supuestos!$D$10)*(Supuestos!$E$10-Supuestos!$D$10)),Supuestos!$F$10-SQRT((1-G168)*(Supuestos!$F$10-Supuestos!$D$10)*(Supuestos!$F$10-Supuestos!$E$10))),IF(Supuestos!$C$10="Uniforme",Supuestos!$D$10+G168*(Supuestos!$E$10-Supuestos!$D$10),IF(Supuestos!$C$10="Lognormal",LOGINV(G168,LN(Supuestos!$D$10)-LN(1+Supuestos!$E$10^2/Supuestos!$D$10^2)/2,SQRT(LN(1+Supuestos!$E$10^2/Supuestos!$D$10^2))),Supuestos!$D$10))))))</f>
        <v/>
      </c>
      <c r="O168" s="31">
        <f>MIN(IF(Supuestos!$H$11="",1E+99,Supuestos!$H$11),MAX(IF(Supuestos!$G$11="",-1E+99,Supuestos!$G$11),IF(Supuestos!$C$11="Normal",NORMINV(H168,Supuestos!$D$11,Supuestos!$E$11),IF(Supuestos!$C$11="Triangular",IF(H168&lt;(Supuestos!$E$11-Supuestos!$D$11)/(Supuestos!$F$11-Supuestos!$D$11),Supuestos!$D$11+SQRT(H168*(Supuestos!$F$11-Supuestos!$D$11)*(Supuestos!$E$11-Supuestos!$D$11)),Supuestos!$F$11-SQRT((1-H168)*(Supuestos!$F$11-Supuestos!$D$11)*(Supuestos!$F$11-Supuestos!$E$11))),IF(Supuestos!$C$11="Uniforme",Supuestos!$D$11+H168*(Supuestos!$E$11-Supuestos!$D$11),IF(Supuestos!$C$11="Lognormal",LOGINV(H168,LN(Supuestos!$D$11)-LN(1+Supuestos!$E$11^2/Supuestos!$D$11^2)/2,SQRT(LN(1+Supuestos!$E$11^2/Supuestos!$D$11^2))),Supuestos!$D$11))))))</f>
        <v/>
      </c>
      <c r="P168" s="33">
        <f>-I168</f>
        <v/>
      </c>
      <c r="Q168" s="33">
        <f>$J168*(1+$K168)^(1-1)*(1-$L168)*(1-$M168)</f>
        <v/>
      </c>
      <c r="R168" s="33">
        <f>$J168*(1+$K168)^(2-1)*(1-$L168)*(1-$M168)</f>
        <v/>
      </c>
      <c r="S168" s="33">
        <f>$J168*(1+$K168)^(3-1)*(1-$L168)*(1-$M168)</f>
        <v/>
      </c>
      <c r="T168" s="33">
        <f>$J168*(1+$K168)^(4-1)*(1-$L168)*(1-$M168)</f>
        <v/>
      </c>
      <c r="U168" s="33">
        <f>$J168*(1+$K168)^(5-1)*(1-$L168)*(1-$M168)+$O168</f>
        <v/>
      </c>
      <c r="V168" s="33">
        <f>P168+NPV($N168,Q168:U168)</f>
        <v/>
      </c>
      <c r="W168" s="32">
        <f>IFERROR(IRR(P168:U168,0.1),"")</f>
        <v/>
      </c>
    </row>
    <row r="169">
      <c r="A169" s="14" t="n">
        <v>165</v>
      </c>
      <c r="B169" s="30">
        <f>RAND()*(1-2E-6)+1E-6</f>
        <v/>
      </c>
      <c r="C169" s="30">
        <f>RAND()*(1-2E-6)+1E-6</f>
        <v/>
      </c>
      <c r="D169" s="30">
        <f>RAND()*(1-2E-6)+1E-6</f>
        <v/>
      </c>
      <c r="E169" s="30">
        <f>RAND()*(1-2E-6)+1E-6</f>
        <v/>
      </c>
      <c r="F169" s="30">
        <f>RAND()*(1-2E-6)+1E-6</f>
        <v/>
      </c>
      <c r="G169" s="30">
        <f>RAND()*(1-2E-6)+1E-6</f>
        <v/>
      </c>
      <c r="H169" s="30">
        <f>RAND()*(1-2E-6)+1E-6</f>
        <v/>
      </c>
      <c r="I169" s="31">
        <f>MIN(IF(Supuestos!$H$5="",1E+99,Supuestos!$H$5),MAX(IF(Supuestos!$G$5="",-1E+99,Supuestos!$G$5),IF(Supuestos!$C$5="Normal",NORMINV(B169,Supuestos!$D$5,Supuestos!$E$5),IF(Supuestos!$C$5="Triangular",IF(B169&lt;(Supuestos!$E$5-Supuestos!$D$5)/(Supuestos!$F$5-Supuestos!$D$5),Supuestos!$D$5+SQRT(B169*(Supuestos!$F$5-Supuestos!$D$5)*(Supuestos!$E$5-Supuestos!$D$5)),Supuestos!$F$5-SQRT((1-B169)*(Supuestos!$F$5-Supuestos!$D$5)*(Supuestos!$F$5-Supuestos!$E$5))),IF(Supuestos!$C$5="Uniforme",Supuestos!$D$5+B169*(Supuestos!$E$5-Supuestos!$D$5),IF(Supuestos!$C$5="Lognormal",LOGINV(B169,LN(Supuestos!$D$5)-LN(1+Supuestos!$E$5^2/Supuestos!$D$5^2)/2,SQRT(LN(1+Supuestos!$E$5^2/Supuestos!$D$5^2))),Supuestos!$D$5))))))</f>
        <v/>
      </c>
      <c r="J169" s="31">
        <f>MIN(IF(Supuestos!$H$6="",1E+99,Supuestos!$H$6),MAX(IF(Supuestos!$G$6="",-1E+99,Supuestos!$G$6),IF(Supuestos!$C$6="Normal",NORMINV(C169,Supuestos!$D$6,Supuestos!$E$6),IF(Supuestos!$C$6="Triangular",IF(C169&lt;(Supuestos!$E$6-Supuestos!$D$6)/(Supuestos!$F$6-Supuestos!$D$6),Supuestos!$D$6+SQRT(C169*(Supuestos!$F$6-Supuestos!$D$6)*(Supuestos!$E$6-Supuestos!$D$6)),Supuestos!$F$6-SQRT((1-C169)*(Supuestos!$F$6-Supuestos!$D$6)*(Supuestos!$F$6-Supuestos!$E$6))),IF(Supuestos!$C$6="Uniforme",Supuestos!$D$6+C169*(Supuestos!$E$6-Supuestos!$D$6),IF(Supuestos!$C$6="Lognormal",LOGINV(C169,LN(Supuestos!$D$6)-LN(1+Supuestos!$E$6^2/Supuestos!$D$6^2)/2,SQRT(LN(1+Supuestos!$E$6^2/Supuestos!$D$6^2))),Supuestos!$D$6))))))</f>
        <v/>
      </c>
      <c r="K169" s="32">
        <f>MIN(IF(Supuestos!$H$7="",1E+99,Supuestos!$H$7),MAX(IF(Supuestos!$G$7="",-1E+99,Supuestos!$G$7),IF(Supuestos!$C$7="Normal",NORMINV(D169,Supuestos!$D$7,Supuestos!$E$7),IF(Supuestos!$C$7="Triangular",IF(D169&lt;(Supuestos!$E$7-Supuestos!$D$7)/(Supuestos!$F$7-Supuestos!$D$7),Supuestos!$D$7+SQRT(D169*(Supuestos!$F$7-Supuestos!$D$7)*(Supuestos!$E$7-Supuestos!$D$7)),Supuestos!$F$7-SQRT((1-D169)*(Supuestos!$F$7-Supuestos!$D$7)*(Supuestos!$F$7-Supuestos!$E$7))),IF(Supuestos!$C$7="Uniforme",Supuestos!$D$7+D169*(Supuestos!$E$7-Supuestos!$D$7),IF(Supuestos!$C$7="Lognormal",LOGINV(D169,LN(Supuestos!$D$7)-LN(1+Supuestos!$E$7^2/Supuestos!$D$7^2)/2,SQRT(LN(1+Supuestos!$E$7^2/Supuestos!$D$7^2))),Supuestos!$D$7))))))</f>
        <v/>
      </c>
      <c r="L169" s="32">
        <f>MIN(IF(Supuestos!$H$8="",1E+99,Supuestos!$H$8),MAX(IF(Supuestos!$G$8="",-1E+99,Supuestos!$G$8),IF(Supuestos!$C$8="Normal",NORMINV(E169,Supuestos!$D$8,Supuestos!$E$8),IF(Supuestos!$C$8="Triangular",IF(E169&lt;(Supuestos!$E$8-Supuestos!$D$8)/(Supuestos!$F$8-Supuestos!$D$8),Supuestos!$D$8+SQRT(E169*(Supuestos!$F$8-Supuestos!$D$8)*(Supuestos!$E$8-Supuestos!$D$8)),Supuestos!$F$8-SQRT((1-E169)*(Supuestos!$F$8-Supuestos!$D$8)*(Supuestos!$F$8-Supuestos!$E$8))),IF(Supuestos!$C$8="Uniforme",Supuestos!$D$8+E169*(Supuestos!$E$8-Supuestos!$D$8),IF(Supuestos!$C$8="Lognormal",LOGINV(E169,LN(Supuestos!$D$8)-LN(1+Supuestos!$E$8^2/Supuestos!$D$8^2)/2,SQRT(LN(1+Supuestos!$E$8^2/Supuestos!$D$8^2))),Supuestos!$D$8))))))</f>
        <v/>
      </c>
      <c r="M169" s="32">
        <f>MIN(IF(Supuestos!$H$9="",1E+99,Supuestos!$H$9),MAX(IF(Supuestos!$G$9="",-1E+99,Supuestos!$G$9),IF(Supuestos!$C$9="Normal",NORMINV(F169,Supuestos!$D$9,Supuestos!$E$9),IF(Supuestos!$C$9="Triangular",IF(F169&lt;(Supuestos!$E$9-Supuestos!$D$9)/(Supuestos!$F$9-Supuestos!$D$9),Supuestos!$D$9+SQRT(F169*(Supuestos!$F$9-Supuestos!$D$9)*(Supuestos!$E$9-Supuestos!$D$9)),Supuestos!$F$9-SQRT((1-F169)*(Supuestos!$F$9-Supuestos!$D$9)*(Supuestos!$F$9-Supuestos!$E$9))),IF(Supuestos!$C$9="Uniforme",Supuestos!$D$9+F169*(Supuestos!$E$9-Supuestos!$D$9),IF(Supuestos!$C$9="Lognormal",LOGINV(F169,LN(Supuestos!$D$9)-LN(1+Supuestos!$E$9^2/Supuestos!$D$9^2)/2,SQRT(LN(1+Supuestos!$E$9^2/Supuestos!$D$9^2))),Supuestos!$D$9))))))</f>
        <v/>
      </c>
      <c r="N169" s="32">
        <f>MIN(IF(Supuestos!$H$10="",1E+99,Supuestos!$H$10),MAX(IF(Supuestos!$G$10="",-1E+99,Supuestos!$G$10),IF(Supuestos!$C$10="Normal",NORMINV(G169,Supuestos!$D$10,Supuestos!$E$10),IF(Supuestos!$C$10="Triangular",IF(G169&lt;(Supuestos!$E$10-Supuestos!$D$10)/(Supuestos!$F$10-Supuestos!$D$10),Supuestos!$D$10+SQRT(G169*(Supuestos!$F$10-Supuestos!$D$10)*(Supuestos!$E$10-Supuestos!$D$10)),Supuestos!$F$10-SQRT((1-G169)*(Supuestos!$F$10-Supuestos!$D$10)*(Supuestos!$F$10-Supuestos!$E$10))),IF(Supuestos!$C$10="Uniforme",Supuestos!$D$10+G169*(Supuestos!$E$10-Supuestos!$D$10),IF(Supuestos!$C$10="Lognormal",LOGINV(G169,LN(Supuestos!$D$10)-LN(1+Supuestos!$E$10^2/Supuestos!$D$10^2)/2,SQRT(LN(1+Supuestos!$E$10^2/Supuestos!$D$10^2))),Supuestos!$D$10))))))</f>
        <v/>
      </c>
      <c r="O169" s="31">
        <f>MIN(IF(Supuestos!$H$11="",1E+99,Supuestos!$H$11),MAX(IF(Supuestos!$G$11="",-1E+99,Supuestos!$G$11),IF(Supuestos!$C$11="Normal",NORMINV(H169,Supuestos!$D$11,Supuestos!$E$11),IF(Supuestos!$C$11="Triangular",IF(H169&lt;(Supuestos!$E$11-Supuestos!$D$11)/(Supuestos!$F$11-Supuestos!$D$11),Supuestos!$D$11+SQRT(H169*(Supuestos!$F$11-Supuestos!$D$11)*(Supuestos!$E$11-Supuestos!$D$11)),Supuestos!$F$11-SQRT((1-H169)*(Supuestos!$F$11-Supuestos!$D$11)*(Supuestos!$F$11-Supuestos!$E$11))),IF(Supuestos!$C$11="Uniforme",Supuestos!$D$11+H169*(Supuestos!$E$11-Supuestos!$D$11),IF(Supuestos!$C$11="Lognormal",LOGINV(H169,LN(Supuestos!$D$11)-LN(1+Supuestos!$E$11^2/Supuestos!$D$11^2)/2,SQRT(LN(1+Supuestos!$E$11^2/Supuestos!$D$11^2))),Supuestos!$D$11))))))</f>
        <v/>
      </c>
      <c r="P169" s="33">
        <f>-I169</f>
        <v/>
      </c>
      <c r="Q169" s="33">
        <f>$J169*(1+$K169)^(1-1)*(1-$L169)*(1-$M169)</f>
        <v/>
      </c>
      <c r="R169" s="33">
        <f>$J169*(1+$K169)^(2-1)*(1-$L169)*(1-$M169)</f>
        <v/>
      </c>
      <c r="S169" s="33">
        <f>$J169*(1+$K169)^(3-1)*(1-$L169)*(1-$M169)</f>
        <v/>
      </c>
      <c r="T169" s="33">
        <f>$J169*(1+$K169)^(4-1)*(1-$L169)*(1-$M169)</f>
        <v/>
      </c>
      <c r="U169" s="33">
        <f>$J169*(1+$K169)^(5-1)*(1-$L169)*(1-$M169)+$O169</f>
        <v/>
      </c>
      <c r="V169" s="33">
        <f>P169+NPV($N169,Q169:U169)</f>
        <v/>
      </c>
      <c r="W169" s="32">
        <f>IFERROR(IRR(P169:U169,0.1),"")</f>
        <v/>
      </c>
    </row>
    <row r="170">
      <c r="A170" s="14" t="n">
        <v>166</v>
      </c>
      <c r="B170" s="30">
        <f>RAND()*(1-2E-6)+1E-6</f>
        <v/>
      </c>
      <c r="C170" s="30">
        <f>RAND()*(1-2E-6)+1E-6</f>
        <v/>
      </c>
      <c r="D170" s="30">
        <f>RAND()*(1-2E-6)+1E-6</f>
        <v/>
      </c>
      <c r="E170" s="30">
        <f>RAND()*(1-2E-6)+1E-6</f>
        <v/>
      </c>
      <c r="F170" s="30">
        <f>RAND()*(1-2E-6)+1E-6</f>
        <v/>
      </c>
      <c r="G170" s="30">
        <f>RAND()*(1-2E-6)+1E-6</f>
        <v/>
      </c>
      <c r="H170" s="30">
        <f>RAND()*(1-2E-6)+1E-6</f>
        <v/>
      </c>
      <c r="I170" s="31">
        <f>MIN(IF(Supuestos!$H$5="",1E+99,Supuestos!$H$5),MAX(IF(Supuestos!$G$5="",-1E+99,Supuestos!$G$5),IF(Supuestos!$C$5="Normal",NORMINV(B170,Supuestos!$D$5,Supuestos!$E$5),IF(Supuestos!$C$5="Triangular",IF(B170&lt;(Supuestos!$E$5-Supuestos!$D$5)/(Supuestos!$F$5-Supuestos!$D$5),Supuestos!$D$5+SQRT(B170*(Supuestos!$F$5-Supuestos!$D$5)*(Supuestos!$E$5-Supuestos!$D$5)),Supuestos!$F$5-SQRT((1-B170)*(Supuestos!$F$5-Supuestos!$D$5)*(Supuestos!$F$5-Supuestos!$E$5))),IF(Supuestos!$C$5="Uniforme",Supuestos!$D$5+B170*(Supuestos!$E$5-Supuestos!$D$5),IF(Supuestos!$C$5="Lognormal",LOGINV(B170,LN(Supuestos!$D$5)-LN(1+Supuestos!$E$5^2/Supuestos!$D$5^2)/2,SQRT(LN(1+Supuestos!$E$5^2/Supuestos!$D$5^2))),Supuestos!$D$5))))))</f>
        <v/>
      </c>
      <c r="J170" s="31">
        <f>MIN(IF(Supuestos!$H$6="",1E+99,Supuestos!$H$6),MAX(IF(Supuestos!$G$6="",-1E+99,Supuestos!$G$6),IF(Supuestos!$C$6="Normal",NORMINV(C170,Supuestos!$D$6,Supuestos!$E$6),IF(Supuestos!$C$6="Triangular",IF(C170&lt;(Supuestos!$E$6-Supuestos!$D$6)/(Supuestos!$F$6-Supuestos!$D$6),Supuestos!$D$6+SQRT(C170*(Supuestos!$F$6-Supuestos!$D$6)*(Supuestos!$E$6-Supuestos!$D$6)),Supuestos!$F$6-SQRT((1-C170)*(Supuestos!$F$6-Supuestos!$D$6)*(Supuestos!$F$6-Supuestos!$E$6))),IF(Supuestos!$C$6="Uniforme",Supuestos!$D$6+C170*(Supuestos!$E$6-Supuestos!$D$6),IF(Supuestos!$C$6="Lognormal",LOGINV(C170,LN(Supuestos!$D$6)-LN(1+Supuestos!$E$6^2/Supuestos!$D$6^2)/2,SQRT(LN(1+Supuestos!$E$6^2/Supuestos!$D$6^2))),Supuestos!$D$6))))))</f>
        <v/>
      </c>
      <c r="K170" s="32">
        <f>MIN(IF(Supuestos!$H$7="",1E+99,Supuestos!$H$7),MAX(IF(Supuestos!$G$7="",-1E+99,Supuestos!$G$7),IF(Supuestos!$C$7="Normal",NORMINV(D170,Supuestos!$D$7,Supuestos!$E$7),IF(Supuestos!$C$7="Triangular",IF(D170&lt;(Supuestos!$E$7-Supuestos!$D$7)/(Supuestos!$F$7-Supuestos!$D$7),Supuestos!$D$7+SQRT(D170*(Supuestos!$F$7-Supuestos!$D$7)*(Supuestos!$E$7-Supuestos!$D$7)),Supuestos!$F$7-SQRT((1-D170)*(Supuestos!$F$7-Supuestos!$D$7)*(Supuestos!$F$7-Supuestos!$E$7))),IF(Supuestos!$C$7="Uniforme",Supuestos!$D$7+D170*(Supuestos!$E$7-Supuestos!$D$7),IF(Supuestos!$C$7="Lognormal",LOGINV(D170,LN(Supuestos!$D$7)-LN(1+Supuestos!$E$7^2/Supuestos!$D$7^2)/2,SQRT(LN(1+Supuestos!$E$7^2/Supuestos!$D$7^2))),Supuestos!$D$7))))))</f>
        <v/>
      </c>
      <c r="L170" s="32">
        <f>MIN(IF(Supuestos!$H$8="",1E+99,Supuestos!$H$8),MAX(IF(Supuestos!$G$8="",-1E+99,Supuestos!$G$8),IF(Supuestos!$C$8="Normal",NORMINV(E170,Supuestos!$D$8,Supuestos!$E$8),IF(Supuestos!$C$8="Triangular",IF(E170&lt;(Supuestos!$E$8-Supuestos!$D$8)/(Supuestos!$F$8-Supuestos!$D$8),Supuestos!$D$8+SQRT(E170*(Supuestos!$F$8-Supuestos!$D$8)*(Supuestos!$E$8-Supuestos!$D$8)),Supuestos!$F$8-SQRT((1-E170)*(Supuestos!$F$8-Supuestos!$D$8)*(Supuestos!$F$8-Supuestos!$E$8))),IF(Supuestos!$C$8="Uniforme",Supuestos!$D$8+E170*(Supuestos!$E$8-Supuestos!$D$8),IF(Supuestos!$C$8="Lognormal",LOGINV(E170,LN(Supuestos!$D$8)-LN(1+Supuestos!$E$8^2/Supuestos!$D$8^2)/2,SQRT(LN(1+Supuestos!$E$8^2/Supuestos!$D$8^2))),Supuestos!$D$8))))))</f>
        <v/>
      </c>
      <c r="M170" s="32">
        <f>MIN(IF(Supuestos!$H$9="",1E+99,Supuestos!$H$9),MAX(IF(Supuestos!$G$9="",-1E+99,Supuestos!$G$9),IF(Supuestos!$C$9="Normal",NORMINV(F170,Supuestos!$D$9,Supuestos!$E$9),IF(Supuestos!$C$9="Triangular",IF(F170&lt;(Supuestos!$E$9-Supuestos!$D$9)/(Supuestos!$F$9-Supuestos!$D$9),Supuestos!$D$9+SQRT(F170*(Supuestos!$F$9-Supuestos!$D$9)*(Supuestos!$E$9-Supuestos!$D$9)),Supuestos!$F$9-SQRT((1-F170)*(Supuestos!$F$9-Supuestos!$D$9)*(Supuestos!$F$9-Supuestos!$E$9))),IF(Supuestos!$C$9="Uniforme",Supuestos!$D$9+F170*(Supuestos!$E$9-Supuestos!$D$9),IF(Supuestos!$C$9="Lognormal",LOGINV(F170,LN(Supuestos!$D$9)-LN(1+Supuestos!$E$9^2/Supuestos!$D$9^2)/2,SQRT(LN(1+Supuestos!$E$9^2/Supuestos!$D$9^2))),Supuestos!$D$9))))))</f>
        <v/>
      </c>
      <c r="N170" s="32">
        <f>MIN(IF(Supuestos!$H$10="",1E+99,Supuestos!$H$10),MAX(IF(Supuestos!$G$10="",-1E+99,Supuestos!$G$10),IF(Supuestos!$C$10="Normal",NORMINV(G170,Supuestos!$D$10,Supuestos!$E$10),IF(Supuestos!$C$10="Triangular",IF(G170&lt;(Supuestos!$E$10-Supuestos!$D$10)/(Supuestos!$F$10-Supuestos!$D$10),Supuestos!$D$10+SQRT(G170*(Supuestos!$F$10-Supuestos!$D$10)*(Supuestos!$E$10-Supuestos!$D$10)),Supuestos!$F$10-SQRT((1-G170)*(Supuestos!$F$10-Supuestos!$D$10)*(Supuestos!$F$10-Supuestos!$E$10))),IF(Supuestos!$C$10="Uniforme",Supuestos!$D$10+G170*(Supuestos!$E$10-Supuestos!$D$10),IF(Supuestos!$C$10="Lognormal",LOGINV(G170,LN(Supuestos!$D$10)-LN(1+Supuestos!$E$10^2/Supuestos!$D$10^2)/2,SQRT(LN(1+Supuestos!$E$10^2/Supuestos!$D$10^2))),Supuestos!$D$10))))))</f>
        <v/>
      </c>
      <c r="O170" s="31">
        <f>MIN(IF(Supuestos!$H$11="",1E+99,Supuestos!$H$11),MAX(IF(Supuestos!$G$11="",-1E+99,Supuestos!$G$11),IF(Supuestos!$C$11="Normal",NORMINV(H170,Supuestos!$D$11,Supuestos!$E$11),IF(Supuestos!$C$11="Triangular",IF(H170&lt;(Supuestos!$E$11-Supuestos!$D$11)/(Supuestos!$F$11-Supuestos!$D$11),Supuestos!$D$11+SQRT(H170*(Supuestos!$F$11-Supuestos!$D$11)*(Supuestos!$E$11-Supuestos!$D$11)),Supuestos!$F$11-SQRT((1-H170)*(Supuestos!$F$11-Supuestos!$D$11)*(Supuestos!$F$11-Supuestos!$E$11))),IF(Supuestos!$C$11="Uniforme",Supuestos!$D$11+H170*(Supuestos!$E$11-Supuestos!$D$11),IF(Supuestos!$C$11="Lognormal",LOGINV(H170,LN(Supuestos!$D$11)-LN(1+Supuestos!$E$11^2/Supuestos!$D$11^2)/2,SQRT(LN(1+Supuestos!$E$11^2/Supuestos!$D$11^2))),Supuestos!$D$11))))))</f>
        <v/>
      </c>
      <c r="P170" s="33">
        <f>-I170</f>
        <v/>
      </c>
      <c r="Q170" s="33">
        <f>$J170*(1+$K170)^(1-1)*(1-$L170)*(1-$M170)</f>
        <v/>
      </c>
      <c r="R170" s="33">
        <f>$J170*(1+$K170)^(2-1)*(1-$L170)*(1-$M170)</f>
        <v/>
      </c>
      <c r="S170" s="33">
        <f>$J170*(1+$K170)^(3-1)*(1-$L170)*(1-$M170)</f>
        <v/>
      </c>
      <c r="T170" s="33">
        <f>$J170*(1+$K170)^(4-1)*(1-$L170)*(1-$M170)</f>
        <v/>
      </c>
      <c r="U170" s="33">
        <f>$J170*(1+$K170)^(5-1)*(1-$L170)*(1-$M170)+$O170</f>
        <v/>
      </c>
      <c r="V170" s="33">
        <f>P170+NPV($N170,Q170:U170)</f>
        <v/>
      </c>
      <c r="W170" s="32">
        <f>IFERROR(IRR(P170:U170,0.1),"")</f>
        <v/>
      </c>
    </row>
    <row r="171">
      <c r="A171" s="14" t="n">
        <v>167</v>
      </c>
      <c r="B171" s="30">
        <f>RAND()*(1-2E-6)+1E-6</f>
        <v/>
      </c>
      <c r="C171" s="30">
        <f>RAND()*(1-2E-6)+1E-6</f>
        <v/>
      </c>
      <c r="D171" s="30">
        <f>RAND()*(1-2E-6)+1E-6</f>
        <v/>
      </c>
      <c r="E171" s="30">
        <f>RAND()*(1-2E-6)+1E-6</f>
        <v/>
      </c>
      <c r="F171" s="30">
        <f>RAND()*(1-2E-6)+1E-6</f>
        <v/>
      </c>
      <c r="G171" s="30">
        <f>RAND()*(1-2E-6)+1E-6</f>
        <v/>
      </c>
      <c r="H171" s="30">
        <f>RAND()*(1-2E-6)+1E-6</f>
        <v/>
      </c>
      <c r="I171" s="31">
        <f>MIN(IF(Supuestos!$H$5="",1E+99,Supuestos!$H$5),MAX(IF(Supuestos!$G$5="",-1E+99,Supuestos!$G$5),IF(Supuestos!$C$5="Normal",NORMINV(B171,Supuestos!$D$5,Supuestos!$E$5),IF(Supuestos!$C$5="Triangular",IF(B171&lt;(Supuestos!$E$5-Supuestos!$D$5)/(Supuestos!$F$5-Supuestos!$D$5),Supuestos!$D$5+SQRT(B171*(Supuestos!$F$5-Supuestos!$D$5)*(Supuestos!$E$5-Supuestos!$D$5)),Supuestos!$F$5-SQRT((1-B171)*(Supuestos!$F$5-Supuestos!$D$5)*(Supuestos!$F$5-Supuestos!$E$5))),IF(Supuestos!$C$5="Uniforme",Supuestos!$D$5+B171*(Supuestos!$E$5-Supuestos!$D$5),IF(Supuestos!$C$5="Lognormal",LOGINV(B171,LN(Supuestos!$D$5)-LN(1+Supuestos!$E$5^2/Supuestos!$D$5^2)/2,SQRT(LN(1+Supuestos!$E$5^2/Supuestos!$D$5^2))),Supuestos!$D$5))))))</f>
        <v/>
      </c>
      <c r="J171" s="31">
        <f>MIN(IF(Supuestos!$H$6="",1E+99,Supuestos!$H$6),MAX(IF(Supuestos!$G$6="",-1E+99,Supuestos!$G$6),IF(Supuestos!$C$6="Normal",NORMINV(C171,Supuestos!$D$6,Supuestos!$E$6),IF(Supuestos!$C$6="Triangular",IF(C171&lt;(Supuestos!$E$6-Supuestos!$D$6)/(Supuestos!$F$6-Supuestos!$D$6),Supuestos!$D$6+SQRT(C171*(Supuestos!$F$6-Supuestos!$D$6)*(Supuestos!$E$6-Supuestos!$D$6)),Supuestos!$F$6-SQRT((1-C171)*(Supuestos!$F$6-Supuestos!$D$6)*(Supuestos!$F$6-Supuestos!$E$6))),IF(Supuestos!$C$6="Uniforme",Supuestos!$D$6+C171*(Supuestos!$E$6-Supuestos!$D$6),IF(Supuestos!$C$6="Lognormal",LOGINV(C171,LN(Supuestos!$D$6)-LN(1+Supuestos!$E$6^2/Supuestos!$D$6^2)/2,SQRT(LN(1+Supuestos!$E$6^2/Supuestos!$D$6^2))),Supuestos!$D$6))))))</f>
        <v/>
      </c>
      <c r="K171" s="32">
        <f>MIN(IF(Supuestos!$H$7="",1E+99,Supuestos!$H$7),MAX(IF(Supuestos!$G$7="",-1E+99,Supuestos!$G$7),IF(Supuestos!$C$7="Normal",NORMINV(D171,Supuestos!$D$7,Supuestos!$E$7),IF(Supuestos!$C$7="Triangular",IF(D171&lt;(Supuestos!$E$7-Supuestos!$D$7)/(Supuestos!$F$7-Supuestos!$D$7),Supuestos!$D$7+SQRT(D171*(Supuestos!$F$7-Supuestos!$D$7)*(Supuestos!$E$7-Supuestos!$D$7)),Supuestos!$F$7-SQRT((1-D171)*(Supuestos!$F$7-Supuestos!$D$7)*(Supuestos!$F$7-Supuestos!$E$7))),IF(Supuestos!$C$7="Uniforme",Supuestos!$D$7+D171*(Supuestos!$E$7-Supuestos!$D$7),IF(Supuestos!$C$7="Lognormal",LOGINV(D171,LN(Supuestos!$D$7)-LN(1+Supuestos!$E$7^2/Supuestos!$D$7^2)/2,SQRT(LN(1+Supuestos!$E$7^2/Supuestos!$D$7^2))),Supuestos!$D$7))))))</f>
        <v/>
      </c>
      <c r="L171" s="32">
        <f>MIN(IF(Supuestos!$H$8="",1E+99,Supuestos!$H$8),MAX(IF(Supuestos!$G$8="",-1E+99,Supuestos!$G$8),IF(Supuestos!$C$8="Normal",NORMINV(E171,Supuestos!$D$8,Supuestos!$E$8),IF(Supuestos!$C$8="Triangular",IF(E171&lt;(Supuestos!$E$8-Supuestos!$D$8)/(Supuestos!$F$8-Supuestos!$D$8),Supuestos!$D$8+SQRT(E171*(Supuestos!$F$8-Supuestos!$D$8)*(Supuestos!$E$8-Supuestos!$D$8)),Supuestos!$F$8-SQRT((1-E171)*(Supuestos!$F$8-Supuestos!$D$8)*(Supuestos!$F$8-Supuestos!$E$8))),IF(Supuestos!$C$8="Uniforme",Supuestos!$D$8+E171*(Supuestos!$E$8-Supuestos!$D$8),IF(Supuestos!$C$8="Lognormal",LOGINV(E171,LN(Supuestos!$D$8)-LN(1+Supuestos!$E$8^2/Supuestos!$D$8^2)/2,SQRT(LN(1+Supuestos!$E$8^2/Supuestos!$D$8^2))),Supuestos!$D$8))))))</f>
        <v/>
      </c>
      <c r="M171" s="32">
        <f>MIN(IF(Supuestos!$H$9="",1E+99,Supuestos!$H$9),MAX(IF(Supuestos!$G$9="",-1E+99,Supuestos!$G$9),IF(Supuestos!$C$9="Normal",NORMINV(F171,Supuestos!$D$9,Supuestos!$E$9),IF(Supuestos!$C$9="Triangular",IF(F171&lt;(Supuestos!$E$9-Supuestos!$D$9)/(Supuestos!$F$9-Supuestos!$D$9),Supuestos!$D$9+SQRT(F171*(Supuestos!$F$9-Supuestos!$D$9)*(Supuestos!$E$9-Supuestos!$D$9)),Supuestos!$F$9-SQRT((1-F171)*(Supuestos!$F$9-Supuestos!$D$9)*(Supuestos!$F$9-Supuestos!$E$9))),IF(Supuestos!$C$9="Uniforme",Supuestos!$D$9+F171*(Supuestos!$E$9-Supuestos!$D$9),IF(Supuestos!$C$9="Lognormal",LOGINV(F171,LN(Supuestos!$D$9)-LN(1+Supuestos!$E$9^2/Supuestos!$D$9^2)/2,SQRT(LN(1+Supuestos!$E$9^2/Supuestos!$D$9^2))),Supuestos!$D$9))))))</f>
        <v/>
      </c>
      <c r="N171" s="32">
        <f>MIN(IF(Supuestos!$H$10="",1E+99,Supuestos!$H$10),MAX(IF(Supuestos!$G$10="",-1E+99,Supuestos!$G$10),IF(Supuestos!$C$10="Normal",NORMINV(G171,Supuestos!$D$10,Supuestos!$E$10),IF(Supuestos!$C$10="Triangular",IF(G171&lt;(Supuestos!$E$10-Supuestos!$D$10)/(Supuestos!$F$10-Supuestos!$D$10),Supuestos!$D$10+SQRT(G171*(Supuestos!$F$10-Supuestos!$D$10)*(Supuestos!$E$10-Supuestos!$D$10)),Supuestos!$F$10-SQRT((1-G171)*(Supuestos!$F$10-Supuestos!$D$10)*(Supuestos!$F$10-Supuestos!$E$10))),IF(Supuestos!$C$10="Uniforme",Supuestos!$D$10+G171*(Supuestos!$E$10-Supuestos!$D$10),IF(Supuestos!$C$10="Lognormal",LOGINV(G171,LN(Supuestos!$D$10)-LN(1+Supuestos!$E$10^2/Supuestos!$D$10^2)/2,SQRT(LN(1+Supuestos!$E$10^2/Supuestos!$D$10^2))),Supuestos!$D$10))))))</f>
        <v/>
      </c>
      <c r="O171" s="31">
        <f>MIN(IF(Supuestos!$H$11="",1E+99,Supuestos!$H$11),MAX(IF(Supuestos!$G$11="",-1E+99,Supuestos!$G$11),IF(Supuestos!$C$11="Normal",NORMINV(H171,Supuestos!$D$11,Supuestos!$E$11),IF(Supuestos!$C$11="Triangular",IF(H171&lt;(Supuestos!$E$11-Supuestos!$D$11)/(Supuestos!$F$11-Supuestos!$D$11),Supuestos!$D$11+SQRT(H171*(Supuestos!$F$11-Supuestos!$D$11)*(Supuestos!$E$11-Supuestos!$D$11)),Supuestos!$F$11-SQRT((1-H171)*(Supuestos!$F$11-Supuestos!$D$11)*(Supuestos!$F$11-Supuestos!$E$11))),IF(Supuestos!$C$11="Uniforme",Supuestos!$D$11+H171*(Supuestos!$E$11-Supuestos!$D$11),IF(Supuestos!$C$11="Lognormal",LOGINV(H171,LN(Supuestos!$D$11)-LN(1+Supuestos!$E$11^2/Supuestos!$D$11^2)/2,SQRT(LN(1+Supuestos!$E$11^2/Supuestos!$D$11^2))),Supuestos!$D$11))))))</f>
        <v/>
      </c>
      <c r="P171" s="33">
        <f>-I171</f>
        <v/>
      </c>
      <c r="Q171" s="33">
        <f>$J171*(1+$K171)^(1-1)*(1-$L171)*(1-$M171)</f>
        <v/>
      </c>
      <c r="R171" s="33">
        <f>$J171*(1+$K171)^(2-1)*(1-$L171)*(1-$M171)</f>
        <v/>
      </c>
      <c r="S171" s="33">
        <f>$J171*(1+$K171)^(3-1)*(1-$L171)*(1-$M171)</f>
        <v/>
      </c>
      <c r="T171" s="33">
        <f>$J171*(1+$K171)^(4-1)*(1-$L171)*(1-$M171)</f>
        <v/>
      </c>
      <c r="U171" s="33">
        <f>$J171*(1+$K171)^(5-1)*(1-$L171)*(1-$M171)+$O171</f>
        <v/>
      </c>
      <c r="V171" s="33">
        <f>P171+NPV($N171,Q171:U171)</f>
        <v/>
      </c>
      <c r="W171" s="32">
        <f>IFERROR(IRR(P171:U171,0.1),"")</f>
        <v/>
      </c>
    </row>
    <row r="172">
      <c r="A172" s="14" t="n">
        <v>168</v>
      </c>
      <c r="B172" s="30">
        <f>RAND()*(1-2E-6)+1E-6</f>
        <v/>
      </c>
      <c r="C172" s="30">
        <f>RAND()*(1-2E-6)+1E-6</f>
        <v/>
      </c>
      <c r="D172" s="30">
        <f>RAND()*(1-2E-6)+1E-6</f>
        <v/>
      </c>
      <c r="E172" s="30">
        <f>RAND()*(1-2E-6)+1E-6</f>
        <v/>
      </c>
      <c r="F172" s="30">
        <f>RAND()*(1-2E-6)+1E-6</f>
        <v/>
      </c>
      <c r="G172" s="30">
        <f>RAND()*(1-2E-6)+1E-6</f>
        <v/>
      </c>
      <c r="H172" s="30">
        <f>RAND()*(1-2E-6)+1E-6</f>
        <v/>
      </c>
      <c r="I172" s="31">
        <f>MIN(IF(Supuestos!$H$5="",1E+99,Supuestos!$H$5),MAX(IF(Supuestos!$G$5="",-1E+99,Supuestos!$G$5),IF(Supuestos!$C$5="Normal",NORMINV(B172,Supuestos!$D$5,Supuestos!$E$5),IF(Supuestos!$C$5="Triangular",IF(B172&lt;(Supuestos!$E$5-Supuestos!$D$5)/(Supuestos!$F$5-Supuestos!$D$5),Supuestos!$D$5+SQRT(B172*(Supuestos!$F$5-Supuestos!$D$5)*(Supuestos!$E$5-Supuestos!$D$5)),Supuestos!$F$5-SQRT((1-B172)*(Supuestos!$F$5-Supuestos!$D$5)*(Supuestos!$F$5-Supuestos!$E$5))),IF(Supuestos!$C$5="Uniforme",Supuestos!$D$5+B172*(Supuestos!$E$5-Supuestos!$D$5),IF(Supuestos!$C$5="Lognormal",LOGINV(B172,LN(Supuestos!$D$5)-LN(1+Supuestos!$E$5^2/Supuestos!$D$5^2)/2,SQRT(LN(1+Supuestos!$E$5^2/Supuestos!$D$5^2))),Supuestos!$D$5))))))</f>
        <v/>
      </c>
      <c r="J172" s="31">
        <f>MIN(IF(Supuestos!$H$6="",1E+99,Supuestos!$H$6),MAX(IF(Supuestos!$G$6="",-1E+99,Supuestos!$G$6),IF(Supuestos!$C$6="Normal",NORMINV(C172,Supuestos!$D$6,Supuestos!$E$6),IF(Supuestos!$C$6="Triangular",IF(C172&lt;(Supuestos!$E$6-Supuestos!$D$6)/(Supuestos!$F$6-Supuestos!$D$6),Supuestos!$D$6+SQRT(C172*(Supuestos!$F$6-Supuestos!$D$6)*(Supuestos!$E$6-Supuestos!$D$6)),Supuestos!$F$6-SQRT((1-C172)*(Supuestos!$F$6-Supuestos!$D$6)*(Supuestos!$F$6-Supuestos!$E$6))),IF(Supuestos!$C$6="Uniforme",Supuestos!$D$6+C172*(Supuestos!$E$6-Supuestos!$D$6),IF(Supuestos!$C$6="Lognormal",LOGINV(C172,LN(Supuestos!$D$6)-LN(1+Supuestos!$E$6^2/Supuestos!$D$6^2)/2,SQRT(LN(1+Supuestos!$E$6^2/Supuestos!$D$6^2))),Supuestos!$D$6))))))</f>
        <v/>
      </c>
      <c r="K172" s="32">
        <f>MIN(IF(Supuestos!$H$7="",1E+99,Supuestos!$H$7),MAX(IF(Supuestos!$G$7="",-1E+99,Supuestos!$G$7),IF(Supuestos!$C$7="Normal",NORMINV(D172,Supuestos!$D$7,Supuestos!$E$7),IF(Supuestos!$C$7="Triangular",IF(D172&lt;(Supuestos!$E$7-Supuestos!$D$7)/(Supuestos!$F$7-Supuestos!$D$7),Supuestos!$D$7+SQRT(D172*(Supuestos!$F$7-Supuestos!$D$7)*(Supuestos!$E$7-Supuestos!$D$7)),Supuestos!$F$7-SQRT((1-D172)*(Supuestos!$F$7-Supuestos!$D$7)*(Supuestos!$F$7-Supuestos!$E$7))),IF(Supuestos!$C$7="Uniforme",Supuestos!$D$7+D172*(Supuestos!$E$7-Supuestos!$D$7),IF(Supuestos!$C$7="Lognormal",LOGINV(D172,LN(Supuestos!$D$7)-LN(1+Supuestos!$E$7^2/Supuestos!$D$7^2)/2,SQRT(LN(1+Supuestos!$E$7^2/Supuestos!$D$7^2))),Supuestos!$D$7))))))</f>
        <v/>
      </c>
      <c r="L172" s="32">
        <f>MIN(IF(Supuestos!$H$8="",1E+99,Supuestos!$H$8),MAX(IF(Supuestos!$G$8="",-1E+99,Supuestos!$G$8),IF(Supuestos!$C$8="Normal",NORMINV(E172,Supuestos!$D$8,Supuestos!$E$8),IF(Supuestos!$C$8="Triangular",IF(E172&lt;(Supuestos!$E$8-Supuestos!$D$8)/(Supuestos!$F$8-Supuestos!$D$8),Supuestos!$D$8+SQRT(E172*(Supuestos!$F$8-Supuestos!$D$8)*(Supuestos!$E$8-Supuestos!$D$8)),Supuestos!$F$8-SQRT((1-E172)*(Supuestos!$F$8-Supuestos!$D$8)*(Supuestos!$F$8-Supuestos!$E$8))),IF(Supuestos!$C$8="Uniforme",Supuestos!$D$8+E172*(Supuestos!$E$8-Supuestos!$D$8),IF(Supuestos!$C$8="Lognormal",LOGINV(E172,LN(Supuestos!$D$8)-LN(1+Supuestos!$E$8^2/Supuestos!$D$8^2)/2,SQRT(LN(1+Supuestos!$E$8^2/Supuestos!$D$8^2))),Supuestos!$D$8))))))</f>
        <v/>
      </c>
      <c r="M172" s="32">
        <f>MIN(IF(Supuestos!$H$9="",1E+99,Supuestos!$H$9),MAX(IF(Supuestos!$G$9="",-1E+99,Supuestos!$G$9),IF(Supuestos!$C$9="Normal",NORMINV(F172,Supuestos!$D$9,Supuestos!$E$9),IF(Supuestos!$C$9="Triangular",IF(F172&lt;(Supuestos!$E$9-Supuestos!$D$9)/(Supuestos!$F$9-Supuestos!$D$9),Supuestos!$D$9+SQRT(F172*(Supuestos!$F$9-Supuestos!$D$9)*(Supuestos!$E$9-Supuestos!$D$9)),Supuestos!$F$9-SQRT((1-F172)*(Supuestos!$F$9-Supuestos!$D$9)*(Supuestos!$F$9-Supuestos!$E$9))),IF(Supuestos!$C$9="Uniforme",Supuestos!$D$9+F172*(Supuestos!$E$9-Supuestos!$D$9),IF(Supuestos!$C$9="Lognormal",LOGINV(F172,LN(Supuestos!$D$9)-LN(1+Supuestos!$E$9^2/Supuestos!$D$9^2)/2,SQRT(LN(1+Supuestos!$E$9^2/Supuestos!$D$9^2))),Supuestos!$D$9))))))</f>
        <v/>
      </c>
      <c r="N172" s="32">
        <f>MIN(IF(Supuestos!$H$10="",1E+99,Supuestos!$H$10),MAX(IF(Supuestos!$G$10="",-1E+99,Supuestos!$G$10),IF(Supuestos!$C$10="Normal",NORMINV(G172,Supuestos!$D$10,Supuestos!$E$10),IF(Supuestos!$C$10="Triangular",IF(G172&lt;(Supuestos!$E$10-Supuestos!$D$10)/(Supuestos!$F$10-Supuestos!$D$10),Supuestos!$D$10+SQRT(G172*(Supuestos!$F$10-Supuestos!$D$10)*(Supuestos!$E$10-Supuestos!$D$10)),Supuestos!$F$10-SQRT((1-G172)*(Supuestos!$F$10-Supuestos!$D$10)*(Supuestos!$F$10-Supuestos!$E$10))),IF(Supuestos!$C$10="Uniforme",Supuestos!$D$10+G172*(Supuestos!$E$10-Supuestos!$D$10),IF(Supuestos!$C$10="Lognormal",LOGINV(G172,LN(Supuestos!$D$10)-LN(1+Supuestos!$E$10^2/Supuestos!$D$10^2)/2,SQRT(LN(1+Supuestos!$E$10^2/Supuestos!$D$10^2))),Supuestos!$D$10))))))</f>
        <v/>
      </c>
      <c r="O172" s="31">
        <f>MIN(IF(Supuestos!$H$11="",1E+99,Supuestos!$H$11),MAX(IF(Supuestos!$G$11="",-1E+99,Supuestos!$G$11),IF(Supuestos!$C$11="Normal",NORMINV(H172,Supuestos!$D$11,Supuestos!$E$11),IF(Supuestos!$C$11="Triangular",IF(H172&lt;(Supuestos!$E$11-Supuestos!$D$11)/(Supuestos!$F$11-Supuestos!$D$11),Supuestos!$D$11+SQRT(H172*(Supuestos!$F$11-Supuestos!$D$11)*(Supuestos!$E$11-Supuestos!$D$11)),Supuestos!$F$11-SQRT((1-H172)*(Supuestos!$F$11-Supuestos!$D$11)*(Supuestos!$F$11-Supuestos!$E$11))),IF(Supuestos!$C$11="Uniforme",Supuestos!$D$11+H172*(Supuestos!$E$11-Supuestos!$D$11),IF(Supuestos!$C$11="Lognormal",LOGINV(H172,LN(Supuestos!$D$11)-LN(1+Supuestos!$E$11^2/Supuestos!$D$11^2)/2,SQRT(LN(1+Supuestos!$E$11^2/Supuestos!$D$11^2))),Supuestos!$D$11))))))</f>
        <v/>
      </c>
      <c r="P172" s="33">
        <f>-I172</f>
        <v/>
      </c>
      <c r="Q172" s="33">
        <f>$J172*(1+$K172)^(1-1)*(1-$L172)*(1-$M172)</f>
        <v/>
      </c>
      <c r="R172" s="33">
        <f>$J172*(1+$K172)^(2-1)*(1-$L172)*(1-$M172)</f>
        <v/>
      </c>
      <c r="S172" s="33">
        <f>$J172*(1+$K172)^(3-1)*(1-$L172)*(1-$M172)</f>
        <v/>
      </c>
      <c r="T172" s="33">
        <f>$J172*(1+$K172)^(4-1)*(1-$L172)*(1-$M172)</f>
        <v/>
      </c>
      <c r="U172" s="33">
        <f>$J172*(1+$K172)^(5-1)*(1-$L172)*(1-$M172)+$O172</f>
        <v/>
      </c>
      <c r="V172" s="33">
        <f>P172+NPV($N172,Q172:U172)</f>
        <v/>
      </c>
      <c r="W172" s="32">
        <f>IFERROR(IRR(P172:U172,0.1),"")</f>
        <v/>
      </c>
    </row>
    <row r="173">
      <c r="A173" s="14" t="n">
        <v>169</v>
      </c>
      <c r="B173" s="30">
        <f>RAND()*(1-2E-6)+1E-6</f>
        <v/>
      </c>
      <c r="C173" s="30">
        <f>RAND()*(1-2E-6)+1E-6</f>
        <v/>
      </c>
      <c r="D173" s="30">
        <f>RAND()*(1-2E-6)+1E-6</f>
        <v/>
      </c>
      <c r="E173" s="30">
        <f>RAND()*(1-2E-6)+1E-6</f>
        <v/>
      </c>
      <c r="F173" s="30">
        <f>RAND()*(1-2E-6)+1E-6</f>
        <v/>
      </c>
      <c r="G173" s="30">
        <f>RAND()*(1-2E-6)+1E-6</f>
        <v/>
      </c>
      <c r="H173" s="30">
        <f>RAND()*(1-2E-6)+1E-6</f>
        <v/>
      </c>
      <c r="I173" s="31">
        <f>MIN(IF(Supuestos!$H$5="",1E+99,Supuestos!$H$5),MAX(IF(Supuestos!$G$5="",-1E+99,Supuestos!$G$5),IF(Supuestos!$C$5="Normal",NORMINV(B173,Supuestos!$D$5,Supuestos!$E$5),IF(Supuestos!$C$5="Triangular",IF(B173&lt;(Supuestos!$E$5-Supuestos!$D$5)/(Supuestos!$F$5-Supuestos!$D$5),Supuestos!$D$5+SQRT(B173*(Supuestos!$F$5-Supuestos!$D$5)*(Supuestos!$E$5-Supuestos!$D$5)),Supuestos!$F$5-SQRT((1-B173)*(Supuestos!$F$5-Supuestos!$D$5)*(Supuestos!$F$5-Supuestos!$E$5))),IF(Supuestos!$C$5="Uniforme",Supuestos!$D$5+B173*(Supuestos!$E$5-Supuestos!$D$5),IF(Supuestos!$C$5="Lognormal",LOGINV(B173,LN(Supuestos!$D$5)-LN(1+Supuestos!$E$5^2/Supuestos!$D$5^2)/2,SQRT(LN(1+Supuestos!$E$5^2/Supuestos!$D$5^2))),Supuestos!$D$5))))))</f>
        <v/>
      </c>
      <c r="J173" s="31">
        <f>MIN(IF(Supuestos!$H$6="",1E+99,Supuestos!$H$6),MAX(IF(Supuestos!$G$6="",-1E+99,Supuestos!$G$6),IF(Supuestos!$C$6="Normal",NORMINV(C173,Supuestos!$D$6,Supuestos!$E$6),IF(Supuestos!$C$6="Triangular",IF(C173&lt;(Supuestos!$E$6-Supuestos!$D$6)/(Supuestos!$F$6-Supuestos!$D$6),Supuestos!$D$6+SQRT(C173*(Supuestos!$F$6-Supuestos!$D$6)*(Supuestos!$E$6-Supuestos!$D$6)),Supuestos!$F$6-SQRT((1-C173)*(Supuestos!$F$6-Supuestos!$D$6)*(Supuestos!$F$6-Supuestos!$E$6))),IF(Supuestos!$C$6="Uniforme",Supuestos!$D$6+C173*(Supuestos!$E$6-Supuestos!$D$6),IF(Supuestos!$C$6="Lognormal",LOGINV(C173,LN(Supuestos!$D$6)-LN(1+Supuestos!$E$6^2/Supuestos!$D$6^2)/2,SQRT(LN(1+Supuestos!$E$6^2/Supuestos!$D$6^2))),Supuestos!$D$6))))))</f>
        <v/>
      </c>
      <c r="K173" s="32">
        <f>MIN(IF(Supuestos!$H$7="",1E+99,Supuestos!$H$7),MAX(IF(Supuestos!$G$7="",-1E+99,Supuestos!$G$7),IF(Supuestos!$C$7="Normal",NORMINV(D173,Supuestos!$D$7,Supuestos!$E$7),IF(Supuestos!$C$7="Triangular",IF(D173&lt;(Supuestos!$E$7-Supuestos!$D$7)/(Supuestos!$F$7-Supuestos!$D$7),Supuestos!$D$7+SQRT(D173*(Supuestos!$F$7-Supuestos!$D$7)*(Supuestos!$E$7-Supuestos!$D$7)),Supuestos!$F$7-SQRT((1-D173)*(Supuestos!$F$7-Supuestos!$D$7)*(Supuestos!$F$7-Supuestos!$E$7))),IF(Supuestos!$C$7="Uniforme",Supuestos!$D$7+D173*(Supuestos!$E$7-Supuestos!$D$7),IF(Supuestos!$C$7="Lognormal",LOGINV(D173,LN(Supuestos!$D$7)-LN(1+Supuestos!$E$7^2/Supuestos!$D$7^2)/2,SQRT(LN(1+Supuestos!$E$7^2/Supuestos!$D$7^2))),Supuestos!$D$7))))))</f>
        <v/>
      </c>
      <c r="L173" s="32">
        <f>MIN(IF(Supuestos!$H$8="",1E+99,Supuestos!$H$8),MAX(IF(Supuestos!$G$8="",-1E+99,Supuestos!$G$8),IF(Supuestos!$C$8="Normal",NORMINV(E173,Supuestos!$D$8,Supuestos!$E$8),IF(Supuestos!$C$8="Triangular",IF(E173&lt;(Supuestos!$E$8-Supuestos!$D$8)/(Supuestos!$F$8-Supuestos!$D$8),Supuestos!$D$8+SQRT(E173*(Supuestos!$F$8-Supuestos!$D$8)*(Supuestos!$E$8-Supuestos!$D$8)),Supuestos!$F$8-SQRT((1-E173)*(Supuestos!$F$8-Supuestos!$D$8)*(Supuestos!$F$8-Supuestos!$E$8))),IF(Supuestos!$C$8="Uniforme",Supuestos!$D$8+E173*(Supuestos!$E$8-Supuestos!$D$8),IF(Supuestos!$C$8="Lognormal",LOGINV(E173,LN(Supuestos!$D$8)-LN(1+Supuestos!$E$8^2/Supuestos!$D$8^2)/2,SQRT(LN(1+Supuestos!$E$8^2/Supuestos!$D$8^2))),Supuestos!$D$8))))))</f>
        <v/>
      </c>
      <c r="M173" s="32">
        <f>MIN(IF(Supuestos!$H$9="",1E+99,Supuestos!$H$9),MAX(IF(Supuestos!$G$9="",-1E+99,Supuestos!$G$9),IF(Supuestos!$C$9="Normal",NORMINV(F173,Supuestos!$D$9,Supuestos!$E$9),IF(Supuestos!$C$9="Triangular",IF(F173&lt;(Supuestos!$E$9-Supuestos!$D$9)/(Supuestos!$F$9-Supuestos!$D$9),Supuestos!$D$9+SQRT(F173*(Supuestos!$F$9-Supuestos!$D$9)*(Supuestos!$E$9-Supuestos!$D$9)),Supuestos!$F$9-SQRT((1-F173)*(Supuestos!$F$9-Supuestos!$D$9)*(Supuestos!$F$9-Supuestos!$E$9))),IF(Supuestos!$C$9="Uniforme",Supuestos!$D$9+F173*(Supuestos!$E$9-Supuestos!$D$9),IF(Supuestos!$C$9="Lognormal",LOGINV(F173,LN(Supuestos!$D$9)-LN(1+Supuestos!$E$9^2/Supuestos!$D$9^2)/2,SQRT(LN(1+Supuestos!$E$9^2/Supuestos!$D$9^2))),Supuestos!$D$9))))))</f>
        <v/>
      </c>
      <c r="N173" s="32">
        <f>MIN(IF(Supuestos!$H$10="",1E+99,Supuestos!$H$10),MAX(IF(Supuestos!$G$10="",-1E+99,Supuestos!$G$10),IF(Supuestos!$C$10="Normal",NORMINV(G173,Supuestos!$D$10,Supuestos!$E$10),IF(Supuestos!$C$10="Triangular",IF(G173&lt;(Supuestos!$E$10-Supuestos!$D$10)/(Supuestos!$F$10-Supuestos!$D$10),Supuestos!$D$10+SQRT(G173*(Supuestos!$F$10-Supuestos!$D$10)*(Supuestos!$E$10-Supuestos!$D$10)),Supuestos!$F$10-SQRT((1-G173)*(Supuestos!$F$10-Supuestos!$D$10)*(Supuestos!$F$10-Supuestos!$E$10))),IF(Supuestos!$C$10="Uniforme",Supuestos!$D$10+G173*(Supuestos!$E$10-Supuestos!$D$10),IF(Supuestos!$C$10="Lognormal",LOGINV(G173,LN(Supuestos!$D$10)-LN(1+Supuestos!$E$10^2/Supuestos!$D$10^2)/2,SQRT(LN(1+Supuestos!$E$10^2/Supuestos!$D$10^2))),Supuestos!$D$10))))))</f>
        <v/>
      </c>
      <c r="O173" s="31">
        <f>MIN(IF(Supuestos!$H$11="",1E+99,Supuestos!$H$11),MAX(IF(Supuestos!$G$11="",-1E+99,Supuestos!$G$11),IF(Supuestos!$C$11="Normal",NORMINV(H173,Supuestos!$D$11,Supuestos!$E$11),IF(Supuestos!$C$11="Triangular",IF(H173&lt;(Supuestos!$E$11-Supuestos!$D$11)/(Supuestos!$F$11-Supuestos!$D$11),Supuestos!$D$11+SQRT(H173*(Supuestos!$F$11-Supuestos!$D$11)*(Supuestos!$E$11-Supuestos!$D$11)),Supuestos!$F$11-SQRT((1-H173)*(Supuestos!$F$11-Supuestos!$D$11)*(Supuestos!$F$11-Supuestos!$E$11))),IF(Supuestos!$C$11="Uniforme",Supuestos!$D$11+H173*(Supuestos!$E$11-Supuestos!$D$11),IF(Supuestos!$C$11="Lognormal",LOGINV(H173,LN(Supuestos!$D$11)-LN(1+Supuestos!$E$11^2/Supuestos!$D$11^2)/2,SQRT(LN(1+Supuestos!$E$11^2/Supuestos!$D$11^2))),Supuestos!$D$11))))))</f>
        <v/>
      </c>
      <c r="P173" s="33">
        <f>-I173</f>
        <v/>
      </c>
      <c r="Q173" s="33">
        <f>$J173*(1+$K173)^(1-1)*(1-$L173)*(1-$M173)</f>
        <v/>
      </c>
      <c r="R173" s="33">
        <f>$J173*(1+$K173)^(2-1)*(1-$L173)*(1-$M173)</f>
        <v/>
      </c>
      <c r="S173" s="33">
        <f>$J173*(1+$K173)^(3-1)*(1-$L173)*(1-$M173)</f>
        <v/>
      </c>
      <c r="T173" s="33">
        <f>$J173*(1+$K173)^(4-1)*(1-$L173)*(1-$M173)</f>
        <v/>
      </c>
      <c r="U173" s="33">
        <f>$J173*(1+$K173)^(5-1)*(1-$L173)*(1-$M173)+$O173</f>
        <v/>
      </c>
      <c r="V173" s="33">
        <f>P173+NPV($N173,Q173:U173)</f>
        <v/>
      </c>
      <c r="W173" s="32">
        <f>IFERROR(IRR(P173:U173,0.1),"")</f>
        <v/>
      </c>
    </row>
    <row r="174">
      <c r="A174" s="14" t="n">
        <v>170</v>
      </c>
      <c r="B174" s="30">
        <f>RAND()*(1-2E-6)+1E-6</f>
        <v/>
      </c>
      <c r="C174" s="30">
        <f>RAND()*(1-2E-6)+1E-6</f>
        <v/>
      </c>
      <c r="D174" s="30">
        <f>RAND()*(1-2E-6)+1E-6</f>
        <v/>
      </c>
      <c r="E174" s="30">
        <f>RAND()*(1-2E-6)+1E-6</f>
        <v/>
      </c>
      <c r="F174" s="30">
        <f>RAND()*(1-2E-6)+1E-6</f>
        <v/>
      </c>
      <c r="G174" s="30">
        <f>RAND()*(1-2E-6)+1E-6</f>
        <v/>
      </c>
      <c r="H174" s="30">
        <f>RAND()*(1-2E-6)+1E-6</f>
        <v/>
      </c>
      <c r="I174" s="31">
        <f>MIN(IF(Supuestos!$H$5="",1E+99,Supuestos!$H$5),MAX(IF(Supuestos!$G$5="",-1E+99,Supuestos!$G$5),IF(Supuestos!$C$5="Normal",NORMINV(B174,Supuestos!$D$5,Supuestos!$E$5),IF(Supuestos!$C$5="Triangular",IF(B174&lt;(Supuestos!$E$5-Supuestos!$D$5)/(Supuestos!$F$5-Supuestos!$D$5),Supuestos!$D$5+SQRT(B174*(Supuestos!$F$5-Supuestos!$D$5)*(Supuestos!$E$5-Supuestos!$D$5)),Supuestos!$F$5-SQRT((1-B174)*(Supuestos!$F$5-Supuestos!$D$5)*(Supuestos!$F$5-Supuestos!$E$5))),IF(Supuestos!$C$5="Uniforme",Supuestos!$D$5+B174*(Supuestos!$E$5-Supuestos!$D$5),IF(Supuestos!$C$5="Lognormal",LOGINV(B174,LN(Supuestos!$D$5)-LN(1+Supuestos!$E$5^2/Supuestos!$D$5^2)/2,SQRT(LN(1+Supuestos!$E$5^2/Supuestos!$D$5^2))),Supuestos!$D$5))))))</f>
        <v/>
      </c>
      <c r="J174" s="31">
        <f>MIN(IF(Supuestos!$H$6="",1E+99,Supuestos!$H$6),MAX(IF(Supuestos!$G$6="",-1E+99,Supuestos!$G$6),IF(Supuestos!$C$6="Normal",NORMINV(C174,Supuestos!$D$6,Supuestos!$E$6),IF(Supuestos!$C$6="Triangular",IF(C174&lt;(Supuestos!$E$6-Supuestos!$D$6)/(Supuestos!$F$6-Supuestos!$D$6),Supuestos!$D$6+SQRT(C174*(Supuestos!$F$6-Supuestos!$D$6)*(Supuestos!$E$6-Supuestos!$D$6)),Supuestos!$F$6-SQRT((1-C174)*(Supuestos!$F$6-Supuestos!$D$6)*(Supuestos!$F$6-Supuestos!$E$6))),IF(Supuestos!$C$6="Uniforme",Supuestos!$D$6+C174*(Supuestos!$E$6-Supuestos!$D$6),IF(Supuestos!$C$6="Lognormal",LOGINV(C174,LN(Supuestos!$D$6)-LN(1+Supuestos!$E$6^2/Supuestos!$D$6^2)/2,SQRT(LN(1+Supuestos!$E$6^2/Supuestos!$D$6^2))),Supuestos!$D$6))))))</f>
        <v/>
      </c>
      <c r="K174" s="32">
        <f>MIN(IF(Supuestos!$H$7="",1E+99,Supuestos!$H$7),MAX(IF(Supuestos!$G$7="",-1E+99,Supuestos!$G$7),IF(Supuestos!$C$7="Normal",NORMINV(D174,Supuestos!$D$7,Supuestos!$E$7),IF(Supuestos!$C$7="Triangular",IF(D174&lt;(Supuestos!$E$7-Supuestos!$D$7)/(Supuestos!$F$7-Supuestos!$D$7),Supuestos!$D$7+SQRT(D174*(Supuestos!$F$7-Supuestos!$D$7)*(Supuestos!$E$7-Supuestos!$D$7)),Supuestos!$F$7-SQRT((1-D174)*(Supuestos!$F$7-Supuestos!$D$7)*(Supuestos!$F$7-Supuestos!$E$7))),IF(Supuestos!$C$7="Uniforme",Supuestos!$D$7+D174*(Supuestos!$E$7-Supuestos!$D$7),IF(Supuestos!$C$7="Lognormal",LOGINV(D174,LN(Supuestos!$D$7)-LN(1+Supuestos!$E$7^2/Supuestos!$D$7^2)/2,SQRT(LN(1+Supuestos!$E$7^2/Supuestos!$D$7^2))),Supuestos!$D$7))))))</f>
        <v/>
      </c>
      <c r="L174" s="32">
        <f>MIN(IF(Supuestos!$H$8="",1E+99,Supuestos!$H$8),MAX(IF(Supuestos!$G$8="",-1E+99,Supuestos!$G$8),IF(Supuestos!$C$8="Normal",NORMINV(E174,Supuestos!$D$8,Supuestos!$E$8),IF(Supuestos!$C$8="Triangular",IF(E174&lt;(Supuestos!$E$8-Supuestos!$D$8)/(Supuestos!$F$8-Supuestos!$D$8),Supuestos!$D$8+SQRT(E174*(Supuestos!$F$8-Supuestos!$D$8)*(Supuestos!$E$8-Supuestos!$D$8)),Supuestos!$F$8-SQRT((1-E174)*(Supuestos!$F$8-Supuestos!$D$8)*(Supuestos!$F$8-Supuestos!$E$8))),IF(Supuestos!$C$8="Uniforme",Supuestos!$D$8+E174*(Supuestos!$E$8-Supuestos!$D$8),IF(Supuestos!$C$8="Lognormal",LOGINV(E174,LN(Supuestos!$D$8)-LN(1+Supuestos!$E$8^2/Supuestos!$D$8^2)/2,SQRT(LN(1+Supuestos!$E$8^2/Supuestos!$D$8^2))),Supuestos!$D$8))))))</f>
        <v/>
      </c>
      <c r="M174" s="32">
        <f>MIN(IF(Supuestos!$H$9="",1E+99,Supuestos!$H$9),MAX(IF(Supuestos!$G$9="",-1E+99,Supuestos!$G$9),IF(Supuestos!$C$9="Normal",NORMINV(F174,Supuestos!$D$9,Supuestos!$E$9),IF(Supuestos!$C$9="Triangular",IF(F174&lt;(Supuestos!$E$9-Supuestos!$D$9)/(Supuestos!$F$9-Supuestos!$D$9),Supuestos!$D$9+SQRT(F174*(Supuestos!$F$9-Supuestos!$D$9)*(Supuestos!$E$9-Supuestos!$D$9)),Supuestos!$F$9-SQRT((1-F174)*(Supuestos!$F$9-Supuestos!$D$9)*(Supuestos!$F$9-Supuestos!$E$9))),IF(Supuestos!$C$9="Uniforme",Supuestos!$D$9+F174*(Supuestos!$E$9-Supuestos!$D$9),IF(Supuestos!$C$9="Lognormal",LOGINV(F174,LN(Supuestos!$D$9)-LN(1+Supuestos!$E$9^2/Supuestos!$D$9^2)/2,SQRT(LN(1+Supuestos!$E$9^2/Supuestos!$D$9^2))),Supuestos!$D$9))))))</f>
        <v/>
      </c>
      <c r="N174" s="32">
        <f>MIN(IF(Supuestos!$H$10="",1E+99,Supuestos!$H$10),MAX(IF(Supuestos!$G$10="",-1E+99,Supuestos!$G$10),IF(Supuestos!$C$10="Normal",NORMINV(G174,Supuestos!$D$10,Supuestos!$E$10),IF(Supuestos!$C$10="Triangular",IF(G174&lt;(Supuestos!$E$10-Supuestos!$D$10)/(Supuestos!$F$10-Supuestos!$D$10),Supuestos!$D$10+SQRT(G174*(Supuestos!$F$10-Supuestos!$D$10)*(Supuestos!$E$10-Supuestos!$D$10)),Supuestos!$F$10-SQRT((1-G174)*(Supuestos!$F$10-Supuestos!$D$10)*(Supuestos!$F$10-Supuestos!$E$10))),IF(Supuestos!$C$10="Uniforme",Supuestos!$D$10+G174*(Supuestos!$E$10-Supuestos!$D$10),IF(Supuestos!$C$10="Lognormal",LOGINV(G174,LN(Supuestos!$D$10)-LN(1+Supuestos!$E$10^2/Supuestos!$D$10^2)/2,SQRT(LN(1+Supuestos!$E$10^2/Supuestos!$D$10^2))),Supuestos!$D$10))))))</f>
        <v/>
      </c>
      <c r="O174" s="31">
        <f>MIN(IF(Supuestos!$H$11="",1E+99,Supuestos!$H$11),MAX(IF(Supuestos!$G$11="",-1E+99,Supuestos!$G$11),IF(Supuestos!$C$11="Normal",NORMINV(H174,Supuestos!$D$11,Supuestos!$E$11),IF(Supuestos!$C$11="Triangular",IF(H174&lt;(Supuestos!$E$11-Supuestos!$D$11)/(Supuestos!$F$11-Supuestos!$D$11),Supuestos!$D$11+SQRT(H174*(Supuestos!$F$11-Supuestos!$D$11)*(Supuestos!$E$11-Supuestos!$D$11)),Supuestos!$F$11-SQRT((1-H174)*(Supuestos!$F$11-Supuestos!$D$11)*(Supuestos!$F$11-Supuestos!$E$11))),IF(Supuestos!$C$11="Uniforme",Supuestos!$D$11+H174*(Supuestos!$E$11-Supuestos!$D$11),IF(Supuestos!$C$11="Lognormal",LOGINV(H174,LN(Supuestos!$D$11)-LN(1+Supuestos!$E$11^2/Supuestos!$D$11^2)/2,SQRT(LN(1+Supuestos!$E$11^2/Supuestos!$D$11^2))),Supuestos!$D$11))))))</f>
        <v/>
      </c>
      <c r="P174" s="33">
        <f>-I174</f>
        <v/>
      </c>
      <c r="Q174" s="33">
        <f>$J174*(1+$K174)^(1-1)*(1-$L174)*(1-$M174)</f>
        <v/>
      </c>
      <c r="R174" s="33">
        <f>$J174*(1+$K174)^(2-1)*(1-$L174)*(1-$M174)</f>
        <v/>
      </c>
      <c r="S174" s="33">
        <f>$J174*(1+$K174)^(3-1)*(1-$L174)*(1-$M174)</f>
        <v/>
      </c>
      <c r="T174" s="33">
        <f>$J174*(1+$K174)^(4-1)*(1-$L174)*(1-$M174)</f>
        <v/>
      </c>
      <c r="U174" s="33">
        <f>$J174*(1+$K174)^(5-1)*(1-$L174)*(1-$M174)+$O174</f>
        <v/>
      </c>
      <c r="V174" s="33">
        <f>P174+NPV($N174,Q174:U174)</f>
        <v/>
      </c>
      <c r="W174" s="32">
        <f>IFERROR(IRR(P174:U174,0.1),"")</f>
        <v/>
      </c>
    </row>
    <row r="175">
      <c r="A175" s="14" t="n">
        <v>171</v>
      </c>
      <c r="B175" s="30">
        <f>RAND()*(1-2E-6)+1E-6</f>
        <v/>
      </c>
      <c r="C175" s="30">
        <f>RAND()*(1-2E-6)+1E-6</f>
        <v/>
      </c>
      <c r="D175" s="30">
        <f>RAND()*(1-2E-6)+1E-6</f>
        <v/>
      </c>
      <c r="E175" s="30">
        <f>RAND()*(1-2E-6)+1E-6</f>
        <v/>
      </c>
      <c r="F175" s="30">
        <f>RAND()*(1-2E-6)+1E-6</f>
        <v/>
      </c>
      <c r="G175" s="30">
        <f>RAND()*(1-2E-6)+1E-6</f>
        <v/>
      </c>
      <c r="H175" s="30">
        <f>RAND()*(1-2E-6)+1E-6</f>
        <v/>
      </c>
      <c r="I175" s="31">
        <f>MIN(IF(Supuestos!$H$5="",1E+99,Supuestos!$H$5),MAX(IF(Supuestos!$G$5="",-1E+99,Supuestos!$G$5),IF(Supuestos!$C$5="Normal",NORMINV(B175,Supuestos!$D$5,Supuestos!$E$5),IF(Supuestos!$C$5="Triangular",IF(B175&lt;(Supuestos!$E$5-Supuestos!$D$5)/(Supuestos!$F$5-Supuestos!$D$5),Supuestos!$D$5+SQRT(B175*(Supuestos!$F$5-Supuestos!$D$5)*(Supuestos!$E$5-Supuestos!$D$5)),Supuestos!$F$5-SQRT((1-B175)*(Supuestos!$F$5-Supuestos!$D$5)*(Supuestos!$F$5-Supuestos!$E$5))),IF(Supuestos!$C$5="Uniforme",Supuestos!$D$5+B175*(Supuestos!$E$5-Supuestos!$D$5),IF(Supuestos!$C$5="Lognormal",LOGINV(B175,LN(Supuestos!$D$5)-LN(1+Supuestos!$E$5^2/Supuestos!$D$5^2)/2,SQRT(LN(1+Supuestos!$E$5^2/Supuestos!$D$5^2))),Supuestos!$D$5))))))</f>
        <v/>
      </c>
      <c r="J175" s="31">
        <f>MIN(IF(Supuestos!$H$6="",1E+99,Supuestos!$H$6),MAX(IF(Supuestos!$G$6="",-1E+99,Supuestos!$G$6),IF(Supuestos!$C$6="Normal",NORMINV(C175,Supuestos!$D$6,Supuestos!$E$6),IF(Supuestos!$C$6="Triangular",IF(C175&lt;(Supuestos!$E$6-Supuestos!$D$6)/(Supuestos!$F$6-Supuestos!$D$6),Supuestos!$D$6+SQRT(C175*(Supuestos!$F$6-Supuestos!$D$6)*(Supuestos!$E$6-Supuestos!$D$6)),Supuestos!$F$6-SQRT((1-C175)*(Supuestos!$F$6-Supuestos!$D$6)*(Supuestos!$F$6-Supuestos!$E$6))),IF(Supuestos!$C$6="Uniforme",Supuestos!$D$6+C175*(Supuestos!$E$6-Supuestos!$D$6),IF(Supuestos!$C$6="Lognormal",LOGINV(C175,LN(Supuestos!$D$6)-LN(1+Supuestos!$E$6^2/Supuestos!$D$6^2)/2,SQRT(LN(1+Supuestos!$E$6^2/Supuestos!$D$6^2))),Supuestos!$D$6))))))</f>
        <v/>
      </c>
      <c r="K175" s="32">
        <f>MIN(IF(Supuestos!$H$7="",1E+99,Supuestos!$H$7),MAX(IF(Supuestos!$G$7="",-1E+99,Supuestos!$G$7),IF(Supuestos!$C$7="Normal",NORMINV(D175,Supuestos!$D$7,Supuestos!$E$7),IF(Supuestos!$C$7="Triangular",IF(D175&lt;(Supuestos!$E$7-Supuestos!$D$7)/(Supuestos!$F$7-Supuestos!$D$7),Supuestos!$D$7+SQRT(D175*(Supuestos!$F$7-Supuestos!$D$7)*(Supuestos!$E$7-Supuestos!$D$7)),Supuestos!$F$7-SQRT((1-D175)*(Supuestos!$F$7-Supuestos!$D$7)*(Supuestos!$F$7-Supuestos!$E$7))),IF(Supuestos!$C$7="Uniforme",Supuestos!$D$7+D175*(Supuestos!$E$7-Supuestos!$D$7),IF(Supuestos!$C$7="Lognormal",LOGINV(D175,LN(Supuestos!$D$7)-LN(1+Supuestos!$E$7^2/Supuestos!$D$7^2)/2,SQRT(LN(1+Supuestos!$E$7^2/Supuestos!$D$7^2))),Supuestos!$D$7))))))</f>
        <v/>
      </c>
      <c r="L175" s="32">
        <f>MIN(IF(Supuestos!$H$8="",1E+99,Supuestos!$H$8),MAX(IF(Supuestos!$G$8="",-1E+99,Supuestos!$G$8),IF(Supuestos!$C$8="Normal",NORMINV(E175,Supuestos!$D$8,Supuestos!$E$8),IF(Supuestos!$C$8="Triangular",IF(E175&lt;(Supuestos!$E$8-Supuestos!$D$8)/(Supuestos!$F$8-Supuestos!$D$8),Supuestos!$D$8+SQRT(E175*(Supuestos!$F$8-Supuestos!$D$8)*(Supuestos!$E$8-Supuestos!$D$8)),Supuestos!$F$8-SQRT((1-E175)*(Supuestos!$F$8-Supuestos!$D$8)*(Supuestos!$F$8-Supuestos!$E$8))),IF(Supuestos!$C$8="Uniforme",Supuestos!$D$8+E175*(Supuestos!$E$8-Supuestos!$D$8),IF(Supuestos!$C$8="Lognormal",LOGINV(E175,LN(Supuestos!$D$8)-LN(1+Supuestos!$E$8^2/Supuestos!$D$8^2)/2,SQRT(LN(1+Supuestos!$E$8^2/Supuestos!$D$8^2))),Supuestos!$D$8))))))</f>
        <v/>
      </c>
      <c r="M175" s="32">
        <f>MIN(IF(Supuestos!$H$9="",1E+99,Supuestos!$H$9),MAX(IF(Supuestos!$G$9="",-1E+99,Supuestos!$G$9),IF(Supuestos!$C$9="Normal",NORMINV(F175,Supuestos!$D$9,Supuestos!$E$9),IF(Supuestos!$C$9="Triangular",IF(F175&lt;(Supuestos!$E$9-Supuestos!$D$9)/(Supuestos!$F$9-Supuestos!$D$9),Supuestos!$D$9+SQRT(F175*(Supuestos!$F$9-Supuestos!$D$9)*(Supuestos!$E$9-Supuestos!$D$9)),Supuestos!$F$9-SQRT((1-F175)*(Supuestos!$F$9-Supuestos!$D$9)*(Supuestos!$F$9-Supuestos!$E$9))),IF(Supuestos!$C$9="Uniforme",Supuestos!$D$9+F175*(Supuestos!$E$9-Supuestos!$D$9),IF(Supuestos!$C$9="Lognormal",LOGINV(F175,LN(Supuestos!$D$9)-LN(1+Supuestos!$E$9^2/Supuestos!$D$9^2)/2,SQRT(LN(1+Supuestos!$E$9^2/Supuestos!$D$9^2))),Supuestos!$D$9))))))</f>
        <v/>
      </c>
      <c r="N175" s="32">
        <f>MIN(IF(Supuestos!$H$10="",1E+99,Supuestos!$H$10),MAX(IF(Supuestos!$G$10="",-1E+99,Supuestos!$G$10),IF(Supuestos!$C$10="Normal",NORMINV(G175,Supuestos!$D$10,Supuestos!$E$10),IF(Supuestos!$C$10="Triangular",IF(G175&lt;(Supuestos!$E$10-Supuestos!$D$10)/(Supuestos!$F$10-Supuestos!$D$10),Supuestos!$D$10+SQRT(G175*(Supuestos!$F$10-Supuestos!$D$10)*(Supuestos!$E$10-Supuestos!$D$10)),Supuestos!$F$10-SQRT((1-G175)*(Supuestos!$F$10-Supuestos!$D$10)*(Supuestos!$F$10-Supuestos!$E$10))),IF(Supuestos!$C$10="Uniforme",Supuestos!$D$10+G175*(Supuestos!$E$10-Supuestos!$D$10),IF(Supuestos!$C$10="Lognormal",LOGINV(G175,LN(Supuestos!$D$10)-LN(1+Supuestos!$E$10^2/Supuestos!$D$10^2)/2,SQRT(LN(1+Supuestos!$E$10^2/Supuestos!$D$10^2))),Supuestos!$D$10))))))</f>
        <v/>
      </c>
      <c r="O175" s="31">
        <f>MIN(IF(Supuestos!$H$11="",1E+99,Supuestos!$H$11),MAX(IF(Supuestos!$G$11="",-1E+99,Supuestos!$G$11),IF(Supuestos!$C$11="Normal",NORMINV(H175,Supuestos!$D$11,Supuestos!$E$11),IF(Supuestos!$C$11="Triangular",IF(H175&lt;(Supuestos!$E$11-Supuestos!$D$11)/(Supuestos!$F$11-Supuestos!$D$11),Supuestos!$D$11+SQRT(H175*(Supuestos!$F$11-Supuestos!$D$11)*(Supuestos!$E$11-Supuestos!$D$11)),Supuestos!$F$11-SQRT((1-H175)*(Supuestos!$F$11-Supuestos!$D$11)*(Supuestos!$F$11-Supuestos!$E$11))),IF(Supuestos!$C$11="Uniforme",Supuestos!$D$11+H175*(Supuestos!$E$11-Supuestos!$D$11),IF(Supuestos!$C$11="Lognormal",LOGINV(H175,LN(Supuestos!$D$11)-LN(1+Supuestos!$E$11^2/Supuestos!$D$11^2)/2,SQRT(LN(1+Supuestos!$E$11^2/Supuestos!$D$11^2))),Supuestos!$D$11))))))</f>
        <v/>
      </c>
      <c r="P175" s="33">
        <f>-I175</f>
        <v/>
      </c>
      <c r="Q175" s="33">
        <f>$J175*(1+$K175)^(1-1)*(1-$L175)*(1-$M175)</f>
        <v/>
      </c>
      <c r="R175" s="33">
        <f>$J175*(1+$K175)^(2-1)*(1-$L175)*(1-$M175)</f>
        <v/>
      </c>
      <c r="S175" s="33">
        <f>$J175*(1+$K175)^(3-1)*(1-$L175)*(1-$M175)</f>
        <v/>
      </c>
      <c r="T175" s="33">
        <f>$J175*(1+$K175)^(4-1)*(1-$L175)*(1-$M175)</f>
        <v/>
      </c>
      <c r="U175" s="33">
        <f>$J175*(1+$K175)^(5-1)*(1-$L175)*(1-$M175)+$O175</f>
        <v/>
      </c>
      <c r="V175" s="33">
        <f>P175+NPV($N175,Q175:U175)</f>
        <v/>
      </c>
      <c r="W175" s="32">
        <f>IFERROR(IRR(P175:U175,0.1),"")</f>
        <v/>
      </c>
    </row>
    <row r="176">
      <c r="A176" s="14" t="n">
        <v>172</v>
      </c>
      <c r="B176" s="30">
        <f>RAND()*(1-2E-6)+1E-6</f>
        <v/>
      </c>
      <c r="C176" s="30">
        <f>RAND()*(1-2E-6)+1E-6</f>
        <v/>
      </c>
      <c r="D176" s="30">
        <f>RAND()*(1-2E-6)+1E-6</f>
        <v/>
      </c>
      <c r="E176" s="30">
        <f>RAND()*(1-2E-6)+1E-6</f>
        <v/>
      </c>
      <c r="F176" s="30">
        <f>RAND()*(1-2E-6)+1E-6</f>
        <v/>
      </c>
      <c r="G176" s="30">
        <f>RAND()*(1-2E-6)+1E-6</f>
        <v/>
      </c>
      <c r="H176" s="30">
        <f>RAND()*(1-2E-6)+1E-6</f>
        <v/>
      </c>
      <c r="I176" s="31">
        <f>MIN(IF(Supuestos!$H$5="",1E+99,Supuestos!$H$5),MAX(IF(Supuestos!$G$5="",-1E+99,Supuestos!$G$5),IF(Supuestos!$C$5="Normal",NORMINV(B176,Supuestos!$D$5,Supuestos!$E$5),IF(Supuestos!$C$5="Triangular",IF(B176&lt;(Supuestos!$E$5-Supuestos!$D$5)/(Supuestos!$F$5-Supuestos!$D$5),Supuestos!$D$5+SQRT(B176*(Supuestos!$F$5-Supuestos!$D$5)*(Supuestos!$E$5-Supuestos!$D$5)),Supuestos!$F$5-SQRT((1-B176)*(Supuestos!$F$5-Supuestos!$D$5)*(Supuestos!$F$5-Supuestos!$E$5))),IF(Supuestos!$C$5="Uniforme",Supuestos!$D$5+B176*(Supuestos!$E$5-Supuestos!$D$5),IF(Supuestos!$C$5="Lognormal",LOGINV(B176,LN(Supuestos!$D$5)-LN(1+Supuestos!$E$5^2/Supuestos!$D$5^2)/2,SQRT(LN(1+Supuestos!$E$5^2/Supuestos!$D$5^2))),Supuestos!$D$5))))))</f>
        <v/>
      </c>
      <c r="J176" s="31">
        <f>MIN(IF(Supuestos!$H$6="",1E+99,Supuestos!$H$6),MAX(IF(Supuestos!$G$6="",-1E+99,Supuestos!$G$6),IF(Supuestos!$C$6="Normal",NORMINV(C176,Supuestos!$D$6,Supuestos!$E$6),IF(Supuestos!$C$6="Triangular",IF(C176&lt;(Supuestos!$E$6-Supuestos!$D$6)/(Supuestos!$F$6-Supuestos!$D$6),Supuestos!$D$6+SQRT(C176*(Supuestos!$F$6-Supuestos!$D$6)*(Supuestos!$E$6-Supuestos!$D$6)),Supuestos!$F$6-SQRT((1-C176)*(Supuestos!$F$6-Supuestos!$D$6)*(Supuestos!$F$6-Supuestos!$E$6))),IF(Supuestos!$C$6="Uniforme",Supuestos!$D$6+C176*(Supuestos!$E$6-Supuestos!$D$6),IF(Supuestos!$C$6="Lognormal",LOGINV(C176,LN(Supuestos!$D$6)-LN(1+Supuestos!$E$6^2/Supuestos!$D$6^2)/2,SQRT(LN(1+Supuestos!$E$6^2/Supuestos!$D$6^2))),Supuestos!$D$6))))))</f>
        <v/>
      </c>
      <c r="K176" s="32">
        <f>MIN(IF(Supuestos!$H$7="",1E+99,Supuestos!$H$7),MAX(IF(Supuestos!$G$7="",-1E+99,Supuestos!$G$7),IF(Supuestos!$C$7="Normal",NORMINV(D176,Supuestos!$D$7,Supuestos!$E$7),IF(Supuestos!$C$7="Triangular",IF(D176&lt;(Supuestos!$E$7-Supuestos!$D$7)/(Supuestos!$F$7-Supuestos!$D$7),Supuestos!$D$7+SQRT(D176*(Supuestos!$F$7-Supuestos!$D$7)*(Supuestos!$E$7-Supuestos!$D$7)),Supuestos!$F$7-SQRT((1-D176)*(Supuestos!$F$7-Supuestos!$D$7)*(Supuestos!$F$7-Supuestos!$E$7))),IF(Supuestos!$C$7="Uniforme",Supuestos!$D$7+D176*(Supuestos!$E$7-Supuestos!$D$7),IF(Supuestos!$C$7="Lognormal",LOGINV(D176,LN(Supuestos!$D$7)-LN(1+Supuestos!$E$7^2/Supuestos!$D$7^2)/2,SQRT(LN(1+Supuestos!$E$7^2/Supuestos!$D$7^2))),Supuestos!$D$7))))))</f>
        <v/>
      </c>
      <c r="L176" s="32">
        <f>MIN(IF(Supuestos!$H$8="",1E+99,Supuestos!$H$8),MAX(IF(Supuestos!$G$8="",-1E+99,Supuestos!$G$8),IF(Supuestos!$C$8="Normal",NORMINV(E176,Supuestos!$D$8,Supuestos!$E$8),IF(Supuestos!$C$8="Triangular",IF(E176&lt;(Supuestos!$E$8-Supuestos!$D$8)/(Supuestos!$F$8-Supuestos!$D$8),Supuestos!$D$8+SQRT(E176*(Supuestos!$F$8-Supuestos!$D$8)*(Supuestos!$E$8-Supuestos!$D$8)),Supuestos!$F$8-SQRT((1-E176)*(Supuestos!$F$8-Supuestos!$D$8)*(Supuestos!$F$8-Supuestos!$E$8))),IF(Supuestos!$C$8="Uniforme",Supuestos!$D$8+E176*(Supuestos!$E$8-Supuestos!$D$8),IF(Supuestos!$C$8="Lognormal",LOGINV(E176,LN(Supuestos!$D$8)-LN(1+Supuestos!$E$8^2/Supuestos!$D$8^2)/2,SQRT(LN(1+Supuestos!$E$8^2/Supuestos!$D$8^2))),Supuestos!$D$8))))))</f>
        <v/>
      </c>
      <c r="M176" s="32">
        <f>MIN(IF(Supuestos!$H$9="",1E+99,Supuestos!$H$9),MAX(IF(Supuestos!$G$9="",-1E+99,Supuestos!$G$9),IF(Supuestos!$C$9="Normal",NORMINV(F176,Supuestos!$D$9,Supuestos!$E$9),IF(Supuestos!$C$9="Triangular",IF(F176&lt;(Supuestos!$E$9-Supuestos!$D$9)/(Supuestos!$F$9-Supuestos!$D$9),Supuestos!$D$9+SQRT(F176*(Supuestos!$F$9-Supuestos!$D$9)*(Supuestos!$E$9-Supuestos!$D$9)),Supuestos!$F$9-SQRT((1-F176)*(Supuestos!$F$9-Supuestos!$D$9)*(Supuestos!$F$9-Supuestos!$E$9))),IF(Supuestos!$C$9="Uniforme",Supuestos!$D$9+F176*(Supuestos!$E$9-Supuestos!$D$9),IF(Supuestos!$C$9="Lognormal",LOGINV(F176,LN(Supuestos!$D$9)-LN(1+Supuestos!$E$9^2/Supuestos!$D$9^2)/2,SQRT(LN(1+Supuestos!$E$9^2/Supuestos!$D$9^2))),Supuestos!$D$9))))))</f>
        <v/>
      </c>
      <c r="N176" s="32">
        <f>MIN(IF(Supuestos!$H$10="",1E+99,Supuestos!$H$10),MAX(IF(Supuestos!$G$10="",-1E+99,Supuestos!$G$10),IF(Supuestos!$C$10="Normal",NORMINV(G176,Supuestos!$D$10,Supuestos!$E$10),IF(Supuestos!$C$10="Triangular",IF(G176&lt;(Supuestos!$E$10-Supuestos!$D$10)/(Supuestos!$F$10-Supuestos!$D$10),Supuestos!$D$10+SQRT(G176*(Supuestos!$F$10-Supuestos!$D$10)*(Supuestos!$E$10-Supuestos!$D$10)),Supuestos!$F$10-SQRT((1-G176)*(Supuestos!$F$10-Supuestos!$D$10)*(Supuestos!$F$10-Supuestos!$E$10))),IF(Supuestos!$C$10="Uniforme",Supuestos!$D$10+G176*(Supuestos!$E$10-Supuestos!$D$10),IF(Supuestos!$C$10="Lognormal",LOGINV(G176,LN(Supuestos!$D$10)-LN(1+Supuestos!$E$10^2/Supuestos!$D$10^2)/2,SQRT(LN(1+Supuestos!$E$10^2/Supuestos!$D$10^2))),Supuestos!$D$10))))))</f>
        <v/>
      </c>
      <c r="O176" s="31">
        <f>MIN(IF(Supuestos!$H$11="",1E+99,Supuestos!$H$11),MAX(IF(Supuestos!$G$11="",-1E+99,Supuestos!$G$11),IF(Supuestos!$C$11="Normal",NORMINV(H176,Supuestos!$D$11,Supuestos!$E$11),IF(Supuestos!$C$11="Triangular",IF(H176&lt;(Supuestos!$E$11-Supuestos!$D$11)/(Supuestos!$F$11-Supuestos!$D$11),Supuestos!$D$11+SQRT(H176*(Supuestos!$F$11-Supuestos!$D$11)*(Supuestos!$E$11-Supuestos!$D$11)),Supuestos!$F$11-SQRT((1-H176)*(Supuestos!$F$11-Supuestos!$D$11)*(Supuestos!$F$11-Supuestos!$E$11))),IF(Supuestos!$C$11="Uniforme",Supuestos!$D$11+H176*(Supuestos!$E$11-Supuestos!$D$11),IF(Supuestos!$C$11="Lognormal",LOGINV(H176,LN(Supuestos!$D$11)-LN(1+Supuestos!$E$11^2/Supuestos!$D$11^2)/2,SQRT(LN(1+Supuestos!$E$11^2/Supuestos!$D$11^2))),Supuestos!$D$11))))))</f>
        <v/>
      </c>
      <c r="P176" s="33">
        <f>-I176</f>
        <v/>
      </c>
      <c r="Q176" s="33">
        <f>$J176*(1+$K176)^(1-1)*(1-$L176)*(1-$M176)</f>
        <v/>
      </c>
      <c r="R176" s="33">
        <f>$J176*(1+$K176)^(2-1)*(1-$L176)*(1-$M176)</f>
        <v/>
      </c>
      <c r="S176" s="33">
        <f>$J176*(1+$K176)^(3-1)*(1-$L176)*(1-$M176)</f>
        <v/>
      </c>
      <c r="T176" s="33">
        <f>$J176*(1+$K176)^(4-1)*(1-$L176)*(1-$M176)</f>
        <v/>
      </c>
      <c r="U176" s="33">
        <f>$J176*(1+$K176)^(5-1)*(1-$L176)*(1-$M176)+$O176</f>
        <v/>
      </c>
      <c r="V176" s="33">
        <f>P176+NPV($N176,Q176:U176)</f>
        <v/>
      </c>
      <c r="W176" s="32">
        <f>IFERROR(IRR(P176:U176,0.1),"")</f>
        <v/>
      </c>
    </row>
    <row r="177">
      <c r="A177" s="14" t="n">
        <v>173</v>
      </c>
      <c r="B177" s="30">
        <f>RAND()*(1-2E-6)+1E-6</f>
        <v/>
      </c>
      <c r="C177" s="30">
        <f>RAND()*(1-2E-6)+1E-6</f>
        <v/>
      </c>
      <c r="D177" s="30">
        <f>RAND()*(1-2E-6)+1E-6</f>
        <v/>
      </c>
      <c r="E177" s="30">
        <f>RAND()*(1-2E-6)+1E-6</f>
        <v/>
      </c>
      <c r="F177" s="30">
        <f>RAND()*(1-2E-6)+1E-6</f>
        <v/>
      </c>
      <c r="G177" s="30">
        <f>RAND()*(1-2E-6)+1E-6</f>
        <v/>
      </c>
      <c r="H177" s="30">
        <f>RAND()*(1-2E-6)+1E-6</f>
        <v/>
      </c>
      <c r="I177" s="31">
        <f>MIN(IF(Supuestos!$H$5="",1E+99,Supuestos!$H$5),MAX(IF(Supuestos!$G$5="",-1E+99,Supuestos!$G$5),IF(Supuestos!$C$5="Normal",NORMINV(B177,Supuestos!$D$5,Supuestos!$E$5),IF(Supuestos!$C$5="Triangular",IF(B177&lt;(Supuestos!$E$5-Supuestos!$D$5)/(Supuestos!$F$5-Supuestos!$D$5),Supuestos!$D$5+SQRT(B177*(Supuestos!$F$5-Supuestos!$D$5)*(Supuestos!$E$5-Supuestos!$D$5)),Supuestos!$F$5-SQRT((1-B177)*(Supuestos!$F$5-Supuestos!$D$5)*(Supuestos!$F$5-Supuestos!$E$5))),IF(Supuestos!$C$5="Uniforme",Supuestos!$D$5+B177*(Supuestos!$E$5-Supuestos!$D$5),IF(Supuestos!$C$5="Lognormal",LOGINV(B177,LN(Supuestos!$D$5)-LN(1+Supuestos!$E$5^2/Supuestos!$D$5^2)/2,SQRT(LN(1+Supuestos!$E$5^2/Supuestos!$D$5^2))),Supuestos!$D$5))))))</f>
        <v/>
      </c>
      <c r="J177" s="31">
        <f>MIN(IF(Supuestos!$H$6="",1E+99,Supuestos!$H$6),MAX(IF(Supuestos!$G$6="",-1E+99,Supuestos!$G$6),IF(Supuestos!$C$6="Normal",NORMINV(C177,Supuestos!$D$6,Supuestos!$E$6),IF(Supuestos!$C$6="Triangular",IF(C177&lt;(Supuestos!$E$6-Supuestos!$D$6)/(Supuestos!$F$6-Supuestos!$D$6),Supuestos!$D$6+SQRT(C177*(Supuestos!$F$6-Supuestos!$D$6)*(Supuestos!$E$6-Supuestos!$D$6)),Supuestos!$F$6-SQRT((1-C177)*(Supuestos!$F$6-Supuestos!$D$6)*(Supuestos!$F$6-Supuestos!$E$6))),IF(Supuestos!$C$6="Uniforme",Supuestos!$D$6+C177*(Supuestos!$E$6-Supuestos!$D$6),IF(Supuestos!$C$6="Lognormal",LOGINV(C177,LN(Supuestos!$D$6)-LN(1+Supuestos!$E$6^2/Supuestos!$D$6^2)/2,SQRT(LN(1+Supuestos!$E$6^2/Supuestos!$D$6^2))),Supuestos!$D$6))))))</f>
        <v/>
      </c>
      <c r="K177" s="32">
        <f>MIN(IF(Supuestos!$H$7="",1E+99,Supuestos!$H$7),MAX(IF(Supuestos!$G$7="",-1E+99,Supuestos!$G$7),IF(Supuestos!$C$7="Normal",NORMINV(D177,Supuestos!$D$7,Supuestos!$E$7),IF(Supuestos!$C$7="Triangular",IF(D177&lt;(Supuestos!$E$7-Supuestos!$D$7)/(Supuestos!$F$7-Supuestos!$D$7),Supuestos!$D$7+SQRT(D177*(Supuestos!$F$7-Supuestos!$D$7)*(Supuestos!$E$7-Supuestos!$D$7)),Supuestos!$F$7-SQRT((1-D177)*(Supuestos!$F$7-Supuestos!$D$7)*(Supuestos!$F$7-Supuestos!$E$7))),IF(Supuestos!$C$7="Uniforme",Supuestos!$D$7+D177*(Supuestos!$E$7-Supuestos!$D$7),IF(Supuestos!$C$7="Lognormal",LOGINV(D177,LN(Supuestos!$D$7)-LN(1+Supuestos!$E$7^2/Supuestos!$D$7^2)/2,SQRT(LN(1+Supuestos!$E$7^2/Supuestos!$D$7^2))),Supuestos!$D$7))))))</f>
        <v/>
      </c>
      <c r="L177" s="32">
        <f>MIN(IF(Supuestos!$H$8="",1E+99,Supuestos!$H$8),MAX(IF(Supuestos!$G$8="",-1E+99,Supuestos!$G$8),IF(Supuestos!$C$8="Normal",NORMINV(E177,Supuestos!$D$8,Supuestos!$E$8),IF(Supuestos!$C$8="Triangular",IF(E177&lt;(Supuestos!$E$8-Supuestos!$D$8)/(Supuestos!$F$8-Supuestos!$D$8),Supuestos!$D$8+SQRT(E177*(Supuestos!$F$8-Supuestos!$D$8)*(Supuestos!$E$8-Supuestos!$D$8)),Supuestos!$F$8-SQRT((1-E177)*(Supuestos!$F$8-Supuestos!$D$8)*(Supuestos!$F$8-Supuestos!$E$8))),IF(Supuestos!$C$8="Uniforme",Supuestos!$D$8+E177*(Supuestos!$E$8-Supuestos!$D$8),IF(Supuestos!$C$8="Lognormal",LOGINV(E177,LN(Supuestos!$D$8)-LN(1+Supuestos!$E$8^2/Supuestos!$D$8^2)/2,SQRT(LN(1+Supuestos!$E$8^2/Supuestos!$D$8^2))),Supuestos!$D$8))))))</f>
        <v/>
      </c>
      <c r="M177" s="32">
        <f>MIN(IF(Supuestos!$H$9="",1E+99,Supuestos!$H$9),MAX(IF(Supuestos!$G$9="",-1E+99,Supuestos!$G$9),IF(Supuestos!$C$9="Normal",NORMINV(F177,Supuestos!$D$9,Supuestos!$E$9),IF(Supuestos!$C$9="Triangular",IF(F177&lt;(Supuestos!$E$9-Supuestos!$D$9)/(Supuestos!$F$9-Supuestos!$D$9),Supuestos!$D$9+SQRT(F177*(Supuestos!$F$9-Supuestos!$D$9)*(Supuestos!$E$9-Supuestos!$D$9)),Supuestos!$F$9-SQRT((1-F177)*(Supuestos!$F$9-Supuestos!$D$9)*(Supuestos!$F$9-Supuestos!$E$9))),IF(Supuestos!$C$9="Uniforme",Supuestos!$D$9+F177*(Supuestos!$E$9-Supuestos!$D$9),IF(Supuestos!$C$9="Lognormal",LOGINV(F177,LN(Supuestos!$D$9)-LN(1+Supuestos!$E$9^2/Supuestos!$D$9^2)/2,SQRT(LN(1+Supuestos!$E$9^2/Supuestos!$D$9^2))),Supuestos!$D$9))))))</f>
        <v/>
      </c>
      <c r="N177" s="32">
        <f>MIN(IF(Supuestos!$H$10="",1E+99,Supuestos!$H$10),MAX(IF(Supuestos!$G$10="",-1E+99,Supuestos!$G$10),IF(Supuestos!$C$10="Normal",NORMINV(G177,Supuestos!$D$10,Supuestos!$E$10),IF(Supuestos!$C$10="Triangular",IF(G177&lt;(Supuestos!$E$10-Supuestos!$D$10)/(Supuestos!$F$10-Supuestos!$D$10),Supuestos!$D$10+SQRT(G177*(Supuestos!$F$10-Supuestos!$D$10)*(Supuestos!$E$10-Supuestos!$D$10)),Supuestos!$F$10-SQRT((1-G177)*(Supuestos!$F$10-Supuestos!$D$10)*(Supuestos!$F$10-Supuestos!$E$10))),IF(Supuestos!$C$10="Uniforme",Supuestos!$D$10+G177*(Supuestos!$E$10-Supuestos!$D$10),IF(Supuestos!$C$10="Lognormal",LOGINV(G177,LN(Supuestos!$D$10)-LN(1+Supuestos!$E$10^2/Supuestos!$D$10^2)/2,SQRT(LN(1+Supuestos!$E$10^2/Supuestos!$D$10^2))),Supuestos!$D$10))))))</f>
        <v/>
      </c>
      <c r="O177" s="31">
        <f>MIN(IF(Supuestos!$H$11="",1E+99,Supuestos!$H$11),MAX(IF(Supuestos!$G$11="",-1E+99,Supuestos!$G$11),IF(Supuestos!$C$11="Normal",NORMINV(H177,Supuestos!$D$11,Supuestos!$E$11),IF(Supuestos!$C$11="Triangular",IF(H177&lt;(Supuestos!$E$11-Supuestos!$D$11)/(Supuestos!$F$11-Supuestos!$D$11),Supuestos!$D$11+SQRT(H177*(Supuestos!$F$11-Supuestos!$D$11)*(Supuestos!$E$11-Supuestos!$D$11)),Supuestos!$F$11-SQRT((1-H177)*(Supuestos!$F$11-Supuestos!$D$11)*(Supuestos!$F$11-Supuestos!$E$11))),IF(Supuestos!$C$11="Uniforme",Supuestos!$D$11+H177*(Supuestos!$E$11-Supuestos!$D$11),IF(Supuestos!$C$11="Lognormal",LOGINV(H177,LN(Supuestos!$D$11)-LN(1+Supuestos!$E$11^2/Supuestos!$D$11^2)/2,SQRT(LN(1+Supuestos!$E$11^2/Supuestos!$D$11^2))),Supuestos!$D$11))))))</f>
        <v/>
      </c>
      <c r="P177" s="33">
        <f>-I177</f>
        <v/>
      </c>
      <c r="Q177" s="33">
        <f>$J177*(1+$K177)^(1-1)*(1-$L177)*(1-$M177)</f>
        <v/>
      </c>
      <c r="R177" s="33">
        <f>$J177*(1+$K177)^(2-1)*(1-$L177)*(1-$M177)</f>
        <v/>
      </c>
      <c r="S177" s="33">
        <f>$J177*(1+$K177)^(3-1)*(1-$L177)*(1-$M177)</f>
        <v/>
      </c>
      <c r="T177" s="33">
        <f>$J177*(1+$K177)^(4-1)*(1-$L177)*(1-$M177)</f>
        <v/>
      </c>
      <c r="U177" s="33">
        <f>$J177*(1+$K177)^(5-1)*(1-$L177)*(1-$M177)+$O177</f>
        <v/>
      </c>
      <c r="V177" s="33">
        <f>P177+NPV($N177,Q177:U177)</f>
        <v/>
      </c>
      <c r="W177" s="32">
        <f>IFERROR(IRR(P177:U177,0.1),"")</f>
        <v/>
      </c>
    </row>
    <row r="178">
      <c r="A178" s="14" t="n">
        <v>174</v>
      </c>
      <c r="B178" s="30">
        <f>RAND()*(1-2E-6)+1E-6</f>
        <v/>
      </c>
      <c r="C178" s="30">
        <f>RAND()*(1-2E-6)+1E-6</f>
        <v/>
      </c>
      <c r="D178" s="30">
        <f>RAND()*(1-2E-6)+1E-6</f>
        <v/>
      </c>
      <c r="E178" s="30">
        <f>RAND()*(1-2E-6)+1E-6</f>
        <v/>
      </c>
      <c r="F178" s="30">
        <f>RAND()*(1-2E-6)+1E-6</f>
        <v/>
      </c>
      <c r="G178" s="30">
        <f>RAND()*(1-2E-6)+1E-6</f>
        <v/>
      </c>
      <c r="H178" s="30">
        <f>RAND()*(1-2E-6)+1E-6</f>
        <v/>
      </c>
      <c r="I178" s="31">
        <f>MIN(IF(Supuestos!$H$5="",1E+99,Supuestos!$H$5),MAX(IF(Supuestos!$G$5="",-1E+99,Supuestos!$G$5),IF(Supuestos!$C$5="Normal",NORMINV(B178,Supuestos!$D$5,Supuestos!$E$5),IF(Supuestos!$C$5="Triangular",IF(B178&lt;(Supuestos!$E$5-Supuestos!$D$5)/(Supuestos!$F$5-Supuestos!$D$5),Supuestos!$D$5+SQRT(B178*(Supuestos!$F$5-Supuestos!$D$5)*(Supuestos!$E$5-Supuestos!$D$5)),Supuestos!$F$5-SQRT((1-B178)*(Supuestos!$F$5-Supuestos!$D$5)*(Supuestos!$F$5-Supuestos!$E$5))),IF(Supuestos!$C$5="Uniforme",Supuestos!$D$5+B178*(Supuestos!$E$5-Supuestos!$D$5),IF(Supuestos!$C$5="Lognormal",LOGINV(B178,LN(Supuestos!$D$5)-LN(1+Supuestos!$E$5^2/Supuestos!$D$5^2)/2,SQRT(LN(1+Supuestos!$E$5^2/Supuestos!$D$5^2))),Supuestos!$D$5))))))</f>
        <v/>
      </c>
      <c r="J178" s="31">
        <f>MIN(IF(Supuestos!$H$6="",1E+99,Supuestos!$H$6),MAX(IF(Supuestos!$G$6="",-1E+99,Supuestos!$G$6),IF(Supuestos!$C$6="Normal",NORMINV(C178,Supuestos!$D$6,Supuestos!$E$6),IF(Supuestos!$C$6="Triangular",IF(C178&lt;(Supuestos!$E$6-Supuestos!$D$6)/(Supuestos!$F$6-Supuestos!$D$6),Supuestos!$D$6+SQRT(C178*(Supuestos!$F$6-Supuestos!$D$6)*(Supuestos!$E$6-Supuestos!$D$6)),Supuestos!$F$6-SQRT((1-C178)*(Supuestos!$F$6-Supuestos!$D$6)*(Supuestos!$F$6-Supuestos!$E$6))),IF(Supuestos!$C$6="Uniforme",Supuestos!$D$6+C178*(Supuestos!$E$6-Supuestos!$D$6),IF(Supuestos!$C$6="Lognormal",LOGINV(C178,LN(Supuestos!$D$6)-LN(1+Supuestos!$E$6^2/Supuestos!$D$6^2)/2,SQRT(LN(1+Supuestos!$E$6^2/Supuestos!$D$6^2))),Supuestos!$D$6))))))</f>
        <v/>
      </c>
      <c r="K178" s="32">
        <f>MIN(IF(Supuestos!$H$7="",1E+99,Supuestos!$H$7),MAX(IF(Supuestos!$G$7="",-1E+99,Supuestos!$G$7),IF(Supuestos!$C$7="Normal",NORMINV(D178,Supuestos!$D$7,Supuestos!$E$7),IF(Supuestos!$C$7="Triangular",IF(D178&lt;(Supuestos!$E$7-Supuestos!$D$7)/(Supuestos!$F$7-Supuestos!$D$7),Supuestos!$D$7+SQRT(D178*(Supuestos!$F$7-Supuestos!$D$7)*(Supuestos!$E$7-Supuestos!$D$7)),Supuestos!$F$7-SQRT((1-D178)*(Supuestos!$F$7-Supuestos!$D$7)*(Supuestos!$F$7-Supuestos!$E$7))),IF(Supuestos!$C$7="Uniforme",Supuestos!$D$7+D178*(Supuestos!$E$7-Supuestos!$D$7),IF(Supuestos!$C$7="Lognormal",LOGINV(D178,LN(Supuestos!$D$7)-LN(1+Supuestos!$E$7^2/Supuestos!$D$7^2)/2,SQRT(LN(1+Supuestos!$E$7^2/Supuestos!$D$7^2))),Supuestos!$D$7))))))</f>
        <v/>
      </c>
      <c r="L178" s="32">
        <f>MIN(IF(Supuestos!$H$8="",1E+99,Supuestos!$H$8),MAX(IF(Supuestos!$G$8="",-1E+99,Supuestos!$G$8),IF(Supuestos!$C$8="Normal",NORMINV(E178,Supuestos!$D$8,Supuestos!$E$8),IF(Supuestos!$C$8="Triangular",IF(E178&lt;(Supuestos!$E$8-Supuestos!$D$8)/(Supuestos!$F$8-Supuestos!$D$8),Supuestos!$D$8+SQRT(E178*(Supuestos!$F$8-Supuestos!$D$8)*(Supuestos!$E$8-Supuestos!$D$8)),Supuestos!$F$8-SQRT((1-E178)*(Supuestos!$F$8-Supuestos!$D$8)*(Supuestos!$F$8-Supuestos!$E$8))),IF(Supuestos!$C$8="Uniforme",Supuestos!$D$8+E178*(Supuestos!$E$8-Supuestos!$D$8),IF(Supuestos!$C$8="Lognormal",LOGINV(E178,LN(Supuestos!$D$8)-LN(1+Supuestos!$E$8^2/Supuestos!$D$8^2)/2,SQRT(LN(1+Supuestos!$E$8^2/Supuestos!$D$8^2))),Supuestos!$D$8))))))</f>
        <v/>
      </c>
      <c r="M178" s="32">
        <f>MIN(IF(Supuestos!$H$9="",1E+99,Supuestos!$H$9),MAX(IF(Supuestos!$G$9="",-1E+99,Supuestos!$G$9),IF(Supuestos!$C$9="Normal",NORMINV(F178,Supuestos!$D$9,Supuestos!$E$9),IF(Supuestos!$C$9="Triangular",IF(F178&lt;(Supuestos!$E$9-Supuestos!$D$9)/(Supuestos!$F$9-Supuestos!$D$9),Supuestos!$D$9+SQRT(F178*(Supuestos!$F$9-Supuestos!$D$9)*(Supuestos!$E$9-Supuestos!$D$9)),Supuestos!$F$9-SQRT((1-F178)*(Supuestos!$F$9-Supuestos!$D$9)*(Supuestos!$F$9-Supuestos!$E$9))),IF(Supuestos!$C$9="Uniforme",Supuestos!$D$9+F178*(Supuestos!$E$9-Supuestos!$D$9),IF(Supuestos!$C$9="Lognormal",LOGINV(F178,LN(Supuestos!$D$9)-LN(1+Supuestos!$E$9^2/Supuestos!$D$9^2)/2,SQRT(LN(1+Supuestos!$E$9^2/Supuestos!$D$9^2))),Supuestos!$D$9))))))</f>
        <v/>
      </c>
      <c r="N178" s="32">
        <f>MIN(IF(Supuestos!$H$10="",1E+99,Supuestos!$H$10),MAX(IF(Supuestos!$G$10="",-1E+99,Supuestos!$G$10),IF(Supuestos!$C$10="Normal",NORMINV(G178,Supuestos!$D$10,Supuestos!$E$10),IF(Supuestos!$C$10="Triangular",IF(G178&lt;(Supuestos!$E$10-Supuestos!$D$10)/(Supuestos!$F$10-Supuestos!$D$10),Supuestos!$D$10+SQRT(G178*(Supuestos!$F$10-Supuestos!$D$10)*(Supuestos!$E$10-Supuestos!$D$10)),Supuestos!$F$10-SQRT((1-G178)*(Supuestos!$F$10-Supuestos!$D$10)*(Supuestos!$F$10-Supuestos!$E$10))),IF(Supuestos!$C$10="Uniforme",Supuestos!$D$10+G178*(Supuestos!$E$10-Supuestos!$D$10),IF(Supuestos!$C$10="Lognormal",LOGINV(G178,LN(Supuestos!$D$10)-LN(1+Supuestos!$E$10^2/Supuestos!$D$10^2)/2,SQRT(LN(1+Supuestos!$E$10^2/Supuestos!$D$10^2))),Supuestos!$D$10))))))</f>
        <v/>
      </c>
      <c r="O178" s="31">
        <f>MIN(IF(Supuestos!$H$11="",1E+99,Supuestos!$H$11),MAX(IF(Supuestos!$G$11="",-1E+99,Supuestos!$G$11),IF(Supuestos!$C$11="Normal",NORMINV(H178,Supuestos!$D$11,Supuestos!$E$11),IF(Supuestos!$C$11="Triangular",IF(H178&lt;(Supuestos!$E$11-Supuestos!$D$11)/(Supuestos!$F$11-Supuestos!$D$11),Supuestos!$D$11+SQRT(H178*(Supuestos!$F$11-Supuestos!$D$11)*(Supuestos!$E$11-Supuestos!$D$11)),Supuestos!$F$11-SQRT((1-H178)*(Supuestos!$F$11-Supuestos!$D$11)*(Supuestos!$F$11-Supuestos!$E$11))),IF(Supuestos!$C$11="Uniforme",Supuestos!$D$11+H178*(Supuestos!$E$11-Supuestos!$D$11),IF(Supuestos!$C$11="Lognormal",LOGINV(H178,LN(Supuestos!$D$11)-LN(1+Supuestos!$E$11^2/Supuestos!$D$11^2)/2,SQRT(LN(1+Supuestos!$E$11^2/Supuestos!$D$11^2))),Supuestos!$D$11))))))</f>
        <v/>
      </c>
      <c r="P178" s="33">
        <f>-I178</f>
        <v/>
      </c>
      <c r="Q178" s="33">
        <f>$J178*(1+$K178)^(1-1)*(1-$L178)*(1-$M178)</f>
        <v/>
      </c>
      <c r="R178" s="33">
        <f>$J178*(1+$K178)^(2-1)*(1-$L178)*(1-$M178)</f>
        <v/>
      </c>
      <c r="S178" s="33">
        <f>$J178*(1+$K178)^(3-1)*(1-$L178)*(1-$M178)</f>
        <v/>
      </c>
      <c r="T178" s="33">
        <f>$J178*(1+$K178)^(4-1)*(1-$L178)*(1-$M178)</f>
        <v/>
      </c>
      <c r="U178" s="33">
        <f>$J178*(1+$K178)^(5-1)*(1-$L178)*(1-$M178)+$O178</f>
        <v/>
      </c>
      <c r="V178" s="33">
        <f>P178+NPV($N178,Q178:U178)</f>
        <v/>
      </c>
      <c r="W178" s="32">
        <f>IFERROR(IRR(P178:U178,0.1),"")</f>
        <v/>
      </c>
    </row>
    <row r="179">
      <c r="A179" s="14" t="n">
        <v>175</v>
      </c>
      <c r="B179" s="30">
        <f>RAND()*(1-2E-6)+1E-6</f>
        <v/>
      </c>
      <c r="C179" s="30">
        <f>RAND()*(1-2E-6)+1E-6</f>
        <v/>
      </c>
      <c r="D179" s="30">
        <f>RAND()*(1-2E-6)+1E-6</f>
        <v/>
      </c>
      <c r="E179" s="30">
        <f>RAND()*(1-2E-6)+1E-6</f>
        <v/>
      </c>
      <c r="F179" s="30">
        <f>RAND()*(1-2E-6)+1E-6</f>
        <v/>
      </c>
      <c r="G179" s="30">
        <f>RAND()*(1-2E-6)+1E-6</f>
        <v/>
      </c>
      <c r="H179" s="30">
        <f>RAND()*(1-2E-6)+1E-6</f>
        <v/>
      </c>
      <c r="I179" s="31">
        <f>MIN(IF(Supuestos!$H$5="",1E+99,Supuestos!$H$5),MAX(IF(Supuestos!$G$5="",-1E+99,Supuestos!$G$5),IF(Supuestos!$C$5="Normal",NORMINV(B179,Supuestos!$D$5,Supuestos!$E$5),IF(Supuestos!$C$5="Triangular",IF(B179&lt;(Supuestos!$E$5-Supuestos!$D$5)/(Supuestos!$F$5-Supuestos!$D$5),Supuestos!$D$5+SQRT(B179*(Supuestos!$F$5-Supuestos!$D$5)*(Supuestos!$E$5-Supuestos!$D$5)),Supuestos!$F$5-SQRT((1-B179)*(Supuestos!$F$5-Supuestos!$D$5)*(Supuestos!$F$5-Supuestos!$E$5))),IF(Supuestos!$C$5="Uniforme",Supuestos!$D$5+B179*(Supuestos!$E$5-Supuestos!$D$5),IF(Supuestos!$C$5="Lognormal",LOGINV(B179,LN(Supuestos!$D$5)-LN(1+Supuestos!$E$5^2/Supuestos!$D$5^2)/2,SQRT(LN(1+Supuestos!$E$5^2/Supuestos!$D$5^2))),Supuestos!$D$5))))))</f>
        <v/>
      </c>
      <c r="J179" s="31">
        <f>MIN(IF(Supuestos!$H$6="",1E+99,Supuestos!$H$6),MAX(IF(Supuestos!$G$6="",-1E+99,Supuestos!$G$6),IF(Supuestos!$C$6="Normal",NORMINV(C179,Supuestos!$D$6,Supuestos!$E$6),IF(Supuestos!$C$6="Triangular",IF(C179&lt;(Supuestos!$E$6-Supuestos!$D$6)/(Supuestos!$F$6-Supuestos!$D$6),Supuestos!$D$6+SQRT(C179*(Supuestos!$F$6-Supuestos!$D$6)*(Supuestos!$E$6-Supuestos!$D$6)),Supuestos!$F$6-SQRT((1-C179)*(Supuestos!$F$6-Supuestos!$D$6)*(Supuestos!$F$6-Supuestos!$E$6))),IF(Supuestos!$C$6="Uniforme",Supuestos!$D$6+C179*(Supuestos!$E$6-Supuestos!$D$6),IF(Supuestos!$C$6="Lognormal",LOGINV(C179,LN(Supuestos!$D$6)-LN(1+Supuestos!$E$6^2/Supuestos!$D$6^2)/2,SQRT(LN(1+Supuestos!$E$6^2/Supuestos!$D$6^2))),Supuestos!$D$6))))))</f>
        <v/>
      </c>
      <c r="K179" s="32">
        <f>MIN(IF(Supuestos!$H$7="",1E+99,Supuestos!$H$7),MAX(IF(Supuestos!$G$7="",-1E+99,Supuestos!$G$7),IF(Supuestos!$C$7="Normal",NORMINV(D179,Supuestos!$D$7,Supuestos!$E$7),IF(Supuestos!$C$7="Triangular",IF(D179&lt;(Supuestos!$E$7-Supuestos!$D$7)/(Supuestos!$F$7-Supuestos!$D$7),Supuestos!$D$7+SQRT(D179*(Supuestos!$F$7-Supuestos!$D$7)*(Supuestos!$E$7-Supuestos!$D$7)),Supuestos!$F$7-SQRT((1-D179)*(Supuestos!$F$7-Supuestos!$D$7)*(Supuestos!$F$7-Supuestos!$E$7))),IF(Supuestos!$C$7="Uniforme",Supuestos!$D$7+D179*(Supuestos!$E$7-Supuestos!$D$7),IF(Supuestos!$C$7="Lognormal",LOGINV(D179,LN(Supuestos!$D$7)-LN(1+Supuestos!$E$7^2/Supuestos!$D$7^2)/2,SQRT(LN(1+Supuestos!$E$7^2/Supuestos!$D$7^2))),Supuestos!$D$7))))))</f>
        <v/>
      </c>
      <c r="L179" s="32">
        <f>MIN(IF(Supuestos!$H$8="",1E+99,Supuestos!$H$8),MAX(IF(Supuestos!$G$8="",-1E+99,Supuestos!$G$8),IF(Supuestos!$C$8="Normal",NORMINV(E179,Supuestos!$D$8,Supuestos!$E$8),IF(Supuestos!$C$8="Triangular",IF(E179&lt;(Supuestos!$E$8-Supuestos!$D$8)/(Supuestos!$F$8-Supuestos!$D$8),Supuestos!$D$8+SQRT(E179*(Supuestos!$F$8-Supuestos!$D$8)*(Supuestos!$E$8-Supuestos!$D$8)),Supuestos!$F$8-SQRT((1-E179)*(Supuestos!$F$8-Supuestos!$D$8)*(Supuestos!$F$8-Supuestos!$E$8))),IF(Supuestos!$C$8="Uniforme",Supuestos!$D$8+E179*(Supuestos!$E$8-Supuestos!$D$8),IF(Supuestos!$C$8="Lognormal",LOGINV(E179,LN(Supuestos!$D$8)-LN(1+Supuestos!$E$8^2/Supuestos!$D$8^2)/2,SQRT(LN(1+Supuestos!$E$8^2/Supuestos!$D$8^2))),Supuestos!$D$8))))))</f>
        <v/>
      </c>
      <c r="M179" s="32">
        <f>MIN(IF(Supuestos!$H$9="",1E+99,Supuestos!$H$9),MAX(IF(Supuestos!$G$9="",-1E+99,Supuestos!$G$9),IF(Supuestos!$C$9="Normal",NORMINV(F179,Supuestos!$D$9,Supuestos!$E$9),IF(Supuestos!$C$9="Triangular",IF(F179&lt;(Supuestos!$E$9-Supuestos!$D$9)/(Supuestos!$F$9-Supuestos!$D$9),Supuestos!$D$9+SQRT(F179*(Supuestos!$F$9-Supuestos!$D$9)*(Supuestos!$E$9-Supuestos!$D$9)),Supuestos!$F$9-SQRT((1-F179)*(Supuestos!$F$9-Supuestos!$D$9)*(Supuestos!$F$9-Supuestos!$E$9))),IF(Supuestos!$C$9="Uniforme",Supuestos!$D$9+F179*(Supuestos!$E$9-Supuestos!$D$9),IF(Supuestos!$C$9="Lognormal",LOGINV(F179,LN(Supuestos!$D$9)-LN(1+Supuestos!$E$9^2/Supuestos!$D$9^2)/2,SQRT(LN(1+Supuestos!$E$9^2/Supuestos!$D$9^2))),Supuestos!$D$9))))))</f>
        <v/>
      </c>
      <c r="N179" s="32">
        <f>MIN(IF(Supuestos!$H$10="",1E+99,Supuestos!$H$10),MAX(IF(Supuestos!$G$10="",-1E+99,Supuestos!$G$10),IF(Supuestos!$C$10="Normal",NORMINV(G179,Supuestos!$D$10,Supuestos!$E$10),IF(Supuestos!$C$10="Triangular",IF(G179&lt;(Supuestos!$E$10-Supuestos!$D$10)/(Supuestos!$F$10-Supuestos!$D$10),Supuestos!$D$10+SQRT(G179*(Supuestos!$F$10-Supuestos!$D$10)*(Supuestos!$E$10-Supuestos!$D$10)),Supuestos!$F$10-SQRT((1-G179)*(Supuestos!$F$10-Supuestos!$D$10)*(Supuestos!$F$10-Supuestos!$E$10))),IF(Supuestos!$C$10="Uniforme",Supuestos!$D$10+G179*(Supuestos!$E$10-Supuestos!$D$10),IF(Supuestos!$C$10="Lognormal",LOGINV(G179,LN(Supuestos!$D$10)-LN(1+Supuestos!$E$10^2/Supuestos!$D$10^2)/2,SQRT(LN(1+Supuestos!$E$10^2/Supuestos!$D$10^2))),Supuestos!$D$10))))))</f>
        <v/>
      </c>
      <c r="O179" s="31">
        <f>MIN(IF(Supuestos!$H$11="",1E+99,Supuestos!$H$11),MAX(IF(Supuestos!$G$11="",-1E+99,Supuestos!$G$11),IF(Supuestos!$C$11="Normal",NORMINV(H179,Supuestos!$D$11,Supuestos!$E$11),IF(Supuestos!$C$11="Triangular",IF(H179&lt;(Supuestos!$E$11-Supuestos!$D$11)/(Supuestos!$F$11-Supuestos!$D$11),Supuestos!$D$11+SQRT(H179*(Supuestos!$F$11-Supuestos!$D$11)*(Supuestos!$E$11-Supuestos!$D$11)),Supuestos!$F$11-SQRT((1-H179)*(Supuestos!$F$11-Supuestos!$D$11)*(Supuestos!$F$11-Supuestos!$E$11))),IF(Supuestos!$C$11="Uniforme",Supuestos!$D$11+H179*(Supuestos!$E$11-Supuestos!$D$11),IF(Supuestos!$C$11="Lognormal",LOGINV(H179,LN(Supuestos!$D$11)-LN(1+Supuestos!$E$11^2/Supuestos!$D$11^2)/2,SQRT(LN(1+Supuestos!$E$11^2/Supuestos!$D$11^2))),Supuestos!$D$11))))))</f>
        <v/>
      </c>
      <c r="P179" s="33">
        <f>-I179</f>
        <v/>
      </c>
      <c r="Q179" s="33">
        <f>$J179*(1+$K179)^(1-1)*(1-$L179)*(1-$M179)</f>
        <v/>
      </c>
      <c r="R179" s="33">
        <f>$J179*(1+$K179)^(2-1)*(1-$L179)*(1-$M179)</f>
        <v/>
      </c>
      <c r="S179" s="33">
        <f>$J179*(1+$K179)^(3-1)*(1-$L179)*(1-$M179)</f>
        <v/>
      </c>
      <c r="T179" s="33">
        <f>$J179*(1+$K179)^(4-1)*(1-$L179)*(1-$M179)</f>
        <v/>
      </c>
      <c r="U179" s="33">
        <f>$J179*(1+$K179)^(5-1)*(1-$L179)*(1-$M179)+$O179</f>
        <v/>
      </c>
      <c r="V179" s="33">
        <f>P179+NPV($N179,Q179:U179)</f>
        <v/>
      </c>
      <c r="W179" s="32">
        <f>IFERROR(IRR(P179:U179,0.1),"")</f>
        <v/>
      </c>
    </row>
    <row r="180">
      <c r="A180" s="14" t="n">
        <v>176</v>
      </c>
      <c r="B180" s="30">
        <f>RAND()*(1-2E-6)+1E-6</f>
        <v/>
      </c>
      <c r="C180" s="30">
        <f>RAND()*(1-2E-6)+1E-6</f>
        <v/>
      </c>
      <c r="D180" s="30">
        <f>RAND()*(1-2E-6)+1E-6</f>
        <v/>
      </c>
      <c r="E180" s="30">
        <f>RAND()*(1-2E-6)+1E-6</f>
        <v/>
      </c>
      <c r="F180" s="30">
        <f>RAND()*(1-2E-6)+1E-6</f>
        <v/>
      </c>
      <c r="G180" s="30">
        <f>RAND()*(1-2E-6)+1E-6</f>
        <v/>
      </c>
      <c r="H180" s="30">
        <f>RAND()*(1-2E-6)+1E-6</f>
        <v/>
      </c>
      <c r="I180" s="31">
        <f>MIN(IF(Supuestos!$H$5="",1E+99,Supuestos!$H$5),MAX(IF(Supuestos!$G$5="",-1E+99,Supuestos!$G$5),IF(Supuestos!$C$5="Normal",NORMINV(B180,Supuestos!$D$5,Supuestos!$E$5),IF(Supuestos!$C$5="Triangular",IF(B180&lt;(Supuestos!$E$5-Supuestos!$D$5)/(Supuestos!$F$5-Supuestos!$D$5),Supuestos!$D$5+SQRT(B180*(Supuestos!$F$5-Supuestos!$D$5)*(Supuestos!$E$5-Supuestos!$D$5)),Supuestos!$F$5-SQRT((1-B180)*(Supuestos!$F$5-Supuestos!$D$5)*(Supuestos!$F$5-Supuestos!$E$5))),IF(Supuestos!$C$5="Uniforme",Supuestos!$D$5+B180*(Supuestos!$E$5-Supuestos!$D$5),IF(Supuestos!$C$5="Lognormal",LOGINV(B180,LN(Supuestos!$D$5)-LN(1+Supuestos!$E$5^2/Supuestos!$D$5^2)/2,SQRT(LN(1+Supuestos!$E$5^2/Supuestos!$D$5^2))),Supuestos!$D$5))))))</f>
        <v/>
      </c>
      <c r="J180" s="31">
        <f>MIN(IF(Supuestos!$H$6="",1E+99,Supuestos!$H$6),MAX(IF(Supuestos!$G$6="",-1E+99,Supuestos!$G$6),IF(Supuestos!$C$6="Normal",NORMINV(C180,Supuestos!$D$6,Supuestos!$E$6),IF(Supuestos!$C$6="Triangular",IF(C180&lt;(Supuestos!$E$6-Supuestos!$D$6)/(Supuestos!$F$6-Supuestos!$D$6),Supuestos!$D$6+SQRT(C180*(Supuestos!$F$6-Supuestos!$D$6)*(Supuestos!$E$6-Supuestos!$D$6)),Supuestos!$F$6-SQRT((1-C180)*(Supuestos!$F$6-Supuestos!$D$6)*(Supuestos!$F$6-Supuestos!$E$6))),IF(Supuestos!$C$6="Uniforme",Supuestos!$D$6+C180*(Supuestos!$E$6-Supuestos!$D$6),IF(Supuestos!$C$6="Lognormal",LOGINV(C180,LN(Supuestos!$D$6)-LN(1+Supuestos!$E$6^2/Supuestos!$D$6^2)/2,SQRT(LN(1+Supuestos!$E$6^2/Supuestos!$D$6^2))),Supuestos!$D$6))))))</f>
        <v/>
      </c>
      <c r="K180" s="32">
        <f>MIN(IF(Supuestos!$H$7="",1E+99,Supuestos!$H$7),MAX(IF(Supuestos!$G$7="",-1E+99,Supuestos!$G$7),IF(Supuestos!$C$7="Normal",NORMINV(D180,Supuestos!$D$7,Supuestos!$E$7),IF(Supuestos!$C$7="Triangular",IF(D180&lt;(Supuestos!$E$7-Supuestos!$D$7)/(Supuestos!$F$7-Supuestos!$D$7),Supuestos!$D$7+SQRT(D180*(Supuestos!$F$7-Supuestos!$D$7)*(Supuestos!$E$7-Supuestos!$D$7)),Supuestos!$F$7-SQRT((1-D180)*(Supuestos!$F$7-Supuestos!$D$7)*(Supuestos!$F$7-Supuestos!$E$7))),IF(Supuestos!$C$7="Uniforme",Supuestos!$D$7+D180*(Supuestos!$E$7-Supuestos!$D$7),IF(Supuestos!$C$7="Lognormal",LOGINV(D180,LN(Supuestos!$D$7)-LN(1+Supuestos!$E$7^2/Supuestos!$D$7^2)/2,SQRT(LN(1+Supuestos!$E$7^2/Supuestos!$D$7^2))),Supuestos!$D$7))))))</f>
        <v/>
      </c>
      <c r="L180" s="32">
        <f>MIN(IF(Supuestos!$H$8="",1E+99,Supuestos!$H$8),MAX(IF(Supuestos!$G$8="",-1E+99,Supuestos!$G$8),IF(Supuestos!$C$8="Normal",NORMINV(E180,Supuestos!$D$8,Supuestos!$E$8),IF(Supuestos!$C$8="Triangular",IF(E180&lt;(Supuestos!$E$8-Supuestos!$D$8)/(Supuestos!$F$8-Supuestos!$D$8),Supuestos!$D$8+SQRT(E180*(Supuestos!$F$8-Supuestos!$D$8)*(Supuestos!$E$8-Supuestos!$D$8)),Supuestos!$F$8-SQRT((1-E180)*(Supuestos!$F$8-Supuestos!$D$8)*(Supuestos!$F$8-Supuestos!$E$8))),IF(Supuestos!$C$8="Uniforme",Supuestos!$D$8+E180*(Supuestos!$E$8-Supuestos!$D$8),IF(Supuestos!$C$8="Lognormal",LOGINV(E180,LN(Supuestos!$D$8)-LN(1+Supuestos!$E$8^2/Supuestos!$D$8^2)/2,SQRT(LN(1+Supuestos!$E$8^2/Supuestos!$D$8^2))),Supuestos!$D$8))))))</f>
        <v/>
      </c>
      <c r="M180" s="32">
        <f>MIN(IF(Supuestos!$H$9="",1E+99,Supuestos!$H$9),MAX(IF(Supuestos!$G$9="",-1E+99,Supuestos!$G$9),IF(Supuestos!$C$9="Normal",NORMINV(F180,Supuestos!$D$9,Supuestos!$E$9),IF(Supuestos!$C$9="Triangular",IF(F180&lt;(Supuestos!$E$9-Supuestos!$D$9)/(Supuestos!$F$9-Supuestos!$D$9),Supuestos!$D$9+SQRT(F180*(Supuestos!$F$9-Supuestos!$D$9)*(Supuestos!$E$9-Supuestos!$D$9)),Supuestos!$F$9-SQRT((1-F180)*(Supuestos!$F$9-Supuestos!$D$9)*(Supuestos!$F$9-Supuestos!$E$9))),IF(Supuestos!$C$9="Uniforme",Supuestos!$D$9+F180*(Supuestos!$E$9-Supuestos!$D$9),IF(Supuestos!$C$9="Lognormal",LOGINV(F180,LN(Supuestos!$D$9)-LN(1+Supuestos!$E$9^2/Supuestos!$D$9^2)/2,SQRT(LN(1+Supuestos!$E$9^2/Supuestos!$D$9^2))),Supuestos!$D$9))))))</f>
        <v/>
      </c>
      <c r="N180" s="32">
        <f>MIN(IF(Supuestos!$H$10="",1E+99,Supuestos!$H$10),MAX(IF(Supuestos!$G$10="",-1E+99,Supuestos!$G$10),IF(Supuestos!$C$10="Normal",NORMINV(G180,Supuestos!$D$10,Supuestos!$E$10),IF(Supuestos!$C$10="Triangular",IF(G180&lt;(Supuestos!$E$10-Supuestos!$D$10)/(Supuestos!$F$10-Supuestos!$D$10),Supuestos!$D$10+SQRT(G180*(Supuestos!$F$10-Supuestos!$D$10)*(Supuestos!$E$10-Supuestos!$D$10)),Supuestos!$F$10-SQRT((1-G180)*(Supuestos!$F$10-Supuestos!$D$10)*(Supuestos!$F$10-Supuestos!$E$10))),IF(Supuestos!$C$10="Uniforme",Supuestos!$D$10+G180*(Supuestos!$E$10-Supuestos!$D$10),IF(Supuestos!$C$10="Lognormal",LOGINV(G180,LN(Supuestos!$D$10)-LN(1+Supuestos!$E$10^2/Supuestos!$D$10^2)/2,SQRT(LN(1+Supuestos!$E$10^2/Supuestos!$D$10^2))),Supuestos!$D$10))))))</f>
        <v/>
      </c>
      <c r="O180" s="31">
        <f>MIN(IF(Supuestos!$H$11="",1E+99,Supuestos!$H$11),MAX(IF(Supuestos!$G$11="",-1E+99,Supuestos!$G$11),IF(Supuestos!$C$11="Normal",NORMINV(H180,Supuestos!$D$11,Supuestos!$E$11),IF(Supuestos!$C$11="Triangular",IF(H180&lt;(Supuestos!$E$11-Supuestos!$D$11)/(Supuestos!$F$11-Supuestos!$D$11),Supuestos!$D$11+SQRT(H180*(Supuestos!$F$11-Supuestos!$D$11)*(Supuestos!$E$11-Supuestos!$D$11)),Supuestos!$F$11-SQRT((1-H180)*(Supuestos!$F$11-Supuestos!$D$11)*(Supuestos!$F$11-Supuestos!$E$11))),IF(Supuestos!$C$11="Uniforme",Supuestos!$D$11+H180*(Supuestos!$E$11-Supuestos!$D$11),IF(Supuestos!$C$11="Lognormal",LOGINV(H180,LN(Supuestos!$D$11)-LN(1+Supuestos!$E$11^2/Supuestos!$D$11^2)/2,SQRT(LN(1+Supuestos!$E$11^2/Supuestos!$D$11^2))),Supuestos!$D$11))))))</f>
        <v/>
      </c>
      <c r="P180" s="33">
        <f>-I180</f>
        <v/>
      </c>
      <c r="Q180" s="33">
        <f>$J180*(1+$K180)^(1-1)*(1-$L180)*(1-$M180)</f>
        <v/>
      </c>
      <c r="R180" s="33">
        <f>$J180*(1+$K180)^(2-1)*(1-$L180)*(1-$M180)</f>
        <v/>
      </c>
      <c r="S180" s="33">
        <f>$J180*(1+$K180)^(3-1)*(1-$L180)*(1-$M180)</f>
        <v/>
      </c>
      <c r="T180" s="33">
        <f>$J180*(1+$K180)^(4-1)*(1-$L180)*(1-$M180)</f>
        <v/>
      </c>
      <c r="U180" s="33">
        <f>$J180*(1+$K180)^(5-1)*(1-$L180)*(1-$M180)+$O180</f>
        <v/>
      </c>
      <c r="V180" s="33">
        <f>P180+NPV($N180,Q180:U180)</f>
        <v/>
      </c>
      <c r="W180" s="32">
        <f>IFERROR(IRR(P180:U180,0.1),"")</f>
        <v/>
      </c>
    </row>
    <row r="181">
      <c r="A181" s="14" t="n">
        <v>177</v>
      </c>
      <c r="B181" s="30">
        <f>RAND()*(1-2E-6)+1E-6</f>
        <v/>
      </c>
      <c r="C181" s="30">
        <f>RAND()*(1-2E-6)+1E-6</f>
        <v/>
      </c>
      <c r="D181" s="30">
        <f>RAND()*(1-2E-6)+1E-6</f>
        <v/>
      </c>
      <c r="E181" s="30">
        <f>RAND()*(1-2E-6)+1E-6</f>
        <v/>
      </c>
      <c r="F181" s="30">
        <f>RAND()*(1-2E-6)+1E-6</f>
        <v/>
      </c>
      <c r="G181" s="30">
        <f>RAND()*(1-2E-6)+1E-6</f>
        <v/>
      </c>
      <c r="H181" s="30">
        <f>RAND()*(1-2E-6)+1E-6</f>
        <v/>
      </c>
      <c r="I181" s="31">
        <f>MIN(IF(Supuestos!$H$5="",1E+99,Supuestos!$H$5),MAX(IF(Supuestos!$G$5="",-1E+99,Supuestos!$G$5),IF(Supuestos!$C$5="Normal",NORMINV(B181,Supuestos!$D$5,Supuestos!$E$5),IF(Supuestos!$C$5="Triangular",IF(B181&lt;(Supuestos!$E$5-Supuestos!$D$5)/(Supuestos!$F$5-Supuestos!$D$5),Supuestos!$D$5+SQRT(B181*(Supuestos!$F$5-Supuestos!$D$5)*(Supuestos!$E$5-Supuestos!$D$5)),Supuestos!$F$5-SQRT((1-B181)*(Supuestos!$F$5-Supuestos!$D$5)*(Supuestos!$F$5-Supuestos!$E$5))),IF(Supuestos!$C$5="Uniforme",Supuestos!$D$5+B181*(Supuestos!$E$5-Supuestos!$D$5),IF(Supuestos!$C$5="Lognormal",LOGINV(B181,LN(Supuestos!$D$5)-LN(1+Supuestos!$E$5^2/Supuestos!$D$5^2)/2,SQRT(LN(1+Supuestos!$E$5^2/Supuestos!$D$5^2))),Supuestos!$D$5))))))</f>
        <v/>
      </c>
      <c r="J181" s="31">
        <f>MIN(IF(Supuestos!$H$6="",1E+99,Supuestos!$H$6),MAX(IF(Supuestos!$G$6="",-1E+99,Supuestos!$G$6),IF(Supuestos!$C$6="Normal",NORMINV(C181,Supuestos!$D$6,Supuestos!$E$6),IF(Supuestos!$C$6="Triangular",IF(C181&lt;(Supuestos!$E$6-Supuestos!$D$6)/(Supuestos!$F$6-Supuestos!$D$6),Supuestos!$D$6+SQRT(C181*(Supuestos!$F$6-Supuestos!$D$6)*(Supuestos!$E$6-Supuestos!$D$6)),Supuestos!$F$6-SQRT((1-C181)*(Supuestos!$F$6-Supuestos!$D$6)*(Supuestos!$F$6-Supuestos!$E$6))),IF(Supuestos!$C$6="Uniforme",Supuestos!$D$6+C181*(Supuestos!$E$6-Supuestos!$D$6),IF(Supuestos!$C$6="Lognormal",LOGINV(C181,LN(Supuestos!$D$6)-LN(1+Supuestos!$E$6^2/Supuestos!$D$6^2)/2,SQRT(LN(1+Supuestos!$E$6^2/Supuestos!$D$6^2))),Supuestos!$D$6))))))</f>
        <v/>
      </c>
      <c r="K181" s="32">
        <f>MIN(IF(Supuestos!$H$7="",1E+99,Supuestos!$H$7),MAX(IF(Supuestos!$G$7="",-1E+99,Supuestos!$G$7),IF(Supuestos!$C$7="Normal",NORMINV(D181,Supuestos!$D$7,Supuestos!$E$7),IF(Supuestos!$C$7="Triangular",IF(D181&lt;(Supuestos!$E$7-Supuestos!$D$7)/(Supuestos!$F$7-Supuestos!$D$7),Supuestos!$D$7+SQRT(D181*(Supuestos!$F$7-Supuestos!$D$7)*(Supuestos!$E$7-Supuestos!$D$7)),Supuestos!$F$7-SQRT((1-D181)*(Supuestos!$F$7-Supuestos!$D$7)*(Supuestos!$F$7-Supuestos!$E$7))),IF(Supuestos!$C$7="Uniforme",Supuestos!$D$7+D181*(Supuestos!$E$7-Supuestos!$D$7),IF(Supuestos!$C$7="Lognormal",LOGINV(D181,LN(Supuestos!$D$7)-LN(1+Supuestos!$E$7^2/Supuestos!$D$7^2)/2,SQRT(LN(1+Supuestos!$E$7^2/Supuestos!$D$7^2))),Supuestos!$D$7))))))</f>
        <v/>
      </c>
      <c r="L181" s="32">
        <f>MIN(IF(Supuestos!$H$8="",1E+99,Supuestos!$H$8),MAX(IF(Supuestos!$G$8="",-1E+99,Supuestos!$G$8),IF(Supuestos!$C$8="Normal",NORMINV(E181,Supuestos!$D$8,Supuestos!$E$8),IF(Supuestos!$C$8="Triangular",IF(E181&lt;(Supuestos!$E$8-Supuestos!$D$8)/(Supuestos!$F$8-Supuestos!$D$8),Supuestos!$D$8+SQRT(E181*(Supuestos!$F$8-Supuestos!$D$8)*(Supuestos!$E$8-Supuestos!$D$8)),Supuestos!$F$8-SQRT((1-E181)*(Supuestos!$F$8-Supuestos!$D$8)*(Supuestos!$F$8-Supuestos!$E$8))),IF(Supuestos!$C$8="Uniforme",Supuestos!$D$8+E181*(Supuestos!$E$8-Supuestos!$D$8),IF(Supuestos!$C$8="Lognormal",LOGINV(E181,LN(Supuestos!$D$8)-LN(1+Supuestos!$E$8^2/Supuestos!$D$8^2)/2,SQRT(LN(1+Supuestos!$E$8^2/Supuestos!$D$8^2))),Supuestos!$D$8))))))</f>
        <v/>
      </c>
      <c r="M181" s="32">
        <f>MIN(IF(Supuestos!$H$9="",1E+99,Supuestos!$H$9),MAX(IF(Supuestos!$G$9="",-1E+99,Supuestos!$G$9),IF(Supuestos!$C$9="Normal",NORMINV(F181,Supuestos!$D$9,Supuestos!$E$9),IF(Supuestos!$C$9="Triangular",IF(F181&lt;(Supuestos!$E$9-Supuestos!$D$9)/(Supuestos!$F$9-Supuestos!$D$9),Supuestos!$D$9+SQRT(F181*(Supuestos!$F$9-Supuestos!$D$9)*(Supuestos!$E$9-Supuestos!$D$9)),Supuestos!$F$9-SQRT((1-F181)*(Supuestos!$F$9-Supuestos!$D$9)*(Supuestos!$F$9-Supuestos!$E$9))),IF(Supuestos!$C$9="Uniforme",Supuestos!$D$9+F181*(Supuestos!$E$9-Supuestos!$D$9),IF(Supuestos!$C$9="Lognormal",LOGINV(F181,LN(Supuestos!$D$9)-LN(1+Supuestos!$E$9^2/Supuestos!$D$9^2)/2,SQRT(LN(1+Supuestos!$E$9^2/Supuestos!$D$9^2))),Supuestos!$D$9))))))</f>
        <v/>
      </c>
      <c r="N181" s="32">
        <f>MIN(IF(Supuestos!$H$10="",1E+99,Supuestos!$H$10),MAX(IF(Supuestos!$G$10="",-1E+99,Supuestos!$G$10),IF(Supuestos!$C$10="Normal",NORMINV(G181,Supuestos!$D$10,Supuestos!$E$10),IF(Supuestos!$C$10="Triangular",IF(G181&lt;(Supuestos!$E$10-Supuestos!$D$10)/(Supuestos!$F$10-Supuestos!$D$10),Supuestos!$D$10+SQRT(G181*(Supuestos!$F$10-Supuestos!$D$10)*(Supuestos!$E$10-Supuestos!$D$10)),Supuestos!$F$10-SQRT((1-G181)*(Supuestos!$F$10-Supuestos!$D$10)*(Supuestos!$F$10-Supuestos!$E$10))),IF(Supuestos!$C$10="Uniforme",Supuestos!$D$10+G181*(Supuestos!$E$10-Supuestos!$D$10),IF(Supuestos!$C$10="Lognormal",LOGINV(G181,LN(Supuestos!$D$10)-LN(1+Supuestos!$E$10^2/Supuestos!$D$10^2)/2,SQRT(LN(1+Supuestos!$E$10^2/Supuestos!$D$10^2))),Supuestos!$D$10))))))</f>
        <v/>
      </c>
      <c r="O181" s="31">
        <f>MIN(IF(Supuestos!$H$11="",1E+99,Supuestos!$H$11),MAX(IF(Supuestos!$G$11="",-1E+99,Supuestos!$G$11),IF(Supuestos!$C$11="Normal",NORMINV(H181,Supuestos!$D$11,Supuestos!$E$11),IF(Supuestos!$C$11="Triangular",IF(H181&lt;(Supuestos!$E$11-Supuestos!$D$11)/(Supuestos!$F$11-Supuestos!$D$11),Supuestos!$D$11+SQRT(H181*(Supuestos!$F$11-Supuestos!$D$11)*(Supuestos!$E$11-Supuestos!$D$11)),Supuestos!$F$11-SQRT((1-H181)*(Supuestos!$F$11-Supuestos!$D$11)*(Supuestos!$F$11-Supuestos!$E$11))),IF(Supuestos!$C$11="Uniforme",Supuestos!$D$11+H181*(Supuestos!$E$11-Supuestos!$D$11),IF(Supuestos!$C$11="Lognormal",LOGINV(H181,LN(Supuestos!$D$11)-LN(1+Supuestos!$E$11^2/Supuestos!$D$11^2)/2,SQRT(LN(1+Supuestos!$E$11^2/Supuestos!$D$11^2))),Supuestos!$D$11))))))</f>
        <v/>
      </c>
      <c r="P181" s="33">
        <f>-I181</f>
        <v/>
      </c>
      <c r="Q181" s="33">
        <f>$J181*(1+$K181)^(1-1)*(1-$L181)*(1-$M181)</f>
        <v/>
      </c>
      <c r="R181" s="33">
        <f>$J181*(1+$K181)^(2-1)*(1-$L181)*(1-$M181)</f>
        <v/>
      </c>
      <c r="S181" s="33">
        <f>$J181*(1+$K181)^(3-1)*(1-$L181)*(1-$M181)</f>
        <v/>
      </c>
      <c r="T181" s="33">
        <f>$J181*(1+$K181)^(4-1)*(1-$L181)*(1-$M181)</f>
        <v/>
      </c>
      <c r="U181" s="33">
        <f>$J181*(1+$K181)^(5-1)*(1-$L181)*(1-$M181)+$O181</f>
        <v/>
      </c>
      <c r="V181" s="33">
        <f>P181+NPV($N181,Q181:U181)</f>
        <v/>
      </c>
      <c r="W181" s="32">
        <f>IFERROR(IRR(P181:U181,0.1),"")</f>
        <v/>
      </c>
    </row>
    <row r="182">
      <c r="A182" s="14" t="n">
        <v>178</v>
      </c>
      <c r="B182" s="30">
        <f>RAND()*(1-2E-6)+1E-6</f>
        <v/>
      </c>
      <c r="C182" s="30">
        <f>RAND()*(1-2E-6)+1E-6</f>
        <v/>
      </c>
      <c r="D182" s="30">
        <f>RAND()*(1-2E-6)+1E-6</f>
        <v/>
      </c>
      <c r="E182" s="30">
        <f>RAND()*(1-2E-6)+1E-6</f>
        <v/>
      </c>
      <c r="F182" s="30">
        <f>RAND()*(1-2E-6)+1E-6</f>
        <v/>
      </c>
      <c r="G182" s="30">
        <f>RAND()*(1-2E-6)+1E-6</f>
        <v/>
      </c>
      <c r="H182" s="30">
        <f>RAND()*(1-2E-6)+1E-6</f>
        <v/>
      </c>
      <c r="I182" s="31">
        <f>MIN(IF(Supuestos!$H$5="",1E+99,Supuestos!$H$5),MAX(IF(Supuestos!$G$5="",-1E+99,Supuestos!$G$5),IF(Supuestos!$C$5="Normal",NORMINV(B182,Supuestos!$D$5,Supuestos!$E$5),IF(Supuestos!$C$5="Triangular",IF(B182&lt;(Supuestos!$E$5-Supuestos!$D$5)/(Supuestos!$F$5-Supuestos!$D$5),Supuestos!$D$5+SQRT(B182*(Supuestos!$F$5-Supuestos!$D$5)*(Supuestos!$E$5-Supuestos!$D$5)),Supuestos!$F$5-SQRT((1-B182)*(Supuestos!$F$5-Supuestos!$D$5)*(Supuestos!$F$5-Supuestos!$E$5))),IF(Supuestos!$C$5="Uniforme",Supuestos!$D$5+B182*(Supuestos!$E$5-Supuestos!$D$5),IF(Supuestos!$C$5="Lognormal",LOGINV(B182,LN(Supuestos!$D$5)-LN(1+Supuestos!$E$5^2/Supuestos!$D$5^2)/2,SQRT(LN(1+Supuestos!$E$5^2/Supuestos!$D$5^2))),Supuestos!$D$5))))))</f>
        <v/>
      </c>
      <c r="J182" s="31">
        <f>MIN(IF(Supuestos!$H$6="",1E+99,Supuestos!$H$6),MAX(IF(Supuestos!$G$6="",-1E+99,Supuestos!$G$6),IF(Supuestos!$C$6="Normal",NORMINV(C182,Supuestos!$D$6,Supuestos!$E$6),IF(Supuestos!$C$6="Triangular",IF(C182&lt;(Supuestos!$E$6-Supuestos!$D$6)/(Supuestos!$F$6-Supuestos!$D$6),Supuestos!$D$6+SQRT(C182*(Supuestos!$F$6-Supuestos!$D$6)*(Supuestos!$E$6-Supuestos!$D$6)),Supuestos!$F$6-SQRT((1-C182)*(Supuestos!$F$6-Supuestos!$D$6)*(Supuestos!$F$6-Supuestos!$E$6))),IF(Supuestos!$C$6="Uniforme",Supuestos!$D$6+C182*(Supuestos!$E$6-Supuestos!$D$6),IF(Supuestos!$C$6="Lognormal",LOGINV(C182,LN(Supuestos!$D$6)-LN(1+Supuestos!$E$6^2/Supuestos!$D$6^2)/2,SQRT(LN(1+Supuestos!$E$6^2/Supuestos!$D$6^2))),Supuestos!$D$6))))))</f>
        <v/>
      </c>
      <c r="K182" s="32">
        <f>MIN(IF(Supuestos!$H$7="",1E+99,Supuestos!$H$7),MAX(IF(Supuestos!$G$7="",-1E+99,Supuestos!$G$7),IF(Supuestos!$C$7="Normal",NORMINV(D182,Supuestos!$D$7,Supuestos!$E$7),IF(Supuestos!$C$7="Triangular",IF(D182&lt;(Supuestos!$E$7-Supuestos!$D$7)/(Supuestos!$F$7-Supuestos!$D$7),Supuestos!$D$7+SQRT(D182*(Supuestos!$F$7-Supuestos!$D$7)*(Supuestos!$E$7-Supuestos!$D$7)),Supuestos!$F$7-SQRT((1-D182)*(Supuestos!$F$7-Supuestos!$D$7)*(Supuestos!$F$7-Supuestos!$E$7))),IF(Supuestos!$C$7="Uniforme",Supuestos!$D$7+D182*(Supuestos!$E$7-Supuestos!$D$7),IF(Supuestos!$C$7="Lognormal",LOGINV(D182,LN(Supuestos!$D$7)-LN(1+Supuestos!$E$7^2/Supuestos!$D$7^2)/2,SQRT(LN(1+Supuestos!$E$7^2/Supuestos!$D$7^2))),Supuestos!$D$7))))))</f>
        <v/>
      </c>
      <c r="L182" s="32">
        <f>MIN(IF(Supuestos!$H$8="",1E+99,Supuestos!$H$8),MAX(IF(Supuestos!$G$8="",-1E+99,Supuestos!$G$8),IF(Supuestos!$C$8="Normal",NORMINV(E182,Supuestos!$D$8,Supuestos!$E$8),IF(Supuestos!$C$8="Triangular",IF(E182&lt;(Supuestos!$E$8-Supuestos!$D$8)/(Supuestos!$F$8-Supuestos!$D$8),Supuestos!$D$8+SQRT(E182*(Supuestos!$F$8-Supuestos!$D$8)*(Supuestos!$E$8-Supuestos!$D$8)),Supuestos!$F$8-SQRT((1-E182)*(Supuestos!$F$8-Supuestos!$D$8)*(Supuestos!$F$8-Supuestos!$E$8))),IF(Supuestos!$C$8="Uniforme",Supuestos!$D$8+E182*(Supuestos!$E$8-Supuestos!$D$8),IF(Supuestos!$C$8="Lognormal",LOGINV(E182,LN(Supuestos!$D$8)-LN(1+Supuestos!$E$8^2/Supuestos!$D$8^2)/2,SQRT(LN(1+Supuestos!$E$8^2/Supuestos!$D$8^2))),Supuestos!$D$8))))))</f>
        <v/>
      </c>
      <c r="M182" s="32">
        <f>MIN(IF(Supuestos!$H$9="",1E+99,Supuestos!$H$9),MAX(IF(Supuestos!$G$9="",-1E+99,Supuestos!$G$9),IF(Supuestos!$C$9="Normal",NORMINV(F182,Supuestos!$D$9,Supuestos!$E$9),IF(Supuestos!$C$9="Triangular",IF(F182&lt;(Supuestos!$E$9-Supuestos!$D$9)/(Supuestos!$F$9-Supuestos!$D$9),Supuestos!$D$9+SQRT(F182*(Supuestos!$F$9-Supuestos!$D$9)*(Supuestos!$E$9-Supuestos!$D$9)),Supuestos!$F$9-SQRT((1-F182)*(Supuestos!$F$9-Supuestos!$D$9)*(Supuestos!$F$9-Supuestos!$E$9))),IF(Supuestos!$C$9="Uniforme",Supuestos!$D$9+F182*(Supuestos!$E$9-Supuestos!$D$9),IF(Supuestos!$C$9="Lognormal",LOGINV(F182,LN(Supuestos!$D$9)-LN(1+Supuestos!$E$9^2/Supuestos!$D$9^2)/2,SQRT(LN(1+Supuestos!$E$9^2/Supuestos!$D$9^2))),Supuestos!$D$9))))))</f>
        <v/>
      </c>
      <c r="N182" s="32">
        <f>MIN(IF(Supuestos!$H$10="",1E+99,Supuestos!$H$10),MAX(IF(Supuestos!$G$10="",-1E+99,Supuestos!$G$10),IF(Supuestos!$C$10="Normal",NORMINV(G182,Supuestos!$D$10,Supuestos!$E$10),IF(Supuestos!$C$10="Triangular",IF(G182&lt;(Supuestos!$E$10-Supuestos!$D$10)/(Supuestos!$F$10-Supuestos!$D$10),Supuestos!$D$10+SQRT(G182*(Supuestos!$F$10-Supuestos!$D$10)*(Supuestos!$E$10-Supuestos!$D$10)),Supuestos!$F$10-SQRT((1-G182)*(Supuestos!$F$10-Supuestos!$D$10)*(Supuestos!$F$10-Supuestos!$E$10))),IF(Supuestos!$C$10="Uniforme",Supuestos!$D$10+G182*(Supuestos!$E$10-Supuestos!$D$10),IF(Supuestos!$C$10="Lognormal",LOGINV(G182,LN(Supuestos!$D$10)-LN(1+Supuestos!$E$10^2/Supuestos!$D$10^2)/2,SQRT(LN(1+Supuestos!$E$10^2/Supuestos!$D$10^2))),Supuestos!$D$10))))))</f>
        <v/>
      </c>
      <c r="O182" s="31">
        <f>MIN(IF(Supuestos!$H$11="",1E+99,Supuestos!$H$11),MAX(IF(Supuestos!$G$11="",-1E+99,Supuestos!$G$11),IF(Supuestos!$C$11="Normal",NORMINV(H182,Supuestos!$D$11,Supuestos!$E$11),IF(Supuestos!$C$11="Triangular",IF(H182&lt;(Supuestos!$E$11-Supuestos!$D$11)/(Supuestos!$F$11-Supuestos!$D$11),Supuestos!$D$11+SQRT(H182*(Supuestos!$F$11-Supuestos!$D$11)*(Supuestos!$E$11-Supuestos!$D$11)),Supuestos!$F$11-SQRT((1-H182)*(Supuestos!$F$11-Supuestos!$D$11)*(Supuestos!$F$11-Supuestos!$E$11))),IF(Supuestos!$C$11="Uniforme",Supuestos!$D$11+H182*(Supuestos!$E$11-Supuestos!$D$11),IF(Supuestos!$C$11="Lognormal",LOGINV(H182,LN(Supuestos!$D$11)-LN(1+Supuestos!$E$11^2/Supuestos!$D$11^2)/2,SQRT(LN(1+Supuestos!$E$11^2/Supuestos!$D$11^2))),Supuestos!$D$11))))))</f>
        <v/>
      </c>
      <c r="P182" s="33">
        <f>-I182</f>
        <v/>
      </c>
      <c r="Q182" s="33">
        <f>$J182*(1+$K182)^(1-1)*(1-$L182)*(1-$M182)</f>
        <v/>
      </c>
      <c r="R182" s="33">
        <f>$J182*(1+$K182)^(2-1)*(1-$L182)*(1-$M182)</f>
        <v/>
      </c>
      <c r="S182" s="33">
        <f>$J182*(1+$K182)^(3-1)*(1-$L182)*(1-$M182)</f>
        <v/>
      </c>
      <c r="T182" s="33">
        <f>$J182*(1+$K182)^(4-1)*(1-$L182)*(1-$M182)</f>
        <v/>
      </c>
      <c r="U182" s="33">
        <f>$J182*(1+$K182)^(5-1)*(1-$L182)*(1-$M182)+$O182</f>
        <v/>
      </c>
      <c r="V182" s="33">
        <f>P182+NPV($N182,Q182:U182)</f>
        <v/>
      </c>
      <c r="W182" s="32">
        <f>IFERROR(IRR(P182:U182,0.1),"")</f>
        <v/>
      </c>
    </row>
    <row r="183">
      <c r="A183" s="14" t="n">
        <v>179</v>
      </c>
      <c r="B183" s="30">
        <f>RAND()*(1-2E-6)+1E-6</f>
        <v/>
      </c>
      <c r="C183" s="30">
        <f>RAND()*(1-2E-6)+1E-6</f>
        <v/>
      </c>
      <c r="D183" s="30">
        <f>RAND()*(1-2E-6)+1E-6</f>
        <v/>
      </c>
      <c r="E183" s="30">
        <f>RAND()*(1-2E-6)+1E-6</f>
        <v/>
      </c>
      <c r="F183" s="30">
        <f>RAND()*(1-2E-6)+1E-6</f>
        <v/>
      </c>
      <c r="G183" s="30">
        <f>RAND()*(1-2E-6)+1E-6</f>
        <v/>
      </c>
      <c r="H183" s="30">
        <f>RAND()*(1-2E-6)+1E-6</f>
        <v/>
      </c>
      <c r="I183" s="31">
        <f>MIN(IF(Supuestos!$H$5="",1E+99,Supuestos!$H$5),MAX(IF(Supuestos!$G$5="",-1E+99,Supuestos!$G$5),IF(Supuestos!$C$5="Normal",NORMINV(B183,Supuestos!$D$5,Supuestos!$E$5),IF(Supuestos!$C$5="Triangular",IF(B183&lt;(Supuestos!$E$5-Supuestos!$D$5)/(Supuestos!$F$5-Supuestos!$D$5),Supuestos!$D$5+SQRT(B183*(Supuestos!$F$5-Supuestos!$D$5)*(Supuestos!$E$5-Supuestos!$D$5)),Supuestos!$F$5-SQRT((1-B183)*(Supuestos!$F$5-Supuestos!$D$5)*(Supuestos!$F$5-Supuestos!$E$5))),IF(Supuestos!$C$5="Uniforme",Supuestos!$D$5+B183*(Supuestos!$E$5-Supuestos!$D$5),IF(Supuestos!$C$5="Lognormal",LOGINV(B183,LN(Supuestos!$D$5)-LN(1+Supuestos!$E$5^2/Supuestos!$D$5^2)/2,SQRT(LN(1+Supuestos!$E$5^2/Supuestos!$D$5^2))),Supuestos!$D$5))))))</f>
        <v/>
      </c>
      <c r="J183" s="31">
        <f>MIN(IF(Supuestos!$H$6="",1E+99,Supuestos!$H$6),MAX(IF(Supuestos!$G$6="",-1E+99,Supuestos!$G$6),IF(Supuestos!$C$6="Normal",NORMINV(C183,Supuestos!$D$6,Supuestos!$E$6),IF(Supuestos!$C$6="Triangular",IF(C183&lt;(Supuestos!$E$6-Supuestos!$D$6)/(Supuestos!$F$6-Supuestos!$D$6),Supuestos!$D$6+SQRT(C183*(Supuestos!$F$6-Supuestos!$D$6)*(Supuestos!$E$6-Supuestos!$D$6)),Supuestos!$F$6-SQRT((1-C183)*(Supuestos!$F$6-Supuestos!$D$6)*(Supuestos!$F$6-Supuestos!$E$6))),IF(Supuestos!$C$6="Uniforme",Supuestos!$D$6+C183*(Supuestos!$E$6-Supuestos!$D$6),IF(Supuestos!$C$6="Lognormal",LOGINV(C183,LN(Supuestos!$D$6)-LN(1+Supuestos!$E$6^2/Supuestos!$D$6^2)/2,SQRT(LN(1+Supuestos!$E$6^2/Supuestos!$D$6^2))),Supuestos!$D$6))))))</f>
        <v/>
      </c>
      <c r="K183" s="32">
        <f>MIN(IF(Supuestos!$H$7="",1E+99,Supuestos!$H$7),MAX(IF(Supuestos!$G$7="",-1E+99,Supuestos!$G$7),IF(Supuestos!$C$7="Normal",NORMINV(D183,Supuestos!$D$7,Supuestos!$E$7),IF(Supuestos!$C$7="Triangular",IF(D183&lt;(Supuestos!$E$7-Supuestos!$D$7)/(Supuestos!$F$7-Supuestos!$D$7),Supuestos!$D$7+SQRT(D183*(Supuestos!$F$7-Supuestos!$D$7)*(Supuestos!$E$7-Supuestos!$D$7)),Supuestos!$F$7-SQRT((1-D183)*(Supuestos!$F$7-Supuestos!$D$7)*(Supuestos!$F$7-Supuestos!$E$7))),IF(Supuestos!$C$7="Uniforme",Supuestos!$D$7+D183*(Supuestos!$E$7-Supuestos!$D$7),IF(Supuestos!$C$7="Lognormal",LOGINV(D183,LN(Supuestos!$D$7)-LN(1+Supuestos!$E$7^2/Supuestos!$D$7^2)/2,SQRT(LN(1+Supuestos!$E$7^2/Supuestos!$D$7^2))),Supuestos!$D$7))))))</f>
        <v/>
      </c>
      <c r="L183" s="32">
        <f>MIN(IF(Supuestos!$H$8="",1E+99,Supuestos!$H$8),MAX(IF(Supuestos!$G$8="",-1E+99,Supuestos!$G$8),IF(Supuestos!$C$8="Normal",NORMINV(E183,Supuestos!$D$8,Supuestos!$E$8),IF(Supuestos!$C$8="Triangular",IF(E183&lt;(Supuestos!$E$8-Supuestos!$D$8)/(Supuestos!$F$8-Supuestos!$D$8),Supuestos!$D$8+SQRT(E183*(Supuestos!$F$8-Supuestos!$D$8)*(Supuestos!$E$8-Supuestos!$D$8)),Supuestos!$F$8-SQRT((1-E183)*(Supuestos!$F$8-Supuestos!$D$8)*(Supuestos!$F$8-Supuestos!$E$8))),IF(Supuestos!$C$8="Uniforme",Supuestos!$D$8+E183*(Supuestos!$E$8-Supuestos!$D$8),IF(Supuestos!$C$8="Lognormal",LOGINV(E183,LN(Supuestos!$D$8)-LN(1+Supuestos!$E$8^2/Supuestos!$D$8^2)/2,SQRT(LN(1+Supuestos!$E$8^2/Supuestos!$D$8^2))),Supuestos!$D$8))))))</f>
        <v/>
      </c>
      <c r="M183" s="32">
        <f>MIN(IF(Supuestos!$H$9="",1E+99,Supuestos!$H$9),MAX(IF(Supuestos!$G$9="",-1E+99,Supuestos!$G$9),IF(Supuestos!$C$9="Normal",NORMINV(F183,Supuestos!$D$9,Supuestos!$E$9),IF(Supuestos!$C$9="Triangular",IF(F183&lt;(Supuestos!$E$9-Supuestos!$D$9)/(Supuestos!$F$9-Supuestos!$D$9),Supuestos!$D$9+SQRT(F183*(Supuestos!$F$9-Supuestos!$D$9)*(Supuestos!$E$9-Supuestos!$D$9)),Supuestos!$F$9-SQRT((1-F183)*(Supuestos!$F$9-Supuestos!$D$9)*(Supuestos!$F$9-Supuestos!$E$9))),IF(Supuestos!$C$9="Uniforme",Supuestos!$D$9+F183*(Supuestos!$E$9-Supuestos!$D$9),IF(Supuestos!$C$9="Lognormal",LOGINV(F183,LN(Supuestos!$D$9)-LN(1+Supuestos!$E$9^2/Supuestos!$D$9^2)/2,SQRT(LN(1+Supuestos!$E$9^2/Supuestos!$D$9^2))),Supuestos!$D$9))))))</f>
        <v/>
      </c>
      <c r="N183" s="32">
        <f>MIN(IF(Supuestos!$H$10="",1E+99,Supuestos!$H$10),MAX(IF(Supuestos!$G$10="",-1E+99,Supuestos!$G$10),IF(Supuestos!$C$10="Normal",NORMINV(G183,Supuestos!$D$10,Supuestos!$E$10),IF(Supuestos!$C$10="Triangular",IF(G183&lt;(Supuestos!$E$10-Supuestos!$D$10)/(Supuestos!$F$10-Supuestos!$D$10),Supuestos!$D$10+SQRT(G183*(Supuestos!$F$10-Supuestos!$D$10)*(Supuestos!$E$10-Supuestos!$D$10)),Supuestos!$F$10-SQRT((1-G183)*(Supuestos!$F$10-Supuestos!$D$10)*(Supuestos!$F$10-Supuestos!$E$10))),IF(Supuestos!$C$10="Uniforme",Supuestos!$D$10+G183*(Supuestos!$E$10-Supuestos!$D$10),IF(Supuestos!$C$10="Lognormal",LOGINV(G183,LN(Supuestos!$D$10)-LN(1+Supuestos!$E$10^2/Supuestos!$D$10^2)/2,SQRT(LN(1+Supuestos!$E$10^2/Supuestos!$D$10^2))),Supuestos!$D$10))))))</f>
        <v/>
      </c>
      <c r="O183" s="31">
        <f>MIN(IF(Supuestos!$H$11="",1E+99,Supuestos!$H$11),MAX(IF(Supuestos!$G$11="",-1E+99,Supuestos!$G$11),IF(Supuestos!$C$11="Normal",NORMINV(H183,Supuestos!$D$11,Supuestos!$E$11),IF(Supuestos!$C$11="Triangular",IF(H183&lt;(Supuestos!$E$11-Supuestos!$D$11)/(Supuestos!$F$11-Supuestos!$D$11),Supuestos!$D$11+SQRT(H183*(Supuestos!$F$11-Supuestos!$D$11)*(Supuestos!$E$11-Supuestos!$D$11)),Supuestos!$F$11-SQRT((1-H183)*(Supuestos!$F$11-Supuestos!$D$11)*(Supuestos!$F$11-Supuestos!$E$11))),IF(Supuestos!$C$11="Uniforme",Supuestos!$D$11+H183*(Supuestos!$E$11-Supuestos!$D$11),IF(Supuestos!$C$11="Lognormal",LOGINV(H183,LN(Supuestos!$D$11)-LN(1+Supuestos!$E$11^2/Supuestos!$D$11^2)/2,SQRT(LN(1+Supuestos!$E$11^2/Supuestos!$D$11^2))),Supuestos!$D$11))))))</f>
        <v/>
      </c>
      <c r="P183" s="33">
        <f>-I183</f>
        <v/>
      </c>
      <c r="Q183" s="33">
        <f>$J183*(1+$K183)^(1-1)*(1-$L183)*(1-$M183)</f>
        <v/>
      </c>
      <c r="R183" s="33">
        <f>$J183*(1+$K183)^(2-1)*(1-$L183)*(1-$M183)</f>
        <v/>
      </c>
      <c r="S183" s="33">
        <f>$J183*(1+$K183)^(3-1)*(1-$L183)*(1-$M183)</f>
        <v/>
      </c>
      <c r="T183" s="33">
        <f>$J183*(1+$K183)^(4-1)*(1-$L183)*(1-$M183)</f>
        <v/>
      </c>
      <c r="U183" s="33">
        <f>$J183*(1+$K183)^(5-1)*(1-$L183)*(1-$M183)+$O183</f>
        <v/>
      </c>
      <c r="V183" s="33">
        <f>P183+NPV($N183,Q183:U183)</f>
        <v/>
      </c>
      <c r="W183" s="32">
        <f>IFERROR(IRR(P183:U183,0.1),"")</f>
        <v/>
      </c>
    </row>
    <row r="184">
      <c r="A184" s="14" t="n">
        <v>180</v>
      </c>
      <c r="B184" s="30">
        <f>RAND()*(1-2E-6)+1E-6</f>
        <v/>
      </c>
      <c r="C184" s="30">
        <f>RAND()*(1-2E-6)+1E-6</f>
        <v/>
      </c>
      <c r="D184" s="30">
        <f>RAND()*(1-2E-6)+1E-6</f>
        <v/>
      </c>
      <c r="E184" s="30">
        <f>RAND()*(1-2E-6)+1E-6</f>
        <v/>
      </c>
      <c r="F184" s="30">
        <f>RAND()*(1-2E-6)+1E-6</f>
        <v/>
      </c>
      <c r="G184" s="30">
        <f>RAND()*(1-2E-6)+1E-6</f>
        <v/>
      </c>
      <c r="H184" s="30">
        <f>RAND()*(1-2E-6)+1E-6</f>
        <v/>
      </c>
      <c r="I184" s="31">
        <f>MIN(IF(Supuestos!$H$5="",1E+99,Supuestos!$H$5),MAX(IF(Supuestos!$G$5="",-1E+99,Supuestos!$G$5),IF(Supuestos!$C$5="Normal",NORMINV(B184,Supuestos!$D$5,Supuestos!$E$5),IF(Supuestos!$C$5="Triangular",IF(B184&lt;(Supuestos!$E$5-Supuestos!$D$5)/(Supuestos!$F$5-Supuestos!$D$5),Supuestos!$D$5+SQRT(B184*(Supuestos!$F$5-Supuestos!$D$5)*(Supuestos!$E$5-Supuestos!$D$5)),Supuestos!$F$5-SQRT((1-B184)*(Supuestos!$F$5-Supuestos!$D$5)*(Supuestos!$F$5-Supuestos!$E$5))),IF(Supuestos!$C$5="Uniforme",Supuestos!$D$5+B184*(Supuestos!$E$5-Supuestos!$D$5),IF(Supuestos!$C$5="Lognormal",LOGINV(B184,LN(Supuestos!$D$5)-LN(1+Supuestos!$E$5^2/Supuestos!$D$5^2)/2,SQRT(LN(1+Supuestos!$E$5^2/Supuestos!$D$5^2))),Supuestos!$D$5))))))</f>
        <v/>
      </c>
      <c r="J184" s="31">
        <f>MIN(IF(Supuestos!$H$6="",1E+99,Supuestos!$H$6),MAX(IF(Supuestos!$G$6="",-1E+99,Supuestos!$G$6),IF(Supuestos!$C$6="Normal",NORMINV(C184,Supuestos!$D$6,Supuestos!$E$6),IF(Supuestos!$C$6="Triangular",IF(C184&lt;(Supuestos!$E$6-Supuestos!$D$6)/(Supuestos!$F$6-Supuestos!$D$6),Supuestos!$D$6+SQRT(C184*(Supuestos!$F$6-Supuestos!$D$6)*(Supuestos!$E$6-Supuestos!$D$6)),Supuestos!$F$6-SQRT((1-C184)*(Supuestos!$F$6-Supuestos!$D$6)*(Supuestos!$F$6-Supuestos!$E$6))),IF(Supuestos!$C$6="Uniforme",Supuestos!$D$6+C184*(Supuestos!$E$6-Supuestos!$D$6),IF(Supuestos!$C$6="Lognormal",LOGINV(C184,LN(Supuestos!$D$6)-LN(1+Supuestos!$E$6^2/Supuestos!$D$6^2)/2,SQRT(LN(1+Supuestos!$E$6^2/Supuestos!$D$6^2))),Supuestos!$D$6))))))</f>
        <v/>
      </c>
      <c r="K184" s="32">
        <f>MIN(IF(Supuestos!$H$7="",1E+99,Supuestos!$H$7),MAX(IF(Supuestos!$G$7="",-1E+99,Supuestos!$G$7),IF(Supuestos!$C$7="Normal",NORMINV(D184,Supuestos!$D$7,Supuestos!$E$7),IF(Supuestos!$C$7="Triangular",IF(D184&lt;(Supuestos!$E$7-Supuestos!$D$7)/(Supuestos!$F$7-Supuestos!$D$7),Supuestos!$D$7+SQRT(D184*(Supuestos!$F$7-Supuestos!$D$7)*(Supuestos!$E$7-Supuestos!$D$7)),Supuestos!$F$7-SQRT((1-D184)*(Supuestos!$F$7-Supuestos!$D$7)*(Supuestos!$F$7-Supuestos!$E$7))),IF(Supuestos!$C$7="Uniforme",Supuestos!$D$7+D184*(Supuestos!$E$7-Supuestos!$D$7),IF(Supuestos!$C$7="Lognormal",LOGINV(D184,LN(Supuestos!$D$7)-LN(1+Supuestos!$E$7^2/Supuestos!$D$7^2)/2,SQRT(LN(1+Supuestos!$E$7^2/Supuestos!$D$7^2))),Supuestos!$D$7))))))</f>
        <v/>
      </c>
      <c r="L184" s="32">
        <f>MIN(IF(Supuestos!$H$8="",1E+99,Supuestos!$H$8),MAX(IF(Supuestos!$G$8="",-1E+99,Supuestos!$G$8),IF(Supuestos!$C$8="Normal",NORMINV(E184,Supuestos!$D$8,Supuestos!$E$8),IF(Supuestos!$C$8="Triangular",IF(E184&lt;(Supuestos!$E$8-Supuestos!$D$8)/(Supuestos!$F$8-Supuestos!$D$8),Supuestos!$D$8+SQRT(E184*(Supuestos!$F$8-Supuestos!$D$8)*(Supuestos!$E$8-Supuestos!$D$8)),Supuestos!$F$8-SQRT((1-E184)*(Supuestos!$F$8-Supuestos!$D$8)*(Supuestos!$F$8-Supuestos!$E$8))),IF(Supuestos!$C$8="Uniforme",Supuestos!$D$8+E184*(Supuestos!$E$8-Supuestos!$D$8),IF(Supuestos!$C$8="Lognormal",LOGINV(E184,LN(Supuestos!$D$8)-LN(1+Supuestos!$E$8^2/Supuestos!$D$8^2)/2,SQRT(LN(1+Supuestos!$E$8^2/Supuestos!$D$8^2))),Supuestos!$D$8))))))</f>
        <v/>
      </c>
      <c r="M184" s="32">
        <f>MIN(IF(Supuestos!$H$9="",1E+99,Supuestos!$H$9),MAX(IF(Supuestos!$G$9="",-1E+99,Supuestos!$G$9),IF(Supuestos!$C$9="Normal",NORMINV(F184,Supuestos!$D$9,Supuestos!$E$9),IF(Supuestos!$C$9="Triangular",IF(F184&lt;(Supuestos!$E$9-Supuestos!$D$9)/(Supuestos!$F$9-Supuestos!$D$9),Supuestos!$D$9+SQRT(F184*(Supuestos!$F$9-Supuestos!$D$9)*(Supuestos!$E$9-Supuestos!$D$9)),Supuestos!$F$9-SQRT((1-F184)*(Supuestos!$F$9-Supuestos!$D$9)*(Supuestos!$F$9-Supuestos!$E$9))),IF(Supuestos!$C$9="Uniforme",Supuestos!$D$9+F184*(Supuestos!$E$9-Supuestos!$D$9),IF(Supuestos!$C$9="Lognormal",LOGINV(F184,LN(Supuestos!$D$9)-LN(1+Supuestos!$E$9^2/Supuestos!$D$9^2)/2,SQRT(LN(1+Supuestos!$E$9^2/Supuestos!$D$9^2))),Supuestos!$D$9))))))</f>
        <v/>
      </c>
      <c r="N184" s="32">
        <f>MIN(IF(Supuestos!$H$10="",1E+99,Supuestos!$H$10),MAX(IF(Supuestos!$G$10="",-1E+99,Supuestos!$G$10),IF(Supuestos!$C$10="Normal",NORMINV(G184,Supuestos!$D$10,Supuestos!$E$10),IF(Supuestos!$C$10="Triangular",IF(G184&lt;(Supuestos!$E$10-Supuestos!$D$10)/(Supuestos!$F$10-Supuestos!$D$10),Supuestos!$D$10+SQRT(G184*(Supuestos!$F$10-Supuestos!$D$10)*(Supuestos!$E$10-Supuestos!$D$10)),Supuestos!$F$10-SQRT((1-G184)*(Supuestos!$F$10-Supuestos!$D$10)*(Supuestos!$F$10-Supuestos!$E$10))),IF(Supuestos!$C$10="Uniforme",Supuestos!$D$10+G184*(Supuestos!$E$10-Supuestos!$D$10),IF(Supuestos!$C$10="Lognormal",LOGINV(G184,LN(Supuestos!$D$10)-LN(1+Supuestos!$E$10^2/Supuestos!$D$10^2)/2,SQRT(LN(1+Supuestos!$E$10^2/Supuestos!$D$10^2))),Supuestos!$D$10))))))</f>
        <v/>
      </c>
      <c r="O184" s="31">
        <f>MIN(IF(Supuestos!$H$11="",1E+99,Supuestos!$H$11),MAX(IF(Supuestos!$G$11="",-1E+99,Supuestos!$G$11),IF(Supuestos!$C$11="Normal",NORMINV(H184,Supuestos!$D$11,Supuestos!$E$11),IF(Supuestos!$C$11="Triangular",IF(H184&lt;(Supuestos!$E$11-Supuestos!$D$11)/(Supuestos!$F$11-Supuestos!$D$11),Supuestos!$D$11+SQRT(H184*(Supuestos!$F$11-Supuestos!$D$11)*(Supuestos!$E$11-Supuestos!$D$11)),Supuestos!$F$11-SQRT((1-H184)*(Supuestos!$F$11-Supuestos!$D$11)*(Supuestos!$F$11-Supuestos!$E$11))),IF(Supuestos!$C$11="Uniforme",Supuestos!$D$11+H184*(Supuestos!$E$11-Supuestos!$D$11),IF(Supuestos!$C$11="Lognormal",LOGINV(H184,LN(Supuestos!$D$11)-LN(1+Supuestos!$E$11^2/Supuestos!$D$11^2)/2,SQRT(LN(1+Supuestos!$E$11^2/Supuestos!$D$11^2))),Supuestos!$D$11))))))</f>
        <v/>
      </c>
      <c r="P184" s="33">
        <f>-I184</f>
        <v/>
      </c>
      <c r="Q184" s="33">
        <f>$J184*(1+$K184)^(1-1)*(1-$L184)*(1-$M184)</f>
        <v/>
      </c>
      <c r="R184" s="33">
        <f>$J184*(1+$K184)^(2-1)*(1-$L184)*(1-$M184)</f>
        <v/>
      </c>
      <c r="S184" s="33">
        <f>$J184*(1+$K184)^(3-1)*(1-$L184)*(1-$M184)</f>
        <v/>
      </c>
      <c r="T184" s="33">
        <f>$J184*(1+$K184)^(4-1)*(1-$L184)*(1-$M184)</f>
        <v/>
      </c>
      <c r="U184" s="33">
        <f>$J184*(1+$K184)^(5-1)*(1-$L184)*(1-$M184)+$O184</f>
        <v/>
      </c>
      <c r="V184" s="33">
        <f>P184+NPV($N184,Q184:U184)</f>
        <v/>
      </c>
      <c r="W184" s="32">
        <f>IFERROR(IRR(P184:U184,0.1),"")</f>
        <v/>
      </c>
    </row>
    <row r="185">
      <c r="A185" s="14" t="n">
        <v>181</v>
      </c>
      <c r="B185" s="30">
        <f>RAND()*(1-2E-6)+1E-6</f>
        <v/>
      </c>
      <c r="C185" s="30">
        <f>RAND()*(1-2E-6)+1E-6</f>
        <v/>
      </c>
      <c r="D185" s="30">
        <f>RAND()*(1-2E-6)+1E-6</f>
        <v/>
      </c>
      <c r="E185" s="30">
        <f>RAND()*(1-2E-6)+1E-6</f>
        <v/>
      </c>
      <c r="F185" s="30">
        <f>RAND()*(1-2E-6)+1E-6</f>
        <v/>
      </c>
      <c r="G185" s="30">
        <f>RAND()*(1-2E-6)+1E-6</f>
        <v/>
      </c>
      <c r="H185" s="30">
        <f>RAND()*(1-2E-6)+1E-6</f>
        <v/>
      </c>
      <c r="I185" s="31">
        <f>MIN(IF(Supuestos!$H$5="",1E+99,Supuestos!$H$5),MAX(IF(Supuestos!$G$5="",-1E+99,Supuestos!$G$5),IF(Supuestos!$C$5="Normal",NORMINV(B185,Supuestos!$D$5,Supuestos!$E$5),IF(Supuestos!$C$5="Triangular",IF(B185&lt;(Supuestos!$E$5-Supuestos!$D$5)/(Supuestos!$F$5-Supuestos!$D$5),Supuestos!$D$5+SQRT(B185*(Supuestos!$F$5-Supuestos!$D$5)*(Supuestos!$E$5-Supuestos!$D$5)),Supuestos!$F$5-SQRT((1-B185)*(Supuestos!$F$5-Supuestos!$D$5)*(Supuestos!$F$5-Supuestos!$E$5))),IF(Supuestos!$C$5="Uniforme",Supuestos!$D$5+B185*(Supuestos!$E$5-Supuestos!$D$5),IF(Supuestos!$C$5="Lognormal",LOGINV(B185,LN(Supuestos!$D$5)-LN(1+Supuestos!$E$5^2/Supuestos!$D$5^2)/2,SQRT(LN(1+Supuestos!$E$5^2/Supuestos!$D$5^2))),Supuestos!$D$5))))))</f>
        <v/>
      </c>
      <c r="J185" s="31">
        <f>MIN(IF(Supuestos!$H$6="",1E+99,Supuestos!$H$6),MAX(IF(Supuestos!$G$6="",-1E+99,Supuestos!$G$6),IF(Supuestos!$C$6="Normal",NORMINV(C185,Supuestos!$D$6,Supuestos!$E$6),IF(Supuestos!$C$6="Triangular",IF(C185&lt;(Supuestos!$E$6-Supuestos!$D$6)/(Supuestos!$F$6-Supuestos!$D$6),Supuestos!$D$6+SQRT(C185*(Supuestos!$F$6-Supuestos!$D$6)*(Supuestos!$E$6-Supuestos!$D$6)),Supuestos!$F$6-SQRT((1-C185)*(Supuestos!$F$6-Supuestos!$D$6)*(Supuestos!$F$6-Supuestos!$E$6))),IF(Supuestos!$C$6="Uniforme",Supuestos!$D$6+C185*(Supuestos!$E$6-Supuestos!$D$6),IF(Supuestos!$C$6="Lognormal",LOGINV(C185,LN(Supuestos!$D$6)-LN(1+Supuestos!$E$6^2/Supuestos!$D$6^2)/2,SQRT(LN(1+Supuestos!$E$6^2/Supuestos!$D$6^2))),Supuestos!$D$6))))))</f>
        <v/>
      </c>
      <c r="K185" s="32">
        <f>MIN(IF(Supuestos!$H$7="",1E+99,Supuestos!$H$7),MAX(IF(Supuestos!$G$7="",-1E+99,Supuestos!$G$7),IF(Supuestos!$C$7="Normal",NORMINV(D185,Supuestos!$D$7,Supuestos!$E$7),IF(Supuestos!$C$7="Triangular",IF(D185&lt;(Supuestos!$E$7-Supuestos!$D$7)/(Supuestos!$F$7-Supuestos!$D$7),Supuestos!$D$7+SQRT(D185*(Supuestos!$F$7-Supuestos!$D$7)*(Supuestos!$E$7-Supuestos!$D$7)),Supuestos!$F$7-SQRT((1-D185)*(Supuestos!$F$7-Supuestos!$D$7)*(Supuestos!$F$7-Supuestos!$E$7))),IF(Supuestos!$C$7="Uniforme",Supuestos!$D$7+D185*(Supuestos!$E$7-Supuestos!$D$7),IF(Supuestos!$C$7="Lognormal",LOGINV(D185,LN(Supuestos!$D$7)-LN(1+Supuestos!$E$7^2/Supuestos!$D$7^2)/2,SQRT(LN(1+Supuestos!$E$7^2/Supuestos!$D$7^2))),Supuestos!$D$7))))))</f>
        <v/>
      </c>
      <c r="L185" s="32">
        <f>MIN(IF(Supuestos!$H$8="",1E+99,Supuestos!$H$8),MAX(IF(Supuestos!$G$8="",-1E+99,Supuestos!$G$8),IF(Supuestos!$C$8="Normal",NORMINV(E185,Supuestos!$D$8,Supuestos!$E$8),IF(Supuestos!$C$8="Triangular",IF(E185&lt;(Supuestos!$E$8-Supuestos!$D$8)/(Supuestos!$F$8-Supuestos!$D$8),Supuestos!$D$8+SQRT(E185*(Supuestos!$F$8-Supuestos!$D$8)*(Supuestos!$E$8-Supuestos!$D$8)),Supuestos!$F$8-SQRT((1-E185)*(Supuestos!$F$8-Supuestos!$D$8)*(Supuestos!$F$8-Supuestos!$E$8))),IF(Supuestos!$C$8="Uniforme",Supuestos!$D$8+E185*(Supuestos!$E$8-Supuestos!$D$8),IF(Supuestos!$C$8="Lognormal",LOGINV(E185,LN(Supuestos!$D$8)-LN(1+Supuestos!$E$8^2/Supuestos!$D$8^2)/2,SQRT(LN(1+Supuestos!$E$8^2/Supuestos!$D$8^2))),Supuestos!$D$8))))))</f>
        <v/>
      </c>
      <c r="M185" s="32">
        <f>MIN(IF(Supuestos!$H$9="",1E+99,Supuestos!$H$9),MAX(IF(Supuestos!$G$9="",-1E+99,Supuestos!$G$9),IF(Supuestos!$C$9="Normal",NORMINV(F185,Supuestos!$D$9,Supuestos!$E$9),IF(Supuestos!$C$9="Triangular",IF(F185&lt;(Supuestos!$E$9-Supuestos!$D$9)/(Supuestos!$F$9-Supuestos!$D$9),Supuestos!$D$9+SQRT(F185*(Supuestos!$F$9-Supuestos!$D$9)*(Supuestos!$E$9-Supuestos!$D$9)),Supuestos!$F$9-SQRT((1-F185)*(Supuestos!$F$9-Supuestos!$D$9)*(Supuestos!$F$9-Supuestos!$E$9))),IF(Supuestos!$C$9="Uniforme",Supuestos!$D$9+F185*(Supuestos!$E$9-Supuestos!$D$9),IF(Supuestos!$C$9="Lognormal",LOGINV(F185,LN(Supuestos!$D$9)-LN(1+Supuestos!$E$9^2/Supuestos!$D$9^2)/2,SQRT(LN(1+Supuestos!$E$9^2/Supuestos!$D$9^2))),Supuestos!$D$9))))))</f>
        <v/>
      </c>
      <c r="N185" s="32">
        <f>MIN(IF(Supuestos!$H$10="",1E+99,Supuestos!$H$10),MAX(IF(Supuestos!$G$10="",-1E+99,Supuestos!$G$10),IF(Supuestos!$C$10="Normal",NORMINV(G185,Supuestos!$D$10,Supuestos!$E$10),IF(Supuestos!$C$10="Triangular",IF(G185&lt;(Supuestos!$E$10-Supuestos!$D$10)/(Supuestos!$F$10-Supuestos!$D$10),Supuestos!$D$10+SQRT(G185*(Supuestos!$F$10-Supuestos!$D$10)*(Supuestos!$E$10-Supuestos!$D$10)),Supuestos!$F$10-SQRT((1-G185)*(Supuestos!$F$10-Supuestos!$D$10)*(Supuestos!$F$10-Supuestos!$E$10))),IF(Supuestos!$C$10="Uniforme",Supuestos!$D$10+G185*(Supuestos!$E$10-Supuestos!$D$10),IF(Supuestos!$C$10="Lognormal",LOGINV(G185,LN(Supuestos!$D$10)-LN(1+Supuestos!$E$10^2/Supuestos!$D$10^2)/2,SQRT(LN(1+Supuestos!$E$10^2/Supuestos!$D$10^2))),Supuestos!$D$10))))))</f>
        <v/>
      </c>
      <c r="O185" s="31">
        <f>MIN(IF(Supuestos!$H$11="",1E+99,Supuestos!$H$11),MAX(IF(Supuestos!$G$11="",-1E+99,Supuestos!$G$11),IF(Supuestos!$C$11="Normal",NORMINV(H185,Supuestos!$D$11,Supuestos!$E$11),IF(Supuestos!$C$11="Triangular",IF(H185&lt;(Supuestos!$E$11-Supuestos!$D$11)/(Supuestos!$F$11-Supuestos!$D$11),Supuestos!$D$11+SQRT(H185*(Supuestos!$F$11-Supuestos!$D$11)*(Supuestos!$E$11-Supuestos!$D$11)),Supuestos!$F$11-SQRT((1-H185)*(Supuestos!$F$11-Supuestos!$D$11)*(Supuestos!$F$11-Supuestos!$E$11))),IF(Supuestos!$C$11="Uniforme",Supuestos!$D$11+H185*(Supuestos!$E$11-Supuestos!$D$11),IF(Supuestos!$C$11="Lognormal",LOGINV(H185,LN(Supuestos!$D$11)-LN(1+Supuestos!$E$11^2/Supuestos!$D$11^2)/2,SQRT(LN(1+Supuestos!$E$11^2/Supuestos!$D$11^2))),Supuestos!$D$11))))))</f>
        <v/>
      </c>
      <c r="P185" s="33">
        <f>-I185</f>
        <v/>
      </c>
      <c r="Q185" s="33">
        <f>$J185*(1+$K185)^(1-1)*(1-$L185)*(1-$M185)</f>
        <v/>
      </c>
      <c r="R185" s="33">
        <f>$J185*(1+$K185)^(2-1)*(1-$L185)*(1-$M185)</f>
        <v/>
      </c>
      <c r="S185" s="33">
        <f>$J185*(1+$K185)^(3-1)*(1-$L185)*(1-$M185)</f>
        <v/>
      </c>
      <c r="T185" s="33">
        <f>$J185*(1+$K185)^(4-1)*(1-$L185)*(1-$M185)</f>
        <v/>
      </c>
      <c r="U185" s="33">
        <f>$J185*(1+$K185)^(5-1)*(1-$L185)*(1-$M185)+$O185</f>
        <v/>
      </c>
      <c r="V185" s="33">
        <f>P185+NPV($N185,Q185:U185)</f>
        <v/>
      </c>
      <c r="W185" s="32">
        <f>IFERROR(IRR(P185:U185,0.1),"")</f>
        <v/>
      </c>
    </row>
    <row r="186">
      <c r="A186" s="14" t="n">
        <v>182</v>
      </c>
      <c r="B186" s="30">
        <f>RAND()*(1-2E-6)+1E-6</f>
        <v/>
      </c>
      <c r="C186" s="30">
        <f>RAND()*(1-2E-6)+1E-6</f>
        <v/>
      </c>
      <c r="D186" s="30">
        <f>RAND()*(1-2E-6)+1E-6</f>
        <v/>
      </c>
      <c r="E186" s="30">
        <f>RAND()*(1-2E-6)+1E-6</f>
        <v/>
      </c>
      <c r="F186" s="30">
        <f>RAND()*(1-2E-6)+1E-6</f>
        <v/>
      </c>
      <c r="G186" s="30">
        <f>RAND()*(1-2E-6)+1E-6</f>
        <v/>
      </c>
      <c r="H186" s="30">
        <f>RAND()*(1-2E-6)+1E-6</f>
        <v/>
      </c>
      <c r="I186" s="31">
        <f>MIN(IF(Supuestos!$H$5="",1E+99,Supuestos!$H$5),MAX(IF(Supuestos!$G$5="",-1E+99,Supuestos!$G$5),IF(Supuestos!$C$5="Normal",NORMINV(B186,Supuestos!$D$5,Supuestos!$E$5),IF(Supuestos!$C$5="Triangular",IF(B186&lt;(Supuestos!$E$5-Supuestos!$D$5)/(Supuestos!$F$5-Supuestos!$D$5),Supuestos!$D$5+SQRT(B186*(Supuestos!$F$5-Supuestos!$D$5)*(Supuestos!$E$5-Supuestos!$D$5)),Supuestos!$F$5-SQRT((1-B186)*(Supuestos!$F$5-Supuestos!$D$5)*(Supuestos!$F$5-Supuestos!$E$5))),IF(Supuestos!$C$5="Uniforme",Supuestos!$D$5+B186*(Supuestos!$E$5-Supuestos!$D$5),IF(Supuestos!$C$5="Lognormal",LOGINV(B186,LN(Supuestos!$D$5)-LN(1+Supuestos!$E$5^2/Supuestos!$D$5^2)/2,SQRT(LN(1+Supuestos!$E$5^2/Supuestos!$D$5^2))),Supuestos!$D$5))))))</f>
        <v/>
      </c>
      <c r="J186" s="31">
        <f>MIN(IF(Supuestos!$H$6="",1E+99,Supuestos!$H$6),MAX(IF(Supuestos!$G$6="",-1E+99,Supuestos!$G$6),IF(Supuestos!$C$6="Normal",NORMINV(C186,Supuestos!$D$6,Supuestos!$E$6),IF(Supuestos!$C$6="Triangular",IF(C186&lt;(Supuestos!$E$6-Supuestos!$D$6)/(Supuestos!$F$6-Supuestos!$D$6),Supuestos!$D$6+SQRT(C186*(Supuestos!$F$6-Supuestos!$D$6)*(Supuestos!$E$6-Supuestos!$D$6)),Supuestos!$F$6-SQRT((1-C186)*(Supuestos!$F$6-Supuestos!$D$6)*(Supuestos!$F$6-Supuestos!$E$6))),IF(Supuestos!$C$6="Uniforme",Supuestos!$D$6+C186*(Supuestos!$E$6-Supuestos!$D$6),IF(Supuestos!$C$6="Lognormal",LOGINV(C186,LN(Supuestos!$D$6)-LN(1+Supuestos!$E$6^2/Supuestos!$D$6^2)/2,SQRT(LN(1+Supuestos!$E$6^2/Supuestos!$D$6^2))),Supuestos!$D$6))))))</f>
        <v/>
      </c>
      <c r="K186" s="32">
        <f>MIN(IF(Supuestos!$H$7="",1E+99,Supuestos!$H$7),MAX(IF(Supuestos!$G$7="",-1E+99,Supuestos!$G$7),IF(Supuestos!$C$7="Normal",NORMINV(D186,Supuestos!$D$7,Supuestos!$E$7),IF(Supuestos!$C$7="Triangular",IF(D186&lt;(Supuestos!$E$7-Supuestos!$D$7)/(Supuestos!$F$7-Supuestos!$D$7),Supuestos!$D$7+SQRT(D186*(Supuestos!$F$7-Supuestos!$D$7)*(Supuestos!$E$7-Supuestos!$D$7)),Supuestos!$F$7-SQRT((1-D186)*(Supuestos!$F$7-Supuestos!$D$7)*(Supuestos!$F$7-Supuestos!$E$7))),IF(Supuestos!$C$7="Uniforme",Supuestos!$D$7+D186*(Supuestos!$E$7-Supuestos!$D$7),IF(Supuestos!$C$7="Lognormal",LOGINV(D186,LN(Supuestos!$D$7)-LN(1+Supuestos!$E$7^2/Supuestos!$D$7^2)/2,SQRT(LN(1+Supuestos!$E$7^2/Supuestos!$D$7^2))),Supuestos!$D$7))))))</f>
        <v/>
      </c>
      <c r="L186" s="32">
        <f>MIN(IF(Supuestos!$H$8="",1E+99,Supuestos!$H$8),MAX(IF(Supuestos!$G$8="",-1E+99,Supuestos!$G$8),IF(Supuestos!$C$8="Normal",NORMINV(E186,Supuestos!$D$8,Supuestos!$E$8),IF(Supuestos!$C$8="Triangular",IF(E186&lt;(Supuestos!$E$8-Supuestos!$D$8)/(Supuestos!$F$8-Supuestos!$D$8),Supuestos!$D$8+SQRT(E186*(Supuestos!$F$8-Supuestos!$D$8)*(Supuestos!$E$8-Supuestos!$D$8)),Supuestos!$F$8-SQRT((1-E186)*(Supuestos!$F$8-Supuestos!$D$8)*(Supuestos!$F$8-Supuestos!$E$8))),IF(Supuestos!$C$8="Uniforme",Supuestos!$D$8+E186*(Supuestos!$E$8-Supuestos!$D$8),IF(Supuestos!$C$8="Lognormal",LOGINV(E186,LN(Supuestos!$D$8)-LN(1+Supuestos!$E$8^2/Supuestos!$D$8^2)/2,SQRT(LN(1+Supuestos!$E$8^2/Supuestos!$D$8^2))),Supuestos!$D$8))))))</f>
        <v/>
      </c>
      <c r="M186" s="32">
        <f>MIN(IF(Supuestos!$H$9="",1E+99,Supuestos!$H$9),MAX(IF(Supuestos!$G$9="",-1E+99,Supuestos!$G$9),IF(Supuestos!$C$9="Normal",NORMINV(F186,Supuestos!$D$9,Supuestos!$E$9),IF(Supuestos!$C$9="Triangular",IF(F186&lt;(Supuestos!$E$9-Supuestos!$D$9)/(Supuestos!$F$9-Supuestos!$D$9),Supuestos!$D$9+SQRT(F186*(Supuestos!$F$9-Supuestos!$D$9)*(Supuestos!$E$9-Supuestos!$D$9)),Supuestos!$F$9-SQRT((1-F186)*(Supuestos!$F$9-Supuestos!$D$9)*(Supuestos!$F$9-Supuestos!$E$9))),IF(Supuestos!$C$9="Uniforme",Supuestos!$D$9+F186*(Supuestos!$E$9-Supuestos!$D$9),IF(Supuestos!$C$9="Lognormal",LOGINV(F186,LN(Supuestos!$D$9)-LN(1+Supuestos!$E$9^2/Supuestos!$D$9^2)/2,SQRT(LN(1+Supuestos!$E$9^2/Supuestos!$D$9^2))),Supuestos!$D$9))))))</f>
        <v/>
      </c>
      <c r="N186" s="32">
        <f>MIN(IF(Supuestos!$H$10="",1E+99,Supuestos!$H$10),MAX(IF(Supuestos!$G$10="",-1E+99,Supuestos!$G$10),IF(Supuestos!$C$10="Normal",NORMINV(G186,Supuestos!$D$10,Supuestos!$E$10),IF(Supuestos!$C$10="Triangular",IF(G186&lt;(Supuestos!$E$10-Supuestos!$D$10)/(Supuestos!$F$10-Supuestos!$D$10),Supuestos!$D$10+SQRT(G186*(Supuestos!$F$10-Supuestos!$D$10)*(Supuestos!$E$10-Supuestos!$D$10)),Supuestos!$F$10-SQRT((1-G186)*(Supuestos!$F$10-Supuestos!$D$10)*(Supuestos!$F$10-Supuestos!$E$10))),IF(Supuestos!$C$10="Uniforme",Supuestos!$D$10+G186*(Supuestos!$E$10-Supuestos!$D$10),IF(Supuestos!$C$10="Lognormal",LOGINV(G186,LN(Supuestos!$D$10)-LN(1+Supuestos!$E$10^2/Supuestos!$D$10^2)/2,SQRT(LN(1+Supuestos!$E$10^2/Supuestos!$D$10^2))),Supuestos!$D$10))))))</f>
        <v/>
      </c>
      <c r="O186" s="31">
        <f>MIN(IF(Supuestos!$H$11="",1E+99,Supuestos!$H$11),MAX(IF(Supuestos!$G$11="",-1E+99,Supuestos!$G$11),IF(Supuestos!$C$11="Normal",NORMINV(H186,Supuestos!$D$11,Supuestos!$E$11),IF(Supuestos!$C$11="Triangular",IF(H186&lt;(Supuestos!$E$11-Supuestos!$D$11)/(Supuestos!$F$11-Supuestos!$D$11),Supuestos!$D$11+SQRT(H186*(Supuestos!$F$11-Supuestos!$D$11)*(Supuestos!$E$11-Supuestos!$D$11)),Supuestos!$F$11-SQRT((1-H186)*(Supuestos!$F$11-Supuestos!$D$11)*(Supuestos!$F$11-Supuestos!$E$11))),IF(Supuestos!$C$11="Uniforme",Supuestos!$D$11+H186*(Supuestos!$E$11-Supuestos!$D$11),IF(Supuestos!$C$11="Lognormal",LOGINV(H186,LN(Supuestos!$D$11)-LN(1+Supuestos!$E$11^2/Supuestos!$D$11^2)/2,SQRT(LN(1+Supuestos!$E$11^2/Supuestos!$D$11^2))),Supuestos!$D$11))))))</f>
        <v/>
      </c>
      <c r="P186" s="33">
        <f>-I186</f>
        <v/>
      </c>
      <c r="Q186" s="33">
        <f>$J186*(1+$K186)^(1-1)*(1-$L186)*(1-$M186)</f>
        <v/>
      </c>
      <c r="R186" s="33">
        <f>$J186*(1+$K186)^(2-1)*(1-$L186)*(1-$M186)</f>
        <v/>
      </c>
      <c r="S186" s="33">
        <f>$J186*(1+$K186)^(3-1)*(1-$L186)*(1-$M186)</f>
        <v/>
      </c>
      <c r="T186" s="33">
        <f>$J186*(1+$K186)^(4-1)*(1-$L186)*(1-$M186)</f>
        <v/>
      </c>
      <c r="U186" s="33">
        <f>$J186*(1+$K186)^(5-1)*(1-$L186)*(1-$M186)+$O186</f>
        <v/>
      </c>
      <c r="V186" s="33">
        <f>P186+NPV($N186,Q186:U186)</f>
        <v/>
      </c>
      <c r="W186" s="32">
        <f>IFERROR(IRR(P186:U186,0.1),"")</f>
        <v/>
      </c>
    </row>
    <row r="187">
      <c r="A187" s="14" t="n">
        <v>183</v>
      </c>
      <c r="B187" s="30">
        <f>RAND()*(1-2E-6)+1E-6</f>
        <v/>
      </c>
      <c r="C187" s="30">
        <f>RAND()*(1-2E-6)+1E-6</f>
        <v/>
      </c>
      <c r="D187" s="30">
        <f>RAND()*(1-2E-6)+1E-6</f>
        <v/>
      </c>
      <c r="E187" s="30">
        <f>RAND()*(1-2E-6)+1E-6</f>
        <v/>
      </c>
      <c r="F187" s="30">
        <f>RAND()*(1-2E-6)+1E-6</f>
        <v/>
      </c>
      <c r="G187" s="30">
        <f>RAND()*(1-2E-6)+1E-6</f>
        <v/>
      </c>
      <c r="H187" s="30">
        <f>RAND()*(1-2E-6)+1E-6</f>
        <v/>
      </c>
      <c r="I187" s="31">
        <f>MIN(IF(Supuestos!$H$5="",1E+99,Supuestos!$H$5),MAX(IF(Supuestos!$G$5="",-1E+99,Supuestos!$G$5),IF(Supuestos!$C$5="Normal",NORMINV(B187,Supuestos!$D$5,Supuestos!$E$5),IF(Supuestos!$C$5="Triangular",IF(B187&lt;(Supuestos!$E$5-Supuestos!$D$5)/(Supuestos!$F$5-Supuestos!$D$5),Supuestos!$D$5+SQRT(B187*(Supuestos!$F$5-Supuestos!$D$5)*(Supuestos!$E$5-Supuestos!$D$5)),Supuestos!$F$5-SQRT((1-B187)*(Supuestos!$F$5-Supuestos!$D$5)*(Supuestos!$F$5-Supuestos!$E$5))),IF(Supuestos!$C$5="Uniforme",Supuestos!$D$5+B187*(Supuestos!$E$5-Supuestos!$D$5),IF(Supuestos!$C$5="Lognormal",LOGINV(B187,LN(Supuestos!$D$5)-LN(1+Supuestos!$E$5^2/Supuestos!$D$5^2)/2,SQRT(LN(1+Supuestos!$E$5^2/Supuestos!$D$5^2))),Supuestos!$D$5))))))</f>
        <v/>
      </c>
      <c r="J187" s="31">
        <f>MIN(IF(Supuestos!$H$6="",1E+99,Supuestos!$H$6),MAX(IF(Supuestos!$G$6="",-1E+99,Supuestos!$G$6),IF(Supuestos!$C$6="Normal",NORMINV(C187,Supuestos!$D$6,Supuestos!$E$6),IF(Supuestos!$C$6="Triangular",IF(C187&lt;(Supuestos!$E$6-Supuestos!$D$6)/(Supuestos!$F$6-Supuestos!$D$6),Supuestos!$D$6+SQRT(C187*(Supuestos!$F$6-Supuestos!$D$6)*(Supuestos!$E$6-Supuestos!$D$6)),Supuestos!$F$6-SQRT((1-C187)*(Supuestos!$F$6-Supuestos!$D$6)*(Supuestos!$F$6-Supuestos!$E$6))),IF(Supuestos!$C$6="Uniforme",Supuestos!$D$6+C187*(Supuestos!$E$6-Supuestos!$D$6),IF(Supuestos!$C$6="Lognormal",LOGINV(C187,LN(Supuestos!$D$6)-LN(1+Supuestos!$E$6^2/Supuestos!$D$6^2)/2,SQRT(LN(1+Supuestos!$E$6^2/Supuestos!$D$6^2))),Supuestos!$D$6))))))</f>
        <v/>
      </c>
      <c r="K187" s="32">
        <f>MIN(IF(Supuestos!$H$7="",1E+99,Supuestos!$H$7),MAX(IF(Supuestos!$G$7="",-1E+99,Supuestos!$G$7),IF(Supuestos!$C$7="Normal",NORMINV(D187,Supuestos!$D$7,Supuestos!$E$7),IF(Supuestos!$C$7="Triangular",IF(D187&lt;(Supuestos!$E$7-Supuestos!$D$7)/(Supuestos!$F$7-Supuestos!$D$7),Supuestos!$D$7+SQRT(D187*(Supuestos!$F$7-Supuestos!$D$7)*(Supuestos!$E$7-Supuestos!$D$7)),Supuestos!$F$7-SQRT((1-D187)*(Supuestos!$F$7-Supuestos!$D$7)*(Supuestos!$F$7-Supuestos!$E$7))),IF(Supuestos!$C$7="Uniforme",Supuestos!$D$7+D187*(Supuestos!$E$7-Supuestos!$D$7),IF(Supuestos!$C$7="Lognormal",LOGINV(D187,LN(Supuestos!$D$7)-LN(1+Supuestos!$E$7^2/Supuestos!$D$7^2)/2,SQRT(LN(1+Supuestos!$E$7^2/Supuestos!$D$7^2))),Supuestos!$D$7))))))</f>
        <v/>
      </c>
      <c r="L187" s="32">
        <f>MIN(IF(Supuestos!$H$8="",1E+99,Supuestos!$H$8),MAX(IF(Supuestos!$G$8="",-1E+99,Supuestos!$G$8),IF(Supuestos!$C$8="Normal",NORMINV(E187,Supuestos!$D$8,Supuestos!$E$8),IF(Supuestos!$C$8="Triangular",IF(E187&lt;(Supuestos!$E$8-Supuestos!$D$8)/(Supuestos!$F$8-Supuestos!$D$8),Supuestos!$D$8+SQRT(E187*(Supuestos!$F$8-Supuestos!$D$8)*(Supuestos!$E$8-Supuestos!$D$8)),Supuestos!$F$8-SQRT((1-E187)*(Supuestos!$F$8-Supuestos!$D$8)*(Supuestos!$F$8-Supuestos!$E$8))),IF(Supuestos!$C$8="Uniforme",Supuestos!$D$8+E187*(Supuestos!$E$8-Supuestos!$D$8),IF(Supuestos!$C$8="Lognormal",LOGINV(E187,LN(Supuestos!$D$8)-LN(1+Supuestos!$E$8^2/Supuestos!$D$8^2)/2,SQRT(LN(1+Supuestos!$E$8^2/Supuestos!$D$8^2))),Supuestos!$D$8))))))</f>
        <v/>
      </c>
      <c r="M187" s="32">
        <f>MIN(IF(Supuestos!$H$9="",1E+99,Supuestos!$H$9),MAX(IF(Supuestos!$G$9="",-1E+99,Supuestos!$G$9),IF(Supuestos!$C$9="Normal",NORMINV(F187,Supuestos!$D$9,Supuestos!$E$9),IF(Supuestos!$C$9="Triangular",IF(F187&lt;(Supuestos!$E$9-Supuestos!$D$9)/(Supuestos!$F$9-Supuestos!$D$9),Supuestos!$D$9+SQRT(F187*(Supuestos!$F$9-Supuestos!$D$9)*(Supuestos!$E$9-Supuestos!$D$9)),Supuestos!$F$9-SQRT((1-F187)*(Supuestos!$F$9-Supuestos!$D$9)*(Supuestos!$F$9-Supuestos!$E$9))),IF(Supuestos!$C$9="Uniforme",Supuestos!$D$9+F187*(Supuestos!$E$9-Supuestos!$D$9),IF(Supuestos!$C$9="Lognormal",LOGINV(F187,LN(Supuestos!$D$9)-LN(1+Supuestos!$E$9^2/Supuestos!$D$9^2)/2,SQRT(LN(1+Supuestos!$E$9^2/Supuestos!$D$9^2))),Supuestos!$D$9))))))</f>
        <v/>
      </c>
      <c r="N187" s="32">
        <f>MIN(IF(Supuestos!$H$10="",1E+99,Supuestos!$H$10),MAX(IF(Supuestos!$G$10="",-1E+99,Supuestos!$G$10),IF(Supuestos!$C$10="Normal",NORMINV(G187,Supuestos!$D$10,Supuestos!$E$10),IF(Supuestos!$C$10="Triangular",IF(G187&lt;(Supuestos!$E$10-Supuestos!$D$10)/(Supuestos!$F$10-Supuestos!$D$10),Supuestos!$D$10+SQRT(G187*(Supuestos!$F$10-Supuestos!$D$10)*(Supuestos!$E$10-Supuestos!$D$10)),Supuestos!$F$10-SQRT((1-G187)*(Supuestos!$F$10-Supuestos!$D$10)*(Supuestos!$F$10-Supuestos!$E$10))),IF(Supuestos!$C$10="Uniforme",Supuestos!$D$10+G187*(Supuestos!$E$10-Supuestos!$D$10),IF(Supuestos!$C$10="Lognormal",LOGINV(G187,LN(Supuestos!$D$10)-LN(1+Supuestos!$E$10^2/Supuestos!$D$10^2)/2,SQRT(LN(1+Supuestos!$E$10^2/Supuestos!$D$10^2))),Supuestos!$D$10))))))</f>
        <v/>
      </c>
      <c r="O187" s="31">
        <f>MIN(IF(Supuestos!$H$11="",1E+99,Supuestos!$H$11),MAX(IF(Supuestos!$G$11="",-1E+99,Supuestos!$G$11),IF(Supuestos!$C$11="Normal",NORMINV(H187,Supuestos!$D$11,Supuestos!$E$11),IF(Supuestos!$C$11="Triangular",IF(H187&lt;(Supuestos!$E$11-Supuestos!$D$11)/(Supuestos!$F$11-Supuestos!$D$11),Supuestos!$D$11+SQRT(H187*(Supuestos!$F$11-Supuestos!$D$11)*(Supuestos!$E$11-Supuestos!$D$11)),Supuestos!$F$11-SQRT((1-H187)*(Supuestos!$F$11-Supuestos!$D$11)*(Supuestos!$F$11-Supuestos!$E$11))),IF(Supuestos!$C$11="Uniforme",Supuestos!$D$11+H187*(Supuestos!$E$11-Supuestos!$D$11),IF(Supuestos!$C$11="Lognormal",LOGINV(H187,LN(Supuestos!$D$11)-LN(1+Supuestos!$E$11^2/Supuestos!$D$11^2)/2,SQRT(LN(1+Supuestos!$E$11^2/Supuestos!$D$11^2))),Supuestos!$D$11))))))</f>
        <v/>
      </c>
      <c r="P187" s="33">
        <f>-I187</f>
        <v/>
      </c>
      <c r="Q187" s="33">
        <f>$J187*(1+$K187)^(1-1)*(1-$L187)*(1-$M187)</f>
        <v/>
      </c>
      <c r="R187" s="33">
        <f>$J187*(1+$K187)^(2-1)*(1-$L187)*(1-$M187)</f>
        <v/>
      </c>
      <c r="S187" s="33">
        <f>$J187*(1+$K187)^(3-1)*(1-$L187)*(1-$M187)</f>
        <v/>
      </c>
      <c r="T187" s="33">
        <f>$J187*(1+$K187)^(4-1)*(1-$L187)*(1-$M187)</f>
        <v/>
      </c>
      <c r="U187" s="33">
        <f>$J187*(1+$K187)^(5-1)*(1-$L187)*(1-$M187)+$O187</f>
        <v/>
      </c>
      <c r="V187" s="33">
        <f>P187+NPV($N187,Q187:U187)</f>
        <v/>
      </c>
      <c r="W187" s="32">
        <f>IFERROR(IRR(P187:U187,0.1),"")</f>
        <v/>
      </c>
    </row>
    <row r="188">
      <c r="A188" s="14" t="n">
        <v>184</v>
      </c>
      <c r="B188" s="30">
        <f>RAND()*(1-2E-6)+1E-6</f>
        <v/>
      </c>
      <c r="C188" s="30">
        <f>RAND()*(1-2E-6)+1E-6</f>
        <v/>
      </c>
      <c r="D188" s="30">
        <f>RAND()*(1-2E-6)+1E-6</f>
        <v/>
      </c>
      <c r="E188" s="30">
        <f>RAND()*(1-2E-6)+1E-6</f>
        <v/>
      </c>
      <c r="F188" s="30">
        <f>RAND()*(1-2E-6)+1E-6</f>
        <v/>
      </c>
      <c r="G188" s="30">
        <f>RAND()*(1-2E-6)+1E-6</f>
        <v/>
      </c>
      <c r="H188" s="30">
        <f>RAND()*(1-2E-6)+1E-6</f>
        <v/>
      </c>
      <c r="I188" s="31">
        <f>MIN(IF(Supuestos!$H$5="",1E+99,Supuestos!$H$5),MAX(IF(Supuestos!$G$5="",-1E+99,Supuestos!$G$5),IF(Supuestos!$C$5="Normal",NORMINV(B188,Supuestos!$D$5,Supuestos!$E$5),IF(Supuestos!$C$5="Triangular",IF(B188&lt;(Supuestos!$E$5-Supuestos!$D$5)/(Supuestos!$F$5-Supuestos!$D$5),Supuestos!$D$5+SQRT(B188*(Supuestos!$F$5-Supuestos!$D$5)*(Supuestos!$E$5-Supuestos!$D$5)),Supuestos!$F$5-SQRT((1-B188)*(Supuestos!$F$5-Supuestos!$D$5)*(Supuestos!$F$5-Supuestos!$E$5))),IF(Supuestos!$C$5="Uniforme",Supuestos!$D$5+B188*(Supuestos!$E$5-Supuestos!$D$5),IF(Supuestos!$C$5="Lognormal",LOGINV(B188,LN(Supuestos!$D$5)-LN(1+Supuestos!$E$5^2/Supuestos!$D$5^2)/2,SQRT(LN(1+Supuestos!$E$5^2/Supuestos!$D$5^2))),Supuestos!$D$5))))))</f>
        <v/>
      </c>
      <c r="J188" s="31">
        <f>MIN(IF(Supuestos!$H$6="",1E+99,Supuestos!$H$6),MAX(IF(Supuestos!$G$6="",-1E+99,Supuestos!$G$6),IF(Supuestos!$C$6="Normal",NORMINV(C188,Supuestos!$D$6,Supuestos!$E$6),IF(Supuestos!$C$6="Triangular",IF(C188&lt;(Supuestos!$E$6-Supuestos!$D$6)/(Supuestos!$F$6-Supuestos!$D$6),Supuestos!$D$6+SQRT(C188*(Supuestos!$F$6-Supuestos!$D$6)*(Supuestos!$E$6-Supuestos!$D$6)),Supuestos!$F$6-SQRT((1-C188)*(Supuestos!$F$6-Supuestos!$D$6)*(Supuestos!$F$6-Supuestos!$E$6))),IF(Supuestos!$C$6="Uniforme",Supuestos!$D$6+C188*(Supuestos!$E$6-Supuestos!$D$6),IF(Supuestos!$C$6="Lognormal",LOGINV(C188,LN(Supuestos!$D$6)-LN(1+Supuestos!$E$6^2/Supuestos!$D$6^2)/2,SQRT(LN(1+Supuestos!$E$6^2/Supuestos!$D$6^2))),Supuestos!$D$6))))))</f>
        <v/>
      </c>
      <c r="K188" s="32">
        <f>MIN(IF(Supuestos!$H$7="",1E+99,Supuestos!$H$7),MAX(IF(Supuestos!$G$7="",-1E+99,Supuestos!$G$7),IF(Supuestos!$C$7="Normal",NORMINV(D188,Supuestos!$D$7,Supuestos!$E$7),IF(Supuestos!$C$7="Triangular",IF(D188&lt;(Supuestos!$E$7-Supuestos!$D$7)/(Supuestos!$F$7-Supuestos!$D$7),Supuestos!$D$7+SQRT(D188*(Supuestos!$F$7-Supuestos!$D$7)*(Supuestos!$E$7-Supuestos!$D$7)),Supuestos!$F$7-SQRT((1-D188)*(Supuestos!$F$7-Supuestos!$D$7)*(Supuestos!$F$7-Supuestos!$E$7))),IF(Supuestos!$C$7="Uniforme",Supuestos!$D$7+D188*(Supuestos!$E$7-Supuestos!$D$7),IF(Supuestos!$C$7="Lognormal",LOGINV(D188,LN(Supuestos!$D$7)-LN(1+Supuestos!$E$7^2/Supuestos!$D$7^2)/2,SQRT(LN(1+Supuestos!$E$7^2/Supuestos!$D$7^2))),Supuestos!$D$7))))))</f>
        <v/>
      </c>
      <c r="L188" s="32">
        <f>MIN(IF(Supuestos!$H$8="",1E+99,Supuestos!$H$8),MAX(IF(Supuestos!$G$8="",-1E+99,Supuestos!$G$8),IF(Supuestos!$C$8="Normal",NORMINV(E188,Supuestos!$D$8,Supuestos!$E$8),IF(Supuestos!$C$8="Triangular",IF(E188&lt;(Supuestos!$E$8-Supuestos!$D$8)/(Supuestos!$F$8-Supuestos!$D$8),Supuestos!$D$8+SQRT(E188*(Supuestos!$F$8-Supuestos!$D$8)*(Supuestos!$E$8-Supuestos!$D$8)),Supuestos!$F$8-SQRT((1-E188)*(Supuestos!$F$8-Supuestos!$D$8)*(Supuestos!$F$8-Supuestos!$E$8))),IF(Supuestos!$C$8="Uniforme",Supuestos!$D$8+E188*(Supuestos!$E$8-Supuestos!$D$8),IF(Supuestos!$C$8="Lognormal",LOGINV(E188,LN(Supuestos!$D$8)-LN(1+Supuestos!$E$8^2/Supuestos!$D$8^2)/2,SQRT(LN(1+Supuestos!$E$8^2/Supuestos!$D$8^2))),Supuestos!$D$8))))))</f>
        <v/>
      </c>
      <c r="M188" s="32">
        <f>MIN(IF(Supuestos!$H$9="",1E+99,Supuestos!$H$9),MAX(IF(Supuestos!$G$9="",-1E+99,Supuestos!$G$9),IF(Supuestos!$C$9="Normal",NORMINV(F188,Supuestos!$D$9,Supuestos!$E$9),IF(Supuestos!$C$9="Triangular",IF(F188&lt;(Supuestos!$E$9-Supuestos!$D$9)/(Supuestos!$F$9-Supuestos!$D$9),Supuestos!$D$9+SQRT(F188*(Supuestos!$F$9-Supuestos!$D$9)*(Supuestos!$E$9-Supuestos!$D$9)),Supuestos!$F$9-SQRT((1-F188)*(Supuestos!$F$9-Supuestos!$D$9)*(Supuestos!$F$9-Supuestos!$E$9))),IF(Supuestos!$C$9="Uniforme",Supuestos!$D$9+F188*(Supuestos!$E$9-Supuestos!$D$9),IF(Supuestos!$C$9="Lognormal",LOGINV(F188,LN(Supuestos!$D$9)-LN(1+Supuestos!$E$9^2/Supuestos!$D$9^2)/2,SQRT(LN(1+Supuestos!$E$9^2/Supuestos!$D$9^2))),Supuestos!$D$9))))))</f>
        <v/>
      </c>
      <c r="N188" s="32">
        <f>MIN(IF(Supuestos!$H$10="",1E+99,Supuestos!$H$10),MAX(IF(Supuestos!$G$10="",-1E+99,Supuestos!$G$10),IF(Supuestos!$C$10="Normal",NORMINV(G188,Supuestos!$D$10,Supuestos!$E$10),IF(Supuestos!$C$10="Triangular",IF(G188&lt;(Supuestos!$E$10-Supuestos!$D$10)/(Supuestos!$F$10-Supuestos!$D$10),Supuestos!$D$10+SQRT(G188*(Supuestos!$F$10-Supuestos!$D$10)*(Supuestos!$E$10-Supuestos!$D$10)),Supuestos!$F$10-SQRT((1-G188)*(Supuestos!$F$10-Supuestos!$D$10)*(Supuestos!$F$10-Supuestos!$E$10))),IF(Supuestos!$C$10="Uniforme",Supuestos!$D$10+G188*(Supuestos!$E$10-Supuestos!$D$10),IF(Supuestos!$C$10="Lognormal",LOGINV(G188,LN(Supuestos!$D$10)-LN(1+Supuestos!$E$10^2/Supuestos!$D$10^2)/2,SQRT(LN(1+Supuestos!$E$10^2/Supuestos!$D$10^2))),Supuestos!$D$10))))))</f>
        <v/>
      </c>
      <c r="O188" s="31">
        <f>MIN(IF(Supuestos!$H$11="",1E+99,Supuestos!$H$11),MAX(IF(Supuestos!$G$11="",-1E+99,Supuestos!$G$11),IF(Supuestos!$C$11="Normal",NORMINV(H188,Supuestos!$D$11,Supuestos!$E$11),IF(Supuestos!$C$11="Triangular",IF(H188&lt;(Supuestos!$E$11-Supuestos!$D$11)/(Supuestos!$F$11-Supuestos!$D$11),Supuestos!$D$11+SQRT(H188*(Supuestos!$F$11-Supuestos!$D$11)*(Supuestos!$E$11-Supuestos!$D$11)),Supuestos!$F$11-SQRT((1-H188)*(Supuestos!$F$11-Supuestos!$D$11)*(Supuestos!$F$11-Supuestos!$E$11))),IF(Supuestos!$C$11="Uniforme",Supuestos!$D$11+H188*(Supuestos!$E$11-Supuestos!$D$11),IF(Supuestos!$C$11="Lognormal",LOGINV(H188,LN(Supuestos!$D$11)-LN(1+Supuestos!$E$11^2/Supuestos!$D$11^2)/2,SQRT(LN(1+Supuestos!$E$11^2/Supuestos!$D$11^2))),Supuestos!$D$11))))))</f>
        <v/>
      </c>
      <c r="P188" s="33">
        <f>-I188</f>
        <v/>
      </c>
      <c r="Q188" s="33">
        <f>$J188*(1+$K188)^(1-1)*(1-$L188)*(1-$M188)</f>
        <v/>
      </c>
      <c r="R188" s="33">
        <f>$J188*(1+$K188)^(2-1)*(1-$L188)*(1-$M188)</f>
        <v/>
      </c>
      <c r="S188" s="33">
        <f>$J188*(1+$K188)^(3-1)*(1-$L188)*(1-$M188)</f>
        <v/>
      </c>
      <c r="T188" s="33">
        <f>$J188*(1+$K188)^(4-1)*(1-$L188)*(1-$M188)</f>
        <v/>
      </c>
      <c r="U188" s="33">
        <f>$J188*(1+$K188)^(5-1)*(1-$L188)*(1-$M188)+$O188</f>
        <v/>
      </c>
      <c r="V188" s="33">
        <f>P188+NPV($N188,Q188:U188)</f>
        <v/>
      </c>
      <c r="W188" s="32">
        <f>IFERROR(IRR(P188:U188,0.1),"")</f>
        <v/>
      </c>
    </row>
    <row r="189">
      <c r="A189" s="14" t="n">
        <v>185</v>
      </c>
      <c r="B189" s="30">
        <f>RAND()*(1-2E-6)+1E-6</f>
        <v/>
      </c>
      <c r="C189" s="30">
        <f>RAND()*(1-2E-6)+1E-6</f>
        <v/>
      </c>
      <c r="D189" s="30">
        <f>RAND()*(1-2E-6)+1E-6</f>
        <v/>
      </c>
      <c r="E189" s="30">
        <f>RAND()*(1-2E-6)+1E-6</f>
        <v/>
      </c>
      <c r="F189" s="30">
        <f>RAND()*(1-2E-6)+1E-6</f>
        <v/>
      </c>
      <c r="G189" s="30">
        <f>RAND()*(1-2E-6)+1E-6</f>
        <v/>
      </c>
      <c r="H189" s="30">
        <f>RAND()*(1-2E-6)+1E-6</f>
        <v/>
      </c>
      <c r="I189" s="31">
        <f>MIN(IF(Supuestos!$H$5="",1E+99,Supuestos!$H$5),MAX(IF(Supuestos!$G$5="",-1E+99,Supuestos!$G$5),IF(Supuestos!$C$5="Normal",NORMINV(B189,Supuestos!$D$5,Supuestos!$E$5),IF(Supuestos!$C$5="Triangular",IF(B189&lt;(Supuestos!$E$5-Supuestos!$D$5)/(Supuestos!$F$5-Supuestos!$D$5),Supuestos!$D$5+SQRT(B189*(Supuestos!$F$5-Supuestos!$D$5)*(Supuestos!$E$5-Supuestos!$D$5)),Supuestos!$F$5-SQRT((1-B189)*(Supuestos!$F$5-Supuestos!$D$5)*(Supuestos!$F$5-Supuestos!$E$5))),IF(Supuestos!$C$5="Uniforme",Supuestos!$D$5+B189*(Supuestos!$E$5-Supuestos!$D$5),IF(Supuestos!$C$5="Lognormal",LOGINV(B189,LN(Supuestos!$D$5)-LN(1+Supuestos!$E$5^2/Supuestos!$D$5^2)/2,SQRT(LN(1+Supuestos!$E$5^2/Supuestos!$D$5^2))),Supuestos!$D$5))))))</f>
        <v/>
      </c>
      <c r="J189" s="31">
        <f>MIN(IF(Supuestos!$H$6="",1E+99,Supuestos!$H$6),MAX(IF(Supuestos!$G$6="",-1E+99,Supuestos!$G$6),IF(Supuestos!$C$6="Normal",NORMINV(C189,Supuestos!$D$6,Supuestos!$E$6),IF(Supuestos!$C$6="Triangular",IF(C189&lt;(Supuestos!$E$6-Supuestos!$D$6)/(Supuestos!$F$6-Supuestos!$D$6),Supuestos!$D$6+SQRT(C189*(Supuestos!$F$6-Supuestos!$D$6)*(Supuestos!$E$6-Supuestos!$D$6)),Supuestos!$F$6-SQRT((1-C189)*(Supuestos!$F$6-Supuestos!$D$6)*(Supuestos!$F$6-Supuestos!$E$6))),IF(Supuestos!$C$6="Uniforme",Supuestos!$D$6+C189*(Supuestos!$E$6-Supuestos!$D$6),IF(Supuestos!$C$6="Lognormal",LOGINV(C189,LN(Supuestos!$D$6)-LN(1+Supuestos!$E$6^2/Supuestos!$D$6^2)/2,SQRT(LN(1+Supuestos!$E$6^2/Supuestos!$D$6^2))),Supuestos!$D$6))))))</f>
        <v/>
      </c>
      <c r="K189" s="32">
        <f>MIN(IF(Supuestos!$H$7="",1E+99,Supuestos!$H$7),MAX(IF(Supuestos!$G$7="",-1E+99,Supuestos!$G$7),IF(Supuestos!$C$7="Normal",NORMINV(D189,Supuestos!$D$7,Supuestos!$E$7),IF(Supuestos!$C$7="Triangular",IF(D189&lt;(Supuestos!$E$7-Supuestos!$D$7)/(Supuestos!$F$7-Supuestos!$D$7),Supuestos!$D$7+SQRT(D189*(Supuestos!$F$7-Supuestos!$D$7)*(Supuestos!$E$7-Supuestos!$D$7)),Supuestos!$F$7-SQRT((1-D189)*(Supuestos!$F$7-Supuestos!$D$7)*(Supuestos!$F$7-Supuestos!$E$7))),IF(Supuestos!$C$7="Uniforme",Supuestos!$D$7+D189*(Supuestos!$E$7-Supuestos!$D$7),IF(Supuestos!$C$7="Lognormal",LOGINV(D189,LN(Supuestos!$D$7)-LN(1+Supuestos!$E$7^2/Supuestos!$D$7^2)/2,SQRT(LN(1+Supuestos!$E$7^2/Supuestos!$D$7^2))),Supuestos!$D$7))))))</f>
        <v/>
      </c>
      <c r="L189" s="32">
        <f>MIN(IF(Supuestos!$H$8="",1E+99,Supuestos!$H$8),MAX(IF(Supuestos!$G$8="",-1E+99,Supuestos!$G$8),IF(Supuestos!$C$8="Normal",NORMINV(E189,Supuestos!$D$8,Supuestos!$E$8),IF(Supuestos!$C$8="Triangular",IF(E189&lt;(Supuestos!$E$8-Supuestos!$D$8)/(Supuestos!$F$8-Supuestos!$D$8),Supuestos!$D$8+SQRT(E189*(Supuestos!$F$8-Supuestos!$D$8)*(Supuestos!$E$8-Supuestos!$D$8)),Supuestos!$F$8-SQRT((1-E189)*(Supuestos!$F$8-Supuestos!$D$8)*(Supuestos!$F$8-Supuestos!$E$8))),IF(Supuestos!$C$8="Uniforme",Supuestos!$D$8+E189*(Supuestos!$E$8-Supuestos!$D$8),IF(Supuestos!$C$8="Lognormal",LOGINV(E189,LN(Supuestos!$D$8)-LN(1+Supuestos!$E$8^2/Supuestos!$D$8^2)/2,SQRT(LN(1+Supuestos!$E$8^2/Supuestos!$D$8^2))),Supuestos!$D$8))))))</f>
        <v/>
      </c>
      <c r="M189" s="32">
        <f>MIN(IF(Supuestos!$H$9="",1E+99,Supuestos!$H$9),MAX(IF(Supuestos!$G$9="",-1E+99,Supuestos!$G$9),IF(Supuestos!$C$9="Normal",NORMINV(F189,Supuestos!$D$9,Supuestos!$E$9),IF(Supuestos!$C$9="Triangular",IF(F189&lt;(Supuestos!$E$9-Supuestos!$D$9)/(Supuestos!$F$9-Supuestos!$D$9),Supuestos!$D$9+SQRT(F189*(Supuestos!$F$9-Supuestos!$D$9)*(Supuestos!$E$9-Supuestos!$D$9)),Supuestos!$F$9-SQRT((1-F189)*(Supuestos!$F$9-Supuestos!$D$9)*(Supuestos!$F$9-Supuestos!$E$9))),IF(Supuestos!$C$9="Uniforme",Supuestos!$D$9+F189*(Supuestos!$E$9-Supuestos!$D$9),IF(Supuestos!$C$9="Lognormal",LOGINV(F189,LN(Supuestos!$D$9)-LN(1+Supuestos!$E$9^2/Supuestos!$D$9^2)/2,SQRT(LN(1+Supuestos!$E$9^2/Supuestos!$D$9^2))),Supuestos!$D$9))))))</f>
        <v/>
      </c>
      <c r="N189" s="32">
        <f>MIN(IF(Supuestos!$H$10="",1E+99,Supuestos!$H$10),MAX(IF(Supuestos!$G$10="",-1E+99,Supuestos!$G$10),IF(Supuestos!$C$10="Normal",NORMINV(G189,Supuestos!$D$10,Supuestos!$E$10),IF(Supuestos!$C$10="Triangular",IF(G189&lt;(Supuestos!$E$10-Supuestos!$D$10)/(Supuestos!$F$10-Supuestos!$D$10),Supuestos!$D$10+SQRT(G189*(Supuestos!$F$10-Supuestos!$D$10)*(Supuestos!$E$10-Supuestos!$D$10)),Supuestos!$F$10-SQRT((1-G189)*(Supuestos!$F$10-Supuestos!$D$10)*(Supuestos!$F$10-Supuestos!$E$10))),IF(Supuestos!$C$10="Uniforme",Supuestos!$D$10+G189*(Supuestos!$E$10-Supuestos!$D$10),IF(Supuestos!$C$10="Lognormal",LOGINV(G189,LN(Supuestos!$D$10)-LN(1+Supuestos!$E$10^2/Supuestos!$D$10^2)/2,SQRT(LN(1+Supuestos!$E$10^2/Supuestos!$D$10^2))),Supuestos!$D$10))))))</f>
        <v/>
      </c>
      <c r="O189" s="31">
        <f>MIN(IF(Supuestos!$H$11="",1E+99,Supuestos!$H$11),MAX(IF(Supuestos!$G$11="",-1E+99,Supuestos!$G$11),IF(Supuestos!$C$11="Normal",NORMINV(H189,Supuestos!$D$11,Supuestos!$E$11),IF(Supuestos!$C$11="Triangular",IF(H189&lt;(Supuestos!$E$11-Supuestos!$D$11)/(Supuestos!$F$11-Supuestos!$D$11),Supuestos!$D$11+SQRT(H189*(Supuestos!$F$11-Supuestos!$D$11)*(Supuestos!$E$11-Supuestos!$D$11)),Supuestos!$F$11-SQRT((1-H189)*(Supuestos!$F$11-Supuestos!$D$11)*(Supuestos!$F$11-Supuestos!$E$11))),IF(Supuestos!$C$11="Uniforme",Supuestos!$D$11+H189*(Supuestos!$E$11-Supuestos!$D$11),IF(Supuestos!$C$11="Lognormal",LOGINV(H189,LN(Supuestos!$D$11)-LN(1+Supuestos!$E$11^2/Supuestos!$D$11^2)/2,SQRT(LN(1+Supuestos!$E$11^2/Supuestos!$D$11^2))),Supuestos!$D$11))))))</f>
        <v/>
      </c>
      <c r="P189" s="33">
        <f>-I189</f>
        <v/>
      </c>
      <c r="Q189" s="33">
        <f>$J189*(1+$K189)^(1-1)*(1-$L189)*(1-$M189)</f>
        <v/>
      </c>
      <c r="R189" s="33">
        <f>$J189*(1+$K189)^(2-1)*(1-$L189)*(1-$M189)</f>
        <v/>
      </c>
      <c r="S189" s="33">
        <f>$J189*(1+$K189)^(3-1)*(1-$L189)*(1-$M189)</f>
        <v/>
      </c>
      <c r="T189" s="33">
        <f>$J189*(1+$K189)^(4-1)*(1-$L189)*(1-$M189)</f>
        <v/>
      </c>
      <c r="U189" s="33">
        <f>$J189*(1+$K189)^(5-1)*(1-$L189)*(1-$M189)+$O189</f>
        <v/>
      </c>
      <c r="V189" s="33">
        <f>P189+NPV($N189,Q189:U189)</f>
        <v/>
      </c>
      <c r="W189" s="32">
        <f>IFERROR(IRR(P189:U189,0.1),"")</f>
        <v/>
      </c>
    </row>
    <row r="190">
      <c r="A190" s="14" t="n">
        <v>186</v>
      </c>
      <c r="B190" s="30">
        <f>RAND()*(1-2E-6)+1E-6</f>
        <v/>
      </c>
      <c r="C190" s="30">
        <f>RAND()*(1-2E-6)+1E-6</f>
        <v/>
      </c>
      <c r="D190" s="30">
        <f>RAND()*(1-2E-6)+1E-6</f>
        <v/>
      </c>
      <c r="E190" s="30">
        <f>RAND()*(1-2E-6)+1E-6</f>
        <v/>
      </c>
      <c r="F190" s="30">
        <f>RAND()*(1-2E-6)+1E-6</f>
        <v/>
      </c>
      <c r="G190" s="30">
        <f>RAND()*(1-2E-6)+1E-6</f>
        <v/>
      </c>
      <c r="H190" s="30">
        <f>RAND()*(1-2E-6)+1E-6</f>
        <v/>
      </c>
      <c r="I190" s="31">
        <f>MIN(IF(Supuestos!$H$5="",1E+99,Supuestos!$H$5),MAX(IF(Supuestos!$G$5="",-1E+99,Supuestos!$G$5),IF(Supuestos!$C$5="Normal",NORMINV(B190,Supuestos!$D$5,Supuestos!$E$5),IF(Supuestos!$C$5="Triangular",IF(B190&lt;(Supuestos!$E$5-Supuestos!$D$5)/(Supuestos!$F$5-Supuestos!$D$5),Supuestos!$D$5+SQRT(B190*(Supuestos!$F$5-Supuestos!$D$5)*(Supuestos!$E$5-Supuestos!$D$5)),Supuestos!$F$5-SQRT((1-B190)*(Supuestos!$F$5-Supuestos!$D$5)*(Supuestos!$F$5-Supuestos!$E$5))),IF(Supuestos!$C$5="Uniforme",Supuestos!$D$5+B190*(Supuestos!$E$5-Supuestos!$D$5),IF(Supuestos!$C$5="Lognormal",LOGINV(B190,LN(Supuestos!$D$5)-LN(1+Supuestos!$E$5^2/Supuestos!$D$5^2)/2,SQRT(LN(1+Supuestos!$E$5^2/Supuestos!$D$5^2))),Supuestos!$D$5))))))</f>
        <v/>
      </c>
      <c r="J190" s="31">
        <f>MIN(IF(Supuestos!$H$6="",1E+99,Supuestos!$H$6),MAX(IF(Supuestos!$G$6="",-1E+99,Supuestos!$G$6),IF(Supuestos!$C$6="Normal",NORMINV(C190,Supuestos!$D$6,Supuestos!$E$6),IF(Supuestos!$C$6="Triangular",IF(C190&lt;(Supuestos!$E$6-Supuestos!$D$6)/(Supuestos!$F$6-Supuestos!$D$6),Supuestos!$D$6+SQRT(C190*(Supuestos!$F$6-Supuestos!$D$6)*(Supuestos!$E$6-Supuestos!$D$6)),Supuestos!$F$6-SQRT((1-C190)*(Supuestos!$F$6-Supuestos!$D$6)*(Supuestos!$F$6-Supuestos!$E$6))),IF(Supuestos!$C$6="Uniforme",Supuestos!$D$6+C190*(Supuestos!$E$6-Supuestos!$D$6),IF(Supuestos!$C$6="Lognormal",LOGINV(C190,LN(Supuestos!$D$6)-LN(1+Supuestos!$E$6^2/Supuestos!$D$6^2)/2,SQRT(LN(1+Supuestos!$E$6^2/Supuestos!$D$6^2))),Supuestos!$D$6))))))</f>
        <v/>
      </c>
      <c r="K190" s="32">
        <f>MIN(IF(Supuestos!$H$7="",1E+99,Supuestos!$H$7),MAX(IF(Supuestos!$G$7="",-1E+99,Supuestos!$G$7),IF(Supuestos!$C$7="Normal",NORMINV(D190,Supuestos!$D$7,Supuestos!$E$7),IF(Supuestos!$C$7="Triangular",IF(D190&lt;(Supuestos!$E$7-Supuestos!$D$7)/(Supuestos!$F$7-Supuestos!$D$7),Supuestos!$D$7+SQRT(D190*(Supuestos!$F$7-Supuestos!$D$7)*(Supuestos!$E$7-Supuestos!$D$7)),Supuestos!$F$7-SQRT((1-D190)*(Supuestos!$F$7-Supuestos!$D$7)*(Supuestos!$F$7-Supuestos!$E$7))),IF(Supuestos!$C$7="Uniforme",Supuestos!$D$7+D190*(Supuestos!$E$7-Supuestos!$D$7),IF(Supuestos!$C$7="Lognormal",LOGINV(D190,LN(Supuestos!$D$7)-LN(1+Supuestos!$E$7^2/Supuestos!$D$7^2)/2,SQRT(LN(1+Supuestos!$E$7^2/Supuestos!$D$7^2))),Supuestos!$D$7))))))</f>
        <v/>
      </c>
      <c r="L190" s="32">
        <f>MIN(IF(Supuestos!$H$8="",1E+99,Supuestos!$H$8),MAX(IF(Supuestos!$G$8="",-1E+99,Supuestos!$G$8),IF(Supuestos!$C$8="Normal",NORMINV(E190,Supuestos!$D$8,Supuestos!$E$8),IF(Supuestos!$C$8="Triangular",IF(E190&lt;(Supuestos!$E$8-Supuestos!$D$8)/(Supuestos!$F$8-Supuestos!$D$8),Supuestos!$D$8+SQRT(E190*(Supuestos!$F$8-Supuestos!$D$8)*(Supuestos!$E$8-Supuestos!$D$8)),Supuestos!$F$8-SQRT((1-E190)*(Supuestos!$F$8-Supuestos!$D$8)*(Supuestos!$F$8-Supuestos!$E$8))),IF(Supuestos!$C$8="Uniforme",Supuestos!$D$8+E190*(Supuestos!$E$8-Supuestos!$D$8),IF(Supuestos!$C$8="Lognormal",LOGINV(E190,LN(Supuestos!$D$8)-LN(1+Supuestos!$E$8^2/Supuestos!$D$8^2)/2,SQRT(LN(1+Supuestos!$E$8^2/Supuestos!$D$8^2))),Supuestos!$D$8))))))</f>
        <v/>
      </c>
      <c r="M190" s="32">
        <f>MIN(IF(Supuestos!$H$9="",1E+99,Supuestos!$H$9),MAX(IF(Supuestos!$G$9="",-1E+99,Supuestos!$G$9),IF(Supuestos!$C$9="Normal",NORMINV(F190,Supuestos!$D$9,Supuestos!$E$9),IF(Supuestos!$C$9="Triangular",IF(F190&lt;(Supuestos!$E$9-Supuestos!$D$9)/(Supuestos!$F$9-Supuestos!$D$9),Supuestos!$D$9+SQRT(F190*(Supuestos!$F$9-Supuestos!$D$9)*(Supuestos!$E$9-Supuestos!$D$9)),Supuestos!$F$9-SQRT((1-F190)*(Supuestos!$F$9-Supuestos!$D$9)*(Supuestos!$F$9-Supuestos!$E$9))),IF(Supuestos!$C$9="Uniforme",Supuestos!$D$9+F190*(Supuestos!$E$9-Supuestos!$D$9),IF(Supuestos!$C$9="Lognormal",LOGINV(F190,LN(Supuestos!$D$9)-LN(1+Supuestos!$E$9^2/Supuestos!$D$9^2)/2,SQRT(LN(1+Supuestos!$E$9^2/Supuestos!$D$9^2))),Supuestos!$D$9))))))</f>
        <v/>
      </c>
      <c r="N190" s="32">
        <f>MIN(IF(Supuestos!$H$10="",1E+99,Supuestos!$H$10),MAX(IF(Supuestos!$G$10="",-1E+99,Supuestos!$G$10),IF(Supuestos!$C$10="Normal",NORMINV(G190,Supuestos!$D$10,Supuestos!$E$10),IF(Supuestos!$C$10="Triangular",IF(G190&lt;(Supuestos!$E$10-Supuestos!$D$10)/(Supuestos!$F$10-Supuestos!$D$10),Supuestos!$D$10+SQRT(G190*(Supuestos!$F$10-Supuestos!$D$10)*(Supuestos!$E$10-Supuestos!$D$10)),Supuestos!$F$10-SQRT((1-G190)*(Supuestos!$F$10-Supuestos!$D$10)*(Supuestos!$F$10-Supuestos!$E$10))),IF(Supuestos!$C$10="Uniforme",Supuestos!$D$10+G190*(Supuestos!$E$10-Supuestos!$D$10),IF(Supuestos!$C$10="Lognormal",LOGINV(G190,LN(Supuestos!$D$10)-LN(1+Supuestos!$E$10^2/Supuestos!$D$10^2)/2,SQRT(LN(1+Supuestos!$E$10^2/Supuestos!$D$10^2))),Supuestos!$D$10))))))</f>
        <v/>
      </c>
      <c r="O190" s="31">
        <f>MIN(IF(Supuestos!$H$11="",1E+99,Supuestos!$H$11),MAX(IF(Supuestos!$G$11="",-1E+99,Supuestos!$G$11),IF(Supuestos!$C$11="Normal",NORMINV(H190,Supuestos!$D$11,Supuestos!$E$11),IF(Supuestos!$C$11="Triangular",IF(H190&lt;(Supuestos!$E$11-Supuestos!$D$11)/(Supuestos!$F$11-Supuestos!$D$11),Supuestos!$D$11+SQRT(H190*(Supuestos!$F$11-Supuestos!$D$11)*(Supuestos!$E$11-Supuestos!$D$11)),Supuestos!$F$11-SQRT((1-H190)*(Supuestos!$F$11-Supuestos!$D$11)*(Supuestos!$F$11-Supuestos!$E$11))),IF(Supuestos!$C$11="Uniforme",Supuestos!$D$11+H190*(Supuestos!$E$11-Supuestos!$D$11),IF(Supuestos!$C$11="Lognormal",LOGINV(H190,LN(Supuestos!$D$11)-LN(1+Supuestos!$E$11^2/Supuestos!$D$11^2)/2,SQRT(LN(1+Supuestos!$E$11^2/Supuestos!$D$11^2))),Supuestos!$D$11))))))</f>
        <v/>
      </c>
      <c r="P190" s="33">
        <f>-I190</f>
        <v/>
      </c>
      <c r="Q190" s="33">
        <f>$J190*(1+$K190)^(1-1)*(1-$L190)*(1-$M190)</f>
        <v/>
      </c>
      <c r="R190" s="33">
        <f>$J190*(1+$K190)^(2-1)*(1-$L190)*(1-$M190)</f>
        <v/>
      </c>
      <c r="S190" s="33">
        <f>$J190*(1+$K190)^(3-1)*(1-$L190)*(1-$M190)</f>
        <v/>
      </c>
      <c r="T190" s="33">
        <f>$J190*(1+$K190)^(4-1)*(1-$L190)*(1-$M190)</f>
        <v/>
      </c>
      <c r="U190" s="33">
        <f>$J190*(1+$K190)^(5-1)*(1-$L190)*(1-$M190)+$O190</f>
        <v/>
      </c>
      <c r="V190" s="33">
        <f>P190+NPV($N190,Q190:U190)</f>
        <v/>
      </c>
      <c r="W190" s="32">
        <f>IFERROR(IRR(P190:U190,0.1),"")</f>
        <v/>
      </c>
    </row>
    <row r="191">
      <c r="A191" s="14" t="n">
        <v>187</v>
      </c>
      <c r="B191" s="30">
        <f>RAND()*(1-2E-6)+1E-6</f>
        <v/>
      </c>
      <c r="C191" s="30">
        <f>RAND()*(1-2E-6)+1E-6</f>
        <v/>
      </c>
      <c r="D191" s="30">
        <f>RAND()*(1-2E-6)+1E-6</f>
        <v/>
      </c>
      <c r="E191" s="30">
        <f>RAND()*(1-2E-6)+1E-6</f>
        <v/>
      </c>
      <c r="F191" s="30">
        <f>RAND()*(1-2E-6)+1E-6</f>
        <v/>
      </c>
      <c r="G191" s="30">
        <f>RAND()*(1-2E-6)+1E-6</f>
        <v/>
      </c>
      <c r="H191" s="30">
        <f>RAND()*(1-2E-6)+1E-6</f>
        <v/>
      </c>
      <c r="I191" s="31">
        <f>MIN(IF(Supuestos!$H$5="",1E+99,Supuestos!$H$5),MAX(IF(Supuestos!$G$5="",-1E+99,Supuestos!$G$5),IF(Supuestos!$C$5="Normal",NORMINV(B191,Supuestos!$D$5,Supuestos!$E$5),IF(Supuestos!$C$5="Triangular",IF(B191&lt;(Supuestos!$E$5-Supuestos!$D$5)/(Supuestos!$F$5-Supuestos!$D$5),Supuestos!$D$5+SQRT(B191*(Supuestos!$F$5-Supuestos!$D$5)*(Supuestos!$E$5-Supuestos!$D$5)),Supuestos!$F$5-SQRT((1-B191)*(Supuestos!$F$5-Supuestos!$D$5)*(Supuestos!$F$5-Supuestos!$E$5))),IF(Supuestos!$C$5="Uniforme",Supuestos!$D$5+B191*(Supuestos!$E$5-Supuestos!$D$5),IF(Supuestos!$C$5="Lognormal",LOGINV(B191,LN(Supuestos!$D$5)-LN(1+Supuestos!$E$5^2/Supuestos!$D$5^2)/2,SQRT(LN(1+Supuestos!$E$5^2/Supuestos!$D$5^2))),Supuestos!$D$5))))))</f>
        <v/>
      </c>
      <c r="J191" s="31">
        <f>MIN(IF(Supuestos!$H$6="",1E+99,Supuestos!$H$6),MAX(IF(Supuestos!$G$6="",-1E+99,Supuestos!$G$6),IF(Supuestos!$C$6="Normal",NORMINV(C191,Supuestos!$D$6,Supuestos!$E$6),IF(Supuestos!$C$6="Triangular",IF(C191&lt;(Supuestos!$E$6-Supuestos!$D$6)/(Supuestos!$F$6-Supuestos!$D$6),Supuestos!$D$6+SQRT(C191*(Supuestos!$F$6-Supuestos!$D$6)*(Supuestos!$E$6-Supuestos!$D$6)),Supuestos!$F$6-SQRT((1-C191)*(Supuestos!$F$6-Supuestos!$D$6)*(Supuestos!$F$6-Supuestos!$E$6))),IF(Supuestos!$C$6="Uniforme",Supuestos!$D$6+C191*(Supuestos!$E$6-Supuestos!$D$6),IF(Supuestos!$C$6="Lognormal",LOGINV(C191,LN(Supuestos!$D$6)-LN(1+Supuestos!$E$6^2/Supuestos!$D$6^2)/2,SQRT(LN(1+Supuestos!$E$6^2/Supuestos!$D$6^2))),Supuestos!$D$6))))))</f>
        <v/>
      </c>
      <c r="K191" s="32">
        <f>MIN(IF(Supuestos!$H$7="",1E+99,Supuestos!$H$7),MAX(IF(Supuestos!$G$7="",-1E+99,Supuestos!$G$7),IF(Supuestos!$C$7="Normal",NORMINV(D191,Supuestos!$D$7,Supuestos!$E$7),IF(Supuestos!$C$7="Triangular",IF(D191&lt;(Supuestos!$E$7-Supuestos!$D$7)/(Supuestos!$F$7-Supuestos!$D$7),Supuestos!$D$7+SQRT(D191*(Supuestos!$F$7-Supuestos!$D$7)*(Supuestos!$E$7-Supuestos!$D$7)),Supuestos!$F$7-SQRT((1-D191)*(Supuestos!$F$7-Supuestos!$D$7)*(Supuestos!$F$7-Supuestos!$E$7))),IF(Supuestos!$C$7="Uniforme",Supuestos!$D$7+D191*(Supuestos!$E$7-Supuestos!$D$7),IF(Supuestos!$C$7="Lognormal",LOGINV(D191,LN(Supuestos!$D$7)-LN(1+Supuestos!$E$7^2/Supuestos!$D$7^2)/2,SQRT(LN(1+Supuestos!$E$7^2/Supuestos!$D$7^2))),Supuestos!$D$7))))))</f>
        <v/>
      </c>
      <c r="L191" s="32">
        <f>MIN(IF(Supuestos!$H$8="",1E+99,Supuestos!$H$8),MAX(IF(Supuestos!$G$8="",-1E+99,Supuestos!$G$8),IF(Supuestos!$C$8="Normal",NORMINV(E191,Supuestos!$D$8,Supuestos!$E$8),IF(Supuestos!$C$8="Triangular",IF(E191&lt;(Supuestos!$E$8-Supuestos!$D$8)/(Supuestos!$F$8-Supuestos!$D$8),Supuestos!$D$8+SQRT(E191*(Supuestos!$F$8-Supuestos!$D$8)*(Supuestos!$E$8-Supuestos!$D$8)),Supuestos!$F$8-SQRT((1-E191)*(Supuestos!$F$8-Supuestos!$D$8)*(Supuestos!$F$8-Supuestos!$E$8))),IF(Supuestos!$C$8="Uniforme",Supuestos!$D$8+E191*(Supuestos!$E$8-Supuestos!$D$8),IF(Supuestos!$C$8="Lognormal",LOGINV(E191,LN(Supuestos!$D$8)-LN(1+Supuestos!$E$8^2/Supuestos!$D$8^2)/2,SQRT(LN(1+Supuestos!$E$8^2/Supuestos!$D$8^2))),Supuestos!$D$8))))))</f>
        <v/>
      </c>
      <c r="M191" s="32">
        <f>MIN(IF(Supuestos!$H$9="",1E+99,Supuestos!$H$9),MAX(IF(Supuestos!$G$9="",-1E+99,Supuestos!$G$9),IF(Supuestos!$C$9="Normal",NORMINV(F191,Supuestos!$D$9,Supuestos!$E$9),IF(Supuestos!$C$9="Triangular",IF(F191&lt;(Supuestos!$E$9-Supuestos!$D$9)/(Supuestos!$F$9-Supuestos!$D$9),Supuestos!$D$9+SQRT(F191*(Supuestos!$F$9-Supuestos!$D$9)*(Supuestos!$E$9-Supuestos!$D$9)),Supuestos!$F$9-SQRT((1-F191)*(Supuestos!$F$9-Supuestos!$D$9)*(Supuestos!$F$9-Supuestos!$E$9))),IF(Supuestos!$C$9="Uniforme",Supuestos!$D$9+F191*(Supuestos!$E$9-Supuestos!$D$9),IF(Supuestos!$C$9="Lognormal",LOGINV(F191,LN(Supuestos!$D$9)-LN(1+Supuestos!$E$9^2/Supuestos!$D$9^2)/2,SQRT(LN(1+Supuestos!$E$9^2/Supuestos!$D$9^2))),Supuestos!$D$9))))))</f>
        <v/>
      </c>
      <c r="N191" s="32">
        <f>MIN(IF(Supuestos!$H$10="",1E+99,Supuestos!$H$10),MAX(IF(Supuestos!$G$10="",-1E+99,Supuestos!$G$10),IF(Supuestos!$C$10="Normal",NORMINV(G191,Supuestos!$D$10,Supuestos!$E$10),IF(Supuestos!$C$10="Triangular",IF(G191&lt;(Supuestos!$E$10-Supuestos!$D$10)/(Supuestos!$F$10-Supuestos!$D$10),Supuestos!$D$10+SQRT(G191*(Supuestos!$F$10-Supuestos!$D$10)*(Supuestos!$E$10-Supuestos!$D$10)),Supuestos!$F$10-SQRT((1-G191)*(Supuestos!$F$10-Supuestos!$D$10)*(Supuestos!$F$10-Supuestos!$E$10))),IF(Supuestos!$C$10="Uniforme",Supuestos!$D$10+G191*(Supuestos!$E$10-Supuestos!$D$10),IF(Supuestos!$C$10="Lognormal",LOGINV(G191,LN(Supuestos!$D$10)-LN(1+Supuestos!$E$10^2/Supuestos!$D$10^2)/2,SQRT(LN(1+Supuestos!$E$10^2/Supuestos!$D$10^2))),Supuestos!$D$10))))))</f>
        <v/>
      </c>
      <c r="O191" s="31">
        <f>MIN(IF(Supuestos!$H$11="",1E+99,Supuestos!$H$11),MAX(IF(Supuestos!$G$11="",-1E+99,Supuestos!$G$11),IF(Supuestos!$C$11="Normal",NORMINV(H191,Supuestos!$D$11,Supuestos!$E$11),IF(Supuestos!$C$11="Triangular",IF(H191&lt;(Supuestos!$E$11-Supuestos!$D$11)/(Supuestos!$F$11-Supuestos!$D$11),Supuestos!$D$11+SQRT(H191*(Supuestos!$F$11-Supuestos!$D$11)*(Supuestos!$E$11-Supuestos!$D$11)),Supuestos!$F$11-SQRT((1-H191)*(Supuestos!$F$11-Supuestos!$D$11)*(Supuestos!$F$11-Supuestos!$E$11))),IF(Supuestos!$C$11="Uniforme",Supuestos!$D$11+H191*(Supuestos!$E$11-Supuestos!$D$11),IF(Supuestos!$C$11="Lognormal",LOGINV(H191,LN(Supuestos!$D$11)-LN(1+Supuestos!$E$11^2/Supuestos!$D$11^2)/2,SQRT(LN(1+Supuestos!$E$11^2/Supuestos!$D$11^2))),Supuestos!$D$11))))))</f>
        <v/>
      </c>
      <c r="P191" s="33">
        <f>-I191</f>
        <v/>
      </c>
      <c r="Q191" s="33">
        <f>$J191*(1+$K191)^(1-1)*(1-$L191)*(1-$M191)</f>
        <v/>
      </c>
      <c r="R191" s="33">
        <f>$J191*(1+$K191)^(2-1)*(1-$L191)*(1-$M191)</f>
        <v/>
      </c>
      <c r="S191" s="33">
        <f>$J191*(1+$K191)^(3-1)*(1-$L191)*(1-$M191)</f>
        <v/>
      </c>
      <c r="T191" s="33">
        <f>$J191*(1+$K191)^(4-1)*(1-$L191)*(1-$M191)</f>
        <v/>
      </c>
      <c r="U191" s="33">
        <f>$J191*(1+$K191)^(5-1)*(1-$L191)*(1-$M191)+$O191</f>
        <v/>
      </c>
      <c r="V191" s="33">
        <f>P191+NPV($N191,Q191:U191)</f>
        <v/>
      </c>
      <c r="W191" s="32">
        <f>IFERROR(IRR(P191:U191,0.1),"")</f>
        <v/>
      </c>
    </row>
    <row r="192">
      <c r="A192" s="14" t="n">
        <v>188</v>
      </c>
      <c r="B192" s="30">
        <f>RAND()*(1-2E-6)+1E-6</f>
        <v/>
      </c>
      <c r="C192" s="30">
        <f>RAND()*(1-2E-6)+1E-6</f>
        <v/>
      </c>
      <c r="D192" s="30">
        <f>RAND()*(1-2E-6)+1E-6</f>
        <v/>
      </c>
      <c r="E192" s="30">
        <f>RAND()*(1-2E-6)+1E-6</f>
        <v/>
      </c>
      <c r="F192" s="30">
        <f>RAND()*(1-2E-6)+1E-6</f>
        <v/>
      </c>
      <c r="G192" s="30">
        <f>RAND()*(1-2E-6)+1E-6</f>
        <v/>
      </c>
      <c r="H192" s="30">
        <f>RAND()*(1-2E-6)+1E-6</f>
        <v/>
      </c>
      <c r="I192" s="31">
        <f>MIN(IF(Supuestos!$H$5="",1E+99,Supuestos!$H$5),MAX(IF(Supuestos!$G$5="",-1E+99,Supuestos!$G$5),IF(Supuestos!$C$5="Normal",NORMINV(B192,Supuestos!$D$5,Supuestos!$E$5),IF(Supuestos!$C$5="Triangular",IF(B192&lt;(Supuestos!$E$5-Supuestos!$D$5)/(Supuestos!$F$5-Supuestos!$D$5),Supuestos!$D$5+SQRT(B192*(Supuestos!$F$5-Supuestos!$D$5)*(Supuestos!$E$5-Supuestos!$D$5)),Supuestos!$F$5-SQRT((1-B192)*(Supuestos!$F$5-Supuestos!$D$5)*(Supuestos!$F$5-Supuestos!$E$5))),IF(Supuestos!$C$5="Uniforme",Supuestos!$D$5+B192*(Supuestos!$E$5-Supuestos!$D$5),IF(Supuestos!$C$5="Lognormal",LOGINV(B192,LN(Supuestos!$D$5)-LN(1+Supuestos!$E$5^2/Supuestos!$D$5^2)/2,SQRT(LN(1+Supuestos!$E$5^2/Supuestos!$D$5^2))),Supuestos!$D$5))))))</f>
        <v/>
      </c>
      <c r="J192" s="31">
        <f>MIN(IF(Supuestos!$H$6="",1E+99,Supuestos!$H$6),MAX(IF(Supuestos!$G$6="",-1E+99,Supuestos!$G$6),IF(Supuestos!$C$6="Normal",NORMINV(C192,Supuestos!$D$6,Supuestos!$E$6),IF(Supuestos!$C$6="Triangular",IF(C192&lt;(Supuestos!$E$6-Supuestos!$D$6)/(Supuestos!$F$6-Supuestos!$D$6),Supuestos!$D$6+SQRT(C192*(Supuestos!$F$6-Supuestos!$D$6)*(Supuestos!$E$6-Supuestos!$D$6)),Supuestos!$F$6-SQRT((1-C192)*(Supuestos!$F$6-Supuestos!$D$6)*(Supuestos!$F$6-Supuestos!$E$6))),IF(Supuestos!$C$6="Uniforme",Supuestos!$D$6+C192*(Supuestos!$E$6-Supuestos!$D$6),IF(Supuestos!$C$6="Lognormal",LOGINV(C192,LN(Supuestos!$D$6)-LN(1+Supuestos!$E$6^2/Supuestos!$D$6^2)/2,SQRT(LN(1+Supuestos!$E$6^2/Supuestos!$D$6^2))),Supuestos!$D$6))))))</f>
        <v/>
      </c>
      <c r="K192" s="32">
        <f>MIN(IF(Supuestos!$H$7="",1E+99,Supuestos!$H$7),MAX(IF(Supuestos!$G$7="",-1E+99,Supuestos!$G$7),IF(Supuestos!$C$7="Normal",NORMINV(D192,Supuestos!$D$7,Supuestos!$E$7),IF(Supuestos!$C$7="Triangular",IF(D192&lt;(Supuestos!$E$7-Supuestos!$D$7)/(Supuestos!$F$7-Supuestos!$D$7),Supuestos!$D$7+SQRT(D192*(Supuestos!$F$7-Supuestos!$D$7)*(Supuestos!$E$7-Supuestos!$D$7)),Supuestos!$F$7-SQRT((1-D192)*(Supuestos!$F$7-Supuestos!$D$7)*(Supuestos!$F$7-Supuestos!$E$7))),IF(Supuestos!$C$7="Uniforme",Supuestos!$D$7+D192*(Supuestos!$E$7-Supuestos!$D$7),IF(Supuestos!$C$7="Lognormal",LOGINV(D192,LN(Supuestos!$D$7)-LN(1+Supuestos!$E$7^2/Supuestos!$D$7^2)/2,SQRT(LN(1+Supuestos!$E$7^2/Supuestos!$D$7^2))),Supuestos!$D$7))))))</f>
        <v/>
      </c>
      <c r="L192" s="32">
        <f>MIN(IF(Supuestos!$H$8="",1E+99,Supuestos!$H$8),MAX(IF(Supuestos!$G$8="",-1E+99,Supuestos!$G$8),IF(Supuestos!$C$8="Normal",NORMINV(E192,Supuestos!$D$8,Supuestos!$E$8),IF(Supuestos!$C$8="Triangular",IF(E192&lt;(Supuestos!$E$8-Supuestos!$D$8)/(Supuestos!$F$8-Supuestos!$D$8),Supuestos!$D$8+SQRT(E192*(Supuestos!$F$8-Supuestos!$D$8)*(Supuestos!$E$8-Supuestos!$D$8)),Supuestos!$F$8-SQRT((1-E192)*(Supuestos!$F$8-Supuestos!$D$8)*(Supuestos!$F$8-Supuestos!$E$8))),IF(Supuestos!$C$8="Uniforme",Supuestos!$D$8+E192*(Supuestos!$E$8-Supuestos!$D$8),IF(Supuestos!$C$8="Lognormal",LOGINV(E192,LN(Supuestos!$D$8)-LN(1+Supuestos!$E$8^2/Supuestos!$D$8^2)/2,SQRT(LN(1+Supuestos!$E$8^2/Supuestos!$D$8^2))),Supuestos!$D$8))))))</f>
        <v/>
      </c>
      <c r="M192" s="32">
        <f>MIN(IF(Supuestos!$H$9="",1E+99,Supuestos!$H$9),MAX(IF(Supuestos!$G$9="",-1E+99,Supuestos!$G$9),IF(Supuestos!$C$9="Normal",NORMINV(F192,Supuestos!$D$9,Supuestos!$E$9),IF(Supuestos!$C$9="Triangular",IF(F192&lt;(Supuestos!$E$9-Supuestos!$D$9)/(Supuestos!$F$9-Supuestos!$D$9),Supuestos!$D$9+SQRT(F192*(Supuestos!$F$9-Supuestos!$D$9)*(Supuestos!$E$9-Supuestos!$D$9)),Supuestos!$F$9-SQRT((1-F192)*(Supuestos!$F$9-Supuestos!$D$9)*(Supuestos!$F$9-Supuestos!$E$9))),IF(Supuestos!$C$9="Uniforme",Supuestos!$D$9+F192*(Supuestos!$E$9-Supuestos!$D$9),IF(Supuestos!$C$9="Lognormal",LOGINV(F192,LN(Supuestos!$D$9)-LN(1+Supuestos!$E$9^2/Supuestos!$D$9^2)/2,SQRT(LN(1+Supuestos!$E$9^2/Supuestos!$D$9^2))),Supuestos!$D$9))))))</f>
        <v/>
      </c>
      <c r="N192" s="32">
        <f>MIN(IF(Supuestos!$H$10="",1E+99,Supuestos!$H$10),MAX(IF(Supuestos!$G$10="",-1E+99,Supuestos!$G$10),IF(Supuestos!$C$10="Normal",NORMINV(G192,Supuestos!$D$10,Supuestos!$E$10),IF(Supuestos!$C$10="Triangular",IF(G192&lt;(Supuestos!$E$10-Supuestos!$D$10)/(Supuestos!$F$10-Supuestos!$D$10),Supuestos!$D$10+SQRT(G192*(Supuestos!$F$10-Supuestos!$D$10)*(Supuestos!$E$10-Supuestos!$D$10)),Supuestos!$F$10-SQRT((1-G192)*(Supuestos!$F$10-Supuestos!$D$10)*(Supuestos!$F$10-Supuestos!$E$10))),IF(Supuestos!$C$10="Uniforme",Supuestos!$D$10+G192*(Supuestos!$E$10-Supuestos!$D$10),IF(Supuestos!$C$10="Lognormal",LOGINV(G192,LN(Supuestos!$D$10)-LN(1+Supuestos!$E$10^2/Supuestos!$D$10^2)/2,SQRT(LN(1+Supuestos!$E$10^2/Supuestos!$D$10^2))),Supuestos!$D$10))))))</f>
        <v/>
      </c>
      <c r="O192" s="31">
        <f>MIN(IF(Supuestos!$H$11="",1E+99,Supuestos!$H$11),MAX(IF(Supuestos!$G$11="",-1E+99,Supuestos!$G$11),IF(Supuestos!$C$11="Normal",NORMINV(H192,Supuestos!$D$11,Supuestos!$E$11),IF(Supuestos!$C$11="Triangular",IF(H192&lt;(Supuestos!$E$11-Supuestos!$D$11)/(Supuestos!$F$11-Supuestos!$D$11),Supuestos!$D$11+SQRT(H192*(Supuestos!$F$11-Supuestos!$D$11)*(Supuestos!$E$11-Supuestos!$D$11)),Supuestos!$F$11-SQRT((1-H192)*(Supuestos!$F$11-Supuestos!$D$11)*(Supuestos!$F$11-Supuestos!$E$11))),IF(Supuestos!$C$11="Uniforme",Supuestos!$D$11+H192*(Supuestos!$E$11-Supuestos!$D$11),IF(Supuestos!$C$11="Lognormal",LOGINV(H192,LN(Supuestos!$D$11)-LN(1+Supuestos!$E$11^2/Supuestos!$D$11^2)/2,SQRT(LN(1+Supuestos!$E$11^2/Supuestos!$D$11^2))),Supuestos!$D$11))))))</f>
        <v/>
      </c>
      <c r="P192" s="33">
        <f>-I192</f>
        <v/>
      </c>
      <c r="Q192" s="33">
        <f>$J192*(1+$K192)^(1-1)*(1-$L192)*(1-$M192)</f>
        <v/>
      </c>
      <c r="R192" s="33">
        <f>$J192*(1+$K192)^(2-1)*(1-$L192)*(1-$M192)</f>
        <v/>
      </c>
      <c r="S192" s="33">
        <f>$J192*(1+$K192)^(3-1)*(1-$L192)*(1-$M192)</f>
        <v/>
      </c>
      <c r="T192" s="33">
        <f>$J192*(1+$K192)^(4-1)*(1-$L192)*(1-$M192)</f>
        <v/>
      </c>
      <c r="U192" s="33">
        <f>$J192*(1+$K192)^(5-1)*(1-$L192)*(1-$M192)+$O192</f>
        <v/>
      </c>
      <c r="V192" s="33">
        <f>P192+NPV($N192,Q192:U192)</f>
        <v/>
      </c>
      <c r="W192" s="32">
        <f>IFERROR(IRR(P192:U192,0.1),"")</f>
        <v/>
      </c>
    </row>
    <row r="193">
      <c r="A193" s="14" t="n">
        <v>189</v>
      </c>
      <c r="B193" s="30">
        <f>RAND()*(1-2E-6)+1E-6</f>
        <v/>
      </c>
      <c r="C193" s="30">
        <f>RAND()*(1-2E-6)+1E-6</f>
        <v/>
      </c>
      <c r="D193" s="30">
        <f>RAND()*(1-2E-6)+1E-6</f>
        <v/>
      </c>
      <c r="E193" s="30">
        <f>RAND()*(1-2E-6)+1E-6</f>
        <v/>
      </c>
      <c r="F193" s="30">
        <f>RAND()*(1-2E-6)+1E-6</f>
        <v/>
      </c>
      <c r="G193" s="30">
        <f>RAND()*(1-2E-6)+1E-6</f>
        <v/>
      </c>
      <c r="H193" s="30">
        <f>RAND()*(1-2E-6)+1E-6</f>
        <v/>
      </c>
      <c r="I193" s="31">
        <f>MIN(IF(Supuestos!$H$5="",1E+99,Supuestos!$H$5),MAX(IF(Supuestos!$G$5="",-1E+99,Supuestos!$G$5),IF(Supuestos!$C$5="Normal",NORMINV(B193,Supuestos!$D$5,Supuestos!$E$5),IF(Supuestos!$C$5="Triangular",IF(B193&lt;(Supuestos!$E$5-Supuestos!$D$5)/(Supuestos!$F$5-Supuestos!$D$5),Supuestos!$D$5+SQRT(B193*(Supuestos!$F$5-Supuestos!$D$5)*(Supuestos!$E$5-Supuestos!$D$5)),Supuestos!$F$5-SQRT((1-B193)*(Supuestos!$F$5-Supuestos!$D$5)*(Supuestos!$F$5-Supuestos!$E$5))),IF(Supuestos!$C$5="Uniforme",Supuestos!$D$5+B193*(Supuestos!$E$5-Supuestos!$D$5),IF(Supuestos!$C$5="Lognormal",LOGINV(B193,LN(Supuestos!$D$5)-LN(1+Supuestos!$E$5^2/Supuestos!$D$5^2)/2,SQRT(LN(1+Supuestos!$E$5^2/Supuestos!$D$5^2))),Supuestos!$D$5))))))</f>
        <v/>
      </c>
      <c r="J193" s="31">
        <f>MIN(IF(Supuestos!$H$6="",1E+99,Supuestos!$H$6),MAX(IF(Supuestos!$G$6="",-1E+99,Supuestos!$G$6),IF(Supuestos!$C$6="Normal",NORMINV(C193,Supuestos!$D$6,Supuestos!$E$6),IF(Supuestos!$C$6="Triangular",IF(C193&lt;(Supuestos!$E$6-Supuestos!$D$6)/(Supuestos!$F$6-Supuestos!$D$6),Supuestos!$D$6+SQRT(C193*(Supuestos!$F$6-Supuestos!$D$6)*(Supuestos!$E$6-Supuestos!$D$6)),Supuestos!$F$6-SQRT((1-C193)*(Supuestos!$F$6-Supuestos!$D$6)*(Supuestos!$F$6-Supuestos!$E$6))),IF(Supuestos!$C$6="Uniforme",Supuestos!$D$6+C193*(Supuestos!$E$6-Supuestos!$D$6),IF(Supuestos!$C$6="Lognormal",LOGINV(C193,LN(Supuestos!$D$6)-LN(1+Supuestos!$E$6^2/Supuestos!$D$6^2)/2,SQRT(LN(1+Supuestos!$E$6^2/Supuestos!$D$6^2))),Supuestos!$D$6))))))</f>
        <v/>
      </c>
      <c r="K193" s="32">
        <f>MIN(IF(Supuestos!$H$7="",1E+99,Supuestos!$H$7),MAX(IF(Supuestos!$G$7="",-1E+99,Supuestos!$G$7),IF(Supuestos!$C$7="Normal",NORMINV(D193,Supuestos!$D$7,Supuestos!$E$7),IF(Supuestos!$C$7="Triangular",IF(D193&lt;(Supuestos!$E$7-Supuestos!$D$7)/(Supuestos!$F$7-Supuestos!$D$7),Supuestos!$D$7+SQRT(D193*(Supuestos!$F$7-Supuestos!$D$7)*(Supuestos!$E$7-Supuestos!$D$7)),Supuestos!$F$7-SQRT((1-D193)*(Supuestos!$F$7-Supuestos!$D$7)*(Supuestos!$F$7-Supuestos!$E$7))),IF(Supuestos!$C$7="Uniforme",Supuestos!$D$7+D193*(Supuestos!$E$7-Supuestos!$D$7),IF(Supuestos!$C$7="Lognormal",LOGINV(D193,LN(Supuestos!$D$7)-LN(1+Supuestos!$E$7^2/Supuestos!$D$7^2)/2,SQRT(LN(1+Supuestos!$E$7^2/Supuestos!$D$7^2))),Supuestos!$D$7))))))</f>
        <v/>
      </c>
      <c r="L193" s="32">
        <f>MIN(IF(Supuestos!$H$8="",1E+99,Supuestos!$H$8),MAX(IF(Supuestos!$G$8="",-1E+99,Supuestos!$G$8),IF(Supuestos!$C$8="Normal",NORMINV(E193,Supuestos!$D$8,Supuestos!$E$8),IF(Supuestos!$C$8="Triangular",IF(E193&lt;(Supuestos!$E$8-Supuestos!$D$8)/(Supuestos!$F$8-Supuestos!$D$8),Supuestos!$D$8+SQRT(E193*(Supuestos!$F$8-Supuestos!$D$8)*(Supuestos!$E$8-Supuestos!$D$8)),Supuestos!$F$8-SQRT((1-E193)*(Supuestos!$F$8-Supuestos!$D$8)*(Supuestos!$F$8-Supuestos!$E$8))),IF(Supuestos!$C$8="Uniforme",Supuestos!$D$8+E193*(Supuestos!$E$8-Supuestos!$D$8),IF(Supuestos!$C$8="Lognormal",LOGINV(E193,LN(Supuestos!$D$8)-LN(1+Supuestos!$E$8^2/Supuestos!$D$8^2)/2,SQRT(LN(1+Supuestos!$E$8^2/Supuestos!$D$8^2))),Supuestos!$D$8))))))</f>
        <v/>
      </c>
      <c r="M193" s="32">
        <f>MIN(IF(Supuestos!$H$9="",1E+99,Supuestos!$H$9),MAX(IF(Supuestos!$G$9="",-1E+99,Supuestos!$G$9),IF(Supuestos!$C$9="Normal",NORMINV(F193,Supuestos!$D$9,Supuestos!$E$9),IF(Supuestos!$C$9="Triangular",IF(F193&lt;(Supuestos!$E$9-Supuestos!$D$9)/(Supuestos!$F$9-Supuestos!$D$9),Supuestos!$D$9+SQRT(F193*(Supuestos!$F$9-Supuestos!$D$9)*(Supuestos!$E$9-Supuestos!$D$9)),Supuestos!$F$9-SQRT((1-F193)*(Supuestos!$F$9-Supuestos!$D$9)*(Supuestos!$F$9-Supuestos!$E$9))),IF(Supuestos!$C$9="Uniforme",Supuestos!$D$9+F193*(Supuestos!$E$9-Supuestos!$D$9),IF(Supuestos!$C$9="Lognormal",LOGINV(F193,LN(Supuestos!$D$9)-LN(1+Supuestos!$E$9^2/Supuestos!$D$9^2)/2,SQRT(LN(1+Supuestos!$E$9^2/Supuestos!$D$9^2))),Supuestos!$D$9))))))</f>
        <v/>
      </c>
      <c r="N193" s="32">
        <f>MIN(IF(Supuestos!$H$10="",1E+99,Supuestos!$H$10),MAX(IF(Supuestos!$G$10="",-1E+99,Supuestos!$G$10),IF(Supuestos!$C$10="Normal",NORMINV(G193,Supuestos!$D$10,Supuestos!$E$10),IF(Supuestos!$C$10="Triangular",IF(G193&lt;(Supuestos!$E$10-Supuestos!$D$10)/(Supuestos!$F$10-Supuestos!$D$10),Supuestos!$D$10+SQRT(G193*(Supuestos!$F$10-Supuestos!$D$10)*(Supuestos!$E$10-Supuestos!$D$10)),Supuestos!$F$10-SQRT((1-G193)*(Supuestos!$F$10-Supuestos!$D$10)*(Supuestos!$F$10-Supuestos!$E$10))),IF(Supuestos!$C$10="Uniforme",Supuestos!$D$10+G193*(Supuestos!$E$10-Supuestos!$D$10),IF(Supuestos!$C$10="Lognormal",LOGINV(G193,LN(Supuestos!$D$10)-LN(1+Supuestos!$E$10^2/Supuestos!$D$10^2)/2,SQRT(LN(1+Supuestos!$E$10^2/Supuestos!$D$10^2))),Supuestos!$D$10))))))</f>
        <v/>
      </c>
      <c r="O193" s="31">
        <f>MIN(IF(Supuestos!$H$11="",1E+99,Supuestos!$H$11),MAX(IF(Supuestos!$G$11="",-1E+99,Supuestos!$G$11),IF(Supuestos!$C$11="Normal",NORMINV(H193,Supuestos!$D$11,Supuestos!$E$11),IF(Supuestos!$C$11="Triangular",IF(H193&lt;(Supuestos!$E$11-Supuestos!$D$11)/(Supuestos!$F$11-Supuestos!$D$11),Supuestos!$D$11+SQRT(H193*(Supuestos!$F$11-Supuestos!$D$11)*(Supuestos!$E$11-Supuestos!$D$11)),Supuestos!$F$11-SQRT((1-H193)*(Supuestos!$F$11-Supuestos!$D$11)*(Supuestos!$F$11-Supuestos!$E$11))),IF(Supuestos!$C$11="Uniforme",Supuestos!$D$11+H193*(Supuestos!$E$11-Supuestos!$D$11),IF(Supuestos!$C$11="Lognormal",LOGINV(H193,LN(Supuestos!$D$11)-LN(1+Supuestos!$E$11^2/Supuestos!$D$11^2)/2,SQRT(LN(1+Supuestos!$E$11^2/Supuestos!$D$11^2))),Supuestos!$D$11))))))</f>
        <v/>
      </c>
      <c r="P193" s="33">
        <f>-I193</f>
        <v/>
      </c>
      <c r="Q193" s="33">
        <f>$J193*(1+$K193)^(1-1)*(1-$L193)*(1-$M193)</f>
        <v/>
      </c>
      <c r="R193" s="33">
        <f>$J193*(1+$K193)^(2-1)*(1-$L193)*(1-$M193)</f>
        <v/>
      </c>
      <c r="S193" s="33">
        <f>$J193*(1+$K193)^(3-1)*(1-$L193)*(1-$M193)</f>
        <v/>
      </c>
      <c r="T193" s="33">
        <f>$J193*(1+$K193)^(4-1)*(1-$L193)*(1-$M193)</f>
        <v/>
      </c>
      <c r="U193" s="33">
        <f>$J193*(1+$K193)^(5-1)*(1-$L193)*(1-$M193)+$O193</f>
        <v/>
      </c>
      <c r="V193" s="33">
        <f>P193+NPV($N193,Q193:U193)</f>
        <v/>
      </c>
      <c r="W193" s="32">
        <f>IFERROR(IRR(P193:U193,0.1),"")</f>
        <v/>
      </c>
    </row>
    <row r="194">
      <c r="A194" s="14" t="n">
        <v>190</v>
      </c>
      <c r="B194" s="30">
        <f>RAND()*(1-2E-6)+1E-6</f>
        <v/>
      </c>
      <c r="C194" s="30">
        <f>RAND()*(1-2E-6)+1E-6</f>
        <v/>
      </c>
      <c r="D194" s="30">
        <f>RAND()*(1-2E-6)+1E-6</f>
        <v/>
      </c>
      <c r="E194" s="30">
        <f>RAND()*(1-2E-6)+1E-6</f>
        <v/>
      </c>
      <c r="F194" s="30">
        <f>RAND()*(1-2E-6)+1E-6</f>
        <v/>
      </c>
      <c r="G194" s="30">
        <f>RAND()*(1-2E-6)+1E-6</f>
        <v/>
      </c>
      <c r="H194" s="30">
        <f>RAND()*(1-2E-6)+1E-6</f>
        <v/>
      </c>
      <c r="I194" s="31">
        <f>MIN(IF(Supuestos!$H$5="",1E+99,Supuestos!$H$5),MAX(IF(Supuestos!$G$5="",-1E+99,Supuestos!$G$5),IF(Supuestos!$C$5="Normal",NORMINV(B194,Supuestos!$D$5,Supuestos!$E$5),IF(Supuestos!$C$5="Triangular",IF(B194&lt;(Supuestos!$E$5-Supuestos!$D$5)/(Supuestos!$F$5-Supuestos!$D$5),Supuestos!$D$5+SQRT(B194*(Supuestos!$F$5-Supuestos!$D$5)*(Supuestos!$E$5-Supuestos!$D$5)),Supuestos!$F$5-SQRT((1-B194)*(Supuestos!$F$5-Supuestos!$D$5)*(Supuestos!$F$5-Supuestos!$E$5))),IF(Supuestos!$C$5="Uniforme",Supuestos!$D$5+B194*(Supuestos!$E$5-Supuestos!$D$5),IF(Supuestos!$C$5="Lognormal",LOGINV(B194,LN(Supuestos!$D$5)-LN(1+Supuestos!$E$5^2/Supuestos!$D$5^2)/2,SQRT(LN(1+Supuestos!$E$5^2/Supuestos!$D$5^2))),Supuestos!$D$5))))))</f>
        <v/>
      </c>
      <c r="J194" s="31">
        <f>MIN(IF(Supuestos!$H$6="",1E+99,Supuestos!$H$6),MAX(IF(Supuestos!$G$6="",-1E+99,Supuestos!$G$6),IF(Supuestos!$C$6="Normal",NORMINV(C194,Supuestos!$D$6,Supuestos!$E$6),IF(Supuestos!$C$6="Triangular",IF(C194&lt;(Supuestos!$E$6-Supuestos!$D$6)/(Supuestos!$F$6-Supuestos!$D$6),Supuestos!$D$6+SQRT(C194*(Supuestos!$F$6-Supuestos!$D$6)*(Supuestos!$E$6-Supuestos!$D$6)),Supuestos!$F$6-SQRT((1-C194)*(Supuestos!$F$6-Supuestos!$D$6)*(Supuestos!$F$6-Supuestos!$E$6))),IF(Supuestos!$C$6="Uniforme",Supuestos!$D$6+C194*(Supuestos!$E$6-Supuestos!$D$6),IF(Supuestos!$C$6="Lognormal",LOGINV(C194,LN(Supuestos!$D$6)-LN(1+Supuestos!$E$6^2/Supuestos!$D$6^2)/2,SQRT(LN(1+Supuestos!$E$6^2/Supuestos!$D$6^2))),Supuestos!$D$6))))))</f>
        <v/>
      </c>
      <c r="K194" s="32">
        <f>MIN(IF(Supuestos!$H$7="",1E+99,Supuestos!$H$7),MAX(IF(Supuestos!$G$7="",-1E+99,Supuestos!$G$7),IF(Supuestos!$C$7="Normal",NORMINV(D194,Supuestos!$D$7,Supuestos!$E$7),IF(Supuestos!$C$7="Triangular",IF(D194&lt;(Supuestos!$E$7-Supuestos!$D$7)/(Supuestos!$F$7-Supuestos!$D$7),Supuestos!$D$7+SQRT(D194*(Supuestos!$F$7-Supuestos!$D$7)*(Supuestos!$E$7-Supuestos!$D$7)),Supuestos!$F$7-SQRT((1-D194)*(Supuestos!$F$7-Supuestos!$D$7)*(Supuestos!$F$7-Supuestos!$E$7))),IF(Supuestos!$C$7="Uniforme",Supuestos!$D$7+D194*(Supuestos!$E$7-Supuestos!$D$7),IF(Supuestos!$C$7="Lognormal",LOGINV(D194,LN(Supuestos!$D$7)-LN(1+Supuestos!$E$7^2/Supuestos!$D$7^2)/2,SQRT(LN(1+Supuestos!$E$7^2/Supuestos!$D$7^2))),Supuestos!$D$7))))))</f>
        <v/>
      </c>
      <c r="L194" s="32">
        <f>MIN(IF(Supuestos!$H$8="",1E+99,Supuestos!$H$8),MAX(IF(Supuestos!$G$8="",-1E+99,Supuestos!$G$8),IF(Supuestos!$C$8="Normal",NORMINV(E194,Supuestos!$D$8,Supuestos!$E$8),IF(Supuestos!$C$8="Triangular",IF(E194&lt;(Supuestos!$E$8-Supuestos!$D$8)/(Supuestos!$F$8-Supuestos!$D$8),Supuestos!$D$8+SQRT(E194*(Supuestos!$F$8-Supuestos!$D$8)*(Supuestos!$E$8-Supuestos!$D$8)),Supuestos!$F$8-SQRT((1-E194)*(Supuestos!$F$8-Supuestos!$D$8)*(Supuestos!$F$8-Supuestos!$E$8))),IF(Supuestos!$C$8="Uniforme",Supuestos!$D$8+E194*(Supuestos!$E$8-Supuestos!$D$8),IF(Supuestos!$C$8="Lognormal",LOGINV(E194,LN(Supuestos!$D$8)-LN(1+Supuestos!$E$8^2/Supuestos!$D$8^2)/2,SQRT(LN(1+Supuestos!$E$8^2/Supuestos!$D$8^2))),Supuestos!$D$8))))))</f>
        <v/>
      </c>
      <c r="M194" s="32">
        <f>MIN(IF(Supuestos!$H$9="",1E+99,Supuestos!$H$9),MAX(IF(Supuestos!$G$9="",-1E+99,Supuestos!$G$9),IF(Supuestos!$C$9="Normal",NORMINV(F194,Supuestos!$D$9,Supuestos!$E$9),IF(Supuestos!$C$9="Triangular",IF(F194&lt;(Supuestos!$E$9-Supuestos!$D$9)/(Supuestos!$F$9-Supuestos!$D$9),Supuestos!$D$9+SQRT(F194*(Supuestos!$F$9-Supuestos!$D$9)*(Supuestos!$E$9-Supuestos!$D$9)),Supuestos!$F$9-SQRT((1-F194)*(Supuestos!$F$9-Supuestos!$D$9)*(Supuestos!$F$9-Supuestos!$E$9))),IF(Supuestos!$C$9="Uniforme",Supuestos!$D$9+F194*(Supuestos!$E$9-Supuestos!$D$9),IF(Supuestos!$C$9="Lognormal",LOGINV(F194,LN(Supuestos!$D$9)-LN(1+Supuestos!$E$9^2/Supuestos!$D$9^2)/2,SQRT(LN(1+Supuestos!$E$9^2/Supuestos!$D$9^2))),Supuestos!$D$9))))))</f>
        <v/>
      </c>
      <c r="N194" s="32">
        <f>MIN(IF(Supuestos!$H$10="",1E+99,Supuestos!$H$10),MAX(IF(Supuestos!$G$10="",-1E+99,Supuestos!$G$10),IF(Supuestos!$C$10="Normal",NORMINV(G194,Supuestos!$D$10,Supuestos!$E$10),IF(Supuestos!$C$10="Triangular",IF(G194&lt;(Supuestos!$E$10-Supuestos!$D$10)/(Supuestos!$F$10-Supuestos!$D$10),Supuestos!$D$10+SQRT(G194*(Supuestos!$F$10-Supuestos!$D$10)*(Supuestos!$E$10-Supuestos!$D$10)),Supuestos!$F$10-SQRT((1-G194)*(Supuestos!$F$10-Supuestos!$D$10)*(Supuestos!$F$10-Supuestos!$E$10))),IF(Supuestos!$C$10="Uniforme",Supuestos!$D$10+G194*(Supuestos!$E$10-Supuestos!$D$10),IF(Supuestos!$C$10="Lognormal",LOGINV(G194,LN(Supuestos!$D$10)-LN(1+Supuestos!$E$10^2/Supuestos!$D$10^2)/2,SQRT(LN(1+Supuestos!$E$10^2/Supuestos!$D$10^2))),Supuestos!$D$10))))))</f>
        <v/>
      </c>
      <c r="O194" s="31">
        <f>MIN(IF(Supuestos!$H$11="",1E+99,Supuestos!$H$11),MAX(IF(Supuestos!$G$11="",-1E+99,Supuestos!$G$11),IF(Supuestos!$C$11="Normal",NORMINV(H194,Supuestos!$D$11,Supuestos!$E$11),IF(Supuestos!$C$11="Triangular",IF(H194&lt;(Supuestos!$E$11-Supuestos!$D$11)/(Supuestos!$F$11-Supuestos!$D$11),Supuestos!$D$11+SQRT(H194*(Supuestos!$F$11-Supuestos!$D$11)*(Supuestos!$E$11-Supuestos!$D$11)),Supuestos!$F$11-SQRT((1-H194)*(Supuestos!$F$11-Supuestos!$D$11)*(Supuestos!$F$11-Supuestos!$E$11))),IF(Supuestos!$C$11="Uniforme",Supuestos!$D$11+H194*(Supuestos!$E$11-Supuestos!$D$11),IF(Supuestos!$C$11="Lognormal",LOGINV(H194,LN(Supuestos!$D$11)-LN(1+Supuestos!$E$11^2/Supuestos!$D$11^2)/2,SQRT(LN(1+Supuestos!$E$11^2/Supuestos!$D$11^2))),Supuestos!$D$11))))))</f>
        <v/>
      </c>
      <c r="P194" s="33">
        <f>-I194</f>
        <v/>
      </c>
      <c r="Q194" s="33">
        <f>$J194*(1+$K194)^(1-1)*(1-$L194)*(1-$M194)</f>
        <v/>
      </c>
      <c r="R194" s="33">
        <f>$J194*(1+$K194)^(2-1)*(1-$L194)*(1-$M194)</f>
        <v/>
      </c>
      <c r="S194" s="33">
        <f>$J194*(1+$K194)^(3-1)*(1-$L194)*(1-$M194)</f>
        <v/>
      </c>
      <c r="T194" s="33">
        <f>$J194*(1+$K194)^(4-1)*(1-$L194)*(1-$M194)</f>
        <v/>
      </c>
      <c r="U194" s="33">
        <f>$J194*(1+$K194)^(5-1)*(1-$L194)*(1-$M194)+$O194</f>
        <v/>
      </c>
      <c r="V194" s="33">
        <f>P194+NPV($N194,Q194:U194)</f>
        <v/>
      </c>
      <c r="W194" s="32">
        <f>IFERROR(IRR(P194:U194,0.1),"")</f>
        <v/>
      </c>
    </row>
    <row r="195">
      <c r="A195" s="14" t="n">
        <v>191</v>
      </c>
      <c r="B195" s="30">
        <f>RAND()*(1-2E-6)+1E-6</f>
        <v/>
      </c>
      <c r="C195" s="30">
        <f>RAND()*(1-2E-6)+1E-6</f>
        <v/>
      </c>
      <c r="D195" s="30">
        <f>RAND()*(1-2E-6)+1E-6</f>
        <v/>
      </c>
      <c r="E195" s="30">
        <f>RAND()*(1-2E-6)+1E-6</f>
        <v/>
      </c>
      <c r="F195" s="30">
        <f>RAND()*(1-2E-6)+1E-6</f>
        <v/>
      </c>
      <c r="G195" s="30">
        <f>RAND()*(1-2E-6)+1E-6</f>
        <v/>
      </c>
      <c r="H195" s="30">
        <f>RAND()*(1-2E-6)+1E-6</f>
        <v/>
      </c>
      <c r="I195" s="31">
        <f>MIN(IF(Supuestos!$H$5="",1E+99,Supuestos!$H$5),MAX(IF(Supuestos!$G$5="",-1E+99,Supuestos!$G$5),IF(Supuestos!$C$5="Normal",NORMINV(B195,Supuestos!$D$5,Supuestos!$E$5),IF(Supuestos!$C$5="Triangular",IF(B195&lt;(Supuestos!$E$5-Supuestos!$D$5)/(Supuestos!$F$5-Supuestos!$D$5),Supuestos!$D$5+SQRT(B195*(Supuestos!$F$5-Supuestos!$D$5)*(Supuestos!$E$5-Supuestos!$D$5)),Supuestos!$F$5-SQRT((1-B195)*(Supuestos!$F$5-Supuestos!$D$5)*(Supuestos!$F$5-Supuestos!$E$5))),IF(Supuestos!$C$5="Uniforme",Supuestos!$D$5+B195*(Supuestos!$E$5-Supuestos!$D$5),IF(Supuestos!$C$5="Lognormal",LOGINV(B195,LN(Supuestos!$D$5)-LN(1+Supuestos!$E$5^2/Supuestos!$D$5^2)/2,SQRT(LN(1+Supuestos!$E$5^2/Supuestos!$D$5^2))),Supuestos!$D$5))))))</f>
        <v/>
      </c>
      <c r="J195" s="31">
        <f>MIN(IF(Supuestos!$H$6="",1E+99,Supuestos!$H$6),MAX(IF(Supuestos!$G$6="",-1E+99,Supuestos!$G$6),IF(Supuestos!$C$6="Normal",NORMINV(C195,Supuestos!$D$6,Supuestos!$E$6),IF(Supuestos!$C$6="Triangular",IF(C195&lt;(Supuestos!$E$6-Supuestos!$D$6)/(Supuestos!$F$6-Supuestos!$D$6),Supuestos!$D$6+SQRT(C195*(Supuestos!$F$6-Supuestos!$D$6)*(Supuestos!$E$6-Supuestos!$D$6)),Supuestos!$F$6-SQRT((1-C195)*(Supuestos!$F$6-Supuestos!$D$6)*(Supuestos!$F$6-Supuestos!$E$6))),IF(Supuestos!$C$6="Uniforme",Supuestos!$D$6+C195*(Supuestos!$E$6-Supuestos!$D$6),IF(Supuestos!$C$6="Lognormal",LOGINV(C195,LN(Supuestos!$D$6)-LN(1+Supuestos!$E$6^2/Supuestos!$D$6^2)/2,SQRT(LN(1+Supuestos!$E$6^2/Supuestos!$D$6^2))),Supuestos!$D$6))))))</f>
        <v/>
      </c>
      <c r="K195" s="32">
        <f>MIN(IF(Supuestos!$H$7="",1E+99,Supuestos!$H$7),MAX(IF(Supuestos!$G$7="",-1E+99,Supuestos!$G$7),IF(Supuestos!$C$7="Normal",NORMINV(D195,Supuestos!$D$7,Supuestos!$E$7),IF(Supuestos!$C$7="Triangular",IF(D195&lt;(Supuestos!$E$7-Supuestos!$D$7)/(Supuestos!$F$7-Supuestos!$D$7),Supuestos!$D$7+SQRT(D195*(Supuestos!$F$7-Supuestos!$D$7)*(Supuestos!$E$7-Supuestos!$D$7)),Supuestos!$F$7-SQRT((1-D195)*(Supuestos!$F$7-Supuestos!$D$7)*(Supuestos!$F$7-Supuestos!$E$7))),IF(Supuestos!$C$7="Uniforme",Supuestos!$D$7+D195*(Supuestos!$E$7-Supuestos!$D$7),IF(Supuestos!$C$7="Lognormal",LOGINV(D195,LN(Supuestos!$D$7)-LN(1+Supuestos!$E$7^2/Supuestos!$D$7^2)/2,SQRT(LN(1+Supuestos!$E$7^2/Supuestos!$D$7^2))),Supuestos!$D$7))))))</f>
        <v/>
      </c>
      <c r="L195" s="32">
        <f>MIN(IF(Supuestos!$H$8="",1E+99,Supuestos!$H$8),MAX(IF(Supuestos!$G$8="",-1E+99,Supuestos!$G$8),IF(Supuestos!$C$8="Normal",NORMINV(E195,Supuestos!$D$8,Supuestos!$E$8),IF(Supuestos!$C$8="Triangular",IF(E195&lt;(Supuestos!$E$8-Supuestos!$D$8)/(Supuestos!$F$8-Supuestos!$D$8),Supuestos!$D$8+SQRT(E195*(Supuestos!$F$8-Supuestos!$D$8)*(Supuestos!$E$8-Supuestos!$D$8)),Supuestos!$F$8-SQRT((1-E195)*(Supuestos!$F$8-Supuestos!$D$8)*(Supuestos!$F$8-Supuestos!$E$8))),IF(Supuestos!$C$8="Uniforme",Supuestos!$D$8+E195*(Supuestos!$E$8-Supuestos!$D$8),IF(Supuestos!$C$8="Lognormal",LOGINV(E195,LN(Supuestos!$D$8)-LN(1+Supuestos!$E$8^2/Supuestos!$D$8^2)/2,SQRT(LN(1+Supuestos!$E$8^2/Supuestos!$D$8^2))),Supuestos!$D$8))))))</f>
        <v/>
      </c>
      <c r="M195" s="32">
        <f>MIN(IF(Supuestos!$H$9="",1E+99,Supuestos!$H$9),MAX(IF(Supuestos!$G$9="",-1E+99,Supuestos!$G$9),IF(Supuestos!$C$9="Normal",NORMINV(F195,Supuestos!$D$9,Supuestos!$E$9),IF(Supuestos!$C$9="Triangular",IF(F195&lt;(Supuestos!$E$9-Supuestos!$D$9)/(Supuestos!$F$9-Supuestos!$D$9),Supuestos!$D$9+SQRT(F195*(Supuestos!$F$9-Supuestos!$D$9)*(Supuestos!$E$9-Supuestos!$D$9)),Supuestos!$F$9-SQRT((1-F195)*(Supuestos!$F$9-Supuestos!$D$9)*(Supuestos!$F$9-Supuestos!$E$9))),IF(Supuestos!$C$9="Uniforme",Supuestos!$D$9+F195*(Supuestos!$E$9-Supuestos!$D$9),IF(Supuestos!$C$9="Lognormal",LOGINV(F195,LN(Supuestos!$D$9)-LN(1+Supuestos!$E$9^2/Supuestos!$D$9^2)/2,SQRT(LN(1+Supuestos!$E$9^2/Supuestos!$D$9^2))),Supuestos!$D$9))))))</f>
        <v/>
      </c>
      <c r="N195" s="32">
        <f>MIN(IF(Supuestos!$H$10="",1E+99,Supuestos!$H$10),MAX(IF(Supuestos!$G$10="",-1E+99,Supuestos!$G$10),IF(Supuestos!$C$10="Normal",NORMINV(G195,Supuestos!$D$10,Supuestos!$E$10),IF(Supuestos!$C$10="Triangular",IF(G195&lt;(Supuestos!$E$10-Supuestos!$D$10)/(Supuestos!$F$10-Supuestos!$D$10),Supuestos!$D$10+SQRT(G195*(Supuestos!$F$10-Supuestos!$D$10)*(Supuestos!$E$10-Supuestos!$D$10)),Supuestos!$F$10-SQRT((1-G195)*(Supuestos!$F$10-Supuestos!$D$10)*(Supuestos!$F$10-Supuestos!$E$10))),IF(Supuestos!$C$10="Uniforme",Supuestos!$D$10+G195*(Supuestos!$E$10-Supuestos!$D$10),IF(Supuestos!$C$10="Lognormal",LOGINV(G195,LN(Supuestos!$D$10)-LN(1+Supuestos!$E$10^2/Supuestos!$D$10^2)/2,SQRT(LN(1+Supuestos!$E$10^2/Supuestos!$D$10^2))),Supuestos!$D$10))))))</f>
        <v/>
      </c>
      <c r="O195" s="31">
        <f>MIN(IF(Supuestos!$H$11="",1E+99,Supuestos!$H$11),MAX(IF(Supuestos!$G$11="",-1E+99,Supuestos!$G$11),IF(Supuestos!$C$11="Normal",NORMINV(H195,Supuestos!$D$11,Supuestos!$E$11),IF(Supuestos!$C$11="Triangular",IF(H195&lt;(Supuestos!$E$11-Supuestos!$D$11)/(Supuestos!$F$11-Supuestos!$D$11),Supuestos!$D$11+SQRT(H195*(Supuestos!$F$11-Supuestos!$D$11)*(Supuestos!$E$11-Supuestos!$D$11)),Supuestos!$F$11-SQRT((1-H195)*(Supuestos!$F$11-Supuestos!$D$11)*(Supuestos!$F$11-Supuestos!$E$11))),IF(Supuestos!$C$11="Uniforme",Supuestos!$D$11+H195*(Supuestos!$E$11-Supuestos!$D$11),IF(Supuestos!$C$11="Lognormal",LOGINV(H195,LN(Supuestos!$D$11)-LN(1+Supuestos!$E$11^2/Supuestos!$D$11^2)/2,SQRT(LN(1+Supuestos!$E$11^2/Supuestos!$D$11^2))),Supuestos!$D$11))))))</f>
        <v/>
      </c>
      <c r="P195" s="33">
        <f>-I195</f>
        <v/>
      </c>
      <c r="Q195" s="33">
        <f>$J195*(1+$K195)^(1-1)*(1-$L195)*(1-$M195)</f>
        <v/>
      </c>
      <c r="R195" s="33">
        <f>$J195*(1+$K195)^(2-1)*(1-$L195)*(1-$M195)</f>
        <v/>
      </c>
      <c r="S195" s="33">
        <f>$J195*(1+$K195)^(3-1)*(1-$L195)*(1-$M195)</f>
        <v/>
      </c>
      <c r="T195" s="33">
        <f>$J195*(1+$K195)^(4-1)*(1-$L195)*(1-$M195)</f>
        <v/>
      </c>
      <c r="U195" s="33">
        <f>$J195*(1+$K195)^(5-1)*(1-$L195)*(1-$M195)+$O195</f>
        <v/>
      </c>
      <c r="V195" s="33">
        <f>P195+NPV($N195,Q195:U195)</f>
        <v/>
      </c>
      <c r="W195" s="32">
        <f>IFERROR(IRR(P195:U195,0.1),"")</f>
        <v/>
      </c>
    </row>
    <row r="196">
      <c r="A196" s="14" t="n">
        <v>192</v>
      </c>
      <c r="B196" s="30">
        <f>RAND()*(1-2E-6)+1E-6</f>
        <v/>
      </c>
      <c r="C196" s="30">
        <f>RAND()*(1-2E-6)+1E-6</f>
        <v/>
      </c>
      <c r="D196" s="30">
        <f>RAND()*(1-2E-6)+1E-6</f>
        <v/>
      </c>
      <c r="E196" s="30">
        <f>RAND()*(1-2E-6)+1E-6</f>
        <v/>
      </c>
      <c r="F196" s="30">
        <f>RAND()*(1-2E-6)+1E-6</f>
        <v/>
      </c>
      <c r="G196" s="30">
        <f>RAND()*(1-2E-6)+1E-6</f>
        <v/>
      </c>
      <c r="H196" s="30">
        <f>RAND()*(1-2E-6)+1E-6</f>
        <v/>
      </c>
      <c r="I196" s="31">
        <f>MIN(IF(Supuestos!$H$5="",1E+99,Supuestos!$H$5),MAX(IF(Supuestos!$G$5="",-1E+99,Supuestos!$G$5),IF(Supuestos!$C$5="Normal",NORMINV(B196,Supuestos!$D$5,Supuestos!$E$5),IF(Supuestos!$C$5="Triangular",IF(B196&lt;(Supuestos!$E$5-Supuestos!$D$5)/(Supuestos!$F$5-Supuestos!$D$5),Supuestos!$D$5+SQRT(B196*(Supuestos!$F$5-Supuestos!$D$5)*(Supuestos!$E$5-Supuestos!$D$5)),Supuestos!$F$5-SQRT((1-B196)*(Supuestos!$F$5-Supuestos!$D$5)*(Supuestos!$F$5-Supuestos!$E$5))),IF(Supuestos!$C$5="Uniforme",Supuestos!$D$5+B196*(Supuestos!$E$5-Supuestos!$D$5),IF(Supuestos!$C$5="Lognormal",LOGINV(B196,LN(Supuestos!$D$5)-LN(1+Supuestos!$E$5^2/Supuestos!$D$5^2)/2,SQRT(LN(1+Supuestos!$E$5^2/Supuestos!$D$5^2))),Supuestos!$D$5))))))</f>
        <v/>
      </c>
      <c r="J196" s="31">
        <f>MIN(IF(Supuestos!$H$6="",1E+99,Supuestos!$H$6),MAX(IF(Supuestos!$G$6="",-1E+99,Supuestos!$G$6),IF(Supuestos!$C$6="Normal",NORMINV(C196,Supuestos!$D$6,Supuestos!$E$6),IF(Supuestos!$C$6="Triangular",IF(C196&lt;(Supuestos!$E$6-Supuestos!$D$6)/(Supuestos!$F$6-Supuestos!$D$6),Supuestos!$D$6+SQRT(C196*(Supuestos!$F$6-Supuestos!$D$6)*(Supuestos!$E$6-Supuestos!$D$6)),Supuestos!$F$6-SQRT((1-C196)*(Supuestos!$F$6-Supuestos!$D$6)*(Supuestos!$F$6-Supuestos!$E$6))),IF(Supuestos!$C$6="Uniforme",Supuestos!$D$6+C196*(Supuestos!$E$6-Supuestos!$D$6),IF(Supuestos!$C$6="Lognormal",LOGINV(C196,LN(Supuestos!$D$6)-LN(1+Supuestos!$E$6^2/Supuestos!$D$6^2)/2,SQRT(LN(1+Supuestos!$E$6^2/Supuestos!$D$6^2))),Supuestos!$D$6))))))</f>
        <v/>
      </c>
      <c r="K196" s="32">
        <f>MIN(IF(Supuestos!$H$7="",1E+99,Supuestos!$H$7),MAX(IF(Supuestos!$G$7="",-1E+99,Supuestos!$G$7),IF(Supuestos!$C$7="Normal",NORMINV(D196,Supuestos!$D$7,Supuestos!$E$7),IF(Supuestos!$C$7="Triangular",IF(D196&lt;(Supuestos!$E$7-Supuestos!$D$7)/(Supuestos!$F$7-Supuestos!$D$7),Supuestos!$D$7+SQRT(D196*(Supuestos!$F$7-Supuestos!$D$7)*(Supuestos!$E$7-Supuestos!$D$7)),Supuestos!$F$7-SQRT((1-D196)*(Supuestos!$F$7-Supuestos!$D$7)*(Supuestos!$F$7-Supuestos!$E$7))),IF(Supuestos!$C$7="Uniforme",Supuestos!$D$7+D196*(Supuestos!$E$7-Supuestos!$D$7),IF(Supuestos!$C$7="Lognormal",LOGINV(D196,LN(Supuestos!$D$7)-LN(1+Supuestos!$E$7^2/Supuestos!$D$7^2)/2,SQRT(LN(1+Supuestos!$E$7^2/Supuestos!$D$7^2))),Supuestos!$D$7))))))</f>
        <v/>
      </c>
      <c r="L196" s="32">
        <f>MIN(IF(Supuestos!$H$8="",1E+99,Supuestos!$H$8),MAX(IF(Supuestos!$G$8="",-1E+99,Supuestos!$G$8),IF(Supuestos!$C$8="Normal",NORMINV(E196,Supuestos!$D$8,Supuestos!$E$8),IF(Supuestos!$C$8="Triangular",IF(E196&lt;(Supuestos!$E$8-Supuestos!$D$8)/(Supuestos!$F$8-Supuestos!$D$8),Supuestos!$D$8+SQRT(E196*(Supuestos!$F$8-Supuestos!$D$8)*(Supuestos!$E$8-Supuestos!$D$8)),Supuestos!$F$8-SQRT((1-E196)*(Supuestos!$F$8-Supuestos!$D$8)*(Supuestos!$F$8-Supuestos!$E$8))),IF(Supuestos!$C$8="Uniforme",Supuestos!$D$8+E196*(Supuestos!$E$8-Supuestos!$D$8),IF(Supuestos!$C$8="Lognormal",LOGINV(E196,LN(Supuestos!$D$8)-LN(1+Supuestos!$E$8^2/Supuestos!$D$8^2)/2,SQRT(LN(1+Supuestos!$E$8^2/Supuestos!$D$8^2))),Supuestos!$D$8))))))</f>
        <v/>
      </c>
      <c r="M196" s="32">
        <f>MIN(IF(Supuestos!$H$9="",1E+99,Supuestos!$H$9),MAX(IF(Supuestos!$G$9="",-1E+99,Supuestos!$G$9),IF(Supuestos!$C$9="Normal",NORMINV(F196,Supuestos!$D$9,Supuestos!$E$9),IF(Supuestos!$C$9="Triangular",IF(F196&lt;(Supuestos!$E$9-Supuestos!$D$9)/(Supuestos!$F$9-Supuestos!$D$9),Supuestos!$D$9+SQRT(F196*(Supuestos!$F$9-Supuestos!$D$9)*(Supuestos!$E$9-Supuestos!$D$9)),Supuestos!$F$9-SQRT((1-F196)*(Supuestos!$F$9-Supuestos!$D$9)*(Supuestos!$F$9-Supuestos!$E$9))),IF(Supuestos!$C$9="Uniforme",Supuestos!$D$9+F196*(Supuestos!$E$9-Supuestos!$D$9),IF(Supuestos!$C$9="Lognormal",LOGINV(F196,LN(Supuestos!$D$9)-LN(1+Supuestos!$E$9^2/Supuestos!$D$9^2)/2,SQRT(LN(1+Supuestos!$E$9^2/Supuestos!$D$9^2))),Supuestos!$D$9))))))</f>
        <v/>
      </c>
      <c r="N196" s="32">
        <f>MIN(IF(Supuestos!$H$10="",1E+99,Supuestos!$H$10),MAX(IF(Supuestos!$G$10="",-1E+99,Supuestos!$G$10),IF(Supuestos!$C$10="Normal",NORMINV(G196,Supuestos!$D$10,Supuestos!$E$10),IF(Supuestos!$C$10="Triangular",IF(G196&lt;(Supuestos!$E$10-Supuestos!$D$10)/(Supuestos!$F$10-Supuestos!$D$10),Supuestos!$D$10+SQRT(G196*(Supuestos!$F$10-Supuestos!$D$10)*(Supuestos!$E$10-Supuestos!$D$10)),Supuestos!$F$10-SQRT((1-G196)*(Supuestos!$F$10-Supuestos!$D$10)*(Supuestos!$F$10-Supuestos!$E$10))),IF(Supuestos!$C$10="Uniforme",Supuestos!$D$10+G196*(Supuestos!$E$10-Supuestos!$D$10),IF(Supuestos!$C$10="Lognormal",LOGINV(G196,LN(Supuestos!$D$10)-LN(1+Supuestos!$E$10^2/Supuestos!$D$10^2)/2,SQRT(LN(1+Supuestos!$E$10^2/Supuestos!$D$10^2))),Supuestos!$D$10))))))</f>
        <v/>
      </c>
      <c r="O196" s="31">
        <f>MIN(IF(Supuestos!$H$11="",1E+99,Supuestos!$H$11),MAX(IF(Supuestos!$G$11="",-1E+99,Supuestos!$G$11),IF(Supuestos!$C$11="Normal",NORMINV(H196,Supuestos!$D$11,Supuestos!$E$11),IF(Supuestos!$C$11="Triangular",IF(H196&lt;(Supuestos!$E$11-Supuestos!$D$11)/(Supuestos!$F$11-Supuestos!$D$11),Supuestos!$D$11+SQRT(H196*(Supuestos!$F$11-Supuestos!$D$11)*(Supuestos!$E$11-Supuestos!$D$11)),Supuestos!$F$11-SQRT((1-H196)*(Supuestos!$F$11-Supuestos!$D$11)*(Supuestos!$F$11-Supuestos!$E$11))),IF(Supuestos!$C$11="Uniforme",Supuestos!$D$11+H196*(Supuestos!$E$11-Supuestos!$D$11),IF(Supuestos!$C$11="Lognormal",LOGINV(H196,LN(Supuestos!$D$11)-LN(1+Supuestos!$E$11^2/Supuestos!$D$11^2)/2,SQRT(LN(1+Supuestos!$E$11^2/Supuestos!$D$11^2))),Supuestos!$D$11))))))</f>
        <v/>
      </c>
      <c r="P196" s="33">
        <f>-I196</f>
        <v/>
      </c>
      <c r="Q196" s="33">
        <f>$J196*(1+$K196)^(1-1)*(1-$L196)*(1-$M196)</f>
        <v/>
      </c>
      <c r="R196" s="33">
        <f>$J196*(1+$K196)^(2-1)*(1-$L196)*(1-$M196)</f>
        <v/>
      </c>
      <c r="S196" s="33">
        <f>$J196*(1+$K196)^(3-1)*(1-$L196)*(1-$M196)</f>
        <v/>
      </c>
      <c r="T196" s="33">
        <f>$J196*(1+$K196)^(4-1)*(1-$L196)*(1-$M196)</f>
        <v/>
      </c>
      <c r="U196" s="33">
        <f>$J196*(1+$K196)^(5-1)*(1-$L196)*(1-$M196)+$O196</f>
        <v/>
      </c>
      <c r="V196" s="33">
        <f>P196+NPV($N196,Q196:U196)</f>
        <v/>
      </c>
      <c r="W196" s="32">
        <f>IFERROR(IRR(P196:U196,0.1),"")</f>
        <v/>
      </c>
    </row>
    <row r="197">
      <c r="A197" s="14" t="n">
        <v>193</v>
      </c>
      <c r="B197" s="30">
        <f>RAND()*(1-2E-6)+1E-6</f>
        <v/>
      </c>
      <c r="C197" s="30">
        <f>RAND()*(1-2E-6)+1E-6</f>
        <v/>
      </c>
      <c r="D197" s="30">
        <f>RAND()*(1-2E-6)+1E-6</f>
        <v/>
      </c>
      <c r="E197" s="30">
        <f>RAND()*(1-2E-6)+1E-6</f>
        <v/>
      </c>
      <c r="F197" s="30">
        <f>RAND()*(1-2E-6)+1E-6</f>
        <v/>
      </c>
      <c r="G197" s="30">
        <f>RAND()*(1-2E-6)+1E-6</f>
        <v/>
      </c>
      <c r="H197" s="30">
        <f>RAND()*(1-2E-6)+1E-6</f>
        <v/>
      </c>
      <c r="I197" s="31">
        <f>MIN(IF(Supuestos!$H$5="",1E+99,Supuestos!$H$5),MAX(IF(Supuestos!$G$5="",-1E+99,Supuestos!$G$5),IF(Supuestos!$C$5="Normal",NORMINV(B197,Supuestos!$D$5,Supuestos!$E$5),IF(Supuestos!$C$5="Triangular",IF(B197&lt;(Supuestos!$E$5-Supuestos!$D$5)/(Supuestos!$F$5-Supuestos!$D$5),Supuestos!$D$5+SQRT(B197*(Supuestos!$F$5-Supuestos!$D$5)*(Supuestos!$E$5-Supuestos!$D$5)),Supuestos!$F$5-SQRT((1-B197)*(Supuestos!$F$5-Supuestos!$D$5)*(Supuestos!$F$5-Supuestos!$E$5))),IF(Supuestos!$C$5="Uniforme",Supuestos!$D$5+B197*(Supuestos!$E$5-Supuestos!$D$5),IF(Supuestos!$C$5="Lognormal",LOGINV(B197,LN(Supuestos!$D$5)-LN(1+Supuestos!$E$5^2/Supuestos!$D$5^2)/2,SQRT(LN(1+Supuestos!$E$5^2/Supuestos!$D$5^2))),Supuestos!$D$5))))))</f>
        <v/>
      </c>
      <c r="J197" s="31">
        <f>MIN(IF(Supuestos!$H$6="",1E+99,Supuestos!$H$6),MAX(IF(Supuestos!$G$6="",-1E+99,Supuestos!$G$6),IF(Supuestos!$C$6="Normal",NORMINV(C197,Supuestos!$D$6,Supuestos!$E$6),IF(Supuestos!$C$6="Triangular",IF(C197&lt;(Supuestos!$E$6-Supuestos!$D$6)/(Supuestos!$F$6-Supuestos!$D$6),Supuestos!$D$6+SQRT(C197*(Supuestos!$F$6-Supuestos!$D$6)*(Supuestos!$E$6-Supuestos!$D$6)),Supuestos!$F$6-SQRT((1-C197)*(Supuestos!$F$6-Supuestos!$D$6)*(Supuestos!$F$6-Supuestos!$E$6))),IF(Supuestos!$C$6="Uniforme",Supuestos!$D$6+C197*(Supuestos!$E$6-Supuestos!$D$6),IF(Supuestos!$C$6="Lognormal",LOGINV(C197,LN(Supuestos!$D$6)-LN(1+Supuestos!$E$6^2/Supuestos!$D$6^2)/2,SQRT(LN(1+Supuestos!$E$6^2/Supuestos!$D$6^2))),Supuestos!$D$6))))))</f>
        <v/>
      </c>
      <c r="K197" s="32">
        <f>MIN(IF(Supuestos!$H$7="",1E+99,Supuestos!$H$7),MAX(IF(Supuestos!$G$7="",-1E+99,Supuestos!$G$7),IF(Supuestos!$C$7="Normal",NORMINV(D197,Supuestos!$D$7,Supuestos!$E$7),IF(Supuestos!$C$7="Triangular",IF(D197&lt;(Supuestos!$E$7-Supuestos!$D$7)/(Supuestos!$F$7-Supuestos!$D$7),Supuestos!$D$7+SQRT(D197*(Supuestos!$F$7-Supuestos!$D$7)*(Supuestos!$E$7-Supuestos!$D$7)),Supuestos!$F$7-SQRT((1-D197)*(Supuestos!$F$7-Supuestos!$D$7)*(Supuestos!$F$7-Supuestos!$E$7))),IF(Supuestos!$C$7="Uniforme",Supuestos!$D$7+D197*(Supuestos!$E$7-Supuestos!$D$7),IF(Supuestos!$C$7="Lognormal",LOGINV(D197,LN(Supuestos!$D$7)-LN(1+Supuestos!$E$7^2/Supuestos!$D$7^2)/2,SQRT(LN(1+Supuestos!$E$7^2/Supuestos!$D$7^2))),Supuestos!$D$7))))))</f>
        <v/>
      </c>
      <c r="L197" s="32">
        <f>MIN(IF(Supuestos!$H$8="",1E+99,Supuestos!$H$8),MAX(IF(Supuestos!$G$8="",-1E+99,Supuestos!$G$8),IF(Supuestos!$C$8="Normal",NORMINV(E197,Supuestos!$D$8,Supuestos!$E$8),IF(Supuestos!$C$8="Triangular",IF(E197&lt;(Supuestos!$E$8-Supuestos!$D$8)/(Supuestos!$F$8-Supuestos!$D$8),Supuestos!$D$8+SQRT(E197*(Supuestos!$F$8-Supuestos!$D$8)*(Supuestos!$E$8-Supuestos!$D$8)),Supuestos!$F$8-SQRT((1-E197)*(Supuestos!$F$8-Supuestos!$D$8)*(Supuestos!$F$8-Supuestos!$E$8))),IF(Supuestos!$C$8="Uniforme",Supuestos!$D$8+E197*(Supuestos!$E$8-Supuestos!$D$8),IF(Supuestos!$C$8="Lognormal",LOGINV(E197,LN(Supuestos!$D$8)-LN(1+Supuestos!$E$8^2/Supuestos!$D$8^2)/2,SQRT(LN(1+Supuestos!$E$8^2/Supuestos!$D$8^2))),Supuestos!$D$8))))))</f>
        <v/>
      </c>
      <c r="M197" s="32">
        <f>MIN(IF(Supuestos!$H$9="",1E+99,Supuestos!$H$9),MAX(IF(Supuestos!$G$9="",-1E+99,Supuestos!$G$9),IF(Supuestos!$C$9="Normal",NORMINV(F197,Supuestos!$D$9,Supuestos!$E$9),IF(Supuestos!$C$9="Triangular",IF(F197&lt;(Supuestos!$E$9-Supuestos!$D$9)/(Supuestos!$F$9-Supuestos!$D$9),Supuestos!$D$9+SQRT(F197*(Supuestos!$F$9-Supuestos!$D$9)*(Supuestos!$E$9-Supuestos!$D$9)),Supuestos!$F$9-SQRT((1-F197)*(Supuestos!$F$9-Supuestos!$D$9)*(Supuestos!$F$9-Supuestos!$E$9))),IF(Supuestos!$C$9="Uniforme",Supuestos!$D$9+F197*(Supuestos!$E$9-Supuestos!$D$9),IF(Supuestos!$C$9="Lognormal",LOGINV(F197,LN(Supuestos!$D$9)-LN(1+Supuestos!$E$9^2/Supuestos!$D$9^2)/2,SQRT(LN(1+Supuestos!$E$9^2/Supuestos!$D$9^2))),Supuestos!$D$9))))))</f>
        <v/>
      </c>
      <c r="N197" s="32">
        <f>MIN(IF(Supuestos!$H$10="",1E+99,Supuestos!$H$10),MAX(IF(Supuestos!$G$10="",-1E+99,Supuestos!$G$10),IF(Supuestos!$C$10="Normal",NORMINV(G197,Supuestos!$D$10,Supuestos!$E$10),IF(Supuestos!$C$10="Triangular",IF(G197&lt;(Supuestos!$E$10-Supuestos!$D$10)/(Supuestos!$F$10-Supuestos!$D$10),Supuestos!$D$10+SQRT(G197*(Supuestos!$F$10-Supuestos!$D$10)*(Supuestos!$E$10-Supuestos!$D$10)),Supuestos!$F$10-SQRT((1-G197)*(Supuestos!$F$10-Supuestos!$D$10)*(Supuestos!$F$10-Supuestos!$E$10))),IF(Supuestos!$C$10="Uniforme",Supuestos!$D$10+G197*(Supuestos!$E$10-Supuestos!$D$10),IF(Supuestos!$C$10="Lognormal",LOGINV(G197,LN(Supuestos!$D$10)-LN(1+Supuestos!$E$10^2/Supuestos!$D$10^2)/2,SQRT(LN(1+Supuestos!$E$10^2/Supuestos!$D$10^2))),Supuestos!$D$10))))))</f>
        <v/>
      </c>
      <c r="O197" s="31">
        <f>MIN(IF(Supuestos!$H$11="",1E+99,Supuestos!$H$11),MAX(IF(Supuestos!$G$11="",-1E+99,Supuestos!$G$11),IF(Supuestos!$C$11="Normal",NORMINV(H197,Supuestos!$D$11,Supuestos!$E$11),IF(Supuestos!$C$11="Triangular",IF(H197&lt;(Supuestos!$E$11-Supuestos!$D$11)/(Supuestos!$F$11-Supuestos!$D$11),Supuestos!$D$11+SQRT(H197*(Supuestos!$F$11-Supuestos!$D$11)*(Supuestos!$E$11-Supuestos!$D$11)),Supuestos!$F$11-SQRT((1-H197)*(Supuestos!$F$11-Supuestos!$D$11)*(Supuestos!$F$11-Supuestos!$E$11))),IF(Supuestos!$C$11="Uniforme",Supuestos!$D$11+H197*(Supuestos!$E$11-Supuestos!$D$11),IF(Supuestos!$C$11="Lognormal",LOGINV(H197,LN(Supuestos!$D$11)-LN(1+Supuestos!$E$11^2/Supuestos!$D$11^2)/2,SQRT(LN(1+Supuestos!$E$11^2/Supuestos!$D$11^2))),Supuestos!$D$11))))))</f>
        <v/>
      </c>
      <c r="P197" s="33">
        <f>-I197</f>
        <v/>
      </c>
      <c r="Q197" s="33">
        <f>$J197*(1+$K197)^(1-1)*(1-$L197)*(1-$M197)</f>
        <v/>
      </c>
      <c r="R197" s="33">
        <f>$J197*(1+$K197)^(2-1)*(1-$L197)*(1-$M197)</f>
        <v/>
      </c>
      <c r="S197" s="33">
        <f>$J197*(1+$K197)^(3-1)*(1-$L197)*(1-$M197)</f>
        <v/>
      </c>
      <c r="T197" s="33">
        <f>$J197*(1+$K197)^(4-1)*(1-$L197)*(1-$M197)</f>
        <v/>
      </c>
      <c r="U197" s="33">
        <f>$J197*(1+$K197)^(5-1)*(1-$L197)*(1-$M197)+$O197</f>
        <v/>
      </c>
      <c r="V197" s="33">
        <f>P197+NPV($N197,Q197:U197)</f>
        <v/>
      </c>
      <c r="W197" s="32">
        <f>IFERROR(IRR(P197:U197,0.1),"")</f>
        <v/>
      </c>
    </row>
    <row r="198">
      <c r="A198" s="14" t="n">
        <v>194</v>
      </c>
      <c r="B198" s="30">
        <f>RAND()*(1-2E-6)+1E-6</f>
        <v/>
      </c>
      <c r="C198" s="30">
        <f>RAND()*(1-2E-6)+1E-6</f>
        <v/>
      </c>
      <c r="D198" s="30">
        <f>RAND()*(1-2E-6)+1E-6</f>
        <v/>
      </c>
      <c r="E198" s="30">
        <f>RAND()*(1-2E-6)+1E-6</f>
        <v/>
      </c>
      <c r="F198" s="30">
        <f>RAND()*(1-2E-6)+1E-6</f>
        <v/>
      </c>
      <c r="G198" s="30">
        <f>RAND()*(1-2E-6)+1E-6</f>
        <v/>
      </c>
      <c r="H198" s="30">
        <f>RAND()*(1-2E-6)+1E-6</f>
        <v/>
      </c>
      <c r="I198" s="31">
        <f>MIN(IF(Supuestos!$H$5="",1E+99,Supuestos!$H$5),MAX(IF(Supuestos!$G$5="",-1E+99,Supuestos!$G$5),IF(Supuestos!$C$5="Normal",NORMINV(B198,Supuestos!$D$5,Supuestos!$E$5),IF(Supuestos!$C$5="Triangular",IF(B198&lt;(Supuestos!$E$5-Supuestos!$D$5)/(Supuestos!$F$5-Supuestos!$D$5),Supuestos!$D$5+SQRT(B198*(Supuestos!$F$5-Supuestos!$D$5)*(Supuestos!$E$5-Supuestos!$D$5)),Supuestos!$F$5-SQRT((1-B198)*(Supuestos!$F$5-Supuestos!$D$5)*(Supuestos!$F$5-Supuestos!$E$5))),IF(Supuestos!$C$5="Uniforme",Supuestos!$D$5+B198*(Supuestos!$E$5-Supuestos!$D$5),IF(Supuestos!$C$5="Lognormal",LOGINV(B198,LN(Supuestos!$D$5)-LN(1+Supuestos!$E$5^2/Supuestos!$D$5^2)/2,SQRT(LN(1+Supuestos!$E$5^2/Supuestos!$D$5^2))),Supuestos!$D$5))))))</f>
        <v/>
      </c>
      <c r="J198" s="31">
        <f>MIN(IF(Supuestos!$H$6="",1E+99,Supuestos!$H$6),MAX(IF(Supuestos!$G$6="",-1E+99,Supuestos!$G$6),IF(Supuestos!$C$6="Normal",NORMINV(C198,Supuestos!$D$6,Supuestos!$E$6),IF(Supuestos!$C$6="Triangular",IF(C198&lt;(Supuestos!$E$6-Supuestos!$D$6)/(Supuestos!$F$6-Supuestos!$D$6),Supuestos!$D$6+SQRT(C198*(Supuestos!$F$6-Supuestos!$D$6)*(Supuestos!$E$6-Supuestos!$D$6)),Supuestos!$F$6-SQRT((1-C198)*(Supuestos!$F$6-Supuestos!$D$6)*(Supuestos!$F$6-Supuestos!$E$6))),IF(Supuestos!$C$6="Uniforme",Supuestos!$D$6+C198*(Supuestos!$E$6-Supuestos!$D$6),IF(Supuestos!$C$6="Lognormal",LOGINV(C198,LN(Supuestos!$D$6)-LN(1+Supuestos!$E$6^2/Supuestos!$D$6^2)/2,SQRT(LN(1+Supuestos!$E$6^2/Supuestos!$D$6^2))),Supuestos!$D$6))))))</f>
        <v/>
      </c>
      <c r="K198" s="32">
        <f>MIN(IF(Supuestos!$H$7="",1E+99,Supuestos!$H$7),MAX(IF(Supuestos!$G$7="",-1E+99,Supuestos!$G$7),IF(Supuestos!$C$7="Normal",NORMINV(D198,Supuestos!$D$7,Supuestos!$E$7),IF(Supuestos!$C$7="Triangular",IF(D198&lt;(Supuestos!$E$7-Supuestos!$D$7)/(Supuestos!$F$7-Supuestos!$D$7),Supuestos!$D$7+SQRT(D198*(Supuestos!$F$7-Supuestos!$D$7)*(Supuestos!$E$7-Supuestos!$D$7)),Supuestos!$F$7-SQRT((1-D198)*(Supuestos!$F$7-Supuestos!$D$7)*(Supuestos!$F$7-Supuestos!$E$7))),IF(Supuestos!$C$7="Uniforme",Supuestos!$D$7+D198*(Supuestos!$E$7-Supuestos!$D$7),IF(Supuestos!$C$7="Lognormal",LOGINV(D198,LN(Supuestos!$D$7)-LN(1+Supuestos!$E$7^2/Supuestos!$D$7^2)/2,SQRT(LN(1+Supuestos!$E$7^2/Supuestos!$D$7^2))),Supuestos!$D$7))))))</f>
        <v/>
      </c>
      <c r="L198" s="32">
        <f>MIN(IF(Supuestos!$H$8="",1E+99,Supuestos!$H$8),MAX(IF(Supuestos!$G$8="",-1E+99,Supuestos!$G$8),IF(Supuestos!$C$8="Normal",NORMINV(E198,Supuestos!$D$8,Supuestos!$E$8),IF(Supuestos!$C$8="Triangular",IF(E198&lt;(Supuestos!$E$8-Supuestos!$D$8)/(Supuestos!$F$8-Supuestos!$D$8),Supuestos!$D$8+SQRT(E198*(Supuestos!$F$8-Supuestos!$D$8)*(Supuestos!$E$8-Supuestos!$D$8)),Supuestos!$F$8-SQRT((1-E198)*(Supuestos!$F$8-Supuestos!$D$8)*(Supuestos!$F$8-Supuestos!$E$8))),IF(Supuestos!$C$8="Uniforme",Supuestos!$D$8+E198*(Supuestos!$E$8-Supuestos!$D$8),IF(Supuestos!$C$8="Lognormal",LOGINV(E198,LN(Supuestos!$D$8)-LN(1+Supuestos!$E$8^2/Supuestos!$D$8^2)/2,SQRT(LN(1+Supuestos!$E$8^2/Supuestos!$D$8^2))),Supuestos!$D$8))))))</f>
        <v/>
      </c>
      <c r="M198" s="32">
        <f>MIN(IF(Supuestos!$H$9="",1E+99,Supuestos!$H$9),MAX(IF(Supuestos!$G$9="",-1E+99,Supuestos!$G$9),IF(Supuestos!$C$9="Normal",NORMINV(F198,Supuestos!$D$9,Supuestos!$E$9),IF(Supuestos!$C$9="Triangular",IF(F198&lt;(Supuestos!$E$9-Supuestos!$D$9)/(Supuestos!$F$9-Supuestos!$D$9),Supuestos!$D$9+SQRT(F198*(Supuestos!$F$9-Supuestos!$D$9)*(Supuestos!$E$9-Supuestos!$D$9)),Supuestos!$F$9-SQRT((1-F198)*(Supuestos!$F$9-Supuestos!$D$9)*(Supuestos!$F$9-Supuestos!$E$9))),IF(Supuestos!$C$9="Uniforme",Supuestos!$D$9+F198*(Supuestos!$E$9-Supuestos!$D$9),IF(Supuestos!$C$9="Lognormal",LOGINV(F198,LN(Supuestos!$D$9)-LN(1+Supuestos!$E$9^2/Supuestos!$D$9^2)/2,SQRT(LN(1+Supuestos!$E$9^2/Supuestos!$D$9^2))),Supuestos!$D$9))))))</f>
        <v/>
      </c>
      <c r="N198" s="32">
        <f>MIN(IF(Supuestos!$H$10="",1E+99,Supuestos!$H$10),MAX(IF(Supuestos!$G$10="",-1E+99,Supuestos!$G$10),IF(Supuestos!$C$10="Normal",NORMINV(G198,Supuestos!$D$10,Supuestos!$E$10),IF(Supuestos!$C$10="Triangular",IF(G198&lt;(Supuestos!$E$10-Supuestos!$D$10)/(Supuestos!$F$10-Supuestos!$D$10),Supuestos!$D$10+SQRT(G198*(Supuestos!$F$10-Supuestos!$D$10)*(Supuestos!$E$10-Supuestos!$D$10)),Supuestos!$F$10-SQRT((1-G198)*(Supuestos!$F$10-Supuestos!$D$10)*(Supuestos!$F$10-Supuestos!$E$10))),IF(Supuestos!$C$10="Uniforme",Supuestos!$D$10+G198*(Supuestos!$E$10-Supuestos!$D$10),IF(Supuestos!$C$10="Lognormal",LOGINV(G198,LN(Supuestos!$D$10)-LN(1+Supuestos!$E$10^2/Supuestos!$D$10^2)/2,SQRT(LN(1+Supuestos!$E$10^2/Supuestos!$D$10^2))),Supuestos!$D$10))))))</f>
        <v/>
      </c>
      <c r="O198" s="31">
        <f>MIN(IF(Supuestos!$H$11="",1E+99,Supuestos!$H$11),MAX(IF(Supuestos!$G$11="",-1E+99,Supuestos!$G$11),IF(Supuestos!$C$11="Normal",NORMINV(H198,Supuestos!$D$11,Supuestos!$E$11),IF(Supuestos!$C$11="Triangular",IF(H198&lt;(Supuestos!$E$11-Supuestos!$D$11)/(Supuestos!$F$11-Supuestos!$D$11),Supuestos!$D$11+SQRT(H198*(Supuestos!$F$11-Supuestos!$D$11)*(Supuestos!$E$11-Supuestos!$D$11)),Supuestos!$F$11-SQRT((1-H198)*(Supuestos!$F$11-Supuestos!$D$11)*(Supuestos!$F$11-Supuestos!$E$11))),IF(Supuestos!$C$11="Uniforme",Supuestos!$D$11+H198*(Supuestos!$E$11-Supuestos!$D$11),IF(Supuestos!$C$11="Lognormal",LOGINV(H198,LN(Supuestos!$D$11)-LN(1+Supuestos!$E$11^2/Supuestos!$D$11^2)/2,SQRT(LN(1+Supuestos!$E$11^2/Supuestos!$D$11^2))),Supuestos!$D$11))))))</f>
        <v/>
      </c>
      <c r="P198" s="33">
        <f>-I198</f>
        <v/>
      </c>
      <c r="Q198" s="33">
        <f>$J198*(1+$K198)^(1-1)*(1-$L198)*(1-$M198)</f>
        <v/>
      </c>
      <c r="R198" s="33">
        <f>$J198*(1+$K198)^(2-1)*(1-$L198)*(1-$M198)</f>
        <v/>
      </c>
      <c r="S198" s="33">
        <f>$J198*(1+$K198)^(3-1)*(1-$L198)*(1-$M198)</f>
        <v/>
      </c>
      <c r="T198" s="33">
        <f>$J198*(1+$K198)^(4-1)*(1-$L198)*(1-$M198)</f>
        <v/>
      </c>
      <c r="U198" s="33">
        <f>$J198*(1+$K198)^(5-1)*(1-$L198)*(1-$M198)+$O198</f>
        <v/>
      </c>
      <c r="V198" s="33">
        <f>P198+NPV($N198,Q198:U198)</f>
        <v/>
      </c>
      <c r="W198" s="32">
        <f>IFERROR(IRR(P198:U198,0.1),"")</f>
        <v/>
      </c>
    </row>
    <row r="199">
      <c r="A199" s="14" t="n">
        <v>195</v>
      </c>
      <c r="B199" s="30">
        <f>RAND()*(1-2E-6)+1E-6</f>
        <v/>
      </c>
      <c r="C199" s="30">
        <f>RAND()*(1-2E-6)+1E-6</f>
        <v/>
      </c>
      <c r="D199" s="30">
        <f>RAND()*(1-2E-6)+1E-6</f>
        <v/>
      </c>
      <c r="E199" s="30">
        <f>RAND()*(1-2E-6)+1E-6</f>
        <v/>
      </c>
      <c r="F199" s="30">
        <f>RAND()*(1-2E-6)+1E-6</f>
        <v/>
      </c>
      <c r="G199" s="30">
        <f>RAND()*(1-2E-6)+1E-6</f>
        <v/>
      </c>
      <c r="H199" s="30">
        <f>RAND()*(1-2E-6)+1E-6</f>
        <v/>
      </c>
      <c r="I199" s="31">
        <f>MIN(IF(Supuestos!$H$5="",1E+99,Supuestos!$H$5),MAX(IF(Supuestos!$G$5="",-1E+99,Supuestos!$G$5),IF(Supuestos!$C$5="Normal",NORMINV(B199,Supuestos!$D$5,Supuestos!$E$5),IF(Supuestos!$C$5="Triangular",IF(B199&lt;(Supuestos!$E$5-Supuestos!$D$5)/(Supuestos!$F$5-Supuestos!$D$5),Supuestos!$D$5+SQRT(B199*(Supuestos!$F$5-Supuestos!$D$5)*(Supuestos!$E$5-Supuestos!$D$5)),Supuestos!$F$5-SQRT((1-B199)*(Supuestos!$F$5-Supuestos!$D$5)*(Supuestos!$F$5-Supuestos!$E$5))),IF(Supuestos!$C$5="Uniforme",Supuestos!$D$5+B199*(Supuestos!$E$5-Supuestos!$D$5),IF(Supuestos!$C$5="Lognormal",LOGINV(B199,LN(Supuestos!$D$5)-LN(1+Supuestos!$E$5^2/Supuestos!$D$5^2)/2,SQRT(LN(1+Supuestos!$E$5^2/Supuestos!$D$5^2))),Supuestos!$D$5))))))</f>
        <v/>
      </c>
      <c r="J199" s="31">
        <f>MIN(IF(Supuestos!$H$6="",1E+99,Supuestos!$H$6),MAX(IF(Supuestos!$G$6="",-1E+99,Supuestos!$G$6),IF(Supuestos!$C$6="Normal",NORMINV(C199,Supuestos!$D$6,Supuestos!$E$6),IF(Supuestos!$C$6="Triangular",IF(C199&lt;(Supuestos!$E$6-Supuestos!$D$6)/(Supuestos!$F$6-Supuestos!$D$6),Supuestos!$D$6+SQRT(C199*(Supuestos!$F$6-Supuestos!$D$6)*(Supuestos!$E$6-Supuestos!$D$6)),Supuestos!$F$6-SQRT((1-C199)*(Supuestos!$F$6-Supuestos!$D$6)*(Supuestos!$F$6-Supuestos!$E$6))),IF(Supuestos!$C$6="Uniforme",Supuestos!$D$6+C199*(Supuestos!$E$6-Supuestos!$D$6),IF(Supuestos!$C$6="Lognormal",LOGINV(C199,LN(Supuestos!$D$6)-LN(1+Supuestos!$E$6^2/Supuestos!$D$6^2)/2,SQRT(LN(1+Supuestos!$E$6^2/Supuestos!$D$6^2))),Supuestos!$D$6))))))</f>
        <v/>
      </c>
      <c r="K199" s="32">
        <f>MIN(IF(Supuestos!$H$7="",1E+99,Supuestos!$H$7),MAX(IF(Supuestos!$G$7="",-1E+99,Supuestos!$G$7),IF(Supuestos!$C$7="Normal",NORMINV(D199,Supuestos!$D$7,Supuestos!$E$7),IF(Supuestos!$C$7="Triangular",IF(D199&lt;(Supuestos!$E$7-Supuestos!$D$7)/(Supuestos!$F$7-Supuestos!$D$7),Supuestos!$D$7+SQRT(D199*(Supuestos!$F$7-Supuestos!$D$7)*(Supuestos!$E$7-Supuestos!$D$7)),Supuestos!$F$7-SQRT((1-D199)*(Supuestos!$F$7-Supuestos!$D$7)*(Supuestos!$F$7-Supuestos!$E$7))),IF(Supuestos!$C$7="Uniforme",Supuestos!$D$7+D199*(Supuestos!$E$7-Supuestos!$D$7),IF(Supuestos!$C$7="Lognormal",LOGINV(D199,LN(Supuestos!$D$7)-LN(1+Supuestos!$E$7^2/Supuestos!$D$7^2)/2,SQRT(LN(1+Supuestos!$E$7^2/Supuestos!$D$7^2))),Supuestos!$D$7))))))</f>
        <v/>
      </c>
      <c r="L199" s="32">
        <f>MIN(IF(Supuestos!$H$8="",1E+99,Supuestos!$H$8),MAX(IF(Supuestos!$G$8="",-1E+99,Supuestos!$G$8),IF(Supuestos!$C$8="Normal",NORMINV(E199,Supuestos!$D$8,Supuestos!$E$8),IF(Supuestos!$C$8="Triangular",IF(E199&lt;(Supuestos!$E$8-Supuestos!$D$8)/(Supuestos!$F$8-Supuestos!$D$8),Supuestos!$D$8+SQRT(E199*(Supuestos!$F$8-Supuestos!$D$8)*(Supuestos!$E$8-Supuestos!$D$8)),Supuestos!$F$8-SQRT((1-E199)*(Supuestos!$F$8-Supuestos!$D$8)*(Supuestos!$F$8-Supuestos!$E$8))),IF(Supuestos!$C$8="Uniforme",Supuestos!$D$8+E199*(Supuestos!$E$8-Supuestos!$D$8),IF(Supuestos!$C$8="Lognormal",LOGINV(E199,LN(Supuestos!$D$8)-LN(1+Supuestos!$E$8^2/Supuestos!$D$8^2)/2,SQRT(LN(1+Supuestos!$E$8^2/Supuestos!$D$8^2))),Supuestos!$D$8))))))</f>
        <v/>
      </c>
      <c r="M199" s="32">
        <f>MIN(IF(Supuestos!$H$9="",1E+99,Supuestos!$H$9),MAX(IF(Supuestos!$G$9="",-1E+99,Supuestos!$G$9),IF(Supuestos!$C$9="Normal",NORMINV(F199,Supuestos!$D$9,Supuestos!$E$9),IF(Supuestos!$C$9="Triangular",IF(F199&lt;(Supuestos!$E$9-Supuestos!$D$9)/(Supuestos!$F$9-Supuestos!$D$9),Supuestos!$D$9+SQRT(F199*(Supuestos!$F$9-Supuestos!$D$9)*(Supuestos!$E$9-Supuestos!$D$9)),Supuestos!$F$9-SQRT((1-F199)*(Supuestos!$F$9-Supuestos!$D$9)*(Supuestos!$F$9-Supuestos!$E$9))),IF(Supuestos!$C$9="Uniforme",Supuestos!$D$9+F199*(Supuestos!$E$9-Supuestos!$D$9),IF(Supuestos!$C$9="Lognormal",LOGINV(F199,LN(Supuestos!$D$9)-LN(1+Supuestos!$E$9^2/Supuestos!$D$9^2)/2,SQRT(LN(1+Supuestos!$E$9^2/Supuestos!$D$9^2))),Supuestos!$D$9))))))</f>
        <v/>
      </c>
      <c r="N199" s="32">
        <f>MIN(IF(Supuestos!$H$10="",1E+99,Supuestos!$H$10),MAX(IF(Supuestos!$G$10="",-1E+99,Supuestos!$G$10),IF(Supuestos!$C$10="Normal",NORMINV(G199,Supuestos!$D$10,Supuestos!$E$10),IF(Supuestos!$C$10="Triangular",IF(G199&lt;(Supuestos!$E$10-Supuestos!$D$10)/(Supuestos!$F$10-Supuestos!$D$10),Supuestos!$D$10+SQRT(G199*(Supuestos!$F$10-Supuestos!$D$10)*(Supuestos!$E$10-Supuestos!$D$10)),Supuestos!$F$10-SQRT((1-G199)*(Supuestos!$F$10-Supuestos!$D$10)*(Supuestos!$F$10-Supuestos!$E$10))),IF(Supuestos!$C$10="Uniforme",Supuestos!$D$10+G199*(Supuestos!$E$10-Supuestos!$D$10),IF(Supuestos!$C$10="Lognormal",LOGINV(G199,LN(Supuestos!$D$10)-LN(1+Supuestos!$E$10^2/Supuestos!$D$10^2)/2,SQRT(LN(1+Supuestos!$E$10^2/Supuestos!$D$10^2))),Supuestos!$D$10))))))</f>
        <v/>
      </c>
      <c r="O199" s="31">
        <f>MIN(IF(Supuestos!$H$11="",1E+99,Supuestos!$H$11),MAX(IF(Supuestos!$G$11="",-1E+99,Supuestos!$G$11),IF(Supuestos!$C$11="Normal",NORMINV(H199,Supuestos!$D$11,Supuestos!$E$11),IF(Supuestos!$C$11="Triangular",IF(H199&lt;(Supuestos!$E$11-Supuestos!$D$11)/(Supuestos!$F$11-Supuestos!$D$11),Supuestos!$D$11+SQRT(H199*(Supuestos!$F$11-Supuestos!$D$11)*(Supuestos!$E$11-Supuestos!$D$11)),Supuestos!$F$11-SQRT((1-H199)*(Supuestos!$F$11-Supuestos!$D$11)*(Supuestos!$F$11-Supuestos!$E$11))),IF(Supuestos!$C$11="Uniforme",Supuestos!$D$11+H199*(Supuestos!$E$11-Supuestos!$D$11),IF(Supuestos!$C$11="Lognormal",LOGINV(H199,LN(Supuestos!$D$11)-LN(1+Supuestos!$E$11^2/Supuestos!$D$11^2)/2,SQRT(LN(1+Supuestos!$E$11^2/Supuestos!$D$11^2))),Supuestos!$D$11))))))</f>
        <v/>
      </c>
      <c r="P199" s="33">
        <f>-I199</f>
        <v/>
      </c>
      <c r="Q199" s="33">
        <f>$J199*(1+$K199)^(1-1)*(1-$L199)*(1-$M199)</f>
        <v/>
      </c>
      <c r="R199" s="33">
        <f>$J199*(1+$K199)^(2-1)*(1-$L199)*(1-$M199)</f>
        <v/>
      </c>
      <c r="S199" s="33">
        <f>$J199*(1+$K199)^(3-1)*(1-$L199)*(1-$M199)</f>
        <v/>
      </c>
      <c r="T199" s="33">
        <f>$J199*(1+$K199)^(4-1)*(1-$L199)*(1-$M199)</f>
        <v/>
      </c>
      <c r="U199" s="33">
        <f>$J199*(1+$K199)^(5-1)*(1-$L199)*(1-$M199)+$O199</f>
        <v/>
      </c>
      <c r="V199" s="33">
        <f>P199+NPV($N199,Q199:U199)</f>
        <v/>
      </c>
      <c r="W199" s="32">
        <f>IFERROR(IRR(P199:U199,0.1),"")</f>
        <v/>
      </c>
    </row>
    <row r="200">
      <c r="A200" s="14" t="n">
        <v>196</v>
      </c>
      <c r="B200" s="30">
        <f>RAND()*(1-2E-6)+1E-6</f>
        <v/>
      </c>
      <c r="C200" s="30">
        <f>RAND()*(1-2E-6)+1E-6</f>
        <v/>
      </c>
      <c r="D200" s="30">
        <f>RAND()*(1-2E-6)+1E-6</f>
        <v/>
      </c>
      <c r="E200" s="30">
        <f>RAND()*(1-2E-6)+1E-6</f>
        <v/>
      </c>
      <c r="F200" s="30">
        <f>RAND()*(1-2E-6)+1E-6</f>
        <v/>
      </c>
      <c r="G200" s="30">
        <f>RAND()*(1-2E-6)+1E-6</f>
        <v/>
      </c>
      <c r="H200" s="30">
        <f>RAND()*(1-2E-6)+1E-6</f>
        <v/>
      </c>
      <c r="I200" s="31">
        <f>MIN(IF(Supuestos!$H$5="",1E+99,Supuestos!$H$5),MAX(IF(Supuestos!$G$5="",-1E+99,Supuestos!$G$5),IF(Supuestos!$C$5="Normal",NORMINV(B200,Supuestos!$D$5,Supuestos!$E$5),IF(Supuestos!$C$5="Triangular",IF(B200&lt;(Supuestos!$E$5-Supuestos!$D$5)/(Supuestos!$F$5-Supuestos!$D$5),Supuestos!$D$5+SQRT(B200*(Supuestos!$F$5-Supuestos!$D$5)*(Supuestos!$E$5-Supuestos!$D$5)),Supuestos!$F$5-SQRT((1-B200)*(Supuestos!$F$5-Supuestos!$D$5)*(Supuestos!$F$5-Supuestos!$E$5))),IF(Supuestos!$C$5="Uniforme",Supuestos!$D$5+B200*(Supuestos!$E$5-Supuestos!$D$5),IF(Supuestos!$C$5="Lognormal",LOGINV(B200,LN(Supuestos!$D$5)-LN(1+Supuestos!$E$5^2/Supuestos!$D$5^2)/2,SQRT(LN(1+Supuestos!$E$5^2/Supuestos!$D$5^2))),Supuestos!$D$5))))))</f>
        <v/>
      </c>
      <c r="J200" s="31">
        <f>MIN(IF(Supuestos!$H$6="",1E+99,Supuestos!$H$6),MAX(IF(Supuestos!$G$6="",-1E+99,Supuestos!$G$6),IF(Supuestos!$C$6="Normal",NORMINV(C200,Supuestos!$D$6,Supuestos!$E$6),IF(Supuestos!$C$6="Triangular",IF(C200&lt;(Supuestos!$E$6-Supuestos!$D$6)/(Supuestos!$F$6-Supuestos!$D$6),Supuestos!$D$6+SQRT(C200*(Supuestos!$F$6-Supuestos!$D$6)*(Supuestos!$E$6-Supuestos!$D$6)),Supuestos!$F$6-SQRT((1-C200)*(Supuestos!$F$6-Supuestos!$D$6)*(Supuestos!$F$6-Supuestos!$E$6))),IF(Supuestos!$C$6="Uniforme",Supuestos!$D$6+C200*(Supuestos!$E$6-Supuestos!$D$6),IF(Supuestos!$C$6="Lognormal",LOGINV(C200,LN(Supuestos!$D$6)-LN(1+Supuestos!$E$6^2/Supuestos!$D$6^2)/2,SQRT(LN(1+Supuestos!$E$6^2/Supuestos!$D$6^2))),Supuestos!$D$6))))))</f>
        <v/>
      </c>
      <c r="K200" s="32">
        <f>MIN(IF(Supuestos!$H$7="",1E+99,Supuestos!$H$7),MAX(IF(Supuestos!$G$7="",-1E+99,Supuestos!$G$7),IF(Supuestos!$C$7="Normal",NORMINV(D200,Supuestos!$D$7,Supuestos!$E$7),IF(Supuestos!$C$7="Triangular",IF(D200&lt;(Supuestos!$E$7-Supuestos!$D$7)/(Supuestos!$F$7-Supuestos!$D$7),Supuestos!$D$7+SQRT(D200*(Supuestos!$F$7-Supuestos!$D$7)*(Supuestos!$E$7-Supuestos!$D$7)),Supuestos!$F$7-SQRT((1-D200)*(Supuestos!$F$7-Supuestos!$D$7)*(Supuestos!$F$7-Supuestos!$E$7))),IF(Supuestos!$C$7="Uniforme",Supuestos!$D$7+D200*(Supuestos!$E$7-Supuestos!$D$7),IF(Supuestos!$C$7="Lognormal",LOGINV(D200,LN(Supuestos!$D$7)-LN(1+Supuestos!$E$7^2/Supuestos!$D$7^2)/2,SQRT(LN(1+Supuestos!$E$7^2/Supuestos!$D$7^2))),Supuestos!$D$7))))))</f>
        <v/>
      </c>
      <c r="L200" s="32">
        <f>MIN(IF(Supuestos!$H$8="",1E+99,Supuestos!$H$8),MAX(IF(Supuestos!$G$8="",-1E+99,Supuestos!$G$8),IF(Supuestos!$C$8="Normal",NORMINV(E200,Supuestos!$D$8,Supuestos!$E$8),IF(Supuestos!$C$8="Triangular",IF(E200&lt;(Supuestos!$E$8-Supuestos!$D$8)/(Supuestos!$F$8-Supuestos!$D$8),Supuestos!$D$8+SQRT(E200*(Supuestos!$F$8-Supuestos!$D$8)*(Supuestos!$E$8-Supuestos!$D$8)),Supuestos!$F$8-SQRT((1-E200)*(Supuestos!$F$8-Supuestos!$D$8)*(Supuestos!$F$8-Supuestos!$E$8))),IF(Supuestos!$C$8="Uniforme",Supuestos!$D$8+E200*(Supuestos!$E$8-Supuestos!$D$8),IF(Supuestos!$C$8="Lognormal",LOGINV(E200,LN(Supuestos!$D$8)-LN(1+Supuestos!$E$8^2/Supuestos!$D$8^2)/2,SQRT(LN(1+Supuestos!$E$8^2/Supuestos!$D$8^2))),Supuestos!$D$8))))))</f>
        <v/>
      </c>
      <c r="M200" s="32">
        <f>MIN(IF(Supuestos!$H$9="",1E+99,Supuestos!$H$9),MAX(IF(Supuestos!$G$9="",-1E+99,Supuestos!$G$9),IF(Supuestos!$C$9="Normal",NORMINV(F200,Supuestos!$D$9,Supuestos!$E$9),IF(Supuestos!$C$9="Triangular",IF(F200&lt;(Supuestos!$E$9-Supuestos!$D$9)/(Supuestos!$F$9-Supuestos!$D$9),Supuestos!$D$9+SQRT(F200*(Supuestos!$F$9-Supuestos!$D$9)*(Supuestos!$E$9-Supuestos!$D$9)),Supuestos!$F$9-SQRT((1-F200)*(Supuestos!$F$9-Supuestos!$D$9)*(Supuestos!$F$9-Supuestos!$E$9))),IF(Supuestos!$C$9="Uniforme",Supuestos!$D$9+F200*(Supuestos!$E$9-Supuestos!$D$9),IF(Supuestos!$C$9="Lognormal",LOGINV(F200,LN(Supuestos!$D$9)-LN(1+Supuestos!$E$9^2/Supuestos!$D$9^2)/2,SQRT(LN(1+Supuestos!$E$9^2/Supuestos!$D$9^2))),Supuestos!$D$9))))))</f>
        <v/>
      </c>
      <c r="N200" s="32">
        <f>MIN(IF(Supuestos!$H$10="",1E+99,Supuestos!$H$10),MAX(IF(Supuestos!$G$10="",-1E+99,Supuestos!$G$10),IF(Supuestos!$C$10="Normal",NORMINV(G200,Supuestos!$D$10,Supuestos!$E$10),IF(Supuestos!$C$10="Triangular",IF(G200&lt;(Supuestos!$E$10-Supuestos!$D$10)/(Supuestos!$F$10-Supuestos!$D$10),Supuestos!$D$10+SQRT(G200*(Supuestos!$F$10-Supuestos!$D$10)*(Supuestos!$E$10-Supuestos!$D$10)),Supuestos!$F$10-SQRT((1-G200)*(Supuestos!$F$10-Supuestos!$D$10)*(Supuestos!$F$10-Supuestos!$E$10))),IF(Supuestos!$C$10="Uniforme",Supuestos!$D$10+G200*(Supuestos!$E$10-Supuestos!$D$10),IF(Supuestos!$C$10="Lognormal",LOGINV(G200,LN(Supuestos!$D$10)-LN(1+Supuestos!$E$10^2/Supuestos!$D$10^2)/2,SQRT(LN(1+Supuestos!$E$10^2/Supuestos!$D$10^2))),Supuestos!$D$10))))))</f>
        <v/>
      </c>
      <c r="O200" s="31">
        <f>MIN(IF(Supuestos!$H$11="",1E+99,Supuestos!$H$11),MAX(IF(Supuestos!$G$11="",-1E+99,Supuestos!$G$11),IF(Supuestos!$C$11="Normal",NORMINV(H200,Supuestos!$D$11,Supuestos!$E$11),IF(Supuestos!$C$11="Triangular",IF(H200&lt;(Supuestos!$E$11-Supuestos!$D$11)/(Supuestos!$F$11-Supuestos!$D$11),Supuestos!$D$11+SQRT(H200*(Supuestos!$F$11-Supuestos!$D$11)*(Supuestos!$E$11-Supuestos!$D$11)),Supuestos!$F$11-SQRT((1-H200)*(Supuestos!$F$11-Supuestos!$D$11)*(Supuestos!$F$11-Supuestos!$E$11))),IF(Supuestos!$C$11="Uniforme",Supuestos!$D$11+H200*(Supuestos!$E$11-Supuestos!$D$11),IF(Supuestos!$C$11="Lognormal",LOGINV(H200,LN(Supuestos!$D$11)-LN(1+Supuestos!$E$11^2/Supuestos!$D$11^2)/2,SQRT(LN(1+Supuestos!$E$11^2/Supuestos!$D$11^2))),Supuestos!$D$11))))))</f>
        <v/>
      </c>
      <c r="P200" s="33">
        <f>-I200</f>
        <v/>
      </c>
      <c r="Q200" s="33">
        <f>$J200*(1+$K200)^(1-1)*(1-$L200)*(1-$M200)</f>
        <v/>
      </c>
      <c r="R200" s="33">
        <f>$J200*(1+$K200)^(2-1)*(1-$L200)*(1-$M200)</f>
        <v/>
      </c>
      <c r="S200" s="33">
        <f>$J200*(1+$K200)^(3-1)*(1-$L200)*(1-$M200)</f>
        <v/>
      </c>
      <c r="T200" s="33">
        <f>$J200*(1+$K200)^(4-1)*(1-$L200)*(1-$M200)</f>
        <v/>
      </c>
      <c r="U200" s="33">
        <f>$J200*(1+$K200)^(5-1)*(1-$L200)*(1-$M200)+$O200</f>
        <v/>
      </c>
      <c r="V200" s="33">
        <f>P200+NPV($N200,Q200:U200)</f>
        <v/>
      </c>
      <c r="W200" s="32">
        <f>IFERROR(IRR(P200:U200,0.1),"")</f>
        <v/>
      </c>
    </row>
    <row r="201">
      <c r="A201" s="14" t="n">
        <v>197</v>
      </c>
      <c r="B201" s="30">
        <f>RAND()*(1-2E-6)+1E-6</f>
        <v/>
      </c>
      <c r="C201" s="30">
        <f>RAND()*(1-2E-6)+1E-6</f>
        <v/>
      </c>
      <c r="D201" s="30">
        <f>RAND()*(1-2E-6)+1E-6</f>
        <v/>
      </c>
      <c r="E201" s="30">
        <f>RAND()*(1-2E-6)+1E-6</f>
        <v/>
      </c>
      <c r="F201" s="30">
        <f>RAND()*(1-2E-6)+1E-6</f>
        <v/>
      </c>
      <c r="G201" s="30">
        <f>RAND()*(1-2E-6)+1E-6</f>
        <v/>
      </c>
      <c r="H201" s="30">
        <f>RAND()*(1-2E-6)+1E-6</f>
        <v/>
      </c>
      <c r="I201" s="31">
        <f>MIN(IF(Supuestos!$H$5="",1E+99,Supuestos!$H$5),MAX(IF(Supuestos!$G$5="",-1E+99,Supuestos!$G$5),IF(Supuestos!$C$5="Normal",NORMINV(B201,Supuestos!$D$5,Supuestos!$E$5),IF(Supuestos!$C$5="Triangular",IF(B201&lt;(Supuestos!$E$5-Supuestos!$D$5)/(Supuestos!$F$5-Supuestos!$D$5),Supuestos!$D$5+SQRT(B201*(Supuestos!$F$5-Supuestos!$D$5)*(Supuestos!$E$5-Supuestos!$D$5)),Supuestos!$F$5-SQRT((1-B201)*(Supuestos!$F$5-Supuestos!$D$5)*(Supuestos!$F$5-Supuestos!$E$5))),IF(Supuestos!$C$5="Uniforme",Supuestos!$D$5+B201*(Supuestos!$E$5-Supuestos!$D$5),IF(Supuestos!$C$5="Lognormal",LOGINV(B201,LN(Supuestos!$D$5)-LN(1+Supuestos!$E$5^2/Supuestos!$D$5^2)/2,SQRT(LN(1+Supuestos!$E$5^2/Supuestos!$D$5^2))),Supuestos!$D$5))))))</f>
        <v/>
      </c>
      <c r="J201" s="31">
        <f>MIN(IF(Supuestos!$H$6="",1E+99,Supuestos!$H$6),MAX(IF(Supuestos!$G$6="",-1E+99,Supuestos!$G$6),IF(Supuestos!$C$6="Normal",NORMINV(C201,Supuestos!$D$6,Supuestos!$E$6),IF(Supuestos!$C$6="Triangular",IF(C201&lt;(Supuestos!$E$6-Supuestos!$D$6)/(Supuestos!$F$6-Supuestos!$D$6),Supuestos!$D$6+SQRT(C201*(Supuestos!$F$6-Supuestos!$D$6)*(Supuestos!$E$6-Supuestos!$D$6)),Supuestos!$F$6-SQRT((1-C201)*(Supuestos!$F$6-Supuestos!$D$6)*(Supuestos!$F$6-Supuestos!$E$6))),IF(Supuestos!$C$6="Uniforme",Supuestos!$D$6+C201*(Supuestos!$E$6-Supuestos!$D$6),IF(Supuestos!$C$6="Lognormal",LOGINV(C201,LN(Supuestos!$D$6)-LN(1+Supuestos!$E$6^2/Supuestos!$D$6^2)/2,SQRT(LN(1+Supuestos!$E$6^2/Supuestos!$D$6^2))),Supuestos!$D$6))))))</f>
        <v/>
      </c>
      <c r="K201" s="32">
        <f>MIN(IF(Supuestos!$H$7="",1E+99,Supuestos!$H$7),MAX(IF(Supuestos!$G$7="",-1E+99,Supuestos!$G$7),IF(Supuestos!$C$7="Normal",NORMINV(D201,Supuestos!$D$7,Supuestos!$E$7),IF(Supuestos!$C$7="Triangular",IF(D201&lt;(Supuestos!$E$7-Supuestos!$D$7)/(Supuestos!$F$7-Supuestos!$D$7),Supuestos!$D$7+SQRT(D201*(Supuestos!$F$7-Supuestos!$D$7)*(Supuestos!$E$7-Supuestos!$D$7)),Supuestos!$F$7-SQRT((1-D201)*(Supuestos!$F$7-Supuestos!$D$7)*(Supuestos!$F$7-Supuestos!$E$7))),IF(Supuestos!$C$7="Uniforme",Supuestos!$D$7+D201*(Supuestos!$E$7-Supuestos!$D$7),IF(Supuestos!$C$7="Lognormal",LOGINV(D201,LN(Supuestos!$D$7)-LN(1+Supuestos!$E$7^2/Supuestos!$D$7^2)/2,SQRT(LN(1+Supuestos!$E$7^2/Supuestos!$D$7^2))),Supuestos!$D$7))))))</f>
        <v/>
      </c>
      <c r="L201" s="32">
        <f>MIN(IF(Supuestos!$H$8="",1E+99,Supuestos!$H$8),MAX(IF(Supuestos!$G$8="",-1E+99,Supuestos!$G$8),IF(Supuestos!$C$8="Normal",NORMINV(E201,Supuestos!$D$8,Supuestos!$E$8),IF(Supuestos!$C$8="Triangular",IF(E201&lt;(Supuestos!$E$8-Supuestos!$D$8)/(Supuestos!$F$8-Supuestos!$D$8),Supuestos!$D$8+SQRT(E201*(Supuestos!$F$8-Supuestos!$D$8)*(Supuestos!$E$8-Supuestos!$D$8)),Supuestos!$F$8-SQRT((1-E201)*(Supuestos!$F$8-Supuestos!$D$8)*(Supuestos!$F$8-Supuestos!$E$8))),IF(Supuestos!$C$8="Uniforme",Supuestos!$D$8+E201*(Supuestos!$E$8-Supuestos!$D$8),IF(Supuestos!$C$8="Lognormal",LOGINV(E201,LN(Supuestos!$D$8)-LN(1+Supuestos!$E$8^2/Supuestos!$D$8^2)/2,SQRT(LN(1+Supuestos!$E$8^2/Supuestos!$D$8^2))),Supuestos!$D$8))))))</f>
        <v/>
      </c>
      <c r="M201" s="32">
        <f>MIN(IF(Supuestos!$H$9="",1E+99,Supuestos!$H$9),MAX(IF(Supuestos!$G$9="",-1E+99,Supuestos!$G$9),IF(Supuestos!$C$9="Normal",NORMINV(F201,Supuestos!$D$9,Supuestos!$E$9),IF(Supuestos!$C$9="Triangular",IF(F201&lt;(Supuestos!$E$9-Supuestos!$D$9)/(Supuestos!$F$9-Supuestos!$D$9),Supuestos!$D$9+SQRT(F201*(Supuestos!$F$9-Supuestos!$D$9)*(Supuestos!$E$9-Supuestos!$D$9)),Supuestos!$F$9-SQRT((1-F201)*(Supuestos!$F$9-Supuestos!$D$9)*(Supuestos!$F$9-Supuestos!$E$9))),IF(Supuestos!$C$9="Uniforme",Supuestos!$D$9+F201*(Supuestos!$E$9-Supuestos!$D$9),IF(Supuestos!$C$9="Lognormal",LOGINV(F201,LN(Supuestos!$D$9)-LN(1+Supuestos!$E$9^2/Supuestos!$D$9^2)/2,SQRT(LN(1+Supuestos!$E$9^2/Supuestos!$D$9^2))),Supuestos!$D$9))))))</f>
        <v/>
      </c>
      <c r="N201" s="32">
        <f>MIN(IF(Supuestos!$H$10="",1E+99,Supuestos!$H$10),MAX(IF(Supuestos!$G$10="",-1E+99,Supuestos!$G$10),IF(Supuestos!$C$10="Normal",NORMINV(G201,Supuestos!$D$10,Supuestos!$E$10),IF(Supuestos!$C$10="Triangular",IF(G201&lt;(Supuestos!$E$10-Supuestos!$D$10)/(Supuestos!$F$10-Supuestos!$D$10),Supuestos!$D$10+SQRT(G201*(Supuestos!$F$10-Supuestos!$D$10)*(Supuestos!$E$10-Supuestos!$D$10)),Supuestos!$F$10-SQRT((1-G201)*(Supuestos!$F$10-Supuestos!$D$10)*(Supuestos!$F$10-Supuestos!$E$10))),IF(Supuestos!$C$10="Uniforme",Supuestos!$D$10+G201*(Supuestos!$E$10-Supuestos!$D$10),IF(Supuestos!$C$10="Lognormal",LOGINV(G201,LN(Supuestos!$D$10)-LN(1+Supuestos!$E$10^2/Supuestos!$D$10^2)/2,SQRT(LN(1+Supuestos!$E$10^2/Supuestos!$D$10^2))),Supuestos!$D$10))))))</f>
        <v/>
      </c>
      <c r="O201" s="31">
        <f>MIN(IF(Supuestos!$H$11="",1E+99,Supuestos!$H$11),MAX(IF(Supuestos!$G$11="",-1E+99,Supuestos!$G$11),IF(Supuestos!$C$11="Normal",NORMINV(H201,Supuestos!$D$11,Supuestos!$E$11),IF(Supuestos!$C$11="Triangular",IF(H201&lt;(Supuestos!$E$11-Supuestos!$D$11)/(Supuestos!$F$11-Supuestos!$D$11),Supuestos!$D$11+SQRT(H201*(Supuestos!$F$11-Supuestos!$D$11)*(Supuestos!$E$11-Supuestos!$D$11)),Supuestos!$F$11-SQRT((1-H201)*(Supuestos!$F$11-Supuestos!$D$11)*(Supuestos!$F$11-Supuestos!$E$11))),IF(Supuestos!$C$11="Uniforme",Supuestos!$D$11+H201*(Supuestos!$E$11-Supuestos!$D$11),IF(Supuestos!$C$11="Lognormal",LOGINV(H201,LN(Supuestos!$D$11)-LN(1+Supuestos!$E$11^2/Supuestos!$D$11^2)/2,SQRT(LN(1+Supuestos!$E$11^2/Supuestos!$D$11^2))),Supuestos!$D$11))))))</f>
        <v/>
      </c>
      <c r="P201" s="33">
        <f>-I201</f>
        <v/>
      </c>
      <c r="Q201" s="33">
        <f>$J201*(1+$K201)^(1-1)*(1-$L201)*(1-$M201)</f>
        <v/>
      </c>
      <c r="R201" s="33">
        <f>$J201*(1+$K201)^(2-1)*(1-$L201)*(1-$M201)</f>
        <v/>
      </c>
      <c r="S201" s="33">
        <f>$J201*(1+$K201)^(3-1)*(1-$L201)*(1-$M201)</f>
        <v/>
      </c>
      <c r="T201" s="33">
        <f>$J201*(1+$K201)^(4-1)*(1-$L201)*(1-$M201)</f>
        <v/>
      </c>
      <c r="U201" s="33">
        <f>$J201*(1+$K201)^(5-1)*(1-$L201)*(1-$M201)+$O201</f>
        <v/>
      </c>
      <c r="V201" s="33">
        <f>P201+NPV($N201,Q201:U201)</f>
        <v/>
      </c>
      <c r="W201" s="32">
        <f>IFERROR(IRR(P201:U201,0.1),"")</f>
        <v/>
      </c>
    </row>
    <row r="202">
      <c r="A202" s="14" t="n">
        <v>198</v>
      </c>
      <c r="B202" s="30">
        <f>RAND()*(1-2E-6)+1E-6</f>
        <v/>
      </c>
      <c r="C202" s="30">
        <f>RAND()*(1-2E-6)+1E-6</f>
        <v/>
      </c>
      <c r="D202" s="30">
        <f>RAND()*(1-2E-6)+1E-6</f>
        <v/>
      </c>
      <c r="E202" s="30">
        <f>RAND()*(1-2E-6)+1E-6</f>
        <v/>
      </c>
      <c r="F202" s="30">
        <f>RAND()*(1-2E-6)+1E-6</f>
        <v/>
      </c>
      <c r="G202" s="30">
        <f>RAND()*(1-2E-6)+1E-6</f>
        <v/>
      </c>
      <c r="H202" s="30">
        <f>RAND()*(1-2E-6)+1E-6</f>
        <v/>
      </c>
      <c r="I202" s="31">
        <f>MIN(IF(Supuestos!$H$5="",1E+99,Supuestos!$H$5),MAX(IF(Supuestos!$G$5="",-1E+99,Supuestos!$G$5),IF(Supuestos!$C$5="Normal",NORMINV(B202,Supuestos!$D$5,Supuestos!$E$5),IF(Supuestos!$C$5="Triangular",IF(B202&lt;(Supuestos!$E$5-Supuestos!$D$5)/(Supuestos!$F$5-Supuestos!$D$5),Supuestos!$D$5+SQRT(B202*(Supuestos!$F$5-Supuestos!$D$5)*(Supuestos!$E$5-Supuestos!$D$5)),Supuestos!$F$5-SQRT((1-B202)*(Supuestos!$F$5-Supuestos!$D$5)*(Supuestos!$F$5-Supuestos!$E$5))),IF(Supuestos!$C$5="Uniforme",Supuestos!$D$5+B202*(Supuestos!$E$5-Supuestos!$D$5),IF(Supuestos!$C$5="Lognormal",LOGINV(B202,LN(Supuestos!$D$5)-LN(1+Supuestos!$E$5^2/Supuestos!$D$5^2)/2,SQRT(LN(1+Supuestos!$E$5^2/Supuestos!$D$5^2))),Supuestos!$D$5))))))</f>
        <v/>
      </c>
      <c r="J202" s="31">
        <f>MIN(IF(Supuestos!$H$6="",1E+99,Supuestos!$H$6),MAX(IF(Supuestos!$G$6="",-1E+99,Supuestos!$G$6),IF(Supuestos!$C$6="Normal",NORMINV(C202,Supuestos!$D$6,Supuestos!$E$6),IF(Supuestos!$C$6="Triangular",IF(C202&lt;(Supuestos!$E$6-Supuestos!$D$6)/(Supuestos!$F$6-Supuestos!$D$6),Supuestos!$D$6+SQRT(C202*(Supuestos!$F$6-Supuestos!$D$6)*(Supuestos!$E$6-Supuestos!$D$6)),Supuestos!$F$6-SQRT((1-C202)*(Supuestos!$F$6-Supuestos!$D$6)*(Supuestos!$F$6-Supuestos!$E$6))),IF(Supuestos!$C$6="Uniforme",Supuestos!$D$6+C202*(Supuestos!$E$6-Supuestos!$D$6),IF(Supuestos!$C$6="Lognormal",LOGINV(C202,LN(Supuestos!$D$6)-LN(1+Supuestos!$E$6^2/Supuestos!$D$6^2)/2,SQRT(LN(1+Supuestos!$E$6^2/Supuestos!$D$6^2))),Supuestos!$D$6))))))</f>
        <v/>
      </c>
      <c r="K202" s="32">
        <f>MIN(IF(Supuestos!$H$7="",1E+99,Supuestos!$H$7),MAX(IF(Supuestos!$G$7="",-1E+99,Supuestos!$G$7),IF(Supuestos!$C$7="Normal",NORMINV(D202,Supuestos!$D$7,Supuestos!$E$7),IF(Supuestos!$C$7="Triangular",IF(D202&lt;(Supuestos!$E$7-Supuestos!$D$7)/(Supuestos!$F$7-Supuestos!$D$7),Supuestos!$D$7+SQRT(D202*(Supuestos!$F$7-Supuestos!$D$7)*(Supuestos!$E$7-Supuestos!$D$7)),Supuestos!$F$7-SQRT((1-D202)*(Supuestos!$F$7-Supuestos!$D$7)*(Supuestos!$F$7-Supuestos!$E$7))),IF(Supuestos!$C$7="Uniforme",Supuestos!$D$7+D202*(Supuestos!$E$7-Supuestos!$D$7),IF(Supuestos!$C$7="Lognormal",LOGINV(D202,LN(Supuestos!$D$7)-LN(1+Supuestos!$E$7^2/Supuestos!$D$7^2)/2,SQRT(LN(1+Supuestos!$E$7^2/Supuestos!$D$7^2))),Supuestos!$D$7))))))</f>
        <v/>
      </c>
      <c r="L202" s="32">
        <f>MIN(IF(Supuestos!$H$8="",1E+99,Supuestos!$H$8),MAX(IF(Supuestos!$G$8="",-1E+99,Supuestos!$G$8),IF(Supuestos!$C$8="Normal",NORMINV(E202,Supuestos!$D$8,Supuestos!$E$8),IF(Supuestos!$C$8="Triangular",IF(E202&lt;(Supuestos!$E$8-Supuestos!$D$8)/(Supuestos!$F$8-Supuestos!$D$8),Supuestos!$D$8+SQRT(E202*(Supuestos!$F$8-Supuestos!$D$8)*(Supuestos!$E$8-Supuestos!$D$8)),Supuestos!$F$8-SQRT((1-E202)*(Supuestos!$F$8-Supuestos!$D$8)*(Supuestos!$F$8-Supuestos!$E$8))),IF(Supuestos!$C$8="Uniforme",Supuestos!$D$8+E202*(Supuestos!$E$8-Supuestos!$D$8),IF(Supuestos!$C$8="Lognormal",LOGINV(E202,LN(Supuestos!$D$8)-LN(1+Supuestos!$E$8^2/Supuestos!$D$8^2)/2,SQRT(LN(1+Supuestos!$E$8^2/Supuestos!$D$8^2))),Supuestos!$D$8))))))</f>
        <v/>
      </c>
      <c r="M202" s="32">
        <f>MIN(IF(Supuestos!$H$9="",1E+99,Supuestos!$H$9),MAX(IF(Supuestos!$G$9="",-1E+99,Supuestos!$G$9),IF(Supuestos!$C$9="Normal",NORMINV(F202,Supuestos!$D$9,Supuestos!$E$9),IF(Supuestos!$C$9="Triangular",IF(F202&lt;(Supuestos!$E$9-Supuestos!$D$9)/(Supuestos!$F$9-Supuestos!$D$9),Supuestos!$D$9+SQRT(F202*(Supuestos!$F$9-Supuestos!$D$9)*(Supuestos!$E$9-Supuestos!$D$9)),Supuestos!$F$9-SQRT((1-F202)*(Supuestos!$F$9-Supuestos!$D$9)*(Supuestos!$F$9-Supuestos!$E$9))),IF(Supuestos!$C$9="Uniforme",Supuestos!$D$9+F202*(Supuestos!$E$9-Supuestos!$D$9),IF(Supuestos!$C$9="Lognormal",LOGINV(F202,LN(Supuestos!$D$9)-LN(1+Supuestos!$E$9^2/Supuestos!$D$9^2)/2,SQRT(LN(1+Supuestos!$E$9^2/Supuestos!$D$9^2))),Supuestos!$D$9))))))</f>
        <v/>
      </c>
      <c r="N202" s="32">
        <f>MIN(IF(Supuestos!$H$10="",1E+99,Supuestos!$H$10),MAX(IF(Supuestos!$G$10="",-1E+99,Supuestos!$G$10),IF(Supuestos!$C$10="Normal",NORMINV(G202,Supuestos!$D$10,Supuestos!$E$10),IF(Supuestos!$C$10="Triangular",IF(G202&lt;(Supuestos!$E$10-Supuestos!$D$10)/(Supuestos!$F$10-Supuestos!$D$10),Supuestos!$D$10+SQRT(G202*(Supuestos!$F$10-Supuestos!$D$10)*(Supuestos!$E$10-Supuestos!$D$10)),Supuestos!$F$10-SQRT((1-G202)*(Supuestos!$F$10-Supuestos!$D$10)*(Supuestos!$F$10-Supuestos!$E$10))),IF(Supuestos!$C$10="Uniforme",Supuestos!$D$10+G202*(Supuestos!$E$10-Supuestos!$D$10),IF(Supuestos!$C$10="Lognormal",LOGINV(G202,LN(Supuestos!$D$10)-LN(1+Supuestos!$E$10^2/Supuestos!$D$10^2)/2,SQRT(LN(1+Supuestos!$E$10^2/Supuestos!$D$10^2))),Supuestos!$D$10))))))</f>
        <v/>
      </c>
      <c r="O202" s="31">
        <f>MIN(IF(Supuestos!$H$11="",1E+99,Supuestos!$H$11),MAX(IF(Supuestos!$G$11="",-1E+99,Supuestos!$G$11),IF(Supuestos!$C$11="Normal",NORMINV(H202,Supuestos!$D$11,Supuestos!$E$11),IF(Supuestos!$C$11="Triangular",IF(H202&lt;(Supuestos!$E$11-Supuestos!$D$11)/(Supuestos!$F$11-Supuestos!$D$11),Supuestos!$D$11+SQRT(H202*(Supuestos!$F$11-Supuestos!$D$11)*(Supuestos!$E$11-Supuestos!$D$11)),Supuestos!$F$11-SQRT((1-H202)*(Supuestos!$F$11-Supuestos!$D$11)*(Supuestos!$F$11-Supuestos!$E$11))),IF(Supuestos!$C$11="Uniforme",Supuestos!$D$11+H202*(Supuestos!$E$11-Supuestos!$D$11),IF(Supuestos!$C$11="Lognormal",LOGINV(H202,LN(Supuestos!$D$11)-LN(1+Supuestos!$E$11^2/Supuestos!$D$11^2)/2,SQRT(LN(1+Supuestos!$E$11^2/Supuestos!$D$11^2))),Supuestos!$D$11))))))</f>
        <v/>
      </c>
      <c r="P202" s="33">
        <f>-I202</f>
        <v/>
      </c>
      <c r="Q202" s="33">
        <f>$J202*(1+$K202)^(1-1)*(1-$L202)*(1-$M202)</f>
        <v/>
      </c>
      <c r="R202" s="33">
        <f>$J202*(1+$K202)^(2-1)*(1-$L202)*(1-$M202)</f>
        <v/>
      </c>
      <c r="S202" s="33">
        <f>$J202*(1+$K202)^(3-1)*(1-$L202)*(1-$M202)</f>
        <v/>
      </c>
      <c r="T202" s="33">
        <f>$J202*(1+$K202)^(4-1)*(1-$L202)*(1-$M202)</f>
        <v/>
      </c>
      <c r="U202" s="33">
        <f>$J202*(1+$K202)^(5-1)*(1-$L202)*(1-$M202)+$O202</f>
        <v/>
      </c>
      <c r="V202" s="33">
        <f>P202+NPV($N202,Q202:U202)</f>
        <v/>
      </c>
      <c r="W202" s="32">
        <f>IFERROR(IRR(P202:U202,0.1),"")</f>
        <v/>
      </c>
    </row>
    <row r="203">
      <c r="A203" s="14" t="n">
        <v>199</v>
      </c>
      <c r="B203" s="30">
        <f>RAND()*(1-2E-6)+1E-6</f>
        <v/>
      </c>
      <c r="C203" s="30">
        <f>RAND()*(1-2E-6)+1E-6</f>
        <v/>
      </c>
      <c r="D203" s="30">
        <f>RAND()*(1-2E-6)+1E-6</f>
        <v/>
      </c>
      <c r="E203" s="30">
        <f>RAND()*(1-2E-6)+1E-6</f>
        <v/>
      </c>
      <c r="F203" s="30">
        <f>RAND()*(1-2E-6)+1E-6</f>
        <v/>
      </c>
      <c r="G203" s="30">
        <f>RAND()*(1-2E-6)+1E-6</f>
        <v/>
      </c>
      <c r="H203" s="30">
        <f>RAND()*(1-2E-6)+1E-6</f>
        <v/>
      </c>
      <c r="I203" s="31">
        <f>MIN(IF(Supuestos!$H$5="",1E+99,Supuestos!$H$5),MAX(IF(Supuestos!$G$5="",-1E+99,Supuestos!$G$5),IF(Supuestos!$C$5="Normal",NORMINV(B203,Supuestos!$D$5,Supuestos!$E$5),IF(Supuestos!$C$5="Triangular",IF(B203&lt;(Supuestos!$E$5-Supuestos!$D$5)/(Supuestos!$F$5-Supuestos!$D$5),Supuestos!$D$5+SQRT(B203*(Supuestos!$F$5-Supuestos!$D$5)*(Supuestos!$E$5-Supuestos!$D$5)),Supuestos!$F$5-SQRT((1-B203)*(Supuestos!$F$5-Supuestos!$D$5)*(Supuestos!$F$5-Supuestos!$E$5))),IF(Supuestos!$C$5="Uniforme",Supuestos!$D$5+B203*(Supuestos!$E$5-Supuestos!$D$5),IF(Supuestos!$C$5="Lognormal",LOGINV(B203,LN(Supuestos!$D$5)-LN(1+Supuestos!$E$5^2/Supuestos!$D$5^2)/2,SQRT(LN(1+Supuestos!$E$5^2/Supuestos!$D$5^2))),Supuestos!$D$5))))))</f>
        <v/>
      </c>
      <c r="J203" s="31">
        <f>MIN(IF(Supuestos!$H$6="",1E+99,Supuestos!$H$6),MAX(IF(Supuestos!$G$6="",-1E+99,Supuestos!$G$6),IF(Supuestos!$C$6="Normal",NORMINV(C203,Supuestos!$D$6,Supuestos!$E$6),IF(Supuestos!$C$6="Triangular",IF(C203&lt;(Supuestos!$E$6-Supuestos!$D$6)/(Supuestos!$F$6-Supuestos!$D$6),Supuestos!$D$6+SQRT(C203*(Supuestos!$F$6-Supuestos!$D$6)*(Supuestos!$E$6-Supuestos!$D$6)),Supuestos!$F$6-SQRT((1-C203)*(Supuestos!$F$6-Supuestos!$D$6)*(Supuestos!$F$6-Supuestos!$E$6))),IF(Supuestos!$C$6="Uniforme",Supuestos!$D$6+C203*(Supuestos!$E$6-Supuestos!$D$6),IF(Supuestos!$C$6="Lognormal",LOGINV(C203,LN(Supuestos!$D$6)-LN(1+Supuestos!$E$6^2/Supuestos!$D$6^2)/2,SQRT(LN(1+Supuestos!$E$6^2/Supuestos!$D$6^2))),Supuestos!$D$6))))))</f>
        <v/>
      </c>
      <c r="K203" s="32">
        <f>MIN(IF(Supuestos!$H$7="",1E+99,Supuestos!$H$7),MAX(IF(Supuestos!$G$7="",-1E+99,Supuestos!$G$7),IF(Supuestos!$C$7="Normal",NORMINV(D203,Supuestos!$D$7,Supuestos!$E$7),IF(Supuestos!$C$7="Triangular",IF(D203&lt;(Supuestos!$E$7-Supuestos!$D$7)/(Supuestos!$F$7-Supuestos!$D$7),Supuestos!$D$7+SQRT(D203*(Supuestos!$F$7-Supuestos!$D$7)*(Supuestos!$E$7-Supuestos!$D$7)),Supuestos!$F$7-SQRT((1-D203)*(Supuestos!$F$7-Supuestos!$D$7)*(Supuestos!$F$7-Supuestos!$E$7))),IF(Supuestos!$C$7="Uniforme",Supuestos!$D$7+D203*(Supuestos!$E$7-Supuestos!$D$7),IF(Supuestos!$C$7="Lognormal",LOGINV(D203,LN(Supuestos!$D$7)-LN(1+Supuestos!$E$7^2/Supuestos!$D$7^2)/2,SQRT(LN(1+Supuestos!$E$7^2/Supuestos!$D$7^2))),Supuestos!$D$7))))))</f>
        <v/>
      </c>
      <c r="L203" s="32">
        <f>MIN(IF(Supuestos!$H$8="",1E+99,Supuestos!$H$8),MAX(IF(Supuestos!$G$8="",-1E+99,Supuestos!$G$8),IF(Supuestos!$C$8="Normal",NORMINV(E203,Supuestos!$D$8,Supuestos!$E$8),IF(Supuestos!$C$8="Triangular",IF(E203&lt;(Supuestos!$E$8-Supuestos!$D$8)/(Supuestos!$F$8-Supuestos!$D$8),Supuestos!$D$8+SQRT(E203*(Supuestos!$F$8-Supuestos!$D$8)*(Supuestos!$E$8-Supuestos!$D$8)),Supuestos!$F$8-SQRT((1-E203)*(Supuestos!$F$8-Supuestos!$D$8)*(Supuestos!$F$8-Supuestos!$E$8))),IF(Supuestos!$C$8="Uniforme",Supuestos!$D$8+E203*(Supuestos!$E$8-Supuestos!$D$8),IF(Supuestos!$C$8="Lognormal",LOGINV(E203,LN(Supuestos!$D$8)-LN(1+Supuestos!$E$8^2/Supuestos!$D$8^2)/2,SQRT(LN(1+Supuestos!$E$8^2/Supuestos!$D$8^2))),Supuestos!$D$8))))))</f>
        <v/>
      </c>
      <c r="M203" s="32">
        <f>MIN(IF(Supuestos!$H$9="",1E+99,Supuestos!$H$9),MAX(IF(Supuestos!$G$9="",-1E+99,Supuestos!$G$9),IF(Supuestos!$C$9="Normal",NORMINV(F203,Supuestos!$D$9,Supuestos!$E$9),IF(Supuestos!$C$9="Triangular",IF(F203&lt;(Supuestos!$E$9-Supuestos!$D$9)/(Supuestos!$F$9-Supuestos!$D$9),Supuestos!$D$9+SQRT(F203*(Supuestos!$F$9-Supuestos!$D$9)*(Supuestos!$E$9-Supuestos!$D$9)),Supuestos!$F$9-SQRT((1-F203)*(Supuestos!$F$9-Supuestos!$D$9)*(Supuestos!$F$9-Supuestos!$E$9))),IF(Supuestos!$C$9="Uniforme",Supuestos!$D$9+F203*(Supuestos!$E$9-Supuestos!$D$9),IF(Supuestos!$C$9="Lognormal",LOGINV(F203,LN(Supuestos!$D$9)-LN(1+Supuestos!$E$9^2/Supuestos!$D$9^2)/2,SQRT(LN(1+Supuestos!$E$9^2/Supuestos!$D$9^2))),Supuestos!$D$9))))))</f>
        <v/>
      </c>
      <c r="N203" s="32">
        <f>MIN(IF(Supuestos!$H$10="",1E+99,Supuestos!$H$10),MAX(IF(Supuestos!$G$10="",-1E+99,Supuestos!$G$10),IF(Supuestos!$C$10="Normal",NORMINV(G203,Supuestos!$D$10,Supuestos!$E$10),IF(Supuestos!$C$10="Triangular",IF(G203&lt;(Supuestos!$E$10-Supuestos!$D$10)/(Supuestos!$F$10-Supuestos!$D$10),Supuestos!$D$10+SQRT(G203*(Supuestos!$F$10-Supuestos!$D$10)*(Supuestos!$E$10-Supuestos!$D$10)),Supuestos!$F$10-SQRT((1-G203)*(Supuestos!$F$10-Supuestos!$D$10)*(Supuestos!$F$10-Supuestos!$E$10))),IF(Supuestos!$C$10="Uniforme",Supuestos!$D$10+G203*(Supuestos!$E$10-Supuestos!$D$10),IF(Supuestos!$C$10="Lognormal",LOGINV(G203,LN(Supuestos!$D$10)-LN(1+Supuestos!$E$10^2/Supuestos!$D$10^2)/2,SQRT(LN(1+Supuestos!$E$10^2/Supuestos!$D$10^2))),Supuestos!$D$10))))))</f>
        <v/>
      </c>
      <c r="O203" s="31">
        <f>MIN(IF(Supuestos!$H$11="",1E+99,Supuestos!$H$11),MAX(IF(Supuestos!$G$11="",-1E+99,Supuestos!$G$11),IF(Supuestos!$C$11="Normal",NORMINV(H203,Supuestos!$D$11,Supuestos!$E$11),IF(Supuestos!$C$11="Triangular",IF(H203&lt;(Supuestos!$E$11-Supuestos!$D$11)/(Supuestos!$F$11-Supuestos!$D$11),Supuestos!$D$11+SQRT(H203*(Supuestos!$F$11-Supuestos!$D$11)*(Supuestos!$E$11-Supuestos!$D$11)),Supuestos!$F$11-SQRT((1-H203)*(Supuestos!$F$11-Supuestos!$D$11)*(Supuestos!$F$11-Supuestos!$E$11))),IF(Supuestos!$C$11="Uniforme",Supuestos!$D$11+H203*(Supuestos!$E$11-Supuestos!$D$11),IF(Supuestos!$C$11="Lognormal",LOGINV(H203,LN(Supuestos!$D$11)-LN(1+Supuestos!$E$11^2/Supuestos!$D$11^2)/2,SQRT(LN(1+Supuestos!$E$11^2/Supuestos!$D$11^2))),Supuestos!$D$11))))))</f>
        <v/>
      </c>
      <c r="P203" s="33">
        <f>-I203</f>
        <v/>
      </c>
      <c r="Q203" s="33">
        <f>$J203*(1+$K203)^(1-1)*(1-$L203)*(1-$M203)</f>
        <v/>
      </c>
      <c r="R203" s="33">
        <f>$J203*(1+$K203)^(2-1)*(1-$L203)*(1-$M203)</f>
        <v/>
      </c>
      <c r="S203" s="33">
        <f>$J203*(1+$K203)^(3-1)*(1-$L203)*(1-$M203)</f>
        <v/>
      </c>
      <c r="T203" s="33">
        <f>$J203*(1+$K203)^(4-1)*(1-$L203)*(1-$M203)</f>
        <v/>
      </c>
      <c r="U203" s="33">
        <f>$J203*(1+$K203)^(5-1)*(1-$L203)*(1-$M203)+$O203</f>
        <v/>
      </c>
      <c r="V203" s="33">
        <f>P203+NPV($N203,Q203:U203)</f>
        <v/>
      </c>
      <c r="W203" s="32">
        <f>IFERROR(IRR(P203:U203,0.1),"")</f>
        <v/>
      </c>
    </row>
    <row r="204">
      <c r="A204" s="14" t="n">
        <v>200</v>
      </c>
      <c r="B204" s="30">
        <f>RAND()*(1-2E-6)+1E-6</f>
        <v/>
      </c>
      <c r="C204" s="30">
        <f>RAND()*(1-2E-6)+1E-6</f>
        <v/>
      </c>
      <c r="D204" s="30">
        <f>RAND()*(1-2E-6)+1E-6</f>
        <v/>
      </c>
      <c r="E204" s="30">
        <f>RAND()*(1-2E-6)+1E-6</f>
        <v/>
      </c>
      <c r="F204" s="30">
        <f>RAND()*(1-2E-6)+1E-6</f>
        <v/>
      </c>
      <c r="G204" s="30">
        <f>RAND()*(1-2E-6)+1E-6</f>
        <v/>
      </c>
      <c r="H204" s="30">
        <f>RAND()*(1-2E-6)+1E-6</f>
        <v/>
      </c>
      <c r="I204" s="31">
        <f>MIN(IF(Supuestos!$H$5="",1E+99,Supuestos!$H$5),MAX(IF(Supuestos!$G$5="",-1E+99,Supuestos!$G$5),IF(Supuestos!$C$5="Normal",NORMINV(B204,Supuestos!$D$5,Supuestos!$E$5),IF(Supuestos!$C$5="Triangular",IF(B204&lt;(Supuestos!$E$5-Supuestos!$D$5)/(Supuestos!$F$5-Supuestos!$D$5),Supuestos!$D$5+SQRT(B204*(Supuestos!$F$5-Supuestos!$D$5)*(Supuestos!$E$5-Supuestos!$D$5)),Supuestos!$F$5-SQRT((1-B204)*(Supuestos!$F$5-Supuestos!$D$5)*(Supuestos!$F$5-Supuestos!$E$5))),IF(Supuestos!$C$5="Uniforme",Supuestos!$D$5+B204*(Supuestos!$E$5-Supuestos!$D$5),IF(Supuestos!$C$5="Lognormal",LOGINV(B204,LN(Supuestos!$D$5)-LN(1+Supuestos!$E$5^2/Supuestos!$D$5^2)/2,SQRT(LN(1+Supuestos!$E$5^2/Supuestos!$D$5^2))),Supuestos!$D$5))))))</f>
        <v/>
      </c>
      <c r="J204" s="31">
        <f>MIN(IF(Supuestos!$H$6="",1E+99,Supuestos!$H$6),MAX(IF(Supuestos!$G$6="",-1E+99,Supuestos!$G$6),IF(Supuestos!$C$6="Normal",NORMINV(C204,Supuestos!$D$6,Supuestos!$E$6),IF(Supuestos!$C$6="Triangular",IF(C204&lt;(Supuestos!$E$6-Supuestos!$D$6)/(Supuestos!$F$6-Supuestos!$D$6),Supuestos!$D$6+SQRT(C204*(Supuestos!$F$6-Supuestos!$D$6)*(Supuestos!$E$6-Supuestos!$D$6)),Supuestos!$F$6-SQRT((1-C204)*(Supuestos!$F$6-Supuestos!$D$6)*(Supuestos!$F$6-Supuestos!$E$6))),IF(Supuestos!$C$6="Uniforme",Supuestos!$D$6+C204*(Supuestos!$E$6-Supuestos!$D$6),IF(Supuestos!$C$6="Lognormal",LOGINV(C204,LN(Supuestos!$D$6)-LN(1+Supuestos!$E$6^2/Supuestos!$D$6^2)/2,SQRT(LN(1+Supuestos!$E$6^2/Supuestos!$D$6^2))),Supuestos!$D$6))))))</f>
        <v/>
      </c>
      <c r="K204" s="32">
        <f>MIN(IF(Supuestos!$H$7="",1E+99,Supuestos!$H$7),MAX(IF(Supuestos!$G$7="",-1E+99,Supuestos!$G$7),IF(Supuestos!$C$7="Normal",NORMINV(D204,Supuestos!$D$7,Supuestos!$E$7),IF(Supuestos!$C$7="Triangular",IF(D204&lt;(Supuestos!$E$7-Supuestos!$D$7)/(Supuestos!$F$7-Supuestos!$D$7),Supuestos!$D$7+SQRT(D204*(Supuestos!$F$7-Supuestos!$D$7)*(Supuestos!$E$7-Supuestos!$D$7)),Supuestos!$F$7-SQRT((1-D204)*(Supuestos!$F$7-Supuestos!$D$7)*(Supuestos!$F$7-Supuestos!$E$7))),IF(Supuestos!$C$7="Uniforme",Supuestos!$D$7+D204*(Supuestos!$E$7-Supuestos!$D$7),IF(Supuestos!$C$7="Lognormal",LOGINV(D204,LN(Supuestos!$D$7)-LN(1+Supuestos!$E$7^2/Supuestos!$D$7^2)/2,SQRT(LN(1+Supuestos!$E$7^2/Supuestos!$D$7^2))),Supuestos!$D$7))))))</f>
        <v/>
      </c>
      <c r="L204" s="32">
        <f>MIN(IF(Supuestos!$H$8="",1E+99,Supuestos!$H$8),MAX(IF(Supuestos!$G$8="",-1E+99,Supuestos!$G$8),IF(Supuestos!$C$8="Normal",NORMINV(E204,Supuestos!$D$8,Supuestos!$E$8),IF(Supuestos!$C$8="Triangular",IF(E204&lt;(Supuestos!$E$8-Supuestos!$D$8)/(Supuestos!$F$8-Supuestos!$D$8),Supuestos!$D$8+SQRT(E204*(Supuestos!$F$8-Supuestos!$D$8)*(Supuestos!$E$8-Supuestos!$D$8)),Supuestos!$F$8-SQRT((1-E204)*(Supuestos!$F$8-Supuestos!$D$8)*(Supuestos!$F$8-Supuestos!$E$8))),IF(Supuestos!$C$8="Uniforme",Supuestos!$D$8+E204*(Supuestos!$E$8-Supuestos!$D$8),IF(Supuestos!$C$8="Lognormal",LOGINV(E204,LN(Supuestos!$D$8)-LN(1+Supuestos!$E$8^2/Supuestos!$D$8^2)/2,SQRT(LN(1+Supuestos!$E$8^2/Supuestos!$D$8^2))),Supuestos!$D$8))))))</f>
        <v/>
      </c>
      <c r="M204" s="32">
        <f>MIN(IF(Supuestos!$H$9="",1E+99,Supuestos!$H$9),MAX(IF(Supuestos!$G$9="",-1E+99,Supuestos!$G$9),IF(Supuestos!$C$9="Normal",NORMINV(F204,Supuestos!$D$9,Supuestos!$E$9),IF(Supuestos!$C$9="Triangular",IF(F204&lt;(Supuestos!$E$9-Supuestos!$D$9)/(Supuestos!$F$9-Supuestos!$D$9),Supuestos!$D$9+SQRT(F204*(Supuestos!$F$9-Supuestos!$D$9)*(Supuestos!$E$9-Supuestos!$D$9)),Supuestos!$F$9-SQRT((1-F204)*(Supuestos!$F$9-Supuestos!$D$9)*(Supuestos!$F$9-Supuestos!$E$9))),IF(Supuestos!$C$9="Uniforme",Supuestos!$D$9+F204*(Supuestos!$E$9-Supuestos!$D$9),IF(Supuestos!$C$9="Lognormal",LOGINV(F204,LN(Supuestos!$D$9)-LN(1+Supuestos!$E$9^2/Supuestos!$D$9^2)/2,SQRT(LN(1+Supuestos!$E$9^2/Supuestos!$D$9^2))),Supuestos!$D$9))))))</f>
        <v/>
      </c>
      <c r="N204" s="32">
        <f>MIN(IF(Supuestos!$H$10="",1E+99,Supuestos!$H$10),MAX(IF(Supuestos!$G$10="",-1E+99,Supuestos!$G$10),IF(Supuestos!$C$10="Normal",NORMINV(G204,Supuestos!$D$10,Supuestos!$E$10),IF(Supuestos!$C$10="Triangular",IF(G204&lt;(Supuestos!$E$10-Supuestos!$D$10)/(Supuestos!$F$10-Supuestos!$D$10),Supuestos!$D$10+SQRT(G204*(Supuestos!$F$10-Supuestos!$D$10)*(Supuestos!$E$10-Supuestos!$D$10)),Supuestos!$F$10-SQRT((1-G204)*(Supuestos!$F$10-Supuestos!$D$10)*(Supuestos!$F$10-Supuestos!$E$10))),IF(Supuestos!$C$10="Uniforme",Supuestos!$D$10+G204*(Supuestos!$E$10-Supuestos!$D$10),IF(Supuestos!$C$10="Lognormal",LOGINV(G204,LN(Supuestos!$D$10)-LN(1+Supuestos!$E$10^2/Supuestos!$D$10^2)/2,SQRT(LN(1+Supuestos!$E$10^2/Supuestos!$D$10^2))),Supuestos!$D$10))))))</f>
        <v/>
      </c>
      <c r="O204" s="31">
        <f>MIN(IF(Supuestos!$H$11="",1E+99,Supuestos!$H$11),MAX(IF(Supuestos!$G$11="",-1E+99,Supuestos!$G$11),IF(Supuestos!$C$11="Normal",NORMINV(H204,Supuestos!$D$11,Supuestos!$E$11),IF(Supuestos!$C$11="Triangular",IF(H204&lt;(Supuestos!$E$11-Supuestos!$D$11)/(Supuestos!$F$11-Supuestos!$D$11),Supuestos!$D$11+SQRT(H204*(Supuestos!$F$11-Supuestos!$D$11)*(Supuestos!$E$11-Supuestos!$D$11)),Supuestos!$F$11-SQRT((1-H204)*(Supuestos!$F$11-Supuestos!$D$11)*(Supuestos!$F$11-Supuestos!$E$11))),IF(Supuestos!$C$11="Uniforme",Supuestos!$D$11+H204*(Supuestos!$E$11-Supuestos!$D$11),IF(Supuestos!$C$11="Lognormal",LOGINV(H204,LN(Supuestos!$D$11)-LN(1+Supuestos!$E$11^2/Supuestos!$D$11^2)/2,SQRT(LN(1+Supuestos!$E$11^2/Supuestos!$D$11^2))),Supuestos!$D$11))))))</f>
        <v/>
      </c>
      <c r="P204" s="33">
        <f>-I204</f>
        <v/>
      </c>
      <c r="Q204" s="33">
        <f>$J204*(1+$K204)^(1-1)*(1-$L204)*(1-$M204)</f>
        <v/>
      </c>
      <c r="R204" s="33">
        <f>$J204*(1+$K204)^(2-1)*(1-$L204)*(1-$M204)</f>
        <v/>
      </c>
      <c r="S204" s="33">
        <f>$J204*(1+$K204)^(3-1)*(1-$L204)*(1-$M204)</f>
        <v/>
      </c>
      <c r="T204" s="33">
        <f>$J204*(1+$K204)^(4-1)*(1-$L204)*(1-$M204)</f>
        <v/>
      </c>
      <c r="U204" s="33">
        <f>$J204*(1+$K204)^(5-1)*(1-$L204)*(1-$M204)+$O204</f>
        <v/>
      </c>
      <c r="V204" s="33">
        <f>P204+NPV($N204,Q204:U204)</f>
        <v/>
      </c>
      <c r="W204" s="32">
        <f>IFERROR(IRR(P204:U204,0.1),"")</f>
        <v/>
      </c>
    </row>
    <row r="205">
      <c r="A205" s="14" t="n">
        <v>201</v>
      </c>
      <c r="B205" s="30">
        <f>RAND()*(1-2E-6)+1E-6</f>
        <v/>
      </c>
      <c r="C205" s="30">
        <f>RAND()*(1-2E-6)+1E-6</f>
        <v/>
      </c>
      <c r="D205" s="30">
        <f>RAND()*(1-2E-6)+1E-6</f>
        <v/>
      </c>
      <c r="E205" s="30">
        <f>RAND()*(1-2E-6)+1E-6</f>
        <v/>
      </c>
      <c r="F205" s="30">
        <f>RAND()*(1-2E-6)+1E-6</f>
        <v/>
      </c>
      <c r="G205" s="30">
        <f>RAND()*(1-2E-6)+1E-6</f>
        <v/>
      </c>
      <c r="H205" s="30">
        <f>RAND()*(1-2E-6)+1E-6</f>
        <v/>
      </c>
      <c r="I205" s="31">
        <f>MIN(IF(Supuestos!$H$5="",1E+99,Supuestos!$H$5),MAX(IF(Supuestos!$G$5="",-1E+99,Supuestos!$G$5),IF(Supuestos!$C$5="Normal",NORMINV(B205,Supuestos!$D$5,Supuestos!$E$5),IF(Supuestos!$C$5="Triangular",IF(B205&lt;(Supuestos!$E$5-Supuestos!$D$5)/(Supuestos!$F$5-Supuestos!$D$5),Supuestos!$D$5+SQRT(B205*(Supuestos!$F$5-Supuestos!$D$5)*(Supuestos!$E$5-Supuestos!$D$5)),Supuestos!$F$5-SQRT((1-B205)*(Supuestos!$F$5-Supuestos!$D$5)*(Supuestos!$F$5-Supuestos!$E$5))),IF(Supuestos!$C$5="Uniforme",Supuestos!$D$5+B205*(Supuestos!$E$5-Supuestos!$D$5),IF(Supuestos!$C$5="Lognormal",LOGINV(B205,LN(Supuestos!$D$5)-LN(1+Supuestos!$E$5^2/Supuestos!$D$5^2)/2,SQRT(LN(1+Supuestos!$E$5^2/Supuestos!$D$5^2))),Supuestos!$D$5))))))</f>
        <v/>
      </c>
      <c r="J205" s="31">
        <f>MIN(IF(Supuestos!$H$6="",1E+99,Supuestos!$H$6),MAX(IF(Supuestos!$G$6="",-1E+99,Supuestos!$G$6),IF(Supuestos!$C$6="Normal",NORMINV(C205,Supuestos!$D$6,Supuestos!$E$6),IF(Supuestos!$C$6="Triangular",IF(C205&lt;(Supuestos!$E$6-Supuestos!$D$6)/(Supuestos!$F$6-Supuestos!$D$6),Supuestos!$D$6+SQRT(C205*(Supuestos!$F$6-Supuestos!$D$6)*(Supuestos!$E$6-Supuestos!$D$6)),Supuestos!$F$6-SQRT((1-C205)*(Supuestos!$F$6-Supuestos!$D$6)*(Supuestos!$F$6-Supuestos!$E$6))),IF(Supuestos!$C$6="Uniforme",Supuestos!$D$6+C205*(Supuestos!$E$6-Supuestos!$D$6),IF(Supuestos!$C$6="Lognormal",LOGINV(C205,LN(Supuestos!$D$6)-LN(1+Supuestos!$E$6^2/Supuestos!$D$6^2)/2,SQRT(LN(1+Supuestos!$E$6^2/Supuestos!$D$6^2))),Supuestos!$D$6))))))</f>
        <v/>
      </c>
      <c r="K205" s="32">
        <f>MIN(IF(Supuestos!$H$7="",1E+99,Supuestos!$H$7),MAX(IF(Supuestos!$G$7="",-1E+99,Supuestos!$G$7),IF(Supuestos!$C$7="Normal",NORMINV(D205,Supuestos!$D$7,Supuestos!$E$7),IF(Supuestos!$C$7="Triangular",IF(D205&lt;(Supuestos!$E$7-Supuestos!$D$7)/(Supuestos!$F$7-Supuestos!$D$7),Supuestos!$D$7+SQRT(D205*(Supuestos!$F$7-Supuestos!$D$7)*(Supuestos!$E$7-Supuestos!$D$7)),Supuestos!$F$7-SQRT((1-D205)*(Supuestos!$F$7-Supuestos!$D$7)*(Supuestos!$F$7-Supuestos!$E$7))),IF(Supuestos!$C$7="Uniforme",Supuestos!$D$7+D205*(Supuestos!$E$7-Supuestos!$D$7),IF(Supuestos!$C$7="Lognormal",LOGINV(D205,LN(Supuestos!$D$7)-LN(1+Supuestos!$E$7^2/Supuestos!$D$7^2)/2,SQRT(LN(1+Supuestos!$E$7^2/Supuestos!$D$7^2))),Supuestos!$D$7))))))</f>
        <v/>
      </c>
      <c r="L205" s="32">
        <f>MIN(IF(Supuestos!$H$8="",1E+99,Supuestos!$H$8),MAX(IF(Supuestos!$G$8="",-1E+99,Supuestos!$G$8),IF(Supuestos!$C$8="Normal",NORMINV(E205,Supuestos!$D$8,Supuestos!$E$8),IF(Supuestos!$C$8="Triangular",IF(E205&lt;(Supuestos!$E$8-Supuestos!$D$8)/(Supuestos!$F$8-Supuestos!$D$8),Supuestos!$D$8+SQRT(E205*(Supuestos!$F$8-Supuestos!$D$8)*(Supuestos!$E$8-Supuestos!$D$8)),Supuestos!$F$8-SQRT((1-E205)*(Supuestos!$F$8-Supuestos!$D$8)*(Supuestos!$F$8-Supuestos!$E$8))),IF(Supuestos!$C$8="Uniforme",Supuestos!$D$8+E205*(Supuestos!$E$8-Supuestos!$D$8),IF(Supuestos!$C$8="Lognormal",LOGINV(E205,LN(Supuestos!$D$8)-LN(1+Supuestos!$E$8^2/Supuestos!$D$8^2)/2,SQRT(LN(1+Supuestos!$E$8^2/Supuestos!$D$8^2))),Supuestos!$D$8))))))</f>
        <v/>
      </c>
      <c r="M205" s="32">
        <f>MIN(IF(Supuestos!$H$9="",1E+99,Supuestos!$H$9),MAX(IF(Supuestos!$G$9="",-1E+99,Supuestos!$G$9),IF(Supuestos!$C$9="Normal",NORMINV(F205,Supuestos!$D$9,Supuestos!$E$9),IF(Supuestos!$C$9="Triangular",IF(F205&lt;(Supuestos!$E$9-Supuestos!$D$9)/(Supuestos!$F$9-Supuestos!$D$9),Supuestos!$D$9+SQRT(F205*(Supuestos!$F$9-Supuestos!$D$9)*(Supuestos!$E$9-Supuestos!$D$9)),Supuestos!$F$9-SQRT((1-F205)*(Supuestos!$F$9-Supuestos!$D$9)*(Supuestos!$F$9-Supuestos!$E$9))),IF(Supuestos!$C$9="Uniforme",Supuestos!$D$9+F205*(Supuestos!$E$9-Supuestos!$D$9),IF(Supuestos!$C$9="Lognormal",LOGINV(F205,LN(Supuestos!$D$9)-LN(1+Supuestos!$E$9^2/Supuestos!$D$9^2)/2,SQRT(LN(1+Supuestos!$E$9^2/Supuestos!$D$9^2))),Supuestos!$D$9))))))</f>
        <v/>
      </c>
      <c r="N205" s="32">
        <f>MIN(IF(Supuestos!$H$10="",1E+99,Supuestos!$H$10),MAX(IF(Supuestos!$G$10="",-1E+99,Supuestos!$G$10),IF(Supuestos!$C$10="Normal",NORMINV(G205,Supuestos!$D$10,Supuestos!$E$10),IF(Supuestos!$C$10="Triangular",IF(G205&lt;(Supuestos!$E$10-Supuestos!$D$10)/(Supuestos!$F$10-Supuestos!$D$10),Supuestos!$D$10+SQRT(G205*(Supuestos!$F$10-Supuestos!$D$10)*(Supuestos!$E$10-Supuestos!$D$10)),Supuestos!$F$10-SQRT((1-G205)*(Supuestos!$F$10-Supuestos!$D$10)*(Supuestos!$F$10-Supuestos!$E$10))),IF(Supuestos!$C$10="Uniforme",Supuestos!$D$10+G205*(Supuestos!$E$10-Supuestos!$D$10),IF(Supuestos!$C$10="Lognormal",LOGINV(G205,LN(Supuestos!$D$10)-LN(1+Supuestos!$E$10^2/Supuestos!$D$10^2)/2,SQRT(LN(1+Supuestos!$E$10^2/Supuestos!$D$10^2))),Supuestos!$D$10))))))</f>
        <v/>
      </c>
      <c r="O205" s="31">
        <f>MIN(IF(Supuestos!$H$11="",1E+99,Supuestos!$H$11),MAX(IF(Supuestos!$G$11="",-1E+99,Supuestos!$G$11),IF(Supuestos!$C$11="Normal",NORMINV(H205,Supuestos!$D$11,Supuestos!$E$11),IF(Supuestos!$C$11="Triangular",IF(H205&lt;(Supuestos!$E$11-Supuestos!$D$11)/(Supuestos!$F$11-Supuestos!$D$11),Supuestos!$D$11+SQRT(H205*(Supuestos!$F$11-Supuestos!$D$11)*(Supuestos!$E$11-Supuestos!$D$11)),Supuestos!$F$11-SQRT((1-H205)*(Supuestos!$F$11-Supuestos!$D$11)*(Supuestos!$F$11-Supuestos!$E$11))),IF(Supuestos!$C$11="Uniforme",Supuestos!$D$11+H205*(Supuestos!$E$11-Supuestos!$D$11),IF(Supuestos!$C$11="Lognormal",LOGINV(H205,LN(Supuestos!$D$11)-LN(1+Supuestos!$E$11^2/Supuestos!$D$11^2)/2,SQRT(LN(1+Supuestos!$E$11^2/Supuestos!$D$11^2))),Supuestos!$D$11))))))</f>
        <v/>
      </c>
      <c r="P205" s="33">
        <f>-I205</f>
        <v/>
      </c>
      <c r="Q205" s="33">
        <f>$J205*(1+$K205)^(1-1)*(1-$L205)*(1-$M205)</f>
        <v/>
      </c>
      <c r="R205" s="33">
        <f>$J205*(1+$K205)^(2-1)*(1-$L205)*(1-$M205)</f>
        <v/>
      </c>
      <c r="S205" s="33">
        <f>$J205*(1+$K205)^(3-1)*(1-$L205)*(1-$M205)</f>
        <v/>
      </c>
      <c r="T205" s="33">
        <f>$J205*(1+$K205)^(4-1)*(1-$L205)*(1-$M205)</f>
        <v/>
      </c>
      <c r="U205" s="33">
        <f>$J205*(1+$K205)^(5-1)*(1-$L205)*(1-$M205)+$O205</f>
        <v/>
      </c>
      <c r="V205" s="33">
        <f>P205+NPV($N205,Q205:U205)</f>
        <v/>
      </c>
      <c r="W205" s="32">
        <f>IFERROR(IRR(P205:U205,0.1),"")</f>
        <v/>
      </c>
    </row>
    <row r="206">
      <c r="A206" s="14" t="n">
        <v>202</v>
      </c>
      <c r="B206" s="30">
        <f>RAND()*(1-2E-6)+1E-6</f>
        <v/>
      </c>
      <c r="C206" s="30">
        <f>RAND()*(1-2E-6)+1E-6</f>
        <v/>
      </c>
      <c r="D206" s="30">
        <f>RAND()*(1-2E-6)+1E-6</f>
        <v/>
      </c>
      <c r="E206" s="30">
        <f>RAND()*(1-2E-6)+1E-6</f>
        <v/>
      </c>
      <c r="F206" s="30">
        <f>RAND()*(1-2E-6)+1E-6</f>
        <v/>
      </c>
      <c r="G206" s="30">
        <f>RAND()*(1-2E-6)+1E-6</f>
        <v/>
      </c>
      <c r="H206" s="30">
        <f>RAND()*(1-2E-6)+1E-6</f>
        <v/>
      </c>
      <c r="I206" s="31">
        <f>MIN(IF(Supuestos!$H$5="",1E+99,Supuestos!$H$5),MAX(IF(Supuestos!$G$5="",-1E+99,Supuestos!$G$5),IF(Supuestos!$C$5="Normal",NORMINV(B206,Supuestos!$D$5,Supuestos!$E$5),IF(Supuestos!$C$5="Triangular",IF(B206&lt;(Supuestos!$E$5-Supuestos!$D$5)/(Supuestos!$F$5-Supuestos!$D$5),Supuestos!$D$5+SQRT(B206*(Supuestos!$F$5-Supuestos!$D$5)*(Supuestos!$E$5-Supuestos!$D$5)),Supuestos!$F$5-SQRT((1-B206)*(Supuestos!$F$5-Supuestos!$D$5)*(Supuestos!$F$5-Supuestos!$E$5))),IF(Supuestos!$C$5="Uniforme",Supuestos!$D$5+B206*(Supuestos!$E$5-Supuestos!$D$5),IF(Supuestos!$C$5="Lognormal",LOGINV(B206,LN(Supuestos!$D$5)-LN(1+Supuestos!$E$5^2/Supuestos!$D$5^2)/2,SQRT(LN(1+Supuestos!$E$5^2/Supuestos!$D$5^2))),Supuestos!$D$5))))))</f>
        <v/>
      </c>
      <c r="J206" s="31">
        <f>MIN(IF(Supuestos!$H$6="",1E+99,Supuestos!$H$6),MAX(IF(Supuestos!$G$6="",-1E+99,Supuestos!$G$6),IF(Supuestos!$C$6="Normal",NORMINV(C206,Supuestos!$D$6,Supuestos!$E$6),IF(Supuestos!$C$6="Triangular",IF(C206&lt;(Supuestos!$E$6-Supuestos!$D$6)/(Supuestos!$F$6-Supuestos!$D$6),Supuestos!$D$6+SQRT(C206*(Supuestos!$F$6-Supuestos!$D$6)*(Supuestos!$E$6-Supuestos!$D$6)),Supuestos!$F$6-SQRT((1-C206)*(Supuestos!$F$6-Supuestos!$D$6)*(Supuestos!$F$6-Supuestos!$E$6))),IF(Supuestos!$C$6="Uniforme",Supuestos!$D$6+C206*(Supuestos!$E$6-Supuestos!$D$6),IF(Supuestos!$C$6="Lognormal",LOGINV(C206,LN(Supuestos!$D$6)-LN(1+Supuestos!$E$6^2/Supuestos!$D$6^2)/2,SQRT(LN(1+Supuestos!$E$6^2/Supuestos!$D$6^2))),Supuestos!$D$6))))))</f>
        <v/>
      </c>
      <c r="K206" s="32">
        <f>MIN(IF(Supuestos!$H$7="",1E+99,Supuestos!$H$7),MAX(IF(Supuestos!$G$7="",-1E+99,Supuestos!$G$7),IF(Supuestos!$C$7="Normal",NORMINV(D206,Supuestos!$D$7,Supuestos!$E$7),IF(Supuestos!$C$7="Triangular",IF(D206&lt;(Supuestos!$E$7-Supuestos!$D$7)/(Supuestos!$F$7-Supuestos!$D$7),Supuestos!$D$7+SQRT(D206*(Supuestos!$F$7-Supuestos!$D$7)*(Supuestos!$E$7-Supuestos!$D$7)),Supuestos!$F$7-SQRT((1-D206)*(Supuestos!$F$7-Supuestos!$D$7)*(Supuestos!$F$7-Supuestos!$E$7))),IF(Supuestos!$C$7="Uniforme",Supuestos!$D$7+D206*(Supuestos!$E$7-Supuestos!$D$7),IF(Supuestos!$C$7="Lognormal",LOGINV(D206,LN(Supuestos!$D$7)-LN(1+Supuestos!$E$7^2/Supuestos!$D$7^2)/2,SQRT(LN(1+Supuestos!$E$7^2/Supuestos!$D$7^2))),Supuestos!$D$7))))))</f>
        <v/>
      </c>
      <c r="L206" s="32">
        <f>MIN(IF(Supuestos!$H$8="",1E+99,Supuestos!$H$8),MAX(IF(Supuestos!$G$8="",-1E+99,Supuestos!$G$8),IF(Supuestos!$C$8="Normal",NORMINV(E206,Supuestos!$D$8,Supuestos!$E$8),IF(Supuestos!$C$8="Triangular",IF(E206&lt;(Supuestos!$E$8-Supuestos!$D$8)/(Supuestos!$F$8-Supuestos!$D$8),Supuestos!$D$8+SQRT(E206*(Supuestos!$F$8-Supuestos!$D$8)*(Supuestos!$E$8-Supuestos!$D$8)),Supuestos!$F$8-SQRT((1-E206)*(Supuestos!$F$8-Supuestos!$D$8)*(Supuestos!$F$8-Supuestos!$E$8))),IF(Supuestos!$C$8="Uniforme",Supuestos!$D$8+E206*(Supuestos!$E$8-Supuestos!$D$8),IF(Supuestos!$C$8="Lognormal",LOGINV(E206,LN(Supuestos!$D$8)-LN(1+Supuestos!$E$8^2/Supuestos!$D$8^2)/2,SQRT(LN(1+Supuestos!$E$8^2/Supuestos!$D$8^2))),Supuestos!$D$8))))))</f>
        <v/>
      </c>
      <c r="M206" s="32">
        <f>MIN(IF(Supuestos!$H$9="",1E+99,Supuestos!$H$9),MAX(IF(Supuestos!$G$9="",-1E+99,Supuestos!$G$9),IF(Supuestos!$C$9="Normal",NORMINV(F206,Supuestos!$D$9,Supuestos!$E$9),IF(Supuestos!$C$9="Triangular",IF(F206&lt;(Supuestos!$E$9-Supuestos!$D$9)/(Supuestos!$F$9-Supuestos!$D$9),Supuestos!$D$9+SQRT(F206*(Supuestos!$F$9-Supuestos!$D$9)*(Supuestos!$E$9-Supuestos!$D$9)),Supuestos!$F$9-SQRT((1-F206)*(Supuestos!$F$9-Supuestos!$D$9)*(Supuestos!$F$9-Supuestos!$E$9))),IF(Supuestos!$C$9="Uniforme",Supuestos!$D$9+F206*(Supuestos!$E$9-Supuestos!$D$9),IF(Supuestos!$C$9="Lognormal",LOGINV(F206,LN(Supuestos!$D$9)-LN(1+Supuestos!$E$9^2/Supuestos!$D$9^2)/2,SQRT(LN(1+Supuestos!$E$9^2/Supuestos!$D$9^2))),Supuestos!$D$9))))))</f>
        <v/>
      </c>
      <c r="N206" s="32">
        <f>MIN(IF(Supuestos!$H$10="",1E+99,Supuestos!$H$10),MAX(IF(Supuestos!$G$10="",-1E+99,Supuestos!$G$10),IF(Supuestos!$C$10="Normal",NORMINV(G206,Supuestos!$D$10,Supuestos!$E$10),IF(Supuestos!$C$10="Triangular",IF(G206&lt;(Supuestos!$E$10-Supuestos!$D$10)/(Supuestos!$F$10-Supuestos!$D$10),Supuestos!$D$10+SQRT(G206*(Supuestos!$F$10-Supuestos!$D$10)*(Supuestos!$E$10-Supuestos!$D$10)),Supuestos!$F$10-SQRT((1-G206)*(Supuestos!$F$10-Supuestos!$D$10)*(Supuestos!$F$10-Supuestos!$E$10))),IF(Supuestos!$C$10="Uniforme",Supuestos!$D$10+G206*(Supuestos!$E$10-Supuestos!$D$10),IF(Supuestos!$C$10="Lognormal",LOGINV(G206,LN(Supuestos!$D$10)-LN(1+Supuestos!$E$10^2/Supuestos!$D$10^2)/2,SQRT(LN(1+Supuestos!$E$10^2/Supuestos!$D$10^2))),Supuestos!$D$10))))))</f>
        <v/>
      </c>
      <c r="O206" s="31">
        <f>MIN(IF(Supuestos!$H$11="",1E+99,Supuestos!$H$11),MAX(IF(Supuestos!$G$11="",-1E+99,Supuestos!$G$11),IF(Supuestos!$C$11="Normal",NORMINV(H206,Supuestos!$D$11,Supuestos!$E$11),IF(Supuestos!$C$11="Triangular",IF(H206&lt;(Supuestos!$E$11-Supuestos!$D$11)/(Supuestos!$F$11-Supuestos!$D$11),Supuestos!$D$11+SQRT(H206*(Supuestos!$F$11-Supuestos!$D$11)*(Supuestos!$E$11-Supuestos!$D$11)),Supuestos!$F$11-SQRT((1-H206)*(Supuestos!$F$11-Supuestos!$D$11)*(Supuestos!$F$11-Supuestos!$E$11))),IF(Supuestos!$C$11="Uniforme",Supuestos!$D$11+H206*(Supuestos!$E$11-Supuestos!$D$11),IF(Supuestos!$C$11="Lognormal",LOGINV(H206,LN(Supuestos!$D$11)-LN(1+Supuestos!$E$11^2/Supuestos!$D$11^2)/2,SQRT(LN(1+Supuestos!$E$11^2/Supuestos!$D$11^2))),Supuestos!$D$11))))))</f>
        <v/>
      </c>
      <c r="P206" s="33">
        <f>-I206</f>
        <v/>
      </c>
      <c r="Q206" s="33">
        <f>$J206*(1+$K206)^(1-1)*(1-$L206)*(1-$M206)</f>
        <v/>
      </c>
      <c r="R206" s="33">
        <f>$J206*(1+$K206)^(2-1)*(1-$L206)*(1-$M206)</f>
        <v/>
      </c>
      <c r="S206" s="33">
        <f>$J206*(1+$K206)^(3-1)*(1-$L206)*(1-$M206)</f>
        <v/>
      </c>
      <c r="T206" s="33">
        <f>$J206*(1+$K206)^(4-1)*(1-$L206)*(1-$M206)</f>
        <v/>
      </c>
      <c r="U206" s="33">
        <f>$J206*(1+$K206)^(5-1)*(1-$L206)*(1-$M206)+$O206</f>
        <v/>
      </c>
      <c r="V206" s="33">
        <f>P206+NPV($N206,Q206:U206)</f>
        <v/>
      </c>
      <c r="W206" s="32">
        <f>IFERROR(IRR(P206:U206,0.1),"")</f>
        <v/>
      </c>
    </row>
    <row r="207">
      <c r="A207" s="14" t="n">
        <v>203</v>
      </c>
      <c r="B207" s="30">
        <f>RAND()*(1-2E-6)+1E-6</f>
        <v/>
      </c>
      <c r="C207" s="30">
        <f>RAND()*(1-2E-6)+1E-6</f>
        <v/>
      </c>
      <c r="D207" s="30">
        <f>RAND()*(1-2E-6)+1E-6</f>
        <v/>
      </c>
      <c r="E207" s="30">
        <f>RAND()*(1-2E-6)+1E-6</f>
        <v/>
      </c>
      <c r="F207" s="30">
        <f>RAND()*(1-2E-6)+1E-6</f>
        <v/>
      </c>
      <c r="G207" s="30">
        <f>RAND()*(1-2E-6)+1E-6</f>
        <v/>
      </c>
      <c r="H207" s="30">
        <f>RAND()*(1-2E-6)+1E-6</f>
        <v/>
      </c>
      <c r="I207" s="31">
        <f>MIN(IF(Supuestos!$H$5="",1E+99,Supuestos!$H$5),MAX(IF(Supuestos!$G$5="",-1E+99,Supuestos!$G$5),IF(Supuestos!$C$5="Normal",NORMINV(B207,Supuestos!$D$5,Supuestos!$E$5),IF(Supuestos!$C$5="Triangular",IF(B207&lt;(Supuestos!$E$5-Supuestos!$D$5)/(Supuestos!$F$5-Supuestos!$D$5),Supuestos!$D$5+SQRT(B207*(Supuestos!$F$5-Supuestos!$D$5)*(Supuestos!$E$5-Supuestos!$D$5)),Supuestos!$F$5-SQRT((1-B207)*(Supuestos!$F$5-Supuestos!$D$5)*(Supuestos!$F$5-Supuestos!$E$5))),IF(Supuestos!$C$5="Uniforme",Supuestos!$D$5+B207*(Supuestos!$E$5-Supuestos!$D$5),IF(Supuestos!$C$5="Lognormal",LOGINV(B207,LN(Supuestos!$D$5)-LN(1+Supuestos!$E$5^2/Supuestos!$D$5^2)/2,SQRT(LN(1+Supuestos!$E$5^2/Supuestos!$D$5^2))),Supuestos!$D$5))))))</f>
        <v/>
      </c>
      <c r="J207" s="31">
        <f>MIN(IF(Supuestos!$H$6="",1E+99,Supuestos!$H$6),MAX(IF(Supuestos!$G$6="",-1E+99,Supuestos!$G$6),IF(Supuestos!$C$6="Normal",NORMINV(C207,Supuestos!$D$6,Supuestos!$E$6),IF(Supuestos!$C$6="Triangular",IF(C207&lt;(Supuestos!$E$6-Supuestos!$D$6)/(Supuestos!$F$6-Supuestos!$D$6),Supuestos!$D$6+SQRT(C207*(Supuestos!$F$6-Supuestos!$D$6)*(Supuestos!$E$6-Supuestos!$D$6)),Supuestos!$F$6-SQRT((1-C207)*(Supuestos!$F$6-Supuestos!$D$6)*(Supuestos!$F$6-Supuestos!$E$6))),IF(Supuestos!$C$6="Uniforme",Supuestos!$D$6+C207*(Supuestos!$E$6-Supuestos!$D$6),IF(Supuestos!$C$6="Lognormal",LOGINV(C207,LN(Supuestos!$D$6)-LN(1+Supuestos!$E$6^2/Supuestos!$D$6^2)/2,SQRT(LN(1+Supuestos!$E$6^2/Supuestos!$D$6^2))),Supuestos!$D$6))))))</f>
        <v/>
      </c>
      <c r="K207" s="32">
        <f>MIN(IF(Supuestos!$H$7="",1E+99,Supuestos!$H$7),MAX(IF(Supuestos!$G$7="",-1E+99,Supuestos!$G$7),IF(Supuestos!$C$7="Normal",NORMINV(D207,Supuestos!$D$7,Supuestos!$E$7),IF(Supuestos!$C$7="Triangular",IF(D207&lt;(Supuestos!$E$7-Supuestos!$D$7)/(Supuestos!$F$7-Supuestos!$D$7),Supuestos!$D$7+SQRT(D207*(Supuestos!$F$7-Supuestos!$D$7)*(Supuestos!$E$7-Supuestos!$D$7)),Supuestos!$F$7-SQRT((1-D207)*(Supuestos!$F$7-Supuestos!$D$7)*(Supuestos!$F$7-Supuestos!$E$7))),IF(Supuestos!$C$7="Uniforme",Supuestos!$D$7+D207*(Supuestos!$E$7-Supuestos!$D$7),IF(Supuestos!$C$7="Lognormal",LOGINV(D207,LN(Supuestos!$D$7)-LN(1+Supuestos!$E$7^2/Supuestos!$D$7^2)/2,SQRT(LN(1+Supuestos!$E$7^2/Supuestos!$D$7^2))),Supuestos!$D$7))))))</f>
        <v/>
      </c>
      <c r="L207" s="32">
        <f>MIN(IF(Supuestos!$H$8="",1E+99,Supuestos!$H$8),MAX(IF(Supuestos!$G$8="",-1E+99,Supuestos!$G$8),IF(Supuestos!$C$8="Normal",NORMINV(E207,Supuestos!$D$8,Supuestos!$E$8),IF(Supuestos!$C$8="Triangular",IF(E207&lt;(Supuestos!$E$8-Supuestos!$D$8)/(Supuestos!$F$8-Supuestos!$D$8),Supuestos!$D$8+SQRT(E207*(Supuestos!$F$8-Supuestos!$D$8)*(Supuestos!$E$8-Supuestos!$D$8)),Supuestos!$F$8-SQRT((1-E207)*(Supuestos!$F$8-Supuestos!$D$8)*(Supuestos!$F$8-Supuestos!$E$8))),IF(Supuestos!$C$8="Uniforme",Supuestos!$D$8+E207*(Supuestos!$E$8-Supuestos!$D$8),IF(Supuestos!$C$8="Lognormal",LOGINV(E207,LN(Supuestos!$D$8)-LN(1+Supuestos!$E$8^2/Supuestos!$D$8^2)/2,SQRT(LN(1+Supuestos!$E$8^2/Supuestos!$D$8^2))),Supuestos!$D$8))))))</f>
        <v/>
      </c>
      <c r="M207" s="32">
        <f>MIN(IF(Supuestos!$H$9="",1E+99,Supuestos!$H$9),MAX(IF(Supuestos!$G$9="",-1E+99,Supuestos!$G$9),IF(Supuestos!$C$9="Normal",NORMINV(F207,Supuestos!$D$9,Supuestos!$E$9),IF(Supuestos!$C$9="Triangular",IF(F207&lt;(Supuestos!$E$9-Supuestos!$D$9)/(Supuestos!$F$9-Supuestos!$D$9),Supuestos!$D$9+SQRT(F207*(Supuestos!$F$9-Supuestos!$D$9)*(Supuestos!$E$9-Supuestos!$D$9)),Supuestos!$F$9-SQRT((1-F207)*(Supuestos!$F$9-Supuestos!$D$9)*(Supuestos!$F$9-Supuestos!$E$9))),IF(Supuestos!$C$9="Uniforme",Supuestos!$D$9+F207*(Supuestos!$E$9-Supuestos!$D$9),IF(Supuestos!$C$9="Lognormal",LOGINV(F207,LN(Supuestos!$D$9)-LN(1+Supuestos!$E$9^2/Supuestos!$D$9^2)/2,SQRT(LN(1+Supuestos!$E$9^2/Supuestos!$D$9^2))),Supuestos!$D$9))))))</f>
        <v/>
      </c>
      <c r="N207" s="32">
        <f>MIN(IF(Supuestos!$H$10="",1E+99,Supuestos!$H$10),MAX(IF(Supuestos!$G$10="",-1E+99,Supuestos!$G$10),IF(Supuestos!$C$10="Normal",NORMINV(G207,Supuestos!$D$10,Supuestos!$E$10),IF(Supuestos!$C$10="Triangular",IF(G207&lt;(Supuestos!$E$10-Supuestos!$D$10)/(Supuestos!$F$10-Supuestos!$D$10),Supuestos!$D$10+SQRT(G207*(Supuestos!$F$10-Supuestos!$D$10)*(Supuestos!$E$10-Supuestos!$D$10)),Supuestos!$F$10-SQRT((1-G207)*(Supuestos!$F$10-Supuestos!$D$10)*(Supuestos!$F$10-Supuestos!$E$10))),IF(Supuestos!$C$10="Uniforme",Supuestos!$D$10+G207*(Supuestos!$E$10-Supuestos!$D$10),IF(Supuestos!$C$10="Lognormal",LOGINV(G207,LN(Supuestos!$D$10)-LN(1+Supuestos!$E$10^2/Supuestos!$D$10^2)/2,SQRT(LN(1+Supuestos!$E$10^2/Supuestos!$D$10^2))),Supuestos!$D$10))))))</f>
        <v/>
      </c>
      <c r="O207" s="31">
        <f>MIN(IF(Supuestos!$H$11="",1E+99,Supuestos!$H$11),MAX(IF(Supuestos!$G$11="",-1E+99,Supuestos!$G$11),IF(Supuestos!$C$11="Normal",NORMINV(H207,Supuestos!$D$11,Supuestos!$E$11),IF(Supuestos!$C$11="Triangular",IF(H207&lt;(Supuestos!$E$11-Supuestos!$D$11)/(Supuestos!$F$11-Supuestos!$D$11),Supuestos!$D$11+SQRT(H207*(Supuestos!$F$11-Supuestos!$D$11)*(Supuestos!$E$11-Supuestos!$D$11)),Supuestos!$F$11-SQRT((1-H207)*(Supuestos!$F$11-Supuestos!$D$11)*(Supuestos!$F$11-Supuestos!$E$11))),IF(Supuestos!$C$11="Uniforme",Supuestos!$D$11+H207*(Supuestos!$E$11-Supuestos!$D$11),IF(Supuestos!$C$11="Lognormal",LOGINV(H207,LN(Supuestos!$D$11)-LN(1+Supuestos!$E$11^2/Supuestos!$D$11^2)/2,SQRT(LN(1+Supuestos!$E$11^2/Supuestos!$D$11^2))),Supuestos!$D$11))))))</f>
        <v/>
      </c>
      <c r="P207" s="33">
        <f>-I207</f>
        <v/>
      </c>
      <c r="Q207" s="33">
        <f>$J207*(1+$K207)^(1-1)*(1-$L207)*(1-$M207)</f>
        <v/>
      </c>
      <c r="R207" s="33">
        <f>$J207*(1+$K207)^(2-1)*(1-$L207)*(1-$M207)</f>
        <v/>
      </c>
      <c r="S207" s="33">
        <f>$J207*(1+$K207)^(3-1)*(1-$L207)*(1-$M207)</f>
        <v/>
      </c>
      <c r="T207" s="33">
        <f>$J207*(1+$K207)^(4-1)*(1-$L207)*(1-$M207)</f>
        <v/>
      </c>
      <c r="U207" s="33">
        <f>$J207*(1+$K207)^(5-1)*(1-$L207)*(1-$M207)+$O207</f>
        <v/>
      </c>
      <c r="V207" s="33">
        <f>P207+NPV($N207,Q207:U207)</f>
        <v/>
      </c>
      <c r="W207" s="32">
        <f>IFERROR(IRR(P207:U207,0.1),"")</f>
        <v/>
      </c>
    </row>
    <row r="208">
      <c r="A208" s="14" t="n">
        <v>204</v>
      </c>
      <c r="B208" s="30">
        <f>RAND()*(1-2E-6)+1E-6</f>
        <v/>
      </c>
      <c r="C208" s="30">
        <f>RAND()*(1-2E-6)+1E-6</f>
        <v/>
      </c>
      <c r="D208" s="30">
        <f>RAND()*(1-2E-6)+1E-6</f>
        <v/>
      </c>
      <c r="E208" s="30">
        <f>RAND()*(1-2E-6)+1E-6</f>
        <v/>
      </c>
      <c r="F208" s="30">
        <f>RAND()*(1-2E-6)+1E-6</f>
        <v/>
      </c>
      <c r="G208" s="30">
        <f>RAND()*(1-2E-6)+1E-6</f>
        <v/>
      </c>
      <c r="H208" s="30">
        <f>RAND()*(1-2E-6)+1E-6</f>
        <v/>
      </c>
      <c r="I208" s="31">
        <f>MIN(IF(Supuestos!$H$5="",1E+99,Supuestos!$H$5),MAX(IF(Supuestos!$G$5="",-1E+99,Supuestos!$G$5),IF(Supuestos!$C$5="Normal",NORMINV(B208,Supuestos!$D$5,Supuestos!$E$5),IF(Supuestos!$C$5="Triangular",IF(B208&lt;(Supuestos!$E$5-Supuestos!$D$5)/(Supuestos!$F$5-Supuestos!$D$5),Supuestos!$D$5+SQRT(B208*(Supuestos!$F$5-Supuestos!$D$5)*(Supuestos!$E$5-Supuestos!$D$5)),Supuestos!$F$5-SQRT((1-B208)*(Supuestos!$F$5-Supuestos!$D$5)*(Supuestos!$F$5-Supuestos!$E$5))),IF(Supuestos!$C$5="Uniforme",Supuestos!$D$5+B208*(Supuestos!$E$5-Supuestos!$D$5),IF(Supuestos!$C$5="Lognormal",LOGINV(B208,LN(Supuestos!$D$5)-LN(1+Supuestos!$E$5^2/Supuestos!$D$5^2)/2,SQRT(LN(1+Supuestos!$E$5^2/Supuestos!$D$5^2))),Supuestos!$D$5))))))</f>
        <v/>
      </c>
      <c r="J208" s="31">
        <f>MIN(IF(Supuestos!$H$6="",1E+99,Supuestos!$H$6),MAX(IF(Supuestos!$G$6="",-1E+99,Supuestos!$G$6),IF(Supuestos!$C$6="Normal",NORMINV(C208,Supuestos!$D$6,Supuestos!$E$6),IF(Supuestos!$C$6="Triangular",IF(C208&lt;(Supuestos!$E$6-Supuestos!$D$6)/(Supuestos!$F$6-Supuestos!$D$6),Supuestos!$D$6+SQRT(C208*(Supuestos!$F$6-Supuestos!$D$6)*(Supuestos!$E$6-Supuestos!$D$6)),Supuestos!$F$6-SQRT((1-C208)*(Supuestos!$F$6-Supuestos!$D$6)*(Supuestos!$F$6-Supuestos!$E$6))),IF(Supuestos!$C$6="Uniforme",Supuestos!$D$6+C208*(Supuestos!$E$6-Supuestos!$D$6),IF(Supuestos!$C$6="Lognormal",LOGINV(C208,LN(Supuestos!$D$6)-LN(1+Supuestos!$E$6^2/Supuestos!$D$6^2)/2,SQRT(LN(1+Supuestos!$E$6^2/Supuestos!$D$6^2))),Supuestos!$D$6))))))</f>
        <v/>
      </c>
      <c r="K208" s="32">
        <f>MIN(IF(Supuestos!$H$7="",1E+99,Supuestos!$H$7),MAX(IF(Supuestos!$G$7="",-1E+99,Supuestos!$G$7),IF(Supuestos!$C$7="Normal",NORMINV(D208,Supuestos!$D$7,Supuestos!$E$7),IF(Supuestos!$C$7="Triangular",IF(D208&lt;(Supuestos!$E$7-Supuestos!$D$7)/(Supuestos!$F$7-Supuestos!$D$7),Supuestos!$D$7+SQRT(D208*(Supuestos!$F$7-Supuestos!$D$7)*(Supuestos!$E$7-Supuestos!$D$7)),Supuestos!$F$7-SQRT((1-D208)*(Supuestos!$F$7-Supuestos!$D$7)*(Supuestos!$F$7-Supuestos!$E$7))),IF(Supuestos!$C$7="Uniforme",Supuestos!$D$7+D208*(Supuestos!$E$7-Supuestos!$D$7),IF(Supuestos!$C$7="Lognormal",LOGINV(D208,LN(Supuestos!$D$7)-LN(1+Supuestos!$E$7^2/Supuestos!$D$7^2)/2,SQRT(LN(1+Supuestos!$E$7^2/Supuestos!$D$7^2))),Supuestos!$D$7))))))</f>
        <v/>
      </c>
      <c r="L208" s="32">
        <f>MIN(IF(Supuestos!$H$8="",1E+99,Supuestos!$H$8),MAX(IF(Supuestos!$G$8="",-1E+99,Supuestos!$G$8),IF(Supuestos!$C$8="Normal",NORMINV(E208,Supuestos!$D$8,Supuestos!$E$8),IF(Supuestos!$C$8="Triangular",IF(E208&lt;(Supuestos!$E$8-Supuestos!$D$8)/(Supuestos!$F$8-Supuestos!$D$8),Supuestos!$D$8+SQRT(E208*(Supuestos!$F$8-Supuestos!$D$8)*(Supuestos!$E$8-Supuestos!$D$8)),Supuestos!$F$8-SQRT((1-E208)*(Supuestos!$F$8-Supuestos!$D$8)*(Supuestos!$F$8-Supuestos!$E$8))),IF(Supuestos!$C$8="Uniforme",Supuestos!$D$8+E208*(Supuestos!$E$8-Supuestos!$D$8),IF(Supuestos!$C$8="Lognormal",LOGINV(E208,LN(Supuestos!$D$8)-LN(1+Supuestos!$E$8^2/Supuestos!$D$8^2)/2,SQRT(LN(1+Supuestos!$E$8^2/Supuestos!$D$8^2))),Supuestos!$D$8))))))</f>
        <v/>
      </c>
      <c r="M208" s="32">
        <f>MIN(IF(Supuestos!$H$9="",1E+99,Supuestos!$H$9),MAX(IF(Supuestos!$G$9="",-1E+99,Supuestos!$G$9),IF(Supuestos!$C$9="Normal",NORMINV(F208,Supuestos!$D$9,Supuestos!$E$9),IF(Supuestos!$C$9="Triangular",IF(F208&lt;(Supuestos!$E$9-Supuestos!$D$9)/(Supuestos!$F$9-Supuestos!$D$9),Supuestos!$D$9+SQRT(F208*(Supuestos!$F$9-Supuestos!$D$9)*(Supuestos!$E$9-Supuestos!$D$9)),Supuestos!$F$9-SQRT((1-F208)*(Supuestos!$F$9-Supuestos!$D$9)*(Supuestos!$F$9-Supuestos!$E$9))),IF(Supuestos!$C$9="Uniforme",Supuestos!$D$9+F208*(Supuestos!$E$9-Supuestos!$D$9),IF(Supuestos!$C$9="Lognormal",LOGINV(F208,LN(Supuestos!$D$9)-LN(1+Supuestos!$E$9^2/Supuestos!$D$9^2)/2,SQRT(LN(1+Supuestos!$E$9^2/Supuestos!$D$9^2))),Supuestos!$D$9))))))</f>
        <v/>
      </c>
      <c r="N208" s="32">
        <f>MIN(IF(Supuestos!$H$10="",1E+99,Supuestos!$H$10),MAX(IF(Supuestos!$G$10="",-1E+99,Supuestos!$G$10),IF(Supuestos!$C$10="Normal",NORMINV(G208,Supuestos!$D$10,Supuestos!$E$10),IF(Supuestos!$C$10="Triangular",IF(G208&lt;(Supuestos!$E$10-Supuestos!$D$10)/(Supuestos!$F$10-Supuestos!$D$10),Supuestos!$D$10+SQRT(G208*(Supuestos!$F$10-Supuestos!$D$10)*(Supuestos!$E$10-Supuestos!$D$10)),Supuestos!$F$10-SQRT((1-G208)*(Supuestos!$F$10-Supuestos!$D$10)*(Supuestos!$F$10-Supuestos!$E$10))),IF(Supuestos!$C$10="Uniforme",Supuestos!$D$10+G208*(Supuestos!$E$10-Supuestos!$D$10),IF(Supuestos!$C$10="Lognormal",LOGINV(G208,LN(Supuestos!$D$10)-LN(1+Supuestos!$E$10^2/Supuestos!$D$10^2)/2,SQRT(LN(1+Supuestos!$E$10^2/Supuestos!$D$10^2))),Supuestos!$D$10))))))</f>
        <v/>
      </c>
      <c r="O208" s="31">
        <f>MIN(IF(Supuestos!$H$11="",1E+99,Supuestos!$H$11),MAX(IF(Supuestos!$G$11="",-1E+99,Supuestos!$G$11),IF(Supuestos!$C$11="Normal",NORMINV(H208,Supuestos!$D$11,Supuestos!$E$11),IF(Supuestos!$C$11="Triangular",IF(H208&lt;(Supuestos!$E$11-Supuestos!$D$11)/(Supuestos!$F$11-Supuestos!$D$11),Supuestos!$D$11+SQRT(H208*(Supuestos!$F$11-Supuestos!$D$11)*(Supuestos!$E$11-Supuestos!$D$11)),Supuestos!$F$11-SQRT((1-H208)*(Supuestos!$F$11-Supuestos!$D$11)*(Supuestos!$F$11-Supuestos!$E$11))),IF(Supuestos!$C$11="Uniforme",Supuestos!$D$11+H208*(Supuestos!$E$11-Supuestos!$D$11),IF(Supuestos!$C$11="Lognormal",LOGINV(H208,LN(Supuestos!$D$11)-LN(1+Supuestos!$E$11^2/Supuestos!$D$11^2)/2,SQRT(LN(1+Supuestos!$E$11^2/Supuestos!$D$11^2))),Supuestos!$D$11))))))</f>
        <v/>
      </c>
      <c r="P208" s="33">
        <f>-I208</f>
        <v/>
      </c>
      <c r="Q208" s="33">
        <f>$J208*(1+$K208)^(1-1)*(1-$L208)*(1-$M208)</f>
        <v/>
      </c>
      <c r="R208" s="33">
        <f>$J208*(1+$K208)^(2-1)*(1-$L208)*(1-$M208)</f>
        <v/>
      </c>
      <c r="S208" s="33">
        <f>$J208*(1+$K208)^(3-1)*(1-$L208)*(1-$M208)</f>
        <v/>
      </c>
      <c r="T208" s="33">
        <f>$J208*(1+$K208)^(4-1)*(1-$L208)*(1-$M208)</f>
        <v/>
      </c>
      <c r="U208" s="33">
        <f>$J208*(1+$K208)^(5-1)*(1-$L208)*(1-$M208)+$O208</f>
        <v/>
      </c>
      <c r="V208" s="33">
        <f>P208+NPV($N208,Q208:U208)</f>
        <v/>
      </c>
      <c r="W208" s="32">
        <f>IFERROR(IRR(P208:U208,0.1),"")</f>
        <v/>
      </c>
    </row>
    <row r="209">
      <c r="A209" s="14" t="n">
        <v>205</v>
      </c>
      <c r="B209" s="30">
        <f>RAND()*(1-2E-6)+1E-6</f>
        <v/>
      </c>
      <c r="C209" s="30">
        <f>RAND()*(1-2E-6)+1E-6</f>
        <v/>
      </c>
      <c r="D209" s="30">
        <f>RAND()*(1-2E-6)+1E-6</f>
        <v/>
      </c>
      <c r="E209" s="30">
        <f>RAND()*(1-2E-6)+1E-6</f>
        <v/>
      </c>
      <c r="F209" s="30">
        <f>RAND()*(1-2E-6)+1E-6</f>
        <v/>
      </c>
      <c r="G209" s="30">
        <f>RAND()*(1-2E-6)+1E-6</f>
        <v/>
      </c>
      <c r="H209" s="30">
        <f>RAND()*(1-2E-6)+1E-6</f>
        <v/>
      </c>
      <c r="I209" s="31">
        <f>MIN(IF(Supuestos!$H$5="",1E+99,Supuestos!$H$5),MAX(IF(Supuestos!$G$5="",-1E+99,Supuestos!$G$5),IF(Supuestos!$C$5="Normal",NORMINV(B209,Supuestos!$D$5,Supuestos!$E$5),IF(Supuestos!$C$5="Triangular",IF(B209&lt;(Supuestos!$E$5-Supuestos!$D$5)/(Supuestos!$F$5-Supuestos!$D$5),Supuestos!$D$5+SQRT(B209*(Supuestos!$F$5-Supuestos!$D$5)*(Supuestos!$E$5-Supuestos!$D$5)),Supuestos!$F$5-SQRT((1-B209)*(Supuestos!$F$5-Supuestos!$D$5)*(Supuestos!$F$5-Supuestos!$E$5))),IF(Supuestos!$C$5="Uniforme",Supuestos!$D$5+B209*(Supuestos!$E$5-Supuestos!$D$5),IF(Supuestos!$C$5="Lognormal",LOGINV(B209,LN(Supuestos!$D$5)-LN(1+Supuestos!$E$5^2/Supuestos!$D$5^2)/2,SQRT(LN(1+Supuestos!$E$5^2/Supuestos!$D$5^2))),Supuestos!$D$5))))))</f>
        <v/>
      </c>
      <c r="J209" s="31">
        <f>MIN(IF(Supuestos!$H$6="",1E+99,Supuestos!$H$6),MAX(IF(Supuestos!$G$6="",-1E+99,Supuestos!$G$6),IF(Supuestos!$C$6="Normal",NORMINV(C209,Supuestos!$D$6,Supuestos!$E$6),IF(Supuestos!$C$6="Triangular",IF(C209&lt;(Supuestos!$E$6-Supuestos!$D$6)/(Supuestos!$F$6-Supuestos!$D$6),Supuestos!$D$6+SQRT(C209*(Supuestos!$F$6-Supuestos!$D$6)*(Supuestos!$E$6-Supuestos!$D$6)),Supuestos!$F$6-SQRT((1-C209)*(Supuestos!$F$6-Supuestos!$D$6)*(Supuestos!$F$6-Supuestos!$E$6))),IF(Supuestos!$C$6="Uniforme",Supuestos!$D$6+C209*(Supuestos!$E$6-Supuestos!$D$6),IF(Supuestos!$C$6="Lognormal",LOGINV(C209,LN(Supuestos!$D$6)-LN(1+Supuestos!$E$6^2/Supuestos!$D$6^2)/2,SQRT(LN(1+Supuestos!$E$6^2/Supuestos!$D$6^2))),Supuestos!$D$6))))))</f>
        <v/>
      </c>
      <c r="K209" s="32">
        <f>MIN(IF(Supuestos!$H$7="",1E+99,Supuestos!$H$7),MAX(IF(Supuestos!$G$7="",-1E+99,Supuestos!$G$7),IF(Supuestos!$C$7="Normal",NORMINV(D209,Supuestos!$D$7,Supuestos!$E$7),IF(Supuestos!$C$7="Triangular",IF(D209&lt;(Supuestos!$E$7-Supuestos!$D$7)/(Supuestos!$F$7-Supuestos!$D$7),Supuestos!$D$7+SQRT(D209*(Supuestos!$F$7-Supuestos!$D$7)*(Supuestos!$E$7-Supuestos!$D$7)),Supuestos!$F$7-SQRT((1-D209)*(Supuestos!$F$7-Supuestos!$D$7)*(Supuestos!$F$7-Supuestos!$E$7))),IF(Supuestos!$C$7="Uniforme",Supuestos!$D$7+D209*(Supuestos!$E$7-Supuestos!$D$7),IF(Supuestos!$C$7="Lognormal",LOGINV(D209,LN(Supuestos!$D$7)-LN(1+Supuestos!$E$7^2/Supuestos!$D$7^2)/2,SQRT(LN(1+Supuestos!$E$7^2/Supuestos!$D$7^2))),Supuestos!$D$7))))))</f>
        <v/>
      </c>
      <c r="L209" s="32">
        <f>MIN(IF(Supuestos!$H$8="",1E+99,Supuestos!$H$8),MAX(IF(Supuestos!$G$8="",-1E+99,Supuestos!$G$8),IF(Supuestos!$C$8="Normal",NORMINV(E209,Supuestos!$D$8,Supuestos!$E$8),IF(Supuestos!$C$8="Triangular",IF(E209&lt;(Supuestos!$E$8-Supuestos!$D$8)/(Supuestos!$F$8-Supuestos!$D$8),Supuestos!$D$8+SQRT(E209*(Supuestos!$F$8-Supuestos!$D$8)*(Supuestos!$E$8-Supuestos!$D$8)),Supuestos!$F$8-SQRT((1-E209)*(Supuestos!$F$8-Supuestos!$D$8)*(Supuestos!$F$8-Supuestos!$E$8))),IF(Supuestos!$C$8="Uniforme",Supuestos!$D$8+E209*(Supuestos!$E$8-Supuestos!$D$8),IF(Supuestos!$C$8="Lognormal",LOGINV(E209,LN(Supuestos!$D$8)-LN(1+Supuestos!$E$8^2/Supuestos!$D$8^2)/2,SQRT(LN(1+Supuestos!$E$8^2/Supuestos!$D$8^2))),Supuestos!$D$8))))))</f>
        <v/>
      </c>
      <c r="M209" s="32">
        <f>MIN(IF(Supuestos!$H$9="",1E+99,Supuestos!$H$9),MAX(IF(Supuestos!$G$9="",-1E+99,Supuestos!$G$9),IF(Supuestos!$C$9="Normal",NORMINV(F209,Supuestos!$D$9,Supuestos!$E$9),IF(Supuestos!$C$9="Triangular",IF(F209&lt;(Supuestos!$E$9-Supuestos!$D$9)/(Supuestos!$F$9-Supuestos!$D$9),Supuestos!$D$9+SQRT(F209*(Supuestos!$F$9-Supuestos!$D$9)*(Supuestos!$E$9-Supuestos!$D$9)),Supuestos!$F$9-SQRT((1-F209)*(Supuestos!$F$9-Supuestos!$D$9)*(Supuestos!$F$9-Supuestos!$E$9))),IF(Supuestos!$C$9="Uniforme",Supuestos!$D$9+F209*(Supuestos!$E$9-Supuestos!$D$9),IF(Supuestos!$C$9="Lognormal",LOGINV(F209,LN(Supuestos!$D$9)-LN(1+Supuestos!$E$9^2/Supuestos!$D$9^2)/2,SQRT(LN(1+Supuestos!$E$9^2/Supuestos!$D$9^2))),Supuestos!$D$9))))))</f>
        <v/>
      </c>
      <c r="N209" s="32">
        <f>MIN(IF(Supuestos!$H$10="",1E+99,Supuestos!$H$10),MAX(IF(Supuestos!$G$10="",-1E+99,Supuestos!$G$10),IF(Supuestos!$C$10="Normal",NORMINV(G209,Supuestos!$D$10,Supuestos!$E$10),IF(Supuestos!$C$10="Triangular",IF(G209&lt;(Supuestos!$E$10-Supuestos!$D$10)/(Supuestos!$F$10-Supuestos!$D$10),Supuestos!$D$10+SQRT(G209*(Supuestos!$F$10-Supuestos!$D$10)*(Supuestos!$E$10-Supuestos!$D$10)),Supuestos!$F$10-SQRT((1-G209)*(Supuestos!$F$10-Supuestos!$D$10)*(Supuestos!$F$10-Supuestos!$E$10))),IF(Supuestos!$C$10="Uniforme",Supuestos!$D$10+G209*(Supuestos!$E$10-Supuestos!$D$10),IF(Supuestos!$C$10="Lognormal",LOGINV(G209,LN(Supuestos!$D$10)-LN(1+Supuestos!$E$10^2/Supuestos!$D$10^2)/2,SQRT(LN(1+Supuestos!$E$10^2/Supuestos!$D$10^2))),Supuestos!$D$10))))))</f>
        <v/>
      </c>
      <c r="O209" s="31">
        <f>MIN(IF(Supuestos!$H$11="",1E+99,Supuestos!$H$11),MAX(IF(Supuestos!$G$11="",-1E+99,Supuestos!$G$11),IF(Supuestos!$C$11="Normal",NORMINV(H209,Supuestos!$D$11,Supuestos!$E$11),IF(Supuestos!$C$11="Triangular",IF(H209&lt;(Supuestos!$E$11-Supuestos!$D$11)/(Supuestos!$F$11-Supuestos!$D$11),Supuestos!$D$11+SQRT(H209*(Supuestos!$F$11-Supuestos!$D$11)*(Supuestos!$E$11-Supuestos!$D$11)),Supuestos!$F$11-SQRT((1-H209)*(Supuestos!$F$11-Supuestos!$D$11)*(Supuestos!$F$11-Supuestos!$E$11))),IF(Supuestos!$C$11="Uniforme",Supuestos!$D$11+H209*(Supuestos!$E$11-Supuestos!$D$11),IF(Supuestos!$C$11="Lognormal",LOGINV(H209,LN(Supuestos!$D$11)-LN(1+Supuestos!$E$11^2/Supuestos!$D$11^2)/2,SQRT(LN(1+Supuestos!$E$11^2/Supuestos!$D$11^2))),Supuestos!$D$11))))))</f>
        <v/>
      </c>
      <c r="P209" s="33">
        <f>-I209</f>
        <v/>
      </c>
      <c r="Q209" s="33">
        <f>$J209*(1+$K209)^(1-1)*(1-$L209)*(1-$M209)</f>
        <v/>
      </c>
      <c r="R209" s="33">
        <f>$J209*(1+$K209)^(2-1)*(1-$L209)*(1-$M209)</f>
        <v/>
      </c>
      <c r="S209" s="33">
        <f>$J209*(1+$K209)^(3-1)*(1-$L209)*(1-$M209)</f>
        <v/>
      </c>
      <c r="T209" s="33">
        <f>$J209*(1+$K209)^(4-1)*(1-$L209)*(1-$M209)</f>
        <v/>
      </c>
      <c r="U209" s="33">
        <f>$J209*(1+$K209)^(5-1)*(1-$L209)*(1-$M209)+$O209</f>
        <v/>
      </c>
      <c r="V209" s="33">
        <f>P209+NPV($N209,Q209:U209)</f>
        <v/>
      </c>
      <c r="W209" s="32">
        <f>IFERROR(IRR(P209:U209,0.1),"")</f>
        <v/>
      </c>
    </row>
    <row r="210">
      <c r="A210" s="14" t="n">
        <v>206</v>
      </c>
      <c r="B210" s="30">
        <f>RAND()*(1-2E-6)+1E-6</f>
        <v/>
      </c>
      <c r="C210" s="30">
        <f>RAND()*(1-2E-6)+1E-6</f>
        <v/>
      </c>
      <c r="D210" s="30">
        <f>RAND()*(1-2E-6)+1E-6</f>
        <v/>
      </c>
      <c r="E210" s="30">
        <f>RAND()*(1-2E-6)+1E-6</f>
        <v/>
      </c>
      <c r="F210" s="30">
        <f>RAND()*(1-2E-6)+1E-6</f>
        <v/>
      </c>
      <c r="G210" s="30">
        <f>RAND()*(1-2E-6)+1E-6</f>
        <v/>
      </c>
      <c r="H210" s="30">
        <f>RAND()*(1-2E-6)+1E-6</f>
        <v/>
      </c>
      <c r="I210" s="31">
        <f>MIN(IF(Supuestos!$H$5="",1E+99,Supuestos!$H$5),MAX(IF(Supuestos!$G$5="",-1E+99,Supuestos!$G$5),IF(Supuestos!$C$5="Normal",NORMINV(B210,Supuestos!$D$5,Supuestos!$E$5),IF(Supuestos!$C$5="Triangular",IF(B210&lt;(Supuestos!$E$5-Supuestos!$D$5)/(Supuestos!$F$5-Supuestos!$D$5),Supuestos!$D$5+SQRT(B210*(Supuestos!$F$5-Supuestos!$D$5)*(Supuestos!$E$5-Supuestos!$D$5)),Supuestos!$F$5-SQRT((1-B210)*(Supuestos!$F$5-Supuestos!$D$5)*(Supuestos!$F$5-Supuestos!$E$5))),IF(Supuestos!$C$5="Uniforme",Supuestos!$D$5+B210*(Supuestos!$E$5-Supuestos!$D$5),IF(Supuestos!$C$5="Lognormal",LOGINV(B210,LN(Supuestos!$D$5)-LN(1+Supuestos!$E$5^2/Supuestos!$D$5^2)/2,SQRT(LN(1+Supuestos!$E$5^2/Supuestos!$D$5^2))),Supuestos!$D$5))))))</f>
        <v/>
      </c>
      <c r="J210" s="31">
        <f>MIN(IF(Supuestos!$H$6="",1E+99,Supuestos!$H$6),MAX(IF(Supuestos!$G$6="",-1E+99,Supuestos!$G$6),IF(Supuestos!$C$6="Normal",NORMINV(C210,Supuestos!$D$6,Supuestos!$E$6),IF(Supuestos!$C$6="Triangular",IF(C210&lt;(Supuestos!$E$6-Supuestos!$D$6)/(Supuestos!$F$6-Supuestos!$D$6),Supuestos!$D$6+SQRT(C210*(Supuestos!$F$6-Supuestos!$D$6)*(Supuestos!$E$6-Supuestos!$D$6)),Supuestos!$F$6-SQRT((1-C210)*(Supuestos!$F$6-Supuestos!$D$6)*(Supuestos!$F$6-Supuestos!$E$6))),IF(Supuestos!$C$6="Uniforme",Supuestos!$D$6+C210*(Supuestos!$E$6-Supuestos!$D$6),IF(Supuestos!$C$6="Lognormal",LOGINV(C210,LN(Supuestos!$D$6)-LN(1+Supuestos!$E$6^2/Supuestos!$D$6^2)/2,SQRT(LN(1+Supuestos!$E$6^2/Supuestos!$D$6^2))),Supuestos!$D$6))))))</f>
        <v/>
      </c>
      <c r="K210" s="32">
        <f>MIN(IF(Supuestos!$H$7="",1E+99,Supuestos!$H$7),MAX(IF(Supuestos!$G$7="",-1E+99,Supuestos!$G$7),IF(Supuestos!$C$7="Normal",NORMINV(D210,Supuestos!$D$7,Supuestos!$E$7),IF(Supuestos!$C$7="Triangular",IF(D210&lt;(Supuestos!$E$7-Supuestos!$D$7)/(Supuestos!$F$7-Supuestos!$D$7),Supuestos!$D$7+SQRT(D210*(Supuestos!$F$7-Supuestos!$D$7)*(Supuestos!$E$7-Supuestos!$D$7)),Supuestos!$F$7-SQRT((1-D210)*(Supuestos!$F$7-Supuestos!$D$7)*(Supuestos!$F$7-Supuestos!$E$7))),IF(Supuestos!$C$7="Uniforme",Supuestos!$D$7+D210*(Supuestos!$E$7-Supuestos!$D$7),IF(Supuestos!$C$7="Lognormal",LOGINV(D210,LN(Supuestos!$D$7)-LN(1+Supuestos!$E$7^2/Supuestos!$D$7^2)/2,SQRT(LN(1+Supuestos!$E$7^2/Supuestos!$D$7^2))),Supuestos!$D$7))))))</f>
        <v/>
      </c>
      <c r="L210" s="32">
        <f>MIN(IF(Supuestos!$H$8="",1E+99,Supuestos!$H$8),MAX(IF(Supuestos!$G$8="",-1E+99,Supuestos!$G$8),IF(Supuestos!$C$8="Normal",NORMINV(E210,Supuestos!$D$8,Supuestos!$E$8),IF(Supuestos!$C$8="Triangular",IF(E210&lt;(Supuestos!$E$8-Supuestos!$D$8)/(Supuestos!$F$8-Supuestos!$D$8),Supuestos!$D$8+SQRT(E210*(Supuestos!$F$8-Supuestos!$D$8)*(Supuestos!$E$8-Supuestos!$D$8)),Supuestos!$F$8-SQRT((1-E210)*(Supuestos!$F$8-Supuestos!$D$8)*(Supuestos!$F$8-Supuestos!$E$8))),IF(Supuestos!$C$8="Uniforme",Supuestos!$D$8+E210*(Supuestos!$E$8-Supuestos!$D$8),IF(Supuestos!$C$8="Lognormal",LOGINV(E210,LN(Supuestos!$D$8)-LN(1+Supuestos!$E$8^2/Supuestos!$D$8^2)/2,SQRT(LN(1+Supuestos!$E$8^2/Supuestos!$D$8^2))),Supuestos!$D$8))))))</f>
        <v/>
      </c>
      <c r="M210" s="32">
        <f>MIN(IF(Supuestos!$H$9="",1E+99,Supuestos!$H$9),MAX(IF(Supuestos!$G$9="",-1E+99,Supuestos!$G$9),IF(Supuestos!$C$9="Normal",NORMINV(F210,Supuestos!$D$9,Supuestos!$E$9),IF(Supuestos!$C$9="Triangular",IF(F210&lt;(Supuestos!$E$9-Supuestos!$D$9)/(Supuestos!$F$9-Supuestos!$D$9),Supuestos!$D$9+SQRT(F210*(Supuestos!$F$9-Supuestos!$D$9)*(Supuestos!$E$9-Supuestos!$D$9)),Supuestos!$F$9-SQRT((1-F210)*(Supuestos!$F$9-Supuestos!$D$9)*(Supuestos!$F$9-Supuestos!$E$9))),IF(Supuestos!$C$9="Uniforme",Supuestos!$D$9+F210*(Supuestos!$E$9-Supuestos!$D$9),IF(Supuestos!$C$9="Lognormal",LOGINV(F210,LN(Supuestos!$D$9)-LN(1+Supuestos!$E$9^2/Supuestos!$D$9^2)/2,SQRT(LN(1+Supuestos!$E$9^2/Supuestos!$D$9^2))),Supuestos!$D$9))))))</f>
        <v/>
      </c>
      <c r="N210" s="32">
        <f>MIN(IF(Supuestos!$H$10="",1E+99,Supuestos!$H$10),MAX(IF(Supuestos!$G$10="",-1E+99,Supuestos!$G$10),IF(Supuestos!$C$10="Normal",NORMINV(G210,Supuestos!$D$10,Supuestos!$E$10),IF(Supuestos!$C$10="Triangular",IF(G210&lt;(Supuestos!$E$10-Supuestos!$D$10)/(Supuestos!$F$10-Supuestos!$D$10),Supuestos!$D$10+SQRT(G210*(Supuestos!$F$10-Supuestos!$D$10)*(Supuestos!$E$10-Supuestos!$D$10)),Supuestos!$F$10-SQRT((1-G210)*(Supuestos!$F$10-Supuestos!$D$10)*(Supuestos!$F$10-Supuestos!$E$10))),IF(Supuestos!$C$10="Uniforme",Supuestos!$D$10+G210*(Supuestos!$E$10-Supuestos!$D$10),IF(Supuestos!$C$10="Lognormal",LOGINV(G210,LN(Supuestos!$D$10)-LN(1+Supuestos!$E$10^2/Supuestos!$D$10^2)/2,SQRT(LN(1+Supuestos!$E$10^2/Supuestos!$D$10^2))),Supuestos!$D$10))))))</f>
        <v/>
      </c>
      <c r="O210" s="31">
        <f>MIN(IF(Supuestos!$H$11="",1E+99,Supuestos!$H$11),MAX(IF(Supuestos!$G$11="",-1E+99,Supuestos!$G$11),IF(Supuestos!$C$11="Normal",NORMINV(H210,Supuestos!$D$11,Supuestos!$E$11),IF(Supuestos!$C$11="Triangular",IF(H210&lt;(Supuestos!$E$11-Supuestos!$D$11)/(Supuestos!$F$11-Supuestos!$D$11),Supuestos!$D$11+SQRT(H210*(Supuestos!$F$11-Supuestos!$D$11)*(Supuestos!$E$11-Supuestos!$D$11)),Supuestos!$F$11-SQRT((1-H210)*(Supuestos!$F$11-Supuestos!$D$11)*(Supuestos!$F$11-Supuestos!$E$11))),IF(Supuestos!$C$11="Uniforme",Supuestos!$D$11+H210*(Supuestos!$E$11-Supuestos!$D$11),IF(Supuestos!$C$11="Lognormal",LOGINV(H210,LN(Supuestos!$D$11)-LN(1+Supuestos!$E$11^2/Supuestos!$D$11^2)/2,SQRT(LN(1+Supuestos!$E$11^2/Supuestos!$D$11^2))),Supuestos!$D$11))))))</f>
        <v/>
      </c>
      <c r="P210" s="33">
        <f>-I210</f>
        <v/>
      </c>
      <c r="Q210" s="33">
        <f>$J210*(1+$K210)^(1-1)*(1-$L210)*(1-$M210)</f>
        <v/>
      </c>
      <c r="R210" s="33">
        <f>$J210*(1+$K210)^(2-1)*(1-$L210)*(1-$M210)</f>
        <v/>
      </c>
      <c r="S210" s="33">
        <f>$J210*(1+$K210)^(3-1)*(1-$L210)*(1-$M210)</f>
        <v/>
      </c>
      <c r="T210" s="33">
        <f>$J210*(1+$K210)^(4-1)*(1-$L210)*(1-$M210)</f>
        <v/>
      </c>
      <c r="U210" s="33">
        <f>$J210*(1+$K210)^(5-1)*(1-$L210)*(1-$M210)+$O210</f>
        <v/>
      </c>
      <c r="V210" s="33">
        <f>P210+NPV($N210,Q210:U210)</f>
        <v/>
      </c>
      <c r="W210" s="32">
        <f>IFERROR(IRR(P210:U210,0.1),"")</f>
        <v/>
      </c>
    </row>
    <row r="211">
      <c r="A211" s="14" t="n">
        <v>207</v>
      </c>
      <c r="B211" s="30">
        <f>RAND()*(1-2E-6)+1E-6</f>
        <v/>
      </c>
      <c r="C211" s="30">
        <f>RAND()*(1-2E-6)+1E-6</f>
        <v/>
      </c>
      <c r="D211" s="30">
        <f>RAND()*(1-2E-6)+1E-6</f>
        <v/>
      </c>
      <c r="E211" s="30">
        <f>RAND()*(1-2E-6)+1E-6</f>
        <v/>
      </c>
      <c r="F211" s="30">
        <f>RAND()*(1-2E-6)+1E-6</f>
        <v/>
      </c>
      <c r="G211" s="30">
        <f>RAND()*(1-2E-6)+1E-6</f>
        <v/>
      </c>
      <c r="H211" s="30">
        <f>RAND()*(1-2E-6)+1E-6</f>
        <v/>
      </c>
      <c r="I211" s="31">
        <f>MIN(IF(Supuestos!$H$5="",1E+99,Supuestos!$H$5),MAX(IF(Supuestos!$G$5="",-1E+99,Supuestos!$G$5),IF(Supuestos!$C$5="Normal",NORMINV(B211,Supuestos!$D$5,Supuestos!$E$5),IF(Supuestos!$C$5="Triangular",IF(B211&lt;(Supuestos!$E$5-Supuestos!$D$5)/(Supuestos!$F$5-Supuestos!$D$5),Supuestos!$D$5+SQRT(B211*(Supuestos!$F$5-Supuestos!$D$5)*(Supuestos!$E$5-Supuestos!$D$5)),Supuestos!$F$5-SQRT((1-B211)*(Supuestos!$F$5-Supuestos!$D$5)*(Supuestos!$F$5-Supuestos!$E$5))),IF(Supuestos!$C$5="Uniforme",Supuestos!$D$5+B211*(Supuestos!$E$5-Supuestos!$D$5),IF(Supuestos!$C$5="Lognormal",LOGINV(B211,LN(Supuestos!$D$5)-LN(1+Supuestos!$E$5^2/Supuestos!$D$5^2)/2,SQRT(LN(1+Supuestos!$E$5^2/Supuestos!$D$5^2))),Supuestos!$D$5))))))</f>
        <v/>
      </c>
      <c r="J211" s="31">
        <f>MIN(IF(Supuestos!$H$6="",1E+99,Supuestos!$H$6),MAX(IF(Supuestos!$G$6="",-1E+99,Supuestos!$G$6),IF(Supuestos!$C$6="Normal",NORMINV(C211,Supuestos!$D$6,Supuestos!$E$6),IF(Supuestos!$C$6="Triangular",IF(C211&lt;(Supuestos!$E$6-Supuestos!$D$6)/(Supuestos!$F$6-Supuestos!$D$6),Supuestos!$D$6+SQRT(C211*(Supuestos!$F$6-Supuestos!$D$6)*(Supuestos!$E$6-Supuestos!$D$6)),Supuestos!$F$6-SQRT((1-C211)*(Supuestos!$F$6-Supuestos!$D$6)*(Supuestos!$F$6-Supuestos!$E$6))),IF(Supuestos!$C$6="Uniforme",Supuestos!$D$6+C211*(Supuestos!$E$6-Supuestos!$D$6),IF(Supuestos!$C$6="Lognormal",LOGINV(C211,LN(Supuestos!$D$6)-LN(1+Supuestos!$E$6^2/Supuestos!$D$6^2)/2,SQRT(LN(1+Supuestos!$E$6^2/Supuestos!$D$6^2))),Supuestos!$D$6))))))</f>
        <v/>
      </c>
      <c r="K211" s="32">
        <f>MIN(IF(Supuestos!$H$7="",1E+99,Supuestos!$H$7),MAX(IF(Supuestos!$G$7="",-1E+99,Supuestos!$G$7),IF(Supuestos!$C$7="Normal",NORMINV(D211,Supuestos!$D$7,Supuestos!$E$7),IF(Supuestos!$C$7="Triangular",IF(D211&lt;(Supuestos!$E$7-Supuestos!$D$7)/(Supuestos!$F$7-Supuestos!$D$7),Supuestos!$D$7+SQRT(D211*(Supuestos!$F$7-Supuestos!$D$7)*(Supuestos!$E$7-Supuestos!$D$7)),Supuestos!$F$7-SQRT((1-D211)*(Supuestos!$F$7-Supuestos!$D$7)*(Supuestos!$F$7-Supuestos!$E$7))),IF(Supuestos!$C$7="Uniforme",Supuestos!$D$7+D211*(Supuestos!$E$7-Supuestos!$D$7),IF(Supuestos!$C$7="Lognormal",LOGINV(D211,LN(Supuestos!$D$7)-LN(1+Supuestos!$E$7^2/Supuestos!$D$7^2)/2,SQRT(LN(1+Supuestos!$E$7^2/Supuestos!$D$7^2))),Supuestos!$D$7))))))</f>
        <v/>
      </c>
      <c r="L211" s="32">
        <f>MIN(IF(Supuestos!$H$8="",1E+99,Supuestos!$H$8),MAX(IF(Supuestos!$G$8="",-1E+99,Supuestos!$G$8),IF(Supuestos!$C$8="Normal",NORMINV(E211,Supuestos!$D$8,Supuestos!$E$8),IF(Supuestos!$C$8="Triangular",IF(E211&lt;(Supuestos!$E$8-Supuestos!$D$8)/(Supuestos!$F$8-Supuestos!$D$8),Supuestos!$D$8+SQRT(E211*(Supuestos!$F$8-Supuestos!$D$8)*(Supuestos!$E$8-Supuestos!$D$8)),Supuestos!$F$8-SQRT((1-E211)*(Supuestos!$F$8-Supuestos!$D$8)*(Supuestos!$F$8-Supuestos!$E$8))),IF(Supuestos!$C$8="Uniforme",Supuestos!$D$8+E211*(Supuestos!$E$8-Supuestos!$D$8),IF(Supuestos!$C$8="Lognormal",LOGINV(E211,LN(Supuestos!$D$8)-LN(1+Supuestos!$E$8^2/Supuestos!$D$8^2)/2,SQRT(LN(1+Supuestos!$E$8^2/Supuestos!$D$8^2))),Supuestos!$D$8))))))</f>
        <v/>
      </c>
      <c r="M211" s="32">
        <f>MIN(IF(Supuestos!$H$9="",1E+99,Supuestos!$H$9),MAX(IF(Supuestos!$G$9="",-1E+99,Supuestos!$G$9),IF(Supuestos!$C$9="Normal",NORMINV(F211,Supuestos!$D$9,Supuestos!$E$9),IF(Supuestos!$C$9="Triangular",IF(F211&lt;(Supuestos!$E$9-Supuestos!$D$9)/(Supuestos!$F$9-Supuestos!$D$9),Supuestos!$D$9+SQRT(F211*(Supuestos!$F$9-Supuestos!$D$9)*(Supuestos!$E$9-Supuestos!$D$9)),Supuestos!$F$9-SQRT((1-F211)*(Supuestos!$F$9-Supuestos!$D$9)*(Supuestos!$F$9-Supuestos!$E$9))),IF(Supuestos!$C$9="Uniforme",Supuestos!$D$9+F211*(Supuestos!$E$9-Supuestos!$D$9),IF(Supuestos!$C$9="Lognormal",LOGINV(F211,LN(Supuestos!$D$9)-LN(1+Supuestos!$E$9^2/Supuestos!$D$9^2)/2,SQRT(LN(1+Supuestos!$E$9^2/Supuestos!$D$9^2))),Supuestos!$D$9))))))</f>
        <v/>
      </c>
      <c r="N211" s="32">
        <f>MIN(IF(Supuestos!$H$10="",1E+99,Supuestos!$H$10),MAX(IF(Supuestos!$G$10="",-1E+99,Supuestos!$G$10),IF(Supuestos!$C$10="Normal",NORMINV(G211,Supuestos!$D$10,Supuestos!$E$10),IF(Supuestos!$C$10="Triangular",IF(G211&lt;(Supuestos!$E$10-Supuestos!$D$10)/(Supuestos!$F$10-Supuestos!$D$10),Supuestos!$D$10+SQRT(G211*(Supuestos!$F$10-Supuestos!$D$10)*(Supuestos!$E$10-Supuestos!$D$10)),Supuestos!$F$10-SQRT((1-G211)*(Supuestos!$F$10-Supuestos!$D$10)*(Supuestos!$F$10-Supuestos!$E$10))),IF(Supuestos!$C$10="Uniforme",Supuestos!$D$10+G211*(Supuestos!$E$10-Supuestos!$D$10),IF(Supuestos!$C$10="Lognormal",LOGINV(G211,LN(Supuestos!$D$10)-LN(1+Supuestos!$E$10^2/Supuestos!$D$10^2)/2,SQRT(LN(1+Supuestos!$E$10^2/Supuestos!$D$10^2))),Supuestos!$D$10))))))</f>
        <v/>
      </c>
      <c r="O211" s="31">
        <f>MIN(IF(Supuestos!$H$11="",1E+99,Supuestos!$H$11),MAX(IF(Supuestos!$G$11="",-1E+99,Supuestos!$G$11),IF(Supuestos!$C$11="Normal",NORMINV(H211,Supuestos!$D$11,Supuestos!$E$11),IF(Supuestos!$C$11="Triangular",IF(H211&lt;(Supuestos!$E$11-Supuestos!$D$11)/(Supuestos!$F$11-Supuestos!$D$11),Supuestos!$D$11+SQRT(H211*(Supuestos!$F$11-Supuestos!$D$11)*(Supuestos!$E$11-Supuestos!$D$11)),Supuestos!$F$11-SQRT((1-H211)*(Supuestos!$F$11-Supuestos!$D$11)*(Supuestos!$F$11-Supuestos!$E$11))),IF(Supuestos!$C$11="Uniforme",Supuestos!$D$11+H211*(Supuestos!$E$11-Supuestos!$D$11),IF(Supuestos!$C$11="Lognormal",LOGINV(H211,LN(Supuestos!$D$11)-LN(1+Supuestos!$E$11^2/Supuestos!$D$11^2)/2,SQRT(LN(1+Supuestos!$E$11^2/Supuestos!$D$11^2))),Supuestos!$D$11))))))</f>
        <v/>
      </c>
      <c r="P211" s="33">
        <f>-I211</f>
        <v/>
      </c>
      <c r="Q211" s="33">
        <f>$J211*(1+$K211)^(1-1)*(1-$L211)*(1-$M211)</f>
        <v/>
      </c>
      <c r="R211" s="33">
        <f>$J211*(1+$K211)^(2-1)*(1-$L211)*(1-$M211)</f>
        <v/>
      </c>
      <c r="S211" s="33">
        <f>$J211*(1+$K211)^(3-1)*(1-$L211)*(1-$M211)</f>
        <v/>
      </c>
      <c r="T211" s="33">
        <f>$J211*(1+$K211)^(4-1)*(1-$L211)*(1-$M211)</f>
        <v/>
      </c>
      <c r="U211" s="33">
        <f>$J211*(1+$K211)^(5-1)*(1-$L211)*(1-$M211)+$O211</f>
        <v/>
      </c>
      <c r="V211" s="33">
        <f>P211+NPV($N211,Q211:U211)</f>
        <v/>
      </c>
      <c r="W211" s="32">
        <f>IFERROR(IRR(P211:U211,0.1),"")</f>
        <v/>
      </c>
    </row>
    <row r="212">
      <c r="A212" s="14" t="n">
        <v>208</v>
      </c>
      <c r="B212" s="30">
        <f>RAND()*(1-2E-6)+1E-6</f>
        <v/>
      </c>
      <c r="C212" s="30">
        <f>RAND()*(1-2E-6)+1E-6</f>
        <v/>
      </c>
      <c r="D212" s="30">
        <f>RAND()*(1-2E-6)+1E-6</f>
        <v/>
      </c>
      <c r="E212" s="30">
        <f>RAND()*(1-2E-6)+1E-6</f>
        <v/>
      </c>
      <c r="F212" s="30">
        <f>RAND()*(1-2E-6)+1E-6</f>
        <v/>
      </c>
      <c r="G212" s="30">
        <f>RAND()*(1-2E-6)+1E-6</f>
        <v/>
      </c>
      <c r="H212" s="30">
        <f>RAND()*(1-2E-6)+1E-6</f>
        <v/>
      </c>
      <c r="I212" s="31">
        <f>MIN(IF(Supuestos!$H$5="",1E+99,Supuestos!$H$5),MAX(IF(Supuestos!$G$5="",-1E+99,Supuestos!$G$5),IF(Supuestos!$C$5="Normal",NORMINV(B212,Supuestos!$D$5,Supuestos!$E$5),IF(Supuestos!$C$5="Triangular",IF(B212&lt;(Supuestos!$E$5-Supuestos!$D$5)/(Supuestos!$F$5-Supuestos!$D$5),Supuestos!$D$5+SQRT(B212*(Supuestos!$F$5-Supuestos!$D$5)*(Supuestos!$E$5-Supuestos!$D$5)),Supuestos!$F$5-SQRT((1-B212)*(Supuestos!$F$5-Supuestos!$D$5)*(Supuestos!$F$5-Supuestos!$E$5))),IF(Supuestos!$C$5="Uniforme",Supuestos!$D$5+B212*(Supuestos!$E$5-Supuestos!$D$5),IF(Supuestos!$C$5="Lognormal",LOGINV(B212,LN(Supuestos!$D$5)-LN(1+Supuestos!$E$5^2/Supuestos!$D$5^2)/2,SQRT(LN(1+Supuestos!$E$5^2/Supuestos!$D$5^2))),Supuestos!$D$5))))))</f>
        <v/>
      </c>
      <c r="J212" s="31">
        <f>MIN(IF(Supuestos!$H$6="",1E+99,Supuestos!$H$6),MAX(IF(Supuestos!$G$6="",-1E+99,Supuestos!$G$6),IF(Supuestos!$C$6="Normal",NORMINV(C212,Supuestos!$D$6,Supuestos!$E$6),IF(Supuestos!$C$6="Triangular",IF(C212&lt;(Supuestos!$E$6-Supuestos!$D$6)/(Supuestos!$F$6-Supuestos!$D$6),Supuestos!$D$6+SQRT(C212*(Supuestos!$F$6-Supuestos!$D$6)*(Supuestos!$E$6-Supuestos!$D$6)),Supuestos!$F$6-SQRT((1-C212)*(Supuestos!$F$6-Supuestos!$D$6)*(Supuestos!$F$6-Supuestos!$E$6))),IF(Supuestos!$C$6="Uniforme",Supuestos!$D$6+C212*(Supuestos!$E$6-Supuestos!$D$6),IF(Supuestos!$C$6="Lognormal",LOGINV(C212,LN(Supuestos!$D$6)-LN(1+Supuestos!$E$6^2/Supuestos!$D$6^2)/2,SQRT(LN(1+Supuestos!$E$6^2/Supuestos!$D$6^2))),Supuestos!$D$6))))))</f>
        <v/>
      </c>
      <c r="K212" s="32">
        <f>MIN(IF(Supuestos!$H$7="",1E+99,Supuestos!$H$7),MAX(IF(Supuestos!$G$7="",-1E+99,Supuestos!$G$7),IF(Supuestos!$C$7="Normal",NORMINV(D212,Supuestos!$D$7,Supuestos!$E$7),IF(Supuestos!$C$7="Triangular",IF(D212&lt;(Supuestos!$E$7-Supuestos!$D$7)/(Supuestos!$F$7-Supuestos!$D$7),Supuestos!$D$7+SQRT(D212*(Supuestos!$F$7-Supuestos!$D$7)*(Supuestos!$E$7-Supuestos!$D$7)),Supuestos!$F$7-SQRT((1-D212)*(Supuestos!$F$7-Supuestos!$D$7)*(Supuestos!$F$7-Supuestos!$E$7))),IF(Supuestos!$C$7="Uniforme",Supuestos!$D$7+D212*(Supuestos!$E$7-Supuestos!$D$7),IF(Supuestos!$C$7="Lognormal",LOGINV(D212,LN(Supuestos!$D$7)-LN(1+Supuestos!$E$7^2/Supuestos!$D$7^2)/2,SQRT(LN(1+Supuestos!$E$7^2/Supuestos!$D$7^2))),Supuestos!$D$7))))))</f>
        <v/>
      </c>
      <c r="L212" s="32">
        <f>MIN(IF(Supuestos!$H$8="",1E+99,Supuestos!$H$8),MAX(IF(Supuestos!$G$8="",-1E+99,Supuestos!$G$8),IF(Supuestos!$C$8="Normal",NORMINV(E212,Supuestos!$D$8,Supuestos!$E$8),IF(Supuestos!$C$8="Triangular",IF(E212&lt;(Supuestos!$E$8-Supuestos!$D$8)/(Supuestos!$F$8-Supuestos!$D$8),Supuestos!$D$8+SQRT(E212*(Supuestos!$F$8-Supuestos!$D$8)*(Supuestos!$E$8-Supuestos!$D$8)),Supuestos!$F$8-SQRT((1-E212)*(Supuestos!$F$8-Supuestos!$D$8)*(Supuestos!$F$8-Supuestos!$E$8))),IF(Supuestos!$C$8="Uniforme",Supuestos!$D$8+E212*(Supuestos!$E$8-Supuestos!$D$8),IF(Supuestos!$C$8="Lognormal",LOGINV(E212,LN(Supuestos!$D$8)-LN(1+Supuestos!$E$8^2/Supuestos!$D$8^2)/2,SQRT(LN(1+Supuestos!$E$8^2/Supuestos!$D$8^2))),Supuestos!$D$8))))))</f>
        <v/>
      </c>
      <c r="M212" s="32">
        <f>MIN(IF(Supuestos!$H$9="",1E+99,Supuestos!$H$9),MAX(IF(Supuestos!$G$9="",-1E+99,Supuestos!$G$9),IF(Supuestos!$C$9="Normal",NORMINV(F212,Supuestos!$D$9,Supuestos!$E$9),IF(Supuestos!$C$9="Triangular",IF(F212&lt;(Supuestos!$E$9-Supuestos!$D$9)/(Supuestos!$F$9-Supuestos!$D$9),Supuestos!$D$9+SQRT(F212*(Supuestos!$F$9-Supuestos!$D$9)*(Supuestos!$E$9-Supuestos!$D$9)),Supuestos!$F$9-SQRT((1-F212)*(Supuestos!$F$9-Supuestos!$D$9)*(Supuestos!$F$9-Supuestos!$E$9))),IF(Supuestos!$C$9="Uniforme",Supuestos!$D$9+F212*(Supuestos!$E$9-Supuestos!$D$9),IF(Supuestos!$C$9="Lognormal",LOGINV(F212,LN(Supuestos!$D$9)-LN(1+Supuestos!$E$9^2/Supuestos!$D$9^2)/2,SQRT(LN(1+Supuestos!$E$9^2/Supuestos!$D$9^2))),Supuestos!$D$9))))))</f>
        <v/>
      </c>
      <c r="N212" s="32">
        <f>MIN(IF(Supuestos!$H$10="",1E+99,Supuestos!$H$10),MAX(IF(Supuestos!$G$10="",-1E+99,Supuestos!$G$10),IF(Supuestos!$C$10="Normal",NORMINV(G212,Supuestos!$D$10,Supuestos!$E$10),IF(Supuestos!$C$10="Triangular",IF(G212&lt;(Supuestos!$E$10-Supuestos!$D$10)/(Supuestos!$F$10-Supuestos!$D$10),Supuestos!$D$10+SQRT(G212*(Supuestos!$F$10-Supuestos!$D$10)*(Supuestos!$E$10-Supuestos!$D$10)),Supuestos!$F$10-SQRT((1-G212)*(Supuestos!$F$10-Supuestos!$D$10)*(Supuestos!$F$10-Supuestos!$E$10))),IF(Supuestos!$C$10="Uniforme",Supuestos!$D$10+G212*(Supuestos!$E$10-Supuestos!$D$10),IF(Supuestos!$C$10="Lognormal",LOGINV(G212,LN(Supuestos!$D$10)-LN(1+Supuestos!$E$10^2/Supuestos!$D$10^2)/2,SQRT(LN(1+Supuestos!$E$10^2/Supuestos!$D$10^2))),Supuestos!$D$10))))))</f>
        <v/>
      </c>
      <c r="O212" s="31">
        <f>MIN(IF(Supuestos!$H$11="",1E+99,Supuestos!$H$11),MAX(IF(Supuestos!$G$11="",-1E+99,Supuestos!$G$11),IF(Supuestos!$C$11="Normal",NORMINV(H212,Supuestos!$D$11,Supuestos!$E$11),IF(Supuestos!$C$11="Triangular",IF(H212&lt;(Supuestos!$E$11-Supuestos!$D$11)/(Supuestos!$F$11-Supuestos!$D$11),Supuestos!$D$11+SQRT(H212*(Supuestos!$F$11-Supuestos!$D$11)*(Supuestos!$E$11-Supuestos!$D$11)),Supuestos!$F$11-SQRT((1-H212)*(Supuestos!$F$11-Supuestos!$D$11)*(Supuestos!$F$11-Supuestos!$E$11))),IF(Supuestos!$C$11="Uniforme",Supuestos!$D$11+H212*(Supuestos!$E$11-Supuestos!$D$11),IF(Supuestos!$C$11="Lognormal",LOGINV(H212,LN(Supuestos!$D$11)-LN(1+Supuestos!$E$11^2/Supuestos!$D$11^2)/2,SQRT(LN(1+Supuestos!$E$11^2/Supuestos!$D$11^2))),Supuestos!$D$11))))))</f>
        <v/>
      </c>
      <c r="P212" s="33">
        <f>-I212</f>
        <v/>
      </c>
      <c r="Q212" s="33">
        <f>$J212*(1+$K212)^(1-1)*(1-$L212)*(1-$M212)</f>
        <v/>
      </c>
      <c r="R212" s="33">
        <f>$J212*(1+$K212)^(2-1)*(1-$L212)*(1-$M212)</f>
        <v/>
      </c>
      <c r="S212" s="33">
        <f>$J212*(1+$K212)^(3-1)*(1-$L212)*(1-$M212)</f>
        <v/>
      </c>
      <c r="T212" s="33">
        <f>$J212*(1+$K212)^(4-1)*(1-$L212)*(1-$M212)</f>
        <v/>
      </c>
      <c r="U212" s="33">
        <f>$J212*(1+$K212)^(5-1)*(1-$L212)*(1-$M212)+$O212</f>
        <v/>
      </c>
      <c r="V212" s="33">
        <f>P212+NPV($N212,Q212:U212)</f>
        <v/>
      </c>
      <c r="W212" s="32">
        <f>IFERROR(IRR(P212:U212,0.1),"")</f>
        <v/>
      </c>
    </row>
    <row r="213">
      <c r="A213" s="14" t="n">
        <v>209</v>
      </c>
      <c r="B213" s="30">
        <f>RAND()*(1-2E-6)+1E-6</f>
        <v/>
      </c>
      <c r="C213" s="30">
        <f>RAND()*(1-2E-6)+1E-6</f>
        <v/>
      </c>
      <c r="D213" s="30">
        <f>RAND()*(1-2E-6)+1E-6</f>
        <v/>
      </c>
      <c r="E213" s="30">
        <f>RAND()*(1-2E-6)+1E-6</f>
        <v/>
      </c>
      <c r="F213" s="30">
        <f>RAND()*(1-2E-6)+1E-6</f>
        <v/>
      </c>
      <c r="G213" s="30">
        <f>RAND()*(1-2E-6)+1E-6</f>
        <v/>
      </c>
      <c r="H213" s="30">
        <f>RAND()*(1-2E-6)+1E-6</f>
        <v/>
      </c>
      <c r="I213" s="31">
        <f>MIN(IF(Supuestos!$H$5="",1E+99,Supuestos!$H$5),MAX(IF(Supuestos!$G$5="",-1E+99,Supuestos!$G$5),IF(Supuestos!$C$5="Normal",NORMINV(B213,Supuestos!$D$5,Supuestos!$E$5),IF(Supuestos!$C$5="Triangular",IF(B213&lt;(Supuestos!$E$5-Supuestos!$D$5)/(Supuestos!$F$5-Supuestos!$D$5),Supuestos!$D$5+SQRT(B213*(Supuestos!$F$5-Supuestos!$D$5)*(Supuestos!$E$5-Supuestos!$D$5)),Supuestos!$F$5-SQRT((1-B213)*(Supuestos!$F$5-Supuestos!$D$5)*(Supuestos!$F$5-Supuestos!$E$5))),IF(Supuestos!$C$5="Uniforme",Supuestos!$D$5+B213*(Supuestos!$E$5-Supuestos!$D$5),IF(Supuestos!$C$5="Lognormal",LOGINV(B213,LN(Supuestos!$D$5)-LN(1+Supuestos!$E$5^2/Supuestos!$D$5^2)/2,SQRT(LN(1+Supuestos!$E$5^2/Supuestos!$D$5^2))),Supuestos!$D$5))))))</f>
        <v/>
      </c>
      <c r="J213" s="31">
        <f>MIN(IF(Supuestos!$H$6="",1E+99,Supuestos!$H$6),MAX(IF(Supuestos!$G$6="",-1E+99,Supuestos!$G$6),IF(Supuestos!$C$6="Normal",NORMINV(C213,Supuestos!$D$6,Supuestos!$E$6),IF(Supuestos!$C$6="Triangular",IF(C213&lt;(Supuestos!$E$6-Supuestos!$D$6)/(Supuestos!$F$6-Supuestos!$D$6),Supuestos!$D$6+SQRT(C213*(Supuestos!$F$6-Supuestos!$D$6)*(Supuestos!$E$6-Supuestos!$D$6)),Supuestos!$F$6-SQRT((1-C213)*(Supuestos!$F$6-Supuestos!$D$6)*(Supuestos!$F$6-Supuestos!$E$6))),IF(Supuestos!$C$6="Uniforme",Supuestos!$D$6+C213*(Supuestos!$E$6-Supuestos!$D$6),IF(Supuestos!$C$6="Lognormal",LOGINV(C213,LN(Supuestos!$D$6)-LN(1+Supuestos!$E$6^2/Supuestos!$D$6^2)/2,SQRT(LN(1+Supuestos!$E$6^2/Supuestos!$D$6^2))),Supuestos!$D$6))))))</f>
        <v/>
      </c>
      <c r="K213" s="32">
        <f>MIN(IF(Supuestos!$H$7="",1E+99,Supuestos!$H$7),MAX(IF(Supuestos!$G$7="",-1E+99,Supuestos!$G$7),IF(Supuestos!$C$7="Normal",NORMINV(D213,Supuestos!$D$7,Supuestos!$E$7),IF(Supuestos!$C$7="Triangular",IF(D213&lt;(Supuestos!$E$7-Supuestos!$D$7)/(Supuestos!$F$7-Supuestos!$D$7),Supuestos!$D$7+SQRT(D213*(Supuestos!$F$7-Supuestos!$D$7)*(Supuestos!$E$7-Supuestos!$D$7)),Supuestos!$F$7-SQRT((1-D213)*(Supuestos!$F$7-Supuestos!$D$7)*(Supuestos!$F$7-Supuestos!$E$7))),IF(Supuestos!$C$7="Uniforme",Supuestos!$D$7+D213*(Supuestos!$E$7-Supuestos!$D$7),IF(Supuestos!$C$7="Lognormal",LOGINV(D213,LN(Supuestos!$D$7)-LN(1+Supuestos!$E$7^2/Supuestos!$D$7^2)/2,SQRT(LN(1+Supuestos!$E$7^2/Supuestos!$D$7^2))),Supuestos!$D$7))))))</f>
        <v/>
      </c>
      <c r="L213" s="32">
        <f>MIN(IF(Supuestos!$H$8="",1E+99,Supuestos!$H$8),MAX(IF(Supuestos!$G$8="",-1E+99,Supuestos!$G$8),IF(Supuestos!$C$8="Normal",NORMINV(E213,Supuestos!$D$8,Supuestos!$E$8),IF(Supuestos!$C$8="Triangular",IF(E213&lt;(Supuestos!$E$8-Supuestos!$D$8)/(Supuestos!$F$8-Supuestos!$D$8),Supuestos!$D$8+SQRT(E213*(Supuestos!$F$8-Supuestos!$D$8)*(Supuestos!$E$8-Supuestos!$D$8)),Supuestos!$F$8-SQRT((1-E213)*(Supuestos!$F$8-Supuestos!$D$8)*(Supuestos!$F$8-Supuestos!$E$8))),IF(Supuestos!$C$8="Uniforme",Supuestos!$D$8+E213*(Supuestos!$E$8-Supuestos!$D$8),IF(Supuestos!$C$8="Lognormal",LOGINV(E213,LN(Supuestos!$D$8)-LN(1+Supuestos!$E$8^2/Supuestos!$D$8^2)/2,SQRT(LN(1+Supuestos!$E$8^2/Supuestos!$D$8^2))),Supuestos!$D$8))))))</f>
        <v/>
      </c>
      <c r="M213" s="32">
        <f>MIN(IF(Supuestos!$H$9="",1E+99,Supuestos!$H$9),MAX(IF(Supuestos!$G$9="",-1E+99,Supuestos!$G$9),IF(Supuestos!$C$9="Normal",NORMINV(F213,Supuestos!$D$9,Supuestos!$E$9),IF(Supuestos!$C$9="Triangular",IF(F213&lt;(Supuestos!$E$9-Supuestos!$D$9)/(Supuestos!$F$9-Supuestos!$D$9),Supuestos!$D$9+SQRT(F213*(Supuestos!$F$9-Supuestos!$D$9)*(Supuestos!$E$9-Supuestos!$D$9)),Supuestos!$F$9-SQRT((1-F213)*(Supuestos!$F$9-Supuestos!$D$9)*(Supuestos!$F$9-Supuestos!$E$9))),IF(Supuestos!$C$9="Uniforme",Supuestos!$D$9+F213*(Supuestos!$E$9-Supuestos!$D$9),IF(Supuestos!$C$9="Lognormal",LOGINV(F213,LN(Supuestos!$D$9)-LN(1+Supuestos!$E$9^2/Supuestos!$D$9^2)/2,SQRT(LN(1+Supuestos!$E$9^2/Supuestos!$D$9^2))),Supuestos!$D$9))))))</f>
        <v/>
      </c>
      <c r="N213" s="32">
        <f>MIN(IF(Supuestos!$H$10="",1E+99,Supuestos!$H$10),MAX(IF(Supuestos!$G$10="",-1E+99,Supuestos!$G$10),IF(Supuestos!$C$10="Normal",NORMINV(G213,Supuestos!$D$10,Supuestos!$E$10),IF(Supuestos!$C$10="Triangular",IF(G213&lt;(Supuestos!$E$10-Supuestos!$D$10)/(Supuestos!$F$10-Supuestos!$D$10),Supuestos!$D$10+SQRT(G213*(Supuestos!$F$10-Supuestos!$D$10)*(Supuestos!$E$10-Supuestos!$D$10)),Supuestos!$F$10-SQRT((1-G213)*(Supuestos!$F$10-Supuestos!$D$10)*(Supuestos!$F$10-Supuestos!$E$10))),IF(Supuestos!$C$10="Uniforme",Supuestos!$D$10+G213*(Supuestos!$E$10-Supuestos!$D$10),IF(Supuestos!$C$10="Lognormal",LOGINV(G213,LN(Supuestos!$D$10)-LN(1+Supuestos!$E$10^2/Supuestos!$D$10^2)/2,SQRT(LN(1+Supuestos!$E$10^2/Supuestos!$D$10^2))),Supuestos!$D$10))))))</f>
        <v/>
      </c>
      <c r="O213" s="31">
        <f>MIN(IF(Supuestos!$H$11="",1E+99,Supuestos!$H$11),MAX(IF(Supuestos!$G$11="",-1E+99,Supuestos!$G$11),IF(Supuestos!$C$11="Normal",NORMINV(H213,Supuestos!$D$11,Supuestos!$E$11),IF(Supuestos!$C$11="Triangular",IF(H213&lt;(Supuestos!$E$11-Supuestos!$D$11)/(Supuestos!$F$11-Supuestos!$D$11),Supuestos!$D$11+SQRT(H213*(Supuestos!$F$11-Supuestos!$D$11)*(Supuestos!$E$11-Supuestos!$D$11)),Supuestos!$F$11-SQRT((1-H213)*(Supuestos!$F$11-Supuestos!$D$11)*(Supuestos!$F$11-Supuestos!$E$11))),IF(Supuestos!$C$11="Uniforme",Supuestos!$D$11+H213*(Supuestos!$E$11-Supuestos!$D$11),IF(Supuestos!$C$11="Lognormal",LOGINV(H213,LN(Supuestos!$D$11)-LN(1+Supuestos!$E$11^2/Supuestos!$D$11^2)/2,SQRT(LN(1+Supuestos!$E$11^2/Supuestos!$D$11^2))),Supuestos!$D$11))))))</f>
        <v/>
      </c>
      <c r="P213" s="33">
        <f>-I213</f>
        <v/>
      </c>
      <c r="Q213" s="33">
        <f>$J213*(1+$K213)^(1-1)*(1-$L213)*(1-$M213)</f>
        <v/>
      </c>
      <c r="R213" s="33">
        <f>$J213*(1+$K213)^(2-1)*(1-$L213)*(1-$M213)</f>
        <v/>
      </c>
      <c r="S213" s="33">
        <f>$J213*(1+$K213)^(3-1)*(1-$L213)*(1-$M213)</f>
        <v/>
      </c>
      <c r="T213" s="33">
        <f>$J213*(1+$K213)^(4-1)*(1-$L213)*(1-$M213)</f>
        <v/>
      </c>
      <c r="U213" s="33">
        <f>$J213*(1+$K213)^(5-1)*(1-$L213)*(1-$M213)+$O213</f>
        <v/>
      </c>
      <c r="V213" s="33">
        <f>P213+NPV($N213,Q213:U213)</f>
        <v/>
      </c>
      <c r="W213" s="32">
        <f>IFERROR(IRR(P213:U213,0.1),"")</f>
        <v/>
      </c>
    </row>
    <row r="214">
      <c r="A214" s="14" t="n">
        <v>210</v>
      </c>
      <c r="B214" s="30">
        <f>RAND()*(1-2E-6)+1E-6</f>
        <v/>
      </c>
      <c r="C214" s="30">
        <f>RAND()*(1-2E-6)+1E-6</f>
        <v/>
      </c>
      <c r="D214" s="30">
        <f>RAND()*(1-2E-6)+1E-6</f>
        <v/>
      </c>
      <c r="E214" s="30">
        <f>RAND()*(1-2E-6)+1E-6</f>
        <v/>
      </c>
      <c r="F214" s="30">
        <f>RAND()*(1-2E-6)+1E-6</f>
        <v/>
      </c>
      <c r="G214" s="30">
        <f>RAND()*(1-2E-6)+1E-6</f>
        <v/>
      </c>
      <c r="H214" s="30">
        <f>RAND()*(1-2E-6)+1E-6</f>
        <v/>
      </c>
      <c r="I214" s="31">
        <f>MIN(IF(Supuestos!$H$5="",1E+99,Supuestos!$H$5),MAX(IF(Supuestos!$G$5="",-1E+99,Supuestos!$G$5),IF(Supuestos!$C$5="Normal",NORMINV(B214,Supuestos!$D$5,Supuestos!$E$5),IF(Supuestos!$C$5="Triangular",IF(B214&lt;(Supuestos!$E$5-Supuestos!$D$5)/(Supuestos!$F$5-Supuestos!$D$5),Supuestos!$D$5+SQRT(B214*(Supuestos!$F$5-Supuestos!$D$5)*(Supuestos!$E$5-Supuestos!$D$5)),Supuestos!$F$5-SQRT((1-B214)*(Supuestos!$F$5-Supuestos!$D$5)*(Supuestos!$F$5-Supuestos!$E$5))),IF(Supuestos!$C$5="Uniforme",Supuestos!$D$5+B214*(Supuestos!$E$5-Supuestos!$D$5),IF(Supuestos!$C$5="Lognormal",LOGINV(B214,LN(Supuestos!$D$5)-LN(1+Supuestos!$E$5^2/Supuestos!$D$5^2)/2,SQRT(LN(1+Supuestos!$E$5^2/Supuestos!$D$5^2))),Supuestos!$D$5))))))</f>
        <v/>
      </c>
      <c r="J214" s="31">
        <f>MIN(IF(Supuestos!$H$6="",1E+99,Supuestos!$H$6),MAX(IF(Supuestos!$G$6="",-1E+99,Supuestos!$G$6),IF(Supuestos!$C$6="Normal",NORMINV(C214,Supuestos!$D$6,Supuestos!$E$6),IF(Supuestos!$C$6="Triangular",IF(C214&lt;(Supuestos!$E$6-Supuestos!$D$6)/(Supuestos!$F$6-Supuestos!$D$6),Supuestos!$D$6+SQRT(C214*(Supuestos!$F$6-Supuestos!$D$6)*(Supuestos!$E$6-Supuestos!$D$6)),Supuestos!$F$6-SQRT((1-C214)*(Supuestos!$F$6-Supuestos!$D$6)*(Supuestos!$F$6-Supuestos!$E$6))),IF(Supuestos!$C$6="Uniforme",Supuestos!$D$6+C214*(Supuestos!$E$6-Supuestos!$D$6),IF(Supuestos!$C$6="Lognormal",LOGINV(C214,LN(Supuestos!$D$6)-LN(1+Supuestos!$E$6^2/Supuestos!$D$6^2)/2,SQRT(LN(1+Supuestos!$E$6^2/Supuestos!$D$6^2))),Supuestos!$D$6))))))</f>
        <v/>
      </c>
      <c r="K214" s="32">
        <f>MIN(IF(Supuestos!$H$7="",1E+99,Supuestos!$H$7),MAX(IF(Supuestos!$G$7="",-1E+99,Supuestos!$G$7),IF(Supuestos!$C$7="Normal",NORMINV(D214,Supuestos!$D$7,Supuestos!$E$7),IF(Supuestos!$C$7="Triangular",IF(D214&lt;(Supuestos!$E$7-Supuestos!$D$7)/(Supuestos!$F$7-Supuestos!$D$7),Supuestos!$D$7+SQRT(D214*(Supuestos!$F$7-Supuestos!$D$7)*(Supuestos!$E$7-Supuestos!$D$7)),Supuestos!$F$7-SQRT((1-D214)*(Supuestos!$F$7-Supuestos!$D$7)*(Supuestos!$F$7-Supuestos!$E$7))),IF(Supuestos!$C$7="Uniforme",Supuestos!$D$7+D214*(Supuestos!$E$7-Supuestos!$D$7),IF(Supuestos!$C$7="Lognormal",LOGINV(D214,LN(Supuestos!$D$7)-LN(1+Supuestos!$E$7^2/Supuestos!$D$7^2)/2,SQRT(LN(1+Supuestos!$E$7^2/Supuestos!$D$7^2))),Supuestos!$D$7))))))</f>
        <v/>
      </c>
      <c r="L214" s="32">
        <f>MIN(IF(Supuestos!$H$8="",1E+99,Supuestos!$H$8),MAX(IF(Supuestos!$G$8="",-1E+99,Supuestos!$G$8),IF(Supuestos!$C$8="Normal",NORMINV(E214,Supuestos!$D$8,Supuestos!$E$8),IF(Supuestos!$C$8="Triangular",IF(E214&lt;(Supuestos!$E$8-Supuestos!$D$8)/(Supuestos!$F$8-Supuestos!$D$8),Supuestos!$D$8+SQRT(E214*(Supuestos!$F$8-Supuestos!$D$8)*(Supuestos!$E$8-Supuestos!$D$8)),Supuestos!$F$8-SQRT((1-E214)*(Supuestos!$F$8-Supuestos!$D$8)*(Supuestos!$F$8-Supuestos!$E$8))),IF(Supuestos!$C$8="Uniforme",Supuestos!$D$8+E214*(Supuestos!$E$8-Supuestos!$D$8),IF(Supuestos!$C$8="Lognormal",LOGINV(E214,LN(Supuestos!$D$8)-LN(1+Supuestos!$E$8^2/Supuestos!$D$8^2)/2,SQRT(LN(1+Supuestos!$E$8^2/Supuestos!$D$8^2))),Supuestos!$D$8))))))</f>
        <v/>
      </c>
      <c r="M214" s="32">
        <f>MIN(IF(Supuestos!$H$9="",1E+99,Supuestos!$H$9),MAX(IF(Supuestos!$G$9="",-1E+99,Supuestos!$G$9),IF(Supuestos!$C$9="Normal",NORMINV(F214,Supuestos!$D$9,Supuestos!$E$9),IF(Supuestos!$C$9="Triangular",IF(F214&lt;(Supuestos!$E$9-Supuestos!$D$9)/(Supuestos!$F$9-Supuestos!$D$9),Supuestos!$D$9+SQRT(F214*(Supuestos!$F$9-Supuestos!$D$9)*(Supuestos!$E$9-Supuestos!$D$9)),Supuestos!$F$9-SQRT((1-F214)*(Supuestos!$F$9-Supuestos!$D$9)*(Supuestos!$F$9-Supuestos!$E$9))),IF(Supuestos!$C$9="Uniforme",Supuestos!$D$9+F214*(Supuestos!$E$9-Supuestos!$D$9),IF(Supuestos!$C$9="Lognormal",LOGINV(F214,LN(Supuestos!$D$9)-LN(1+Supuestos!$E$9^2/Supuestos!$D$9^2)/2,SQRT(LN(1+Supuestos!$E$9^2/Supuestos!$D$9^2))),Supuestos!$D$9))))))</f>
        <v/>
      </c>
      <c r="N214" s="32">
        <f>MIN(IF(Supuestos!$H$10="",1E+99,Supuestos!$H$10),MAX(IF(Supuestos!$G$10="",-1E+99,Supuestos!$G$10),IF(Supuestos!$C$10="Normal",NORMINV(G214,Supuestos!$D$10,Supuestos!$E$10),IF(Supuestos!$C$10="Triangular",IF(G214&lt;(Supuestos!$E$10-Supuestos!$D$10)/(Supuestos!$F$10-Supuestos!$D$10),Supuestos!$D$10+SQRT(G214*(Supuestos!$F$10-Supuestos!$D$10)*(Supuestos!$E$10-Supuestos!$D$10)),Supuestos!$F$10-SQRT((1-G214)*(Supuestos!$F$10-Supuestos!$D$10)*(Supuestos!$F$10-Supuestos!$E$10))),IF(Supuestos!$C$10="Uniforme",Supuestos!$D$10+G214*(Supuestos!$E$10-Supuestos!$D$10),IF(Supuestos!$C$10="Lognormal",LOGINV(G214,LN(Supuestos!$D$10)-LN(1+Supuestos!$E$10^2/Supuestos!$D$10^2)/2,SQRT(LN(1+Supuestos!$E$10^2/Supuestos!$D$10^2))),Supuestos!$D$10))))))</f>
        <v/>
      </c>
      <c r="O214" s="31">
        <f>MIN(IF(Supuestos!$H$11="",1E+99,Supuestos!$H$11),MAX(IF(Supuestos!$G$11="",-1E+99,Supuestos!$G$11),IF(Supuestos!$C$11="Normal",NORMINV(H214,Supuestos!$D$11,Supuestos!$E$11),IF(Supuestos!$C$11="Triangular",IF(H214&lt;(Supuestos!$E$11-Supuestos!$D$11)/(Supuestos!$F$11-Supuestos!$D$11),Supuestos!$D$11+SQRT(H214*(Supuestos!$F$11-Supuestos!$D$11)*(Supuestos!$E$11-Supuestos!$D$11)),Supuestos!$F$11-SQRT((1-H214)*(Supuestos!$F$11-Supuestos!$D$11)*(Supuestos!$F$11-Supuestos!$E$11))),IF(Supuestos!$C$11="Uniforme",Supuestos!$D$11+H214*(Supuestos!$E$11-Supuestos!$D$11),IF(Supuestos!$C$11="Lognormal",LOGINV(H214,LN(Supuestos!$D$11)-LN(1+Supuestos!$E$11^2/Supuestos!$D$11^2)/2,SQRT(LN(1+Supuestos!$E$11^2/Supuestos!$D$11^2))),Supuestos!$D$11))))))</f>
        <v/>
      </c>
      <c r="P214" s="33">
        <f>-I214</f>
        <v/>
      </c>
      <c r="Q214" s="33">
        <f>$J214*(1+$K214)^(1-1)*(1-$L214)*(1-$M214)</f>
        <v/>
      </c>
      <c r="R214" s="33">
        <f>$J214*(1+$K214)^(2-1)*(1-$L214)*(1-$M214)</f>
        <v/>
      </c>
      <c r="S214" s="33">
        <f>$J214*(1+$K214)^(3-1)*(1-$L214)*(1-$M214)</f>
        <v/>
      </c>
      <c r="T214" s="33">
        <f>$J214*(1+$K214)^(4-1)*(1-$L214)*(1-$M214)</f>
        <v/>
      </c>
      <c r="U214" s="33">
        <f>$J214*(1+$K214)^(5-1)*(1-$L214)*(1-$M214)+$O214</f>
        <v/>
      </c>
      <c r="V214" s="33">
        <f>P214+NPV($N214,Q214:U214)</f>
        <v/>
      </c>
      <c r="W214" s="32">
        <f>IFERROR(IRR(P214:U214,0.1),"")</f>
        <v/>
      </c>
    </row>
    <row r="215">
      <c r="A215" s="14" t="n">
        <v>211</v>
      </c>
      <c r="B215" s="30">
        <f>RAND()*(1-2E-6)+1E-6</f>
        <v/>
      </c>
      <c r="C215" s="30">
        <f>RAND()*(1-2E-6)+1E-6</f>
        <v/>
      </c>
      <c r="D215" s="30">
        <f>RAND()*(1-2E-6)+1E-6</f>
        <v/>
      </c>
      <c r="E215" s="30">
        <f>RAND()*(1-2E-6)+1E-6</f>
        <v/>
      </c>
      <c r="F215" s="30">
        <f>RAND()*(1-2E-6)+1E-6</f>
        <v/>
      </c>
      <c r="G215" s="30">
        <f>RAND()*(1-2E-6)+1E-6</f>
        <v/>
      </c>
      <c r="H215" s="30">
        <f>RAND()*(1-2E-6)+1E-6</f>
        <v/>
      </c>
      <c r="I215" s="31">
        <f>MIN(IF(Supuestos!$H$5="",1E+99,Supuestos!$H$5),MAX(IF(Supuestos!$G$5="",-1E+99,Supuestos!$G$5),IF(Supuestos!$C$5="Normal",NORMINV(B215,Supuestos!$D$5,Supuestos!$E$5),IF(Supuestos!$C$5="Triangular",IF(B215&lt;(Supuestos!$E$5-Supuestos!$D$5)/(Supuestos!$F$5-Supuestos!$D$5),Supuestos!$D$5+SQRT(B215*(Supuestos!$F$5-Supuestos!$D$5)*(Supuestos!$E$5-Supuestos!$D$5)),Supuestos!$F$5-SQRT((1-B215)*(Supuestos!$F$5-Supuestos!$D$5)*(Supuestos!$F$5-Supuestos!$E$5))),IF(Supuestos!$C$5="Uniforme",Supuestos!$D$5+B215*(Supuestos!$E$5-Supuestos!$D$5),IF(Supuestos!$C$5="Lognormal",LOGINV(B215,LN(Supuestos!$D$5)-LN(1+Supuestos!$E$5^2/Supuestos!$D$5^2)/2,SQRT(LN(1+Supuestos!$E$5^2/Supuestos!$D$5^2))),Supuestos!$D$5))))))</f>
        <v/>
      </c>
      <c r="J215" s="31">
        <f>MIN(IF(Supuestos!$H$6="",1E+99,Supuestos!$H$6),MAX(IF(Supuestos!$G$6="",-1E+99,Supuestos!$G$6),IF(Supuestos!$C$6="Normal",NORMINV(C215,Supuestos!$D$6,Supuestos!$E$6),IF(Supuestos!$C$6="Triangular",IF(C215&lt;(Supuestos!$E$6-Supuestos!$D$6)/(Supuestos!$F$6-Supuestos!$D$6),Supuestos!$D$6+SQRT(C215*(Supuestos!$F$6-Supuestos!$D$6)*(Supuestos!$E$6-Supuestos!$D$6)),Supuestos!$F$6-SQRT((1-C215)*(Supuestos!$F$6-Supuestos!$D$6)*(Supuestos!$F$6-Supuestos!$E$6))),IF(Supuestos!$C$6="Uniforme",Supuestos!$D$6+C215*(Supuestos!$E$6-Supuestos!$D$6),IF(Supuestos!$C$6="Lognormal",LOGINV(C215,LN(Supuestos!$D$6)-LN(1+Supuestos!$E$6^2/Supuestos!$D$6^2)/2,SQRT(LN(1+Supuestos!$E$6^2/Supuestos!$D$6^2))),Supuestos!$D$6))))))</f>
        <v/>
      </c>
      <c r="K215" s="32">
        <f>MIN(IF(Supuestos!$H$7="",1E+99,Supuestos!$H$7),MAX(IF(Supuestos!$G$7="",-1E+99,Supuestos!$G$7),IF(Supuestos!$C$7="Normal",NORMINV(D215,Supuestos!$D$7,Supuestos!$E$7),IF(Supuestos!$C$7="Triangular",IF(D215&lt;(Supuestos!$E$7-Supuestos!$D$7)/(Supuestos!$F$7-Supuestos!$D$7),Supuestos!$D$7+SQRT(D215*(Supuestos!$F$7-Supuestos!$D$7)*(Supuestos!$E$7-Supuestos!$D$7)),Supuestos!$F$7-SQRT((1-D215)*(Supuestos!$F$7-Supuestos!$D$7)*(Supuestos!$F$7-Supuestos!$E$7))),IF(Supuestos!$C$7="Uniforme",Supuestos!$D$7+D215*(Supuestos!$E$7-Supuestos!$D$7),IF(Supuestos!$C$7="Lognormal",LOGINV(D215,LN(Supuestos!$D$7)-LN(1+Supuestos!$E$7^2/Supuestos!$D$7^2)/2,SQRT(LN(1+Supuestos!$E$7^2/Supuestos!$D$7^2))),Supuestos!$D$7))))))</f>
        <v/>
      </c>
      <c r="L215" s="32">
        <f>MIN(IF(Supuestos!$H$8="",1E+99,Supuestos!$H$8),MAX(IF(Supuestos!$G$8="",-1E+99,Supuestos!$G$8),IF(Supuestos!$C$8="Normal",NORMINV(E215,Supuestos!$D$8,Supuestos!$E$8),IF(Supuestos!$C$8="Triangular",IF(E215&lt;(Supuestos!$E$8-Supuestos!$D$8)/(Supuestos!$F$8-Supuestos!$D$8),Supuestos!$D$8+SQRT(E215*(Supuestos!$F$8-Supuestos!$D$8)*(Supuestos!$E$8-Supuestos!$D$8)),Supuestos!$F$8-SQRT((1-E215)*(Supuestos!$F$8-Supuestos!$D$8)*(Supuestos!$F$8-Supuestos!$E$8))),IF(Supuestos!$C$8="Uniforme",Supuestos!$D$8+E215*(Supuestos!$E$8-Supuestos!$D$8),IF(Supuestos!$C$8="Lognormal",LOGINV(E215,LN(Supuestos!$D$8)-LN(1+Supuestos!$E$8^2/Supuestos!$D$8^2)/2,SQRT(LN(1+Supuestos!$E$8^2/Supuestos!$D$8^2))),Supuestos!$D$8))))))</f>
        <v/>
      </c>
      <c r="M215" s="32">
        <f>MIN(IF(Supuestos!$H$9="",1E+99,Supuestos!$H$9),MAX(IF(Supuestos!$G$9="",-1E+99,Supuestos!$G$9),IF(Supuestos!$C$9="Normal",NORMINV(F215,Supuestos!$D$9,Supuestos!$E$9),IF(Supuestos!$C$9="Triangular",IF(F215&lt;(Supuestos!$E$9-Supuestos!$D$9)/(Supuestos!$F$9-Supuestos!$D$9),Supuestos!$D$9+SQRT(F215*(Supuestos!$F$9-Supuestos!$D$9)*(Supuestos!$E$9-Supuestos!$D$9)),Supuestos!$F$9-SQRT((1-F215)*(Supuestos!$F$9-Supuestos!$D$9)*(Supuestos!$F$9-Supuestos!$E$9))),IF(Supuestos!$C$9="Uniforme",Supuestos!$D$9+F215*(Supuestos!$E$9-Supuestos!$D$9),IF(Supuestos!$C$9="Lognormal",LOGINV(F215,LN(Supuestos!$D$9)-LN(1+Supuestos!$E$9^2/Supuestos!$D$9^2)/2,SQRT(LN(1+Supuestos!$E$9^2/Supuestos!$D$9^2))),Supuestos!$D$9))))))</f>
        <v/>
      </c>
      <c r="N215" s="32">
        <f>MIN(IF(Supuestos!$H$10="",1E+99,Supuestos!$H$10),MAX(IF(Supuestos!$G$10="",-1E+99,Supuestos!$G$10),IF(Supuestos!$C$10="Normal",NORMINV(G215,Supuestos!$D$10,Supuestos!$E$10),IF(Supuestos!$C$10="Triangular",IF(G215&lt;(Supuestos!$E$10-Supuestos!$D$10)/(Supuestos!$F$10-Supuestos!$D$10),Supuestos!$D$10+SQRT(G215*(Supuestos!$F$10-Supuestos!$D$10)*(Supuestos!$E$10-Supuestos!$D$10)),Supuestos!$F$10-SQRT((1-G215)*(Supuestos!$F$10-Supuestos!$D$10)*(Supuestos!$F$10-Supuestos!$E$10))),IF(Supuestos!$C$10="Uniforme",Supuestos!$D$10+G215*(Supuestos!$E$10-Supuestos!$D$10),IF(Supuestos!$C$10="Lognormal",LOGINV(G215,LN(Supuestos!$D$10)-LN(1+Supuestos!$E$10^2/Supuestos!$D$10^2)/2,SQRT(LN(1+Supuestos!$E$10^2/Supuestos!$D$10^2))),Supuestos!$D$10))))))</f>
        <v/>
      </c>
      <c r="O215" s="31">
        <f>MIN(IF(Supuestos!$H$11="",1E+99,Supuestos!$H$11),MAX(IF(Supuestos!$G$11="",-1E+99,Supuestos!$G$11),IF(Supuestos!$C$11="Normal",NORMINV(H215,Supuestos!$D$11,Supuestos!$E$11),IF(Supuestos!$C$11="Triangular",IF(H215&lt;(Supuestos!$E$11-Supuestos!$D$11)/(Supuestos!$F$11-Supuestos!$D$11),Supuestos!$D$11+SQRT(H215*(Supuestos!$F$11-Supuestos!$D$11)*(Supuestos!$E$11-Supuestos!$D$11)),Supuestos!$F$11-SQRT((1-H215)*(Supuestos!$F$11-Supuestos!$D$11)*(Supuestos!$F$11-Supuestos!$E$11))),IF(Supuestos!$C$11="Uniforme",Supuestos!$D$11+H215*(Supuestos!$E$11-Supuestos!$D$11),IF(Supuestos!$C$11="Lognormal",LOGINV(H215,LN(Supuestos!$D$11)-LN(1+Supuestos!$E$11^2/Supuestos!$D$11^2)/2,SQRT(LN(1+Supuestos!$E$11^2/Supuestos!$D$11^2))),Supuestos!$D$11))))))</f>
        <v/>
      </c>
      <c r="P215" s="33">
        <f>-I215</f>
        <v/>
      </c>
      <c r="Q215" s="33">
        <f>$J215*(1+$K215)^(1-1)*(1-$L215)*(1-$M215)</f>
        <v/>
      </c>
      <c r="R215" s="33">
        <f>$J215*(1+$K215)^(2-1)*(1-$L215)*(1-$M215)</f>
        <v/>
      </c>
      <c r="S215" s="33">
        <f>$J215*(1+$K215)^(3-1)*(1-$L215)*(1-$M215)</f>
        <v/>
      </c>
      <c r="T215" s="33">
        <f>$J215*(1+$K215)^(4-1)*(1-$L215)*(1-$M215)</f>
        <v/>
      </c>
      <c r="U215" s="33">
        <f>$J215*(1+$K215)^(5-1)*(1-$L215)*(1-$M215)+$O215</f>
        <v/>
      </c>
      <c r="V215" s="33">
        <f>P215+NPV($N215,Q215:U215)</f>
        <v/>
      </c>
      <c r="W215" s="32">
        <f>IFERROR(IRR(P215:U215,0.1),"")</f>
        <v/>
      </c>
    </row>
    <row r="216">
      <c r="A216" s="14" t="n">
        <v>212</v>
      </c>
      <c r="B216" s="30">
        <f>RAND()*(1-2E-6)+1E-6</f>
        <v/>
      </c>
      <c r="C216" s="30">
        <f>RAND()*(1-2E-6)+1E-6</f>
        <v/>
      </c>
      <c r="D216" s="30">
        <f>RAND()*(1-2E-6)+1E-6</f>
        <v/>
      </c>
      <c r="E216" s="30">
        <f>RAND()*(1-2E-6)+1E-6</f>
        <v/>
      </c>
      <c r="F216" s="30">
        <f>RAND()*(1-2E-6)+1E-6</f>
        <v/>
      </c>
      <c r="G216" s="30">
        <f>RAND()*(1-2E-6)+1E-6</f>
        <v/>
      </c>
      <c r="H216" s="30">
        <f>RAND()*(1-2E-6)+1E-6</f>
        <v/>
      </c>
      <c r="I216" s="31">
        <f>MIN(IF(Supuestos!$H$5="",1E+99,Supuestos!$H$5),MAX(IF(Supuestos!$G$5="",-1E+99,Supuestos!$G$5),IF(Supuestos!$C$5="Normal",NORMINV(B216,Supuestos!$D$5,Supuestos!$E$5),IF(Supuestos!$C$5="Triangular",IF(B216&lt;(Supuestos!$E$5-Supuestos!$D$5)/(Supuestos!$F$5-Supuestos!$D$5),Supuestos!$D$5+SQRT(B216*(Supuestos!$F$5-Supuestos!$D$5)*(Supuestos!$E$5-Supuestos!$D$5)),Supuestos!$F$5-SQRT((1-B216)*(Supuestos!$F$5-Supuestos!$D$5)*(Supuestos!$F$5-Supuestos!$E$5))),IF(Supuestos!$C$5="Uniforme",Supuestos!$D$5+B216*(Supuestos!$E$5-Supuestos!$D$5),IF(Supuestos!$C$5="Lognormal",LOGINV(B216,LN(Supuestos!$D$5)-LN(1+Supuestos!$E$5^2/Supuestos!$D$5^2)/2,SQRT(LN(1+Supuestos!$E$5^2/Supuestos!$D$5^2))),Supuestos!$D$5))))))</f>
        <v/>
      </c>
      <c r="J216" s="31">
        <f>MIN(IF(Supuestos!$H$6="",1E+99,Supuestos!$H$6),MAX(IF(Supuestos!$G$6="",-1E+99,Supuestos!$G$6),IF(Supuestos!$C$6="Normal",NORMINV(C216,Supuestos!$D$6,Supuestos!$E$6),IF(Supuestos!$C$6="Triangular",IF(C216&lt;(Supuestos!$E$6-Supuestos!$D$6)/(Supuestos!$F$6-Supuestos!$D$6),Supuestos!$D$6+SQRT(C216*(Supuestos!$F$6-Supuestos!$D$6)*(Supuestos!$E$6-Supuestos!$D$6)),Supuestos!$F$6-SQRT((1-C216)*(Supuestos!$F$6-Supuestos!$D$6)*(Supuestos!$F$6-Supuestos!$E$6))),IF(Supuestos!$C$6="Uniforme",Supuestos!$D$6+C216*(Supuestos!$E$6-Supuestos!$D$6),IF(Supuestos!$C$6="Lognormal",LOGINV(C216,LN(Supuestos!$D$6)-LN(1+Supuestos!$E$6^2/Supuestos!$D$6^2)/2,SQRT(LN(1+Supuestos!$E$6^2/Supuestos!$D$6^2))),Supuestos!$D$6))))))</f>
        <v/>
      </c>
      <c r="K216" s="32">
        <f>MIN(IF(Supuestos!$H$7="",1E+99,Supuestos!$H$7),MAX(IF(Supuestos!$G$7="",-1E+99,Supuestos!$G$7),IF(Supuestos!$C$7="Normal",NORMINV(D216,Supuestos!$D$7,Supuestos!$E$7),IF(Supuestos!$C$7="Triangular",IF(D216&lt;(Supuestos!$E$7-Supuestos!$D$7)/(Supuestos!$F$7-Supuestos!$D$7),Supuestos!$D$7+SQRT(D216*(Supuestos!$F$7-Supuestos!$D$7)*(Supuestos!$E$7-Supuestos!$D$7)),Supuestos!$F$7-SQRT((1-D216)*(Supuestos!$F$7-Supuestos!$D$7)*(Supuestos!$F$7-Supuestos!$E$7))),IF(Supuestos!$C$7="Uniforme",Supuestos!$D$7+D216*(Supuestos!$E$7-Supuestos!$D$7),IF(Supuestos!$C$7="Lognormal",LOGINV(D216,LN(Supuestos!$D$7)-LN(1+Supuestos!$E$7^2/Supuestos!$D$7^2)/2,SQRT(LN(1+Supuestos!$E$7^2/Supuestos!$D$7^2))),Supuestos!$D$7))))))</f>
        <v/>
      </c>
      <c r="L216" s="32">
        <f>MIN(IF(Supuestos!$H$8="",1E+99,Supuestos!$H$8),MAX(IF(Supuestos!$G$8="",-1E+99,Supuestos!$G$8),IF(Supuestos!$C$8="Normal",NORMINV(E216,Supuestos!$D$8,Supuestos!$E$8),IF(Supuestos!$C$8="Triangular",IF(E216&lt;(Supuestos!$E$8-Supuestos!$D$8)/(Supuestos!$F$8-Supuestos!$D$8),Supuestos!$D$8+SQRT(E216*(Supuestos!$F$8-Supuestos!$D$8)*(Supuestos!$E$8-Supuestos!$D$8)),Supuestos!$F$8-SQRT((1-E216)*(Supuestos!$F$8-Supuestos!$D$8)*(Supuestos!$F$8-Supuestos!$E$8))),IF(Supuestos!$C$8="Uniforme",Supuestos!$D$8+E216*(Supuestos!$E$8-Supuestos!$D$8),IF(Supuestos!$C$8="Lognormal",LOGINV(E216,LN(Supuestos!$D$8)-LN(1+Supuestos!$E$8^2/Supuestos!$D$8^2)/2,SQRT(LN(1+Supuestos!$E$8^2/Supuestos!$D$8^2))),Supuestos!$D$8))))))</f>
        <v/>
      </c>
      <c r="M216" s="32">
        <f>MIN(IF(Supuestos!$H$9="",1E+99,Supuestos!$H$9),MAX(IF(Supuestos!$G$9="",-1E+99,Supuestos!$G$9),IF(Supuestos!$C$9="Normal",NORMINV(F216,Supuestos!$D$9,Supuestos!$E$9),IF(Supuestos!$C$9="Triangular",IF(F216&lt;(Supuestos!$E$9-Supuestos!$D$9)/(Supuestos!$F$9-Supuestos!$D$9),Supuestos!$D$9+SQRT(F216*(Supuestos!$F$9-Supuestos!$D$9)*(Supuestos!$E$9-Supuestos!$D$9)),Supuestos!$F$9-SQRT((1-F216)*(Supuestos!$F$9-Supuestos!$D$9)*(Supuestos!$F$9-Supuestos!$E$9))),IF(Supuestos!$C$9="Uniforme",Supuestos!$D$9+F216*(Supuestos!$E$9-Supuestos!$D$9),IF(Supuestos!$C$9="Lognormal",LOGINV(F216,LN(Supuestos!$D$9)-LN(1+Supuestos!$E$9^2/Supuestos!$D$9^2)/2,SQRT(LN(1+Supuestos!$E$9^2/Supuestos!$D$9^2))),Supuestos!$D$9))))))</f>
        <v/>
      </c>
      <c r="N216" s="32">
        <f>MIN(IF(Supuestos!$H$10="",1E+99,Supuestos!$H$10),MAX(IF(Supuestos!$G$10="",-1E+99,Supuestos!$G$10),IF(Supuestos!$C$10="Normal",NORMINV(G216,Supuestos!$D$10,Supuestos!$E$10),IF(Supuestos!$C$10="Triangular",IF(G216&lt;(Supuestos!$E$10-Supuestos!$D$10)/(Supuestos!$F$10-Supuestos!$D$10),Supuestos!$D$10+SQRT(G216*(Supuestos!$F$10-Supuestos!$D$10)*(Supuestos!$E$10-Supuestos!$D$10)),Supuestos!$F$10-SQRT((1-G216)*(Supuestos!$F$10-Supuestos!$D$10)*(Supuestos!$F$10-Supuestos!$E$10))),IF(Supuestos!$C$10="Uniforme",Supuestos!$D$10+G216*(Supuestos!$E$10-Supuestos!$D$10),IF(Supuestos!$C$10="Lognormal",LOGINV(G216,LN(Supuestos!$D$10)-LN(1+Supuestos!$E$10^2/Supuestos!$D$10^2)/2,SQRT(LN(1+Supuestos!$E$10^2/Supuestos!$D$10^2))),Supuestos!$D$10))))))</f>
        <v/>
      </c>
      <c r="O216" s="31">
        <f>MIN(IF(Supuestos!$H$11="",1E+99,Supuestos!$H$11),MAX(IF(Supuestos!$G$11="",-1E+99,Supuestos!$G$11),IF(Supuestos!$C$11="Normal",NORMINV(H216,Supuestos!$D$11,Supuestos!$E$11),IF(Supuestos!$C$11="Triangular",IF(H216&lt;(Supuestos!$E$11-Supuestos!$D$11)/(Supuestos!$F$11-Supuestos!$D$11),Supuestos!$D$11+SQRT(H216*(Supuestos!$F$11-Supuestos!$D$11)*(Supuestos!$E$11-Supuestos!$D$11)),Supuestos!$F$11-SQRT((1-H216)*(Supuestos!$F$11-Supuestos!$D$11)*(Supuestos!$F$11-Supuestos!$E$11))),IF(Supuestos!$C$11="Uniforme",Supuestos!$D$11+H216*(Supuestos!$E$11-Supuestos!$D$11),IF(Supuestos!$C$11="Lognormal",LOGINV(H216,LN(Supuestos!$D$11)-LN(1+Supuestos!$E$11^2/Supuestos!$D$11^2)/2,SQRT(LN(1+Supuestos!$E$11^2/Supuestos!$D$11^2))),Supuestos!$D$11))))))</f>
        <v/>
      </c>
      <c r="P216" s="33">
        <f>-I216</f>
        <v/>
      </c>
      <c r="Q216" s="33">
        <f>$J216*(1+$K216)^(1-1)*(1-$L216)*(1-$M216)</f>
        <v/>
      </c>
      <c r="R216" s="33">
        <f>$J216*(1+$K216)^(2-1)*(1-$L216)*(1-$M216)</f>
        <v/>
      </c>
      <c r="S216" s="33">
        <f>$J216*(1+$K216)^(3-1)*(1-$L216)*(1-$M216)</f>
        <v/>
      </c>
      <c r="T216" s="33">
        <f>$J216*(1+$K216)^(4-1)*(1-$L216)*(1-$M216)</f>
        <v/>
      </c>
      <c r="U216" s="33">
        <f>$J216*(1+$K216)^(5-1)*(1-$L216)*(1-$M216)+$O216</f>
        <v/>
      </c>
      <c r="V216" s="33">
        <f>P216+NPV($N216,Q216:U216)</f>
        <v/>
      </c>
      <c r="W216" s="32">
        <f>IFERROR(IRR(P216:U216,0.1),"")</f>
        <v/>
      </c>
    </row>
    <row r="217">
      <c r="A217" s="14" t="n">
        <v>213</v>
      </c>
      <c r="B217" s="30">
        <f>RAND()*(1-2E-6)+1E-6</f>
        <v/>
      </c>
      <c r="C217" s="30">
        <f>RAND()*(1-2E-6)+1E-6</f>
        <v/>
      </c>
      <c r="D217" s="30">
        <f>RAND()*(1-2E-6)+1E-6</f>
        <v/>
      </c>
      <c r="E217" s="30">
        <f>RAND()*(1-2E-6)+1E-6</f>
        <v/>
      </c>
      <c r="F217" s="30">
        <f>RAND()*(1-2E-6)+1E-6</f>
        <v/>
      </c>
      <c r="G217" s="30">
        <f>RAND()*(1-2E-6)+1E-6</f>
        <v/>
      </c>
      <c r="H217" s="30">
        <f>RAND()*(1-2E-6)+1E-6</f>
        <v/>
      </c>
      <c r="I217" s="31">
        <f>MIN(IF(Supuestos!$H$5="",1E+99,Supuestos!$H$5),MAX(IF(Supuestos!$G$5="",-1E+99,Supuestos!$G$5),IF(Supuestos!$C$5="Normal",NORMINV(B217,Supuestos!$D$5,Supuestos!$E$5),IF(Supuestos!$C$5="Triangular",IF(B217&lt;(Supuestos!$E$5-Supuestos!$D$5)/(Supuestos!$F$5-Supuestos!$D$5),Supuestos!$D$5+SQRT(B217*(Supuestos!$F$5-Supuestos!$D$5)*(Supuestos!$E$5-Supuestos!$D$5)),Supuestos!$F$5-SQRT((1-B217)*(Supuestos!$F$5-Supuestos!$D$5)*(Supuestos!$F$5-Supuestos!$E$5))),IF(Supuestos!$C$5="Uniforme",Supuestos!$D$5+B217*(Supuestos!$E$5-Supuestos!$D$5),IF(Supuestos!$C$5="Lognormal",LOGINV(B217,LN(Supuestos!$D$5)-LN(1+Supuestos!$E$5^2/Supuestos!$D$5^2)/2,SQRT(LN(1+Supuestos!$E$5^2/Supuestos!$D$5^2))),Supuestos!$D$5))))))</f>
        <v/>
      </c>
      <c r="J217" s="31">
        <f>MIN(IF(Supuestos!$H$6="",1E+99,Supuestos!$H$6),MAX(IF(Supuestos!$G$6="",-1E+99,Supuestos!$G$6),IF(Supuestos!$C$6="Normal",NORMINV(C217,Supuestos!$D$6,Supuestos!$E$6),IF(Supuestos!$C$6="Triangular",IF(C217&lt;(Supuestos!$E$6-Supuestos!$D$6)/(Supuestos!$F$6-Supuestos!$D$6),Supuestos!$D$6+SQRT(C217*(Supuestos!$F$6-Supuestos!$D$6)*(Supuestos!$E$6-Supuestos!$D$6)),Supuestos!$F$6-SQRT((1-C217)*(Supuestos!$F$6-Supuestos!$D$6)*(Supuestos!$F$6-Supuestos!$E$6))),IF(Supuestos!$C$6="Uniforme",Supuestos!$D$6+C217*(Supuestos!$E$6-Supuestos!$D$6),IF(Supuestos!$C$6="Lognormal",LOGINV(C217,LN(Supuestos!$D$6)-LN(1+Supuestos!$E$6^2/Supuestos!$D$6^2)/2,SQRT(LN(1+Supuestos!$E$6^2/Supuestos!$D$6^2))),Supuestos!$D$6))))))</f>
        <v/>
      </c>
      <c r="K217" s="32">
        <f>MIN(IF(Supuestos!$H$7="",1E+99,Supuestos!$H$7),MAX(IF(Supuestos!$G$7="",-1E+99,Supuestos!$G$7),IF(Supuestos!$C$7="Normal",NORMINV(D217,Supuestos!$D$7,Supuestos!$E$7),IF(Supuestos!$C$7="Triangular",IF(D217&lt;(Supuestos!$E$7-Supuestos!$D$7)/(Supuestos!$F$7-Supuestos!$D$7),Supuestos!$D$7+SQRT(D217*(Supuestos!$F$7-Supuestos!$D$7)*(Supuestos!$E$7-Supuestos!$D$7)),Supuestos!$F$7-SQRT((1-D217)*(Supuestos!$F$7-Supuestos!$D$7)*(Supuestos!$F$7-Supuestos!$E$7))),IF(Supuestos!$C$7="Uniforme",Supuestos!$D$7+D217*(Supuestos!$E$7-Supuestos!$D$7),IF(Supuestos!$C$7="Lognormal",LOGINV(D217,LN(Supuestos!$D$7)-LN(1+Supuestos!$E$7^2/Supuestos!$D$7^2)/2,SQRT(LN(1+Supuestos!$E$7^2/Supuestos!$D$7^2))),Supuestos!$D$7))))))</f>
        <v/>
      </c>
      <c r="L217" s="32">
        <f>MIN(IF(Supuestos!$H$8="",1E+99,Supuestos!$H$8),MAX(IF(Supuestos!$G$8="",-1E+99,Supuestos!$G$8),IF(Supuestos!$C$8="Normal",NORMINV(E217,Supuestos!$D$8,Supuestos!$E$8),IF(Supuestos!$C$8="Triangular",IF(E217&lt;(Supuestos!$E$8-Supuestos!$D$8)/(Supuestos!$F$8-Supuestos!$D$8),Supuestos!$D$8+SQRT(E217*(Supuestos!$F$8-Supuestos!$D$8)*(Supuestos!$E$8-Supuestos!$D$8)),Supuestos!$F$8-SQRT((1-E217)*(Supuestos!$F$8-Supuestos!$D$8)*(Supuestos!$F$8-Supuestos!$E$8))),IF(Supuestos!$C$8="Uniforme",Supuestos!$D$8+E217*(Supuestos!$E$8-Supuestos!$D$8),IF(Supuestos!$C$8="Lognormal",LOGINV(E217,LN(Supuestos!$D$8)-LN(1+Supuestos!$E$8^2/Supuestos!$D$8^2)/2,SQRT(LN(1+Supuestos!$E$8^2/Supuestos!$D$8^2))),Supuestos!$D$8))))))</f>
        <v/>
      </c>
      <c r="M217" s="32">
        <f>MIN(IF(Supuestos!$H$9="",1E+99,Supuestos!$H$9),MAX(IF(Supuestos!$G$9="",-1E+99,Supuestos!$G$9),IF(Supuestos!$C$9="Normal",NORMINV(F217,Supuestos!$D$9,Supuestos!$E$9),IF(Supuestos!$C$9="Triangular",IF(F217&lt;(Supuestos!$E$9-Supuestos!$D$9)/(Supuestos!$F$9-Supuestos!$D$9),Supuestos!$D$9+SQRT(F217*(Supuestos!$F$9-Supuestos!$D$9)*(Supuestos!$E$9-Supuestos!$D$9)),Supuestos!$F$9-SQRT((1-F217)*(Supuestos!$F$9-Supuestos!$D$9)*(Supuestos!$F$9-Supuestos!$E$9))),IF(Supuestos!$C$9="Uniforme",Supuestos!$D$9+F217*(Supuestos!$E$9-Supuestos!$D$9),IF(Supuestos!$C$9="Lognormal",LOGINV(F217,LN(Supuestos!$D$9)-LN(1+Supuestos!$E$9^2/Supuestos!$D$9^2)/2,SQRT(LN(1+Supuestos!$E$9^2/Supuestos!$D$9^2))),Supuestos!$D$9))))))</f>
        <v/>
      </c>
      <c r="N217" s="32">
        <f>MIN(IF(Supuestos!$H$10="",1E+99,Supuestos!$H$10),MAX(IF(Supuestos!$G$10="",-1E+99,Supuestos!$G$10),IF(Supuestos!$C$10="Normal",NORMINV(G217,Supuestos!$D$10,Supuestos!$E$10),IF(Supuestos!$C$10="Triangular",IF(G217&lt;(Supuestos!$E$10-Supuestos!$D$10)/(Supuestos!$F$10-Supuestos!$D$10),Supuestos!$D$10+SQRT(G217*(Supuestos!$F$10-Supuestos!$D$10)*(Supuestos!$E$10-Supuestos!$D$10)),Supuestos!$F$10-SQRT((1-G217)*(Supuestos!$F$10-Supuestos!$D$10)*(Supuestos!$F$10-Supuestos!$E$10))),IF(Supuestos!$C$10="Uniforme",Supuestos!$D$10+G217*(Supuestos!$E$10-Supuestos!$D$10),IF(Supuestos!$C$10="Lognormal",LOGINV(G217,LN(Supuestos!$D$10)-LN(1+Supuestos!$E$10^2/Supuestos!$D$10^2)/2,SQRT(LN(1+Supuestos!$E$10^2/Supuestos!$D$10^2))),Supuestos!$D$10))))))</f>
        <v/>
      </c>
      <c r="O217" s="31">
        <f>MIN(IF(Supuestos!$H$11="",1E+99,Supuestos!$H$11),MAX(IF(Supuestos!$G$11="",-1E+99,Supuestos!$G$11),IF(Supuestos!$C$11="Normal",NORMINV(H217,Supuestos!$D$11,Supuestos!$E$11),IF(Supuestos!$C$11="Triangular",IF(H217&lt;(Supuestos!$E$11-Supuestos!$D$11)/(Supuestos!$F$11-Supuestos!$D$11),Supuestos!$D$11+SQRT(H217*(Supuestos!$F$11-Supuestos!$D$11)*(Supuestos!$E$11-Supuestos!$D$11)),Supuestos!$F$11-SQRT((1-H217)*(Supuestos!$F$11-Supuestos!$D$11)*(Supuestos!$F$11-Supuestos!$E$11))),IF(Supuestos!$C$11="Uniforme",Supuestos!$D$11+H217*(Supuestos!$E$11-Supuestos!$D$11),IF(Supuestos!$C$11="Lognormal",LOGINV(H217,LN(Supuestos!$D$11)-LN(1+Supuestos!$E$11^2/Supuestos!$D$11^2)/2,SQRT(LN(1+Supuestos!$E$11^2/Supuestos!$D$11^2))),Supuestos!$D$11))))))</f>
        <v/>
      </c>
      <c r="P217" s="33">
        <f>-I217</f>
        <v/>
      </c>
      <c r="Q217" s="33">
        <f>$J217*(1+$K217)^(1-1)*(1-$L217)*(1-$M217)</f>
        <v/>
      </c>
      <c r="R217" s="33">
        <f>$J217*(1+$K217)^(2-1)*(1-$L217)*(1-$M217)</f>
        <v/>
      </c>
      <c r="S217" s="33">
        <f>$J217*(1+$K217)^(3-1)*(1-$L217)*(1-$M217)</f>
        <v/>
      </c>
      <c r="T217" s="33">
        <f>$J217*(1+$K217)^(4-1)*(1-$L217)*(1-$M217)</f>
        <v/>
      </c>
      <c r="U217" s="33">
        <f>$J217*(1+$K217)^(5-1)*(1-$L217)*(1-$M217)+$O217</f>
        <v/>
      </c>
      <c r="V217" s="33">
        <f>P217+NPV($N217,Q217:U217)</f>
        <v/>
      </c>
      <c r="W217" s="32">
        <f>IFERROR(IRR(P217:U217,0.1),"")</f>
        <v/>
      </c>
    </row>
    <row r="218">
      <c r="A218" s="14" t="n">
        <v>214</v>
      </c>
      <c r="B218" s="30">
        <f>RAND()*(1-2E-6)+1E-6</f>
        <v/>
      </c>
      <c r="C218" s="30">
        <f>RAND()*(1-2E-6)+1E-6</f>
        <v/>
      </c>
      <c r="D218" s="30">
        <f>RAND()*(1-2E-6)+1E-6</f>
        <v/>
      </c>
      <c r="E218" s="30">
        <f>RAND()*(1-2E-6)+1E-6</f>
        <v/>
      </c>
      <c r="F218" s="30">
        <f>RAND()*(1-2E-6)+1E-6</f>
        <v/>
      </c>
      <c r="G218" s="30">
        <f>RAND()*(1-2E-6)+1E-6</f>
        <v/>
      </c>
      <c r="H218" s="30">
        <f>RAND()*(1-2E-6)+1E-6</f>
        <v/>
      </c>
      <c r="I218" s="31">
        <f>MIN(IF(Supuestos!$H$5="",1E+99,Supuestos!$H$5),MAX(IF(Supuestos!$G$5="",-1E+99,Supuestos!$G$5),IF(Supuestos!$C$5="Normal",NORMINV(B218,Supuestos!$D$5,Supuestos!$E$5),IF(Supuestos!$C$5="Triangular",IF(B218&lt;(Supuestos!$E$5-Supuestos!$D$5)/(Supuestos!$F$5-Supuestos!$D$5),Supuestos!$D$5+SQRT(B218*(Supuestos!$F$5-Supuestos!$D$5)*(Supuestos!$E$5-Supuestos!$D$5)),Supuestos!$F$5-SQRT((1-B218)*(Supuestos!$F$5-Supuestos!$D$5)*(Supuestos!$F$5-Supuestos!$E$5))),IF(Supuestos!$C$5="Uniforme",Supuestos!$D$5+B218*(Supuestos!$E$5-Supuestos!$D$5),IF(Supuestos!$C$5="Lognormal",LOGINV(B218,LN(Supuestos!$D$5)-LN(1+Supuestos!$E$5^2/Supuestos!$D$5^2)/2,SQRT(LN(1+Supuestos!$E$5^2/Supuestos!$D$5^2))),Supuestos!$D$5))))))</f>
        <v/>
      </c>
      <c r="J218" s="31">
        <f>MIN(IF(Supuestos!$H$6="",1E+99,Supuestos!$H$6),MAX(IF(Supuestos!$G$6="",-1E+99,Supuestos!$G$6),IF(Supuestos!$C$6="Normal",NORMINV(C218,Supuestos!$D$6,Supuestos!$E$6),IF(Supuestos!$C$6="Triangular",IF(C218&lt;(Supuestos!$E$6-Supuestos!$D$6)/(Supuestos!$F$6-Supuestos!$D$6),Supuestos!$D$6+SQRT(C218*(Supuestos!$F$6-Supuestos!$D$6)*(Supuestos!$E$6-Supuestos!$D$6)),Supuestos!$F$6-SQRT((1-C218)*(Supuestos!$F$6-Supuestos!$D$6)*(Supuestos!$F$6-Supuestos!$E$6))),IF(Supuestos!$C$6="Uniforme",Supuestos!$D$6+C218*(Supuestos!$E$6-Supuestos!$D$6),IF(Supuestos!$C$6="Lognormal",LOGINV(C218,LN(Supuestos!$D$6)-LN(1+Supuestos!$E$6^2/Supuestos!$D$6^2)/2,SQRT(LN(1+Supuestos!$E$6^2/Supuestos!$D$6^2))),Supuestos!$D$6))))))</f>
        <v/>
      </c>
      <c r="K218" s="32">
        <f>MIN(IF(Supuestos!$H$7="",1E+99,Supuestos!$H$7),MAX(IF(Supuestos!$G$7="",-1E+99,Supuestos!$G$7),IF(Supuestos!$C$7="Normal",NORMINV(D218,Supuestos!$D$7,Supuestos!$E$7),IF(Supuestos!$C$7="Triangular",IF(D218&lt;(Supuestos!$E$7-Supuestos!$D$7)/(Supuestos!$F$7-Supuestos!$D$7),Supuestos!$D$7+SQRT(D218*(Supuestos!$F$7-Supuestos!$D$7)*(Supuestos!$E$7-Supuestos!$D$7)),Supuestos!$F$7-SQRT((1-D218)*(Supuestos!$F$7-Supuestos!$D$7)*(Supuestos!$F$7-Supuestos!$E$7))),IF(Supuestos!$C$7="Uniforme",Supuestos!$D$7+D218*(Supuestos!$E$7-Supuestos!$D$7),IF(Supuestos!$C$7="Lognormal",LOGINV(D218,LN(Supuestos!$D$7)-LN(1+Supuestos!$E$7^2/Supuestos!$D$7^2)/2,SQRT(LN(1+Supuestos!$E$7^2/Supuestos!$D$7^2))),Supuestos!$D$7))))))</f>
        <v/>
      </c>
      <c r="L218" s="32">
        <f>MIN(IF(Supuestos!$H$8="",1E+99,Supuestos!$H$8),MAX(IF(Supuestos!$G$8="",-1E+99,Supuestos!$G$8),IF(Supuestos!$C$8="Normal",NORMINV(E218,Supuestos!$D$8,Supuestos!$E$8),IF(Supuestos!$C$8="Triangular",IF(E218&lt;(Supuestos!$E$8-Supuestos!$D$8)/(Supuestos!$F$8-Supuestos!$D$8),Supuestos!$D$8+SQRT(E218*(Supuestos!$F$8-Supuestos!$D$8)*(Supuestos!$E$8-Supuestos!$D$8)),Supuestos!$F$8-SQRT((1-E218)*(Supuestos!$F$8-Supuestos!$D$8)*(Supuestos!$F$8-Supuestos!$E$8))),IF(Supuestos!$C$8="Uniforme",Supuestos!$D$8+E218*(Supuestos!$E$8-Supuestos!$D$8),IF(Supuestos!$C$8="Lognormal",LOGINV(E218,LN(Supuestos!$D$8)-LN(1+Supuestos!$E$8^2/Supuestos!$D$8^2)/2,SQRT(LN(1+Supuestos!$E$8^2/Supuestos!$D$8^2))),Supuestos!$D$8))))))</f>
        <v/>
      </c>
      <c r="M218" s="32">
        <f>MIN(IF(Supuestos!$H$9="",1E+99,Supuestos!$H$9),MAX(IF(Supuestos!$G$9="",-1E+99,Supuestos!$G$9),IF(Supuestos!$C$9="Normal",NORMINV(F218,Supuestos!$D$9,Supuestos!$E$9),IF(Supuestos!$C$9="Triangular",IF(F218&lt;(Supuestos!$E$9-Supuestos!$D$9)/(Supuestos!$F$9-Supuestos!$D$9),Supuestos!$D$9+SQRT(F218*(Supuestos!$F$9-Supuestos!$D$9)*(Supuestos!$E$9-Supuestos!$D$9)),Supuestos!$F$9-SQRT((1-F218)*(Supuestos!$F$9-Supuestos!$D$9)*(Supuestos!$F$9-Supuestos!$E$9))),IF(Supuestos!$C$9="Uniforme",Supuestos!$D$9+F218*(Supuestos!$E$9-Supuestos!$D$9),IF(Supuestos!$C$9="Lognormal",LOGINV(F218,LN(Supuestos!$D$9)-LN(1+Supuestos!$E$9^2/Supuestos!$D$9^2)/2,SQRT(LN(1+Supuestos!$E$9^2/Supuestos!$D$9^2))),Supuestos!$D$9))))))</f>
        <v/>
      </c>
      <c r="N218" s="32">
        <f>MIN(IF(Supuestos!$H$10="",1E+99,Supuestos!$H$10),MAX(IF(Supuestos!$G$10="",-1E+99,Supuestos!$G$10),IF(Supuestos!$C$10="Normal",NORMINV(G218,Supuestos!$D$10,Supuestos!$E$10),IF(Supuestos!$C$10="Triangular",IF(G218&lt;(Supuestos!$E$10-Supuestos!$D$10)/(Supuestos!$F$10-Supuestos!$D$10),Supuestos!$D$10+SQRT(G218*(Supuestos!$F$10-Supuestos!$D$10)*(Supuestos!$E$10-Supuestos!$D$10)),Supuestos!$F$10-SQRT((1-G218)*(Supuestos!$F$10-Supuestos!$D$10)*(Supuestos!$F$10-Supuestos!$E$10))),IF(Supuestos!$C$10="Uniforme",Supuestos!$D$10+G218*(Supuestos!$E$10-Supuestos!$D$10),IF(Supuestos!$C$10="Lognormal",LOGINV(G218,LN(Supuestos!$D$10)-LN(1+Supuestos!$E$10^2/Supuestos!$D$10^2)/2,SQRT(LN(1+Supuestos!$E$10^2/Supuestos!$D$10^2))),Supuestos!$D$10))))))</f>
        <v/>
      </c>
      <c r="O218" s="31">
        <f>MIN(IF(Supuestos!$H$11="",1E+99,Supuestos!$H$11),MAX(IF(Supuestos!$G$11="",-1E+99,Supuestos!$G$11),IF(Supuestos!$C$11="Normal",NORMINV(H218,Supuestos!$D$11,Supuestos!$E$11),IF(Supuestos!$C$11="Triangular",IF(H218&lt;(Supuestos!$E$11-Supuestos!$D$11)/(Supuestos!$F$11-Supuestos!$D$11),Supuestos!$D$11+SQRT(H218*(Supuestos!$F$11-Supuestos!$D$11)*(Supuestos!$E$11-Supuestos!$D$11)),Supuestos!$F$11-SQRT((1-H218)*(Supuestos!$F$11-Supuestos!$D$11)*(Supuestos!$F$11-Supuestos!$E$11))),IF(Supuestos!$C$11="Uniforme",Supuestos!$D$11+H218*(Supuestos!$E$11-Supuestos!$D$11),IF(Supuestos!$C$11="Lognormal",LOGINV(H218,LN(Supuestos!$D$11)-LN(1+Supuestos!$E$11^2/Supuestos!$D$11^2)/2,SQRT(LN(1+Supuestos!$E$11^2/Supuestos!$D$11^2))),Supuestos!$D$11))))))</f>
        <v/>
      </c>
      <c r="P218" s="33">
        <f>-I218</f>
        <v/>
      </c>
      <c r="Q218" s="33">
        <f>$J218*(1+$K218)^(1-1)*(1-$L218)*(1-$M218)</f>
        <v/>
      </c>
      <c r="R218" s="33">
        <f>$J218*(1+$K218)^(2-1)*(1-$L218)*(1-$M218)</f>
        <v/>
      </c>
      <c r="S218" s="33">
        <f>$J218*(1+$K218)^(3-1)*(1-$L218)*(1-$M218)</f>
        <v/>
      </c>
      <c r="T218" s="33">
        <f>$J218*(1+$K218)^(4-1)*(1-$L218)*(1-$M218)</f>
        <v/>
      </c>
      <c r="U218" s="33">
        <f>$J218*(1+$K218)^(5-1)*(1-$L218)*(1-$M218)+$O218</f>
        <v/>
      </c>
      <c r="V218" s="33">
        <f>P218+NPV($N218,Q218:U218)</f>
        <v/>
      </c>
      <c r="W218" s="32">
        <f>IFERROR(IRR(P218:U218,0.1),"")</f>
        <v/>
      </c>
    </row>
    <row r="219">
      <c r="A219" s="14" t="n">
        <v>215</v>
      </c>
      <c r="B219" s="30">
        <f>RAND()*(1-2E-6)+1E-6</f>
        <v/>
      </c>
      <c r="C219" s="30">
        <f>RAND()*(1-2E-6)+1E-6</f>
        <v/>
      </c>
      <c r="D219" s="30">
        <f>RAND()*(1-2E-6)+1E-6</f>
        <v/>
      </c>
      <c r="E219" s="30">
        <f>RAND()*(1-2E-6)+1E-6</f>
        <v/>
      </c>
      <c r="F219" s="30">
        <f>RAND()*(1-2E-6)+1E-6</f>
        <v/>
      </c>
      <c r="G219" s="30">
        <f>RAND()*(1-2E-6)+1E-6</f>
        <v/>
      </c>
      <c r="H219" s="30">
        <f>RAND()*(1-2E-6)+1E-6</f>
        <v/>
      </c>
      <c r="I219" s="31">
        <f>MIN(IF(Supuestos!$H$5="",1E+99,Supuestos!$H$5),MAX(IF(Supuestos!$G$5="",-1E+99,Supuestos!$G$5),IF(Supuestos!$C$5="Normal",NORMINV(B219,Supuestos!$D$5,Supuestos!$E$5),IF(Supuestos!$C$5="Triangular",IF(B219&lt;(Supuestos!$E$5-Supuestos!$D$5)/(Supuestos!$F$5-Supuestos!$D$5),Supuestos!$D$5+SQRT(B219*(Supuestos!$F$5-Supuestos!$D$5)*(Supuestos!$E$5-Supuestos!$D$5)),Supuestos!$F$5-SQRT((1-B219)*(Supuestos!$F$5-Supuestos!$D$5)*(Supuestos!$F$5-Supuestos!$E$5))),IF(Supuestos!$C$5="Uniforme",Supuestos!$D$5+B219*(Supuestos!$E$5-Supuestos!$D$5),IF(Supuestos!$C$5="Lognormal",LOGINV(B219,LN(Supuestos!$D$5)-LN(1+Supuestos!$E$5^2/Supuestos!$D$5^2)/2,SQRT(LN(1+Supuestos!$E$5^2/Supuestos!$D$5^2))),Supuestos!$D$5))))))</f>
        <v/>
      </c>
      <c r="J219" s="31">
        <f>MIN(IF(Supuestos!$H$6="",1E+99,Supuestos!$H$6),MAX(IF(Supuestos!$G$6="",-1E+99,Supuestos!$G$6),IF(Supuestos!$C$6="Normal",NORMINV(C219,Supuestos!$D$6,Supuestos!$E$6),IF(Supuestos!$C$6="Triangular",IF(C219&lt;(Supuestos!$E$6-Supuestos!$D$6)/(Supuestos!$F$6-Supuestos!$D$6),Supuestos!$D$6+SQRT(C219*(Supuestos!$F$6-Supuestos!$D$6)*(Supuestos!$E$6-Supuestos!$D$6)),Supuestos!$F$6-SQRT((1-C219)*(Supuestos!$F$6-Supuestos!$D$6)*(Supuestos!$F$6-Supuestos!$E$6))),IF(Supuestos!$C$6="Uniforme",Supuestos!$D$6+C219*(Supuestos!$E$6-Supuestos!$D$6),IF(Supuestos!$C$6="Lognormal",LOGINV(C219,LN(Supuestos!$D$6)-LN(1+Supuestos!$E$6^2/Supuestos!$D$6^2)/2,SQRT(LN(1+Supuestos!$E$6^2/Supuestos!$D$6^2))),Supuestos!$D$6))))))</f>
        <v/>
      </c>
      <c r="K219" s="32">
        <f>MIN(IF(Supuestos!$H$7="",1E+99,Supuestos!$H$7),MAX(IF(Supuestos!$G$7="",-1E+99,Supuestos!$G$7),IF(Supuestos!$C$7="Normal",NORMINV(D219,Supuestos!$D$7,Supuestos!$E$7),IF(Supuestos!$C$7="Triangular",IF(D219&lt;(Supuestos!$E$7-Supuestos!$D$7)/(Supuestos!$F$7-Supuestos!$D$7),Supuestos!$D$7+SQRT(D219*(Supuestos!$F$7-Supuestos!$D$7)*(Supuestos!$E$7-Supuestos!$D$7)),Supuestos!$F$7-SQRT((1-D219)*(Supuestos!$F$7-Supuestos!$D$7)*(Supuestos!$F$7-Supuestos!$E$7))),IF(Supuestos!$C$7="Uniforme",Supuestos!$D$7+D219*(Supuestos!$E$7-Supuestos!$D$7),IF(Supuestos!$C$7="Lognormal",LOGINV(D219,LN(Supuestos!$D$7)-LN(1+Supuestos!$E$7^2/Supuestos!$D$7^2)/2,SQRT(LN(1+Supuestos!$E$7^2/Supuestos!$D$7^2))),Supuestos!$D$7))))))</f>
        <v/>
      </c>
      <c r="L219" s="32">
        <f>MIN(IF(Supuestos!$H$8="",1E+99,Supuestos!$H$8),MAX(IF(Supuestos!$G$8="",-1E+99,Supuestos!$G$8),IF(Supuestos!$C$8="Normal",NORMINV(E219,Supuestos!$D$8,Supuestos!$E$8),IF(Supuestos!$C$8="Triangular",IF(E219&lt;(Supuestos!$E$8-Supuestos!$D$8)/(Supuestos!$F$8-Supuestos!$D$8),Supuestos!$D$8+SQRT(E219*(Supuestos!$F$8-Supuestos!$D$8)*(Supuestos!$E$8-Supuestos!$D$8)),Supuestos!$F$8-SQRT((1-E219)*(Supuestos!$F$8-Supuestos!$D$8)*(Supuestos!$F$8-Supuestos!$E$8))),IF(Supuestos!$C$8="Uniforme",Supuestos!$D$8+E219*(Supuestos!$E$8-Supuestos!$D$8),IF(Supuestos!$C$8="Lognormal",LOGINV(E219,LN(Supuestos!$D$8)-LN(1+Supuestos!$E$8^2/Supuestos!$D$8^2)/2,SQRT(LN(1+Supuestos!$E$8^2/Supuestos!$D$8^2))),Supuestos!$D$8))))))</f>
        <v/>
      </c>
      <c r="M219" s="32">
        <f>MIN(IF(Supuestos!$H$9="",1E+99,Supuestos!$H$9),MAX(IF(Supuestos!$G$9="",-1E+99,Supuestos!$G$9),IF(Supuestos!$C$9="Normal",NORMINV(F219,Supuestos!$D$9,Supuestos!$E$9),IF(Supuestos!$C$9="Triangular",IF(F219&lt;(Supuestos!$E$9-Supuestos!$D$9)/(Supuestos!$F$9-Supuestos!$D$9),Supuestos!$D$9+SQRT(F219*(Supuestos!$F$9-Supuestos!$D$9)*(Supuestos!$E$9-Supuestos!$D$9)),Supuestos!$F$9-SQRT((1-F219)*(Supuestos!$F$9-Supuestos!$D$9)*(Supuestos!$F$9-Supuestos!$E$9))),IF(Supuestos!$C$9="Uniforme",Supuestos!$D$9+F219*(Supuestos!$E$9-Supuestos!$D$9),IF(Supuestos!$C$9="Lognormal",LOGINV(F219,LN(Supuestos!$D$9)-LN(1+Supuestos!$E$9^2/Supuestos!$D$9^2)/2,SQRT(LN(1+Supuestos!$E$9^2/Supuestos!$D$9^2))),Supuestos!$D$9))))))</f>
        <v/>
      </c>
      <c r="N219" s="32">
        <f>MIN(IF(Supuestos!$H$10="",1E+99,Supuestos!$H$10),MAX(IF(Supuestos!$G$10="",-1E+99,Supuestos!$G$10),IF(Supuestos!$C$10="Normal",NORMINV(G219,Supuestos!$D$10,Supuestos!$E$10),IF(Supuestos!$C$10="Triangular",IF(G219&lt;(Supuestos!$E$10-Supuestos!$D$10)/(Supuestos!$F$10-Supuestos!$D$10),Supuestos!$D$10+SQRT(G219*(Supuestos!$F$10-Supuestos!$D$10)*(Supuestos!$E$10-Supuestos!$D$10)),Supuestos!$F$10-SQRT((1-G219)*(Supuestos!$F$10-Supuestos!$D$10)*(Supuestos!$F$10-Supuestos!$E$10))),IF(Supuestos!$C$10="Uniforme",Supuestos!$D$10+G219*(Supuestos!$E$10-Supuestos!$D$10),IF(Supuestos!$C$10="Lognormal",LOGINV(G219,LN(Supuestos!$D$10)-LN(1+Supuestos!$E$10^2/Supuestos!$D$10^2)/2,SQRT(LN(1+Supuestos!$E$10^2/Supuestos!$D$10^2))),Supuestos!$D$10))))))</f>
        <v/>
      </c>
      <c r="O219" s="31">
        <f>MIN(IF(Supuestos!$H$11="",1E+99,Supuestos!$H$11),MAX(IF(Supuestos!$G$11="",-1E+99,Supuestos!$G$11),IF(Supuestos!$C$11="Normal",NORMINV(H219,Supuestos!$D$11,Supuestos!$E$11),IF(Supuestos!$C$11="Triangular",IF(H219&lt;(Supuestos!$E$11-Supuestos!$D$11)/(Supuestos!$F$11-Supuestos!$D$11),Supuestos!$D$11+SQRT(H219*(Supuestos!$F$11-Supuestos!$D$11)*(Supuestos!$E$11-Supuestos!$D$11)),Supuestos!$F$11-SQRT((1-H219)*(Supuestos!$F$11-Supuestos!$D$11)*(Supuestos!$F$11-Supuestos!$E$11))),IF(Supuestos!$C$11="Uniforme",Supuestos!$D$11+H219*(Supuestos!$E$11-Supuestos!$D$11),IF(Supuestos!$C$11="Lognormal",LOGINV(H219,LN(Supuestos!$D$11)-LN(1+Supuestos!$E$11^2/Supuestos!$D$11^2)/2,SQRT(LN(1+Supuestos!$E$11^2/Supuestos!$D$11^2))),Supuestos!$D$11))))))</f>
        <v/>
      </c>
      <c r="P219" s="33">
        <f>-I219</f>
        <v/>
      </c>
      <c r="Q219" s="33">
        <f>$J219*(1+$K219)^(1-1)*(1-$L219)*(1-$M219)</f>
        <v/>
      </c>
      <c r="R219" s="33">
        <f>$J219*(1+$K219)^(2-1)*(1-$L219)*(1-$M219)</f>
        <v/>
      </c>
      <c r="S219" s="33">
        <f>$J219*(1+$K219)^(3-1)*(1-$L219)*(1-$M219)</f>
        <v/>
      </c>
      <c r="T219" s="33">
        <f>$J219*(1+$K219)^(4-1)*(1-$L219)*(1-$M219)</f>
        <v/>
      </c>
      <c r="U219" s="33">
        <f>$J219*(1+$K219)^(5-1)*(1-$L219)*(1-$M219)+$O219</f>
        <v/>
      </c>
      <c r="V219" s="33">
        <f>P219+NPV($N219,Q219:U219)</f>
        <v/>
      </c>
      <c r="W219" s="32">
        <f>IFERROR(IRR(P219:U219,0.1),"")</f>
        <v/>
      </c>
    </row>
    <row r="220">
      <c r="A220" s="14" t="n">
        <v>216</v>
      </c>
      <c r="B220" s="30">
        <f>RAND()*(1-2E-6)+1E-6</f>
        <v/>
      </c>
      <c r="C220" s="30">
        <f>RAND()*(1-2E-6)+1E-6</f>
        <v/>
      </c>
      <c r="D220" s="30">
        <f>RAND()*(1-2E-6)+1E-6</f>
        <v/>
      </c>
      <c r="E220" s="30">
        <f>RAND()*(1-2E-6)+1E-6</f>
        <v/>
      </c>
      <c r="F220" s="30">
        <f>RAND()*(1-2E-6)+1E-6</f>
        <v/>
      </c>
      <c r="G220" s="30">
        <f>RAND()*(1-2E-6)+1E-6</f>
        <v/>
      </c>
      <c r="H220" s="30">
        <f>RAND()*(1-2E-6)+1E-6</f>
        <v/>
      </c>
      <c r="I220" s="31">
        <f>MIN(IF(Supuestos!$H$5="",1E+99,Supuestos!$H$5),MAX(IF(Supuestos!$G$5="",-1E+99,Supuestos!$G$5),IF(Supuestos!$C$5="Normal",NORMINV(B220,Supuestos!$D$5,Supuestos!$E$5),IF(Supuestos!$C$5="Triangular",IF(B220&lt;(Supuestos!$E$5-Supuestos!$D$5)/(Supuestos!$F$5-Supuestos!$D$5),Supuestos!$D$5+SQRT(B220*(Supuestos!$F$5-Supuestos!$D$5)*(Supuestos!$E$5-Supuestos!$D$5)),Supuestos!$F$5-SQRT((1-B220)*(Supuestos!$F$5-Supuestos!$D$5)*(Supuestos!$F$5-Supuestos!$E$5))),IF(Supuestos!$C$5="Uniforme",Supuestos!$D$5+B220*(Supuestos!$E$5-Supuestos!$D$5),IF(Supuestos!$C$5="Lognormal",LOGINV(B220,LN(Supuestos!$D$5)-LN(1+Supuestos!$E$5^2/Supuestos!$D$5^2)/2,SQRT(LN(1+Supuestos!$E$5^2/Supuestos!$D$5^2))),Supuestos!$D$5))))))</f>
        <v/>
      </c>
      <c r="J220" s="31">
        <f>MIN(IF(Supuestos!$H$6="",1E+99,Supuestos!$H$6),MAX(IF(Supuestos!$G$6="",-1E+99,Supuestos!$G$6),IF(Supuestos!$C$6="Normal",NORMINV(C220,Supuestos!$D$6,Supuestos!$E$6),IF(Supuestos!$C$6="Triangular",IF(C220&lt;(Supuestos!$E$6-Supuestos!$D$6)/(Supuestos!$F$6-Supuestos!$D$6),Supuestos!$D$6+SQRT(C220*(Supuestos!$F$6-Supuestos!$D$6)*(Supuestos!$E$6-Supuestos!$D$6)),Supuestos!$F$6-SQRT((1-C220)*(Supuestos!$F$6-Supuestos!$D$6)*(Supuestos!$F$6-Supuestos!$E$6))),IF(Supuestos!$C$6="Uniforme",Supuestos!$D$6+C220*(Supuestos!$E$6-Supuestos!$D$6),IF(Supuestos!$C$6="Lognormal",LOGINV(C220,LN(Supuestos!$D$6)-LN(1+Supuestos!$E$6^2/Supuestos!$D$6^2)/2,SQRT(LN(1+Supuestos!$E$6^2/Supuestos!$D$6^2))),Supuestos!$D$6))))))</f>
        <v/>
      </c>
      <c r="K220" s="32">
        <f>MIN(IF(Supuestos!$H$7="",1E+99,Supuestos!$H$7),MAX(IF(Supuestos!$G$7="",-1E+99,Supuestos!$G$7),IF(Supuestos!$C$7="Normal",NORMINV(D220,Supuestos!$D$7,Supuestos!$E$7),IF(Supuestos!$C$7="Triangular",IF(D220&lt;(Supuestos!$E$7-Supuestos!$D$7)/(Supuestos!$F$7-Supuestos!$D$7),Supuestos!$D$7+SQRT(D220*(Supuestos!$F$7-Supuestos!$D$7)*(Supuestos!$E$7-Supuestos!$D$7)),Supuestos!$F$7-SQRT((1-D220)*(Supuestos!$F$7-Supuestos!$D$7)*(Supuestos!$F$7-Supuestos!$E$7))),IF(Supuestos!$C$7="Uniforme",Supuestos!$D$7+D220*(Supuestos!$E$7-Supuestos!$D$7),IF(Supuestos!$C$7="Lognormal",LOGINV(D220,LN(Supuestos!$D$7)-LN(1+Supuestos!$E$7^2/Supuestos!$D$7^2)/2,SQRT(LN(1+Supuestos!$E$7^2/Supuestos!$D$7^2))),Supuestos!$D$7))))))</f>
        <v/>
      </c>
      <c r="L220" s="32">
        <f>MIN(IF(Supuestos!$H$8="",1E+99,Supuestos!$H$8),MAX(IF(Supuestos!$G$8="",-1E+99,Supuestos!$G$8),IF(Supuestos!$C$8="Normal",NORMINV(E220,Supuestos!$D$8,Supuestos!$E$8),IF(Supuestos!$C$8="Triangular",IF(E220&lt;(Supuestos!$E$8-Supuestos!$D$8)/(Supuestos!$F$8-Supuestos!$D$8),Supuestos!$D$8+SQRT(E220*(Supuestos!$F$8-Supuestos!$D$8)*(Supuestos!$E$8-Supuestos!$D$8)),Supuestos!$F$8-SQRT((1-E220)*(Supuestos!$F$8-Supuestos!$D$8)*(Supuestos!$F$8-Supuestos!$E$8))),IF(Supuestos!$C$8="Uniforme",Supuestos!$D$8+E220*(Supuestos!$E$8-Supuestos!$D$8),IF(Supuestos!$C$8="Lognormal",LOGINV(E220,LN(Supuestos!$D$8)-LN(1+Supuestos!$E$8^2/Supuestos!$D$8^2)/2,SQRT(LN(1+Supuestos!$E$8^2/Supuestos!$D$8^2))),Supuestos!$D$8))))))</f>
        <v/>
      </c>
      <c r="M220" s="32">
        <f>MIN(IF(Supuestos!$H$9="",1E+99,Supuestos!$H$9),MAX(IF(Supuestos!$G$9="",-1E+99,Supuestos!$G$9),IF(Supuestos!$C$9="Normal",NORMINV(F220,Supuestos!$D$9,Supuestos!$E$9),IF(Supuestos!$C$9="Triangular",IF(F220&lt;(Supuestos!$E$9-Supuestos!$D$9)/(Supuestos!$F$9-Supuestos!$D$9),Supuestos!$D$9+SQRT(F220*(Supuestos!$F$9-Supuestos!$D$9)*(Supuestos!$E$9-Supuestos!$D$9)),Supuestos!$F$9-SQRT((1-F220)*(Supuestos!$F$9-Supuestos!$D$9)*(Supuestos!$F$9-Supuestos!$E$9))),IF(Supuestos!$C$9="Uniforme",Supuestos!$D$9+F220*(Supuestos!$E$9-Supuestos!$D$9),IF(Supuestos!$C$9="Lognormal",LOGINV(F220,LN(Supuestos!$D$9)-LN(1+Supuestos!$E$9^2/Supuestos!$D$9^2)/2,SQRT(LN(1+Supuestos!$E$9^2/Supuestos!$D$9^2))),Supuestos!$D$9))))))</f>
        <v/>
      </c>
      <c r="N220" s="32">
        <f>MIN(IF(Supuestos!$H$10="",1E+99,Supuestos!$H$10),MAX(IF(Supuestos!$G$10="",-1E+99,Supuestos!$G$10),IF(Supuestos!$C$10="Normal",NORMINV(G220,Supuestos!$D$10,Supuestos!$E$10),IF(Supuestos!$C$10="Triangular",IF(G220&lt;(Supuestos!$E$10-Supuestos!$D$10)/(Supuestos!$F$10-Supuestos!$D$10),Supuestos!$D$10+SQRT(G220*(Supuestos!$F$10-Supuestos!$D$10)*(Supuestos!$E$10-Supuestos!$D$10)),Supuestos!$F$10-SQRT((1-G220)*(Supuestos!$F$10-Supuestos!$D$10)*(Supuestos!$F$10-Supuestos!$E$10))),IF(Supuestos!$C$10="Uniforme",Supuestos!$D$10+G220*(Supuestos!$E$10-Supuestos!$D$10),IF(Supuestos!$C$10="Lognormal",LOGINV(G220,LN(Supuestos!$D$10)-LN(1+Supuestos!$E$10^2/Supuestos!$D$10^2)/2,SQRT(LN(1+Supuestos!$E$10^2/Supuestos!$D$10^2))),Supuestos!$D$10))))))</f>
        <v/>
      </c>
      <c r="O220" s="31">
        <f>MIN(IF(Supuestos!$H$11="",1E+99,Supuestos!$H$11),MAX(IF(Supuestos!$G$11="",-1E+99,Supuestos!$G$11),IF(Supuestos!$C$11="Normal",NORMINV(H220,Supuestos!$D$11,Supuestos!$E$11),IF(Supuestos!$C$11="Triangular",IF(H220&lt;(Supuestos!$E$11-Supuestos!$D$11)/(Supuestos!$F$11-Supuestos!$D$11),Supuestos!$D$11+SQRT(H220*(Supuestos!$F$11-Supuestos!$D$11)*(Supuestos!$E$11-Supuestos!$D$11)),Supuestos!$F$11-SQRT((1-H220)*(Supuestos!$F$11-Supuestos!$D$11)*(Supuestos!$F$11-Supuestos!$E$11))),IF(Supuestos!$C$11="Uniforme",Supuestos!$D$11+H220*(Supuestos!$E$11-Supuestos!$D$11),IF(Supuestos!$C$11="Lognormal",LOGINV(H220,LN(Supuestos!$D$11)-LN(1+Supuestos!$E$11^2/Supuestos!$D$11^2)/2,SQRT(LN(1+Supuestos!$E$11^2/Supuestos!$D$11^2))),Supuestos!$D$11))))))</f>
        <v/>
      </c>
      <c r="P220" s="33">
        <f>-I220</f>
        <v/>
      </c>
      <c r="Q220" s="33">
        <f>$J220*(1+$K220)^(1-1)*(1-$L220)*(1-$M220)</f>
        <v/>
      </c>
      <c r="R220" s="33">
        <f>$J220*(1+$K220)^(2-1)*(1-$L220)*(1-$M220)</f>
        <v/>
      </c>
      <c r="S220" s="33">
        <f>$J220*(1+$K220)^(3-1)*(1-$L220)*(1-$M220)</f>
        <v/>
      </c>
      <c r="T220" s="33">
        <f>$J220*(1+$K220)^(4-1)*(1-$L220)*(1-$M220)</f>
        <v/>
      </c>
      <c r="U220" s="33">
        <f>$J220*(1+$K220)^(5-1)*(1-$L220)*(1-$M220)+$O220</f>
        <v/>
      </c>
      <c r="V220" s="33">
        <f>P220+NPV($N220,Q220:U220)</f>
        <v/>
      </c>
      <c r="W220" s="32">
        <f>IFERROR(IRR(P220:U220,0.1),"")</f>
        <v/>
      </c>
    </row>
    <row r="221">
      <c r="A221" s="14" t="n">
        <v>217</v>
      </c>
      <c r="B221" s="30">
        <f>RAND()*(1-2E-6)+1E-6</f>
        <v/>
      </c>
      <c r="C221" s="30">
        <f>RAND()*(1-2E-6)+1E-6</f>
        <v/>
      </c>
      <c r="D221" s="30">
        <f>RAND()*(1-2E-6)+1E-6</f>
        <v/>
      </c>
      <c r="E221" s="30">
        <f>RAND()*(1-2E-6)+1E-6</f>
        <v/>
      </c>
      <c r="F221" s="30">
        <f>RAND()*(1-2E-6)+1E-6</f>
        <v/>
      </c>
      <c r="G221" s="30">
        <f>RAND()*(1-2E-6)+1E-6</f>
        <v/>
      </c>
      <c r="H221" s="30">
        <f>RAND()*(1-2E-6)+1E-6</f>
        <v/>
      </c>
      <c r="I221" s="31">
        <f>MIN(IF(Supuestos!$H$5="",1E+99,Supuestos!$H$5),MAX(IF(Supuestos!$G$5="",-1E+99,Supuestos!$G$5),IF(Supuestos!$C$5="Normal",NORMINV(B221,Supuestos!$D$5,Supuestos!$E$5),IF(Supuestos!$C$5="Triangular",IF(B221&lt;(Supuestos!$E$5-Supuestos!$D$5)/(Supuestos!$F$5-Supuestos!$D$5),Supuestos!$D$5+SQRT(B221*(Supuestos!$F$5-Supuestos!$D$5)*(Supuestos!$E$5-Supuestos!$D$5)),Supuestos!$F$5-SQRT((1-B221)*(Supuestos!$F$5-Supuestos!$D$5)*(Supuestos!$F$5-Supuestos!$E$5))),IF(Supuestos!$C$5="Uniforme",Supuestos!$D$5+B221*(Supuestos!$E$5-Supuestos!$D$5),IF(Supuestos!$C$5="Lognormal",LOGINV(B221,LN(Supuestos!$D$5)-LN(1+Supuestos!$E$5^2/Supuestos!$D$5^2)/2,SQRT(LN(1+Supuestos!$E$5^2/Supuestos!$D$5^2))),Supuestos!$D$5))))))</f>
        <v/>
      </c>
      <c r="J221" s="31">
        <f>MIN(IF(Supuestos!$H$6="",1E+99,Supuestos!$H$6),MAX(IF(Supuestos!$G$6="",-1E+99,Supuestos!$G$6),IF(Supuestos!$C$6="Normal",NORMINV(C221,Supuestos!$D$6,Supuestos!$E$6),IF(Supuestos!$C$6="Triangular",IF(C221&lt;(Supuestos!$E$6-Supuestos!$D$6)/(Supuestos!$F$6-Supuestos!$D$6),Supuestos!$D$6+SQRT(C221*(Supuestos!$F$6-Supuestos!$D$6)*(Supuestos!$E$6-Supuestos!$D$6)),Supuestos!$F$6-SQRT((1-C221)*(Supuestos!$F$6-Supuestos!$D$6)*(Supuestos!$F$6-Supuestos!$E$6))),IF(Supuestos!$C$6="Uniforme",Supuestos!$D$6+C221*(Supuestos!$E$6-Supuestos!$D$6),IF(Supuestos!$C$6="Lognormal",LOGINV(C221,LN(Supuestos!$D$6)-LN(1+Supuestos!$E$6^2/Supuestos!$D$6^2)/2,SQRT(LN(1+Supuestos!$E$6^2/Supuestos!$D$6^2))),Supuestos!$D$6))))))</f>
        <v/>
      </c>
      <c r="K221" s="32">
        <f>MIN(IF(Supuestos!$H$7="",1E+99,Supuestos!$H$7),MAX(IF(Supuestos!$G$7="",-1E+99,Supuestos!$G$7),IF(Supuestos!$C$7="Normal",NORMINV(D221,Supuestos!$D$7,Supuestos!$E$7),IF(Supuestos!$C$7="Triangular",IF(D221&lt;(Supuestos!$E$7-Supuestos!$D$7)/(Supuestos!$F$7-Supuestos!$D$7),Supuestos!$D$7+SQRT(D221*(Supuestos!$F$7-Supuestos!$D$7)*(Supuestos!$E$7-Supuestos!$D$7)),Supuestos!$F$7-SQRT((1-D221)*(Supuestos!$F$7-Supuestos!$D$7)*(Supuestos!$F$7-Supuestos!$E$7))),IF(Supuestos!$C$7="Uniforme",Supuestos!$D$7+D221*(Supuestos!$E$7-Supuestos!$D$7),IF(Supuestos!$C$7="Lognormal",LOGINV(D221,LN(Supuestos!$D$7)-LN(1+Supuestos!$E$7^2/Supuestos!$D$7^2)/2,SQRT(LN(1+Supuestos!$E$7^2/Supuestos!$D$7^2))),Supuestos!$D$7))))))</f>
        <v/>
      </c>
      <c r="L221" s="32">
        <f>MIN(IF(Supuestos!$H$8="",1E+99,Supuestos!$H$8),MAX(IF(Supuestos!$G$8="",-1E+99,Supuestos!$G$8),IF(Supuestos!$C$8="Normal",NORMINV(E221,Supuestos!$D$8,Supuestos!$E$8),IF(Supuestos!$C$8="Triangular",IF(E221&lt;(Supuestos!$E$8-Supuestos!$D$8)/(Supuestos!$F$8-Supuestos!$D$8),Supuestos!$D$8+SQRT(E221*(Supuestos!$F$8-Supuestos!$D$8)*(Supuestos!$E$8-Supuestos!$D$8)),Supuestos!$F$8-SQRT((1-E221)*(Supuestos!$F$8-Supuestos!$D$8)*(Supuestos!$F$8-Supuestos!$E$8))),IF(Supuestos!$C$8="Uniforme",Supuestos!$D$8+E221*(Supuestos!$E$8-Supuestos!$D$8),IF(Supuestos!$C$8="Lognormal",LOGINV(E221,LN(Supuestos!$D$8)-LN(1+Supuestos!$E$8^2/Supuestos!$D$8^2)/2,SQRT(LN(1+Supuestos!$E$8^2/Supuestos!$D$8^2))),Supuestos!$D$8))))))</f>
        <v/>
      </c>
      <c r="M221" s="32">
        <f>MIN(IF(Supuestos!$H$9="",1E+99,Supuestos!$H$9),MAX(IF(Supuestos!$G$9="",-1E+99,Supuestos!$G$9),IF(Supuestos!$C$9="Normal",NORMINV(F221,Supuestos!$D$9,Supuestos!$E$9),IF(Supuestos!$C$9="Triangular",IF(F221&lt;(Supuestos!$E$9-Supuestos!$D$9)/(Supuestos!$F$9-Supuestos!$D$9),Supuestos!$D$9+SQRT(F221*(Supuestos!$F$9-Supuestos!$D$9)*(Supuestos!$E$9-Supuestos!$D$9)),Supuestos!$F$9-SQRT((1-F221)*(Supuestos!$F$9-Supuestos!$D$9)*(Supuestos!$F$9-Supuestos!$E$9))),IF(Supuestos!$C$9="Uniforme",Supuestos!$D$9+F221*(Supuestos!$E$9-Supuestos!$D$9),IF(Supuestos!$C$9="Lognormal",LOGINV(F221,LN(Supuestos!$D$9)-LN(1+Supuestos!$E$9^2/Supuestos!$D$9^2)/2,SQRT(LN(1+Supuestos!$E$9^2/Supuestos!$D$9^2))),Supuestos!$D$9))))))</f>
        <v/>
      </c>
      <c r="N221" s="32">
        <f>MIN(IF(Supuestos!$H$10="",1E+99,Supuestos!$H$10),MAX(IF(Supuestos!$G$10="",-1E+99,Supuestos!$G$10),IF(Supuestos!$C$10="Normal",NORMINV(G221,Supuestos!$D$10,Supuestos!$E$10),IF(Supuestos!$C$10="Triangular",IF(G221&lt;(Supuestos!$E$10-Supuestos!$D$10)/(Supuestos!$F$10-Supuestos!$D$10),Supuestos!$D$10+SQRT(G221*(Supuestos!$F$10-Supuestos!$D$10)*(Supuestos!$E$10-Supuestos!$D$10)),Supuestos!$F$10-SQRT((1-G221)*(Supuestos!$F$10-Supuestos!$D$10)*(Supuestos!$F$10-Supuestos!$E$10))),IF(Supuestos!$C$10="Uniforme",Supuestos!$D$10+G221*(Supuestos!$E$10-Supuestos!$D$10),IF(Supuestos!$C$10="Lognormal",LOGINV(G221,LN(Supuestos!$D$10)-LN(1+Supuestos!$E$10^2/Supuestos!$D$10^2)/2,SQRT(LN(1+Supuestos!$E$10^2/Supuestos!$D$10^2))),Supuestos!$D$10))))))</f>
        <v/>
      </c>
      <c r="O221" s="31">
        <f>MIN(IF(Supuestos!$H$11="",1E+99,Supuestos!$H$11),MAX(IF(Supuestos!$G$11="",-1E+99,Supuestos!$G$11),IF(Supuestos!$C$11="Normal",NORMINV(H221,Supuestos!$D$11,Supuestos!$E$11),IF(Supuestos!$C$11="Triangular",IF(H221&lt;(Supuestos!$E$11-Supuestos!$D$11)/(Supuestos!$F$11-Supuestos!$D$11),Supuestos!$D$11+SQRT(H221*(Supuestos!$F$11-Supuestos!$D$11)*(Supuestos!$E$11-Supuestos!$D$11)),Supuestos!$F$11-SQRT((1-H221)*(Supuestos!$F$11-Supuestos!$D$11)*(Supuestos!$F$11-Supuestos!$E$11))),IF(Supuestos!$C$11="Uniforme",Supuestos!$D$11+H221*(Supuestos!$E$11-Supuestos!$D$11),IF(Supuestos!$C$11="Lognormal",LOGINV(H221,LN(Supuestos!$D$11)-LN(1+Supuestos!$E$11^2/Supuestos!$D$11^2)/2,SQRT(LN(1+Supuestos!$E$11^2/Supuestos!$D$11^2))),Supuestos!$D$11))))))</f>
        <v/>
      </c>
      <c r="P221" s="33">
        <f>-I221</f>
        <v/>
      </c>
      <c r="Q221" s="33">
        <f>$J221*(1+$K221)^(1-1)*(1-$L221)*(1-$M221)</f>
        <v/>
      </c>
      <c r="R221" s="33">
        <f>$J221*(1+$K221)^(2-1)*(1-$L221)*(1-$M221)</f>
        <v/>
      </c>
      <c r="S221" s="33">
        <f>$J221*(1+$K221)^(3-1)*(1-$L221)*(1-$M221)</f>
        <v/>
      </c>
      <c r="T221" s="33">
        <f>$J221*(1+$K221)^(4-1)*(1-$L221)*(1-$M221)</f>
        <v/>
      </c>
      <c r="U221" s="33">
        <f>$J221*(1+$K221)^(5-1)*(1-$L221)*(1-$M221)+$O221</f>
        <v/>
      </c>
      <c r="V221" s="33">
        <f>P221+NPV($N221,Q221:U221)</f>
        <v/>
      </c>
      <c r="W221" s="32">
        <f>IFERROR(IRR(P221:U221,0.1),"")</f>
        <v/>
      </c>
    </row>
    <row r="222">
      <c r="A222" s="14" t="n">
        <v>218</v>
      </c>
      <c r="B222" s="30">
        <f>RAND()*(1-2E-6)+1E-6</f>
        <v/>
      </c>
      <c r="C222" s="30">
        <f>RAND()*(1-2E-6)+1E-6</f>
        <v/>
      </c>
      <c r="D222" s="30">
        <f>RAND()*(1-2E-6)+1E-6</f>
        <v/>
      </c>
      <c r="E222" s="30">
        <f>RAND()*(1-2E-6)+1E-6</f>
        <v/>
      </c>
      <c r="F222" s="30">
        <f>RAND()*(1-2E-6)+1E-6</f>
        <v/>
      </c>
      <c r="G222" s="30">
        <f>RAND()*(1-2E-6)+1E-6</f>
        <v/>
      </c>
      <c r="H222" s="30">
        <f>RAND()*(1-2E-6)+1E-6</f>
        <v/>
      </c>
      <c r="I222" s="31">
        <f>MIN(IF(Supuestos!$H$5="",1E+99,Supuestos!$H$5),MAX(IF(Supuestos!$G$5="",-1E+99,Supuestos!$G$5),IF(Supuestos!$C$5="Normal",NORMINV(B222,Supuestos!$D$5,Supuestos!$E$5),IF(Supuestos!$C$5="Triangular",IF(B222&lt;(Supuestos!$E$5-Supuestos!$D$5)/(Supuestos!$F$5-Supuestos!$D$5),Supuestos!$D$5+SQRT(B222*(Supuestos!$F$5-Supuestos!$D$5)*(Supuestos!$E$5-Supuestos!$D$5)),Supuestos!$F$5-SQRT((1-B222)*(Supuestos!$F$5-Supuestos!$D$5)*(Supuestos!$F$5-Supuestos!$E$5))),IF(Supuestos!$C$5="Uniforme",Supuestos!$D$5+B222*(Supuestos!$E$5-Supuestos!$D$5),IF(Supuestos!$C$5="Lognormal",LOGINV(B222,LN(Supuestos!$D$5)-LN(1+Supuestos!$E$5^2/Supuestos!$D$5^2)/2,SQRT(LN(1+Supuestos!$E$5^2/Supuestos!$D$5^2))),Supuestos!$D$5))))))</f>
        <v/>
      </c>
      <c r="J222" s="31">
        <f>MIN(IF(Supuestos!$H$6="",1E+99,Supuestos!$H$6),MAX(IF(Supuestos!$G$6="",-1E+99,Supuestos!$G$6),IF(Supuestos!$C$6="Normal",NORMINV(C222,Supuestos!$D$6,Supuestos!$E$6),IF(Supuestos!$C$6="Triangular",IF(C222&lt;(Supuestos!$E$6-Supuestos!$D$6)/(Supuestos!$F$6-Supuestos!$D$6),Supuestos!$D$6+SQRT(C222*(Supuestos!$F$6-Supuestos!$D$6)*(Supuestos!$E$6-Supuestos!$D$6)),Supuestos!$F$6-SQRT((1-C222)*(Supuestos!$F$6-Supuestos!$D$6)*(Supuestos!$F$6-Supuestos!$E$6))),IF(Supuestos!$C$6="Uniforme",Supuestos!$D$6+C222*(Supuestos!$E$6-Supuestos!$D$6),IF(Supuestos!$C$6="Lognormal",LOGINV(C222,LN(Supuestos!$D$6)-LN(1+Supuestos!$E$6^2/Supuestos!$D$6^2)/2,SQRT(LN(1+Supuestos!$E$6^2/Supuestos!$D$6^2))),Supuestos!$D$6))))))</f>
        <v/>
      </c>
      <c r="K222" s="32">
        <f>MIN(IF(Supuestos!$H$7="",1E+99,Supuestos!$H$7),MAX(IF(Supuestos!$G$7="",-1E+99,Supuestos!$G$7),IF(Supuestos!$C$7="Normal",NORMINV(D222,Supuestos!$D$7,Supuestos!$E$7),IF(Supuestos!$C$7="Triangular",IF(D222&lt;(Supuestos!$E$7-Supuestos!$D$7)/(Supuestos!$F$7-Supuestos!$D$7),Supuestos!$D$7+SQRT(D222*(Supuestos!$F$7-Supuestos!$D$7)*(Supuestos!$E$7-Supuestos!$D$7)),Supuestos!$F$7-SQRT((1-D222)*(Supuestos!$F$7-Supuestos!$D$7)*(Supuestos!$F$7-Supuestos!$E$7))),IF(Supuestos!$C$7="Uniforme",Supuestos!$D$7+D222*(Supuestos!$E$7-Supuestos!$D$7),IF(Supuestos!$C$7="Lognormal",LOGINV(D222,LN(Supuestos!$D$7)-LN(1+Supuestos!$E$7^2/Supuestos!$D$7^2)/2,SQRT(LN(1+Supuestos!$E$7^2/Supuestos!$D$7^2))),Supuestos!$D$7))))))</f>
        <v/>
      </c>
      <c r="L222" s="32">
        <f>MIN(IF(Supuestos!$H$8="",1E+99,Supuestos!$H$8),MAX(IF(Supuestos!$G$8="",-1E+99,Supuestos!$G$8),IF(Supuestos!$C$8="Normal",NORMINV(E222,Supuestos!$D$8,Supuestos!$E$8),IF(Supuestos!$C$8="Triangular",IF(E222&lt;(Supuestos!$E$8-Supuestos!$D$8)/(Supuestos!$F$8-Supuestos!$D$8),Supuestos!$D$8+SQRT(E222*(Supuestos!$F$8-Supuestos!$D$8)*(Supuestos!$E$8-Supuestos!$D$8)),Supuestos!$F$8-SQRT((1-E222)*(Supuestos!$F$8-Supuestos!$D$8)*(Supuestos!$F$8-Supuestos!$E$8))),IF(Supuestos!$C$8="Uniforme",Supuestos!$D$8+E222*(Supuestos!$E$8-Supuestos!$D$8),IF(Supuestos!$C$8="Lognormal",LOGINV(E222,LN(Supuestos!$D$8)-LN(1+Supuestos!$E$8^2/Supuestos!$D$8^2)/2,SQRT(LN(1+Supuestos!$E$8^2/Supuestos!$D$8^2))),Supuestos!$D$8))))))</f>
        <v/>
      </c>
      <c r="M222" s="32">
        <f>MIN(IF(Supuestos!$H$9="",1E+99,Supuestos!$H$9),MAX(IF(Supuestos!$G$9="",-1E+99,Supuestos!$G$9),IF(Supuestos!$C$9="Normal",NORMINV(F222,Supuestos!$D$9,Supuestos!$E$9),IF(Supuestos!$C$9="Triangular",IF(F222&lt;(Supuestos!$E$9-Supuestos!$D$9)/(Supuestos!$F$9-Supuestos!$D$9),Supuestos!$D$9+SQRT(F222*(Supuestos!$F$9-Supuestos!$D$9)*(Supuestos!$E$9-Supuestos!$D$9)),Supuestos!$F$9-SQRT((1-F222)*(Supuestos!$F$9-Supuestos!$D$9)*(Supuestos!$F$9-Supuestos!$E$9))),IF(Supuestos!$C$9="Uniforme",Supuestos!$D$9+F222*(Supuestos!$E$9-Supuestos!$D$9),IF(Supuestos!$C$9="Lognormal",LOGINV(F222,LN(Supuestos!$D$9)-LN(1+Supuestos!$E$9^2/Supuestos!$D$9^2)/2,SQRT(LN(1+Supuestos!$E$9^2/Supuestos!$D$9^2))),Supuestos!$D$9))))))</f>
        <v/>
      </c>
      <c r="N222" s="32">
        <f>MIN(IF(Supuestos!$H$10="",1E+99,Supuestos!$H$10),MAX(IF(Supuestos!$G$10="",-1E+99,Supuestos!$G$10),IF(Supuestos!$C$10="Normal",NORMINV(G222,Supuestos!$D$10,Supuestos!$E$10),IF(Supuestos!$C$10="Triangular",IF(G222&lt;(Supuestos!$E$10-Supuestos!$D$10)/(Supuestos!$F$10-Supuestos!$D$10),Supuestos!$D$10+SQRT(G222*(Supuestos!$F$10-Supuestos!$D$10)*(Supuestos!$E$10-Supuestos!$D$10)),Supuestos!$F$10-SQRT((1-G222)*(Supuestos!$F$10-Supuestos!$D$10)*(Supuestos!$F$10-Supuestos!$E$10))),IF(Supuestos!$C$10="Uniforme",Supuestos!$D$10+G222*(Supuestos!$E$10-Supuestos!$D$10),IF(Supuestos!$C$10="Lognormal",LOGINV(G222,LN(Supuestos!$D$10)-LN(1+Supuestos!$E$10^2/Supuestos!$D$10^2)/2,SQRT(LN(1+Supuestos!$E$10^2/Supuestos!$D$10^2))),Supuestos!$D$10))))))</f>
        <v/>
      </c>
      <c r="O222" s="31">
        <f>MIN(IF(Supuestos!$H$11="",1E+99,Supuestos!$H$11),MAX(IF(Supuestos!$G$11="",-1E+99,Supuestos!$G$11),IF(Supuestos!$C$11="Normal",NORMINV(H222,Supuestos!$D$11,Supuestos!$E$11),IF(Supuestos!$C$11="Triangular",IF(H222&lt;(Supuestos!$E$11-Supuestos!$D$11)/(Supuestos!$F$11-Supuestos!$D$11),Supuestos!$D$11+SQRT(H222*(Supuestos!$F$11-Supuestos!$D$11)*(Supuestos!$E$11-Supuestos!$D$11)),Supuestos!$F$11-SQRT((1-H222)*(Supuestos!$F$11-Supuestos!$D$11)*(Supuestos!$F$11-Supuestos!$E$11))),IF(Supuestos!$C$11="Uniforme",Supuestos!$D$11+H222*(Supuestos!$E$11-Supuestos!$D$11),IF(Supuestos!$C$11="Lognormal",LOGINV(H222,LN(Supuestos!$D$11)-LN(1+Supuestos!$E$11^2/Supuestos!$D$11^2)/2,SQRT(LN(1+Supuestos!$E$11^2/Supuestos!$D$11^2))),Supuestos!$D$11))))))</f>
        <v/>
      </c>
      <c r="P222" s="33">
        <f>-I222</f>
        <v/>
      </c>
      <c r="Q222" s="33">
        <f>$J222*(1+$K222)^(1-1)*(1-$L222)*(1-$M222)</f>
        <v/>
      </c>
      <c r="R222" s="33">
        <f>$J222*(1+$K222)^(2-1)*(1-$L222)*(1-$M222)</f>
        <v/>
      </c>
      <c r="S222" s="33">
        <f>$J222*(1+$K222)^(3-1)*(1-$L222)*(1-$M222)</f>
        <v/>
      </c>
      <c r="T222" s="33">
        <f>$J222*(1+$K222)^(4-1)*(1-$L222)*(1-$M222)</f>
        <v/>
      </c>
      <c r="U222" s="33">
        <f>$J222*(1+$K222)^(5-1)*(1-$L222)*(1-$M222)+$O222</f>
        <v/>
      </c>
      <c r="V222" s="33">
        <f>P222+NPV($N222,Q222:U222)</f>
        <v/>
      </c>
      <c r="W222" s="32">
        <f>IFERROR(IRR(P222:U222,0.1),"")</f>
        <v/>
      </c>
    </row>
    <row r="223">
      <c r="A223" s="14" t="n">
        <v>219</v>
      </c>
      <c r="B223" s="30">
        <f>RAND()*(1-2E-6)+1E-6</f>
        <v/>
      </c>
      <c r="C223" s="30">
        <f>RAND()*(1-2E-6)+1E-6</f>
        <v/>
      </c>
      <c r="D223" s="30">
        <f>RAND()*(1-2E-6)+1E-6</f>
        <v/>
      </c>
      <c r="E223" s="30">
        <f>RAND()*(1-2E-6)+1E-6</f>
        <v/>
      </c>
      <c r="F223" s="30">
        <f>RAND()*(1-2E-6)+1E-6</f>
        <v/>
      </c>
      <c r="G223" s="30">
        <f>RAND()*(1-2E-6)+1E-6</f>
        <v/>
      </c>
      <c r="H223" s="30">
        <f>RAND()*(1-2E-6)+1E-6</f>
        <v/>
      </c>
      <c r="I223" s="31">
        <f>MIN(IF(Supuestos!$H$5="",1E+99,Supuestos!$H$5),MAX(IF(Supuestos!$G$5="",-1E+99,Supuestos!$G$5),IF(Supuestos!$C$5="Normal",NORMINV(B223,Supuestos!$D$5,Supuestos!$E$5),IF(Supuestos!$C$5="Triangular",IF(B223&lt;(Supuestos!$E$5-Supuestos!$D$5)/(Supuestos!$F$5-Supuestos!$D$5),Supuestos!$D$5+SQRT(B223*(Supuestos!$F$5-Supuestos!$D$5)*(Supuestos!$E$5-Supuestos!$D$5)),Supuestos!$F$5-SQRT((1-B223)*(Supuestos!$F$5-Supuestos!$D$5)*(Supuestos!$F$5-Supuestos!$E$5))),IF(Supuestos!$C$5="Uniforme",Supuestos!$D$5+B223*(Supuestos!$E$5-Supuestos!$D$5),IF(Supuestos!$C$5="Lognormal",LOGINV(B223,LN(Supuestos!$D$5)-LN(1+Supuestos!$E$5^2/Supuestos!$D$5^2)/2,SQRT(LN(1+Supuestos!$E$5^2/Supuestos!$D$5^2))),Supuestos!$D$5))))))</f>
        <v/>
      </c>
      <c r="J223" s="31">
        <f>MIN(IF(Supuestos!$H$6="",1E+99,Supuestos!$H$6),MAX(IF(Supuestos!$G$6="",-1E+99,Supuestos!$G$6),IF(Supuestos!$C$6="Normal",NORMINV(C223,Supuestos!$D$6,Supuestos!$E$6),IF(Supuestos!$C$6="Triangular",IF(C223&lt;(Supuestos!$E$6-Supuestos!$D$6)/(Supuestos!$F$6-Supuestos!$D$6),Supuestos!$D$6+SQRT(C223*(Supuestos!$F$6-Supuestos!$D$6)*(Supuestos!$E$6-Supuestos!$D$6)),Supuestos!$F$6-SQRT((1-C223)*(Supuestos!$F$6-Supuestos!$D$6)*(Supuestos!$F$6-Supuestos!$E$6))),IF(Supuestos!$C$6="Uniforme",Supuestos!$D$6+C223*(Supuestos!$E$6-Supuestos!$D$6),IF(Supuestos!$C$6="Lognormal",LOGINV(C223,LN(Supuestos!$D$6)-LN(1+Supuestos!$E$6^2/Supuestos!$D$6^2)/2,SQRT(LN(1+Supuestos!$E$6^2/Supuestos!$D$6^2))),Supuestos!$D$6))))))</f>
        <v/>
      </c>
      <c r="K223" s="32">
        <f>MIN(IF(Supuestos!$H$7="",1E+99,Supuestos!$H$7),MAX(IF(Supuestos!$G$7="",-1E+99,Supuestos!$G$7),IF(Supuestos!$C$7="Normal",NORMINV(D223,Supuestos!$D$7,Supuestos!$E$7),IF(Supuestos!$C$7="Triangular",IF(D223&lt;(Supuestos!$E$7-Supuestos!$D$7)/(Supuestos!$F$7-Supuestos!$D$7),Supuestos!$D$7+SQRT(D223*(Supuestos!$F$7-Supuestos!$D$7)*(Supuestos!$E$7-Supuestos!$D$7)),Supuestos!$F$7-SQRT((1-D223)*(Supuestos!$F$7-Supuestos!$D$7)*(Supuestos!$F$7-Supuestos!$E$7))),IF(Supuestos!$C$7="Uniforme",Supuestos!$D$7+D223*(Supuestos!$E$7-Supuestos!$D$7),IF(Supuestos!$C$7="Lognormal",LOGINV(D223,LN(Supuestos!$D$7)-LN(1+Supuestos!$E$7^2/Supuestos!$D$7^2)/2,SQRT(LN(1+Supuestos!$E$7^2/Supuestos!$D$7^2))),Supuestos!$D$7))))))</f>
        <v/>
      </c>
      <c r="L223" s="32">
        <f>MIN(IF(Supuestos!$H$8="",1E+99,Supuestos!$H$8),MAX(IF(Supuestos!$G$8="",-1E+99,Supuestos!$G$8),IF(Supuestos!$C$8="Normal",NORMINV(E223,Supuestos!$D$8,Supuestos!$E$8),IF(Supuestos!$C$8="Triangular",IF(E223&lt;(Supuestos!$E$8-Supuestos!$D$8)/(Supuestos!$F$8-Supuestos!$D$8),Supuestos!$D$8+SQRT(E223*(Supuestos!$F$8-Supuestos!$D$8)*(Supuestos!$E$8-Supuestos!$D$8)),Supuestos!$F$8-SQRT((1-E223)*(Supuestos!$F$8-Supuestos!$D$8)*(Supuestos!$F$8-Supuestos!$E$8))),IF(Supuestos!$C$8="Uniforme",Supuestos!$D$8+E223*(Supuestos!$E$8-Supuestos!$D$8),IF(Supuestos!$C$8="Lognormal",LOGINV(E223,LN(Supuestos!$D$8)-LN(1+Supuestos!$E$8^2/Supuestos!$D$8^2)/2,SQRT(LN(1+Supuestos!$E$8^2/Supuestos!$D$8^2))),Supuestos!$D$8))))))</f>
        <v/>
      </c>
      <c r="M223" s="32">
        <f>MIN(IF(Supuestos!$H$9="",1E+99,Supuestos!$H$9),MAX(IF(Supuestos!$G$9="",-1E+99,Supuestos!$G$9),IF(Supuestos!$C$9="Normal",NORMINV(F223,Supuestos!$D$9,Supuestos!$E$9),IF(Supuestos!$C$9="Triangular",IF(F223&lt;(Supuestos!$E$9-Supuestos!$D$9)/(Supuestos!$F$9-Supuestos!$D$9),Supuestos!$D$9+SQRT(F223*(Supuestos!$F$9-Supuestos!$D$9)*(Supuestos!$E$9-Supuestos!$D$9)),Supuestos!$F$9-SQRT((1-F223)*(Supuestos!$F$9-Supuestos!$D$9)*(Supuestos!$F$9-Supuestos!$E$9))),IF(Supuestos!$C$9="Uniforme",Supuestos!$D$9+F223*(Supuestos!$E$9-Supuestos!$D$9),IF(Supuestos!$C$9="Lognormal",LOGINV(F223,LN(Supuestos!$D$9)-LN(1+Supuestos!$E$9^2/Supuestos!$D$9^2)/2,SQRT(LN(1+Supuestos!$E$9^2/Supuestos!$D$9^2))),Supuestos!$D$9))))))</f>
        <v/>
      </c>
      <c r="N223" s="32">
        <f>MIN(IF(Supuestos!$H$10="",1E+99,Supuestos!$H$10),MAX(IF(Supuestos!$G$10="",-1E+99,Supuestos!$G$10),IF(Supuestos!$C$10="Normal",NORMINV(G223,Supuestos!$D$10,Supuestos!$E$10),IF(Supuestos!$C$10="Triangular",IF(G223&lt;(Supuestos!$E$10-Supuestos!$D$10)/(Supuestos!$F$10-Supuestos!$D$10),Supuestos!$D$10+SQRT(G223*(Supuestos!$F$10-Supuestos!$D$10)*(Supuestos!$E$10-Supuestos!$D$10)),Supuestos!$F$10-SQRT((1-G223)*(Supuestos!$F$10-Supuestos!$D$10)*(Supuestos!$F$10-Supuestos!$E$10))),IF(Supuestos!$C$10="Uniforme",Supuestos!$D$10+G223*(Supuestos!$E$10-Supuestos!$D$10),IF(Supuestos!$C$10="Lognormal",LOGINV(G223,LN(Supuestos!$D$10)-LN(1+Supuestos!$E$10^2/Supuestos!$D$10^2)/2,SQRT(LN(1+Supuestos!$E$10^2/Supuestos!$D$10^2))),Supuestos!$D$10))))))</f>
        <v/>
      </c>
      <c r="O223" s="31">
        <f>MIN(IF(Supuestos!$H$11="",1E+99,Supuestos!$H$11),MAX(IF(Supuestos!$G$11="",-1E+99,Supuestos!$G$11),IF(Supuestos!$C$11="Normal",NORMINV(H223,Supuestos!$D$11,Supuestos!$E$11),IF(Supuestos!$C$11="Triangular",IF(H223&lt;(Supuestos!$E$11-Supuestos!$D$11)/(Supuestos!$F$11-Supuestos!$D$11),Supuestos!$D$11+SQRT(H223*(Supuestos!$F$11-Supuestos!$D$11)*(Supuestos!$E$11-Supuestos!$D$11)),Supuestos!$F$11-SQRT((1-H223)*(Supuestos!$F$11-Supuestos!$D$11)*(Supuestos!$F$11-Supuestos!$E$11))),IF(Supuestos!$C$11="Uniforme",Supuestos!$D$11+H223*(Supuestos!$E$11-Supuestos!$D$11),IF(Supuestos!$C$11="Lognormal",LOGINV(H223,LN(Supuestos!$D$11)-LN(1+Supuestos!$E$11^2/Supuestos!$D$11^2)/2,SQRT(LN(1+Supuestos!$E$11^2/Supuestos!$D$11^2))),Supuestos!$D$11))))))</f>
        <v/>
      </c>
      <c r="P223" s="33">
        <f>-I223</f>
        <v/>
      </c>
      <c r="Q223" s="33">
        <f>$J223*(1+$K223)^(1-1)*(1-$L223)*(1-$M223)</f>
        <v/>
      </c>
      <c r="R223" s="33">
        <f>$J223*(1+$K223)^(2-1)*(1-$L223)*(1-$M223)</f>
        <v/>
      </c>
      <c r="S223" s="33">
        <f>$J223*(1+$K223)^(3-1)*(1-$L223)*(1-$M223)</f>
        <v/>
      </c>
      <c r="T223" s="33">
        <f>$J223*(1+$K223)^(4-1)*(1-$L223)*(1-$M223)</f>
        <v/>
      </c>
      <c r="U223" s="33">
        <f>$J223*(1+$K223)^(5-1)*(1-$L223)*(1-$M223)+$O223</f>
        <v/>
      </c>
      <c r="V223" s="33">
        <f>P223+NPV($N223,Q223:U223)</f>
        <v/>
      </c>
      <c r="W223" s="32">
        <f>IFERROR(IRR(P223:U223,0.1),"")</f>
        <v/>
      </c>
    </row>
    <row r="224">
      <c r="A224" s="14" t="n">
        <v>220</v>
      </c>
      <c r="B224" s="30">
        <f>RAND()*(1-2E-6)+1E-6</f>
        <v/>
      </c>
      <c r="C224" s="30">
        <f>RAND()*(1-2E-6)+1E-6</f>
        <v/>
      </c>
      <c r="D224" s="30">
        <f>RAND()*(1-2E-6)+1E-6</f>
        <v/>
      </c>
      <c r="E224" s="30">
        <f>RAND()*(1-2E-6)+1E-6</f>
        <v/>
      </c>
      <c r="F224" s="30">
        <f>RAND()*(1-2E-6)+1E-6</f>
        <v/>
      </c>
      <c r="G224" s="30">
        <f>RAND()*(1-2E-6)+1E-6</f>
        <v/>
      </c>
      <c r="H224" s="30">
        <f>RAND()*(1-2E-6)+1E-6</f>
        <v/>
      </c>
      <c r="I224" s="31">
        <f>MIN(IF(Supuestos!$H$5="",1E+99,Supuestos!$H$5),MAX(IF(Supuestos!$G$5="",-1E+99,Supuestos!$G$5),IF(Supuestos!$C$5="Normal",NORMINV(B224,Supuestos!$D$5,Supuestos!$E$5),IF(Supuestos!$C$5="Triangular",IF(B224&lt;(Supuestos!$E$5-Supuestos!$D$5)/(Supuestos!$F$5-Supuestos!$D$5),Supuestos!$D$5+SQRT(B224*(Supuestos!$F$5-Supuestos!$D$5)*(Supuestos!$E$5-Supuestos!$D$5)),Supuestos!$F$5-SQRT((1-B224)*(Supuestos!$F$5-Supuestos!$D$5)*(Supuestos!$F$5-Supuestos!$E$5))),IF(Supuestos!$C$5="Uniforme",Supuestos!$D$5+B224*(Supuestos!$E$5-Supuestos!$D$5),IF(Supuestos!$C$5="Lognormal",LOGINV(B224,LN(Supuestos!$D$5)-LN(1+Supuestos!$E$5^2/Supuestos!$D$5^2)/2,SQRT(LN(1+Supuestos!$E$5^2/Supuestos!$D$5^2))),Supuestos!$D$5))))))</f>
        <v/>
      </c>
      <c r="J224" s="31">
        <f>MIN(IF(Supuestos!$H$6="",1E+99,Supuestos!$H$6),MAX(IF(Supuestos!$G$6="",-1E+99,Supuestos!$G$6),IF(Supuestos!$C$6="Normal",NORMINV(C224,Supuestos!$D$6,Supuestos!$E$6),IF(Supuestos!$C$6="Triangular",IF(C224&lt;(Supuestos!$E$6-Supuestos!$D$6)/(Supuestos!$F$6-Supuestos!$D$6),Supuestos!$D$6+SQRT(C224*(Supuestos!$F$6-Supuestos!$D$6)*(Supuestos!$E$6-Supuestos!$D$6)),Supuestos!$F$6-SQRT((1-C224)*(Supuestos!$F$6-Supuestos!$D$6)*(Supuestos!$F$6-Supuestos!$E$6))),IF(Supuestos!$C$6="Uniforme",Supuestos!$D$6+C224*(Supuestos!$E$6-Supuestos!$D$6),IF(Supuestos!$C$6="Lognormal",LOGINV(C224,LN(Supuestos!$D$6)-LN(1+Supuestos!$E$6^2/Supuestos!$D$6^2)/2,SQRT(LN(1+Supuestos!$E$6^2/Supuestos!$D$6^2))),Supuestos!$D$6))))))</f>
        <v/>
      </c>
      <c r="K224" s="32">
        <f>MIN(IF(Supuestos!$H$7="",1E+99,Supuestos!$H$7),MAX(IF(Supuestos!$G$7="",-1E+99,Supuestos!$G$7),IF(Supuestos!$C$7="Normal",NORMINV(D224,Supuestos!$D$7,Supuestos!$E$7),IF(Supuestos!$C$7="Triangular",IF(D224&lt;(Supuestos!$E$7-Supuestos!$D$7)/(Supuestos!$F$7-Supuestos!$D$7),Supuestos!$D$7+SQRT(D224*(Supuestos!$F$7-Supuestos!$D$7)*(Supuestos!$E$7-Supuestos!$D$7)),Supuestos!$F$7-SQRT((1-D224)*(Supuestos!$F$7-Supuestos!$D$7)*(Supuestos!$F$7-Supuestos!$E$7))),IF(Supuestos!$C$7="Uniforme",Supuestos!$D$7+D224*(Supuestos!$E$7-Supuestos!$D$7),IF(Supuestos!$C$7="Lognormal",LOGINV(D224,LN(Supuestos!$D$7)-LN(1+Supuestos!$E$7^2/Supuestos!$D$7^2)/2,SQRT(LN(1+Supuestos!$E$7^2/Supuestos!$D$7^2))),Supuestos!$D$7))))))</f>
        <v/>
      </c>
      <c r="L224" s="32">
        <f>MIN(IF(Supuestos!$H$8="",1E+99,Supuestos!$H$8),MAX(IF(Supuestos!$G$8="",-1E+99,Supuestos!$G$8),IF(Supuestos!$C$8="Normal",NORMINV(E224,Supuestos!$D$8,Supuestos!$E$8),IF(Supuestos!$C$8="Triangular",IF(E224&lt;(Supuestos!$E$8-Supuestos!$D$8)/(Supuestos!$F$8-Supuestos!$D$8),Supuestos!$D$8+SQRT(E224*(Supuestos!$F$8-Supuestos!$D$8)*(Supuestos!$E$8-Supuestos!$D$8)),Supuestos!$F$8-SQRT((1-E224)*(Supuestos!$F$8-Supuestos!$D$8)*(Supuestos!$F$8-Supuestos!$E$8))),IF(Supuestos!$C$8="Uniforme",Supuestos!$D$8+E224*(Supuestos!$E$8-Supuestos!$D$8),IF(Supuestos!$C$8="Lognormal",LOGINV(E224,LN(Supuestos!$D$8)-LN(1+Supuestos!$E$8^2/Supuestos!$D$8^2)/2,SQRT(LN(1+Supuestos!$E$8^2/Supuestos!$D$8^2))),Supuestos!$D$8))))))</f>
        <v/>
      </c>
      <c r="M224" s="32">
        <f>MIN(IF(Supuestos!$H$9="",1E+99,Supuestos!$H$9),MAX(IF(Supuestos!$G$9="",-1E+99,Supuestos!$G$9),IF(Supuestos!$C$9="Normal",NORMINV(F224,Supuestos!$D$9,Supuestos!$E$9),IF(Supuestos!$C$9="Triangular",IF(F224&lt;(Supuestos!$E$9-Supuestos!$D$9)/(Supuestos!$F$9-Supuestos!$D$9),Supuestos!$D$9+SQRT(F224*(Supuestos!$F$9-Supuestos!$D$9)*(Supuestos!$E$9-Supuestos!$D$9)),Supuestos!$F$9-SQRT((1-F224)*(Supuestos!$F$9-Supuestos!$D$9)*(Supuestos!$F$9-Supuestos!$E$9))),IF(Supuestos!$C$9="Uniforme",Supuestos!$D$9+F224*(Supuestos!$E$9-Supuestos!$D$9),IF(Supuestos!$C$9="Lognormal",LOGINV(F224,LN(Supuestos!$D$9)-LN(1+Supuestos!$E$9^2/Supuestos!$D$9^2)/2,SQRT(LN(1+Supuestos!$E$9^2/Supuestos!$D$9^2))),Supuestos!$D$9))))))</f>
        <v/>
      </c>
      <c r="N224" s="32">
        <f>MIN(IF(Supuestos!$H$10="",1E+99,Supuestos!$H$10),MAX(IF(Supuestos!$G$10="",-1E+99,Supuestos!$G$10),IF(Supuestos!$C$10="Normal",NORMINV(G224,Supuestos!$D$10,Supuestos!$E$10),IF(Supuestos!$C$10="Triangular",IF(G224&lt;(Supuestos!$E$10-Supuestos!$D$10)/(Supuestos!$F$10-Supuestos!$D$10),Supuestos!$D$10+SQRT(G224*(Supuestos!$F$10-Supuestos!$D$10)*(Supuestos!$E$10-Supuestos!$D$10)),Supuestos!$F$10-SQRT((1-G224)*(Supuestos!$F$10-Supuestos!$D$10)*(Supuestos!$F$10-Supuestos!$E$10))),IF(Supuestos!$C$10="Uniforme",Supuestos!$D$10+G224*(Supuestos!$E$10-Supuestos!$D$10),IF(Supuestos!$C$10="Lognormal",LOGINV(G224,LN(Supuestos!$D$10)-LN(1+Supuestos!$E$10^2/Supuestos!$D$10^2)/2,SQRT(LN(1+Supuestos!$E$10^2/Supuestos!$D$10^2))),Supuestos!$D$10))))))</f>
        <v/>
      </c>
      <c r="O224" s="31">
        <f>MIN(IF(Supuestos!$H$11="",1E+99,Supuestos!$H$11),MAX(IF(Supuestos!$G$11="",-1E+99,Supuestos!$G$11),IF(Supuestos!$C$11="Normal",NORMINV(H224,Supuestos!$D$11,Supuestos!$E$11),IF(Supuestos!$C$11="Triangular",IF(H224&lt;(Supuestos!$E$11-Supuestos!$D$11)/(Supuestos!$F$11-Supuestos!$D$11),Supuestos!$D$11+SQRT(H224*(Supuestos!$F$11-Supuestos!$D$11)*(Supuestos!$E$11-Supuestos!$D$11)),Supuestos!$F$11-SQRT((1-H224)*(Supuestos!$F$11-Supuestos!$D$11)*(Supuestos!$F$11-Supuestos!$E$11))),IF(Supuestos!$C$11="Uniforme",Supuestos!$D$11+H224*(Supuestos!$E$11-Supuestos!$D$11),IF(Supuestos!$C$11="Lognormal",LOGINV(H224,LN(Supuestos!$D$11)-LN(1+Supuestos!$E$11^2/Supuestos!$D$11^2)/2,SQRT(LN(1+Supuestos!$E$11^2/Supuestos!$D$11^2))),Supuestos!$D$11))))))</f>
        <v/>
      </c>
      <c r="P224" s="33">
        <f>-I224</f>
        <v/>
      </c>
      <c r="Q224" s="33">
        <f>$J224*(1+$K224)^(1-1)*(1-$L224)*(1-$M224)</f>
        <v/>
      </c>
      <c r="R224" s="33">
        <f>$J224*(1+$K224)^(2-1)*(1-$L224)*(1-$M224)</f>
        <v/>
      </c>
      <c r="S224" s="33">
        <f>$J224*(1+$K224)^(3-1)*(1-$L224)*(1-$M224)</f>
        <v/>
      </c>
      <c r="T224" s="33">
        <f>$J224*(1+$K224)^(4-1)*(1-$L224)*(1-$M224)</f>
        <v/>
      </c>
      <c r="U224" s="33">
        <f>$J224*(1+$K224)^(5-1)*(1-$L224)*(1-$M224)+$O224</f>
        <v/>
      </c>
      <c r="V224" s="33">
        <f>P224+NPV($N224,Q224:U224)</f>
        <v/>
      </c>
      <c r="W224" s="32">
        <f>IFERROR(IRR(P224:U224,0.1),"")</f>
        <v/>
      </c>
    </row>
    <row r="225">
      <c r="A225" s="14" t="n">
        <v>221</v>
      </c>
      <c r="B225" s="30">
        <f>RAND()*(1-2E-6)+1E-6</f>
        <v/>
      </c>
      <c r="C225" s="30">
        <f>RAND()*(1-2E-6)+1E-6</f>
        <v/>
      </c>
      <c r="D225" s="30">
        <f>RAND()*(1-2E-6)+1E-6</f>
        <v/>
      </c>
      <c r="E225" s="30">
        <f>RAND()*(1-2E-6)+1E-6</f>
        <v/>
      </c>
      <c r="F225" s="30">
        <f>RAND()*(1-2E-6)+1E-6</f>
        <v/>
      </c>
      <c r="G225" s="30">
        <f>RAND()*(1-2E-6)+1E-6</f>
        <v/>
      </c>
      <c r="H225" s="30">
        <f>RAND()*(1-2E-6)+1E-6</f>
        <v/>
      </c>
      <c r="I225" s="31">
        <f>MIN(IF(Supuestos!$H$5="",1E+99,Supuestos!$H$5),MAX(IF(Supuestos!$G$5="",-1E+99,Supuestos!$G$5),IF(Supuestos!$C$5="Normal",NORMINV(B225,Supuestos!$D$5,Supuestos!$E$5),IF(Supuestos!$C$5="Triangular",IF(B225&lt;(Supuestos!$E$5-Supuestos!$D$5)/(Supuestos!$F$5-Supuestos!$D$5),Supuestos!$D$5+SQRT(B225*(Supuestos!$F$5-Supuestos!$D$5)*(Supuestos!$E$5-Supuestos!$D$5)),Supuestos!$F$5-SQRT((1-B225)*(Supuestos!$F$5-Supuestos!$D$5)*(Supuestos!$F$5-Supuestos!$E$5))),IF(Supuestos!$C$5="Uniforme",Supuestos!$D$5+B225*(Supuestos!$E$5-Supuestos!$D$5),IF(Supuestos!$C$5="Lognormal",LOGINV(B225,LN(Supuestos!$D$5)-LN(1+Supuestos!$E$5^2/Supuestos!$D$5^2)/2,SQRT(LN(1+Supuestos!$E$5^2/Supuestos!$D$5^2))),Supuestos!$D$5))))))</f>
        <v/>
      </c>
      <c r="J225" s="31">
        <f>MIN(IF(Supuestos!$H$6="",1E+99,Supuestos!$H$6),MAX(IF(Supuestos!$G$6="",-1E+99,Supuestos!$G$6),IF(Supuestos!$C$6="Normal",NORMINV(C225,Supuestos!$D$6,Supuestos!$E$6),IF(Supuestos!$C$6="Triangular",IF(C225&lt;(Supuestos!$E$6-Supuestos!$D$6)/(Supuestos!$F$6-Supuestos!$D$6),Supuestos!$D$6+SQRT(C225*(Supuestos!$F$6-Supuestos!$D$6)*(Supuestos!$E$6-Supuestos!$D$6)),Supuestos!$F$6-SQRT((1-C225)*(Supuestos!$F$6-Supuestos!$D$6)*(Supuestos!$F$6-Supuestos!$E$6))),IF(Supuestos!$C$6="Uniforme",Supuestos!$D$6+C225*(Supuestos!$E$6-Supuestos!$D$6),IF(Supuestos!$C$6="Lognormal",LOGINV(C225,LN(Supuestos!$D$6)-LN(1+Supuestos!$E$6^2/Supuestos!$D$6^2)/2,SQRT(LN(1+Supuestos!$E$6^2/Supuestos!$D$6^2))),Supuestos!$D$6))))))</f>
        <v/>
      </c>
      <c r="K225" s="32">
        <f>MIN(IF(Supuestos!$H$7="",1E+99,Supuestos!$H$7),MAX(IF(Supuestos!$G$7="",-1E+99,Supuestos!$G$7),IF(Supuestos!$C$7="Normal",NORMINV(D225,Supuestos!$D$7,Supuestos!$E$7),IF(Supuestos!$C$7="Triangular",IF(D225&lt;(Supuestos!$E$7-Supuestos!$D$7)/(Supuestos!$F$7-Supuestos!$D$7),Supuestos!$D$7+SQRT(D225*(Supuestos!$F$7-Supuestos!$D$7)*(Supuestos!$E$7-Supuestos!$D$7)),Supuestos!$F$7-SQRT((1-D225)*(Supuestos!$F$7-Supuestos!$D$7)*(Supuestos!$F$7-Supuestos!$E$7))),IF(Supuestos!$C$7="Uniforme",Supuestos!$D$7+D225*(Supuestos!$E$7-Supuestos!$D$7),IF(Supuestos!$C$7="Lognormal",LOGINV(D225,LN(Supuestos!$D$7)-LN(1+Supuestos!$E$7^2/Supuestos!$D$7^2)/2,SQRT(LN(1+Supuestos!$E$7^2/Supuestos!$D$7^2))),Supuestos!$D$7))))))</f>
        <v/>
      </c>
      <c r="L225" s="32">
        <f>MIN(IF(Supuestos!$H$8="",1E+99,Supuestos!$H$8),MAX(IF(Supuestos!$G$8="",-1E+99,Supuestos!$G$8),IF(Supuestos!$C$8="Normal",NORMINV(E225,Supuestos!$D$8,Supuestos!$E$8),IF(Supuestos!$C$8="Triangular",IF(E225&lt;(Supuestos!$E$8-Supuestos!$D$8)/(Supuestos!$F$8-Supuestos!$D$8),Supuestos!$D$8+SQRT(E225*(Supuestos!$F$8-Supuestos!$D$8)*(Supuestos!$E$8-Supuestos!$D$8)),Supuestos!$F$8-SQRT((1-E225)*(Supuestos!$F$8-Supuestos!$D$8)*(Supuestos!$F$8-Supuestos!$E$8))),IF(Supuestos!$C$8="Uniforme",Supuestos!$D$8+E225*(Supuestos!$E$8-Supuestos!$D$8),IF(Supuestos!$C$8="Lognormal",LOGINV(E225,LN(Supuestos!$D$8)-LN(1+Supuestos!$E$8^2/Supuestos!$D$8^2)/2,SQRT(LN(1+Supuestos!$E$8^2/Supuestos!$D$8^2))),Supuestos!$D$8))))))</f>
        <v/>
      </c>
      <c r="M225" s="32">
        <f>MIN(IF(Supuestos!$H$9="",1E+99,Supuestos!$H$9),MAX(IF(Supuestos!$G$9="",-1E+99,Supuestos!$G$9),IF(Supuestos!$C$9="Normal",NORMINV(F225,Supuestos!$D$9,Supuestos!$E$9),IF(Supuestos!$C$9="Triangular",IF(F225&lt;(Supuestos!$E$9-Supuestos!$D$9)/(Supuestos!$F$9-Supuestos!$D$9),Supuestos!$D$9+SQRT(F225*(Supuestos!$F$9-Supuestos!$D$9)*(Supuestos!$E$9-Supuestos!$D$9)),Supuestos!$F$9-SQRT((1-F225)*(Supuestos!$F$9-Supuestos!$D$9)*(Supuestos!$F$9-Supuestos!$E$9))),IF(Supuestos!$C$9="Uniforme",Supuestos!$D$9+F225*(Supuestos!$E$9-Supuestos!$D$9),IF(Supuestos!$C$9="Lognormal",LOGINV(F225,LN(Supuestos!$D$9)-LN(1+Supuestos!$E$9^2/Supuestos!$D$9^2)/2,SQRT(LN(1+Supuestos!$E$9^2/Supuestos!$D$9^2))),Supuestos!$D$9))))))</f>
        <v/>
      </c>
      <c r="N225" s="32">
        <f>MIN(IF(Supuestos!$H$10="",1E+99,Supuestos!$H$10),MAX(IF(Supuestos!$G$10="",-1E+99,Supuestos!$G$10),IF(Supuestos!$C$10="Normal",NORMINV(G225,Supuestos!$D$10,Supuestos!$E$10),IF(Supuestos!$C$10="Triangular",IF(G225&lt;(Supuestos!$E$10-Supuestos!$D$10)/(Supuestos!$F$10-Supuestos!$D$10),Supuestos!$D$10+SQRT(G225*(Supuestos!$F$10-Supuestos!$D$10)*(Supuestos!$E$10-Supuestos!$D$10)),Supuestos!$F$10-SQRT((1-G225)*(Supuestos!$F$10-Supuestos!$D$10)*(Supuestos!$F$10-Supuestos!$E$10))),IF(Supuestos!$C$10="Uniforme",Supuestos!$D$10+G225*(Supuestos!$E$10-Supuestos!$D$10),IF(Supuestos!$C$10="Lognormal",LOGINV(G225,LN(Supuestos!$D$10)-LN(1+Supuestos!$E$10^2/Supuestos!$D$10^2)/2,SQRT(LN(1+Supuestos!$E$10^2/Supuestos!$D$10^2))),Supuestos!$D$10))))))</f>
        <v/>
      </c>
      <c r="O225" s="31">
        <f>MIN(IF(Supuestos!$H$11="",1E+99,Supuestos!$H$11),MAX(IF(Supuestos!$G$11="",-1E+99,Supuestos!$G$11),IF(Supuestos!$C$11="Normal",NORMINV(H225,Supuestos!$D$11,Supuestos!$E$11),IF(Supuestos!$C$11="Triangular",IF(H225&lt;(Supuestos!$E$11-Supuestos!$D$11)/(Supuestos!$F$11-Supuestos!$D$11),Supuestos!$D$11+SQRT(H225*(Supuestos!$F$11-Supuestos!$D$11)*(Supuestos!$E$11-Supuestos!$D$11)),Supuestos!$F$11-SQRT((1-H225)*(Supuestos!$F$11-Supuestos!$D$11)*(Supuestos!$F$11-Supuestos!$E$11))),IF(Supuestos!$C$11="Uniforme",Supuestos!$D$11+H225*(Supuestos!$E$11-Supuestos!$D$11),IF(Supuestos!$C$11="Lognormal",LOGINV(H225,LN(Supuestos!$D$11)-LN(1+Supuestos!$E$11^2/Supuestos!$D$11^2)/2,SQRT(LN(1+Supuestos!$E$11^2/Supuestos!$D$11^2))),Supuestos!$D$11))))))</f>
        <v/>
      </c>
      <c r="P225" s="33">
        <f>-I225</f>
        <v/>
      </c>
      <c r="Q225" s="33">
        <f>$J225*(1+$K225)^(1-1)*(1-$L225)*(1-$M225)</f>
        <v/>
      </c>
      <c r="R225" s="33">
        <f>$J225*(1+$K225)^(2-1)*(1-$L225)*(1-$M225)</f>
        <v/>
      </c>
      <c r="S225" s="33">
        <f>$J225*(1+$K225)^(3-1)*(1-$L225)*(1-$M225)</f>
        <v/>
      </c>
      <c r="T225" s="33">
        <f>$J225*(1+$K225)^(4-1)*(1-$L225)*(1-$M225)</f>
        <v/>
      </c>
      <c r="U225" s="33">
        <f>$J225*(1+$K225)^(5-1)*(1-$L225)*(1-$M225)+$O225</f>
        <v/>
      </c>
      <c r="V225" s="33">
        <f>P225+NPV($N225,Q225:U225)</f>
        <v/>
      </c>
      <c r="W225" s="32">
        <f>IFERROR(IRR(P225:U225,0.1),"")</f>
        <v/>
      </c>
    </row>
    <row r="226">
      <c r="A226" s="14" t="n">
        <v>222</v>
      </c>
      <c r="B226" s="30">
        <f>RAND()*(1-2E-6)+1E-6</f>
        <v/>
      </c>
      <c r="C226" s="30">
        <f>RAND()*(1-2E-6)+1E-6</f>
        <v/>
      </c>
      <c r="D226" s="30">
        <f>RAND()*(1-2E-6)+1E-6</f>
        <v/>
      </c>
      <c r="E226" s="30">
        <f>RAND()*(1-2E-6)+1E-6</f>
        <v/>
      </c>
      <c r="F226" s="30">
        <f>RAND()*(1-2E-6)+1E-6</f>
        <v/>
      </c>
      <c r="G226" s="30">
        <f>RAND()*(1-2E-6)+1E-6</f>
        <v/>
      </c>
      <c r="H226" s="30">
        <f>RAND()*(1-2E-6)+1E-6</f>
        <v/>
      </c>
      <c r="I226" s="31">
        <f>MIN(IF(Supuestos!$H$5="",1E+99,Supuestos!$H$5),MAX(IF(Supuestos!$G$5="",-1E+99,Supuestos!$G$5),IF(Supuestos!$C$5="Normal",NORMINV(B226,Supuestos!$D$5,Supuestos!$E$5),IF(Supuestos!$C$5="Triangular",IF(B226&lt;(Supuestos!$E$5-Supuestos!$D$5)/(Supuestos!$F$5-Supuestos!$D$5),Supuestos!$D$5+SQRT(B226*(Supuestos!$F$5-Supuestos!$D$5)*(Supuestos!$E$5-Supuestos!$D$5)),Supuestos!$F$5-SQRT((1-B226)*(Supuestos!$F$5-Supuestos!$D$5)*(Supuestos!$F$5-Supuestos!$E$5))),IF(Supuestos!$C$5="Uniforme",Supuestos!$D$5+B226*(Supuestos!$E$5-Supuestos!$D$5),IF(Supuestos!$C$5="Lognormal",LOGINV(B226,LN(Supuestos!$D$5)-LN(1+Supuestos!$E$5^2/Supuestos!$D$5^2)/2,SQRT(LN(1+Supuestos!$E$5^2/Supuestos!$D$5^2))),Supuestos!$D$5))))))</f>
        <v/>
      </c>
      <c r="J226" s="31">
        <f>MIN(IF(Supuestos!$H$6="",1E+99,Supuestos!$H$6),MAX(IF(Supuestos!$G$6="",-1E+99,Supuestos!$G$6),IF(Supuestos!$C$6="Normal",NORMINV(C226,Supuestos!$D$6,Supuestos!$E$6),IF(Supuestos!$C$6="Triangular",IF(C226&lt;(Supuestos!$E$6-Supuestos!$D$6)/(Supuestos!$F$6-Supuestos!$D$6),Supuestos!$D$6+SQRT(C226*(Supuestos!$F$6-Supuestos!$D$6)*(Supuestos!$E$6-Supuestos!$D$6)),Supuestos!$F$6-SQRT((1-C226)*(Supuestos!$F$6-Supuestos!$D$6)*(Supuestos!$F$6-Supuestos!$E$6))),IF(Supuestos!$C$6="Uniforme",Supuestos!$D$6+C226*(Supuestos!$E$6-Supuestos!$D$6),IF(Supuestos!$C$6="Lognormal",LOGINV(C226,LN(Supuestos!$D$6)-LN(1+Supuestos!$E$6^2/Supuestos!$D$6^2)/2,SQRT(LN(1+Supuestos!$E$6^2/Supuestos!$D$6^2))),Supuestos!$D$6))))))</f>
        <v/>
      </c>
      <c r="K226" s="32">
        <f>MIN(IF(Supuestos!$H$7="",1E+99,Supuestos!$H$7),MAX(IF(Supuestos!$G$7="",-1E+99,Supuestos!$G$7),IF(Supuestos!$C$7="Normal",NORMINV(D226,Supuestos!$D$7,Supuestos!$E$7),IF(Supuestos!$C$7="Triangular",IF(D226&lt;(Supuestos!$E$7-Supuestos!$D$7)/(Supuestos!$F$7-Supuestos!$D$7),Supuestos!$D$7+SQRT(D226*(Supuestos!$F$7-Supuestos!$D$7)*(Supuestos!$E$7-Supuestos!$D$7)),Supuestos!$F$7-SQRT((1-D226)*(Supuestos!$F$7-Supuestos!$D$7)*(Supuestos!$F$7-Supuestos!$E$7))),IF(Supuestos!$C$7="Uniforme",Supuestos!$D$7+D226*(Supuestos!$E$7-Supuestos!$D$7),IF(Supuestos!$C$7="Lognormal",LOGINV(D226,LN(Supuestos!$D$7)-LN(1+Supuestos!$E$7^2/Supuestos!$D$7^2)/2,SQRT(LN(1+Supuestos!$E$7^2/Supuestos!$D$7^2))),Supuestos!$D$7))))))</f>
        <v/>
      </c>
      <c r="L226" s="32">
        <f>MIN(IF(Supuestos!$H$8="",1E+99,Supuestos!$H$8),MAX(IF(Supuestos!$G$8="",-1E+99,Supuestos!$G$8),IF(Supuestos!$C$8="Normal",NORMINV(E226,Supuestos!$D$8,Supuestos!$E$8),IF(Supuestos!$C$8="Triangular",IF(E226&lt;(Supuestos!$E$8-Supuestos!$D$8)/(Supuestos!$F$8-Supuestos!$D$8),Supuestos!$D$8+SQRT(E226*(Supuestos!$F$8-Supuestos!$D$8)*(Supuestos!$E$8-Supuestos!$D$8)),Supuestos!$F$8-SQRT((1-E226)*(Supuestos!$F$8-Supuestos!$D$8)*(Supuestos!$F$8-Supuestos!$E$8))),IF(Supuestos!$C$8="Uniforme",Supuestos!$D$8+E226*(Supuestos!$E$8-Supuestos!$D$8),IF(Supuestos!$C$8="Lognormal",LOGINV(E226,LN(Supuestos!$D$8)-LN(1+Supuestos!$E$8^2/Supuestos!$D$8^2)/2,SQRT(LN(1+Supuestos!$E$8^2/Supuestos!$D$8^2))),Supuestos!$D$8))))))</f>
        <v/>
      </c>
      <c r="M226" s="32">
        <f>MIN(IF(Supuestos!$H$9="",1E+99,Supuestos!$H$9),MAX(IF(Supuestos!$G$9="",-1E+99,Supuestos!$G$9),IF(Supuestos!$C$9="Normal",NORMINV(F226,Supuestos!$D$9,Supuestos!$E$9),IF(Supuestos!$C$9="Triangular",IF(F226&lt;(Supuestos!$E$9-Supuestos!$D$9)/(Supuestos!$F$9-Supuestos!$D$9),Supuestos!$D$9+SQRT(F226*(Supuestos!$F$9-Supuestos!$D$9)*(Supuestos!$E$9-Supuestos!$D$9)),Supuestos!$F$9-SQRT((1-F226)*(Supuestos!$F$9-Supuestos!$D$9)*(Supuestos!$F$9-Supuestos!$E$9))),IF(Supuestos!$C$9="Uniforme",Supuestos!$D$9+F226*(Supuestos!$E$9-Supuestos!$D$9),IF(Supuestos!$C$9="Lognormal",LOGINV(F226,LN(Supuestos!$D$9)-LN(1+Supuestos!$E$9^2/Supuestos!$D$9^2)/2,SQRT(LN(1+Supuestos!$E$9^2/Supuestos!$D$9^2))),Supuestos!$D$9))))))</f>
        <v/>
      </c>
      <c r="N226" s="32">
        <f>MIN(IF(Supuestos!$H$10="",1E+99,Supuestos!$H$10),MAX(IF(Supuestos!$G$10="",-1E+99,Supuestos!$G$10),IF(Supuestos!$C$10="Normal",NORMINV(G226,Supuestos!$D$10,Supuestos!$E$10),IF(Supuestos!$C$10="Triangular",IF(G226&lt;(Supuestos!$E$10-Supuestos!$D$10)/(Supuestos!$F$10-Supuestos!$D$10),Supuestos!$D$10+SQRT(G226*(Supuestos!$F$10-Supuestos!$D$10)*(Supuestos!$E$10-Supuestos!$D$10)),Supuestos!$F$10-SQRT((1-G226)*(Supuestos!$F$10-Supuestos!$D$10)*(Supuestos!$F$10-Supuestos!$E$10))),IF(Supuestos!$C$10="Uniforme",Supuestos!$D$10+G226*(Supuestos!$E$10-Supuestos!$D$10),IF(Supuestos!$C$10="Lognormal",LOGINV(G226,LN(Supuestos!$D$10)-LN(1+Supuestos!$E$10^2/Supuestos!$D$10^2)/2,SQRT(LN(1+Supuestos!$E$10^2/Supuestos!$D$10^2))),Supuestos!$D$10))))))</f>
        <v/>
      </c>
      <c r="O226" s="31">
        <f>MIN(IF(Supuestos!$H$11="",1E+99,Supuestos!$H$11),MAX(IF(Supuestos!$G$11="",-1E+99,Supuestos!$G$11),IF(Supuestos!$C$11="Normal",NORMINV(H226,Supuestos!$D$11,Supuestos!$E$11),IF(Supuestos!$C$11="Triangular",IF(H226&lt;(Supuestos!$E$11-Supuestos!$D$11)/(Supuestos!$F$11-Supuestos!$D$11),Supuestos!$D$11+SQRT(H226*(Supuestos!$F$11-Supuestos!$D$11)*(Supuestos!$E$11-Supuestos!$D$11)),Supuestos!$F$11-SQRT((1-H226)*(Supuestos!$F$11-Supuestos!$D$11)*(Supuestos!$F$11-Supuestos!$E$11))),IF(Supuestos!$C$11="Uniforme",Supuestos!$D$11+H226*(Supuestos!$E$11-Supuestos!$D$11),IF(Supuestos!$C$11="Lognormal",LOGINV(H226,LN(Supuestos!$D$11)-LN(1+Supuestos!$E$11^2/Supuestos!$D$11^2)/2,SQRT(LN(1+Supuestos!$E$11^2/Supuestos!$D$11^2))),Supuestos!$D$11))))))</f>
        <v/>
      </c>
      <c r="P226" s="33">
        <f>-I226</f>
        <v/>
      </c>
      <c r="Q226" s="33">
        <f>$J226*(1+$K226)^(1-1)*(1-$L226)*(1-$M226)</f>
        <v/>
      </c>
      <c r="R226" s="33">
        <f>$J226*(1+$K226)^(2-1)*(1-$L226)*(1-$M226)</f>
        <v/>
      </c>
      <c r="S226" s="33">
        <f>$J226*(1+$K226)^(3-1)*(1-$L226)*(1-$M226)</f>
        <v/>
      </c>
      <c r="T226" s="33">
        <f>$J226*(1+$K226)^(4-1)*(1-$L226)*(1-$M226)</f>
        <v/>
      </c>
      <c r="U226" s="33">
        <f>$J226*(1+$K226)^(5-1)*(1-$L226)*(1-$M226)+$O226</f>
        <v/>
      </c>
      <c r="V226" s="33">
        <f>P226+NPV($N226,Q226:U226)</f>
        <v/>
      </c>
      <c r="W226" s="32">
        <f>IFERROR(IRR(P226:U226,0.1),"")</f>
        <v/>
      </c>
    </row>
    <row r="227">
      <c r="A227" s="14" t="n">
        <v>223</v>
      </c>
      <c r="B227" s="30">
        <f>RAND()*(1-2E-6)+1E-6</f>
        <v/>
      </c>
      <c r="C227" s="30">
        <f>RAND()*(1-2E-6)+1E-6</f>
        <v/>
      </c>
      <c r="D227" s="30">
        <f>RAND()*(1-2E-6)+1E-6</f>
        <v/>
      </c>
      <c r="E227" s="30">
        <f>RAND()*(1-2E-6)+1E-6</f>
        <v/>
      </c>
      <c r="F227" s="30">
        <f>RAND()*(1-2E-6)+1E-6</f>
        <v/>
      </c>
      <c r="G227" s="30">
        <f>RAND()*(1-2E-6)+1E-6</f>
        <v/>
      </c>
      <c r="H227" s="30">
        <f>RAND()*(1-2E-6)+1E-6</f>
        <v/>
      </c>
      <c r="I227" s="31">
        <f>MIN(IF(Supuestos!$H$5="",1E+99,Supuestos!$H$5),MAX(IF(Supuestos!$G$5="",-1E+99,Supuestos!$G$5),IF(Supuestos!$C$5="Normal",NORMINV(B227,Supuestos!$D$5,Supuestos!$E$5),IF(Supuestos!$C$5="Triangular",IF(B227&lt;(Supuestos!$E$5-Supuestos!$D$5)/(Supuestos!$F$5-Supuestos!$D$5),Supuestos!$D$5+SQRT(B227*(Supuestos!$F$5-Supuestos!$D$5)*(Supuestos!$E$5-Supuestos!$D$5)),Supuestos!$F$5-SQRT((1-B227)*(Supuestos!$F$5-Supuestos!$D$5)*(Supuestos!$F$5-Supuestos!$E$5))),IF(Supuestos!$C$5="Uniforme",Supuestos!$D$5+B227*(Supuestos!$E$5-Supuestos!$D$5),IF(Supuestos!$C$5="Lognormal",LOGINV(B227,LN(Supuestos!$D$5)-LN(1+Supuestos!$E$5^2/Supuestos!$D$5^2)/2,SQRT(LN(1+Supuestos!$E$5^2/Supuestos!$D$5^2))),Supuestos!$D$5))))))</f>
        <v/>
      </c>
      <c r="J227" s="31">
        <f>MIN(IF(Supuestos!$H$6="",1E+99,Supuestos!$H$6),MAX(IF(Supuestos!$G$6="",-1E+99,Supuestos!$G$6),IF(Supuestos!$C$6="Normal",NORMINV(C227,Supuestos!$D$6,Supuestos!$E$6),IF(Supuestos!$C$6="Triangular",IF(C227&lt;(Supuestos!$E$6-Supuestos!$D$6)/(Supuestos!$F$6-Supuestos!$D$6),Supuestos!$D$6+SQRT(C227*(Supuestos!$F$6-Supuestos!$D$6)*(Supuestos!$E$6-Supuestos!$D$6)),Supuestos!$F$6-SQRT((1-C227)*(Supuestos!$F$6-Supuestos!$D$6)*(Supuestos!$F$6-Supuestos!$E$6))),IF(Supuestos!$C$6="Uniforme",Supuestos!$D$6+C227*(Supuestos!$E$6-Supuestos!$D$6),IF(Supuestos!$C$6="Lognormal",LOGINV(C227,LN(Supuestos!$D$6)-LN(1+Supuestos!$E$6^2/Supuestos!$D$6^2)/2,SQRT(LN(1+Supuestos!$E$6^2/Supuestos!$D$6^2))),Supuestos!$D$6))))))</f>
        <v/>
      </c>
      <c r="K227" s="32">
        <f>MIN(IF(Supuestos!$H$7="",1E+99,Supuestos!$H$7),MAX(IF(Supuestos!$G$7="",-1E+99,Supuestos!$G$7),IF(Supuestos!$C$7="Normal",NORMINV(D227,Supuestos!$D$7,Supuestos!$E$7),IF(Supuestos!$C$7="Triangular",IF(D227&lt;(Supuestos!$E$7-Supuestos!$D$7)/(Supuestos!$F$7-Supuestos!$D$7),Supuestos!$D$7+SQRT(D227*(Supuestos!$F$7-Supuestos!$D$7)*(Supuestos!$E$7-Supuestos!$D$7)),Supuestos!$F$7-SQRT((1-D227)*(Supuestos!$F$7-Supuestos!$D$7)*(Supuestos!$F$7-Supuestos!$E$7))),IF(Supuestos!$C$7="Uniforme",Supuestos!$D$7+D227*(Supuestos!$E$7-Supuestos!$D$7),IF(Supuestos!$C$7="Lognormal",LOGINV(D227,LN(Supuestos!$D$7)-LN(1+Supuestos!$E$7^2/Supuestos!$D$7^2)/2,SQRT(LN(1+Supuestos!$E$7^2/Supuestos!$D$7^2))),Supuestos!$D$7))))))</f>
        <v/>
      </c>
      <c r="L227" s="32">
        <f>MIN(IF(Supuestos!$H$8="",1E+99,Supuestos!$H$8),MAX(IF(Supuestos!$G$8="",-1E+99,Supuestos!$G$8),IF(Supuestos!$C$8="Normal",NORMINV(E227,Supuestos!$D$8,Supuestos!$E$8),IF(Supuestos!$C$8="Triangular",IF(E227&lt;(Supuestos!$E$8-Supuestos!$D$8)/(Supuestos!$F$8-Supuestos!$D$8),Supuestos!$D$8+SQRT(E227*(Supuestos!$F$8-Supuestos!$D$8)*(Supuestos!$E$8-Supuestos!$D$8)),Supuestos!$F$8-SQRT((1-E227)*(Supuestos!$F$8-Supuestos!$D$8)*(Supuestos!$F$8-Supuestos!$E$8))),IF(Supuestos!$C$8="Uniforme",Supuestos!$D$8+E227*(Supuestos!$E$8-Supuestos!$D$8),IF(Supuestos!$C$8="Lognormal",LOGINV(E227,LN(Supuestos!$D$8)-LN(1+Supuestos!$E$8^2/Supuestos!$D$8^2)/2,SQRT(LN(1+Supuestos!$E$8^2/Supuestos!$D$8^2))),Supuestos!$D$8))))))</f>
        <v/>
      </c>
      <c r="M227" s="32">
        <f>MIN(IF(Supuestos!$H$9="",1E+99,Supuestos!$H$9),MAX(IF(Supuestos!$G$9="",-1E+99,Supuestos!$G$9),IF(Supuestos!$C$9="Normal",NORMINV(F227,Supuestos!$D$9,Supuestos!$E$9),IF(Supuestos!$C$9="Triangular",IF(F227&lt;(Supuestos!$E$9-Supuestos!$D$9)/(Supuestos!$F$9-Supuestos!$D$9),Supuestos!$D$9+SQRT(F227*(Supuestos!$F$9-Supuestos!$D$9)*(Supuestos!$E$9-Supuestos!$D$9)),Supuestos!$F$9-SQRT((1-F227)*(Supuestos!$F$9-Supuestos!$D$9)*(Supuestos!$F$9-Supuestos!$E$9))),IF(Supuestos!$C$9="Uniforme",Supuestos!$D$9+F227*(Supuestos!$E$9-Supuestos!$D$9),IF(Supuestos!$C$9="Lognormal",LOGINV(F227,LN(Supuestos!$D$9)-LN(1+Supuestos!$E$9^2/Supuestos!$D$9^2)/2,SQRT(LN(1+Supuestos!$E$9^2/Supuestos!$D$9^2))),Supuestos!$D$9))))))</f>
        <v/>
      </c>
      <c r="N227" s="32">
        <f>MIN(IF(Supuestos!$H$10="",1E+99,Supuestos!$H$10),MAX(IF(Supuestos!$G$10="",-1E+99,Supuestos!$G$10),IF(Supuestos!$C$10="Normal",NORMINV(G227,Supuestos!$D$10,Supuestos!$E$10),IF(Supuestos!$C$10="Triangular",IF(G227&lt;(Supuestos!$E$10-Supuestos!$D$10)/(Supuestos!$F$10-Supuestos!$D$10),Supuestos!$D$10+SQRT(G227*(Supuestos!$F$10-Supuestos!$D$10)*(Supuestos!$E$10-Supuestos!$D$10)),Supuestos!$F$10-SQRT((1-G227)*(Supuestos!$F$10-Supuestos!$D$10)*(Supuestos!$F$10-Supuestos!$E$10))),IF(Supuestos!$C$10="Uniforme",Supuestos!$D$10+G227*(Supuestos!$E$10-Supuestos!$D$10),IF(Supuestos!$C$10="Lognormal",LOGINV(G227,LN(Supuestos!$D$10)-LN(1+Supuestos!$E$10^2/Supuestos!$D$10^2)/2,SQRT(LN(1+Supuestos!$E$10^2/Supuestos!$D$10^2))),Supuestos!$D$10))))))</f>
        <v/>
      </c>
      <c r="O227" s="31">
        <f>MIN(IF(Supuestos!$H$11="",1E+99,Supuestos!$H$11),MAX(IF(Supuestos!$G$11="",-1E+99,Supuestos!$G$11),IF(Supuestos!$C$11="Normal",NORMINV(H227,Supuestos!$D$11,Supuestos!$E$11),IF(Supuestos!$C$11="Triangular",IF(H227&lt;(Supuestos!$E$11-Supuestos!$D$11)/(Supuestos!$F$11-Supuestos!$D$11),Supuestos!$D$11+SQRT(H227*(Supuestos!$F$11-Supuestos!$D$11)*(Supuestos!$E$11-Supuestos!$D$11)),Supuestos!$F$11-SQRT((1-H227)*(Supuestos!$F$11-Supuestos!$D$11)*(Supuestos!$F$11-Supuestos!$E$11))),IF(Supuestos!$C$11="Uniforme",Supuestos!$D$11+H227*(Supuestos!$E$11-Supuestos!$D$11),IF(Supuestos!$C$11="Lognormal",LOGINV(H227,LN(Supuestos!$D$11)-LN(1+Supuestos!$E$11^2/Supuestos!$D$11^2)/2,SQRT(LN(1+Supuestos!$E$11^2/Supuestos!$D$11^2))),Supuestos!$D$11))))))</f>
        <v/>
      </c>
      <c r="P227" s="33">
        <f>-I227</f>
        <v/>
      </c>
      <c r="Q227" s="33">
        <f>$J227*(1+$K227)^(1-1)*(1-$L227)*(1-$M227)</f>
        <v/>
      </c>
      <c r="R227" s="33">
        <f>$J227*(1+$K227)^(2-1)*(1-$L227)*(1-$M227)</f>
        <v/>
      </c>
      <c r="S227" s="33">
        <f>$J227*(1+$K227)^(3-1)*(1-$L227)*(1-$M227)</f>
        <v/>
      </c>
      <c r="T227" s="33">
        <f>$J227*(1+$K227)^(4-1)*(1-$L227)*(1-$M227)</f>
        <v/>
      </c>
      <c r="U227" s="33">
        <f>$J227*(1+$K227)^(5-1)*(1-$L227)*(1-$M227)+$O227</f>
        <v/>
      </c>
      <c r="V227" s="33">
        <f>P227+NPV($N227,Q227:U227)</f>
        <v/>
      </c>
      <c r="W227" s="32">
        <f>IFERROR(IRR(P227:U227,0.1),"")</f>
        <v/>
      </c>
    </row>
    <row r="228">
      <c r="A228" s="14" t="n">
        <v>224</v>
      </c>
      <c r="B228" s="30">
        <f>RAND()*(1-2E-6)+1E-6</f>
        <v/>
      </c>
      <c r="C228" s="30">
        <f>RAND()*(1-2E-6)+1E-6</f>
        <v/>
      </c>
      <c r="D228" s="30">
        <f>RAND()*(1-2E-6)+1E-6</f>
        <v/>
      </c>
      <c r="E228" s="30">
        <f>RAND()*(1-2E-6)+1E-6</f>
        <v/>
      </c>
      <c r="F228" s="30">
        <f>RAND()*(1-2E-6)+1E-6</f>
        <v/>
      </c>
      <c r="G228" s="30">
        <f>RAND()*(1-2E-6)+1E-6</f>
        <v/>
      </c>
      <c r="H228" s="30">
        <f>RAND()*(1-2E-6)+1E-6</f>
        <v/>
      </c>
      <c r="I228" s="31">
        <f>MIN(IF(Supuestos!$H$5="",1E+99,Supuestos!$H$5),MAX(IF(Supuestos!$G$5="",-1E+99,Supuestos!$G$5),IF(Supuestos!$C$5="Normal",NORMINV(B228,Supuestos!$D$5,Supuestos!$E$5),IF(Supuestos!$C$5="Triangular",IF(B228&lt;(Supuestos!$E$5-Supuestos!$D$5)/(Supuestos!$F$5-Supuestos!$D$5),Supuestos!$D$5+SQRT(B228*(Supuestos!$F$5-Supuestos!$D$5)*(Supuestos!$E$5-Supuestos!$D$5)),Supuestos!$F$5-SQRT((1-B228)*(Supuestos!$F$5-Supuestos!$D$5)*(Supuestos!$F$5-Supuestos!$E$5))),IF(Supuestos!$C$5="Uniforme",Supuestos!$D$5+B228*(Supuestos!$E$5-Supuestos!$D$5),IF(Supuestos!$C$5="Lognormal",LOGINV(B228,LN(Supuestos!$D$5)-LN(1+Supuestos!$E$5^2/Supuestos!$D$5^2)/2,SQRT(LN(1+Supuestos!$E$5^2/Supuestos!$D$5^2))),Supuestos!$D$5))))))</f>
        <v/>
      </c>
      <c r="J228" s="31">
        <f>MIN(IF(Supuestos!$H$6="",1E+99,Supuestos!$H$6),MAX(IF(Supuestos!$G$6="",-1E+99,Supuestos!$G$6),IF(Supuestos!$C$6="Normal",NORMINV(C228,Supuestos!$D$6,Supuestos!$E$6),IF(Supuestos!$C$6="Triangular",IF(C228&lt;(Supuestos!$E$6-Supuestos!$D$6)/(Supuestos!$F$6-Supuestos!$D$6),Supuestos!$D$6+SQRT(C228*(Supuestos!$F$6-Supuestos!$D$6)*(Supuestos!$E$6-Supuestos!$D$6)),Supuestos!$F$6-SQRT((1-C228)*(Supuestos!$F$6-Supuestos!$D$6)*(Supuestos!$F$6-Supuestos!$E$6))),IF(Supuestos!$C$6="Uniforme",Supuestos!$D$6+C228*(Supuestos!$E$6-Supuestos!$D$6),IF(Supuestos!$C$6="Lognormal",LOGINV(C228,LN(Supuestos!$D$6)-LN(1+Supuestos!$E$6^2/Supuestos!$D$6^2)/2,SQRT(LN(1+Supuestos!$E$6^2/Supuestos!$D$6^2))),Supuestos!$D$6))))))</f>
        <v/>
      </c>
      <c r="K228" s="32">
        <f>MIN(IF(Supuestos!$H$7="",1E+99,Supuestos!$H$7),MAX(IF(Supuestos!$G$7="",-1E+99,Supuestos!$G$7),IF(Supuestos!$C$7="Normal",NORMINV(D228,Supuestos!$D$7,Supuestos!$E$7),IF(Supuestos!$C$7="Triangular",IF(D228&lt;(Supuestos!$E$7-Supuestos!$D$7)/(Supuestos!$F$7-Supuestos!$D$7),Supuestos!$D$7+SQRT(D228*(Supuestos!$F$7-Supuestos!$D$7)*(Supuestos!$E$7-Supuestos!$D$7)),Supuestos!$F$7-SQRT((1-D228)*(Supuestos!$F$7-Supuestos!$D$7)*(Supuestos!$F$7-Supuestos!$E$7))),IF(Supuestos!$C$7="Uniforme",Supuestos!$D$7+D228*(Supuestos!$E$7-Supuestos!$D$7),IF(Supuestos!$C$7="Lognormal",LOGINV(D228,LN(Supuestos!$D$7)-LN(1+Supuestos!$E$7^2/Supuestos!$D$7^2)/2,SQRT(LN(1+Supuestos!$E$7^2/Supuestos!$D$7^2))),Supuestos!$D$7))))))</f>
        <v/>
      </c>
      <c r="L228" s="32">
        <f>MIN(IF(Supuestos!$H$8="",1E+99,Supuestos!$H$8),MAX(IF(Supuestos!$G$8="",-1E+99,Supuestos!$G$8),IF(Supuestos!$C$8="Normal",NORMINV(E228,Supuestos!$D$8,Supuestos!$E$8),IF(Supuestos!$C$8="Triangular",IF(E228&lt;(Supuestos!$E$8-Supuestos!$D$8)/(Supuestos!$F$8-Supuestos!$D$8),Supuestos!$D$8+SQRT(E228*(Supuestos!$F$8-Supuestos!$D$8)*(Supuestos!$E$8-Supuestos!$D$8)),Supuestos!$F$8-SQRT((1-E228)*(Supuestos!$F$8-Supuestos!$D$8)*(Supuestos!$F$8-Supuestos!$E$8))),IF(Supuestos!$C$8="Uniforme",Supuestos!$D$8+E228*(Supuestos!$E$8-Supuestos!$D$8),IF(Supuestos!$C$8="Lognormal",LOGINV(E228,LN(Supuestos!$D$8)-LN(1+Supuestos!$E$8^2/Supuestos!$D$8^2)/2,SQRT(LN(1+Supuestos!$E$8^2/Supuestos!$D$8^2))),Supuestos!$D$8))))))</f>
        <v/>
      </c>
      <c r="M228" s="32">
        <f>MIN(IF(Supuestos!$H$9="",1E+99,Supuestos!$H$9),MAX(IF(Supuestos!$G$9="",-1E+99,Supuestos!$G$9),IF(Supuestos!$C$9="Normal",NORMINV(F228,Supuestos!$D$9,Supuestos!$E$9),IF(Supuestos!$C$9="Triangular",IF(F228&lt;(Supuestos!$E$9-Supuestos!$D$9)/(Supuestos!$F$9-Supuestos!$D$9),Supuestos!$D$9+SQRT(F228*(Supuestos!$F$9-Supuestos!$D$9)*(Supuestos!$E$9-Supuestos!$D$9)),Supuestos!$F$9-SQRT((1-F228)*(Supuestos!$F$9-Supuestos!$D$9)*(Supuestos!$F$9-Supuestos!$E$9))),IF(Supuestos!$C$9="Uniforme",Supuestos!$D$9+F228*(Supuestos!$E$9-Supuestos!$D$9),IF(Supuestos!$C$9="Lognormal",LOGINV(F228,LN(Supuestos!$D$9)-LN(1+Supuestos!$E$9^2/Supuestos!$D$9^2)/2,SQRT(LN(1+Supuestos!$E$9^2/Supuestos!$D$9^2))),Supuestos!$D$9))))))</f>
        <v/>
      </c>
      <c r="N228" s="32">
        <f>MIN(IF(Supuestos!$H$10="",1E+99,Supuestos!$H$10),MAX(IF(Supuestos!$G$10="",-1E+99,Supuestos!$G$10),IF(Supuestos!$C$10="Normal",NORMINV(G228,Supuestos!$D$10,Supuestos!$E$10),IF(Supuestos!$C$10="Triangular",IF(G228&lt;(Supuestos!$E$10-Supuestos!$D$10)/(Supuestos!$F$10-Supuestos!$D$10),Supuestos!$D$10+SQRT(G228*(Supuestos!$F$10-Supuestos!$D$10)*(Supuestos!$E$10-Supuestos!$D$10)),Supuestos!$F$10-SQRT((1-G228)*(Supuestos!$F$10-Supuestos!$D$10)*(Supuestos!$F$10-Supuestos!$E$10))),IF(Supuestos!$C$10="Uniforme",Supuestos!$D$10+G228*(Supuestos!$E$10-Supuestos!$D$10),IF(Supuestos!$C$10="Lognormal",LOGINV(G228,LN(Supuestos!$D$10)-LN(1+Supuestos!$E$10^2/Supuestos!$D$10^2)/2,SQRT(LN(1+Supuestos!$E$10^2/Supuestos!$D$10^2))),Supuestos!$D$10))))))</f>
        <v/>
      </c>
      <c r="O228" s="31">
        <f>MIN(IF(Supuestos!$H$11="",1E+99,Supuestos!$H$11),MAX(IF(Supuestos!$G$11="",-1E+99,Supuestos!$G$11),IF(Supuestos!$C$11="Normal",NORMINV(H228,Supuestos!$D$11,Supuestos!$E$11),IF(Supuestos!$C$11="Triangular",IF(H228&lt;(Supuestos!$E$11-Supuestos!$D$11)/(Supuestos!$F$11-Supuestos!$D$11),Supuestos!$D$11+SQRT(H228*(Supuestos!$F$11-Supuestos!$D$11)*(Supuestos!$E$11-Supuestos!$D$11)),Supuestos!$F$11-SQRT((1-H228)*(Supuestos!$F$11-Supuestos!$D$11)*(Supuestos!$F$11-Supuestos!$E$11))),IF(Supuestos!$C$11="Uniforme",Supuestos!$D$11+H228*(Supuestos!$E$11-Supuestos!$D$11),IF(Supuestos!$C$11="Lognormal",LOGINV(H228,LN(Supuestos!$D$11)-LN(1+Supuestos!$E$11^2/Supuestos!$D$11^2)/2,SQRT(LN(1+Supuestos!$E$11^2/Supuestos!$D$11^2))),Supuestos!$D$11))))))</f>
        <v/>
      </c>
      <c r="P228" s="33">
        <f>-I228</f>
        <v/>
      </c>
      <c r="Q228" s="33">
        <f>$J228*(1+$K228)^(1-1)*(1-$L228)*(1-$M228)</f>
        <v/>
      </c>
      <c r="R228" s="33">
        <f>$J228*(1+$K228)^(2-1)*(1-$L228)*(1-$M228)</f>
        <v/>
      </c>
      <c r="S228" s="33">
        <f>$J228*(1+$K228)^(3-1)*(1-$L228)*(1-$M228)</f>
        <v/>
      </c>
      <c r="T228" s="33">
        <f>$J228*(1+$K228)^(4-1)*(1-$L228)*(1-$M228)</f>
        <v/>
      </c>
      <c r="U228" s="33">
        <f>$J228*(1+$K228)^(5-1)*(1-$L228)*(1-$M228)+$O228</f>
        <v/>
      </c>
      <c r="V228" s="33">
        <f>P228+NPV($N228,Q228:U228)</f>
        <v/>
      </c>
      <c r="W228" s="32">
        <f>IFERROR(IRR(P228:U228,0.1),"")</f>
        <v/>
      </c>
    </row>
    <row r="229">
      <c r="A229" s="14" t="n">
        <v>225</v>
      </c>
      <c r="B229" s="30">
        <f>RAND()*(1-2E-6)+1E-6</f>
        <v/>
      </c>
      <c r="C229" s="30">
        <f>RAND()*(1-2E-6)+1E-6</f>
        <v/>
      </c>
      <c r="D229" s="30">
        <f>RAND()*(1-2E-6)+1E-6</f>
        <v/>
      </c>
      <c r="E229" s="30">
        <f>RAND()*(1-2E-6)+1E-6</f>
        <v/>
      </c>
      <c r="F229" s="30">
        <f>RAND()*(1-2E-6)+1E-6</f>
        <v/>
      </c>
      <c r="G229" s="30">
        <f>RAND()*(1-2E-6)+1E-6</f>
        <v/>
      </c>
      <c r="H229" s="30">
        <f>RAND()*(1-2E-6)+1E-6</f>
        <v/>
      </c>
      <c r="I229" s="31">
        <f>MIN(IF(Supuestos!$H$5="",1E+99,Supuestos!$H$5),MAX(IF(Supuestos!$G$5="",-1E+99,Supuestos!$G$5),IF(Supuestos!$C$5="Normal",NORMINV(B229,Supuestos!$D$5,Supuestos!$E$5),IF(Supuestos!$C$5="Triangular",IF(B229&lt;(Supuestos!$E$5-Supuestos!$D$5)/(Supuestos!$F$5-Supuestos!$D$5),Supuestos!$D$5+SQRT(B229*(Supuestos!$F$5-Supuestos!$D$5)*(Supuestos!$E$5-Supuestos!$D$5)),Supuestos!$F$5-SQRT((1-B229)*(Supuestos!$F$5-Supuestos!$D$5)*(Supuestos!$F$5-Supuestos!$E$5))),IF(Supuestos!$C$5="Uniforme",Supuestos!$D$5+B229*(Supuestos!$E$5-Supuestos!$D$5),IF(Supuestos!$C$5="Lognormal",LOGINV(B229,LN(Supuestos!$D$5)-LN(1+Supuestos!$E$5^2/Supuestos!$D$5^2)/2,SQRT(LN(1+Supuestos!$E$5^2/Supuestos!$D$5^2))),Supuestos!$D$5))))))</f>
        <v/>
      </c>
      <c r="J229" s="31">
        <f>MIN(IF(Supuestos!$H$6="",1E+99,Supuestos!$H$6),MAX(IF(Supuestos!$G$6="",-1E+99,Supuestos!$G$6),IF(Supuestos!$C$6="Normal",NORMINV(C229,Supuestos!$D$6,Supuestos!$E$6),IF(Supuestos!$C$6="Triangular",IF(C229&lt;(Supuestos!$E$6-Supuestos!$D$6)/(Supuestos!$F$6-Supuestos!$D$6),Supuestos!$D$6+SQRT(C229*(Supuestos!$F$6-Supuestos!$D$6)*(Supuestos!$E$6-Supuestos!$D$6)),Supuestos!$F$6-SQRT((1-C229)*(Supuestos!$F$6-Supuestos!$D$6)*(Supuestos!$F$6-Supuestos!$E$6))),IF(Supuestos!$C$6="Uniforme",Supuestos!$D$6+C229*(Supuestos!$E$6-Supuestos!$D$6),IF(Supuestos!$C$6="Lognormal",LOGINV(C229,LN(Supuestos!$D$6)-LN(1+Supuestos!$E$6^2/Supuestos!$D$6^2)/2,SQRT(LN(1+Supuestos!$E$6^2/Supuestos!$D$6^2))),Supuestos!$D$6))))))</f>
        <v/>
      </c>
      <c r="K229" s="32">
        <f>MIN(IF(Supuestos!$H$7="",1E+99,Supuestos!$H$7),MAX(IF(Supuestos!$G$7="",-1E+99,Supuestos!$G$7),IF(Supuestos!$C$7="Normal",NORMINV(D229,Supuestos!$D$7,Supuestos!$E$7),IF(Supuestos!$C$7="Triangular",IF(D229&lt;(Supuestos!$E$7-Supuestos!$D$7)/(Supuestos!$F$7-Supuestos!$D$7),Supuestos!$D$7+SQRT(D229*(Supuestos!$F$7-Supuestos!$D$7)*(Supuestos!$E$7-Supuestos!$D$7)),Supuestos!$F$7-SQRT((1-D229)*(Supuestos!$F$7-Supuestos!$D$7)*(Supuestos!$F$7-Supuestos!$E$7))),IF(Supuestos!$C$7="Uniforme",Supuestos!$D$7+D229*(Supuestos!$E$7-Supuestos!$D$7),IF(Supuestos!$C$7="Lognormal",LOGINV(D229,LN(Supuestos!$D$7)-LN(1+Supuestos!$E$7^2/Supuestos!$D$7^2)/2,SQRT(LN(1+Supuestos!$E$7^2/Supuestos!$D$7^2))),Supuestos!$D$7))))))</f>
        <v/>
      </c>
      <c r="L229" s="32">
        <f>MIN(IF(Supuestos!$H$8="",1E+99,Supuestos!$H$8),MAX(IF(Supuestos!$G$8="",-1E+99,Supuestos!$G$8),IF(Supuestos!$C$8="Normal",NORMINV(E229,Supuestos!$D$8,Supuestos!$E$8),IF(Supuestos!$C$8="Triangular",IF(E229&lt;(Supuestos!$E$8-Supuestos!$D$8)/(Supuestos!$F$8-Supuestos!$D$8),Supuestos!$D$8+SQRT(E229*(Supuestos!$F$8-Supuestos!$D$8)*(Supuestos!$E$8-Supuestos!$D$8)),Supuestos!$F$8-SQRT((1-E229)*(Supuestos!$F$8-Supuestos!$D$8)*(Supuestos!$F$8-Supuestos!$E$8))),IF(Supuestos!$C$8="Uniforme",Supuestos!$D$8+E229*(Supuestos!$E$8-Supuestos!$D$8),IF(Supuestos!$C$8="Lognormal",LOGINV(E229,LN(Supuestos!$D$8)-LN(1+Supuestos!$E$8^2/Supuestos!$D$8^2)/2,SQRT(LN(1+Supuestos!$E$8^2/Supuestos!$D$8^2))),Supuestos!$D$8))))))</f>
        <v/>
      </c>
      <c r="M229" s="32">
        <f>MIN(IF(Supuestos!$H$9="",1E+99,Supuestos!$H$9),MAX(IF(Supuestos!$G$9="",-1E+99,Supuestos!$G$9),IF(Supuestos!$C$9="Normal",NORMINV(F229,Supuestos!$D$9,Supuestos!$E$9),IF(Supuestos!$C$9="Triangular",IF(F229&lt;(Supuestos!$E$9-Supuestos!$D$9)/(Supuestos!$F$9-Supuestos!$D$9),Supuestos!$D$9+SQRT(F229*(Supuestos!$F$9-Supuestos!$D$9)*(Supuestos!$E$9-Supuestos!$D$9)),Supuestos!$F$9-SQRT((1-F229)*(Supuestos!$F$9-Supuestos!$D$9)*(Supuestos!$F$9-Supuestos!$E$9))),IF(Supuestos!$C$9="Uniforme",Supuestos!$D$9+F229*(Supuestos!$E$9-Supuestos!$D$9),IF(Supuestos!$C$9="Lognormal",LOGINV(F229,LN(Supuestos!$D$9)-LN(1+Supuestos!$E$9^2/Supuestos!$D$9^2)/2,SQRT(LN(1+Supuestos!$E$9^2/Supuestos!$D$9^2))),Supuestos!$D$9))))))</f>
        <v/>
      </c>
      <c r="N229" s="32">
        <f>MIN(IF(Supuestos!$H$10="",1E+99,Supuestos!$H$10),MAX(IF(Supuestos!$G$10="",-1E+99,Supuestos!$G$10),IF(Supuestos!$C$10="Normal",NORMINV(G229,Supuestos!$D$10,Supuestos!$E$10),IF(Supuestos!$C$10="Triangular",IF(G229&lt;(Supuestos!$E$10-Supuestos!$D$10)/(Supuestos!$F$10-Supuestos!$D$10),Supuestos!$D$10+SQRT(G229*(Supuestos!$F$10-Supuestos!$D$10)*(Supuestos!$E$10-Supuestos!$D$10)),Supuestos!$F$10-SQRT((1-G229)*(Supuestos!$F$10-Supuestos!$D$10)*(Supuestos!$F$10-Supuestos!$E$10))),IF(Supuestos!$C$10="Uniforme",Supuestos!$D$10+G229*(Supuestos!$E$10-Supuestos!$D$10),IF(Supuestos!$C$10="Lognormal",LOGINV(G229,LN(Supuestos!$D$10)-LN(1+Supuestos!$E$10^2/Supuestos!$D$10^2)/2,SQRT(LN(1+Supuestos!$E$10^2/Supuestos!$D$10^2))),Supuestos!$D$10))))))</f>
        <v/>
      </c>
      <c r="O229" s="31">
        <f>MIN(IF(Supuestos!$H$11="",1E+99,Supuestos!$H$11),MAX(IF(Supuestos!$G$11="",-1E+99,Supuestos!$G$11),IF(Supuestos!$C$11="Normal",NORMINV(H229,Supuestos!$D$11,Supuestos!$E$11),IF(Supuestos!$C$11="Triangular",IF(H229&lt;(Supuestos!$E$11-Supuestos!$D$11)/(Supuestos!$F$11-Supuestos!$D$11),Supuestos!$D$11+SQRT(H229*(Supuestos!$F$11-Supuestos!$D$11)*(Supuestos!$E$11-Supuestos!$D$11)),Supuestos!$F$11-SQRT((1-H229)*(Supuestos!$F$11-Supuestos!$D$11)*(Supuestos!$F$11-Supuestos!$E$11))),IF(Supuestos!$C$11="Uniforme",Supuestos!$D$11+H229*(Supuestos!$E$11-Supuestos!$D$11),IF(Supuestos!$C$11="Lognormal",LOGINV(H229,LN(Supuestos!$D$11)-LN(1+Supuestos!$E$11^2/Supuestos!$D$11^2)/2,SQRT(LN(1+Supuestos!$E$11^2/Supuestos!$D$11^2))),Supuestos!$D$11))))))</f>
        <v/>
      </c>
      <c r="P229" s="33">
        <f>-I229</f>
        <v/>
      </c>
      <c r="Q229" s="33">
        <f>$J229*(1+$K229)^(1-1)*(1-$L229)*(1-$M229)</f>
        <v/>
      </c>
      <c r="R229" s="33">
        <f>$J229*(1+$K229)^(2-1)*(1-$L229)*(1-$M229)</f>
        <v/>
      </c>
      <c r="S229" s="33">
        <f>$J229*(1+$K229)^(3-1)*(1-$L229)*(1-$M229)</f>
        <v/>
      </c>
      <c r="T229" s="33">
        <f>$J229*(1+$K229)^(4-1)*(1-$L229)*(1-$M229)</f>
        <v/>
      </c>
      <c r="U229" s="33">
        <f>$J229*(1+$K229)^(5-1)*(1-$L229)*(1-$M229)+$O229</f>
        <v/>
      </c>
      <c r="V229" s="33">
        <f>P229+NPV($N229,Q229:U229)</f>
        <v/>
      </c>
      <c r="W229" s="32">
        <f>IFERROR(IRR(P229:U229,0.1),"")</f>
        <v/>
      </c>
    </row>
    <row r="230">
      <c r="A230" s="14" t="n">
        <v>226</v>
      </c>
      <c r="B230" s="30">
        <f>RAND()*(1-2E-6)+1E-6</f>
        <v/>
      </c>
      <c r="C230" s="30">
        <f>RAND()*(1-2E-6)+1E-6</f>
        <v/>
      </c>
      <c r="D230" s="30">
        <f>RAND()*(1-2E-6)+1E-6</f>
        <v/>
      </c>
      <c r="E230" s="30">
        <f>RAND()*(1-2E-6)+1E-6</f>
        <v/>
      </c>
      <c r="F230" s="30">
        <f>RAND()*(1-2E-6)+1E-6</f>
        <v/>
      </c>
      <c r="G230" s="30">
        <f>RAND()*(1-2E-6)+1E-6</f>
        <v/>
      </c>
      <c r="H230" s="30">
        <f>RAND()*(1-2E-6)+1E-6</f>
        <v/>
      </c>
      <c r="I230" s="31">
        <f>MIN(IF(Supuestos!$H$5="",1E+99,Supuestos!$H$5),MAX(IF(Supuestos!$G$5="",-1E+99,Supuestos!$G$5),IF(Supuestos!$C$5="Normal",NORMINV(B230,Supuestos!$D$5,Supuestos!$E$5),IF(Supuestos!$C$5="Triangular",IF(B230&lt;(Supuestos!$E$5-Supuestos!$D$5)/(Supuestos!$F$5-Supuestos!$D$5),Supuestos!$D$5+SQRT(B230*(Supuestos!$F$5-Supuestos!$D$5)*(Supuestos!$E$5-Supuestos!$D$5)),Supuestos!$F$5-SQRT((1-B230)*(Supuestos!$F$5-Supuestos!$D$5)*(Supuestos!$F$5-Supuestos!$E$5))),IF(Supuestos!$C$5="Uniforme",Supuestos!$D$5+B230*(Supuestos!$E$5-Supuestos!$D$5),IF(Supuestos!$C$5="Lognormal",LOGINV(B230,LN(Supuestos!$D$5)-LN(1+Supuestos!$E$5^2/Supuestos!$D$5^2)/2,SQRT(LN(1+Supuestos!$E$5^2/Supuestos!$D$5^2))),Supuestos!$D$5))))))</f>
        <v/>
      </c>
      <c r="J230" s="31">
        <f>MIN(IF(Supuestos!$H$6="",1E+99,Supuestos!$H$6),MAX(IF(Supuestos!$G$6="",-1E+99,Supuestos!$G$6),IF(Supuestos!$C$6="Normal",NORMINV(C230,Supuestos!$D$6,Supuestos!$E$6),IF(Supuestos!$C$6="Triangular",IF(C230&lt;(Supuestos!$E$6-Supuestos!$D$6)/(Supuestos!$F$6-Supuestos!$D$6),Supuestos!$D$6+SQRT(C230*(Supuestos!$F$6-Supuestos!$D$6)*(Supuestos!$E$6-Supuestos!$D$6)),Supuestos!$F$6-SQRT((1-C230)*(Supuestos!$F$6-Supuestos!$D$6)*(Supuestos!$F$6-Supuestos!$E$6))),IF(Supuestos!$C$6="Uniforme",Supuestos!$D$6+C230*(Supuestos!$E$6-Supuestos!$D$6),IF(Supuestos!$C$6="Lognormal",LOGINV(C230,LN(Supuestos!$D$6)-LN(1+Supuestos!$E$6^2/Supuestos!$D$6^2)/2,SQRT(LN(1+Supuestos!$E$6^2/Supuestos!$D$6^2))),Supuestos!$D$6))))))</f>
        <v/>
      </c>
      <c r="K230" s="32">
        <f>MIN(IF(Supuestos!$H$7="",1E+99,Supuestos!$H$7),MAX(IF(Supuestos!$G$7="",-1E+99,Supuestos!$G$7),IF(Supuestos!$C$7="Normal",NORMINV(D230,Supuestos!$D$7,Supuestos!$E$7),IF(Supuestos!$C$7="Triangular",IF(D230&lt;(Supuestos!$E$7-Supuestos!$D$7)/(Supuestos!$F$7-Supuestos!$D$7),Supuestos!$D$7+SQRT(D230*(Supuestos!$F$7-Supuestos!$D$7)*(Supuestos!$E$7-Supuestos!$D$7)),Supuestos!$F$7-SQRT((1-D230)*(Supuestos!$F$7-Supuestos!$D$7)*(Supuestos!$F$7-Supuestos!$E$7))),IF(Supuestos!$C$7="Uniforme",Supuestos!$D$7+D230*(Supuestos!$E$7-Supuestos!$D$7),IF(Supuestos!$C$7="Lognormal",LOGINV(D230,LN(Supuestos!$D$7)-LN(1+Supuestos!$E$7^2/Supuestos!$D$7^2)/2,SQRT(LN(1+Supuestos!$E$7^2/Supuestos!$D$7^2))),Supuestos!$D$7))))))</f>
        <v/>
      </c>
      <c r="L230" s="32">
        <f>MIN(IF(Supuestos!$H$8="",1E+99,Supuestos!$H$8),MAX(IF(Supuestos!$G$8="",-1E+99,Supuestos!$G$8),IF(Supuestos!$C$8="Normal",NORMINV(E230,Supuestos!$D$8,Supuestos!$E$8),IF(Supuestos!$C$8="Triangular",IF(E230&lt;(Supuestos!$E$8-Supuestos!$D$8)/(Supuestos!$F$8-Supuestos!$D$8),Supuestos!$D$8+SQRT(E230*(Supuestos!$F$8-Supuestos!$D$8)*(Supuestos!$E$8-Supuestos!$D$8)),Supuestos!$F$8-SQRT((1-E230)*(Supuestos!$F$8-Supuestos!$D$8)*(Supuestos!$F$8-Supuestos!$E$8))),IF(Supuestos!$C$8="Uniforme",Supuestos!$D$8+E230*(Supuestos!$E$8-Supuestos!$D$8),IF(Supuestos!$C$8="Lognormal",LOGINV(E230,LN(Supuestos!$D$8)-LN(1+Supuestos!$E$8^2/Supuestos!$D$8^2)/2,SQRT(LN(1+Supuestos!$E$8^2/Supuestos!$D$8^2))),Supuestos!$D$8))))))</f>
        <v/>
      </c>
      <c r="M230" s="32">
        <f>MIN(IF(Supuestos!$H$9="",1E+99,Supuestos!$H$9),MAX(IF(Supuestos!$G$9="",-1E+99,Supuestos!$G$9),IF(Supuestos!$C$9="Normal",NORMINV(F230,Supuestos!$D$9,Supuestos!$E$9),IF(Supuestos!$C$9="Triangular",IF(F230&lt;(Supuestos!$E$9-Supuestos!$D$9)/(Supuestos!$F$9-Supuestos!$D$9),Supuestos!$D$9+SQRT(F230*(Supuestos!$F$9-Supuestos!$D$9)*(Supuestos!$E$9-Supuestos!$D$9)),Supuestos!$F$9-SQRT((1-F230)*(Supuestos!$F$9-Supuestos!$D$9)*(Supuestos!$F$9-Supuestos!$E$9))),IF(Supuestos!$C$9="Uniforme",Supuestos!$D$9+F230*(Supuestos!$E$9-Supuestos!$D$9),IF(Supuestos!$C$9="Lognormal",LOGINV(F230,LN(Supuestos!$D$9)-LN(1+Supuestos!$E$9^2/Supuestos!$D$9^2)/2,SQRT(LN(1+Supuestos!$E$9^2/Supuestos!$D$9^2))),Supuestos!$D$9))))))</f>
        <v/>
      </c>
      <c r="N230" s="32">
        <f>MIN(IF(Supuestos!$H$10="",1E+99,Supuestos!$H$10),MAX(IF(Supuestos!$G$10="",-1E+99,Supuestos!$G$10),IF(Supuestos!$C$10="Normal",NORMINV(G230,Supuestos!$D$10,Supuestos!$E$10),IF(Supuestos!$C$10="Triangular",IF(G230&lt;(Supuestos!$E$10-Supuestos!$D$10)/(Supuestos!$F$10-Supuestos!$D$10),Supuestos!$D$10+SQRT(G230*(Supuestos!$F$10-Supuestos!$D$10)*(Supuestos!$E$10-Supuestos!$D$10)),Supuestos!$F$10-SQRT((1-G230)*(Supuestos!$F$10-Supuestos!$D$10)*(Supuestos!$F$10-Supuestos!$E$10))),IF(Supuestos!$C$10="Uniforme",Supuestos!$D$10+G230*(Supuestos!$E$10-Supuestos!$D$10),IF(Supuestos!$C$10="Lognormal",LOGINV(G230,LN(Supuestos!$D$10)-LN(1+Supuestos!$E$10^2/Supuestos!$D$10^2)/2,SQRT(LN(1+Supuestos!$E$10^2/Supuestos!$D$10^2))),Supuestos!$D$10))))))</f>
        <v/>
      </c>
      <c r="O230" s="31">
        <f>MIN(IF(Supuestos!$H$11="",1E+99,Supuestos!$H$11),MAX(IF(Supuestos!$G$11="",-1E+99,Supuestos!$G$11),IF(Supuestos!$C$11="Normal",NORMINV(H230,Supuestos!$D$11,Supuestos!$E$11),IF(Supuestos!$C$11="Triangular",IF(H230&lt;(Supuestos!$E$11-Supuestos!$D$11)/(Supuestos!$F$11-Supuestos!$D$11),Supuestos!$D$11+SQRT(H230*(Supuestos!$F$11-Supuestos!$D$11)*(Supuestos!$E$11-Supuestos!$D$11)),Supuestos!$F$11-SQRT((1-H230)*(Supuestos!$F$11-Supuestos!$D$11)*(Supuestos!$F$11-Supuestos!$E$11))),IF(Supuestos!$C$11="Uniforme",Supuestos!$D$11+H230*(Supuestos!$E$11-Supuestos!$D$11),IF(Supuestos!$C$11="Lognormal",LOGINV(H230,LN(Supuestos!$D$11)-LN(1+Supuestos!$E$11^2/Supuestos!$D$11^2)/2,SQRT(LN(1+Supuestos!$E$11^2/Supuestos!$D$11^2))),Supuestos!$D$11))))))</f>
        <v/>
      </c>
      <c r="P230" s="33">
        <f>-I230</f>
        <v/>
      </c>
      <c r="Q230" s="33">
        <f>$J230*(1+$K230)^(1-1)*(1-$L230)*(1-$M230)</f>
        <v/>
      </c>
      <c r="R230" s="33">
        <f>$J230*(1+$K230)^(2-1)*(1-$L230)*(1-$M230)</f>
        <v/>
      </c>
      <c r="S230" s="33">
        <f>$J230*(1+$K230)^(3-1)*(1-$L230)*(1-$M230)</f>
        <v/>
      </c>
      <c r="T230" s="33">
        <f>$J230*(1+$K230)^(4-1)*(1-$L230)*(1-$M230)</f>
        <v/>
      </c>
      <c r="U230" s="33">
        <f>$J230*(1+$K230)^(5-1)*(1-$L230)*(1-$M230)+$O230</f>
        <v/>
      </c>
      <c r="V230" s="33">
        <f>P230+NPV($N230,Q230:U230)</f>
        <v/>
      </c>
      <c r="W230" s="32">
        <f>IFERROR(IRR(P230:U230,0.1),"")</f>
        <v/>
      </c>
    </row>
    <row r="231">
      <c r="A231" s="14" t="n">
        <v>227</v>
      </c>
      <c r="B231" s="30">
        <f>RAND()*(1-2E-6)+1E-6</f>
        <v/>
      </c>
      <c r="C231" s="30">
        <f>RAND()*(1-2E-6)+1E-6</f>
        <v/>
      </c>
      <c r="D231" s="30">
        <f>RAND()*(1-2E-6)+1E-6</f>
        <v/>
      </c>
      <c r="E231" s="30">
        <f>RAND()*(1-2E-6)+1E-6</f>
        <v/>
      </c>
      <c r="F231" s="30">
        <f>RAND()*(1-2E-6)+1E-6</f>
        <v/>
      </c>
      <c r="G231" s="30">
        <f>RAND()*(1-2E-6)+1E-6</f>
        <v/>
      </c>
      <c r="H231" s="30">
        <f>RAND()*(1-2E-6)+1E-6</f>
        <v/>
      </c>
      <c r="I231" s="31">
        <f>MIN(IF(Supuestos!$H$5="",1E+99,Supuestos!$H$5),MAX(IF(Supuestos!$G$5="",-1E+99,Supuestos!$G$5),IF(Supuestos!$C$5="Normal",NORMINV(B231,Supuestos!$D$5,Supuestos!$E$5),IF(Supuestos!$C$5="Triangular",IF(B231&lt;(Supuestos!$E$5-Supuestos!$D$5)/(Supuestos!$F$5-Supuestos!$D$5),Supuestos!$D$5+SQRT(B231*(Supuestos!$F$5-Supuestos!$D$5)*(Supuestos!$E$5-Supuestos!$D$5)),Supuestos!$F$5-SQRT((1-B231)*(Supuestos!$F$5-Supuestos!$D$5)*(Supuestos!$F$5-Supuestos!$E$5))),IF(Supuestos!$C$5="Uniforme",Supuestos!$D$5+B231*(Supuestos!$E$5-Supuestos!$D$5),IF(Supuestos!$C$5="Lognormal",LOGINV(B231,LN(Supuestos!$D$5)-LN(1+Supuestos!$E$5^2/Supuestos!$D$5^2)/2,SQRT(LN(1+Supuestos!$E$5^2/Supuestos!$D$5^2))),Supuestos!$D$5))))))</f>
        <v/>
      </c>
      <c r="J231" s="31">
        <f>MIN(IF(Supuestos!$H$6="",1E+99,Supuestos!$H$6),MAX(IF(Supuestos!$G$6="",-1E+99,Supuestos!$G$6),IF(Supuestos!$C$6="Normal",NORMINV(C231,Supuestos!$D$6,Supuestos!$E$6),IF(Supuestos!$C$6="Triangular",IF(C231&lt;(Supuestos!$E$6-Supuestos!$D$6)/(Supuestos!$F$6-Supuestos!$D$6),Supuestos!$D$6+SQRT(C231*(Supuestos!$F$6-Supuestos!$D$6)*(Supuestos!$E$6-Supuestos!$D$6)),Supuestos!$F$6-SQRT((1-C231)*(Supuestos!$F$6-Supuestos!$D$6)*(Supuestos!$F$6-Supuestos!$E$6))),IF(Supuestos!$C$6="Uniforme",Supuestos!$D$6+C231*(Supuestos!$E$6-Supuestos!$D$6),IF(Supuestos!$C$6="Lognormal",LOGINV(C231,LN(Supuestos!$D$6)-LN(1+Supuestos!$E$6^2/Supuestos!$D$6^2)/2,SQRT(LN(1+Supuestos!$E$6^2/Supuestos!$D$6^2))),Supuestos!$D$6))))))</f>
        <v/>
      </c>
      <c r="K231" s="32">
        <f>MIN(IF(Supuestos!$H$7="",1E+99,Supuestos!$H$7),MAX(IF(Supuestos!$G$7="",-1E+99,Supuestos!$G$7),IF(Supuestos!$C$7="Normal",NORMINV(D231,Supuestos!$D$7,Supuestos!$E$7),IF(Supuestos!$C$7="Triangular",IF(D231&lt;(Supuestos!$E$7-Supuestos!$D$7)/(Supuestos!$F$7-Supuestos!$D$7),Supuestos!$D$7+SQRT(D231*(Supuestos!$F$7-Supuestos!$D$7)*(Supuestos!$E$7-Supuestos!$D$7)),Supuestos!$F$7-SQRT((1-D231)*(Supuestos!$F$7-Supuestos!$D$7)*(Supuestos!$F$7-Supuestos!$E$7))),IF(Supuestos!$C$7="Uniforme",Supuestos!$D$7+D231*(Supuestos!$E$7-Supuestos!$D$7),IF(Supuestos!$C$7="Lognormal",LOGINV(D231,LN(Supuestos!$D$7)-LN(1+Supuestos!$E$7^2/Supuestos!$D$7^2)/2,SQRT(LN(1+Supuestos!$E$7^2/Supuestos!$D$7^2))),Supuestos!$D$7))))))</f>
        <v/>
      </c>
      <c r="L231" s="32">
        <f>MIN(IF(Supuestos!$H$8="",1E+99,Supuestos!$H$8),MAX(IF(Supuestos!$G$8="",-1E+99,Supuestos!$G$8),IF(Supuestos!$C$8="Normal",NORMINV(E231,Supuestos!$D$8,Supuestos!$E$8),IF(Supuestos!$C$8="Triangular",IF(E231&lt;(Supuestos!$E$8-Supuestos!$D$8)/(Supuestos!$F$8-Supuestos!$D$8),Supuestos!$D$8+SQRT(E231*(Supuestos!$F$8-Supuestos!$D$8)*(Supuestos!$E$8-Supuestos!$D$8)),Supuestos!$F$8-SQRT((1-E231)*(Supuestos!$F$8-Supuestos!$D$8)*(Supuestos!$F$8-Supuestos!$E$8))),IF(Supuestos!$C$8="Uniforme",Supuestos!$D$8+E231*(Supuestos!$E$8-Supuestos!$D$8),IF(Supuestos!$C$8="Lognormal",LOGINV(E231,LN(Supuestos!$D$8)-LN(1+Supuestos!$E$8^2/Supuestos!$D$8^2)/2,SQRT(LN(1+Supuestos!$E$8^2/Supuestos!$D$8^2))),Supuestos!$D$8))))))</f>
        <v/>
      </c>
      <c r="M231" s="32">
        <f>MIN(IF(Supuestos!$H$9="",1E+99,Supuestos!$H$9),MAX(IF(Supuestos!$G$9="",-1E+99,Supuestos!$G$9),IF(Supuestos!$C$9="Normal",NORMINV(F231,Supuestos!$D$9,Supuestos!$E$9),IF(Supuestos!$C$9="Triangular",IF(F231&lt;(Supuestos!$E$9-Supuestos!$D$9)/(Supuestos!$F$9-Supuestos!$D$9),Supuestos!$D$9+SQRT(F231*(Supuestos!$F$9-Supuestos!$D$9)*(Supuestos!$E$9-Supuestos!$D$9)),Supuestos!$F$9-SQRT((1-F231)*(Supuestos!$F$9-Supuestos!$D$9)*(Supuestos!$F$9-Supuestos!$E$9))),IF(Supuestos!$C$9="Uniforme",Supuestos!$D$9+F231*(Supuestos!$E$9-Supuestos!$D$9),IF(Supuestos!$C$9="Lognormal",LOGINV(F231,LN(Supuestos!$D$9)-LN(1+Supuestos!$E$9^2/Supuestos!$D$9^2)/2,SQRT(LN(1+Supuestos!$E$9^2/Supuestos!$D$9^2))),Supuestos!$D$9))))))</f>
        <v/>
      </c>
      <c r="N231" s="32">
        <f>MIN(IF(Supuestos!$H$10="",1E+99,Supuestos!$H$10),MAX(IF(Supuestos!$G$10="",-1E+99,Supuestos!$G$10),IF(Supuestos!$C$10="Normal",NORMINV(G231,Supuestos!$D$10,Supuestos!$E$10),IF(Supuestos!$C$10="Triangular",IF(G231&lt;(Supuestos!$E$10-Supuestos!$D$10)/(Supuestos!$F$10-Supuestos!$D$10),Supuestos!$D$10+SQRT(G231*(Supuestos!$F$10-Supuestos!$D$10)*(Supuestos!$E$10-Supuestos!$D$10)),Supuestos!$F$10-SQRT((1-G231)*(Supuestos!$F$10-Supuestos!$D$10)*(Supuestos!$F$10-Supuestos!$E$10))),IF(Supuestos!$C$10="Uniforme",Supuestos!$D$10+G231*(Supuestos!$E$10-Supuestos!$D$10),IF(Supuestos!$C$10="Lognormal",LOGINV(G231,LN(Supuestos!$D$10)-LN(1+Supuestos!$E$10^2/Supuestos!$D$10^2)/2,SQRT(LN(1+Supuestos!$E$10^2/Supuestos!$D$10^2))),Supuestos!$D$10))))))</f>
        <v/>
      </c>
      <c r="O231" s="31">
        <f>MIN(IF(Supuestos!$H$11="",1E+99,Supuestos!$H$11),MAX(IF(Supuestos!$G$11="",-1E+99,Supuestos!$G$11),IF(Supuestos!$C$11="Normal",NORMINV(H231,Supuestos!$D$11,Supuestos!$E$11),IF(Supuestos!$C$11="Triangular",IF(H231&lt;(Supuestos!$E$11-Supuestos!$D$11)/(Supuestos!$F$11-Supuestos!$D$11),Supuestos!$D$11+SQRT(H231*(Supuestos!$F$11-Supuestos!$D$11)*(Supuestos!$E$11-Supuestos!$D$11)),Supuestos!$F$11-SQRT((1-H231)*(Supuestos!$F$11-Supuestos!$D$11)*(Supuestos!$F$11-Supuestos!$E$11))),IF(Supuestos!$C$11="Uniforme",Supuestos!$D$11+H231*(Supuestos!$E$11-Supuestos!$D$11),IF(Supuestos!$C$11="Lognormal",LOGINV(H231,LN(Supuestos!$D$11)-LN(1+Supuestos!$E$11^2/Supuestos!$D$11^2)/2,SQRT(LN(1+Supuestos!$E$11^2/Supuestos!$D$11^2))),Supuestos!$D$11))))))</f>
        <v/>
      </c>
      <c r="P231" s="33">
        <f>-I231</f>
        <v/>
      </c>
      <c r="Q231" s="33">
        <f>$J231*(1+$K231)^(1-1)*(1-$L231)*(1-$M231)</f>
        <v/>
      </c>
      <c r="R231" s="33">
        <f>$J231*(1+$K231)^(2-1)*(1-$L231)*(1-$M231)</f>
        <v/>
      </c>
      <c r="S231" s="33">
        <f>$J231*(1+$K231)^(3-1)*(1-$L231)*(1-$M231)</f>
        <v/>
      </c>
      <c r="T231" s="33">
        <f>$J231*(1+$K231)^(4-1)*(1-$L231)*(1-$M231)</f>
        <v/>
      </c>
      <c r="U231" s="33">
        <f>$J231*(1+$K231)^(5-1)*(1-$L231)*(1-$M231)+$O231</f>
        <v/>
      </c>
      <c r="V231" s="33">
        <f>P231+NPV($N231,Q231:U231)</f>
        <v/>
      </c>
      <c r="W231" s="32">
        <f>IFERROR(IRR(P231:U231,0.1),"")</f>
        <v/>
      </c>
    </row>
    <row r="232">
      <c r="A232" s="14" t="n">
        <v>228</v>
      </c>
      <c r="B232" s="30">
        <f>RAND()*(1-2E-6)+1E-6</f>
        <v/>
      </c>
      <c r="C232" s="30">
        <f>RAND()*(1-2E-6)+1E-6</f>
        <v/>
      </c>
      <c r="D232" s="30">
        <f>RAND()*(1-2E-6)+1E-6</f>
        <v/>
      </c>
      <c r="E232" s="30">
        <f>RAND()*(1-2E-6)+1E-6</f>
        <v/>
      </c>
      <c r="F232" s="30">
        <f>RAND()*(1-2E-6)+1E-6</f>
        <v/>
      </c>
      <c r="G232" s="30">
        <f>RAND()*(1-2E-6)+1E-6</f>
        <v/>
      </c>
      <c r="H232" s="30">
        <f>RAND()*(1-2E-6)+1E-6</f>
        <v/>
      </c>
      <c r="I232" s="31">
        <f>MIN(IF(Supuestos!$H$5="",1E+99,Supuestos!$H$5),MAX(IF(Supuestos!$G$5="",-1E+99,Supuestos!$G$5),IF(Supuestos!$C$5="Normal",NORMINV(B232,Supuestos!$D$5,Supuestos!$E$5),IF(Supuestos!$C$5="Triangular",IF(B232&lt;(Supuestos!$E$5-Supuestos!$D$5)/(Supuestos!$F$5-Supuestos!$D$5),Supuestos!$D$5+SQRT(B232*(Supuestos!$F$5-Supuestos!$D$5)*(Supuestos!$E$5-Supuestos!$D$5)),Supuestos!$F$5-SQRT((1-B232)*(Supuestos!$F$5-Supuestos!$D$5)*(Supuestos!$F$5-Supuestos!$E$5))),IF(Supuestos!$C$5="Uniforme",Supuestos!$D$5+B232*(Supuestos!$E$5-Supuestos!$D$5),IF(Supuestos!$C$5="Lognormal",LOGINV(B232,LN(Supuestos!$D$5)-LN(1+Supuestos!$E$5^2/Supuestos!$D$5^2)/2,SQRT(LN(1+Supuestos!$E$5^2/Supuestos!$D$5^2))),Supuestos!$D$5))))))</f>
        <v/>
      </c>
      <c r="J232" s="31">
        <f>MIN(IF(Supuestos!$H$6="",1E+99,Supuestos!$H$6),MAX(IF(Supuestos!$G$6="",-1E+99,Supuestos!$G$6),IF(Supuestos!$C$6="Normal",NORMINV(C232,Supuestos!$D$6,Supuestos!$E$6),IF(Supuestos!$C$6="Triangular",IF(C232&lt;(Supuestos!$E$6-Supuestos!$D$6)/(Supuestos!$F$6-Supuestos!$D$6),Supuestos!$D$6+SQRT(C232*(Supuestos!$F$6-Supuestos!$D$6)*(Supuestos!$E$6-Supuestos!$D$6)),Supuestos!$F$6-SQRT((1-C232)*(Supuestos!$F$6-Supuestos!$D$6)*(Supuestos!$F$6-Supuestos!$E$6))),IF(Supuestos!$C$6="Uniforme",Supuestos!$D$6+C232*(Supuestos!$E$6-Supuestos!$D$6),IF(Supuestos!$C$6="Lognormal",LOGINV(C232,LN(Supuestos!$D$6)-LN(1+Supuestos!$E$6^2/Supuestos!$D$6^2)/2,SQRT(LN(1+Supuestos!$E$6^2/Supuestos!$D$6^2))),Supuestos!$D$6))))))</f>
        <v/>
      </c>
      <c r="K232" s="32">
        <f>MIN(IF(Supuestos!$H$7="",1E+99,Supuestos!$H$7),MAX(IF(Supuestos!$G$7="",-1E+99,Supuestos!$G$7),IF(Supuestos!$C$7="Normal",NORMINV(D232,Supuestos!$D$7,Supuestos!$E$7),IF(Supuestos!$C$7="Triangular",IF(D232&lt;(Supuestos!$E$7-Supuestos!$D$7)/(Supuestos!$F$7-Supuestos!$D$7),Supuestos!$D$7+SQRT(D232*(Supuestos!$F$7-Supuestos!$D$7)*(Supuestos!$E$7-Supuestos!$D$7)),Supuestos!$F$7-SQRT((1-D232)*(Supuestos!$F$7-Supuestos!$D$7)*(Supuestos!$F$7-Supuestos!$E$7))),IF(Supuestos!$C$7="Uniforme",Supuestos!$D$7+D232*(Supuestos!$E$7-Supuestos!$D$7),IF(Supuestos!$C$7="Lognormal",LOGINV(D232,LN(Supuestos!$D$7)-LN(1+Supuestos!$E$7^2/Supuestos!$D$7^2)/2,SQRT(LN(1+Supuestos!$E$7^2/Supuestos!$D$7^2))),Supuestos!$D$7))))))</f>
        <v/>
      </c>
      <c r="L232" s="32">
        <f>MIN(IF(Supuestos!$H$8="",1E+99,Supuestos!$H$8),MAX(IF(Supuestos!$G$8="",-1E+99,Supuestos!$G$8),IF(Supuestos!$C$8="Normal",NORMINV(E232,Supuestos!$D$8,Supuestos!$E$8),IF(Supuestos!$C$8="Triangular",IF(E232&lt;(Supuestos!$E$8-Supuestos!$D$8)/(Supuestos!$F$8-Supuestos!$D$8),Supuestos!$D$8+SQRT(E232*(Supuestos!$F$8-Supuestos!$D$8)*(Supuestos!$E$8-Supuestos!$D$8)),Supuestos!$F$8-SQRT((1-E232)*(Supuestos!$F$8-Supuestos!$D$8)*(Supuestos!$F$8-Supuestos!$E$8))),IF(Supuestos!$C$8="Uniforme",Supuestos!$D$8+E232*(Supuestos!$E$8-Supuestos!$D$8),IF(Supuestos!$C$8="Lognormal",LOGINV(E232,LN(Supuestos!$D$8)-LN(1+Supuestos!$E$8^2/Supuestos!$D$8^2)/2,SQRT(LN(1+Supuestos!$E$8^2/Supuestos!$D$8^2))),Supuestos!$D$8))))))</f>
        <v/>
      </c>
      <c r="M232" s="32">
        <f>MIN(IF(Supuestos!$H$9="",1E+99,Supuestos!$H$9),MAX(IF(Supuestos!$G$9="",-1E+99,Supuestos!$G$9),IF(Supuestos!$C$9="Normal",NORMINV(F232,Supuestos!$D$9,Supuestos!$E$9),IF(Supuestos!$C$9="Triangular",IF(F232&lt;(Supuestos!$E$9-Supuestos!$D$9)/(Supuestos!$F$9-Supuestos!$D$9),Supuestos!$D$9+SQRT(F232*(Supuestos!$F$9-Supuestos!$D$9)*(Supuestos!$E$9-Supuestos!$D$9)),Supuestos!$F$9-SQRT((1-F232)*(Supuestos!$F$9-Supuestos!$D$9)*(Supuestos!$F$9-Supuestos!$E$9))),IF(Supuestos!$C$9="Uniforme",Supuestos!$D$9+F232*(Supuestos!$E$9-Supuestos!$D$9),IF(Supuestos!$C$9="Lognormal",LOGINV(F232,LN(Supuestos!$D$9)-LN(1+Supuestos!$E$9^2/Supuestos!$D$9^2)/2,SQRT(LN(1+Supuestos!$E$9^2/Supuestos!$D$9^2))),Supuestos!$D$9))))))</f>
        <v/>
      </c>
      <c r="N232" s="32">
        <f>MIN(IF(Supuestos!$H$10="",1E+99,Supuestos!$H$10),MAX(IF(Supuestos!$G$10="",-1E+99,Supuestos!$G$10),IF(Supuestos!$C$10="Normal",NORMINV(G232,Supuestos!$D$10,Supuestos!$E$10),IF(Supuestos!$C$10="Triangular",IF(G232&lt;(Supuestos!$E$10-Supuestos!$D$10)/(Supuestos!$F$10-Supuestos!$D$10),Supuestos!$D$10+SQRT(G232*(Supuestos!$F$10-Supuestos!$D$10)*(Supuestos!$E$10-Supuestos!$D$10)),Supuestos!$F$10-SQRT((1-G232)*(Supuestos!$F$10-Supuestos!$D$10)*(Supuestos!$F$10-Supuestos!$E$10))),IF(Supuestos!$C$10="Uniforme",Supuestos!$D$10+G232*(Supuestos!$E$10-Supuestos!$D$10),IF(Supuestos!$C$10="Lognormal",LOGINV(G232,LN(Supuestos!$D$10)-LN(1+Supuestos!$E$10^2/Supuestos!$D$10^2)/2,SQRT(LN(1+Supuestos!$E$10^2/Supuestos!$D$10^2))),Supuestos!$D$10))))))</f>
        <v/>
      </c>
      <c r="O232" s="31">
        <f>MIN(IF(Supuestos!$H$11="",1E+99,Supuestos!$H$11),MAX(IF(Supuestos!$G$11="",-1E+99,Supuestos!$G$11),IF(Supuestos!$C$11="Normal",NORMINV(H232,Supuestos!$D$11,Supuestos!$E$11),IF(Supuestos!$C$11="Triangular",IF(H232&lt;(Supuestos!$E$11-Supuestos!$D$11)/(Supuestos!$F$11-Supuestos!$D$11),Supuestos!$D$11+SQRT(H232*(Supuestos!$F$11-Supuestos!$D$11)*(Supuestos!$E$11-Supuestos!$D$11)),Supuestos!$F$11-SQRT((1-H232)*(Supuestos!$F$11-Supuestos!$D$11)*(Supuestos!$F$11-Supuestos!$E$11))),IF(Supuestos!$C$11="Uniforme",Supuestos!$D$11+H232*(Supuestos!$E$11-Supuestos!$D$11),IF(Supuestos!$C$11="Lognormal",LOGINV(H232,LN(Supuestos!$D$11)-LN(1+Supuestos!$E$11^2/Supuestos!$D$11^2)/2,SQRT(LN(1+Supuestos!$E$11^2/Supuestos!$D$11^2))),Supuestos!$D$11))))))</f>
        <v/>
      </c>
      <c r="P232" s="33">
        <f>-I232</f>
        <v/>
      </c>
      <c r="Q232" s="33">
        <f>$J232*(1+$K232)^(1-1)*(1-$L232)*(1-$M232)</f>
        <v/>
      </c>
      <c r="R232" s="33">
        <f>$J232*(1+$K232)^(2-1)*(1-$L232)*(1-$M232)</f>
        <v/>
      </c>
      <c r="S232" s="33">
        <f>$J232*(1+$K232)^(3-1)*(1-$L232)*(1-$M232)</f>
        <v/>
      </c>
      <c r="T232" s="33">
        <f>$J232*(1+$K232)^(4-1)*(1-$L232)*(1-$M232)</f>
        <v/>
      </c>
      <c r="U232" s="33">
        <f>$J232*(1+$K232)^(5-1)*(1-$L232)*(1-$M232)+$O232</f>
        <v/>
      </c>
      <c r="V232" s="33">
        <f>P232+NPV($N232,Q232:U232)</f>
        <v/>
      </c>
      <c r="W232" s="32">
        <f>IFERROR(IRR(P232:U232,0.1),"")</f>
        <v/>
      </c>
    </row>
    <row r="233">
      <c r="A233" s="14" t="n">
        <v>229</v>
      </c>
      <c r="B233" s="30">
        <f>RAND()*(1-2E-6)+1E-6</f>
        <v/>
      </c>
      <c r="C233" s="30">
        <f>RAND()*(1-2E-6)+1E-6</f>
        <v/>
      </c>
      <c r="D233" s="30">
        <f>RAND()*(1-2E-6)+1E-6</f>
        <v/>
      </c>
      <c r="E233" s="30">
        <f>RAND()*(1-2E-6)+1E-6</f>
        <v/>
      </c>
      <c r="F233" s="30">
        <f>RAND()*(1-2E-6)+1E-6</f>
        <v/>
      </c>
      <c r="G233" s="30">
        <f>RAND()*(1-2E-6)+1E-6</f>
        <v/>
      </c>
      <c r="H233" s="30">
        <f>RAND()*(1-2E-6)+1E-6</f>
        <v/>
      </c>
      <c r="I233" s="31">
        <f>MIN(IF(Supuestos!$H$5="",1E+99,Supuestos!$H$5),MAX(IF(Supuestos!$G$5="",-1E+99,Supuestos!$G$5),IF(Supuestos!$C$5="Normal",NORMINV(B233,Supuestos!$D$5,Supuestos!$E$5),IF(Supuestos!$C$5="Triangular",IF(B233&lt;(Supuestos!$E$5-Supuestos!$D$5)/(Supuestos!$F$5-Supuestos!$D$5),Supuestos!$D$5+SQRT(B233*(Supuestos!$F$5-Supuestos!$D$5)*(Supuestos!$E$5-Supuestos!$D$5)),Supuestos!$F$5-SQRT((1-B233)*(Supuestos!$F$5-Supuestos!$D$5)*(Supuestos!$F$5-Supuestos!$E$5))),IF(Supuestos!$C$5="Uniforme",Supuestos!$D$5+B233*(Supuestos!$E$5-Supuestos!$D$5),IF(Supuestos!$C$5="Lognormal",LOGINV(B233,LN(Supuestos!$D$5)-LN(1+Supuestos!$E$5^2/Supuestos!$D$5^2)/2,SQRT(LN(1+Supuestos!$E$5^2/Supuestos!$D$5^2))),Supuestos!$D$5))))))</f>
        <v/>
      </c>
      <c r="J233" s="31">
        <f>MIN(IF(Supuestos!$H$6="",1E+99,Supuestos!$H$6),MAX(IF(Supuestos!$G$6="",-1E+99,Supuestos!$G$6),IF(Supuestos!$C$6="Normal",NORMINV(C233,Supuestos!$D$6,Supuestos!$E$6),IF(Supuestos!$C$6="Triangular",IF(C233&lt;(Supuestos!$E$6-Supuestos!$D$6)/(Supuestos!$F$6-Supuestos!$D$6),Supuestos!$D$6+SQRT(C233*(Supuestos!$F$6-Supuestos!$D$6)*(Supuestos!$E$6-Supuestos!$D$6)),Supuestos!$F$6-SQRT((1-C233)*(Supuestos!$F$6-Supuestos!$D$6)*(Supuestos!$F$6-Supuestos!$E$6))),IF(Supuestos!$C$6="Uniforme",Supuestos!$D$6+C233*(Supuestos!$E$6-Supuestos!$D$6),IF(Supuestos!$C$6="Lognormal",LOGINV(C233,LN(Supuestos!$D$6)-LN(1+Supuestos!$E$6^2/Supuestos!$D$6^2)/2,SQRT(LN(1+Supuestos!$E$6^2/Supuestos!$D$6^2))),Supuestos!$D$6))))))</f>
        <v/>
      </c>
      <c r="K233" s="32">
        <f>MIN(IF(Supuestos!$H$7="",1E+99,Supuestos!$H$7),MAX(IF(Supuestos!$G$7="",-1E+99,Supuestos!$G$7),IF(Supuestos!$C$7="Normal",NORMINV(D233,Supuestos!$D$7,Supuestos!$E$7),IF(Supuestos!$C$7="Triangular",IF(D233&lt;(Supuestos!$E$7-Supuestos!$D$7)/(Supuestos!$F$7-Supuestos!$D$7),Supuestos!$D$7+SQRT(D233*(Supuestos!$F$7-Supuestos!$D$7)*(Supuestos!$E$7-Supuestos!$D$7)),Supuestos!$F$7-SQRT((1-D233)*(Supuestos!$F$7-Supuestos!$D$7)*(Supuestos!$F$7-Supuestos!$E$7))),IF(Supuestos!$C$7="Uniforme",Supuestos!$D$7+D233*(Supuestos!$E$7-Supuestos!$D$7),IF(Supuestos!$C$7="Lognormal",LOGINV(D233,LN(Supuestos!$D$7)-LN(1+Supuestos!$E$7^2/Supuestos!$D$7^2)/2,SQRT(LN(1+Supuestos!$E$7^2/Supuestos!$D$7^2))),Supuestos!$D$7))))))</f>
        <v/>
      </c>
      <c r="L233" s="32">
        <f>MIN(IF(Supuestos!$H$8="",1E+99,Supuestos!$H$8),MAX(IF(Supuestos!$G$8="",-1E+99,Supuestos!$G$8),IF(Supuestos!$C$8="Normal",NORMINV(E233,Supuestos!$D$8,Supuestos!$E$8),IF(Supuestos!$C$8="Triangular",IF(E233&lt;(Supuestos!$E$8-Supuestos!$D$8)/(Supuestos!$F$8-Supuestos!$D$8),Supuestos!$D$8+SQRT(E233*(Supuestos!$F$8-Supuestos!$D$8)*(Supuestos!$E$8-Supuestos!$D$8)),Supuestos!$F$8-SQRT((1-E233)*(Supuestos!$F$8-Supuestos!$D$8)*(Supuestos!$F$8-Supuestos!$E$8))),IF(Supuestos!$C$8="Uniforme",Supuestos!$D$8+E233*(Supuestos!$E$8-Supuestos!$D$8),IF(Supuestos!$C$8="Lognormal",LOGINV(E233,LN(Supuestos!$D$8)-LN(1+Supuestos!$E$8^2/Supuestos!$D$8^2)/2,SQRT(LN(1+Supuestos!$E$8^2/Supuestos!$D$8^2))),Supuestos!$D$8))))))</f>
        <v/>
      </c>
      <c r="M233" s="32">
        <f>MIN(IF(Supuestos!$H$9="",1E+99,Supuestos!$H$9),MAX(IF(Supuestos!$G$9="",-1E+99,Supuestos!$G$9),IF(Supuestos!$C$9="Normal",NORMINV(F233,Supuestos!$D$9,Supuestos!$E$9),IF(Supuestos!$C$9="Triangular",IF(F233&lt;(Supuestos!$E$9-Supuestos!$D$9)/(Supuestos!$F$9-Supuestos!$D$9),Supuestos!$D$9+SQRT(F233*(Supuestos!$F$9-Supuestos!$D$9)*(Supuestos!$E$9-Supuestos!$D$9)),Supuestos!$F$9-SQRT((1-F233)*(Supuestos!$F$9-Supuestos!$D$9)*(Supuestos!$F$9-Supuestos!$E$9))),IF(Supuestos!$C$9="Uniforme",Supuestos!$D$9+F233*(Supuestos!$E$9-Supuestos!$D$9),IF(Supuestos!$C$9="Lognormal",LOGINV(F233,LN(Supuestos!$D$9)-LN(1+Supuestos!$E$9^2/Supuestos!$D$9^2)/2,SQRT(LN(1+Supuestos!$E$9^2/Supuestos!$D$9^2))),Supuestos!$D$9))))))</f>
        <v/>
      </c>
      <c r="N233" s="32">
        <f>MIN(IF(Supuestos!$H$10="",1E+99,Supuestos!$H$10),MAX(IF(Supuestos!$G$10="",-1E+99,Supuestos!$G$10),IF(Supuestos!$C$10="Normal",NORMINV(G233,Supuestos!$D$10,Supuestos!$E$10),IF(Supuestos!$C$10="Triangular",IF(G233&lt;(Supuestos!$E$10-Supuestos!$D$10)/(Supuestos!$F$10-Supuestos!$D$10),Supuestos!$D$10+SQRT(G233*(Supuestos!$F$10-Supuestos!$D$10)*(Supuestos!$E$10-Supuestos!$D$10)),Supuestos!$F$10-SQRT((1-G233)*(Supuestos!$F$10-Supuestos!$D$10)*(Supuestos!$F$10-Supuestos!$E$10))),IF(Supuestos!$C$10="Uniforme",Supuestos!$D$10+G233*(Supuestos!$E$10-Supuestos!$D$10),IF(Supuestos!$C$10="Lognormal",LOGINV(G233,LN(Supuestos!$D$10)-LN(1+Supuestos!$E$10^2/Supuestos!$D$10^2)/2,SQRT(LN(1+Supuestos!$E$10^2/Supuestos!$D$10^2))),Supuestos!$D$10))))))</f>
        <v/>
      </c>
      <c r="O233" s="31">
        <f>MIN(IF(Supuestos!$H$11="",1E+99,Supuestos!$H$11),MAX(IF(Supuestos!$G$11="",-1E+99,Supuestos!$G$11),IF(Supuestos!$C$11="Normal",NORMINV(H233,Supuestos!$D$11,Supuestos!$E$11),IF(Supuestos!$C$11="Triangular",IF(H233&lt;(Supuestos!$E$11-Supuestos!$D$11)/(Supuestos!$F$11-Supuestos!$D$11),Supuestos!$D$11+SQRT(H233*(Supuestos!$F$11-Supuestos!$D$11)*(Supuestos!$E$11-Supuestos!$D$11)),Supuestos!$F$11-SQRT((1-H233)*(Supuestos!$F$11-Supuestos!$D$11)*(Supuestos!$F$11-Supuestos!$E$11))),IF(Supuestos!$C$11="Uniforme",Supuestos!$D$11+H233*(Supuestos!$E$11-Supuestos!$D$11),IF(Supuestos!$C$11="Lognormal",LOGINV(H233,LN(Supuestos!$D$11)-LN(1+Supuestos!$E$11^2/Supuestos!$D$11^2)/2,SQRT(LN(1+Supuestos!$E$11^2/Supuestos!$D$11^2))),Supuestos!$D$11))))))</f>
        <v/>
      </c>
      <c r="P233" s="33">
        <f>-I233</f>
        <v/>
      </c>
      <c r="Q233" s="33">
        <f>$J233*(1+$K233)^(1-1)*(1-$L233)*(1-$M233)</f>
        <v/>
      </c>
      <c r="R233" s="33">
        <f>$J233*(1+$K233)^(2-1)*(1-$L233)*(1-$M233)</f>
        <v/>
      </c>
      <c r="S233" s="33">
        <f>$J233*(1+$K233)^(3-1)*(1-$L233)*(1-$M233)</f>
        <v/>
      </c>
      <c r="T233" s="33">
        <f>$J233*(1+$K233)^(4-1)*(1-$L233)*(1-$M233)</f>
        <v/>
      </c>
      <c r="U233" s="33">
        <f>$J233*(1+$K233)^(5-1)*(1-$L233)*(1-$M233)+$O233</f>
        <v/>
      </c>
      <c r="V233" s="33">
        <f>P233+NPV($N233,Q233:U233)</f>
        <v/>
      </c>
      <c r="W233" s="32">
        <f>IFERROR(IRR(P233:U233,0.1),"")</f>
        <v/>
      </c>
    </row>
    <row r="234">
      <c r="A234" s="14" t="n">
        <v>230</v>
      </c>
      <c r="B234" s="30">
        <f>RAND()*(1-2E-6)+1E-6</f>
        <v/>
      </c>
      <c r="C234" s="30">
        <f>RAND()*(1-2E-6)+1E-6</f>
        <v/>
      </c>
      <c r="D234" s="30">
        <f>RAND()*(1-2E-6)+1E-6</f>
        <v/>
      </c>
      <c r="E234" s="30">
        <f>RAND()*(1-2E-6)+1E-6</f>
        <v/>
      </c>
      <c r="F234" s="30">
        <f>RAND()*(1-2E-6)+1E-6</f>
        <v/>
      </c>
      <c r="G234" s="30">
        <f>RAND()*(1-2E-6)+1E-6</f>
        <v/>
      </c>
      <c r="H234" s="30">
        <f>RAND()*(1-2E-6)+1E-6</f>
        <v/>
      </c>
      <c r="I234" s="31">
        <f>MIN(IF(Supuestos!$H$5="",1E+99,Supuestos!$H$5),MAX(IF(Supuestos!$G$5="",-1E+99,Supuestos!$G$5),IF(Supuestos!$C$5="Normal",NORMINV(B234,Supuestos!$D$5,Supuestos!$E$5),IF(Supuestos!$C$5="Triangular",IF(B234&lt;(Supuestos!$E$5-Supuestos!$D$5)/(Supuestos!$F$5-Supuestos!$D$5),Supuestos!$D$5+SQRT(B234*(Supuestos!$F$5-Supuestos!$D$5)*(Supuestos!$E$5-Supuestos!$D$5)),Supuestos!$F$5-SQRT((1-B234)*(Supuestos!$F$5-Supuestos!$D$5)*(Supuestos!$F$5-Supuestos!$E$5))),IF(Supuestos!$C$5="Uniforme",Supuestos!$D$5+B234*(Supuestos!$E$5-Supuestos!$D$5),IF(Supuestos!$C$5="Lognormal",LOGINV(B234,LN(Supuestos!$D$5)-LN(1+Supuestos!$E$5^2/Supuestos!$D$5^2)/2,SQRT(LN(1+Supuestos!$E$5^2/Supuestos!$D$5^2))),Supuestos!$D$5))))))</f>
        <v/>
      </c>
      <c r="J234" s="31">
        <f>MIN(IF(Supuestos!$H$6="",1E+99,Supuestos!$H$6),MAX(IF(Supuestos!$G$6="",-1E+99,Supuestos!$G$6),IF(Supuestos!$C$6="Normal",NORMINV(C234,Supuestos!$D$6,Supuestos!$E$6),IF(Supuestos!$C$6="Triangular",IF(C234&lt;(Supuestos!$E$6-Supuestos!$D$6)/(Supuestos!$F$6-Supuestos!$D$6),Supuestos!$D$6+SQRT(C234*(Supuestos!$F$6-Supuestos!$D$6)*(Supuestos!$E$6-Supuestos!$D$6)),Supuestos!$F$6-SQRT((1-C234)*(Supuestos!$F$6-Supuestos!$D$6)*(Supuestos!$F$6-Supuestos!$E$6))),IF(Supuestos!$C$6="Uniforme",Supuestos!$D$6+C234*(Supuestos!$E$6-Supuestos!$D$6),IF(Supuestos!$C$6="Lognormal",LOGINV(C234,LN(Supuestos!$D$6)-LN(1+Supuestos!$E$6^2/Supuestos!$D$6^2)/2,SQRT(LN(1+Supuestos!$E$6^2/Supuestos!$D$6^2))),Supuestos!$D$6))))))</f>
        <v/>
      </c>
      <c r="K234" s="32">
        <f>MIN(IF(Supuestos!$H$7="",1E+99,Supuestos!$H$7),MAX(IF(Supuestos!$G$7="",-1E+99,Supuestos!$G$7),IF(Supuestos!$C$7="Normal",NORMINV(D234,Supuestos!$D$7,Supuestos!$E$7),IF(Supuestos!$C$7="Triangular",IF(D234&lt;(Supuestos!$E$7-Supuestos!$D$7)/(Supuestos!$F$7-Supuestos!$D$7),Supuestos!$D$7+SQRT(D234*(Supuestos!$F$7-Supuestos!$D$7)*(Supuestos!$E$7-Supuestos!$D$7)),Supuestos!$F$7-SQRT((1-D234)*(Supuestos!$F$7-Supuestos!$D$7)*(Supuestos!$F$7-Supuestos!$E$7))),IF(Supuestos!$C$7="Uniforme",Supuestos!$D$7+D234*(Supuestos!$E$7-Supuestos!$D$7),IF(Supuestos!$C$7="Lognormal",LOGINV(D234,LN(Supuestos!$D$7)-LN(1+Supuestos!$E$7^2/Supuestos!$D$7^2)/2,SQRT(LN(1+Supuestos!$E$7^2/Supuestos!$D$7^2))),Supuestos!$D$7))))))</f>
        <v/>
      </c>
      <c r="L234" s="32">
        <f>MIN(IF(Supuestos!$H$8="",1E+99,Supuestos!$H$8),MAX(IF(Supuestos!$G$8="",-1E+99,Supuestos!$G$8),IF(Supuestos!$C$8="Normal",NORMINV(E234,Supuestos!$D$8,Supuestos!$E$8),IF(Supuestos!$C$8="Triangular",IF(E234&lt;(Supuestos!$E$8-Supuestos!$D$8)/(Supuestos!$F$8-Supuestos!$D$8),Supuestos!$D$8+SQRT(E234*(Supuestos!$F$8-Supuestos!$D$8)*(Supuestos!$E$8-Supuestos!$D$8)),Supuestos!$F$8-SQRT((1-E234)*(Supuestos!$F$8-Supuestos!$D$8)*(Supuestos!$F$8-Supuestos!$E$8))),IF(Supuestos!$C$8="Uniforme",Supuestos!$D$8+E234*(Supuestos!$E$8-Supuestos!$D$8),IF(Supuestos!$C$8="Lognormal",LOGINV(E234,LN(Supuestos!$D$8)-LN(1+Supuestos!$E$8^2/Supuestos!$D$8^2)/2,SQRT(LN(1+Supuestos!$E$8^2/Supuestos!$D$8^2))),Supuestos!$D$8))))))</f>
        <v/>
      </c>
      <c r="M234" s="32">
        <f>MIN(IF(Supuestos!$H$9="",1E+99,Supuestos!$H$9),MAX(IF(Supuestos!$G$9="",-1E+99,Supuestos!$G$9),IF(Supuestos!$C$9="Normal",NORMINV(F234,Supuestos!$D$9,Supuestos!$E$9),IF(Supuestos!$C$9="Triangular",IF(F234&lt;(Supuestos!$E$9-Supuestos!$D$9)/(Supuestos!$F$9-Supuestos!$D$9),Supuestos!$D$9+SQRT(F234*(Supuestos!$F$9-Supuestos!$D$9)*(Supuestos!$E$9-Supuestos!$D$9)),Supuestos!$F$9-SQRT((1-F234)*(Supuestos!$F$9-Supuestos!$D$9)*(Supuestos!$F$9-Supuestos!$E$9))),IF(Supuestos!$C$9="Uniforme",Supuestos!$D$9+F234*(Supuestos!$E$9-Supuestos!$D$9),IF(Supuestos!$C$9="Lognormal",LOGINV(F234,LN(Supuestos!$D$9)-LN(1+Supuestos!$E$9^2/Supuestos!$D$9^2)/2,SQRT(LN(1+Supuestos!$E$9^2/Supuestos!$D$9^2))),Supuestos!$D$9))))))</f>
        <v/>
      </c>
      <c r="N234" s="32">
        <f>MIN(IF(Supuestos!$H$10="",1E+99,Supuestos!$H$10),MAX(IF(Supuestos!$G$10="",-1E+99,Supuestos!$G$10),IF(Supuestos!$C$10="Normal",NORMINV(G234,Supuestos!$D$10,Supuestos!$E$10),IF(Supuestos!$C$10="Triangular",IF(G234&lt;(Supuestos!$E$10-Supuestos!$D$10)/(Supuestos!$F$10-Supuestos!$D$10),Supuestos!$D$10+SQRT(G234*(Supuestos!$F$10-Supuestos!$D$10)*(Supuestos!$E$10-Supuestos!$D$10)),Supuestos!$F$10-SQRT((1-G234)*(Supuestos!$F$10-Supuestos!$D$10)*(Supuestos!$F$10-Supuestos!$E$10))),IF(Supuestos!$C$10="Uniforme",Supuestos!$D$10+G234*(Supuestos!$E$10-Supuestos!$D$10),IF(Supuestos!$C$10="Lognormal",LOGINV(G234,LN(Supuestos!$D$10)-LN(1+Supuestos!$E$10^2/Supuestos!$D$10^2)/2,SQRT(LN(1+Supuestos!$E$10^2/Supuestos!$D$10^2))),Supuestos!$D$10))))))</f>
        <v/>
      </c>
      <c r="O234" s="31">
        <f>MIN(IF(Supuestos!$H$11="",1E+99,Supuestos!$H$11),MAX(IF(Supuestos!$G$11="",-1E+99,Supuestos!$G$11),IF(Supuestos!$C$11="Normal",NORMINV(H234,Supuestos!$D$11,Supuestos!$E$11),IF(Supuestos!$C$11="Triangular",IF(H234&lt;(Supuestos!$E$11-Supuestos!$D$11)/(Supuestos!$F$11-Supuestos!$D$11),Supuestos!$D$11+SQRT(H234*(Supuestos!$F$11-Supuestos!$D$11)*(Supuestos!$E$11-Supuestos!$D$11)),Supuestos!$F$11-SQRT((1-H234)*(Supuestos!$F$11-Supuestos!$D$11)*(Supuestos!$F$11-Supuestos!$E$11))),IF(Supuestos!$C$11="Uniforme",Supuestos!$D$11+H234*(Supuestos!$E$11-Supuestos!$D$11),IF(Supuestos!$C$11="Lognormal",LOGINV(H234,LN(Supuestos!$D$11)-LN(1+Supuestos!$E$11^2/Supuestos!$D$11^2)/2,SQRT(LN(1+Supuestos!$E$11^2/Supuestos!$D$11^2))),Supuestos!$D$11))))))</f>
        <v/>
      </c>
      <c r="P234" s="33">
        <f>-I234</f>
        <v/>
      </c>
      <c r="Q234" s="33">
        <f>$J234*(1+$K234)^(1-1)*(1-$L234)*(1-$M234)</f>
        <v/>
      </c>
      <c r="R234" s="33">
        <f>$J234*(1+$K234)^(2-1)*(1-$L234)*(1-$M234)</f>
        <v/>
      </c>
      <c r="S234" s="33">
        <f>$J234*(1+$K234)^(3-1)*(1-$L234)*(1-$M234)</f>
        <v/>
      </c>
      <c r="T234" s="33">
        <f>$J234*(1+$K234)^(4-1)*(1-$L234)*(1-$M234)</f>
        <v/>
      </c>
      <c r="U234" s="33">
        <f>$J234*(1+$K234)^(5-1)*(1-$L234)*(1-$M234)+$O234</f>
        <v/>
      </c>
      <c r="V234" s="33">
        <f>P234+NPV($N234,Q234:U234)</f>
        <v/>
      </c>
      <c r="W234" s="32">
        <f>IFERROR(IRR(P234:U234,0.1),"")</f>
        <v/>
      </c>
    </row>
    <row r="235">
      <c r="A235" s="14" t="n">
        <v>231</v>
      </c>
      <c r="B235" s="30">
        <f>RAND()*(1-2E-6)+1E-6</f>
        <v/>
      </c>
      <c r="C235" s="30">
        <f>RAND()*(1-2E-6)+1E-6</f>
        <v/>
      </c>
      <c r="D235" s="30">
        <f>RAND()*(1-2E-6)+1E-6</f>
        <v/>
      </c>
      <c r="E235" s="30">
        <f>RAND()*(1-2E-6)+1E-6</f>
        <v/>
      </c>
      <c r="F235" s="30">
        <f>RAND()*(1-2E-6)+1E-6</f>
        <v/>
      </c>
      <c r="G235" s="30">
        <f>RAND()*(1-2E-6)+1E-6</f>
        <v/>
      </c>
      <c r="H235" s="30">
        <f>RAND()*(1-2E-6)+1E-6</f>
        <v/>
      </c>
      <c r="I235" s="31">
        <f>MIN(IF(Supuestos!$H$5="",1E+99,Supuestos!$H$5),MAX(IF(Supuestos!$G$5="",-1E+99,Supuestos!$G$5),IF(Supuestos!$C$5="Normal",NORMINV(B235,Supuestos!$D$5,Supuestos!$E$5),IF(Supuestos!$C$5="Triangular",IF(B235&lt;(Supuestos!$E$5-Supuestos!$D$5)/(Supuestos!$F$5-Supuestos!$D$5),Supuestos!$D$5+SQRT(B235*(Supuestos!$F$5-Supuestos!$D$5)*(Supuestos!$E$5-Supuestos!$D$5)),Supuestos!$F$5-SQRT((1-B235)*(Supuestos!$F$5-Supuestos!$D$5)*(Supuestos!$F$5-Supuestos!$E$5))),IF(Supuestos!$C$5="Uniforme",Supuestos!$D$5+B235*(Supuestos!$E$5-Supuestos!$D$5),IF(Supuestos!$C$5="Lognormal",LOGINV(B235,LN(Supuestos!$D$5)-LN(1+Supuestos!$E$5^2/Supuestos!$D$5^2)/2,SQRT(LN(1+Supuestos!$E$5^2/Supuestos!$D$5^2))),Supuestos!$D$5))))))</f>
        <v/>
      </c>
      <c r="J235" s="31">
        <f>MIN(IF(Supuestos!$H$6="",1E+99,Supuestos!$H$6),MAX(IF(Supuestos!$G$6="",-1E+99,Supuestos!$G$6),IF(Supuestos!$C$6="Normal",NORMINV(C235,Supuestos!$D$6,Supuestos!$E$6),IF(Supuestos!$C$6="Triangular",IF(C235&lt;(Supuestos!$E$6-Supuestos!$D$6)/(Supuestos!$F$6-Supuestos!$D$6),Supuestos!$D$6+SQRT(C235*(Supuestos!$F$6-Supuestos!$D$6)*(Supuestos!$E$6-Supuestos!$D$6)),Supuestos!$F$6-SQRT((1-C235)*(Supuestos!$F$6-Supuestos!$D$6)*(Supuestos!$F$6-Supuestos!$E$6))),IF(Supuestos!$C$6="Uniforme",Supuestos!$D$6+C235*(Supuestos!$E$6-Supuestos!$D$6),IF(Supuestos!$C$6="Lognormal",LOGINV(C235,LN(Supuestos!$D$6)-LN(1+Supuestos!$E$6^2/Supuestos!$D$6^2)/2,SQRT(LN(1+Supuestos!$E$6^2/Supuestos!$D$6^2))),Supuestos!$D$6))))))</f>
        <v/>
      </c>
      <c r="K235" s="32">
        <f>MIN(IF(Supuestos!$H$7="",1E+99,Supuestos!$H$7),MAX(IF(Supuestos!$G$7="",-1E+99,Supuestos!$G$7),IF(Supuestos!$C$7="Normal",NORMINV(D235,Supuestos!$D$7,Supuestos!$E$7),IF(Supuestos!$C$7="Triangular",IF(D235&lt;(Supuestos!$E$7-Supuestos!$D$7)/(Supuestos!$F$7-Supuestos!$D$7),Supuestos!$D$7+SQRT(D235*(Supuestos!$F$7-Supuestos!$D$7)*(Supuestos!$E$7-Supuestos!$D$7)),Supuestos!$F$7-SQRT((1-D235)*(Supuestos!$F$7-Supuestos!$D$7)*(Supuestos!$F$7-Supuestos!$E$7))),IF(Supuestos!$C$7="Uniforme",Supuestos!$D$7+D235*(Supuestos!$E$7-Supuestos!$D$7),IF(Supuestos!$C$7="Lognormal",LOGINV(D235,LN(Supuestos!$D$7)-LN(1+Supuestos!$E$7^2/Supuestos!$D$7^2)/2,SQRT(LN(1+Supuestos!$E$7^2/Supuestos!$D$7^2))),Supuestos!$D$7))))))</f>
        <v/>
      </c>
      <c r="L235" s="32">
        <f>MIN(IF(Supuestos!$H$8="",1E+99,Supuestos!$H$8),MAX(IF(Supuestos!$G$8="",-1E+99,Supuestos!$G$8),IF(Supuestos!$C$8="Normal",NORMINV(E235,Supuestos!$D$8,Supuestos!$E$8),IF(Supuestos!$C$8="Triangular",IF(E235&lt;(Supuestos!$E$8-Supuestos!$D$8)/(Supuestos!$F$8-Supuestos!$D$8),Supuestos!$D$8+SQRT(E235*(Supuestos!$F$8-Supuestos!$D$8)*(Supuestos!$E$8-Supuestos!$D$8)),Supuestos!$F$8-SQRT((1-E235)*(Supuestos!$F$8-Supuestos!$D$8)*(Supuestos!$F$8-Supuestos!$E$8))),IF(Supuestos!$C$8="Uniforme",Supuestos!$D$8+E235*(Supuestos!$E$8-Supuestos!$D$8),IF(Supuestos!$C$8="Lognormal",LOGINV(E235,LN(Supuestos!$D$8)-LN(1+Supuestos!$E$8^2/Supuestos!$D$8^2)/2,SQRT(LN(1+Supuestos!$E$8^2/Supuestos!$D$8^2))),Supuestos!$D$8))))))</f>
        <v/>
      </c>
      <c r="M235" s="32">
        <f>MIN(IF(Supuestos!$H$9="",1E+99,Supuestos!$H$9),MAX(IF(Supuestos!$G$9="",-1E+99,Supuestos!$G$9),IF(Supuestos!$C$9="Normal",NORMINV(F235,Supuestos!$D$9,Supuestos!$E$9),IF(Supuestos!$C$9="Triangular",IF(F235&lt;(Supuestos!$E$9-Supuestos!$D$9)/(Supuestos!$F$9-Supuestos!$D$9),Supuestos!$D$9+SQRT(F235*(Supuestos!$F$9-Supuestos!$D$9)*(Supuestos!$E$9-Supuestos!$D$9)),Supuestos!$F$9-SQRT((1-F235)*(Supuestos!$F$9-Supuestos!$D$9)*(Supuestos!$F$9-Supuestos!$E$9))),IF(Supuestos!$C$9="Uniforme",Supuestos!$D$9+F235*(Supuestos!$E$9-Supuestos!$D$9),IF(Supuestos!$C$9="Lognormal",LOGINV(F235,LN(Supuestos!$D$9)-LN(1+Supuestos!$E$9^2/Supuestos!$D$9^2)/2,SQRT(LN(1+Supuestos!$E$9^2/Supuestos!$D$9^2))),Supuestos!$D$9))))))</f>
        <v/>
      </c>
      <c r="N235" s="32">
        <f>MIN(IF(Supuestos!$H$10="",1E+99,Supuestos!$H$10),MAX(IF(Supuestos!$G$10="",-1E+99,Supuestos!$G$10),IF(Supuestos!$C$10="Normal",NORMINV(G235,Supuestos!$D$10,Supuestos!$E$10),IF(Supuestos!$C$10="Triangular",IF(G235&lt;(Supuestos!$E$10-Supuestos!$D$10)/(Supuestos!$F$10-Supuestos!$D$10),Supuestos!$D$10+SQRT(G235*(Supuestos!$F$10-Supuestos!$D$10)*(Supuestos!$E$10-Supuestos!$D$10)),Supuestos!$F$10-SQRT((1-G235)*(Supuestos!$F$10-Supuestos!$D$10)*(Supuestos!$F$10-Supuestos!$E$10))),IF(Supuestos!$C$10="Uniforme",Supuestos!$D$10+G235*(Supuestos!$E$10-Supuestos!$D$10),IF(Supuestos!$C$10="Lognormal",LOGINV(G235,LN(Supuestos!$D$10)-LN(1+Supuestos!$E$10^2/Supuestos!$D$10^2)/2,SQRT(LN(1+Supuestos!$E$10^2/Supuestos!$D$10^2))),Supuestos!$D$10))))))</f>
        <v/>
      </c>
      <c r="O235" s="31">
        <f>MIN(IF(Supuestos!$H$11="",1E+99,Supuestos!$H$11),MAX(IF(Supuestos!$G$11="",-1E+99,Supuestos!$G$11),IF(Supuestos!$C$11="Normal",NORMINV(H235,Supuestos!$D$11,Supuestos!$E$11),IF(Supuestos!$C$11="Triangular",IF(H235&lt;(Supuestos!$E$11-Supuestos!$D$11)/(Supuestos!$F$11-Supuestos!$D$11),Supuestos!$D$11+SQRT(H235*(Supuestos!$F$11-Supuestos!$D$11)*(Supuestos!$E$11-Supuestos!$D$11)),Supuestos!$F$11-SQRT((1-H235)*(Supuestos!$F$11-Supuestos!$D$11)*(Supuestos!$F$11-Supuestos!$E$11))),IF(Supuestos!$C$11="Uniforme",Supuestos!$D$11+H235*(Supuestos!$E$11-Supuestos!$D$11),IF(Supuestos!$C$11="Lognormal",LOGINV(H235,LN(Supuestos!$D$11)-LN(1+Supuestos!$E$11^2/Supuestos!$D$11^2)/2,SQRT(LN(1+Supuestos!$E$11^2/Supuestos!$D$11^2))),Supuestos!$D$11))))))</f>
        <v/>
      </c>
      <c r="P235" s="33">
        <f>-I235</f>
        <v/>
      </c>
      <c r="Q235" s="33">
        <f>$J235*(1+$K235)^(1-1)*(1-$L235)*(1-$M235)</f>
        <v/>
      </c>
      <c r="R235" s="33">
        <f>$J235*(1+$K235)^(2-1)*(1-$L235)*(1-$M235)</f>
        <v/>
      </c>
      <c r="S235" s="33">
        <f>$J235*(1+$K235)^(3-1)*(1-$L235)*(1-$M235)</f>
        <v/>
      </c>
      <c r="T235" s="33">
        <f>$J235*(1+$K235)^(4-1)*(1-$L235)*(1-$M235)</f>
        <v/>
      </c>
      <c r="U235" s="33">
        <f>$J235*(1+$K235)^(5-1)*(1-$L235)*(1-$M235)+$O235</f>
        <v/>
      </c>
      <c r="V235" s="33">
        <f>P235+NPV($N235,Q235:U235)</f>
        <v/>
      </c>
      <c r="W235" s="32">
        <f>IFERROR(IRR(P235:U235,0.1),"")</f>
        <v/>
      </c>
    </row>
    <row r="236">
      <c r="A236" s="14" t="n">
        <v>232</v>
      </c>
      <c r="B236" s="30">
        <f>RAND()*(1-2E-6)+1E-6</f>
        <v/>
      </c>
      <c r="C236" s="30">
        <f>RAND()*(1-2E-6)+1E-6</f>
        <v/>
      </c>
      <c r="D236" s="30">
        <f>RAND()*(1-2E-6)+1E-6</f>
        <v/>
      </c>
      <c r="E236" s="30">
        <f>RAND()*(1-2E-6)+1E-6</f>
        <v/>
      </c>
      <c r="F236" s="30">
        <f>RAND()*(1-2E-6)+1E-6</f>
        <v/>
      </c>
      <c r="G236" s="30">
        <f>RAND()*(1-2E-6)+1E-6</f>
        <v/>
      </c>
      <c r="H236" s="30">
        <f>RAND()*(1-2E-6)+1E-6</f>
        <v/>
      </c>
      <c r="I236" s="31">
        <f>MIN(IF(Supuestos!$H$5="",1E+99,Supuestos!$H$5),MAX(IF(Supuestos!$G$5="",-1E+99,Supuestos!$G$5),IF(Supuestos!$C$5="Normal",NORMINV(B236,Supuestos!$D$5,Supuestos!$E$5),IF(Supuestos!$C$5="Triangular",IF(B236&lt;(Supuestos!$E$5-Supuestos!$D$5)/(Supuestos!$F$5-Supuestos!$D$5),Supuestos!$D$5+SQRT(B236*(Supuestos!$F$5-Supuestos!$D$5)*(Supuestos!$E$5-Supuestos!$D$5)),Supuestos!$F$5-SQRT((1-B236)*(Supuestos!$F$5-Supuestos!$D$5)*(Supuestos!$F$5-Supuestos!$E$5))),IF(Supuestos!$C$5="Uniforme",Supuestos!$D$5+B236*(Supuestos!$E$5-Supuestos!$D$5),IF(Supuestos!$C$5="Lognormal",LOGINV(B236,LN(Supuestos!$D$5)-LN(1+Supuestos!$E$5^2/Supuestos!$D$5^2)/2,SQRT(LN(1+Supuestos!$E$5^2/Supuestos!$D$5^2))),Supuestos!$D$5))))))</f>
        <v/>
      </c>
      <c r="J236" s="31">
        <f>MIN(IF(Supuestos!$H$6="",1E+99,Supuestos!$H$6),MAX(IF(Supuestos!$G$6="",-1E+99,Supuestos!$G$6),IF(Supuestos!$C$6="Normal",NORMINV(C236,Supuestos!$D$6,Supuestos!$E$6),IF(Supuestos!$C$6="Triangular",IF(C236&lt;(Supuestos!$E$6-Supuestos!$D$6)/(Supuestos!$F$6-Supuestos!$D$6),Supuestos!$D$6+SQRT(C236*(Supuestos!$F$6-Supuestos!$D$6)*(Supuestos!$E$6-Supuestos!$D$6)),Supuestos!$F$6-SQRT((1-C236)*(Supuestos!$F$6-Supuestos!$D$6)*(Supuestos!$F$6-Supuestos!$E$6))),IF(Supuestos!$C$6="Uniforme",Supuestos!$D$6+C236*(Supuestos!$E$6-Supuestos!$D$6),IF(Supuestos!$C$6="Lognormal",LOGINV(C236,LN(Supuestos!$D$6)-LN(1+Supuestos!$E$6^2/Supuestos!$D$6^2)/2,SQRT(LN(1+Supuestos!$E$6^2/Supuestos!$D$6^2))),Supuestos!$D$6))))))</f>
        <v/>
      </c>
      <c r="K236" s="32">
        <f>MIN(IF(Supuestos!$H$7="",1E+99,Supuestos!$H$7),MAX(IF(Supuestos!$G$7="",-1E+99,Supuestos!$G$7),IF(Supuestos!$C$7="Normal",NORMINV(D236,Supuestos!$D$7,Supuestos!$E$7),IF(Supuestos!$C$7="Triangular",IF(D236&lt;(Supuestos!$E$7-Supuestos!$D$7)/(Supuestos!$F$7-Supuestos!$D$7),Supuestos!$D$7+SQRT(D236*(Supuestos!$F$7-Supuestos!$D$7)*(Supuestos!$E$7-Supuestos!$D$7)),Supuestos!$F$7-SQRT((1-D236)*(Supuestos!$F$7-Supuestos!$D$7)*(Supuestos!$F$7-Supuestos!$E$7))),IF(Supuestos!$C$7="Uniforme",Supuestos!$D$7+D236*(Supuestos!$E$7-Supuestos!$D$7),IF(Supuestos!$C$7="Lognormal",LOGINV(D236,LN(Supuestos!$D$7)-LN(1+Supuestos!$E$7^2/Supuestos!$D$7^2)/2,SQRT(LN(1+Supuestos!$E$7^2/Supuestos!$D$7^2))),Supuestos!$D$7))))))</f>
        <v/>
      </c>
      <c r="L236" s="32">
        <f>MIN(IF(Supuestos!$H$8="",1E+99,Supuestos!$H$8),MAX(IF(Supuestos!$G$8="",-1E+99,Supuestos!$G$8),IF(Supuestos!$C$8="Normal",NORMINV(E236,Supuestos!$D$8,Supuestos!$E$8),IF(Supuestos!$C$8="Triangular",IF(E236&lt;(Supuestos!$E$8-Supuestos!$D$8)/(Supuestos!$F$8-Supuestos!$D$8),Supuestos!$D$8+SQRT(E236*(Supuestos!$F$8-Supuestos!$D$8)*(Supuestos!$E$8-Supuestos!$D$8)),Supuestos!$F$8-SQRT((1-E236)*(Supuestos!$F$8-Supuestos!$D$8)*(Supuestos!$F$8-Supuestos!$E$8))),IF(Supuestos!$C$8="Uniforme",Supuestos!$D$8+E236*(Supuestos!$E$8-Supuestos!$D$8),IF(Supuestos!$C$8="Lognormal",LOGINV(E236,LN(Supuestos!$D$8)-LN(1+Supuestos!$E$8^2/Supuestos!$D$8^2)/2,SQRT(LN(1+Supuestos!$E$8^2/Supuestos!$D$8^2))),Supuestos!$D$8))))))</f>
        <v/>
      </c>
      <c r="M236" s="32">
        <f>MIN(IF(Supuestos!$H$9="",1E+99,Supuestos!$H$9),MAX(IF(Supuestos!$G$9="",-1E+99,Supuestos!$G$9),IF(Supuestos!$C$9="Normal",NORMINV(F236,Supuestos!$D$9,Supuestos!$E$9),IF(Supuestos!$C$9="Triangular",IF(F236&lt;(Supuestos!$E$9-Supuestos!$D$9)/(Supuestos!$F$9-Supuestos!$D$9),Supuestos!$D$9+SQRT(F236*(Supuestos!$F$9-Supuestos!$D$9)*(Supuestos!$E$9-Supuestos!$D$9)),Supuestos!$F$9-SQRT((1-F236)*(Supuestos!$F$9-Supuestos!$D$9)*(Supuestos!$F$9-Supuestos!$E$9))),IF(Supuestos!$C$9="Uniforme",Supuestos!$D$9+F236*(Supuestos!$E$9-Supuestos!$D$9),IF(Supuestos!$C$9="Lognormal",LOGINV(F236,LN(Supuestos!$D$9)-LN(1+Supuestos!$E$9^2/Supuestos!$D$9^2)/2,SQRT(LN(1+Supuestos!$E$9^2/Supuestos!$D$9^2))),Supuestos!$D$9))))))</f>
        <v/>
      </c>
      <c r="N236" s="32">
        <f>MIN(IF(Supuestos!$H$10="",1E+99,Supuestos!$H$10),MAX(IF(Supuestos!$G$10="",-1E+99,Supuestos!$G$10),IF(Supuestos!$C$10="Normal",NORMINV(G236,Supuestos!$D$10,Supuestos!$E$10),IF(Supuestos!$C$10="Triangular",IF(G236&lt;(Supuestos!$E$10-Supuestos!$D$10)/(Supuestos!$F$10-Supuestos!$D$10),Supuestos!$D$10+SQRT(G236*(Supuestos!$F$10-Supuestos!$D$10)*(Supuestos!$E$10-Supuestos!$D$10)),Supuestos!$F$10-SQRT((1-G236)*(Supuestos!$F$10-Supuestos!$D$10)*(Supuestos!$F$10-Supuestos!$E$10))),IF(Supuestos!$C$10="Uniforme",Supuestos!$D$10+G236*(Supuestos!$E$10-Supuestos!$D$10),IF(Supuestos!$C$10="Lognormal",LOGINV(G236,LN(Supuestos!$D$10)-LN(1+Supuestos!$E$10^2/Supuestos!$D$10^2)/2,SQRT(LN(1+Supuestos!$E$10^2/Supuestos!$D$10^2))),Supuestos!$D$10))))))</f>
        <v/>
      </c>
      <c r="O236" s="31">
        <f>MIN(IF(Supuestos!$H$11="",1E+99,Supuestos!$H$11),MAX(IF(Supuestos!$G$11="",-1E+99,Supuestos!$G$11),IF(Supuestos!$C$11="Normal",NORMINV(H236,Supuestos!$D$11,Supuestos!$E$11),IF(Supuestos!$C$11="Triangular",IF(H236&lt;(Supuestos!$E$11-Supuestos!$D$11)/(Supuestos!$F$11-Supuestos!$D$11),Supuestos!$D$11+SQRT(H236*(Supuestos!$F$11-Supuestos!$D$11)*(Supuestos!$E$11-Supuestos!$D$11)),Supuestos!$F$11-SQRT((1-H236)*(Supuestos!$F$11-Supuestos!$D$11)*(Supuestos!$F$11-Supuestos!$E$11))),IF(Supuestos!$C$11="Uniforme",Supuestos!$D$11+H236*(Supuestos!$E$11-Supuestos!$D$11),IF(Supuestos!$C$11="Lognormal",LOGINV(H236,LN(Supuestos!$D$11)-LN(1+Supuestos!$E$11^2/Supuestos!$D$11^2)/2,SQRT(LN(1+Supuestos!$E$11^2/Supuestos!$D$11^2))),Supuestos!$D$11))))))</f>
        <v/>
      </c>
      <c r="P236" s="33">
        <f>-I236</f>
        <v/>
      </c>
      <c r="Q236" s="33">
        <f>$J236*(1+$K236)^(1-1)*(1-$L236)*(1-$M236)</f>
        <v/>
      </c>
      <c r="R236" s="33">
        <f>$J236*(1+$K236)^(2-1)*(1-$L236)*(1-$M236)</f>
        <v/>
      </c>
      <c r="S236" s="33">
        <f>$J236*(1+$K236)^(3-1)*(1-$L236)*(1-$M236)</f>
        <v/>
      </c>
      <c r="T236" s="33">
        <f>$J236*(1+$K236)^(4-1)*(1-$L236)*(1-$M236)</f>
        <v/>
      </c>
      <c r="U236" s="33">
        <f>$J236*(1+$K236)^(5-1)*(1-$L236)*(1-$M236)+$O236</f>
        <v/>
      </c>
      <c r="V236" s="33">
        <f>P236+NPV($N236,Q236:U236)</f>
        <v/>
      </c>
      <c r="W236" s="32">
        <f>IFERROR(IRR(P236:U236,0.1),"")</f>
        <v/>
      </c>
    </row>
    <row r="237">
      <c r="A237" s="14" t="n">
        <v>233</v>
      </c>
      <c r="B237" s="30">
        <f>RAND()*(1-2E-6)+1E-6</f>
        <v/>
      </c>
      <c r="C237" s="30">
        <f>RAND()*(1-2E-6)+1E-6</f>
        <v/>
      </c>
      <c r="D237" s="30">
        <f>RAND()*(1-2E-6)+1E-6</f>
        <v/>
      </c>
      <c r="E237" s="30">
        <f>RAND()*(1-2E-6)+1E-6</f>
        <v/>
      </c>
      <c r="F237" s="30">
        <f>RAND()*(1-2E-6)+1E-6</f>
        <v/>
      </c>
      <c r="G237" s="30">
        <f>RAND()*(1-2E-6)+1E-6</f>
        <v/>
      </c>
      <c r="H237" s="30">
        <f>RAND()*(1-2E-6)+1E-6</f>
        <v/>
      </c>
      <c r="I237" s="31">
        <f>MIN(IF(Supuestos!$H$5="",1E+99,Supuestos!$H$5),MAX(IF(Supuestos!$G$5="",-1E+99,Supuestos!$G$5),IF(Supuestos!$C$5="Normal",NORMINV(B237,Supuestos!$D$5,Supuestos!$E$5),IF(Supuestos!$C$5="Triangular",IF(B237&lt;(Supuestos!$E$5-Supuestos!$D$5)/(Supuestos!$F$5-Supuestos!$D$5),Supuestos!$D$5+SQRT(B237*(Supuestos!$F$5-Supuestos!$D$5)*(Supuestos!$E$5-Supuestos!$D$5)),Supuestos!$F$5-SQRT((1-B237)*(Supuestos!$F$5-Supuestos!$D$5)*(Supuestos!$F$5-Supuestos!$E$5))),IF(Supuestos!$C$5="Uniforme",Supuestos!$D$5+B237*(Supuestos!$E$5-Supuestos!$D$5),IF(Supuestos!$C$5="Lognormal",LOGINV(B237,LN(Supuestos!$D$5)-LN(1+Supuestos!$E$5^2/Supuestos!$D$5^2)/2,SQRT(LN(1+Supuestos!$E$5^2/Supuestos!$D$5^2))),Supuestos!$D$5))))))</f>
        <v/>
      </c>
      <c r="J237" s="31">
        <f>MIN(IF(Supuestos!$H$6="",1E+99,Supuestos!$H$6),MAX(IF(Supuestos!$G$6="",-1E+99,Supuestos!$G$6),IF(Supuestos!$C$6="Normal",NORMINV(C237,Supuestos!$D$6,Supuestos!$E$6),IF(Supuestos!$C$6="Triangular",IF(C237&lt;(Supuestos!$E$6-Supuestos!$D$6)/(Supuestos!$F$6-Supuestos!$D$6),Supuestos!$D$6+SQRT(C237*(Supuestos!$F$6-Supuestos!$D$6)*(Supuestos!$E$6-Supuestos!$D$6)),Supuestos!$F$6-SQRT((1-C237)*(Supuestos!$F$6-Supuestos!$D$6)*(Supuestos!$F$6-Supuestos!$E$6))),IF(Supuestos!$C$6="Uniforme",Supuestos!$D$6+C237*(Supuestos!$E$6-Supuestos!$D$6),IF(Supuestos!$C$6="Lognormal",LOGINV(C237,LN(Supuestos!$D$6)-LN(1+Supuestos!$E$6^2/Supuestos!$D$6^2)/2,SQRT(LN(1+Supuestos!$E$6^2/Supuestos!$D$6^2))),Supuestos!$D$6))))))</f>
        <v/>
      </c>
      <c r="K237" s="32">
        <f>MIN(IF(Supuestos!$H$7="",1E+99,Supuestos!$H$7),MAX(IF(Supuestos!$G$7="",-1E+99,Supuestos!$G$7),IF(Supuestos!$C$7="Normal",NORMINV(D237,Supuestos!$D$7,Supuestos!$E$7),IF(Supuestos!$C$7="Triangular",IF(D237&lt;(Supuestos!$E$7-Supuestos!$D$7)/(Supuestos!$F$7-Supuestos!$D$7),Supuestos!$D$7+SQRT(D237*(Supuestos!$F$7-Supuestos!$D$7)*(Supuestos!$E$7-Supuestos!$D$7)),Supuestos!$F$7-SQRT((1-D237)*(Supuestos!$F$7-Supuestos!$D$7)*(Supuestos!$F$7-Supuestos!$E$7))),IF(Supuestos!$C$7="Uniforme",Supuestos!$D$7+D237*(Supuestos!$E$7-Supuestos!$D$7),IF(Supuestos!$C$7="Lognormal",LOGINV(D237,LN(Supuestos!$D$7)-LN(1+Supuestos!$E$7^2/Supuestos!$D$7^2)/2,SQRT(LN(1+Supuestos!$E$7^2/Supuestos!$D$7^2))),Supuestos!$D$7))))))</f>
        <v/>
      </c>
      <c r="L237" s="32">
        <f>MIN(IF(Supuestos!$H$8="",1E+99,Supuestos!$H$8),MAX(IF(Supuestos!$G$8="",-1E+99,Supuestos!$G$8),IF(Supuestos!$C$8="Normal",NORMINV(E237,Supuestos!$D$8,Supuestos!$E$8),IF(Supuestos!$C$8="Triangular",IF(E237&lt;(Supuestos!$E$8-Supuestos!$D$8)/(Supuestos!$F$8-Supuestos!$D$8),Supuestos!$D$8+SQRT(E237*(Supuestos!$F$8-Supuestos!$D$8)*(Supuestos!$E$8-Supuestos!$D$8)),Supuestos!$F$8-SQRT((1-E237)*(Supuestos!$F$8-Supuestos!$D$8)*(Supuestos!$F$8-Supuestos!$E$8))),IF(Supuestos!$C$8="Uniforme",Supuestos!$D$8+E237*(Supuestos!$E$8-Supuestos!$D$8),IF(Supuestos!$C$8="Lognormal",LOGINV(E237,LN(Supuestos!$D$8)-LN(1+Supuestos!$E$8^2/Supuestos!$D$8^2)/2,SQRT(LN(1+Supuestos!$E$8^2/Supuestos!$D$8^2))),Supuestos!$D$8))))))</f>
        <v/>
      </c>
      <c r="M237" s="32">
        <f>MIN(IF(Supuestos!$H$9="",1E+99,Supuestos!$H$9),MAX(IF(Supuestos!$G$9="",-1E+99,Supuestos!$G$9),IF(Supuestos!$C$9="Normal",NORMINV(F237,Supuestos!$D$9,Supuestos!$E$9),IF(Supuestos!$C$9="Triangular",IF(F237&lt;(Supuestos!$E$9-Supuestos!$D$9)/(Supuestos!$F$9-Supuestos!$D$9),Supuestos!$D$9+SQRT(F237*(Supuestos!$F$9-Supuestos!$D$9)*(Supuestos!$E$9-Supuestos!$D$9)),Supuestos!$F$9-SQRT((1-F237)*(Supuestos!$F$9-Supuestos!$D$9)*(Supuestos!$F$9-Supuestos!$E$9))),IF(Supuestos!$C$9="Uniforme",Supuestos!$D$9+F237*(Supuestos!$E$9-Supuestos!$D$9),IF(Supuestos!$C$9="Lognormal",LOGINV(F237,LN(Supuestos!$D$9)-LN(1+Supuestos!$E$9^2/Supuestos!$D$9^2)/2,SQRT(LN(1+Supuestos!$E$9^2/Supuestos!$D$9^2))),Supuestos!$D$9))))))</f>
        <v/>
      </c>
      <c r="N237" s="32">
        <f>MIN(IF(Supuestos!$H$10="",1E+99,Supuestos!$H$10),MAX(IF(Supuestos!$G$10="",-1E+99,Supuestos!$G$10),IF(Supuestos!$C$10="Normal",NORMINV(G237,Supuestos!$D$10,Supuestos!$E$10),IF(Supuestos!$C$10="Triangular",IF(G237&lt;(Supuestos!$E$10-Supuestos!$D$10)/(Supuestos!$F$10-Supuestos!$D$10),Supuestos!$D$10+SQRT(G237*(Supuestos!$F$10-Supuestos!$D$10)*(Supuestos!$E$10-Supuestos!$D$10)),Supuestos!$F$10-SQRT((1-G237)*(Supuestos!$F$10-Supuestos!$D$10)*(Supuestos!$F$10-Supuestos!$E$10))),IF(Supuestos!$C$10="Uniforme",Supuestos!$D$10+G237*(Supuestos!$E$10-Supuestos!$D$10),IF(Supuestos!$C$10="Lognormal",LOGINV(G237,LN(Supuestos!$D$10)-LN(1+Supuestos!$E$10^2/Supuestos!$D$10^2)/2,SQRT(LN(1+Supuestos!$E$10^2/Supuestos!$D$10^2))),Supuestos!$D$10))))))</f>
        <v/>
      </c>
      <c r="O237" s="31">
        <f>MIN(IF(Supuestos!$H$11="",1E+99,Supuestos!$H$11),MAX(IF(Supuestos!$G$11="",-1E+99,Supuestos!$G$11),IF(Supuestos!$C$11="Normal",NORMINV(H237,Supuestos!$D$11,Supuestos!$E$11),IF(Supuestos!$C$11="Triangular",IF(H237&lt;(Supuestos!$E$11-Supuestos!$D$11)/(Supuestos!$F$11-Supuestos!$D$11),Supuestos!$D$11+SQRT(H237*(Supuestos!$F$11-Supuestos!$D$11)*(Supuestos!$E$11-Supuestos!$D$11)),Supuestos!$F$11-SQRT((1-H237)*(Supuestos!$F$11-Supuestos!$D$11)*(Supuestos!$F$11-Supuestos!$E$11))),IF(Supuestos!$C$11="Uniforme",Supuestos!$D$11+H237*(Supuestos!$E$11-Supuestos!$D$11),IF(Supuestos!$C$11="Lognormal",LOGINV(H237,LN(Supuestos!$D$11)-LN(1+Supuestos!$E$11^2/Supuestos!$D$11^2)/2,SQRT(LN(1+Supuestos!$E$11^2/Supuestos!$D$11^2))),Supuestos!$D$11))))))</f>
        <v/>
      </c>
      <c r="P237" s="33">
        <f>-I237</f>
        <v/>
      </c>
      <c r="Q237" s="33">
        <f>$J237*(1+$K237)^(1-1)*(1-$L237)*(1-$M237)</f>
        <v/>
      </c>
      <c r="R237" s="33">
        <f>$J237*(1+$K237)^(2-1)*(1-$L237)*(1-$M237)</f>
        <v/>
      </c>
      <c r="S237" s="33">
        <f>$J237*(1+$K237)^(3-1)*(1-$L237)*(1-$M237)</f>
        <v/>
      </c>
      <c r="T237" s="33">
        <f>$J237*(1+$K237)^(4-1)*(1-$L237)*(1-$M237)</f>
        <v/>
      </c>
      <c r="U237" s="33">
        <f>$J237*(1+$K237)^(5-1)*(1-$L237)*(1-$M237)+$O237</f>
        <v/>
      </c>
      <c r="V237" s="33">
        <f>P237+NPV($N237,Q237:U237)</f>
        <v/>
      </c>
      <c r="W237" s="32">
        <f>IFERROR(IRR(P237:U237,0.1),"")</f>
        <v/>
      </c>
    </row>
    <row r="238">
      <c r="A238" s="14" t="n">
        <v>234</v>
      </c>
      <c r="B238" s="30">
        <f>RAND()*(1-2E-6)+1E-6</f>
        <v/>
      </c>
      <c r="C238" s="30">
        <f>RAND()*(1-2E-6)+1E-6</f>
        <v/>
      </c>
      <c r="D238" s="30">
        <f>RAND()*(1-2E-6)+1E-6</f>
        <v/>
      </c>
      <c r="E238" s="30">
        <f>RAND()*(1-2E-6)+1E-6</f>
        <v/>
      </c>
      <c r="F238" s="30">
        <f>RAND()*(1-2E-6)+1E-6</f>
        <v/>
      </c>
      <c r="G238" s="30">
        <f>RAND()*(1-2E-6)+1E-6</f>
        <v/>
      </c>
      <c r="H238" s="30">
        <f>RAND()*(1-2E-6)+1E-6</f>
        <v/>
      </c>
      <c r="I238" s="31">
        <f>MIN(IF(Supuestos!$H$5="",1E+99,Supuestos!$H$5),MAX(IF(Supuestos!$G$5="",-1E+99,Supuestos!$G$5),IF(Supuestos!$C$5="Normal",NORMINV(B238,Supuestos!$D$5,Supuestos!$E$5),IF(Supuestos!$C$5="Triangular",IF(B238&lt;(Supuestos!$E$5-Supuestos!$D$5)/(Supuestos!$F$5-Supuestos!$D$5),Supuestos!$D$5+SQRT(B238*(Supuestos!$F$5-Supuestos!$D$5)*(Supuestos!$E$5-Supuestos!$D$5)),Supuestos!$F$5-SQRT((1-B238)*(Supuestos!$F$5-Supuestos!$D$5)*(Supuestos!$F$5-Supuestos!$E$5))),IF(Supuestos!$C$5="Uniforme",Supuestos!$D$5+B238*(Supuestos!$E$5-Supuestos!$D$5),IF(Supuestos!$C$5="Lognormal",LOGINV(B238,LN(Supuestos!$D$5)-LN(1+Supuestos!$E$5^2/Supuestos!$D$5^2)/2,SQRT(LN(1+Supuestos!$E$5^2/Supuestos!$D$5^2))),Supuestos!$D$5))))))</f>
        <v/>
      </c>
      <c r="J238" s="31">
        <f>MIN(IF(Supuestos!$H$6="",1E+99,Supuestos!$H$6),MAX(IF(Supuestos!$G$6="",-1E+99,Supuestos!$G$6),IF(Supuestos!$C$6="Normal",NORMINV(C238,Supuestos!$D$6,Supuestos!$E$6),IF(Supuestos!$C$6="Triangular",IF(C238&lt;(Supuestos!$E$6-Supuestos!$D$6)/(Supuestos!$F$6-Supuestos!$D$6),Supuestos!$D$6+SQRT(C238*(Supuestos!$F$6-Supuestos!$D$6)*(Supuestos!$E$6-Supuestos!$D$6)),Supuestos!$F$6-SQRT((1-C238)*(Supuestos!$F$6-Supuestos!$D$6)*(Supuestos!$F$6-Supuestos!$E$6))),IF(Supuestos!$C$6="Uniforme",Supuestos!$D$6+C238*(Supuestos!$E$6-Supuestos!$D$6),IF(Supuestos!$C$6="Lognormal",LOGINV(C238,LN(Supuestos!$D$6)-LN(1+Supuestos!$E$6^2/Supuestos!$D$6^2)/2,SQRT(LN(1+Supuestos!$E$6^2/Supuestos!$D$6^2))),Supuestos!$D$6))))))</f>
        <v/>
      </c>
      <c r="K238" s="32">
        <f>MIN(IF(Supuestos!$H$7="",1E+99,Supuestos!$H$7),MAX(IF(Supuestos!$G$7="",-1E+99,Supuestos!$G$7),IF(Supuestos!$C$7="Normal",NORMINV(D238,Supuestos!$D$7,Supuestos!$E$7),IF(Supuestos!$C$7="Triangular",IF(D238&lt;(Supuestos!$E$7-Supuestos!$D$7)/(Supuestos!$F$7-Supuestos!$D$7),Supuestos!$D$7+SQRT(D238*(Supuestos!$F$7-Supuestos!$D$7)*(Supuestos!$E$7-Supuestos!$D$7)),Supuestos!$F$7-SQRT((1-D238)*(Supuestos!$F$7-Supuestos!$D$7)*(Supuestos!$F$7-Supuestos!$E$7))),IF(Supuestos!$C$7="Uniforme",Supuestos!$D$7+D238*(Supuestos!$E$7-Supuestos!$D$7),IF(Supuestos!$C$7="Lognormal",LOGINV(D238,LN(Supuestos!$D$7)-LN(1+Supuestos!$E$7^2/Supuestos!$D$7^2)/2,SQRT(LN(1+Supuestos!$E$7^2/Supuestos!$D$7^2))),Supuestos!$D$7))))))</f>
        <v/>
      </c>
      <c r="L238" s="32">
        <f>MIN(IF(Supuestos!$H$8="",1E+99,Supuestos!$H$8),MAX(IF(Supuestos!$G$8="",-1E+99,Supuestos!$G$8),IF(Supuestos!$C$8="Normal",NORMINV(E238,Supuestos!$D$8,Supuestos!$E$8),IF(Supuestos!$C$8="Triangular",IF(E238&lt;(Supuestos!$E$8-Supuestos!$D$8)/(Supuestos!$F$8-Supuestos!$D$8),Supuestos!$D$8+SQRT(E238*(Supuestos!$F$8-Supuestos!$D$8)*(Supuestos!$E$8-Supuestos!$D$8)),Supuestos!$F$8-SQRT((1-E238)*(Supuestos!$F$8-Supuestos!$D$8)*(Supuestos!$F$8-Supuestos!$E$8))),IF(Supuestos!$C$8="Uniforme",Supuestos!$D$8+E238*(Supuestos!$E$8-Supuestos!$D$8),IF(Supuestos!$C$8="Lognormal",LOGINV(E238,LN(Supuestos!$D$8)-LN(1+Supuestos!$E$8^2/Supuestos!$D$8^2)/2,SQRT(LN(1+Supuestos!$E$8^2/Supuestos!$D$8^2))),Supuestos!$D$8))))))</f>
        <v/>
      </c>
      <c r="M238" s="32">
        <f>MIN(IF(Supuestos!$H$9="",1E+99,Supuestos!$H$9),MAX(IF(Supuestos!$G$9="",-1E+99,Supuestos!$G$9),IF(Supuestos!$C$9="Normal",NORMINV(F238,Supuestos!$D$9,Supuestos!$E$9),IF(Supuestos!$C$9="Triangular",IF(F238&lt;(Supuestos!$E$9-Supuestos!$D$9)/(Supuestos!$F$9-Supuestos!$D$9),Supuestos!$D$9+SQRT(F238*(Supuestos!$F$9-Supuestos!$D$9)*(Supuestos!$E$9-Supuestos!$D$9)),Supuestos!$F$9-SQRT((1-F238)*(Supuestos!$F$9-Supuestos!$D$9)*(Supuestos!$F$9-Supuestos!$E$9))),IF(Supuestos!$C$9="Uniforme",Supuestos!$D$9+F238*(Supuestos!$E$9-Supuestos!$D$9),IF(Supuestos!$C$9="Lognormal",LOGINV(F238,LN(Supuestos!$D$9)-LN(1+Supuestos!$E$9^2/Supuestos!$D$9^2)/2,SQRT(LN(1+Supuestos!$E$9^2/Supuestos!$D$9^2))),Supuestos!$D$9))))))</f>
        <v/>
      </c>
      <c r="N238" s="32">
        <f>MIN(IF(Supuestos!$H$10="",1E+99,Supuestos!$H$10),MAX(IF(Supuestos!$G$10="",-1E+99,Supuestos!$G$10),IF(Supuestos!$C$10="Normal",NORMINV(G238,Supuestos!$D$10,Supuestos!$E$10),IF(Supuestos!$C$10="Triangular",IF(G238&lt;(Supuestos!$E$10-Supuestos!$D$10)/(Supuestos!$F$10-Supuestos!$D$10),Supuestos!$D$10+SQRT(G238*(Supuestos!$F$10-Supuestos!$D$10)*(Supuestos!$E$10-Supuestos!$D$10)),Supuestos!$F$10-SQRT((1-G238)*(Supuestos!$F$10-Supuestos!$D$10)*(Supuestos!$F$10-Supuestos!$E$10))),IF(Supuestos!$C$10="Uniforme",Supuestos!$D$10+G238*(Supuestos!$E$10-Supuestos!$D$10),IF(Supuestos!$C$10="Lognormal",LOGINV(G238,LN(Supuestos!$D$10)-LN(1+Supuestos!$E$10^2/Supuestos!$D$10^2)/2,SQRT(LN(1+Supuestos!$E$10^2/Supuestos!$D$10^2))),Supuestos!$D$10))))))</f>
        <v/>
      </c>
      <c r="O238" s="31">
        <f>MIN(IF(Supuestos!$H$11="",1E+99,Supuestos!$H$11),MAX(IF(Supuestos!$G$11="",-1E+99,Supuestos!$G$11),IF(Supuestos!$C$11="Normal",NORMINV(H238,Supuestos!$D$11,Supuestos!$E$11),IF(Supuestos!$C$11="Triangular",IF(H238&lt;(Supuestos!$E$11-Supuestos!$D$11)/(Supuestos!$F$11-Supuestos!$D$11),Supuestos!$D$11+SQRT(H238*(Supuestos!$F$11-Supuestos!$D$11)*(Supuestos!$E$11-Supuestos!$D$11)),Supuestos!$F$11-SQRT((1-H238)*(Supuestos!$F$11-Supuestos!$D$11)*(Supuestos!$F$11-Supuestos!$E$11))),IF(Supuestos!$C$11="Uniforme",Supuestos!$D$11+H238*(Supuestos!$E$11-Supuestos!$D$11),IF(Supuestos!$C$11="Lognormal",LOGINV(H238,LN(Supuestos!$D$11)-LN(1+Supuestos!$E$11^2/Supuestos!$D$11^2)/2,SQRT(LN(1+Supuestos!$E$11^2/Supuestos!$D$11^2))),Supuestos!$D$11))))))</f>
        <v/>
      </c>
      <c r="P238" s="33">
        <f>-I238</f>
        <v/>
      </c>
      <c r="Q238" s="33">
        <f>$J238*(1+$K238)^(1-1)*(1-$L238)*(1-$M238)</f>
        <v/>
      </c>
      <c r="R238" s="33">
        <f>$J238*(1+$K238)^(2-1)*(1-$L238)*(1-$M238)</f>
        <v/>
      </c>
      <c r="S238" s="33">
        <f>$J238*(1+$K238)^(3-1)*(1-$L238)*(1-$M238)</f>
        <v/>
      </c>
      <c r="T238" s="33">
        <f>$J238*(1+$K238)^(4-1)*(1-$L238)*(1-$M238)</f>
        <v/>
      </c>
      <c r="U238" s="33">
        <f>$J238*(1+$K238)^(5-1)*(1-$L238)*(1-$M238)+$O238</f>
        <v/>
      </c>
      <c r="V238" s="33">
        <f>P238+NPV($N238,Q238:U238)</f>
        <v/>
      </c>
      <c r="W238" s="32">
        <f>IFERROR(IRR(P238:U238,0.1),"")</f>
        <v/>
      </c>
    </row>
    <row r="239">
      <c r="A239" s="14" t="n">
        <v>235</v>
      </c>
      <c r="B239" s="30">
        <f>RAND()*(1-2E-6)+1E-6</f>
        <v/>
      </c>
      <c r="C239" s="30">
        <f>RAND()*(1-2E-6)+1E-6</f>
        <v/>
      </c>
      <c r="D239" s="30">
        <f>RAND()*(1-2E-6)+1E-6</f>
        <v/>
      </c>
      <c r="E239" s="30">
        <f>RAND()*(1-2E-6)+1E-6</f>
        <v/>
      </c>
      <c r="F239" s="30">
        <f>RAND()*(1-2E-6)+1E-6</f>
        <v/>
      </c>
      <c r="G239" s="30">
        <f>RAND()*(1-2E-6)+1E-6</f>
        <v/>
      </c>
      <c r="H239" s="30">
        <f>RAND()*(1-2E-6)+1E-6</f>
        <v/>
      </c>
      <c r="I239" s="31">
        <f>MIN(IF(Supuestos!$H$5="",1E+99,Supuestos!$H$5),MAX(IF(Supuestos!$G$5="",-1E+99,Supuestos!$G$5),IF(Supuestos!$C$5="Normal",NORMINV(B239,Supuestos!$D$5,Supuestos!$E$5),IF(Supuestos!$C$5="Triangular",IF(B239&lt;(Supuestos!$E$5-Supuestos!$D$5)/(Supuestos!$F$5-Supuestos!$D$5),Supuestos!$D$5+SQRT(B239*(Supuestos!$F$5-Supuestos!$D$5)*(Supuestos!$E$5-Supuestos!$D$5)),Supuestos!$F$5-SQRT((1-B239)*(Supuestos!$F$5-Supuestos!$D$5)*(Supuestos!$F$5-Supuestos!$E$5))),IF(Supuestos!$C$5="Uniforme",Supuestos!$D$5+B239*(Supuestos!$E$5-Supuestos!$D$5),IF(Supuestos!$C$5="Lognormal",LOGINV(B239,LN(Supuestos!$D$5)-LN(1+Supuestos!$E$5^2/Supuestos!$D$5^2)/2,SQRT(LN(1+Supuestos!$E$5^2/Supuestos!$D$5^2))),Supuestos!$D$5))))))</f>
        <v/>
      </c>
      <c r="J239" s="31">
        <f>MIN(IF(Supuestos!$H$6="",1E+99,Supuestos!$H$6),MAX(IF(Supuestos!$G$6="",-1E+99,Supuestos!$G$6),IF(Supuestos!$C$6="Normal",NORMINV(C239,Supuestos!$D$6,Supuestos!$E$6),IF(Supuestos!$C$6="Triangular",IF(C239&lt;(Supuestos!$E$6-Supuestos!$D$6)/(Supuestos!$F$6-Supuestos!$D$6),Supuestos!$D$6+SQRT(C239*(Supuestos!$F$6-Supuestos!$D$6)*(Supuestos!$E$6-Supuestos!$D$6)),Supuestos!$F$6-SQRT((1-C239)*(Supuestos!$F$6-Supuestos!$D$6)*(Supuestos!$F$6-Supuestos!$E$6))),IF(Supuestos!$C$6="Uniforme",Supuestos!$D$6+C239*(Supuestos!$E$6-Supuestos!$D$6),IF(Supuestos!$C$6="Lognormal",LOGINV(C239,LN(Supuestos!$D$6)-LN(1+Supuestos!$E$6^2/Supuestos!$D$6^2)/2,SQRT(LN(1+Supuestos!$E$6^2/Supuestos!$D$6^2))),Supuestos!$D$6))))))</f>
        <v/>
      </c>
      <c r="K239" s="32">
        <f>MIN(IF(Supuestos!$H$7="",1E+99,Supuestos!$H$7),MAX(IF(Supuestos!$G$7="",-1E+99,Supuestos!$G$7),IF(Supuestos!$C$7="Normal",NORMINV(D239,Supuestos!$D$7,Supuestos!$E$7),IF(Supuestos!$C$7="Triangular",IF(D239&lt;(Supuestos!$E$7-Supuestos!$D$7)/(Supuestos!$F$7-Supuestos!$D$7),Supuestos!$D$7+SQRT(D239*(Supuestos!$F$7-Supuestos!$D$7)*(Supuestos!$E$7-Supuestos!$D$7)),Supuestos!$F$7-SQRT((1-D239)*(Supuestos!$F$7-Supuestos!$D$7)*(Supuestos!$F$7-Supuestos!$E$7))),IF(Supuestos!$C$7="Uniforme",Supuestos!$D$7+D239*(Supuestos!$E$7-Supuestos!$D$7),IF(Supuestos!$C$7="Lognormal",LOGINV(D239,LN(Supuestos!$D$7)-LN(1+Supuestos!$E$7^2/Supuestos!$D$7^2)/2,SQRT(LN(1+Supuestos!$E$7^2/Supuestos!$D$7^2))),Supuestos!$D$7))))))</f>
        <v/>
      </c>
      <c r="L239" s="32">
        <f>MIN(IF(Supuestos!$H$8="",1E+99,Supuestos!$H$8),MAX(IF(Supuestos!$G$8="",-1E+99,Supuestos!$G$8),IF(Supuestos!$C$8="Normal",NORMINV(E239,Supuestos!$D$8,Supuestos!$E$8),IF(Supuestos!$C$8="Triangular",IF(E239&lt;(Supuestos!$E$8-Supuestos!$D$8)/(Supuestos!$F$8-Supuestos!$D$8),Supuestos!$D$8+SQRT(E239*(Supuestos!$F$8-Supuestos!$D$8)*(Supuestos!$E$8-Supuestos!$D$8)),Supuestos!$F$8-SQRT((1-E239)*(Supuestos!$F$8-Supuestos!$D$8)*(Supuestos!$F$8-Supuestos!$E$8))),IF(Supuestos!$C$8="Uniforme",Supuestos!$D$8+E239*(Supuestos!$E$8-Supuestos!$D$8),IF(Supuestos!$C$8="Lognormal",LOGINV(E239,LN(Supuestos!$D$8)-LN(1+Supuestos!$E$8^2/Supuestos!$D$8^2)/2,SQRT(LN(1+Supuestos!$E$8^2/Supuestos!$D$8^2))),Supuestos!$D$8))))))</f>
        <v/>
      </c>
      <c r="M239" s="32">
        <f>MIN(IF(Supuestos!$H$9="",1E+99,Supuestos!$H$9),MAX(IF(Supuestos!$G$9="",-1E+99,Supuestos!$G$9),IF(Supuestos!$C$9="Normal",NORMINV(F239,Supuestos!$D$9,Supuestos!$E$9),IF(Supuestos!$C$9="Triangular",IF(F239&lt;(Supuestos!$E$9-Supuestos!$D$9)/(Supuestos!$F$9-Supuestos!$D$9),Supuestos!$D$9+SQRT(F239*(Supuestos!$F$9-Supuestos!$D$9)*(Supuestos!$E$9-Supuestos!$D$9)),Supuestos!$F$9-SQRT((1-F239)*(Supuestos!$F$9-Supuestos!$D$9)*(Supuestos!$F$9-Supuestos!$E$9))),IF(Supuestos!$C$9="Uniforme",Supuestos!$D$9+F239*(Supuestos!$E$9-Supuestos!$D$9),IF(Supuestos!$C$9="Lognormal",LOGINV(F239,LN(Supuestos!$D$9)-LN(1+Supuestos!$E$9^2/Supuestos!$D$9^2)/2,SQRT(LN(1+Supuestos!$E$9^2/Supuestos!$D$9^2))),Supuestos!$D$9))))))</f>
        <v/>
      </c>
      <c r="N239" s="32">
        <f>MIN(IF(Supuestos!$H$10="",1E+99,Supuestos!$H$10),MAX(IF(Supuestos!$G$10="",-1E+99,Supuestos!$G$10),IF(Supuestos!$C$10="Normal",NORMINV(G239,Supuestos!$D$10,Supuestos!$E$10),IF(Supuestos!$C$10="Triangular",IF(G239&lt;(Supuestos!$E$10-Supuestos!$D$10)/(Supuestos!$F$10-Supuestos!$D$10),Supuestos!$D$10+SQRT(G239*(Supuestos!$F$10-Supuestos!$D$10)*(Supuestos!$E$10-Supuestos!$D$10)),Supuestos!$F$10-SQRT((1-G239)*(Supuestos!$F$10-Supuestos!$D$10)*(Supuestos!$F$10-Supuestos!$E$10))),IF(Supuestos!$C$10="Uniforme",Supuestos!$D$10+G239*(Supuestos!$E$10-Supuestos!$D$10),IF(Supuestos!$C$10="Lognormal",LOGINV(G239,LN(Supuestos!$D$10)-LN(1+Supuestos!$E$10^2/Supuestos!$D$10^2)/2,SQRT(LN(1+Supuestos!$E$10^2/Supuestos!$D$10^2))),Supuestos!$D$10))))))</f>
        <v/>
      </c>
      <c r="O239" s="31">
        <f>MIN(IF(Supuestos!$H$11="",1E+99,Supuestos!$H$11),MAX(IF(Supuestos!$G$11="",-1E+99,Supuestos!$G$11),IF(Supuestos!$C$11="Normal",NORMINV(H239,Supuestos!$D$11,Supuestos!$E$11),IF(Supuestos!$C$11="Triangular",IF(H239&lt;(Supuestos!$E$11-Supuestos!$D$11)/(Supuestos!$F$11-Supuestos!$D$11),Supuestos!$D$11+SQRT(H239*(Supuestos!$F$11-Supuestos!$D$11)*(Supuestos!$E$11-Supuestos!$D$11)),Supuestos!$F$11-SQRT((1-H239)*(Supuestos!$F$11-Supuestos!$D$11)*(Supuestos!$F$11-Supuestos!$E$11))),IF(Supuestos!$C$11="Uniforme",Supuestos!$D$11+H239*(Supuestos!$E$11-Supuestos!$D$11),IF(Supuestos!$C$11="Lognormal",LOGINV(H239,LN(Supuestos!$D$11)-LN(1+Supuestos!$E$11^2/Supuestos!$D$11^2)/2,SQRT(LN(1+Supuestos!$E$11^2/Supuestos!$D$11^2))),Supuestos!$D$11))))))</f>
        <v/>
      </c>
      <c r="P239" s="33">
        <f>-I239</f>
        <v/>
      </c>
      <c r="Q239" s="33">
        <f>$J239*(1+$K239)^(1-1)*(1-$L239)*(1-$M239)</f>
        <v/>
      </c>
      <c r="R239" s="33">
        <f>$J239*(1+$K239)^(2-1)*(1-$L239)*(1-$M239)</f>
        <v/>
      </c>
      <c r="S239" s="33">
        <f>$J239*(1+$K239)^(3-1)*(1-$L239)*(1-$M239)</f>
        <v/>
      </c>
      <c r="T239" s="33">
        <f>$J239*(1+$K239)^(4-1)*(1-$L239)*(1-$M239)</f>
        <v/>
      </c>
      <c r="U239" s="33">
        <f>$J239*(1+$K239)^(5-1)*(1-$L239)*(1-$M239)+$O239</f>
        <v/>
      </c>
      <c r="V239" s="33">
        <f>P239+NPV($N239,Q239:U239)</f>
        <v/>
      </c>
      <c r="W239" s="32">
        <f>IFERROR(IRR(P239:U239,0.1),"")</f>
        <v/>
      </c>
    </row>
    <row r="240">
      <c r="A240" s="14" t="n">
        <v>236</v>
      </c>
      <c r="B240" s="30">
        <f>RAND()*(1-2E-6)+1E-6</f>
        <v/>
      </c>
      <c r="C240" s="30">
        <f>RAND()*(1-2E-6)+1E-6</f>
        <v/>
      </c>
      <c r="D240" s="30">
        <f>RAND()*(1-2E-6)+1E-6</f>
        <v/>
      </c>
      <c r="E240" s="30">
        <f>RAND()*(1-2E-6)+1E-6</f>
        <v/>
      </c>
      <c r="F240" s="30">
        <f>RAND()*(1-2E-6)+1E-6</f>
        <v/>
      </c>
      <c r="G240" s="30">
        <f>RAND()*(1-2E-6)+1E-6</f>
        <v/>
      </c>
      <c r="H240" s="30">
        <f>RAND()*(1-2E-6)+1E-6</f>
        <v/>
      </c>
      <c r="I240" s="31">
        <f>MIN(IF(Supuestos!$H$5="",1E+99,Supuestos!$H$5),MAX(IF(Supuestos!$G$5="",-1E+99,Supuestos!$G$5),IF(Supuestos!$C$5="Normal",NORMINV(B240,Supuestos!$D$5,Supuestos!$E$5),IF(Supuestos!$C$5="Triangular",IF(B240&lt;(Supuestos!$E$5-Supuestos!$D$5)/(Supuestos!$F$5-Supuestos!$D$5),Supuestos!$D$5+SQRT(B240*(Supuestos!$F$5-Supuestos!$D$5)*(Supuestos!$E$5-Supuestos!$D$5)),Supuestos!$F$5-SQRT((1-B240)*(Supuestos!$F$5-Supuestos!$D$5)*(Supuestos!$F$5-Supuestos!$E$5))),IF(Supuestos!$C$5="Uniforme",Supuestos!$D$5+B240*(Supuestos!$E$5-Supuestos!$D$5),IF(Supuestos!$C$5="Lognormal",LOGINV(B240,LN(Supuestos!$D$5)-LN(1+Supuestos!$E$5^2/Supuestos!$D$5^2)/2,SQRT(LN(1+Supuestos!$E$5^2/Supuestos!$D$5^2))),Supuestos!$D$5))))))</f>
        <v/>
      </c>
      <c r="J240" s="31">
        <f>MIN(IF(Supuestos!$H$6="",1E+99,Supuestos!$H$6),MAX(IF(Supuestos!$G$6="",-1E+99,Supuestos!$G$6),IF(Supuestos!$C$6="Normal",NORMINV(C240,Supuestos!$D$6,Supuestos!$E$6),IF(Supuestos!$C$6="Triangular",IF(C240&lt;(Supuestos!$E$6-Supuestos!$D$6)/(Supuestos!$F$6-Supuestos!$D$6),Supuestos!$D$6+SQRT(C240*(Supuestos!$F$6-Supuestos!$D$6)*(Supuestos!$E$6-Supuestos!$D$6)),Supuestos!$F$6-SQRT((1-C240)*(Supuestos!$F$6-Supuestos!$D$6)*(Supuestos!$F$6-Supuestos!$E$6))),IF(Supuestos!$C$6="Uniforme",Supuestos!$D$6+C240*(Supuestos!$E$6-Supuestos!$D$6),IF(Supuestos!$C$6="Lognormal",LOGINV(C240,LN(Supuestos!$D$6)-LN(1+Supuestos!$E$6^2/Supuestos!$D$6^2)/2,SQRT(LN(1+Supuestos!$E$6^2/Supuestos!$D$6^2))),Supuestos!$D$6))))))</f>
        <v/>
      </c>
      <c r="K240" s="32">
        <f>MIN(IF(Supuestos!$H$7="",1E+99,Supuestos!$H$7),MAX(IF(Supuestos!$G$7="",-1E+99,Supuestos!$G$7),IF(Supuestos!$C$7="Normal",NORMINV(D240,Supuestos!$D$7,Supuestos!$E$7),IF(Supuestos!$C$7="Triangular",IF(D240&lt;(Supuestos!$E$7-Supuestos!$D$7)/(Supuestos!$F$7-Supuestos!$D$7),Supuestos!$D$7+SQRT(D240*(Supuestos!$F$7-Supuestos!$D$7)*(Supuestos!$E$7-Supuestos!$D$7)),Supuestos!$F$7-SQRT((1-D240)*(Supuestos!$F$7-Supuestos!$D$7)*(Supuestos!$F$7-Supuestos!$E$7))),IF(Supuestos!$C$7="Uniforme",Supuestos!$D$7+D240*(Supuestos!$E$7-Supuestos!$D$7),IF(Supuestos!$C$7="Lognormal",LOGINV(D240,LN(Supuestos!$D$7)-LN(1+Supuestos!$E$7^2/Supuestos!$D$7^2)/2,SQRT(LN(1+Supuestos!$E$7^2/Supuestos!$D$7^2))),Supuestos!$D$7))))))</f>
        <v/>
      </c>
      <c r="L240" s="32">
        <f>MIN(IF(Supuestos!$H$8="",1E+99,Supuestos!$H$8),MAX(IF(Supuestos!$G$8="",-1E+99,Supuestos!$G$8),IF(Supuestos!$C$8="Normal",NORMINV(E240,Supuestos!$D$8,Supuestos!$E$8),IF(Supuestos!$C$8="Triangular",IF(E240&lt;(Supuestos!$E$8-Supuestos!$D$8)/(Supuestos!$F$8-Supuestos!$D$8),Supuestos!$D$8+SQRT(E240*(Supuestos!$F$8-Supuestos!$D$8)*(Supuestos!$E$8-Supuestos!$D$8)),Supuestos!$F$8-SQRT((1-E240)*(Supuestos!$F$8-Supuestos!$D$8)*(Supuestos!$F$8-Supuestos!$E$8))),IF(Supuestos!$C$8="Uniforme",Supuestos!$D$8+E240*(Supuestos!$E$8-Supuestos!$D$8),IF(Supuestos!$C$8="Lognormal",LOGINV(E240,LN(Supuestos!$D$8)-LN(1+Supuestos!$E$8^2/Supuestos!$D$8^2)/2,SQRT(LN(1+Supuestos!$E$8^2/Supuestos!$D$8^2))),Supuestos!$D$8))))))</f>
        <v/>
      </c>
      <c r="M240" s="32">
        <f>MIN(IF(Supuestos!$H$9="",1E+99,Supuestos!$H$9),MAX(IF(Supuestos!$G$9="",-1E+99,Supuestos!$G$9),IF(Supuestos!$C$9="Normal",NORMINV(F240,Supuestos!$D$9,Supuestos!$E$9),IF(Supuestos!$C$9="Triangular",IF(F240&lt;(Supuestos!$E$9-Supuestos!$D$9)/(Supuestos!$F$9-Supuestos!$D$9),Supuestos!$D$9+SQRT(F240*(Supuestos!$F$9-Supuestos!$D$9)*(Supuestos!$E$9-Supuestos!$D$9)),Supuestos!$F$9-SQRT((1-F240)*(Supuestos!$F$9-Supuestos!$D$9)*(Supuestos!$F$9-Supuestos!$E$9))),IF(Supuestos!$C$9="Uniforme",Supuestos!$D$9+F240*(Supuestos!$E$9-Supuestos!$D$9),IF(Supuestos!$C$9="Lognormal",LOGINV(F240,LN(Supuestos!$D$9)-LN(1+Supuestos!$E$9^2/Supuestos!$D$9^2)/2,SQRT(LN(1+Supuestos!$E$9^2/Supuestos!$D$9^2))),Supuestos!$D$9))))))</f>
        <v/>
      </c>
      <c r="N240" s="32">
        <f>MIN(IF(Supuestos!$H$10="",1E+99,Supuestos!$H$10),MAX(IF(Supuestos!$G$10="",-1E+99,Supuestos!$G$10),IF(Supuestos!$C$10="Normal",NORMINV(G240,Supuestos!$D$10,Supuestos!$E$10),IF(Supuestos!$C$10="Triangular",IF(G240&lt;(Supuestos!$E$10-Supuestos!$D$10)/(Supuestos!$F$10-Supuestos!$D$10),Supuestos!$D$10+SQRT(G240*(Supuestos!$F$10-Supuestos!$D$10)*(Supuestos!$E$10-Supuestos!$D$10)),Supuestos!$F$10-SQRT((1-G240)*(Supuestos!$F$10-Supuestos!$D$10)*(Supuestos!$F$10-Supuestos!$E$10))),IF(Supuestos!$C$10="Uniforme",Supuestos!$D$10+G240*(Supuestos!$E$10-Supuestos!$D$10),IF(Supuestos!$C$10="Lognormal",LOGINV(G240,LN(Supuestos!$D$10)-LN(1+Supuestos!$E$10^2/Supuestos!$D$10^2)/2,SQRT(LN(1+Supuestos!$E$10^2/Supuestos!$D$10^2))),Supuestos!$D$10))))))</f>
        <v/>
      </c>
      <c r="O240" s="31">
        <f>MIN(IF(Supuestos!$H$11="",1E+99,Supuestos!$H$11),MAX(IF(Supuestos!$G$11="",-1E+99,Supuestos!$G$11),IF(Supuestos!$C$11="Normal",NORMINV(H240,Supuestos!$D$11,Supuestos!$E$11),IF(Supuestos!$C$11="Triangular",IF(H240&lt;(Supuestos!$E$11-Supuestos!$D$11)/(Supuestos!$F$11-Supuestos!$D$11),Supuestos!$D$11+SQRT(H240*(Supuestos!$F$11-Supuestos!$D$11)*(Supuestos!$E$11-Supuestos!$D$11)),Supuestos!$F$11-SQRT((1-H240)*(Supuestos!$F$11-Supuestos!$D$11)*(Supuestos!$F$11-Supuestos!$E$11))),IF(Supuestos!$C$11="Uniforme",Supuestos!$D$11+H240*(Supuestos!$E$11-Supuestos!$D$11),IF(Supuestos!$C$11="Lognormal",LOGINV(H240,LN(Supuestos!$D$11)-LN(1+Supuestos!$E$11^2/Supuestos!$D$11^2)/2,SQRT(LN(1+Supuestos!$E$11^2/Supuestos!$D$11^2))),Supuestos!$D$11))))))</f>
        <v/>
      </c>
      <c r="P240" s="33">
        <f>-I240</f>
        <v/>
      </c>
      <c r="Q240" s="33">
        <f>$J240*(1+$K240)^(1-1)*(1-$L240)*(1-$M240)</f>
        <v/>
      </c>
      <c r="R240" s="33">
        <f>$J240*(1+$K240)^(2-1)*(1-$L240)*(1-$M240)</f>
        <v/>
      </c>
      <c r="S240" s="33">
        <f>$J240*(1+$K240)^(3-1)*(1-$L240)*(1-$M240)</f>
        <v/>
      </c>
      <c r="T240" s="33">
        <f>$J240*(1+$K240)^(4-1)*(1-$L240)*(1-$M240)</f>
        <v/>
      </c>
      <c r="U240" s="33">
        <f>$J240*(1+$K240)^(5-1)*(1-$L240)*(1-$M240)+$O240</f>
        <v/>
      </c>
      <c r="V240" s="33">
        <f>P240+NPV($N240,Q240:U240)</f>
        <v/>
      </c>
      <c r="W240" s="32">
        <f>IFERROR(IRR(P240:U240,0.1),"")</f>
        <v/>
      </c>
    </row>
    <row r="241">
      <c r="A241" s="14" t="n">
        <v>237</v>
      </c>
      <c r="B241" s="30">
        <f>RAND()*(1-2E-6)+1E-6</f>
        <v/>
      </c>
      <c r="C241" s="30">
        <f>RAND()*(1-2E-6)+1E-6</f>
        <v/>
      </c>
      <c r="D241" s="30">
        <f>RAND()*(1-2E-6)+1E-6</f>
        <v/>
      </c>
      <c r="E241" s="30">
        <f>RAND()*(1-2E-6)+1E-6</f>
        <v/>
      </c>
      <c r="F241" s="30">
        <f>RAND()*(1-2E-6)+1E-6</f>
        <v/>
      </c>
      <c r="G241" s="30">
        <f>RAND()*(1-2E-6)+1E-6</f>
        <v/>
      </c>
      <c r="H241" s="30">
        <f>RAND()*(1-2E-6)+1E-6</f>
        <v/>
      </c>
      <c r="I241" s="31">
        <f>MIN(IF(Supuestos!$H$5="",1E+99,Supuestos!$H$5),MAX(IF(Supuestos!$G$5="",-1E+99,Supuestos!$G$5),IF(Supuestos!$C$5="Normal",NORMINV(B241,Supuestos!$D$5,Supuestos!$E$5),IF(Supuestos!$C$5="Triangular",IF(B241&lt;(Supuestos!$E$5-Supuestos!$D$5)/(Supuestos!$F$5-Supuestos!$D$5),Supuestos!$D$5+SQRT(B241*(Supuestos!$F$5-Supuestos!$D$5)*(Supuestos!$E$5-Supuestos!$D$5)),Supuestos!$F$5-SQRT((1-B241)*(Supuestos!$F$5-Supuestos!$D$5)*(Supuestos!$F$5-Supuestos!$E$5))),IF(Supuestos!$C$5="Uniforme",Supuestos!$D$5+B241*(Supuestos!$E$5-Supuestos!$D$5),IF(Supuestos!$C$5="Lognormal",LOGINV(B241,LN(Supuestos!$D$5)-LN(1+Supuestos!$E$5^2/Supuestos!$D$5^2)/2,SQRT(LN(1+Supuestos!$E$5^2/Supuestos!$D$5^2))),Supuestos!$D$5))))))</f>
        <v/>
      </c>
      <c r="J241" s="31">
        <f>MIN(IF(Supuestos!$H$6="",1E+99,Supuestos!$H$6),MAX(IF(Supuestos!$G$6="",-1E+99,Supuestos!$G$6),IF(Supuestos!$C$6="Normal",NORMINV(C241,Supuestos!$D$6,Supuestos!$E$6),IF(Supuestos!$C$6="Triangular",IF(C241&lt;(Supuestos!$E$6-Supuestos!$D$6)/(Supuestos!$F$6-Supuestos!$D$6),Supuestos!$D$6+SQRT(C241*(Supuestos!$F$6-Supuestos!$D$6)*(Supuestos!$E$6-Supuestos!$D$6)),Supuestos!$F$6-SQRT((1-C241)*(Supuestos!$F$6-Supuestos!$D$6)*(Supuestos!$F$6-Supuestos!$E$6))),IF(Supuestos!$C$6="Uniforme",Supuestos!$D$6+C241*(Supuestos!$E$6-Supuestos!$D$6),IF(Supuestos!$C$6="Lognormal",LOGINV(C241,LN(Supuestos!$D$6)-LN(1+Supuestos!$E$6^2/Supuestos!$D$6^2)/2,SQRT(LN(1+Supuestos!$E$6^2/Supuestos!$D$6^2))),Supuestos!$D$6))))))</f>
        <v/>
      </c>
      <c r="K241" s="32">
        <f>MIN(IF(Supuestos!$H$7="",1E+99,Supuestos!$H$7),MAX(IF(Supuestos!$G$7="",-1E+99,Supuestos!$G$7),IF(Supuestos!$C$7="Normal",NORMINV(D241,Supuestos!$D$7,Supuestos!$E$7),IF(Supuestos!$C$7="Triangular",IF(D241&lt;(Supuestos!$E$7-Supuestos!$D$7)/(Supuestos!$F$7-Supuestos!$D$7),Supuestos!$D$7+SQRT(D241*(Supuestos!$F$7-Supuestos!$D$7)*(Supuestos!$E$7-Supuestos!$D$7)),Supuestos!$F$7-SQRT((1-D241)*(Supuestos!$F$7-Supuestos!$D$7)*(Supuestos!$F$7-Supuestos!$E$7))),IF(Supuestos!$C$7="Uniforme",Supuestos!$D$7+D241*(Supuestos!$E$7-Supuestos!$D$7),IF(Supuestos!$C$7="Lognormal",LOGINV(D241,LN(Supuestos!$D$7)-LN(1+Supuestos!$E$7^2/Supuestos!$D$7^2)/2,SQRT(LN(1+Supuestos!$E$7^2/Supuestos!$D$7^2))),Supuestos!$D$7))))))</f>
        <v/>
      </c>
      <c r="L241" s="32">
        <f>MIN(IF(Supuestos!$H$8="",1E+99,Supuestos!$H$8),MAX(IF(Supuestos!$G$8="",-1E+99,Supuestos!$G$8),IF(Supuestos!$C$8="Normal",NORMINV(E241,Supuestos!$D$8,Supuestos!$E$8),IF(Supuestos!$C$8="Triangular",IF(E241&lt;(Supuestos!$E$8-Supuestos!$D$8)/(Supuestos!$F$8-Supuestos!$D$8),Supuestos!$D$8+SQRT(E241*(Supuestos!$F$8-Supuestos!$D$8)*(Supuestos!$E$8-Supuestos!$D$8)),Supuestos!$F$8-SQRT((1-E241)*(Supuestos!$F$8-Supuestos!$D$8)*(Supuestos!$F$8-Supuestos!$E$8))),IF(Supuestos!$C$8="Uniforme",Supuestos!$D$8+E241*(Supuestos!$E$8-Supuestos!$D$8),IF(Supuestos!$C$8="Lognormal",LOGINV(E241,LN(Supuestos!$D$8)-LN(1+Supuestos!$E$8^2/Supuestos!$D$8^2)/2,SQRT(LN(1+Supuestos!$E$8^2/Supuestos!$D$8^2))),Supuestos!$D$8))))))</f>
        <v/>
      </c>
      <c r="M241" s="32">
        <f>MIN(IF(Supuestos!$H$9="",1E+99,Supuestos!$H$9),MAX(IF(Supuestos!$G$9="",-1E+99,Supuestos!$G$9),IF(Supuestos!$C$9="Normal",NORMINV(F241,Supuestos!$D$9,Supuestos!$E$9),IF(Supuestos!$C$9="Triangular",IF(F241&lt;(Supuestos!$E$9-Supuestos!$D$9)/(Supuestos!$F$9-Supuestos!$D$9),Supuestos!$D$9+SQRT(F241*(Supuestos!$F$9-Supuestos!$D$9)*(Supuestos!$E$9-Supuestos!$D$9)),Supuestos!$F$9-SQRT((1-F241)*(Supuestos!$F$9-Supuestos!$D$9)*(Supuestos!$F$9-Supuestos!$E$9))),IF(Supuestos!$C$9="Uniforme",Supuestos!$D$9+F241*(Supuestos!$E$9-Supuestos!$D$9),IF(Supuestos!$C$9="Lognormal",LOGINV(F241,LN(Supuestos!$D$9)-LN(1+Supuestos!$E$9^2/Supuestos!$D$9^2)/2,SQRT(LN(1+Supuestos!$E$9^2/Supuestos!$D$9^2))),Supuestos!$D$9))))))</f>
        <v/>
      </c>
      <c r="N241" s="32">
        <f>MIN(IF(Supuestos!$H$10="",1E+99,Supuestos!$H$10),MAX(IF(Supuestos!$G$10="",-1E+99,Supuestos!$G$10),IF(Supuestos!$C$10="Normal",NORMINV(G241,Supuestos!$D$10,Supuestos!$E$10),IF(Supuestos!$C$10="Triangular",IF(G241&lt;(Supuestos!$E$10-Supuestos!$D$10)/(Supuestos!$F$10-Supuestos!$D$10),Supuestos!$D$10+SQRT(G241*(Supuestos!$F$10-Supuestos!$D$10)*(Supuestos!$E$10-Supuestos!$D$10)),Supuestos!$F$10-SQRT((1-G241)*(Supuestos!$F$10-Supuestos!$D$10)*(Supuestos!$F$10-Supuestos!$E$10))),IF(Supuestos!$C$10="Uniforme",Supuestos!$D$10+G241*(Supuestos!$E$10-Supuestos!$D$10),IF(Supuestos!$C$10="Lognormal",LOGINV(G241,LN(Supuestos!$D$10)-LN(1+Supuestos!$E$10^2/Supuestos!$D$10^2)/2,SQRT(LN(1+Supuestos!$E$10^2/Supuestos!$D$10^2))),Supuestos!$D$10))))))</f>
        <v/>
      </c>
      <c r="O241" s="31">
        <f>MIN(IF(Supuestos!$H$11="",1E+99,Supuestos!$H$11),MAX(IF(Supuestos!$G$11="",-1E+99,Supuestos!$G$11),IF(Supuestos!$C$11="Normal",NORMINV(H241,Supuestos!$D$11,Supuestos!$E$11),IF(Supuestos!$C$11="Triangular",IF(H241&lt;(Supuestos!$E$11-Supuestos!$D$11)/(Supuestos!$F$11-Supuestos!$D$11),Supuestos!$D$11+SQRT(H241*(Supuestos!$F$11-Supuestos!$D$11)*(Supuestos!$E$11-Supuestos!$D$11)),Supuestos!$F$11-SQRT((1-H241)*(Supuestos!$F$11-Supuestos!$D$11)*(Supuestos!$F$11-Supuestos!$E$11))),IF(Supuestos!$C$11="Uniforme",Supuestos!$D$11+H241*(Supuestos!$E$11-Supuestos!$D$11),IF(Supuestos!$C$11="Lognormal",LOGINV(H241,LN(Supuestos!$D$11)-LN(1+Supuestos!$E$11^2/Supuestos!$D$11^2)/2,SQRT(LN(1+Supuestos!$E$11^2/Supuestos!$D$11^2))),Supuestos!$D$11))))))</f>
        <v/>
      </c>
      <c r="P241" s="33">
        <f>-I241</f>
        <v/>
      </c>
      <c r="Q241" s="33">
        <f>$J241*(1+$K241)^(1-1)*(1-$L241)*(1-$M241)</f>
        <v/>
      </c>
      <c r="R241" s="33">
        <f>$J241*(1+$K241)^(2-1)*(1-$L241)*(1-$M241)</f>
        <v/>
      </c>
      <c r="S241" s="33">
        <f>$J241*(1+$K241)^(3-1)*(1-$L241)*(1-$M241)</f>
        <v/>
      </c>
      <c r="T241" s="33">
        <f>$J241*(1+$K241)^(4-1)*(1-$L241)*(1-$M241)</f>
        <v/>
      </c>
      <c r="U241" s="33">
        <f>$J241*(1+$K241)^(5-1)*(1-$L241)*(1-$M241)+$O241</f>
        <v/>
      </c>
      <c r="V241" s="33">
        <f>P241+NPV($N241,Q241:U241)</f>
        <v/>
      </c>
      <c r="W241" s="32">
        <f>IFERROR(IRR(P241:U241,0.1),"")</f>
        <v/>
      </c>
    </row>
    <row r="242">
      <c r="A242" s="14" t="n">
        <v>238</v>
      </c>
      <c r="B242" s="30">
        <f>RAND()*(1-2E-6)+1E-6</f>
        <v/>
      </c>
      <c r="C242" s="30">
        <f>RAND()*(1-2E-6)+1E-6</f>
        <v/>
      </c>
      <c r="D242" s="30">
        <f>RAND()*(1-2E-6)+1E-6</f>
        <v/>
      </c>
      <c r="E242" s="30">
        <f>RAND()*(1-2E-6)+1E-6</f>
        <v/>
      </c>
      <c r="F242" s="30">
        <f>RAND()*(1-2E-6)+1E-6</f>
        <v/>
      </c>
      <c r="G242" s="30">
        <f>RAND()*(1-2E-6)+1E-6</f>
        <v/>
      </c>
      <c r="H242" s="30">
        <f>RAND()*(1-2E-6)+1E-6</f>
        <v/>
      </c>
      <c r="I242" s="31">
        <f>MIN(IF(Supuestos!$H$5="",1E+99,Supuestos!$H$5),MAX(IF(Supuestos!$G$5="",-1E+99,Supuestos!$G$5),IF(Supuestos!$C$5="Normal",NORMINV(B242,Supuestos!$D$5,Supuestos!$E$5),IF(Supuestos!$C$5="Triangular",IF(B242&lt;(Supuestos!$E$5-Supuestos!$D$5)/(Supuestos!$F$5-Supuestos!$D$5),Supuestos!$D$5+SQRT(B242*(Supuestos!$F$5-Supuestos!$D$5)*(Supuestos!$E$5-Supuestos!$D$5)),Supuestos!$F$5-SQRT((1-B242)*(Supuestos!$F$5-Supuestos!$D$5)*(Supuestos!$F$5-Supuestos!$E$5))),IF(Supuestos!$C$5="Uniforme",Supuestos!$D$5+B242*(Supuestos!$E$5-Supuestos!$D$5),IF(Supuestos!$C$5="Lognormal",LOGINV(B242,LN(Supuestos!$D$5)-LN(1+Supuestos!$E$5^2/Supuestos!$D$5^2)/2,SQRT(LN(1+Supuestos!$E$5^2/Supuestos!$D$5^2))),Supuestos!$D$5))))))</f>
        <v/>
      </c>
      <c r="J242" s="31">
        <f>MIN(IF(Supuestos!$H$6="",1E+99,Supuestos!$H$6),MAX(IF(Supuestos!$G$6="",-1E+99,Supuestos!$G$6),IF(Supuestos!$C$6="Normal",NORMINV(C242,Supuestos!$D$6,Supuestos!$E$6),IF(Supuestos!$C$6="Triangular",IF(C242&lt;(Supuestos!$E$6-Supuestos!$D$6)/(Supuestos!$F$6-Supuestos!$D$6),Supuestos!$D$6+SQRT(C242*(Supuestos!$F$6-Supuestos!$D$6)*(Supuestos!$E$6-Supuestos!$D$6)),Supuestos!$F$6-SQRT((1-C242)*(Supuestos!$F$6-Supuestos!$D$6)*(Supuestos!$F$6-Supuestos!$E$6))),IF(Supuestos!$C$6="Uniforme",Supuestos!$D$6+C242*(Supuestos!$E$6-Supuestos!$D$6),IF(Supuestos!$C$6="Lognormal",LOGINV(C242,LN(Supuestos!$D$6)-LN(1+Supuestos!$E$6^2/Supuestos!$D$6^2)/2,SQRT(LN(1+Supuestos!$E$6^2/Supuestos!$D$6^2))),Supuestos!$D$6))))))</f>
        <v/>
      </c>
      <c r="K242" s="32">
        <f>MIN(IF(Supuestos!$H$7="",1E+99,Supuestos!$H$7),MAX(IF(Supuestos!$G$7="",-1E+99,Supuestos!$G$7),IF(Supuestos!$C$7="Normal",NORMINV(D242,Supuestos!$D$7,Supuestos!$E$7),IF(Supuestos!$C$7="Triangular",IF(D242&lt;(Supuestos!$E$7-Supuestos!$D$7)/(Supuestos!$F$7-Supuestos!$D$7),Supuestos!$D$7+SQRT(D242*(Supuestos!$F$7-Supuestos!$D$7)*(Supuestos!$E$7-Supuestos!$D$7)),Supuestos!$F$7-SQRT((1-D242)*(Supuestos!$F$7-Supuestos!$D$7)*(Supuestos!$F$7-Supuestos!$E$7))),IF(Supuestos!$C$7="Uniforme",Supuestos!$D$7+D242*(Supuestos!$E$7-Supuestos!$D$7),IF(Supuestos!$C$7="Lognormal",LOGINV(D242,LN(Supuestos!$D$7)-LN(1+Supuestos!$E$7^2/Supuestos!$D$7^2)/2,SQRT(LN(1+Supuestos!$E$7^2/Supuestos!$D$7^2))),Supuestos!$D$7))))))</f>
        <v/>
      </c>
      <c r="L242" s="32">
        <f>MIN(IF(Supuestos!$H$8="",1E+99,Supuestos!$H$8),MAX(IF(Supuestos!$G$8="",-1E+99,Supuestos!$G$8),IF(Supuestos!$C$8="Normal",NORMINV(E242,Supuestos!$D$8,Supuestos!$E$8),IF(Supuestos!$C$8="Triangular",IF(E242&lt;(Supuestos!$E$8-Supuestos!$D$8)/(Supuestos!$F$8-Supuestos!$D$8),Supuestos!$D$8+SQRT(E242*(Supuestos!$F$8-Supuestos!$D$8)*(Supuestos!$E$8-Supuestos!$D$8)),Supuestos!$F$8-SQRT((1-E242)*(Supuestos!$F$8-Supuestos!$D$8)*(Supuestos!$F$8-Supuestos!$E$8))),IF(Supuestos!$C$8="Uniforme",Supuestos!$D$8+E242*(Supuestos!$E$8-Supuestos!$D$8),IF(Supuestos!$C$8="Lognormal",LOGINV(E242,LN(Supuestos!$D$8)-LN(1+Supuestos!$E$8^2/Supuestos!$D$8^2)/2,SQRT(LN(1+Supuestos!$E$8^2/Supuestos!$D$8^2))),Supuestos!$D$8))))))</f>
        <v/>
      </c>
      <c r="M242" s="32">
        <f>MIN(IF(Supuestos!$H$9="",1E+99,Supuestos!$H$9),MAX(IF(Supuestos!$G$9="",-1E+99,Supuestos!$G$9),IF(Supuestos!$C$9="Normal",NORMINV(F242,Supuestos!$D$9,Supuestos!$E$9),IF(Supuestos!$C$9="Triangular",IF(F242&lt;(Supuestos!$E$9-Supuestos!$D$9)/(Supuestos!$F$9-Supuestos!$D$9),Supuestos!$D$9+SQRT(F242*(Supuestos!$F$9-Supuestos!$D$9)*(Supuestos!$E$9-Supuestos!$D$9)),Supuestos!$F$9-SQRT((1-F242)*(Supuestos!$F$9-Supuestos!$D$9)*(Supuestos!$F$9-Supuestos!$E$9))),IF(Supuestos!$C$9="Uniforme",Supuestos!$D$9+F242*(Supuestos!$E$9-Supuestos!$D$9),IF(Supuestos!$C$9="Lognormal",LOGINV(F242,LN(Supuestos!$D$9)-LN(1+Supuestos!$E$9^2/Supuestos!$D$9^2)/2,SQRT(LN(1+Supuestos!$E$9^2/Supuestos!$D$9^2))),Supuestos!$D$9))))))</f>
        <v/>
      </c>
      <c r="N242" s="32">
        <f>MIN(IF(Supuestos!$H$10="",1E+99,Supuestos!$H$10),MAX(IF(Supuestos!$G$10="",-1E+99,Supuestos!$G$10),IF(Supuestos!$C$10="Normal",NORMINV(G242,Supuestos!$D$10,Supuestos!$E$10),IF(Supuestos!$C$10="Triangular",IF(G242&lt;(Supuestos!$E$10-Supuestos!$D$10)/(Supuestos!$F$10-Supuestos!$D$10),Supuestos!$D$10+SQRT(G242*(Supuestos!$F$10-Supuestos!$D$10)*(Supuestos!$E$10-Supuestos!$D$10)),Supuestos!$F$10-SQRT((1-G242)*(Supuestos!$F$10-Supuestos!$D$10)*(Supuestos!$F$10-Supuestos!$E$10))),IF(Supuestos!$C$10="Uniforme",Supuestos!$D$10+G242*(Supuestos!$E$10-Supuestos!$D$10),IF(Supuestos!$C$10="Lognormal",LOGINV(G242,LN(Supuestos!$D$10)-LN(1+Supuestos!$E$10^2/Supuestos!$D$10^2)/2,SQRT(LN(1+Supuestos!$E$10^2/Supuestos!$D$10^2))),Supuestos!$D$10))))))</f>
        <v/>
      </c>
      <c r="O242" s="31">
        <f>MIN(IF(Supuestos!$H$11="",1E+99,Supuestos!$H$11),MAX(IF(Supuestos!$G$11="",-1E+99,Supuestos!$G$11),IF(Supuestos!$C$11="Normal",NORMINV(H242,Supuestos!$D$11,Supuestos!$E$11),IF(Supuestos!$C$11="Triangular",IF(H242&lt;(Supuestos!$E$11-Supuestos!$D$11)/(Supuestos!$F$11-Supuestos!$D$11),Supuestos!$D$11+SQRT(H242*(Supuestos!$F$11-Supuestos!$D$11)*(Supuestos!$E$11-Supuestos!$D$11)),Supuestos!$F$11-SQRT((1-H242)*(Supuestos!$F$11-Supuestos!$D$11)*(Supuestos!$F$11-Supuestos!$E$11))),IF(Supuestos!$C$11="Uniforme",Supuestos!$D$11+H242*(Supuestos!$E$11-Supuestos!$D$11),IF(Supuestos!$C$11="Lognormal",LOGINV(H242,LN(Supuestos!$D$11)-LN(1+Supuestos!$E$11^2/Supuestos!$D$11^2)/2,SQRT(LN(1+Supuestos!$E$11^2/Supuestos!$D$11^2))),Supuestos!$D$11))))))</f>
        <v/>
      </c>
      <c r="P242" s="33">
        <f>-I242</f>
        <v/>
      </c>
      <c r="Q242" s="33">
        <f>$J242*(1+$K242)^(1-1)*(1-$L242)*(1-$M242)</f>
        <v/>
      </c>
      <c r="R242" s="33">
        <f>$J242*(1+$K242)^(2-1)*(1-$L242)*(1-$M242)</f>
        <v/>
      </c>
      <c r="S242" s="33">
        <f>$J242*(1+$K242)^(3-1)*(1-$L242)*(1-$M242)</f>
        <v/>
      </c>
      <c r="T242" s="33">
        <f>$J242*(1+$K242)^(4-1)*(1-$L242)*(1-$M242)</f>
        <v/>
      </c>
      <c r="U242" s="33">
        <f>$J242*(1+$K242)^(5-1)*(1-$L242)*(1-$M242)+$O242</f>
        <v/>
      </c>
      <c r="V242" s="33">
        <f>P242+NPV($N242,Q242:U242)</f>
        <v/>
      </c>
      <c r="W242" s="32">
        <f>IFERROR(IRR(P242:U242,0.1),"")</f>
        <v/>
      </c>
    </row>
    <row r="243">
      <c r="A243" s="14" t="n">
        <v>239</v>
      </c>
      <c r="B243" s="30">
        <f>RAND()*(1-2E-6)+1E-6</f>
        <v/>
      </c>
      <c r="C243" s="30">
        <f>RAND()*(1-2E-6)+1E-6</f>
        <v/>
      </c>
      <c r="D243" s="30">
        <f>RAND()*(1-2E-6)+1E-6</f>
        <v/>
      </c>
      <c r="E243" s="30">
        <f>RAND()*(1-2E-6)+1E-6</f>
        <v/>
      </c>
      <c r="F243" s="30">
        <f>RAND()*(1-2E-6)+1E-6</f>
        <v/>
      </c>
      <c r="G243" s="30">
        <f>RAND()*(1-2E-6)+1E-6</f>
        <v/>
      </c>
      <c r="H243" s="30">
        <f>RAND()*(1-2E-6)+1E-6</f>
        <v/>
      </c>
      <c r="I243" s="31">
        <f>MIN(IF(Supuestos!$H$5="",1E+99,Supuestos!$H$5),MAX(IF(Supuestos!$G$5="",-1E+99,Supuestos!$G$5),IF(Supuestos!$C$5="Normal",NORMINV(B243,Supuestos!$D$5,Supuestos!$E$5),IF(Supuestos!$C$5="Triangular",IF(B243&lt;(Supuestos!$E$5-Supuestos!$D$5)/(Supuestos!$F$5-Supuestos!$D$5),Supuestos!$D$5+SQRT(B243*(Supuestos!$F$5-Supuestos!$D$5)*(Supuestos!$E$5-Supuestos!$D$5)),Supuestos!$F$5-SQRT((1-B243)*(Supuestos!$F$5-Supuestos!$D$5)*(Supuestos!$F$5-Supuestos!$E$5))),IF(Supuestos!$C$5="Uniforme",Supuestos!$D$5+B243*(Supuestos!$E$5-Supuestos!$D$5),IF(Supuestos!$C$5="Lognormal",LOGINV(B243,LN(Supuestos!$D$5)-LN(1+Supuestos!$E$5^2/Supuestos!$D$5^2)/2,SQRT(LN(1+Supuestos!$E$5^2/Supuestos!$D$5^2))),Supuestos!$D$5))))))</f>
        <v/>
      </c>
      <c r="J243" s="31">
        <f>MIN(IF(Supuestos!$H$6="",1E+99,Supuestos!$H$6),MAX(IF(Supuestos!$G$6="",-1E+99,Supuestos!$G$6),IF(Supuestos!$C$6="Normal",NORMINV(C243,Supuestos!$D$6,Supuestos!$E$6),IF(Supuestos!$C$6="Triangular",IF(C243&lt;(Supuestos!$E$6-Supuestos!$D$6)/(Supuestos!$F$6-Supuestos!$D$6),Supuestos!$D$6+SQRT(C243*(Supuestos!$F$6-Supuestos!$D$6)*(Supuestos!$E$6-Supuestos!$D$6)),Supuestos!$F$6-SQRT((1-C243)*(Supuestos!$F$6-Supuestos!$D$6)*(Supuestos!$F$6-Supuestos!$E$6))),IF(Supuestos!$C$6="Uniforme",Supuestos!$D$6+C243*(Supuestos!$E$6-Supuestos!$D$6),IF(Supuestos!$C$6="Lognormal",LOGINV(C243,LN(Supuestos!$D$6)-LN(1+Supuestos!$E$6^2/Supuestos!$D$6^2)/2,SQRT(LN(1+Supuestos!$E$6^2/Supuestos!$D$6^2))),Supuestos!$D$6))))))</f>
        <v/>
      </c>
      <c r="K243" s="32">
        <f>MIN(IF(Supuestos!$H$7="",1E+99,Supuestos!$H$7),MAX(IF(Supuestos!$G$7="",-1E+99,Supuestos!$G$7),IF(Supuestos!$C$7="Normal",NORMINV(D243,Supuestos!$D$7,Supuestos!$E$7),IF(Supuestos!$C$7="Triangular",IF(D243&lt;(Supuestos!$E$7-Supuestos!$D$7)/(Supuestos!$F$7-Supuestos!$D$7),Supuestos!$D$7+SQRT(D243*(Supuestos!$F$7-Supuestos!$D$7)*(Supuestos!$E$7-Supuestos!$D$7)),Supuestos!$F$7-SQRT((1-D243)*(Supuestos!$F$7-Supuestos!$D$7)*(Supuestos!$F$7-Supuestos!$E$7))),IF(Supuestos!$C$7="Uniforme",Supuestos!$D$7+D243*(Supuestos!$E$7-Supuestos!$D$7),IF(Supuestos!$C$7="Lognormal",LOGINV(D243,LN(Supuestos!$D$7)-LN(1+Supuestos!$E$7^2/Supuestos!$D$7^2)/2,SQRT(LN(1+Supuestos!$E$7^2/Supuestos!$D$7^2))),Supuestos!$D$7))))))</f>
        <v/>
      </c>
      <c r="L243" s="32">
        <f>MIN(IF(Supuestos!$H$8="",1E+99,Supuestos!$H$8),MAX(IF(Supuestos!$G$8="",-1E+99,Supuestos!$G$8),IF(Supuestos!$C$8="Normal",NORMINV(E243,Supuestos!$D$8,Supuestos!$E$8),IF(Supuestos!$C$8="Triangular",IF(E243&lt;(Supuestos!$E$8-Supuestos!$D$8)/(Supuestos!$F$8-Supuestos!$D$8),Supuestos!$D$8+SQRT(E243*(Supuestos!$F$8-Supuestos!$D$8)*(Supuestos!$E$8-Supuestos!$D$8)),Supuestos!$F$8-SQRT((1-E243)*(Supuestos!$F$8-Supuestos!$D$8)*(Supuestos!$F$8-Supuestos!$E$8))),IF(Supuestos!$C$8="Uniforme",Supuestos!$D$8+E243*(Supuestos!$E$8-Supuestos!$D$8),IF(Supuestos!$C$8="Lognormal",LOGINV(E243,LN(Supuestos!$D$8)-LN(1+Supuestos!$E$8^2/Supuestos!$D$8^2)/2,SQRT(LN(1+Supuestos!$E$8^2/Supuestos!$D$8^2))),Supuestos!$D$8))))))</f>
        <v/>
      </c>
      <c r="M243" s="32">
        <f>MIN(IF(Supuestos!$H$9="",1E+99,Supuestos!$H$9),MAX(IF(Supuestos!$G$9="",-1E+99,Supuestos!$G$9),IF(Supuestos!$C$9="Normal",NORMINV(F243,Supuestos!$D$9,Supuestos!$E$9),IF(Supuestos!$C$9="Triangular",IF(F243&lt;(Supuestos!$E$9-Supuestos!$D$9)/(Supuestos!$F$9-Supuestos!$D$9),Supuestos!$D$9+SQRT(F243*(Supuestos!$F$9-Supuestos!$D$9)*(Supuestos!$E$9-Supuestos!$D$9)),Supuestos!$F$9-SQRT((1-F243)*(Supuestos!$F$9-Supuestos!$D$9)*(Supuestos!$F$9-Supuestos!$E$9))),IF(Supuestos!$C$9="Uniforme",Supuestos!$D$9+F243*(Supuestos!$E$9-Supuestos!$D$9),IF(Supuestos!$C$9="Lognormal",LOGINV(F243,LN(Supuestos!$D$9)-LN(1+Supuestos!$E$9^2/Supuestos!$D$9^2)/2,SQRT(LN(1+Supuestos!$E$9^2/Supuestos!$D$9^2))),Supuestos!$D$9))))))</f>
        <v/>
      </c>
      <c r="N243" s="32">
        <f>MIN(IF(Supuestos!$H$10="",1E+99,Supuestos!$H$10),MAX(IF(Supuestos!$G$10="",-1E+99,Supuestos!$G$10),IF(Supuestos!$C$10="Normal",NORMINV(G243,Supuestos!$D$10,Supuestos!$E$10),IF(Supuestos!$C$10="Triangular",IF(G243&lt;(Supuestos!$E$10-Supuestos!$D$10)/(Supuestos!$F$10-Supuestos!$D$10),Supuestos!$D$10+SQRT(G243*(Supuestos!$F$10-Supuestos!$D$10)*(Supuestos!$E$10-Supuestos!$D$10)),Supuestos!$F$10-SQRT((1-G243)*(Supuestos!$F$10-Supuestos!$D$10)*(Supuestos!$F$10-Supuestos!$E$10))),IF(Supuestos!$C$10="Uniforme",Supuestos!$D$10+G243*(Supuestos!$E$10-Supuestos!$D$10),IF(Supuestos!$C$10="Lognormal",LOGINV(G243,LN(Supuestos!$D$10)-LN(1+Supuestos!$E$10^2/Supuestos!$D$10^2)/2,SQRT(LN(1+Supuestos!$E$10^2/Supuestos!$D$10^2))),Supuestos!$D$10))))))</f>
        <v/>
      </c>
      <c r="O243" s="31">
        <f>MIN(IF(Supuestos!$H$11="",1E+99,Supuestos!$H$11),MAX(IF(Supuestos!$G$11="",-1E+99,Supuestos!$G$11),IF(Supuestos!$C$11="Normal",NORMINV(H243,Supuestos!$D$11,Supuestos!$E$11),IF(Supuestos!$C$11="Triangular",IF(H243&lt;(Supuestos!$E$11-Supuestos!$D$11)/(Supuestos!$F$11-Supuestos!$D$11),Supuestos!$D$11+SQRT(H243*(Supuestos!$F$11-Supuestos!$D$11)*(Supuestos!$E$11-Supuestos!$D$11)),Supuestos!$F$11-SQRT((1-H243)*(Supuestos!$F$11-Supuestos!$D$11)*(Supuestos!$F$11-Supuestos!$E$11))),IF(Supuestos!$C$11="Uniforme",Supuestos!$D$11+H243*(Supuestos!$E$11-Supuestos!$D$11),IF(Supuestos!$C$11="Lognormal",LOGINV(H243,LN(Supuestos!$D$11)-LN(1+Supuestos!$E$11^2/Supuestos!$D$11^2)/2,SQRT(LN(1+Supuestos!$E$11^2/Supuestos!$D$11^2))),Supuestos!$D$11))))))</f>
        <v/>
      </c>
      <c r="P243" s="33">
        <f>-I243</f>
        <v/>
      </c>
      <c r="Q243" s="33">
        <f>$J243*(1+$K243)^(1-1)*(1-$L243)*(1-$M243)</f>
        <v/>
      </c>
      <c r="R243" s="33">
        <f>$J243*(1+$K243)^(2-1)*(1-$L243)*(1-$M243)</f>
        <v/>
      </c>
      <c r="S243" s="33">
        <f>$J243*(1+$K243)^(3-1)*(1-$L243)*(1-$M243)</f>
        <v/>
      </c>
      <c r="T243" s="33">
        <f>$J243*(1+$K243)^(4-1)*(1-$L243)*(1-$M243)</f>
        <v/>
      </c>
      <c r="U243" s="33">
        <f>$J243*(1+$K243)^(5-1)*(1-$L243)*(1-$M243)+$O243</f>
        <v/>
      </c>
      <c r="V243" s="33">
        <f>P243+NPV($N243,Q243:U243)</f>
        <v/>
      </c>
      <c r="W243" s="32">
        <f>IFERROR(IRR(P243:U243,0.1),"")</f>
        <v/>
      </c>
    </row>
    <row r="244">
      <c r="A244" s="14" t="n">
        <v>240</v>
      </c>
      <c r="B244" s="30">
        <f>RAND()*(1-2E-6)+1E-6</f>
        <v/>
      </c>
      <c r="C244" s="30">
        <f>RAND()*(1-2E-6)+1E-6</f>
        <v/>
      </c>
      <c r="D244" s="30">
        <f>RAND()*(1-2E-6)+1E-6</f>
        <v/>
      </c>
      <c r="E244" s="30">
        <f>RAND()*(1-2E-6)+1E-6</f>
        <v/>
      </c>
      <c r="F244" s="30">
        <f>RAND()*(1-2E-6)+1E-6</f>
        <v/>
      </c>
      <c r="G244" s="30">
        <f>RAND()*(1-2E-6)+1E-6</f>
        <v/>
      </c>
      <c r="H244" s="30">
        <f>RAND()*(1-2E-6)+1E-6</f>
        <v/>
      </c>
      <c r="I244" s="31">
        <f>MIN(IF(Supuestos!$H$5="",1E+99,Supuestos!$H$5),MAX(IF(Supuestos!$G$5="",-1E+99,Supuestos!$G$5),IF(Supuestos!$C$5="Normal",NORMINV(B244,Supuestos!$D$5,Supuestos!$E$5),IF(Supuestos!$C$5="Triangular",IF(B244&lt;(Supuestos!$E$5-Supuestos!$D$5)/(Supuestos!$F$5-Supuestos!$D$5),Supuestos!$D$5+SQRT(B244*(Supuestos!$F$5-Supuestos!$D$5)*(Supuestos!$E$5-Supuestos!$D$5)),Supuestos!$F$5-SQRT((1-B244)*(Supuestos!$F$5-Supuestos!$D$5)*(Supuestos!$F$5-Supuestos!$E$5))),IF(Supuestos!$C$5="Uniforme",Supuestos!$D$5+B244*(Supuestos!$E$5-Supuestos!$D$5),IF(Supuestos!$C$5="Lognormal",LOGINV(B244,LN(Supuestos!$D$5)-LN(1+Supuestos!$E$5^2/Supuestos!$D$5^2)/2,SQRT(LN(1+Supuestos!$E$5^2/Supuestos!$D$5^2))),Supuestos!$D$5))))))</f>
        <v/>
      </c>
      <c r="J244" s="31">
        <f>MIN(IF(Supuestos!$H$6="",1E+99,Supuestos!$H$6),MAX(IF(Supuestos!$G$6="",-1E+99,Supuestos!$G$6),IF(Supuestos!$C$6="Normal",NORMINV(C244,Supuestos!$D$6,Supuestos!$E$6),IF(Supuestos!$C$6="Triangular",IF(C244&lt;(Supuestos!$E$6-Supuestos!$D$6)/(Supuestos!$F$6-Supuestos!$D$6),Supuestos!$D$6+SQRT(C244*(Supuestos!$F$6-Supuestos!$D$6)*(Supuestos!$E$6-Supuestos!$D$6)),Supuestos!$F$6-SQRT((1-C244)*(Supuestos!$F$6-Supuestos!$D$6)*(Supuestos!$F$6-Supuestos!$E$6))),IF(Supuestos!$C$6="Uniforme",Supuestos!$D$6+C244*(Supuestos!$E$6-Supuestos!$D$6),IF(Supuestos!$C$6="Lognormal",LOGINV(C244,LN(Supuestos!$D$6)-LN(1+Supuestos!$E$6^2/Supuestos!$D$6^2)/2,SQRT(LN(1+Supuestos!$E$6^2/Supuestos!$D$6^2))),Supuestos!$D$6))))))</f>
        <v/>
      </c>
      <c r="K244" s="32">
        <f>MIN(IF(Supuestos!$H$7="",1E+99,Supuestos!$H$7),MAX(IF(Supuestos!$G$7="",-1E+99,Supuestos!$G$7),IF(Supuestos!$C$7="Normal",NORMINV(D244,Supuestos!$D$7,Supuestos!$E$7),IF(Supuestos!$C$7="Triangular",IF(D244&lt;(Supuestos!$E$7-Supuestos!$D$7)/(Supuestos!$F$7-Supuestos!$D$7),Supuestos!$D$7+SQRT(D244*(Supuestos!$F$7-Supuestos!$D$7)*(Supuestos!$E$7-Supuestos!$D$7)),Supuestos!$F$7-SQRT((1-D244)*(Supuestos!$F$7-Supuestos!$D$7)*(Supuestos!$F$7-Supuestos!$E$7))),IF(Supuestos!$C$7="Uniforme",Supuestos!$D$7+D244*(Supuestos!$E$7-Supuestos!$D$7),IF(Supuestos!$C$7="Lognormal",LOGINV(D244,LN(Supuestos!$D$7)-LN(1+Supuestos!$E$7^2/Supuestos!$D$7^2)/2,SQRT(LN(1+Supuestos!$E$7^2/Supuestos!$D$7^2))),Supuestos!$D$7))))))</f>
        <v/>
      </c>
      <c r="L244" s="32">
        <f>MIN(IF(Supuestos!$H$8="",1E+99,Supuestos!$H$8),MAX(IF(Supuestos!$G$8="",-1E+99,Supuestos!$G$8),IF(Supuestos!$C$8="Normal",NORMINV(E244,Supuestos!$D$8,Supuestos!$E$8),IF(Supuestos!$C$8="Triangular",IF(E244&lt;(Supuestos!$E$8-Supuestos!$D$8)/(Supuestos!$F$8-Supuestos!$D$8),Supuestos!$D$8+SQRT(E244*(Supuestos!$F$8-Supuestos!$D$8)*(Supuestos!$E$8-Supuestos!$D$8)),Supuestos!$F$8-SQRT((1-E244)*(Supuestos!$F$8-Supuestos!$D$8)*(Supuestos!$F$8-Supuestos!$E$8))),IF(Supuestos!$C$8="Uniforme",Supuestos!$D$8+E244*(Supuestos!$E$8-Supuestos!$D$8),IF(Supuestos!$C$8="Lognormal",LOGINV(E244,LN(Supuestos!$D$8)-LN(1+Supuestos!$E$8^2/Supuestos!$D$8^2)/2,SQRT(LN(1+Supuestos!$E$8^2/Supuestos!$D$8^2))),Supuestos!$D$8))))))</f>
        <v/>
      </c>
      <c r="M244" s="32">
        <f>MIN(IF(Supuestos!$H$9="",1E+99,Supuestos!$H$9),MAX(IF(Supuestos!$G$9="",-1E+99,Supuestos!$G$9),IF(Supuestos!$C$9="Normal",NORMINV(F244,Supuestos!$D$9,Supuestos!$E$9),IF(Supuestos!$C$9="Triangular",IF(F244&lt;(Supuestos!$E$9-Supuestos!$D$9)/(Supuestos!$F$9-Supuestos!$D$9),Supuestos!$D$9+SQRT(F244*(Supuestos!$F$9-Supuestos!$D$9)*(Supuestos!$E$9-Supuestos!$D$9)),Supuestos!$F$9-SQRT((1-F244)*(Supuestos!$F$9-Supuestos!$D$9)*(Supuestos!$F$9-Supuestos!$E$9))),IF(Supuestos!$C$9="Uniforme",Supuestos!$D$9+F244*(Supuestos!$E$9-Supuestos!$D$9),IF(Supuestos!$C$9="Lognormal",LOGINV(F244,LN(Supuestos!$D$9)-LN(1+Supuestos!$E$9^2/Supuestos!$D$9^2)/2,SQRT(LN(1+Supuestos!$E$9^2/Supuestos!$D$9^2))),Supuestos!$D$9))))))</f>
        <v/>
      </c>
      <c r="N244" s="32">
        <f>MIN(IF(Supuestos!$H$10="",1E+99,Supuestos!$H$10),MAX(IF(Supuestos!$G$10="",-1E+99,Supuestos!$G$10),IF(Supuestos!$C$10="Normal",NORMINV(G244,Supuestos!$D$10,Supuestos!$E$10),IF(Supuestos!$C$10="Triangular",IF(G244&lt;(Supuestos!$E$10-Supuestos!$D$10)/(Supuestos!$F$10-Supuestos!$D$10),Supuestos!$D$10+SQRT(G244*(Supuestos!$F$10-Supuestos!$D$10)*(Supuestos!$E$10-Supuestos!$D$10)),Supuestos!$F$10-SQRT((1-G244)*(Supuestos!$F$10-Supuestos!$D$10)*(Supuestos!$F$10-Supuestos!$E$10))),IF(Supuestos!$C$10="Uniforme",Supuestos!$D$10+G244*(Supuestos!$E$10-Supuestos!$D$10),IF(Supuestos!$C$10="Lognormal",LOGINV(G244,LN(Supuestos!$D$10)-LN(1+Supuestos!$E$10^2/Supuestos!$D$10^2)/2,SQRT(LN(1+Supuestos!$E$10^2/Supuestos!$D$10^2))),Supuestos!$D$10))))))</f>
        <v/>
      </c>
      <c r="O244" s="31">
        <f>MIN(IF(Supuestos!$H$11="",1E+99,Supuestos!$H$11),MAX(IF(Supuestos!$G$11="",-1E+99,Supuestos!$G$11),IF(Supuestos!$C$11="Normal",NORMINV(H244,Supuestos!$D$11,Supuestos!$E$11),IF(Supuestos!$C$11="Triangular",IF(H244&lt;(Supuestos!$E$11-Supuestos!$D$11)/(Supuestos!$F$11-Supuestos!$D$11),Supuestos!$D$11+SQRT(H244*(Supuestos!$F$11-Supuestos!$D$11)*(Supuestos!$E$11-Supuestos!$D$11)),Supuestos!$F$11-SQRT((1-H244)*(Supuestos!$F$11-Supuestos!$D$11)*(Supuestos!$F$11-Supuestos!$E$11))),IF(Supuestos!$C$11="Uniforme",Supuestos!$D$11+H244*(Supuestos!$E$11-Supuestos!$D$11),IF(Supuestos!$C$11="Lognormal",LOGINV(H244,LN(Supuestos!$D$11)-LN(1+Supuestos!$E$11^2/Supuestos!$D$11^2)/2,SQRT(LN(1+Supuestos!$E$11^2/Supuestos!$D$11^2))),Supuestos!$D$11))))))</f>
        <v/>
      </c>
      <c r="P244" s="33">
        <f>-I244</f>
        <v/>
      </c>
      <c r="Q244" s="33">
        <f>$J244*(1+$K244)^(1-1)*(1-$L244)*(1-$M244)</f>
        <v/>
      </c>
      <c r="R244" s="33">
        <f>$J244*(1+$K244)^(2-1)*(1-$L244)*(1-$M244)</f>
        <v/>
      </c>
      <c r="S244" s="33">
        <f>$J244*(1+$K244)^(3-1)*(1-$L244)*(1-$M244)</f>
        <v/>
      </c>
      <c r="T244" s="33">
        <f>$J244*(1+$K244)^(4-1)*(1-$L244)*(1-$M244)</f>
        <v/>
      </c>
      <c r="U244" s="33">
        <f>$J244*(1+$K244)^(5-1)*(1-$L244)*(1-$M244)+$O244</f>
        <v/>
      </c>
      <c r="V244" s="33">
        <f>P244+NPV($N244,Q244:U244)</f>
        <v/>
      </c>
      <c r="W244" s="32">
        <f>IFERROR(IRR(P244:U244,0.1),"")</f>
        <v/>
      </c>
    </row>
    <row r="245">
      <c r="A245" s="14" t="n">
        <v>241</v>
      </c>
      <c r="B245" s="30">
        <f>RAND()*(1-2E-6)+1E-6</f>
        <v/>
      </c>
      <c r="C245" s="30">
        <f>RAND()*(1-2E-6)+1E-6</f>
        <v/>
      </c>
      <c r="D245" s="30">
        <f>RAND()*(1-2E-6)+1E-6</f>
        <v/>
      </c>
      <c r="E245" s="30">
        <f>RAND()*(1-2E-6)+1E-6</f>
        <v/>
      </c>
      <c r="F245" s="30">
        <f>RAND()*(1-2E-6)+1E-6</f>
        <v/>
      </c>
      <c r="G245" s="30">
        <f>RAND()*(1-2E-6)+1E-6</f>
        <v/>
      </c>
      <c r="H245" s="30">
        <f>RAND()*(1-2E-6)+1E-6</f>
        <v/>
      </c>
      <c r="I245" s="31">
        <f>MIN(IF(Supuestos!$H$5="",1E+99,Supuestos!$H$5),MAX(IF(Supuestos!$G$5="",-1E+99,Supuestos!$G$5),IF(Supuestos!$C$5="Normal",NORMINV(B245,Supuestos!$D$5,Supuestos!$E$5),IF(Supuestos!$C$5="Triangular",IF(B245&lt;(Supuestos!$E$5-Supuestos!$D$5)/(Supuestos!$F$5-Supuestos!$D$5),Supuestos!$D$5+SQRT(B245*(Supuestos!$F$5-Supuestos!$D$5)*(Supuestos!$E$5-Supuestos!$D$5)),Supuestos!$F$5-SQRT((1-B245)*(Supuestos!$F$5-Supuestos!$D$5)*(Supuestos!$F$5-Supuestos!$E$5))),IF(Supuestos!$C$5="Uniforme",Supuestos!$D$5+B245*(Supuestos!$E$5-Supuestos!$D$5),IF(Supuestos!$C$5="Lognormal",LOGINV(B245,LN(Supuestos!$D$5)-LN(1+Supuestos!$E$5^2/Supuestos!$D$5^2)/2,SQRT(LN(1+Supuestos!$E$5^2/Supuestos!$D$5^2))),Supuestos!$D$5))))))</f>
        <v/>
      </c>
      <c r="J245" s="31">
        <f>MIN(IF(Supuestos!$H$6="",1E+99,Supuestos!$H$6),MAX(IF(Supuestos!$G$6="",-1E+99,Supuestos!$G$6),IF(Supuestos!$C$6="Normal",NORMINV(C245,Supuestos!$D$6,Supuestos!$E$6),IF(Supuestos!$C$6="Triangular",IF(C245&lt;(Supuestos!$E$6-Supuestos!$D$6)/(Supuestos!$F$6-Supuestos!$D$6),Supuestos!$D$6+SQRT(C245*(Supuestos!$F$6-Supuestos!$D$6)*(Supuestos!$E$6-Supuestos!$D$6)),Supuestos!$F$6-SQRT((1-C245)*(Supuestos!$F$6-Supuestos!$D$6)*(Supuestos!$F$6-Supuestos!$E$6))),IF(Supuestos!$C$6="Uniforme",Supuestos!$D$6+C245*(Supuestos!$E$6-Supuestos!$D$6),IF(Supuestos!$C$6="Lognormal",LOGINV(C245,LN(Supuestos!$D$6)-LN(1+Supuestos!$E$6^2/Supuestos!$D$6^2)/2,SQRT(LN(1+Supuestos!$E$6^2/Supuestos!$D$6^2))),Supuestos!$D$6))))))</f>
        <v/>
      </c>
      <c r="K245" s="32">
        <f>MIN(IF(Supuestos!$H$7="",1E+99,Supuestos!$H$7),MAX(IF(Supuestos!$G$7="",-1E+99,Supuestos!$G$7),IF(Supuestos!$C$7="Normal",NORMINV(D245,Supuestos!$D$7,Supuestos!$E$7),IF(Supuestos!$C$7="Triangular",IF(D245&lt;(Supuestos!$E$7-Supuestos!$D$7)/(Supuestos!$F$7-Supuestos!$D$7),Supuestos!$D$7+SQRT(D245*(Supuestos!$F$7-Supuestos!$D$7)*(Supuestos!$E$7-Supuestos!$D$7)),Supuestos!$F$7-SQRT((1-D245)*(Supuestos!$F$7-Supuestos!$D$7)*(Supuestos!$F$7-Supuestos!$E$7))),IF(Supuestos!$C$7="Uniforme",Supuestos!$D$7+D245*(Supuestos!$E$7-Supuestos!$D$7),IF(Supuestos!$C$7="Lognormal",LOGINV(D245,LN(Supuestos!$D$7)-LN(1+Supuestos!$E$7^2/Supuestos!$D$7^2)/2,SQRT(LN(1+Supuestos!$E$7^2/Supuestos!$D$7^2))),Supuestos!$D$7))))))</f>
        <v/>
      </c>
      <c r="L245" s="32">
        <f>MIN(IF(Supuestos!$H$8="",1E+99,Supuestos!$H$8),MAX(IF(Supuestos!$G$8="",-1E+99,Supuestos!$G$8),IF(Supuestos!$C$8="Normal",NORMINV(E245,Supuestos!$D$8,Supuestos!$E$8),IF(Supuestos!$C$8="Triangular",IF(E245&lt;(Supuestos!$E$8-Supuestos!$D$8)/(Supuestos!$F$8-Supuestos!$D$8),Supuestos!$D$8+SQRT(E245*(Supuestos!$F$8-Supuestos!$D$8)*(Supuestos!$E$8-Supuestos!$D$8)),Supuestos!$F$8-SQRT((1-E245)*(Supuestos!$F$8-Supuestos!$D$8)*(Supuestos!$F$8-Supuestos!$E$8))),IF(Supuestos!$C$8="Uniforme",Supuestos!$D$8+E245*(Supuestos!$E$8-Supuestos!$D$8),IF(Supuestos!$C$8="Lognormal",LOGINV(E245,LN(Supuestos!$D$8)-LN(1+Supuestos!$E$8^2/Supuestos!$D$8^2)/2,SQRT(LN(1+Supuestos!$E$8^2/Supuestos!$D$8^2))),Supuestos!$D$8))))))</f>
        <v/>
      </c>
      <c r="M245" s="32">
        <f>MIN(IF(Supuestos!$H$9="",1E+99,Supuestos!$H$9),MAX(IF(Supuestos!$G$9="",-1E+99,Supuestos!$G$9),IF(Supuestos!$C$9="Normal",NORMINV(F245,Supuestos!$D$9,Supuestos!$E$9),IF(Supuestos!$C$9="Triangular",IF(F245&lt;(Supuestos!$E$9-Supuestos!$D$9)/(Supuestos!$F$9-Supuestos!$D$9),Supuestos!$D$9+SQRT(F245*(Supuestos!$F$9-Supuestos!$D$9)*(Supuestos!$E$9-Supuestos!$D$9)),Supuestos!$F$9-SQRT((1-F245)*(Supuestos!$F$9-Supuestos!$D$9)*(Supuestos!$F$9-Supuestos!$E$9))),IF(Supuestos!$C$9="Uniforme",Supuestos!$D$9+F245*(Supuestos!$E$9-Supuestos!$D$9),IF(Supuestos!$C$9="Lognormal",LOGINV(F245,LN(Supuestos!$D$9)-LN(1+Supuestos!$E$9^2/Supuestos!$D$9^2)/2,SQRT(LN(1+Supuestos!$E$9^2/Supuestos!$D$9^2))),Supuestos!$D$9))))))</f>
        <v/>
      </c>
      <c r="N245" s="32">
        <f>MIN(IF(Supuestos!$H$10="",1E+99,Supuestos!$H$10),MAX(IF(Supuestos!$G$10="",-1E+99,Supuestos!$G$10),IF(Supuestos!$C$10="Normal",NORMINV(G245,Supuestos!$D$10,Supuestos!$E$10),IF(Supuestos!$C$10="Triangular",IF(G245&lt;(Supuestos!$E$10-Supuestos!$D$10)/(Supuestos!$F$10-Supuestos!$D$10),Supuestos!$D$10+SQRT(G245*(Supuestos!$F$10-Supuestos!$D$10)*(Supuestos!$E$10-Supuestos!$D$10)),Supuestos!$F$10-SQRT((1-G245)*(Supuestos!$F$10-Supuestos!$D$10)*(Supuestos!$F$10-Supuestos!$E$10))),IF(Supuestos!$C$10="Uniforme",Supuestos!$D$10+G245*(Supuestos!$E$10-Supuestos!$D$10),IF(Supuestos!$C$10="Lognormal",LOGINV(G245,LN(Supuestos!$D$10)-LN(1+Supuestos!$E$10^2/Supuestos!$D$10^2)/2,SQRT(LN(1+Supuestos!$E$10^2/Supuestos!$D$10^2))),Supuestos!$D$10))))))</f>
        <v/>
      </c>
      <c r="O245" s="31">
        <f>MIN(IF(Supuestos!$H$11="",1E+99,Supuestos!$H$11),MAX(IF(Supuestos!$G$11="",-1E+99,Supuestos!$G$11),IF(Supuestos!$C$11="Normal",NORMINV(H245,Supuestos!$D$11,Supuestos!$E$11),IF(Supuestos!$C$11="Triangular",IF(H245&lt;(Supuestos!$E$11-Supuestos!$D$11)/(Supuestos!$F$11-Supuestos!$D$11),Supuestos!$D$11+SQRT(H245*(Supuestos!$F$11-Supuestos!$D$11)*(Supuestos!$E$11-Supuestos!$D$11)),Supuestos!$F$11-SQRT((1-H245)*(Supuestos!$F$11-Supuestos!$D$11)*(Supuestos!$F$11-Supuestos!$E$11))),IF(Supuestos!$C$11="Uniforme",Supuestos!$D$11+H245*(Supuestos!$E$11-Supuestos!$D$11),IF(Supuestos!$C$11="Lognormal",LOGINV(H245,LN(Supuestos!$D$11)-LN(1+Supuestos!$E$11^2/Supuestos!$D$11^2)/2,SQRT(LN(1+Supuestos!$E$11^2/Supuestos!$D$11^2))),Supuestos!$D$11))))))</f>
        <v/>
      </c>
      <c r="P245" s="33">
        <f>-I245</f>
        <v/>
      </c>
      <c r="Q245" s="33">
        <f>$J245*(1+$K245)^(1-1)*(1-$L245)*(1-$M245)</f>
        <v/>
      </c>
      <c r="R245" s="33">
        <f>$J245*(1+$K245)^(2-1)*(1-$L245)*(1-$M245)</f>
        <v/>
      </c>
      <c r="S245" s="33">
        <f>$J245*(1+$K245)^(3-1)*(1-$L245)*(1-$M245)</f>
        <v/>
      </c>
      <c r="T245" s="33">
        <f>$J245*(1+$K245)^(4-1)*(1-$L245)*(1-$M245)</f>
        <v/>
      </c>
      <c r="U245" s="33">
        <f>$J245*(1+$K245)^(5-1)*(1-$L245)*(1-$M245)+$O245</f>
        <v/>
      </c>
      <c r="V245" s="33">
        <f>P245+NPV($N245,Q245:U245)</f>
        <v/>
      </c>
      <c r="W245" s="32">
        <f>IFERROR(IRR(P245:U245,0.1),"")</f>
        <v/>
      </c>
    </row>
    <row r="246">
      <c r="A246" s="14" t="n">
        <v>242</v>
      </c>
      <c r="B246" s="30">
        <f>RAND()*(1-2E-6)+1E-6</f>
        <v/>
      </c>
      <c r="C246" s="30">
        <f>RAND()*(1-2E-6)+1E-6</f>
        <v/>
      </c>
      <c r="D246" s="30">
        <f>RAND()*(1-2E-6)+1E-6</f>
        <v/>
      </c>
      <c r="E246" s="30">
        <f>RAND()*(1-2E-6)+1E-6</f>
        <v/>
      </c>
      <c r="F246" s="30">
        <f>RAND()*(1-2E-6)+1E-6</f>
        <v/>
      </c>
      <c r="G246" s="30">
        <f>RAND()*(1-2E-6)+1E-6</f>
        <v/>
      </c>
      <c r="H246" s="30">
        <f>RAND()*(1-2E-6)+1E-6</f>
        <v/>
      </c>
      <c r="I246" s="31">
        <f>MIN(IF(Supuestos!$H$5="",1E+99,Supuestos!$H$5),MAX(IF(Supuestos!$G$5="",-1E+99,Supuestos!$G$5),IF(Supuestos!$C$5="Normal",NORMINV(B246,Supuestos!$D$5,Supuestos!$E$5),IF(Supuestos!$C$5="Triangular",IF(B246&lt;(Supuestos!$E$5-Supuestos!$D$5)/(Supuestos!$F$5-Supuestos!$D$5),Supuestos!$D$5+SQRT(B246*(Supuestos!$F$5-Supuestos!$D$5)*(Supuestos!$E$5-Supuestos!$D$5)),Supuestos!$F$5-SQRT((1-B246)*(Supuestos!$F$5-Supuestos!$D$5)*(Supuestos!$F$5-Supuestos!$E$5))),IF(Supuestos!$C$5="Uniforme",Supuestos!$D$5+B246*(Supuestos!$E$5-Supuestos!$D$5),IF(Supuestos!$C$5="Lognormal",LOGINV(B246,LN(Supuestos!$D$5)-LN(1+Supuestos!$E$5^2/Supuestos!$D$5^2)/2,SQRT(LN(1+Supuestos!$E$5^2/Supuestos!$D$5^2))),Supuestos!$D$5))))))</f>
        <v/>
      </c>
      <c r="J246" s="31">
        <f>MIN(IF(Supuestos!$H$6="",1E+99,Supuestos!$H$6),MAX(IF(Supuestos!$G$6="",-1E+99,Supuestos!$G$6),IF(Supuestos!$C$6="Normal",NORMINV(C246,Supuestos!$D$6,Supuestos!$E$6),IF(Supuestos!$C$6="Triangular",IF(C246&lt;(Supuestos!$E$6-Supuestos!$D$6)/(Supuestos!$F$6-Supuestos!$D$6),Supuestos!$D$6+SQRT(C246*(Supuestos!$F$6-Supuestos!$D$6)*(Supuestos!$E$6-Supuestos!$D$6)),Supuestos!$F$6-SQRT((1-C246)*(Supuestos!$F$6-Supuestos!$D$6)*(Supuestos!$F$6-Supuestos!$E$6))),IF(Supuestos!$C$6="Uniforme",Supuestos!$D$6+C246*(Supuestos!$E$6-Supuestos!$D$6),IF(Supuestos!$C$6="Lognormal",LOGINV(C246,LN(Supuestos!$D$6)-LN(1+Supuestos!$E$6^2/Supuestos!$D$6^2)/2,SQRT(LN(1+Supuestos!$E$6^2/Supuestos!$D$6^2))),Supuestos!$D$6))))))</f>
        <v/>
      </c>
      <c r="K246" s="32">
        <f>MIN(IF(Supuestos!$H$7="",1E+99,Supuestos!$H$7),MAX(IF(Supuestos!$G$7="",-1E+99,Supuestos!$G$7),IF(Supuestos!$C$7="Normal",NORMINV(D246,Supuestos!$D$7,Supuestos!$E$7),IF(Supuestos!$C$7="Triangular",IF(D246&lt;(Supuestos!$E$7-Supuestos!$D$7)/(Supuestos!$F$7-Supuestos!$D$7),Supuestos!$D$7+SQRT(D246*(Supuestos!$F$7-Supuestos!$D$7)*(Supuestos!$E$7-Supuestos!$D$7)),Supuestos!$F$7-SQRT((1-D246)*(Supuestos!$F$7-Supuestos!$D$7)*(Supuestos!$F$7-Supuestos!$E$7))),IF(Supuestos!$C$7="Uniforme",Supuestos!$D$7+D246*(Supuestos!$E$7-Supuestos!$D$7),IF(Supuestos!$C$7="Lognormal",LOGINV(D246,LN(Supuestos!$D$7)-LN(1+Supuestos!$E$7^2/Supuestos!$D$7^2)/2,SQRT(LN(1+Supuestos!$E$7^2/Supuestos!$D$7^2))),Supuestos!$D$7))))))</f>
        <v/>
      </c>
      <c r="L246" s="32">
        <f>MIN(IF(Supuestos!$H$8="",1E+99,Supuestos!$H$8),MAX(IF(Supuestos!$G$8="",-1E+99,Supuestos!$G$8),IF(Supuestos!$C$8="Normal",NORMINV(E246,Supuestos!$D$8,Supuestos!$E$8),IF(Supuestos!$C$8="Triangular",IF(E246&lt;(Supuestos!$E$8-Supuestos!$D$8)/(Supuestos!$F$8-Supuestos!$D$8),Supuestos!$D$8+SQRT(E246*(Supuestos!$F$8-Supuestos!$D$8)*(Supuestos!$E$8-Supuestos!$D$8)),Supuestos!$F$8-SQRT((1-E246)*(Supuestos!$F$8-Supuestos!$D$8)*(Supuestos!$F$8-Supuestos!$E$8))),IF(Supuestos!$C$8="Uniforme",Supuestos!$D$8+E246*(Supuestos!$E$8-Supuestos!$D$8),IF(Supuestos!$C$8="Lognormal",LOGINV(E246,LN(Supuestos!$D$8)-LN(1+Supuestos!$E$8^2/Supuestos!$D$8^2)/2,SQRT(LN(1+Supuestos!$E$8^2/Supuestos!$D$8^2))),Supuestos!$D$8))))))</f>
        <v/>
      </c>
      <c r="M246" s="32">
        <f>MIN(IF(Supuestos!$H$9="",1E+99,Supuestos!$H$9),MAX(IF(Supuestos!$G$9="",-1E+99,Supuestos!$G$9),IF(Supuestos!$C$9="Normal",NORMINV(F246,Supuestos!$D$9,Supuestos!$E$9),IF(Supuestos!$C$9="Triangular",IF(F246&lt;(Supuestos!$E$9-Supuestos!$D$9)/(Supuestos!$F$9-Supuestos!$D$9),Supuestos!$D$9+SQRT(F246*(Supuestos!$F$9-Supuestos!$D$9)*(Supuestos!$E$9-Supuestos!$D$9)),Supuestos!$F$9-SQRT((1-F246)*(Supuestos!$F$9-Supuestos!$D$9)*(Supuestos!$F$9-Supuestos!$E$9))),IF(Supuestos!$C$9="Uniforme",Supuestos!$D$9+F246*(Supuestos!$E$9-Supuestos!$D$9),IF(Supuestos!$C$9="Lognormal",LOGINV(F246,LN(Supuestos!$D$9)-LN(1+Supuestos!$E$9^2/Supuestos!$D$9^2)/2,SQRT(LN(1+Supuestos!$E$9^2/Supuestos!$D$9^2))),Supuestos!$D$9))))))</f>
        <v/>
      </c>
      <c r="N246" s="32">
        <f>MIN(IF(Supuestos!$H$10="",1E+99,Supuestos!$H$10),MAX(IF(Supuestos!$G$10="",-1E+99,Supuestos!$G$10),IF(Supuestos!$C$10="Normal",NORMINV(G246,Supuestos!$D$10,Supuestos!$E$10),IF(Supuestos!$C$10="Triangular",IF(G246&lt;(Supuestos!$E$10-Supuestos!$D$10)/(Supuestos!$F$10-Supuestos!$D$10),Supuestos!$D$10+SQRT(G246*(Supuestos!$F$10-Supuestos!$D$10)*(Supuestos!$E$10-Supuestos!$D$10)),Supuestos!$F$10-SQRT((1-G246)*(Supuestos!$F$10-Supuestos!$D$10)*(Supuestos!$F$10-Supuestos!$E$10))),IF(Supuestos!$C$10="Uniforme",Supuestos!$D$10+G246*(Supuestos!$E$10-Supuestos!$D$10),IF(Supuestos!$C$10="Lognormal",LOGINV(G246,LN(Supuestos!$D$10)-LN(1+Supuestos!$E$10^2/Supuestos!$D$10^2)/2,SQRT(LN(1+Supuestos!$E$10^2/Supuestos!$D$10^2))),Supuestos!$D$10))))))</f>
        <v/>
      </c>
      <c r="O246" s="31">
        <f>MIN(IF(Supuestos!$H$11="",1E+99,Supuestos!$H$11),MAX(IF(Supuestos!$G$11="",-1E+99,Supuestos!$G$11),IF(Supuestos!$C$11="Normal",NORMINV(H246,Supuestos!$D$11,Supuestos!$E$11),IF(Supuestos!$C$11="Triangular",IF(H246&lt;(Supuestos!$E$11-Supuestos!$D$11)/(Supuestos!$F$11-Supuestos!$D$11),Supuestos!$D$11+SQRT(H246*(Supuestos!$F$11-Supuestos!$D$11)*(Supuestos!$E$11-Supuestos!$D$11)),Supuestos!$F$11-SQRT((1-H246)*(Supuestos!$F$11-Supuestos!$D$11)*(Supuestos!$F$11-Supuestos!$E$11))),IF(Supuestos!$C$11="Uniforme",Supuestos!$D$11+H246*(Supuestos!$E$11-Supuestos!$D$11),IF(Supuestos!$C$11="Lognormal",LOGINV(H246,LN(Supuestos!$D$11)-LN(1+Supuestos!$E$11^2/Supuestos!$D$11^2)/2,SQRT(LN(1+Supuestos!$E$11^2/Supuestos!$D$11^2))),Supuestos!$D$11))))))</f>
        <v/>
      </c>
      <c r="P246" s="33">
        <f>-I246</f>
        <v/>
      </c>
      <c r="Q246" s="33">
        <f>$J246*(1+$K246)^(1-1)*(1-$L246)*(1-$M246)</f>
        <v/>
      </c>
      <c r="R246" s="33">
        <f>$J246*(1+$K246)^(2-1)*(1-$L246)*(1-$M246)</f>
        <v/>
      </c>
      <c r="S246" s="33">
        <f>$J246*(1+$K246)^(3-1)*(1-$L246)*(1-$M246)</f>
        <v/>
      </c>
      <c r="T246" s="33">
        <f>$J246*(1+$K246)^(4-1)*(1-$L246)*(1-$M246)</f>
        <v/>
      </c>
      <c r="U246" s="33">
        <f>$J246*(1+$K246)^(5-1)*(1-$L246)*(1-$M246)+$O246</f>
        <v/>
      </c>
      <c r="V246" s="33">
        <f>P246+NPV($N246,Q246:U246)</f>
        <v/>
      </c>
      <c r="W246" s="32">
        <f>IFERROR(IRR(P246:U246,0.1),"")</f>
        <v/>
      </c>
    </row>
    <row r="247">
      <c r="A247" s="14" t="n">
        <v>243</v>
      </c>
      <c r="B247" s="30">
        <f>RAND()*(1-2E-6)+1E-6</f>
        <v/>
      </c>
      <c r="C247" s="30">
        <f>RAND()*(1-2E-6)+1E-6</f>
        <v/>
      </c>
      <c r="D247" s="30">
        <f>RAND()*(1-2E-6)+1E-6</f>
        <v/>
      </c>
      <c r="E247" s="30">
        <f>RAND()*(1-2E-6)+1E-6</f>
        <v/>
      </c>
      <c r="F247" s="30">
        <f>RAND()*(1-2E-6)+1E-6</f>
        <v/>
      </c>
      <c r="G247" s="30">
        <f>RAND()*(1-2E-6)+1E-6</f>
        <v/>
      </c>
      <c r="H247" s="30">
        <f>RAND()*(1-2E-6)+1E-6</f>
        <v/>
      </c>
      <c r="I247" s="31">
        <f>MIN(IF(Supuestos!$H$5="",1E+99,Supuestos!$H$5),MAX(IF(Supuestos!$G$5="",-1E+99,Supuestos!$G$5),IF(Supuestos!$C$5="Normal",NORMINV(B247,Supuestos!$D$5,Supuestos!$E$5),IF(Supuestos!$C$5="Triangular",IF(B247&lt;(Supuestos!$E$5-Supuestos!$D$5)/(Supuestos!$F$5-Supuestos!$D$5),Supuestos!$D$5+SQRT(B247*(Supuestos!$F$5-Supuestos!$D$5)*(Supuestos!$E$5-Supuestos!$D$5)),Supuestos!$F$5-SQRT((1-B247)*(Supuestos!$F$5-Supuestos!$D$5)*(Supuestos!$F$5-Supuestos!$E$5))),IF(Supuestos!$C$5="Uniforme",Supuestos!$D$5+B247*(Supuestos!$E$5-Supuestos!$D$5),IF(Supuestos!$C$5="Lognormal",LOGINV(B247,LN(Supuestos!$D$5)-LN(1+Supuestos!$E$5^2/Supuestos!$D$5^2)/2,SQRT(LN(1+Supuestos!$E$5^2/Supuestos!$D$5^2))),Supuestos!$D$5))))))</f>
        <v/>
      </c>
      <c r="J247" s="31">
        <f>MIN(IF(Supuestos!$H$6="",1E+99,Supuestos!$H$6),MAX(IF(Supuestos!$G$6="",-1E+99,Supuestos!$G$6),IF(Supuestos!$C$6="Normal",NORMINV(C247,Supuestos!$D$6,Supuestos!$E$6),IF(Supuestos!$C$6="Triangular",IF(C247&lt;(Supuestos!$E$6-Supuestos!$D$6)/(Supuestos!$F$6-Supuestos!$D$6),Supuestos!$D$6+SQRT(C247*(Supuestos!$F$6-Supuestos!$D$6)*(Supuestos!$E$6-Supuestos!$D$6)),Supuestos!$F$6-SQRT((1-C247)*(Supuestos!$F$6-Supuestos!$D$6)*(Supuestos!$F$6-Supuestos!$E$6))),IF(Supuestos!$C$6="Uniforme",Supuestos!$D$6+C247*(Supuestos!$E$6-Supuestos!$D$6),IF(Supuestos!$C$6="Lognormal",LOGINV(C247,LN(Supuestos!$D$6)-LN(1+Supuestos!$E$6^2/Supuestos!$D$6^2)/2,SQRT(LN(1+Supuestos!$E$6^2/Supuestos!$D$6^2))),Supuestos!$D$6))))))</f>
        <v/>
      </c>
      <c r="K247" s="32">
        <f>MIN(IF(Supuestos!$H$7="",1E+99,Supuestos!$H$7),MAX(IF(Supuestos!$G$7="",-1E+99,Supuestos!$G$7),IF(Supuestos!$C$7="Normal",NORMINV(D247,Supuestos!$D$7,Supuestos!$E$7),IF(Supuestos!$C$7="Triangular",IF(D247&lt;(Supuestos!$E$7-Supuestos!$D$7)/(Supuestos!$F$7-Supuestos!$D$7),Supuestos!$D$7+SQRT(D247*(Supuestos!$F$7-Supuestos!$D$7)*(Supuestos!$E$7-Supuestos!$D$7)),Supuestos!$F$7-SQRT((1-D247)*(Supuestos!$F$7-Supuestos!$D$7)*(Supuestos!$F$7-Supuestos!$E$7))),IF(Supuestos!$C$7="Uniforme",Supuestos!$D$7+D247*(Supuestos!$E$7-Supuestos!$D$7),IF(Supuestos!$C$7="Lognormal",LOGINV(D247,LN(Supuestos!$D$7)-LN(1+Supuestos!$E$7^2/Supuestos!$D$7^2)/2,SQRT(LN(1+Supuestos!$E$7^2/Supuestos!$D$7^2))),Supuestos!$D$7))))))</f>
        <v/>
      </c>
      <c r="L247" s="32">
        <f>MIN(IF(Supuestos!$H$8="",1E+99,Supuestos!$H$8),MAX(IF(Supuestos!$G$8="",-1E+99,Supuestos!$G$8),IF(Supuestos!$C$8="Normal",NORMINV(E247,Supuestos!$D$8,Supuestos!$E$8),IF(Supuestos!$C$8="Triangular",IF(E247&lt;(Supuestos!$E$8-Supuestos!$D$8)/(Supuestos!$F$8-Supuestos!$D$8),Supuestos!$D$8+SQRT(E247*(Supuestos!$F$8-Supuestos!$D$8)*(Supuestos!$E$8-Supuestos!$D$8)),Supuestos!$F$8-SQRT((1-E247)*(Supuestos!$F$8-Supuestos!$D$8)*(Supuestos!$F$8-Supuestos!$E$8))),IF(Supuestos!$C$8="Uniforme",Supuestos!$D$8+E247*(Supuestos!$E$8-Supuestos!$D$8),IF(Supuestos!$C$8="Lognormal",LOGINV(E247,LN(Supuestos!$D$8)-LN(1+Supuestos!$E$8^2/Supuestos!$D$8^2)/2,SQRT(LN(1+Supuestos!$E$8^2/Supuestos!$D$8^2))),Supuestos!$D$8))))))</f>
        <v/>
      </c>
      <c r="M247" s="32">
        <f>MIN(IF(Supuestos!$H$9="",1E+99,Supuestos!$H$9),MAX(IF(Supuestos!$G$9="",-1E+99,Supuestos!$G$9),IF(Supuestos!$C$9="Normal",NORMINV(F247,Supuestos!$D$9,Supuestos!$E$9),IF(Supuestos!$C$9="Triangular",IF(F247&lt;(Supuestos!$E$9-Supuestos!$D$9)/(Supuestos!$F$9-Supuestos!$D$9),Supuestos!$D$9+SQRT(F247*(Supuestos!$F$9-Supuestos!$D$9)*(Supuestos!$E$9-Supuestos!$D$9)),Supuestos!$F$9-SQRT((1-F247)*(Supuestos!$F$9-Supuestos!$D$9)*(Supuestos!$F$9-Supuestos!$E$9))),IF(Supuestos!$C$9="Uniforme",Supuestos!$D$9+F247*(Supuestos!$E$9-Supuestos!$D$9),IF(Supuestos!$C$9="Lognormal",LOGINV(F247,LN(Supuestos!$D$9)-LN(1+Supuestos!$E$9^2/Supuestos!$D$9^2)/2,SQRT(LN(1+Supuestos!$E$9^2/Supuestos!$D$9^2))),Supuestos!$D$9))))))</f>
        <v/>
      </c>
      <c r="N247" s="32">
        <f>MIN(IF(Supuestos!$H$10="",1E+99,Supuestos!$H$10),MAX(IF(Supuestos!$G$10="",-1E+99,Supuestos!$G$10),IF(Supuestos!$C$10="Normal",NORMINV(G247,Supuestos!$D$10,Supuestos!$E$10),IF(Supuestos!$C$10="Triangular",IF(G247&lt;(Supuestos!$E$10-Supuestos!$D$10)/(Supuestos!$F$10-Supuestos!$D$10),Supuestos!$D$10+SQRT(G247*(Supuestos!$F$10-Supuestos!$D$10)*(Supuestos!$E$10-Supuestos!$D$10)),Supuestos!$F$10-SQRT((1-G247)*(Supuestos!$F$10-Supuestos!$D$10)*(Supuestos!$F$10-Supuestos!$E$10))),IF(Supuestos!$C$10="Uniforme",Supuestos!$D$10+G247*(Supuestos!$E$10-Supuestos!$D$10),IF(Supuestos!$C$10="Lognormal",LOGINV(G247,LN(Supuestos!$D$10)-LN(1+Supuestos!$E$10^2/Supuestos!$D$10^2)/2,SQRT(LN(1+Supuestos!$E$10^2/Supuestos!$D$10^2))),Supuestos!$D$10))))))</f>
        <v/>
      </c>
      <c r="O247" s="31">
        <f>MIN(IF(Supuestos!$H$11="",1E+99,Supuestos!$H$11),MAX(IF(Supuestos!$G$11="",-1E+99,Supuestos!$G$11),IF(Supuestos!$C$11="Normal",NORMINV(H247,Supuestos!$D$11,Supuestos!$E$11),IF(Supuestos!$C$11="Triangular",IF(H247&lt;(Supuestos!$E$11-Supuestos!$D$11)/(Supuestos!$F$11-Supuestos!$D$11),Supuestos!$D$11+SQRT(H247*(Supuestos!$F$11-Supuestos!$D$11)*(Supuestos!$E$11-Supuestos!$D$11)),Supuestos!$F$11-SQRT((1-H247)*(Supuestos!$F$11-Supuestos!$D$11)*(Supuestos!$F$11-Supuestos!$E$11))),IF(Supuestos!$C$11="Uniforme",Supuestos!$D$11+H247*(Supuestos!$E$11-Supuestos!$D$11),IF(Supuestos!$C$11="Lognormal",LOGINV(H247,LN(Supuestos!$D$11)-LN(1+Supuestos!$E$11^2/Supuestos!$D$11^2)/2,SQRT(LN(1+Supuestos!$E$11^2/Supuestos!$D$11^2))),Supuestos!$D$11))))))</f>
        <v/>
      </c>
      <c r="P247" s="33">
        <f>-I247</f>
        <v/>
      </c>
      <c r="Q247" s="33">
        <f>$J247*(1+$K247)^(1-1)*(1-$L247)*(1-$M247)</f>
        <v/>
      </c>
      <c r="R247" s="33">
        <f>$J247*(1+$K247)^(2-1)*(1-$L247)*(1-$M247)</f>
        <v/>
      </c>
      <c r="S247" s="33">
        <f>$J247*(1+$K247)^(3-1)*(1-$L247)*(1-$M247)</f>
        <v/>
      </c>
      <c r="T247" s="33">
        <f>$J247*(1+$K247)^(4-1)*(1-$L247)*(1-$M247)</f>
        <v/>
      </c>
      <c r="U247" s="33">
        <f>$J247*(1+$K247)^(5-1)*(1-$L247)*(1-$M247)+$O247</f>
        <v/>
      </c>
      <c r="V247" s="33">
        <f>P247+NPV($N247,Q247:U247)</f>
        <v/>
      </c>
      <c r="W247" s="32">
        <f>IFERROR(IRR(P247:U247,0.1),"")</f>
        <v/>
      </c>
    </row>
    <row r="248">
      <c r="A248" s="14" t="n">
        <v>244</v>
      </c>
      <c r="B248" s="30">
        <f>RAND()*(1-2E-6)+1E-6</f>
        <v/>
      </c>
      <c r="C248" s="30">
        <f>RAND()*(1-2E-6)+1E-6</f>
        <v/>
      </c>
      <c r="D248" s="30">
        <f>RAND()*(1-2E-6)+1E-6</f>
        <v/>
      </c>
      <c r="E248" s="30">
        <f>RAND()*(1-2E-6)+1E-6</f>
        <v/>
      </c>
      <c r="F248" s="30">
        <f>RAND()*(1-2E-6)+1E-6</f>
        <v/>
      </c>
      <c r="G248" s="30">
        <f>RAND()*(1-2E-6)+1E-6</f>
        <v/>
      </c>
      <c r="H248" s="30">
        <f>RAND()*(1-2E-6)+1E-6</f>
        <v/>
      </c>
      <c r="I248" s="31">
        <f>MIN(IF(Supuestos!$H$5="",1E+99,Supuestos!$H$5),MAX(IF(Supuestos!$G$5="",-1E+99,Supuestos!$G$5),IF(Supuestos!$C$5="Normal",NORMINV(B248,Supuestos!$D$5,Supuestos!$E$5),IF(Supuestos!$C$5="Triangular",IF(B248&lt;(Supuestos!$E$5-Supuestos!$D$5)/(Supuestos!$F$5-Supuestos!$D$5),Supuestos!$D$5+SQRT(B248*(Supuestos!$F$5-Supuestos!$D$5)*(Supuestos!$E$5-Supuestos!$D$5)),Supuestos!$F$5-SQRT((1-B248)*(Supuestos!$F$5-Supuestos!$D$5)*(Supuestos!$F$5-Supuestos!$E$5))),IF(Supuestos!$C$5="Uniforme",Supuestos!$D$5+B248*(Supuestos!$E$5-Supuestos!$D$5),IF(Supuestos!$C$5="Lognormal",LOGINV(B248,LN(Supuestos!$D$5)-LN(1+Supuestos!$E$5^2/Supuestos!$D$5^2)/2,SQRT(LN(1+Supuestos!$E$5^2/Supuestos!$D$5^2))),Supuestos!$D$5))))))</f>
        <v/>
      </c>
      <c r="J248" s="31">
        <f>MIN(IF(Supuestos!$H$6="",1E+99,Supuestos!$H$6),MAX(IF(Supuestos!$G$6="",-1E+99,Supuestos!$G$6),IF(Supuestos!$C$6="Normal",NORMINV(C248,Supuestos!$D$6,Supuestos!$E$6),IF(Supuestos!$C$6="Triangular",IF(C248&lt;(Supuestos!$E$6-Supuestos!$D$6)/(Supuestos!$F$6-Supuestos!$D$6),Supuestos!$D$6+SQRT(C248*(Supuestos!$F$6-Supuestos!$D$6)*(Supuestos!$E$6-Supuestos!$D$6)),Supuestos!$F$6-SQRT((1-C248)*(Supuestos!$F$6-Supuestos!$D$6)*(Supuestos!$F$6-Supuestos!$E$6))),IF(Supuestos!$C$6="Uniforme",Supuestos!$D$6+C248*(Supuestos!$E$6-Supuestos!$D$6),IF(Supuestos!$C$6="Lognormal",LOGINV(C248,LN(Supuestos!$D$6)-LN(1+Supuestos!$E$6^2/Supuestos!$D$6^2)/2,SQRT(LN(1+Supuestos!$E$6^2/Supuestos!$D$6^2))),Supuestos!$D$6))))))</f>
        <v/>
      </c>
      <c r="K248" s="32">
        <f>MIN(IF(Supuestos!$H$7="",1E+99,Supuestos!$H$7),MAX(IF(Supuestos!$G$7="",-1E+99,Supuestos!$G$7),IF(Supuestos!$C$7="Normal",NORMINV(D248,Supuestos!$D$7,Supuestos!$E$7),IF(Supuestos!$C$7="Triangular",IF(D248&lt;(Supuestos!$E$7-Supuestos!$D$7)/(Supuestos!$F$7-Supuestos!$D$7),Supuestos!$D$7+SQRT(D248*(Supuestos!$F$7-Supuestos!$D$7)*(Supuestos!$E$7-Supuestos!$D$7)),Supuestos!$F$7-SQRT((1-D248)*(Supuestos!$F$7-Supuestos!$D$7)*(Supuestos!$F$7-Supuestos!$E$7))),IF(Supuestos!$C$7="Uniforme",Supuestos!$D$7+D248*(Supuestos!$E$7-Supuestos!$D$7),IF(Supuestos!$C$7="Lognormal",LOGINV(D248,LN(Supuestos!$D$7)-LN(1+Supuestos!$E$7^2/Supuestos!$D$7^2)/2,SQRT(LN(1+Supuestos!$E$7^2/Supuestos!$D$7^2))),Supuestos!$D$7))))))</f>
        <v/>
      </c>
      <c r="L248" s="32">
        <f>MIN(IF(Supuestos!$H$8="",1E+99,Supuestos!$H$8),MAX(IF(Supuestos!$G$8="",-1E+99,Supuestos!$G$8),IF(Supuestos!$C$8="Normal",NORMINV(E248,Supuestos!$D$8,Supuestos!$E$8),IF(Supuestos!$C$8="Triangular",IF(E248&lt;(Supuestos!$E$8-Supuestos!$D$8)/(Supuestos!$F$8-Supuestos!$D$8),Supuestos!$D$8+SQRT(E248*(Supuestos!$F$8-Supuestos!$D$8)*(Supuestos!$E$8-Supuestos!$D$8)),Supuestos!$F$8-SQRT((1-E248)*(Supuestos!$F$8-Supuestos!$D$8)*(Supuestos!$F$8-Supuestos!$E$8))),IF(Supuestos!$C$8="Uniforme",Supuestos!$D$8+E248*(Supuestos!$E$8-Supuestos!$D$8),IF(Supuestos!$C$8="Lognormal",LOGINV(E248,LN(Supuestos!$D$8)-LN(1+Supuestos!$E$8^2/Supuestos!$D$8^2)/2,SQRT(LN(1+Supuestos!$E$8^2/Supuestos!$D$8^2))),Supuestos!$D$8))))))</f>
        <v/>
      </c>
      <c r="M248" s="32">
        <f>MIN(IF(Supuestos!$H$9="",1E+99,Supuestos!$H$9),MAX(IF(Supuestos!$G$9="",-1E+99,Supuestos!$G$9),IF(Supuestos!$C$9="Normal",NORMINV(F248,Supuestos!$D$9,Supuestos!$E$9),IF(Supuestos!$C$9="Triangular",IF(F248&lt;(Supuestos!$E$9-Supuestos!$D$9)/(Supuestos!$F$9-Supuestos!$D$9),Supuestos!$D$9+SQRT(F248*(Supuestos!$F$9-Supuestos!$D$9)*(Supuestos!$E$9-Supuestos!$D$9)),Supuestos!$F$9-SQRT((1-F248)*(Supuestos!$F$9-Supuestos!$D$9)*(Supuestos!$F$9-Supuestos!$E$9))),IF(Supuestos!$C$9="Uniforme",Supuestos!$D$9+F248*(Supuestos!$E$9-Supuestos!$D$9),IF(Supuestos!$C$9="Lognormal",LOGINV(F248,LN(Supuestos!$D$9)-LN(1+Supuestos!$E$9^2/Supuestos!$D$9^2)/2,SQRT(LN(1+Supuestos!$E$9^2/Supuestos!$D$9^2))),Supuestos!$D$9))))))</f>
        <v/>
      </c>
      <c r="N248" s="32">
        <f>MIN(IF(Supuestos!$H$10="",1E+99,Supuestos!$H$10),MAX(IF(Supuestos!$G$10="",-1E+99,Supuestos!$G$10),IF(Supuestos!$C$10="Normal",NORMINV(G248,Supuestos!$D$10,Supuestos!$E$10),IF(Supuestos!$C$10="Triangular",IF(G248&lt;(Supuestos!$E$10-Supuestos!$D$10)/(Supuestos!$F$10-Supuestos!$D$10),Supuestos!$D$10+SQRT(G248*(Supuestos!$F$10-Supuestos!$D$10)*(Supuestos!$E$10-Supuestos!$D$10)),Supuestos!$F$10-SQRT((1-G248)*(Supuestos!$F$10-Supuestos!$D$10)*(Supuestos!$F$10-Supuestos!$E$10))),IF(Supuestos!$C$10="Uniforme",Supuestos!$D$10+G248*(Supuestos!$E$10-Supuestos!$D$10),IF(Supuestos!$C$10="Lognormal",LOGINV(G248,LN(Supuestos!$D$10)-LN(1+Supuestos!$E$10^2/Supuestos!$D$10^2)/2,SQRT(LN(1+Supuestos!$E$10^2/Supuestos!$D$10^2))),Supuestos!$D$10))))))</f>
        <v/>
      </c>
      <c r="O248" s="31">
        <f>MIN(IF(Supuestos!$H$11="",1E+99,Supuestos!$H$11),MAX(IF(Supuestos!$G$11="",-1E+99,Supuestos!$G$11),IF(Supuestos!$C$11="Normal",NORMINV(H248,Supuestos!$D$11,Supuestos!$E$11),IF(Supuestos!$C$11="Triangular",IF(H248&lt;(Supuestos!$E$11-Supuestos!$D$11)/(Supuestos!$F$11-Supuestos!$D$11),Supuestos!$D$11+SQRT(H248*(Supuestos!$F$11-Supuestos!$D$11)*(Supuestos!$E$11-Supuestos!$D$11)),Supuestos!$F$11-SQRT((1-H248)*(Supuestos!$F$11-Supuestos!$D$11)*(Supuestos!$F$11-Supuestos!$E$11))),IF(Supuestos!$C$11="Uniforme",Supuestos!$D$11+H248*(Supuestos!$E$11-Supuestos!$D$11),IF(Supuestos!$C$11="Lognormal",LOGINV(H248,LN(Supuestos!$D$11)-LN(1+Supuestos!$E$11^2/Supuestos!$D$11^2)/2,SQRT(LN(1+Supuestos!$E$11^2/Supuestos!$D$11^2))),Supuestos!$D$11))))))</f>
        <v/>
      </c>
      <c r="P248" s="33">
        <f>-I248</f>
        <v/>
      </c>
      <c r="Q248" s="33">
        <f>$J248*(1+$K248)^(1-1)*(1-$L248)*(1-$M248)</f>
        <v/>
      </c>
      <c r="R248" s="33">
        <f>$J248*(1+$K248)^(2-1)*(1-$L248)*(1-$M248)</f>
        <v/>
      </c>
      <c r="S248" s="33">
        <f>$J248*(1+$K248)^(3-1)*(1-$L248)*(1-$M248)</f>
        <v/>
      </c>
      <c r="T248" s="33">
        <f>$J248*(1+$K248)^(4-1)*(1-$L248)*(1-$M248)</f>
        <v/>
      </c>
      <c r="U248" s="33">
        <f>$J248*(1+$K248)^(5-1)*(1-$L248)*(1-$M248)+$O248</f>
        <v/>
      </c>
      <c r="V248" s="33">
        <f>P248+NPV($N248,Q248:U248)</f>
        <v/>
      </c>
      <c r="W248" s="32">
        <f>IFERROR(IRR(P248:U248,0.1),"")</f>
        <v/>
      </c>
    </row>
    <row r="249">
      <c r="A249" s="14" t="n">
        <v>245</v>
      </c>
      <c r="B249" s="30">
        <f>RAND()*(1-2E-6)+1E-6</f>
        <v/>
      </c>
      <c r="C249" s="30">
        <f>RAND()*(1-2E-6)+1E-6</f>
        <v/>
      </c>
      <c r="D249" s="30">
        <f>RAND()*(1-2E-6)+1E-6</f>
        <v/>
      </c>
      <c r="E249" s="30">
        <f>RAND()*(1-2E-6)+1E-6</f>
        <v/>
      </c>
      <c r="F249" s="30">
        <f>RAND()*(1-2E-6)+1E-6</f>
        <v/>
      </c>
      <c r="G249" s="30">
        <f>RAND()*(1-2E-6)+1E-6</f>
        <v/>
      </c>
      <c r="H249" s="30">
        <f>RAND()*(1-2E-6)+1E-6</f>
        <v/>
      </c>
      <c r="I249" s="31">
        <f>MIN(IF(Supuestos!$H$5="",1E+99,Supuestos!$H$5),MAX(IF(Supuestos!$G$5="",-1E+99,Supuestos!$G$5),IF(Supuestos!$C$5="Normal",NORMINV(B249,Supuestos!$D$5,Supuestos!$E$5),IF(Supuestos!$C$5="Triangular",IF(B249&lt;(Supuestos!$E$5-Supuestos!$D$5)/(Supuestos!$F$5-Supuestos!$D$5),Supuestos!$D$5+SQRT(B249*(Supuestos!$F$5-Supuestos!$D$5)*(Supuestos!$E$5-Supuestos!$D$5)),Supuestos!$F$5-SQRT((1-B249)*(Supuestos!$F$5-Supuestos!$D$5)*(Supuestos!$F$5-Supuestos!$E$5))),IF(Supuestos!$C$5="Uniforme",Supuestos!$D$5+B249*(Supuestos!$E$5-Supuestos!$D$5),IF(Supuestos!$C$5="Lognormal",LOGINV(B249,LN(Supuestos!$D$5)-LN(1+Supuestos!$E$5^2/Supuestos!$D$5^2)/2,SQRT(LN(1+Supuestos!$E$5^2/Supuestos!$D$5^2))),Supuestos!$D$5))))))</f>
        <v/>
      </c>
      <c r="J249" s="31">
        <f>MIN(IF(Supuestos!$H$6="",1E+99,Supuestos!$H$6),MAX(IF(Supuestos!$G$6="",-1E+99,Supuestos!$G$6),IF(Supuestos!$C$6="Normal",NORMINV(C249,Supuestos!$D$6,Supuestos!$E$6),IF(Supuestos!$C$6="Triangular",IF(C249&lt;(Supuestos!$E$6-Supuestos!$D$6)/(Supuestos!$F$6-Supuestos!$D$6),Supuestos!$D$6+SQRT(C249*(Supuestos!$F$6-Supuestos!$D$6)*(Supuestos!$E$6-Supuestos!$D$6)),Supuestos!$F$6-SQRT((1-C249)*(Supuestos!$F$6-Supuestos!$D$6)*(Supuestos!$F$6-Supuestos!$E$6))),IF(Supuestos!$C$6="Uniforme",Supuestos!$D$6+C249*(Supuestos!$E$6-Supuestos!$D$6),IF(Supuestos!$C$6="Lognormal",LOGINV(C249,LN(Supuestos!$D$6)-LN(1+Supuestos!$E$6^2/Supuestos!$D$6^2)/2,SQRT(LN(1+Supuestos!$E$6^2/Supuestos!$D$6^2))),Supuestos!$D$6))))))</f>
        <v/>
      </c>
      <c r="K249" s="32">
        <f>MIN(IF(Supuestos!$H$7="",1E+99,Supuestos!$H$7),MAX(IF(Supuestos!$G$7="",-1E+99,Supuestos!$G$7),IF(Supuestos!$C$7="Normal",NORMINV(D249,Supuestos!$D$7,Supuestos!$E$7),IF(Supuestos!$C$7="Triangular",IF(D249&lt;(Supuestos!$E$7-Supuestos!$D$7)/(Supuestos!$F$7-Supuestos!$D$7),Supuestos!$D$7+SQRT(D249*(Supuestos!$F$7-Supuestos!$D$7)*(Supuestos!$E$7-Supuestos!$D$7)),Supuestos!$F$7-SQRT((1-D249)*(Supuestos!$F$7-Supuestos!$D$7)*(Supuestos!$F$7-Supuestos!$E$7))),IF(Supuestos!$C$7="Uniforme",Supuestos!$D$7+D249*(Supuestos!$E$7-Supuestos!$D$7),IF(Supuestos!$C$7="Lognormal",LOGINV(D249,LN(Supuestos!$D$7)-LN(1+Supuestos!$E$7^2/Supuestos!$D$7^2)/2,SQRT(LN(1+Supuestos!$E$7^2/Supuestos!$D$7^2))),Supuestos!$D$7))))))</f>
        <v/>
      </c>
      <c r="L249" s="32">
        <f>MIN(IF(Supuestos!$H$8="",1E+99,Supuestos!$H$8),MAX(IF(Supuestos!$G$8="",-1E+99,Supuestos!$G$8),IF(Supuestos!$C$8="Normal",NORMINV(E249,Supuestos!$D$8,Supuestos!$E$8),IF(Supuestos!$C$8="Triangular",IF(E249&lt;(Supuestos!$E$8-Supuestos!$D$8)/(Supuestos!$F$8-Supuestos!$D$8),Supuestos!$D$8+SQRT(E249*(Supuestos!$F$8-Supuestos!$D$8)*(Supuestos!$E$8-Supuestos!$D$8)),Supuestos!$F$8-SQRT((1-E249)*(Supuestos!$F$8-Supuestos!$D$8)*(Supuestos!$F$8-Supuestos!$E$8))),IF(Supuestos!$C$8="Uniforme",Supuestos!$D$8+E249*(Supuestos!$E$8-Supuestos!$D$8),IF(Supuestos!$C$8="Lognormal",LOGINV(E249,LN(Supuestos!$D$8)-LN(1+Supuestos!$E$8^2/Supuestos!$D$8^2)/2,SQRT(LN(1+Supuestos!$E$8^2/Supuestos!$D$8^2))),Supuestos!$D$8))))))</f>
        <v/>
      </c>
      <c r="M249" s="32">
        <f>MIN(IF(Supuestos!$H$9="",1E+99,Supuestos!$H$9),MAX(IF(Supuestos!$G$9="",-1E+99,Supuestos!$G$9),IF(Supuestos!$C$9="Normal",NORMINV(F249,Supuestos!$D$9,Supuestos!$E$9),IF(Supuestos!$C$9="Triangular",IF(F249&lt;(Supuestos!$E$9-Supuestos!$D$9)/(Supuestos!$F$9-Supuestos!$D$9),Supuestos!$D$9+SQRT(F249*(Supuestos!$F$9-Supuestos!$D$9)*(Supuestos!$E$9-Supuestos!$D$9)),Supuestos!$F$9-SQRT((1-F249)*(Supuestos!$F$9-Supuestos!$D$9)*(Supuestos!$F$9-Supuestos!$E$9))),IF(Supuestos!$C$9="Uniforme",Supuestos!$D$9+F249*(Supuestos!$E$9-Supuestos!$D$9),IF(Supuestos!$C$9="Lognormal",LOGINV(F249,LN(Supuestos!$D$9)-LN(1+Supuestos!$E$9^2/Supuestos!$D$9^2)/2,SQRT(LN(1+Supuestos!$E$9^2/Supuestos!$D$9^2))),Supuestos!$D$9))))))</f>
        <v/>
      </c>
      <c r="N249" s="32">
        <f>MIN(IF(Supuestos!$H$10="",1E+99,Supuestos!$H$10),MAX(IF(Supuestos!$G$10="",-1E+99,Supuestos!$G$10),IF(Supuestos!$C$10="Normal",NORMINV(G249,Supuestos!$D$10,Supuestos!$E$10),IF(Supuestos!$C$10="Triangular",IF(G249&lt;(Supuestos!$E$10-Supuestos!$D$10)/(Supuestos!$F$10-Supuestos!$D$10),Supuestos!$D$10+SQRT(G249*(Supuestos!$F$10-Supuestos!$D$10)*(Supuestos!$E$10-Supuestos!$D$10)),Supuestos!$F$10-SQRT((1-G249)*(Supuestos!$F$10-Supuestos!$D$10)*(Supuestos!$F$10-Supuestos!$E$10))),IF(Supuestos!$C$10="Uniforme",Supuestos!$D$10+G249*(Supuestos!$E$10-Supuestos!$D$10),IF(Supuestos!$C$10="Lognormal",LOGINV(G249,LN(Supuestos!$D$10)-LN(1+Supuestos!$E$10^2/Supuestos!$D$10^2)/2,SQRT(LN(1+Supuestos!$E$10^2/Supuestos!$D$10^2))),Supuestos!$D$10))))))</f>
        <v/>
      </c>
      <c r="O249" s="31">
        <f>MIN(IF(Supuestos!$H$11="",1E+99,Supuestos!$H$11),MAX(IF(Supuestos!$G$11="",-1E+99,Supuestos!$G$11),IF(Supuestos!$C$11="Normal",NORMINV(H249,Supuestos!$D$11,Supuestos!$E$11),IF(Supuestos!$C$11="Triangular",IF(H249&lt;(Supuestos!$E$11-Supuestos!$D$11)/(Supuestos!$F$11-Supuestos!$D$11),Supuestos!$D$11+SQRT(H249*(Supuestos!$F$11-Supuestos!$D$11)*(Supuestos!$E$11-Supuestos!$D$11)),Supuestos!$F$11-SQRT((1-H249)*(Supuestos!$F$11-Supuestos!$D$11)*(Supuestos!$F$11-Supuestos!$E$11))),IF(Supuestos!$C$11="Uniforme",Supuestos!$D$11+H249*(Supuestos!$E$11-Supuestos!$D$11),IF(Supuestos!$C$11="Lognormal",LOGINV(H249,LN(Supuestos!$D$11)-LN(1+Supuestos!$E$11^2/Supuestos!$D$11^2)/2,SQRT(LN(1+Supuestos!$E$11^2/Supuestos!$D$11^2))),Supuestos!$D$11))))))</f>
        <v/>
      </c>
      <c r="P249" s="33">
        <f>-I249</f>
        <v/>
      </c>
      <c r="Q249" s="33">
        <f>$J249*(1+$K249)^(1-1)*(1-$L249)*(1-$M249)</f>
        <v/>
      </c>
      <c r="R249" s="33">
        <f>$J249*(1+$K249)^(2-1)*(1-$L249)*(1-$M249)</f>
        <v/>
      </c>
      <c r="S249" s="33">
        <f>$J249*(1+$K249)^(3-1)*(1-$L249)*(1-$M249)</f>
        <v/>
      </c>
      <c r="T249" s="33">
        <f>$J249*(1+$K249)^(4-1)*(1-$L249)*(1-$M249)</f>
        <v/>
      </c>
      <c r="U249" s="33">
        <f>$J249*(1+$K249)^(5-1)*(1-$L249)*(1-$M249)+$O249</f>
        <v/>
      </c>
      <c r="V249" s="33">
        <f>P249+NPV($N249,Q249:U249)</f>
        <v/>
      </c>
      <c r="W249" s="32">
        <f>IFERROR(IRR(P249:U249,0.1),"")</f>
        <v/>
      </c>
    </row>
    <row r="250">
      <c r="A250" s="14" t="n">
        <v>246</v>
      </c>
      <c r="B250" s="30">
        <f>RAND()*(1-2E-6)+1E-6</f>
        <v/>
      </c>
      <c r="C250" s="30">
        <f>RAND()*(1-2E-6)+1E-6</f>
        <v/>
      </c>
      <c r="D250" s="30">
        <f>RAND()*(1-2E-6)+1E-6</f>
        <v/>
      </c>
      <c r="E250" s="30">
        <f>RAND()*(1-2E-6)+1E-6</f>
        <v/>
      </c>
      <c r="F250" s="30">
        <f>RAND()*(1-2E-6)+1E-6</f>
        <v/>
      </c>
      <c r="G250" s="30">
        <f>RAND()*(1-2E-6)+1E-6</f>
        <v/>
      </c>
      <c r="H250" s="30">
        <f>RAND()*(1-2E-6)+1E-6</f>
        <v/>
      </c>
      <c r="I250" s="31">
        <f>MIN(IF(Supuestos!$H$5="",1E+99,Supuestos!$H$5),MAX(IF(Supuestos!$G$5="",-1E+99,Supuestos!$G$5),IF(Supuestos!$C$5="Normal",NORMINV(B250,Supuestos!$D$5,Supuestos!$E$5),IF(Supuestos!$C$5="Triangular",IF(B250&lt;(Supuestos!$E$5-Supuestos!$D$5)/(Supuestos!$F$5-Supuestos!$D$5),Supuestos!$D$5+SQRT(B250*(Supuestos!$F$5-Supuestos!$D$5)*(Supuestos!$E$5-Supuestos!$D$5)),Supuestos!$F$5-SQRT((1-B250)*(Supuestos!$F$5-Supuestos!$D$5)*(Supuestos!$F$5-Supuestos!$E$5))),IF(Supuestos!$C$5="Uniforme",Supuestos!$D$5+B250*(Supuestos!$E$5-Supuestos!$D$5),IF(Supuestos!$C$5="Lognormal",LOGINV(B250,LN(Supuestos!$D$5)-LN(1+Supuestos!$E$5^2/Supuestos!$D$5^2)/2,SQRT(LN(1+Supuestos!$E$5^2/Supuestos!$D$5^2))),Supuestos!$D$5))))))</f>
        <v/>
      </c>
      <c r="J250" s="31">
        <f>MIN(IF(Supuestos!$H$6="",1E+99,Supuestos!$H$6),MAX(IF(Supuestos!$G$6="",-1E+99,Supuestos!$G$6),IF(Supuestos!$C$6="Normal",NORMINV(C250,Supuestos!$D$6,Supuestos!$E$6),IF(Supuestos!$C$6="Triangular",IF(C250&lt;(Supuestos!$E$6-Supuestos!$D$6)/(Supuestos!$F$6-Supuestos!$D$6),Supuestos!$D$6+SQRT(C250*(Supuestos!$F$6-Supuestos!$D$6)*(Supuestos!$E$6-Supuestos!$D$6)),Supuestos!$F$6-SQRT((1-C250)*(Supuestos!$F$6-Supuestos!$D$6)*(Supuestos!$F$6-Supuestos!$E$6))),IF(Supuestos!$C$6="Uniforme",Supuestos!$D$6+C250*(Supuestos!$E$6-Supuestos!$D$6),IF(Supuestos!$C$6="Lognormal",LOGINV(C250,LN(Supuestos!$D$6)-LN(1+Supuestos!$E$6^2/Supuestos!$D$6^2)/2,SQRT(LN(1+Supuestos!$E$6^2/Supuestos!$D$6^2))),Supuestos!$D$6))))))</f>
        <v/>
      </c>
      <c r="K250" s="32">
        <f>MIN(IF(Supuestos!$H$7="",1E+99,Supuestos!$H$7),MAX(IF(Supuestos!$G$7="",-1E+99,Supuestos!$G$7),IF(Supuestos!$C$7="Normal",NORMINV(D250,Supuestos!$D$7,Supuestos!$E$7),IF(Supuestos!$C$7="Triangular",IF(D250&lt;(Supuestos!$E$7-Supuestos!$D$7)/(Supuestos!$F$7-Supuestos!$D$7),Supuestos!$D$7+SQRT(D250*(Supuestos!$F$7-Supuestos!$D$7)*(Supuestos!$E$7-Supuestos!$D$7)),Supuestos!$F$7-SQRT((1-D250)*(Supuestos!$F$7-Supuestos!$D$7)*(Supuestos!$F$7-Supuestos!$E$7))),IF(Supuestos!$C$7="Uniforme",Supuestos!$D$7+D250*(Supuestos!$E$7-Supuestos!$D$7),IF(Supuestos!$C$7="Lognormal",LOGINV(D250,LN(Supuestos!$D$7)-LN(1+Supuestos!$E$7^2/Supuestos!$D$7^2)/2,SQRT(LN(1+Supuestos!$E$7^2/Supuestos!$D$7^2))),Supuestos!$D$7))))))</f>
        <v/>
      </c>
      <c r="L250" s="32">
        <f>MIN(IF(Supuestos!$H$8="",1E+99,Supuestos!$H$8),MAX(IF(Supuestos!$G$8="",-1E+99,Supuestos!$G$8),IF(Supuestos!$C$8="Normal",NORMINV(E250,Supuestos!$D$8,Supuestos!$E$8),IF(Supuestos!$C$8="Triangular",IF(E250&lt;(Supuestos!$E$8-Supuestos!$D$8)/(Supuestos!$F$8-Supuestos!$D$8),Supuestos!$D$8+SQRT(E250*(Supuestos!$F$8-Supuestos!$D$8)*(Supuestos!$E$8-Supuestos!$D$8)),Supuestos!$F$8-SQRT((1-E250)*(Supuestos!$F$8-Supuestos!$D$8)*(Supuestos!$F$8-Supuestos!$E$8))),IF(Supuestos!$C$8="Uniforme",Supuestos!$D$8+E250*(Supuestos!$E$8-Supuestos!$D$8),IF(Supuestos!$C$8="Lognormal",LOGINV(E250,LN(Supuestos!$D$8)-LN(1+Supuestos!$E$8^2/Supuestos!$D$8^2)/2,SQRT(LN(1+Supuestos!$E$8^2/Supuestos!$D$8^2))),Supuestos!$D$8))))))</f>
        <v/>
      </c>
      <c r="M250" s="32">
        <f>MIN(IF(Supuestos!$H$9="",1E+99,Supuestos!$H$9),MAX(IF(Supuestos!$G$9="",-1E+99,Supuestos!$G$9),IF(Supuestos!$C$9="Normal",NORMINV(F250,Supuestos!$D$9,Supuestos!$E$9),IF(Supuestos!$C$9="Triangular",IF(F250&lt;(Supuestos!$E$9-Supuestos!$D$9)/(Supuestos!$F$9-Supuestos!$D$9),Supuestos!$D$9+SQRT(F250*(Supuestos!$F$9-Supuestos!$D$9)*(Supuestos!$E$9-Supuestos!$D$9)),Supuestos!$F$9-SQRT((1-F250)*(Supuestos!$F$9-Supuestos!$D$9)*(Supuestos!$F$9-Supuestos!$E$9))),IF(Supuestos!$C$9="Uniforme",Supuestos!$D$9+F250*(Supuestos!$E$9-Supuestos!$D$9),IF(Supuestos!$C$9="Lognormal",LOGINV(F250,LN(Supuestos!$D$9)-LN(1+Supuestos!$E$9^2/Supuestos!$D$9^2)/2,SQRT(LN(1+Supuestos!$E$9^2/Supuestos!$D$9^2))),Supuestos!$D$9))))))</f>
        <v/>
      </c>
      <c r="N250" s="32">
        <f>MIN(IF(Supuestos!$H$10="",1E+99,Supuestos!$H$10),MAX(IF(Supuestos!$G$10="",-1E+99,Supuestos!$G$10),IF(Supuestos!$C$10="Normal",NORMINV(G250,Supuestos!$D$10,Supuestos!$E$10),IF(Supuestos!$C$10="Triangular",IF(G250&lt;(Supuestos!$E$10-Supuestos!$D$10)/(Supuestos!$F$10-Supuestos!$D$10),Supuestos!$D$10+SQRT(G250*(Supuestos!$F$10-Supuestos!$D$10)*(Supuestos!$E$10-Supuestos!$D$10)),Supuestos!$F$10-SQRT((1-G250)*(Supuestos!$F$10-Supuestos!$D$10)*(Supuestos!$F$10-Supuestos!$E$10))),IF(Supuestos!$C$10="Uniforme",Supuestos!$D$10+G250*(Supuestos!$E$10-Supuestos!$D$10),IF(Supuestos!$C$10="Lognormal",LOGINV(G250,LN(Supuestos!$D$10)-LN(1+Supuestos!$E$10^2/Supuestos!$D$10^2)/2,SQRT(LN(1+Supuestos!$E$10^2/Supuestos!$D$10^2))),Supuestos!$D$10))))))</f>
        <v/>
      </c>
      <c r="O250" s="31">
        <f>MIN(IF(Supuestos!$H$11="",1E+99,Supuestos!$H$11),MAX(IF(Supuestos!$G$11="",-1E+99,Supuestos!$G$11),IF(Supuestos!$C$11="Normal",NORMINV(H250,Supuestos!$D$11,Supuestos!$E$11),IF(Supuestos!$C$11="Triangular",IF(H250&lt;(Supuestos!$E$11-Supuestos!$D$11)/(Supuestos!$F$11-Supuestos!$D$11),Supuestos!$D$11+SQRT(H250*(Supuestos!$F$11-Supuestos!$D$11)*(Supuestos!$E$11-Supuestos!$D$11)),Supuestos!$F$11-SQRT((1-H250)*(Supuestos!$F$11-Supuestos!$D$11)*(Supuestos!$F$11-Supuestos!$E$11))),IF(Supuestos!$C$11="Uniforme",Supuestos!$D$11+H250*(Supuestos!$E$11-Supuestos!$D$11),IF(Supuestos!$C$11="Lognormal",LOGINV(H250,LN(Supuestos!$D$11)-LN(1+Supuestos!$E$11^2/Supuestos!$D$11^2)/2,SQRT(LN(1+Supuestos!$E$11^2/Supuestos!$D$11^2))),Supuestos!$D$11))))))</f>
        <v/>
      </c>
      <c r="P250" s="33">
        <f>-I250</f>
        <v/>
      </c>
      <c r="Q250" s="33">
        <f>$J250*(1+$K250)^(1-1)*(1-$L250)*(1-$M250)</f>
        <v/>
      </c>
      <c r="R250" s="33">
        <f>$J250*(1+$K250)^(2-1)*(1-$L250)*(1-$M250)</f>
        <v/>
      </c>
      <c r="S250" s="33">
        <f>$J250*(1+$K250)^(3-1)*(1-$L250)*(1-$M250)</f>
        <v/>
      </c>
      <c r="T250" s="33">
        <f>$J250*(1+$K250)^(4-1)*(1-$L250)*(1-$M250)</f>
        <v/>
      </c>
      <c r="U250" s="33">
        <f>$J250*(1+$K250)^(5-1)*(1-$L250)*(1-$M250)+$O250</f>
        <v/>
      </c>
      <c r="V250" s="33">
        <f>P250+NPV($N250,Q250:U250)</f>
        <v/>
      </c>
      <c r="W250" s="32">
        <f>IFERROR(IRR(P250:U250,0.1),"")</f>
        <v/>
      </c>
    </row>
    <row r="251">
      <c r="A251" s="14" t="n">
        <v>247</v>
      </c>
      <c r="B251" s="30">
        <f>RAND()*(1-2E-6)+1E-6</f>
        <v/>
      </c>
      <c r="C251" s="30">
        <f>RAND()*(1-2E-6)+1E-6</f>
        <v/>
      </c>
      <c r="D251" s="30">
        <f>RAND()*(1-2E-6)+1E-6</f>
        <v/>
      </c>
      <c r="E251" s="30">
        <f>RAND()*(1-2E-6)+1E-6</f>
        <v/>
      </c>
      <c r="F251" s="30">
        <f>RAND()*(1-2E-6)+1E-6</f>
        <v/>
      </c>
      <c r="G251" s="30">
        <f>RAND()*(1-2E-6)+1E-6</f>
        <v/>
      </c>
      <c r="H251" s="30">
        <f>RAND()*(1-2E-6)+1E-6</f>
        <v/>
      </c>
      <c r="I251" s="31">
        <f>MIN(IF(Supuestos!$H$5="",1E+99,Supuestos!$H$5),MAX(IF(Supuestos!$G$5="",-1E+99,Supuestos!$G$5),IF(Supuestos!$C$5="Normal",NORMINV(B251,Supuestos!$D$5,Supuestos!$E$5),IF(Supuestos!$C$5="Triangular",IF(B251&lt;(Supuestos!$E$5-Supuestos!$D$5)/(Supuestos!$F$5-Supuestos!$D$5),Supuestos!$D$5+SQRT(B251*(Supuestos!$F$5-Supuestos!$D$5)*(Supuestos!$E$5-Supuestos!$D$5)),Supuestos!$F$5-SQRT((1-B251)*(Supuestos!$F$5-Supuestos!$D$5)*(Supuestos!$F$5-Supuestos!$E$5))),IF(Supuestos!$C$5="Uniforme",Supuestos!$D$5+B251*(Supuestos!$E$5-Supuestos!$D$5),IF(Supuestos!$C$5="Lognormal",LOGINV(B251,LN(Supuestos!$D$5)-LN(1+Supuestos!$E$5^2/Supuestos!$D$5^2)/2,SQRT(LN(1+Supuestos!$E$5^2/Supuestos!$D$5^2))),Supuestos!$D$5))))))</f>
        <v/>
      </c>
      <c r="J251" s="31">
        <f>MIN(IF(Supuestos!$H$6="",1E+99,Supuestos!$H$6),MAX(IF(Supuestos!$G$6="",-1E+99,Supuestos!$G$6),IF(Supuestos!$C$6="Normal",NORMINV(C251,Supuestos!$D$6,Supuestos!$E$6),IF(Supuestos!$C$6="Triangular",IF(C251&lt;(Supuestos!$E$6-Supuestos!$D$6)/(Supuestos!$F$6-Supuestos!$D$6),Supuestos!$D$6+SQRT(C251*(Supuestos!$F$6-Supuestos!$D$6)*(Supuestos!$E$6-Supuestos!$D$6)),Supuestos!$F$6-SQRT((1-C251)*(Supuestos!$F$6-Supuestos!$D$6)*(Supuestos!$F$6-Supuestos!$E$6))),IF(Supuestos!$C$6="Uniforme",Supuestos!$D$6+C251*(Supuestos!$E$6-Supuestos!$D$6),IF(Supuestos!$C$6="Lognormal",LOGINV(C251,LN(Supuestos!$D$6)-LN(1+Supuestos!$E$6^2/Supuestos!$D$6^2)/2,SQRT(LN(1+Supuestos!$E$6^2/Supuestos!$D$6^2))),Supuestos!$D$6))))))</f>
        <v/>
      </c>
      <c r="K251" s="32">
        <f>MIN(IF(Supuestos!$H$7="",1E+99,Supuestos!$H$7),MAX(IF(Supuestos!$G$7="",-1E+99,Supuestos!$G$7),IF(Supuestos!$C$7="Normal",NORMINV(D251,Supuestos!$D$7,Supuestos!$E$7),IF(Supuestos!$C$7="Triangular",IF(D251&lt;(Supuestos!$E$7-Supuestos!$D$7)/(Supuestos!$F$7-Supuestos!$D$7),Supuestos!$D$7+SQRT(D251*(Supuestos!$F$7-Supuestos!$D$7)*(Supuestos!$E$7-Supuestos!$D$7)),Supuestos!$F$7-SQRT((1-D251)*(Supuestos!$F$7-Supuestos!$D$7)*(Supuestos!$F$7-Supuestos!$E$7))),IF(Supuestos!$C$7="Uniforme",Supuestos!$D$7+D251*(Supuestos!$E$7-Supuestos!$D$7),IF(Supuestos!$C$7="Lognormal",LOGINV(D251,LN(Supuestos!$D$7)-LN(1+Supuestos!$E$7^2/Supuestos!$D$7^2)/2,SQRT(LN(1+Supuestos!$E$7^2/Supuestos!$D$7^2))),Supuestos!$D$7))))))</f>
        <v/>
      </c>
      <c r="L251" s="32">
        <f>MIN(IF(Supuestos!$H$8="",1E+99,Supuestos!$H$8),MAX(IF(Supuestos!$G$8="",-1E+99,Supuestos!$G$8),IF(Supuestos!$C$8="Normal",NORMINV(E251,Supuestos!$D$8,Supuestos!$E$8),IF(Supuestos!$C$8="Triangular",IF(E251&lt;(Supuestos!$E$8-Supuestos!$D$8)/(Supuestos!$F$8-Supuestos!$D$8),Supuestos!$D$8+SQRT(E251*(Supuestos!$F$8-Supuestos!$D$8)*(Supuestos!$E$8-Supuestos!$D$8)),Supuestos!$F$8-SQRT((1-E251)*(Supuestos!$F$8-Supuestos!$D$8)*(Supuestos!$F$8-Supuestos!$E$8))),IF(Supuestos!$C$8="Uniforme",Supuestos!$D$8+E251*(Supuestos!$E$8-Supuestos!$D$8),IF(Supuestos!$C$8="Lognormal",LOGINV(E251,LN(Supuestos!$D$8)-LN(1+Supuestos!$E$8^2/Supuestos!$D$8^2)/2,SQRT(LN(1+Supuestos!$E$8^2/Supuestos!$D$8^2))),Supuestos!$D$8))))))</f>
        <v/>
      </c>
      <c r="M251" s="32">
        <f>MIN(IF(Supuestos!$H$9="",1E+99,Supuestos!$H$9),MAX(IF(Supuestos!$G$9="",-1E+99,Supuestos!$G$9),IF(Supuestos!$C$9="Normal",NORMINV(F251,Supuestos!$D$9,Supuestos!$E$9),IF(Supuestos!$C$9="Triangular",IF(F251&lt;(Supuestos!$E$9-Supuestos!$D$9)/(Supuestos!$F$9-Supuestos!$D$9),Supuestos!$D$9+SQRT(F251*(Supuestos!$F$9-Supuestos!$D$9)*(Supuestos!$E$9-Supuestos!$D$9)),Supuestos!$F$9-SQRT((1-F251)*(Supuestos!$F$9-Supuestos!$D$9)*(Supuestos!$F$9-Supuestos!$E$9))),IF(Supuestos!$C$9="Uniforme",Supuestos!$D$9+F251*(Supuestos!$E$9-Supuestos!$D$9),IF(Supuestos!$C$9="Lognormal",LOGINV(F251,LN(Supuestos!$D$9)-LN(1+Supuestos!$E$9^2/Supuestos!$D$9^2)/2,SQRT(LN(1+Supuestos!$E$9^2/Supuestos!$D$9^2))),Supuestos!$D$9))))))</f>
        <v/>
      </c>
      <c r="N251" s="32">
        <f>MIN(IF(Supuestos!$H$10="",1E+99,Supuestos!$H$10),MAX(IF(Supuestos!$G$10="",-1E+99,Supuestos!$G$10),IF(Supuestos!$C$10="Normal",NORMINV(G251,Supuestos!$D$10,Supuestos!$E$10),IF(Supuestos!$C$10="Triangular",IF(G251&lt;(Supuestos!$E$10-Supuestos!$D$10)/(Supuestos!$F$10-Supuestos!$D$10),Supuestos!$D$10+SQRT(G251*(Supuestos!$F$10-Supuestos!$D$10)*(Supuestos!$E$10-Supuestos!$D$10)),Supuestos!$F$10-SQRT((1-G251)*(Supuestos!$F$10-Supuestos!$D$10)*(Supuestos!$F$10-Supuestos!$E$10))),IF(Supuestos!$C$10="Uniforme",Supuestos!$D$10+G251*(Supuestos!$E$10-Supuestos!$D$10),IF(Supuestos!$C$10="Lognormal",LOGINV(G251,LN(Supuestos!$D$10)-LN(1+Supuestos!$E$10^2/Supuestos!$D$10^2)/2,SQRT(LN(1+Supuestos!$E$10^2/Supuestos!$D$10^2))),Supuestos!$D$10))))))</f>
        <v/>
      </c>
      <c r="O251" s="31">
        <f>MIN(IF(Supuestos!$H$11="",1E+99,Supuestos!$H$11),MAX(IF(Supuestos!$G$11="",-1E+99,Supuestos!$G$11),IF(Supuestos!$C$11="Normal",NORMINV(H251,Supuestos!$D$11,Supuestos!$E$11),IF(Supuestos!$C$11="Triangular",IF(H251&lt;(Supuestos!$E$11-Supuestos!$D$11)/(Supuestos!$F$11-Supuestos!$D$11),Supuestos!$D$11+SQRT(H251*(Supuestos!$F$11-Supuestos!$D$11)*(Supuestos!$E$11-Supuestos!$D$11)),Supuestos!$F$11-SQRT((1-H251)*(Supuestos!$F$11-Supuestos!$D$11)*(Supuestos!$F$11-Supuestos!$E$11))),IF(Supuestos!$C$11="Uniforme",Supuestos!$D$11+H251*(Supuestos!$E$11-Supuestos!$D$11),IF(Supuestos!$C$11="Lognormal",LOGINV(H251,LN(Supuestos!$D$11)-LN(1+Supuestos!$E$11^2/Supuestos!$D$11^2)/2,SQRT(LN(1+Supuestos!$E$11^2/Supuestos!$D$11^2))),Supuestos!$D$11))))))</f>
        <v/>
      </c>
      <c r="P251" s="33">
        <f>-I251</f>
        <v/>
      </c>
      <c r="Q251" s="33">
        <f>$J251*(1+$K251)^(1-1)*(1-$L251)*(1-$M251)</f>
        <v/>
      </c>
      <c r="R251" s="33">
        <f>$J251*(1+$K251)^(2-1)*(1-$L251)*(1-$M251)</f>
        <v/>
      </c>
      <c r="S251" s="33">
        <f>$J251*(1+$K251)^(3-1)*(1-$L251)*(1-$M251)</f>
        <v/>
      </c>
      <c r="T251" s="33">
        <f>$J251*(1+$K251)^(4-1)*(1-$L251)*(1-$M251)</f>
        <v/>
      </c>
      <c r="U251" s="33">
        <f>$J251*(1+$K251)^(5-1)*(1-$L251)*(1-$M251)+$O251</f>
        <v/>
      </c>
      <c r="V251" s="33">
        <f>P251+NPV($N251,Q251:U251)</f>
        <v/>
      </c>
      <c r="W251" s="32">
        <f>IFERROR(IRR(P251:U251,0.1),"")</f>
        <v/>
      </c>
    </row>
    <row r="252">
      <c r="A252" s="14" t="n">
        <v>248</v>
      </c>
      <c r="B252" s="30">
        <f>RAND()*(1-2E-6)+1E-6</f>
        <v/>
      </c>
      <c r="C252" s="30">
        <f>RAND()*(1-2E-6)+1E-6</f>
        <v/>
      </c>
      <c r="D252" s="30">
        <f>RAND()*(1-2E-6)+1E-6</f>
        <v/>
      </c>
      <c r="E252" s="30">
        <f>RAND()*(1-2E-6)+1E-6</f>
        <v/>
      </c>
      <c r="F252" s="30">
        <f>RAND()*(1-2E-6)+1E-6</f>
        <v/>
      </c>
      <c r="G252" s="30">
        <f>RAND()*(1-2E-6)+1E-6</f>
        <v/>
      </c>
      <c r="H252" s="30">
        <f>RAND()*(1-2E-6)+1E-6</f>
        <v/>
      </c>
      <c r="I252" s="31">
        <f>MIN(IF(Supuestos!$H$5="",1E+99,Supuestos!$H$5),MAX(IF(Supuestos!$G$5="",-1E+99,Supuestos!$G$5),IF(Supuestos!$C$5="Normal",NORMINV(B252,Supuestos!$D$5,Supuestos!$E$5),IF(Supuestos!$C$5="Triangular",IF(B252&lt;(Supuestos!$E$5-Supuestos!$D$5)/(Supuestos!$F$5-Supuestos!$D$5),Supuestos!$D$5+SQRT(B252*(Supuestos!$F$5-Supuestos!$D$5)*(Supuestos!$E$5-Supuestos!$D$5)),Supuestos!$F$5-SQRT((1-B252)*(Supuestos!$F$5-Supuestos!$D$5)*(Supuestos!$F$5-Supuestos!$E$5))),IF(Supuestos!$C$5="Uniforme",Supuestos!$D$5+B252*(Supuestos!$E$5-Supuestos!$D$5),IF(Supuestos!$C$5="Lognormal",LOGINV(B252,LN(Supuestos!$D$5)-LN(1+Supuestos!$E$5^2/Supuestos!$D$5^2)/2,SQRT(LN(1+Supuestos!$E$5^2/Supuestos!$D$5^2))),Supuestos!$D$5))))))</f>
        <v/>
      </c>
      <c r="J252" s="31">
        <f>MIN(IF(Supuestos!$H$6="",1E+99,Supuestos!$H$6),MAX(IF(Supuestos!$G$6="",-1E+99,Supuestos!$G$6),IF(Supuestos!$C$6="Normal",NORMINV(C252,Supuestos!$D$6,Supuestos!$E$6),IF(Supuestos!$C$6="Triangular",IF(C252&lt;(Supuestos!$E$6-Supuestos!$D$6)/(Supuestos!$F$6-Supuestos!$D$6),Supuestos!$D$6+SQRT(C252*(Supuestos!$F$6-Supuestos!$D$6)*(Supuestos!$E$6-Supuestos!$D$6)),Supuestos!$F$6-SQRT((1-C252)*(Supuestos!$F$6-Supuestos!$D$6)*(Supuestos!$F$6-Supuestos!$E$6))),IF(Supuestos!$C$6="Uniforme",Supuestos!$D$6+C252*(Supuestos!$E$6-Supuestos!$D$6),IF(Supuestos!$C$6="Lognormal",LOGINV(C252,LN(Supuestos!$D$6)-LN(1+Supuestos!$E$6^2/Supuestos!$D$6^2)/2,SQRT(LN(1+Supuestos!$E$6^2/Supuestos!$D$6^2))),Supuestos!$D$6))))))</f>
        <v/>
      </c>
      <c r="K252" s="32">
        <f>MIN(IF(Supuestos!$H$7="",1E+99,Supuestos!$H$7),MAX(IF(Supuestos!$G$7="",-1E+99,Supuestos!$G$7),IF(Supuestos!$C$7="Normal",NORMINV(D252,Supuestos!$D$7,Supuestos!$E$7),IF(Supuestos!$C$7="Triangular",IF(D252&lt;(Supuestos!$E$7-Supuestos!$D$7)/(Supuestos!$F$7-Supuestos!$D$7),Supuestos!$D$7+SQRT(D252*(Supuestos!$F$7-Supuestos!$D$7)*(Supuestos!$E$7-Supuestos!$D$7)),Supuestos!$F$7-SQRT((1-D252)*(Supuestos!$F$7-Supuestos!$D$7)*(Supuestos!$F$7-Supuestos!$E$7))),IF(Supuestos!$C$7="Uniforme",Supuestos!$D$7+D252*(Supuestos!$E$7-Supuestos!$D$7),IF(Supuestos!$C$7="Lognormal",LOGINV(D252,LN(Supuestos!$D$7)-LN(1+Supuestos!$E$7^2/Supuestos!$D$7^2)/2,SQRT(LN(1+Supuestos!$E$7^2/Supuestos!$D$7^2))),Supuestos!$D$7))))))</f>
        <v/>
      </c>
      <c r="L252" s="32">
        <f>MIN(IF(Supuestos!$H$8="",1E+99,Supuestos!$H$8),MAX(IF(Supuestos!$G$8="",-1E+99,Supuestos!$G$8),IF(Supuestos!$C$8="Normal",NORMINV(E252,Supuestos!$D$8,Supuestos!$E$8),IF(Supuestos!$C$8="Triangular",IF(E252&lt;(Supuestos!$E$8-Supuestos!$D$8)/(Supuestos!$F$8-Supuestos!$D$8),Supuestos!$D$8+SQRT(E252*(Supuestos!$F$8-Supuestos!$D$8)*(Supuestos!$E$8-Supuestos!$D$8)),Supuestos!$F$8-SQRT((1-E252)*(Supuestos!$F$8-Supuestos!$D$8)*(Supuestos!$F$8-Supuestos!$E$8))),IF(Supuestos!$C$8="Uniforme",Supuestos!$D$8+E252*(Supuestos!$E$8-Supuestos!$D$8),IF(Supuestos!$C$8="Lognormal",LOGINV(E252,LN(Supuestos!$D$8)-LN(1+Supuestos!$E$8^2/Supuestos!$D$8^2)/2,SQRT(LN(1+Supuestos!$E$8^2/Supuestos!$D$8^2))),Supuestos!$D$8))))))</f>
        <v/>
      </c>
      <c r="M252" s="32">
        <f>MIN(IF(Supuestos!$H$9="",1E+99,Supuestos!$H$9),MAX(IF(Supuestos!$G$9="",-1E+99,Supuestos!$G$9),IF(Supuestos!$C$9="Normal",NORMINV(F252,Supuestos!$D$9,Supuestos!$E$9),IF(Supuestos!$C$9="Triangular",IF(F252&lt;(Supuestos!$E$9-Supuestos!$D$9)/(Supuestos!$F$9-Supuestos!$D$9),Supuestos!$D$9+SQRT(F252*(Supuestos!$F$9-Supuestos!$D$9)*(Supuestos!$E$9-Supuestos!$D$9)),Supuestos!$F$9-SQRT((1-F252)*(Supuestos!$F$9-Supuestos!$D$9)*(Supuestos!$F$9-Supuestos!$E$9))),IF(Supuestos!$C$9="Uniforme",Supuestos!$D$9+F252*(Supuestos!$E$9-Supuestos!$D$9),IF(Supuestos!$C$9="Lognormal",LOGINV(F252,LN(Supuestos!$D$9)-LN(1+Supuestos!$E$9^2/Supuestos!$D$9^2)/2,SQRT(LN(1+Supuestos!$E$9^2/Supuestos!$D$9^2))),Supuestos!$D$9))))))</f>
        <v/>
      </c>
      <c r="N252" s="32">
        <f>MIN(IF(Supuestos!$H$10="",1E+99,Supuestos!$H$10),MAX(IF(Supuestos!$G$10="",-1E+99,Supuestos!$G$10),IF(Supuestos!$C$10="Normal",NORMINV(G252,Supuestos!$D$10,Supuestos!$E$10),IF(Supuestos!$C$10="Triangular",IF(G252&lt;(Supuestos!$E$10-Supuestos!$D$10)/(Supuestos!$F$10-Supuestos!$D$10),Supuestos!$D$10+SQRT(G252*(Supuestos!$F$10-Supuestos!$D$10)*(Supuestos!$E$10-Supuestos!$D$10)),Supuestos!$F$10-SQRT((1-G252)*(Supuestos!$F$10-Supuestos!$D$10)*(Supuestos!$F$10-Supuestos!$E$10))),IF(Supuestos!$C$10="Uniforme",Supuestos!$D$10+G252*(Supuestos!$E$10-Supuestos!$D$10),IF(Supuestos!$C$10="Lognormal",LOGINV(G252,LN(Supuestos!$D$10)-LN(1+Supuestos!$E$10^2/Supuestos!$D$10^2)/2,SQRT(LN(1+Supuestos!$E$10^2/Supuestos!$D$10^2))),Supuestos!$D$10))))))</f>
        <v/>
      </c>
      <c r="O252" s="31">
        <f>MIN(IF(Supuestos!$H$11="",1E+99,Supuestos!$H$11),MAX(IF(Supuestos!$G$11="",-1E+99,Supuestos!$G$11),IF(Supuestos!$C$11="Normal",NORMINV(H252,Supuestos!$D$11,Supuestos!$E$11),IF(Supuestos!$C$11="Triangular",IF(H252&lt;(Supuestos!$E$11-Supuestos!$D$11)/(Supuestos!$F$11-Supuestos!$D$11),Supuestos!$D$11+SQRT(H252*(Supuestos!$F$11-Supuestos!$D$11)*(Supuestos!$E$11-Supuestos!$D$11)),Supuestos!$F$11-SQRT((1-H252)*(Supuestos!$F$11-Supuestos!$D$11)*(Supuestos!$F$11-Supuestos!$E$11))),IF(Supuestos!$C$11="Uniforme",Supuestos!$D$11+H252*(Supuestos!$E$11-Supuestos!$D$11),IF(Supuestos!$C$11="Lognormal",LOGINV(H252,LN(Supuestos!$D$11)-LN(1+Supuestos!$E$11^2/Supuestos!$D$11^2)/2,SQRT(LN(1+Supuestos!$E$11^2/Supuestos!$D$11^2))),Supuestos!$D$11))))))</f>
        <v/>
      </c>
      <c r="P252" s="33">
        <f>-I252</f>
        <v/>
      </c>
      <c r="Q252" s="33">
        <f>$J252*(1+$K252)^(1-1)*(1-$L252)*(1-$M252)</f>
        <v/>
      </c>
      <c r="R252" s="33">
        <f>$J252*(1+$K252)^(2-1)*(1-$L252)*(1-$M252)</f>
        <v/>
      </c>
      <c r="S252" s="33">
        <f>$J252*(1+$K252)^(3-1)*(1-$L252)*(1-$M252)</f>
        <v/>
      </c>
      <c r="T252" s="33">
        <f>$J252*(1+$K252)^(4-1)*(1-$L252)*(1-$M252)</f>
        <v/>
      </c>
      <c r="U252" s="33">
        <f>$J252*(1+$K252)^(5-1)*(1-$L252)*(1-$M252)+$O252</f>
        <v/>
      </c>
      <c r="V252" s="33">
        <f>P252+NPV($N252,Q252:U252)</f>
        <v/>
      </c>
      <c r="W252" s="32">
        <f>IFERROR(IRR(P252:U252,0.1),"")</f>
        <v/>
      </c>
    </row>
    <row r="253">
      <c r="A253" s="14" t="n">
        <v>249</v>
      </c>
      <c r="B253" s="30">
        <f>RAND()*(1-2E-6)+1E-6</f>
        <v/>
      </c>
      <c r="C253" s="30">
        <f>RAND()*(1-2E-6)+1E-6</f>
        <v/>
      </c>
      <c r="D253" s="30">
        <f>RAND()*(1-2E-6)+1E-6</f>
        <v/>
      </c>
      <c r="E253" s="30">
        <f>RAND()*(1-2E-6)+1E-6</f>
        <v/>
      </c>
      <c r="F253" s="30">
        <f>RAND()*(1-2E-6)+1E-6</f>
        <v/>
      </c>
      <c r="G253" s="30">
        <f>RAND()*(1-2E-6)+1E-6</f>
        <v/>
      </c>
      <c r="H253" s="30">
        <f>RAND()*(1-2E-6)+1E-6</f>
        <v/>
      </c>
      <c r="I253" s="31">
        <f>MIN(IF(Supuestos!$H$5="",1E+99,Supuestos!$H$5),MAX(IF(Supuestos!$G$5="",-1E+99,Supuestos!$G$5),IF(Supuestos!$C$5="Normal",NORMINV(B253,Supuestos!$D$5,Supuestos!$E$5),IF(Supuestos!$C$5="Triangular",IF(B253&lt;(Supuestos!$E$5-Supuestos!$D$5)/(Supuestos!$F$5-Supuestos!$D$5),Supuestos!$D$5+SQRT(B253*(Supuestos!$F$5-Supuestos!$D$5)*(Supuestos!$E$5-Supuestos!$D$5)),Supuestos!$F$5-SQRT((1-B253)*(Supuestos!$F$5-Supuestos!$D$5)*(Supuestos!$F$5-Supuestos!$E$5))),IF(Supuestos!$C$5="Uniforme",Supuestos!$D$5+B253*(Supuestos!$E$5-Supuestos!$D$5),IF(Supuestos!$C$5="Lognormal",LOGINV(B253,LN(Supuestos!$D$5)-LN(1+Supuestos!$E$5^2/Supuestos!$D$5^2)/2,SQRT(LN(1+Supuestos!$E$5^2/Supuestos!$D$5^2))),Supuestos!$D$5))))))</f>
        <v/>
      </c>
      <c r="J253" s="31">
        <f>MIN(IF(Supuestos!$H$6="",1E+99,Supuestos!$H$6),MAX(IF(Supuestos!$G$6="",-1E+99,Supuestos!$G$6),IF(Supuestos!$C$6="Normal",NORMINV(C253,Supuestos!$D$6,Supuestos!$E$6),IF(Supuestos!$C$6="Triangular",IF(C253&lt;(Supuestos!$E$6-Supuestos!$D$6)/(Supuestos!$F$6-Supuestos!$D$6),Supuestos!$D$6+SQRT(C253*(Supuestos!$F$6-Supuestos!$D$6)*(Supuestos!$E$6-Supuestos!$D$6)),Supuestos!$F$6-SQRT((1-C253)*(Supuestos!$F$6-Supuestos!$D$6)*(Supuestos!$F$6-Supuestos!$E$6))),IF(Supuestos!$C$6="Uniforme",Supuestos!$D$6+C253*(Supuestos!$E$6-Supuestos!$D$6),IF(Supuestos!$C$6="Lognormal",LOGINV(C253,LN(Supuestos!$D$6)-LN(1+Supuestos!$E$6^2/Supuestos!$D$6^2)/2,SQRT(LN(1+Supuestos!$E$6^2/Supuestos!$D$6^2))),Supuestos!$D$6))))))</f>
        <v/>
      </c>
      <c r="K253" s="32">
        <f>MIN(IF(Supuestos!$H$7="",1E+99,Supuestos!$H$7),MAX(IF(Supuestos!$G$7="",-1E+99,Supuestos!$G$7),IF(Supuestos!$C$7="Normal",NORMINV(D253,Supuestos!$D$7,Supuestos!$E$7),IF(Supuestos!$C$7="Triangular",IF(D253&lt;(Supuestos!$E$7-Supuestos!$D$7)/(Supuestos!$F$7-Supuestos!$D$7),Supuestos!$D$7+SQRT(D253*(Supuestos!$F$7-Supuestos!$D$7)*(Supuestos!$E$7-Supuestos!$D$7)),Supuestos!$F$7-SQRT((1-D253)*(Supuestos!$F$7-Supuestos!$D$7)*(Supuestos!$F$7-Supuestos!$E$7))),IF(Supuestos!$C$7="Uniforme",Supuestos!$D$7+D253*(Supuestos!$E$7-Supuestos!$D$7),IF(Supuestos!$C$7="Lognormal",LOGINV(D253,LN(Supuestos!$D$7)-LN(1+Supuestos!$E$7^2/Supuestos!$D$7^2)/2,SQRT(LN(1+Supuestos!$E$7^2/Supuestos!$D$7^2))),Supuestos!$D$7))))))</f>
        <v/>
      </c>
      <c r="L253" s="32">
        <f>MIN(IF(Supuestos!$H$8="",1E+99,Supuestos!$H$8),MAX(IF(Supuestos!$G$8="",-1E+99,Supuestos!$G$8),IF(Supuestos!$C$8="Normal",NORMINV(E253,Supuestos!$D$8,Supuestos!$E$8),IF(Supuestos!$C$8="Triangular",IF(E253&lt;(Supuestos!$E$8-Supuestos!$D$8)/(Supuestos!$F$8-Supuestos!$D$8),Supuestos!$D$8+SQRT(E253*(Supuestos!$F$8-Supuestos!$D$8)*(Supuestos!$E$8-Supuestos!$D$8)),Supuestos!$F$8-SQRT((1-E253)*(Supuestos!$F$8-Supuestos!$D$8)*(Supuestos!$F$8-Supuestos!$E$8))),IF(Supuestos!$C$8="Uniforme",Supuestos!$D$8+E253*(Supuestos!$E$8-Supuestos!$D$8),IF(Supuestos!$C$8="Lognormal",LOGINV(E253,LN(Supuestos!$D$8)-LN(1+Supuestos!$E$8^2/Supuestos!$D$8^2)/2,SQRT(LN(1+Supuestos!$E$8^2/Supuestos!$D$8^2))),Supuestos!$D$8))))))</f>
        <v/>
      </c>
      <c r="M253" s="32">
        <f>MIN(IF(Supuestos!$H$9="",1E+99,Supuestos!$H$9),MAX(IF(Supuestos!$G$9="",-1E+99,Supuestos!$G$9),IF(Supuestos!$C$9="Normal",NORMINV(F253,Supuestos!$D$9,Supuestos!$E$9),IF(Supuestos!$C$9="Triangular",IF(F253&lt;(Supuestos!$E$9-Supuestos!$D$9)/(Supuestos!$F$9-Supuestos!$D$9),Supuestos!$D$9+SQRT(F253*(Supuestos!$F$9-Supuestos!$D$9)*(Supuestos!$E$9-Supuestos!$D$9)),Supuestos!$F$9-SQRT((1-F253)*(Supuestos!$F$9-Supuestos!$D$9)*(Supuestos!$F$9-Supuestos!$E$9))),IF(Supuestos!$C$9="Uniforme",Supuestos!$D$9+F253*(Supuestos!$E$9-Supuestos!$D$9),IF(Supuestos!$C$9="Lognormal",LOGINV(F253,LN(Supuestos!$D$9)-LN(1+Supuestos!$E$9^2/Supuestos!$D$9^2)/2,SQRT(LN(1+Supuestos!$E$9^2/Supuestos!$D$9^2))),Supuestos!$D$9))))))</f>
        <v/>
      </c>
      <c r="N253" s="32">
        <f>MIN(IF(Supuestos!$H$10="",1E+99,Supuestos!$H$10),MAX(IF(Supuestos!$G$10="",-1E+99,Supuestos!$G$10),IF(Supuestos!$C$10="Normal",NORMINV(G253,Supuestos!$D$10,Supuestos!$E$10),IF(Supuestos!$C$10="Triangular",IF(G253&lt;(Supuestos!$E$10-Supuestos!$D$10)/(Supuestos!$F$10-Supuestos!$D$10),Supuestos!$D$10+SQRT(G253*(Supuestos!$F$10-Supuestos!$D$10)*(Supuestos!$E$10-Supuestos!$D$10)),Supuestos!$F$10-SQRT((1-G253)*(Supuestos!$F$10-Supuestos!$D$10)*(Supuestos!$F$10-Supuestos!$E$10))),IF(Supuestos!$C$10="Uniforme",Supuestos!$D$10+G253*(Supuestos!$E$10-Supuestos!$D$10),IF(Supuestos!$C$10="Lognormal",LOGINV(G253,LN(Supuestos!$D$10)-LN(1+Supuestos!$E$10^2/Supuestos!$D$10^2)/2,SQRT(LN(1+Supuestos!$E$10^2/Supuestos!$D$10^2))),Supuestos!$D$10))))))</f>
        <v/>
      </c>
      <c r="O253" s="31">
        <f>MIN(IF(Supuestos!$H$11="",1E+99,Supuestos!$H$11),MAX(IF(Supuestos!$G$11="",-1E+99,Supuestos!$G$11),IF(Supuestos!$C$11="Normal",NORMINV(H253,Supuestos!$D$11,Supuestos!$E$11),IF(Supuestos!$C$11="Triangular",IF(H253&lt;(Supuestos!$E$11-Supuestos!$D$11)/(Supuestos!$F$11-Supuestos!$D$11),Supuestos!$D$11+SQRT(H253*(Supuestos!$F$11-Supuestos!$D$11)*(Supuestos!$E$11-Supuestos!$D$11)),Supuestos!$F$11-SQRT((1-H253)*(Supuestos!$F$11-Supuestos!$D$11)*(Supuestos!$F$11-Supuestos!$E$11))),IF(Supuestos!$C$11="Uniforme",Supuestos!$D$11+H253*(Supuestos!$E$11-Supuestos!$D$11),IF(Supuestos!$C$11="Lognormal",LOGINV(H253,LN(Supuestos!$D$11)-LN(1+Supuestos!$E$11^2/Supuestos!$D$11^2)/2,SQRT(LN(1+Supuestos!$E$11^2/Supuestos!$D$11^2))),Supuestos!$D$11))))))</f>
        <v/>
      </c>
      <c r="P253" s="33">
        <f>-I253</f>
        <v/>
      </c>
      <c r="Q253" s="33">
        <f>$J253*(1+$K253)^(1-1)*(1-$L253)*(1-$M253)</f>
        <v/>
      </c>
      <c r="R253" s="33">
        <f>$J253*(1+$K253)^(2-1)*(1-$L253)*(1-$M253)</f>
        <v/>
      </c>
      <c r="S253" s="33">
        <f>$J253*(1+$K253)^(3-1)*(1-$L253)*(1-$M253)</f>
        <v/>
      </c>
      <c r="T253" s="33">
        <f>$J253*(1+$K253)^(4-1)*(1-$L253)*(1-$M253)</f>
        <v/>
      </c>
      <c r="U253" s="33">
        <f>$J253*(1+$K253)^(5-1)*(1-$L253)*(1-$M253)+$O253</f>
        <v/>
      </c>
      <c r="V253" s="33">
        <f>P253+NPV($N253,Q253:U253)</f>
        <v/>
      </c>
      <c r="W253" s="32">
        <f>IFERROR(IRR(P253:U253,0.1),"")</f>
        <v/>
      </c>
    </row>
    <row r="254">
      <c r="A254" s="14" t="n">
        <v>250</v>
      </c>
      <c r="B254" s="30">
        <f>RAND()*(1-2E-6)+1E-6</f>
        <v/>
      </c>
      <c r="C254" s="30">
        <f>RAND()*(1-2E-6)+1E-6</f>
        <v/>
      </c>
      <c r="D254" s="30">
        <f>RAND()*(1-2E-6)+1E-6</f>
        <v/>
      </c>
      <c r="E254" s="30">
        <f>RAND()*(1-2E-6)+1E-6</f>
        <v/>
      </c>
      <c r="F254" s="30">
        <f>RAND()*(1-2E-6)+1E-6</f>
        <v/>
      </c>
      <c r="G254" s="30">
        <f>RAND()*(1-2E-6)+1E-6</f>
        <v/>
      </c>
      <c r="H254" s="30">
        <f>RAND()*(1-2E-6)+1E-6</f>
        <v/>
      </c>
      <c r="I254" s="31">
        <f>MIN(IF(Supuestos!$H$5="",1E+99,Supuestos!$H$5),MAX(IF(Supuestos!$G$5="",-1E+99,Supuestos!$G$5),IF(Supuestos!$C$5="Normal",NORMINV(B254,Supuestos!$D$5,Supuestos!$E$5),IF(Supuestos!$C$5="Triangular",IF(B254&lt;(Supuestos!$E$5-Supuestos!$D$5)/(Supuestos!$F$5-Supuestos!$D$5),Supuestos!$D$5+SQRT(B254*(Supuestos!$F$5-Supuestos!$D$5)*(Supuestos!$E$5-Supuestos!$D$5)),Supuestos!$F$5-SQRT((1-B254)*(Supuestos!$F$5-Supuestos!$D$5)*(Supuestos!$F$5-Supuestos!$E$5))),IF(Supuestos!$C$5="Uniforme",Supuestos!$D$5+B254*(Supuestos!$E$5-Supuestos!$D$5),IF(Supuestos!$C$5="Lognormal",LOGINV(B254,LN(Supuestos!$D$5)-LN(1+Supuestos!$E$5^2/Supuestos!$D$5^2)/2,SQRT(LN(1+Supuestos!$E$5^2/Supuestos!$D$5^2))),Supuestos!$D$5))))))</f>
        <v/>
      </c>
      <c r="J254" s="31">
        <f>MIN(IF(Supuestos!$H$6="",1E+99,Supuestos!$H$6),MAX(IF(Supuestos!$G$6="",-1E+99,Supuestos!$G$6),IF(Supuestos!$C$6="Normal",NORMINV(C254,Supuestos!$D$6,Supuestos!$E$6),IF(Supuestos!$C$6="Triangular",IF(C254&lt;(Supuestos!$E$6-Supuestos!$D$6)/(Supuestos!$F$6-Supuestos!$D$6),Supuestos!$D$6+SQRT(C254*(Supuestos!$F$6-Supuestos!$D$6)*(Supuestos!$E$6-Supuestos!$D$6)),Supuestos!$F$6-SQRT((1-C254)*(Supuestos!$F$6-Supuestos!$D$6)*(Supuestos!$F$6-Supuestos!$E$6))),IF(Supuestos!$C$6="Uniforme",Supuestos!$D$6+C254*(Supuestos!$E$6-Supuestos!$D$6),IF(Supuestos!$C$6="Lognormal",LOGINV(C254,LN(Supuestos!$D$6)-LN(1+Supuestos!$E$6^2/Supuestos!$D$6^2)/2,SQRT(LN(1+Supuestos!$E$6^2/Supuestos!$D$6^2))),Supuestos!$D$6))))))</f>
        <v/>
      </c>
      <c r="K254" s="32">
        <f>MIN(IF(Supuestos!$H$7="",1E+99,Supuestos!$H$7),MAX(IF(Supuestos!$G$7="",-1E+99,Supuestos!$G$7),IF(Supuestos!$C$7="Normal",NORMINV(D254,Supuestos!$D$7,Supuestos!$E$7),IF(Supuestos!$C$7="Triangular",IF(D254&lt;(Supuestos!$E$7-Supuestos!$D$7)/(Supuestos!$F$7-Supuestos!$D$7),Supuestos!$D$7+SQRT(D254*(Supuestos!$F$7-Supuestos!$D$7)*(Supuestos!$E$7-Supuestos!$D$7)),Supuestos!$F$7-SQRT((1-D254)*(Supuestos!$F$7-Supuestos!$D$7)*(Supuestos!$F$7-Supuestos!$E$7))),IF(Supuestos!$C$7="Uniforme",Supuestos!$D$7+D254*(Supuestos!$E$7-Supuestos!$D$7),IF(Supuestos!$C$7="Lognormal",LOGINV(D254,LN(Supuestos!$D$7)-LN(1+Supuestos!$E$7^2/Supuestos!$D$7^2)/2,SQRT(LN(1+Supuestos!$E$7^2/Supuestos!$D$7^2))),Supuestos!$D$7))))))</f>
        <v/>
      </c>
      <c r="L254" s="32">
        <f>MIN(IF(Supuestos!$H$8="",1E+99,Supuestos!$H$8),MAX(IF(Supuestos!$G$8="",-1E+99,Supuestos!$G$8),IF(Supuestos!$C$8="Normal",NORMINV(E254,Supuestos!$D$8,Supuestos!$E$8),IF(Supuestos!$C$8="Triangular",IF(E254&lt;(Supuestos!$E$8-Supuestos!$D$8)/(Supuestos!$F$8-Supuestos!$D$8),Supuestos!$D$8+SQRT(E254*(Supuestos!$F$8-Supuestos!$D$8)*(Supuestos!$E$8-Supuestos!$D$8)),Supuestos!$F$8-SQRT((1-E254)*(Supuestos!$F$8-Supuestos!$D$8)*(Supuestos!$F$8-Supuestos!$E$8))),IF(Supuestos!$C$8="Uniforme",Supuestos!$D$8+E254*(Supuestos!$E$8-Supuestos!$D$8),IF(Supuestos!$C$8="Lognormal",LOGINV(E254,LN(Supuestos!$D$8)-LN(1+Supuestos!$E$8^2/Supuestos!$D$8^2)/2,SQRT(LN(1+Supuestos!$E$8^2/Supuestos!$D$8^2))),Supuestos!$D$8))))))</f>
        <v/>
      </c>
      <c r="M254" s="32">
        <f>MIN(IF(Supuestos!$H$9="",1E+99,Supuestos!$H$9),MAX(IF(Supuestos!$G$9="",-1E+99,Supuestos!$G$9),IF(Supuestos!$C$9="Normal",NORMINV(F254,Supuestos!$D$9,Supuestos!$E$9),IF(Supuestos!$C$9="Triangular",IF(F254&lt;(Supuestos!$E$9-Supuestos!$D$9)/(Supuestos!$F$9-Supuestos!$D$9),Supuestos!$D$9+SQRT(F254*(Supuestos!$F$9-Supuestos!$D$9)*(Supuestos!$E$9-Supuestos!$D$9)),Supuestos!$F$9-SQRT((1-F254)*(Supuestos!$F$9-Supuestos!$D$9)*(Supuestos!$F$9-Supuestos!$E$9))),IF(Supuestos!$C$9="Uniforme",Supuestos!$D$9+F254*(Supuestos!$E$9-Supuestos!$D$9),IF(Supuestos!$C$9="Lognormal",LOGINV(F254,LN(Supuestos!$D$9)-LN(1+Supuestos!$E$9^2/Supuestos!$D$9^2)/2,SQRT(LN(1+Supuestos!$E$9^2/Supuestos!$D$9^2))),Supuestos!$D$9))))))</f>
        <v/>
      </c>
      <c r="N254" s="32">
        <f>MIN(IF(Supuestos!$H$10="",1E+99,Supuestos!$H$10),MAX(IF(Supuestos!$G$10="",-1E+99,Supuestos!$G$10),IF(Supuestos!$C$10="Normal",NORMINV(G254,Supuestos!$D$10,Supuestos!$E$10),IF(Supuestos!$C$10="Triangular",IF(G254&lt;(Supuestos!$E$10-Supuestos!$D$10)/(Supuestos!$F$10-Supuestos!$D$10),Supuestos!$D$10+SQRT(G254*(Supuestos!$F$10-Supuestos!$D$10)*(Supuestos!$E$10-Supuestos!$D$10)),Supuestos!$F$10-SQRT((1-G254)*(Supuestos!$F$10-Supuestos!$D$10)*(Supuestos!$F$10-Supuestos!$E$10))),IF(Supuestos!$C$10="Uniforme",Supuestos!$D$10+G254*(Supuestos!$E$10-Supuestos!$D$10),IF(Supuestos!$C$10="Lognormal",LOGINV(G254,LN(Supuestos!$D$10)-LN(1+Supuestos!$E$10^2/Supuestos!$D$10^2)/2,SQRT(LN(1+Supuestos!$E$10^2/Supuestos!$D$10^2))),Supuestos!$D$10))))))</f>
        <v/>
      </c>
      <c r="O254" s="31">
        <f>MIN(IF(Supuestos!$H$11="",1E+99,Supuestos!$H$11),MAX(IF(Supuestos!$G$11="",-1E+99,Supuestos!$G$11),IF(Supuestos!$C$11="Normal",NORMINV(H254,Supuestos!$D$11,Supuestos!$E$11),IF(Supuestos!$C$11="Triangular",IF(H254&lt;(Supuestos!$E$11-Supuestos!$D$11)/(Supuestos!$F$11-Supuestos!$D$11),Supuestos!$D$11+SQRT(H254*(Supuestos!$F$11-Supuestos!$D$11)*(Supuestos!$E$11-Supuestos!$D$11)),Supuestos!$F$11-SQRT((1-H254)*(Supuestos!$F$11-Supuestos!$D$11)*(Supuestos!$F$11-Supuestos!$E$11))),IF(Supuestos!$C$11="Uniforme",Supuestos!$D$11+H254*(Supuestos!$E$11-Supuestos!$D$11),IF(Supuestos!$C$11="Lognormal",LOGINV(H254,LN(Supuestos!$D$11)-LN(1+Supuestos!$E$11^2/Supuestos!$D$11^2)/2,SQRT(LN(1+Supuestos!$E$11^2/Supuestos!$D$11^2))),Supuestos!$D$11))))))</f>
        <v/>
      </c>
      <c r="P254" s="33">
        <f>-I254</f>
        <v/>
      </c>
      <c r="Q254" s="33">
        <f>$J254*(1+$K254)^(1-1)*(1-$L254)*(1-$M254)</f>
        <v/>
      </c>
      <c r="R254" s="33">
        <f>$J254*(1+$K254)^(2-1)*(1-$L254)*(1-$M254)</f>
        <v/>
      </c>
      <c r="S254" s="33">
        <f>$J254*(1+$K254)^(3-1)*(1-$L254)*(1-$M254)</f>
        <v/>
      </c>
      <c r="T254" s="33">
        <f>$J254*(1+$K254)^(4-1)*(1-$L254)*(1-$M254)</f>
        <v/>
      </c>
      <c r="U254" s="33">
        <f>$J254*(1+$K254)^(5-1)*(1-$L254)*(1-$M254)+$O254</f>
        <v/>
      </c>
      <c r="V254" s="33">
        <f>P254+NPV($N254,Q254:U254)</f>
        <v/>
      </c>
      <c r="W254" s="32">
        <f>IFERROR(IRR(P254:U254,0.1),"")</f>
        <v/>
      </c>
    </row>
    <row r="255">
      <c r="A255" s="14" t="n">
        <v>251</v>
      </c>
      <c r="B255" s="30">
        <f>RAND()*(1-2E-6)+1E-6</f>
        <v/>
      </c>
      <c r="C255" s="30">
        <f>RAND()*(1-2E-6)+1E-6</f>
        <v/>
      </c>
      <c r="D255" s="30">
        <f>RAND()*(1-2E-6)+1E-6</f>
        <v/>
      </c>
      <c r="E255" s="30">
        <f>RAND()*(1-2E-6)+1E-6</f>
        <v/>
      </c>
      <c r="F255" s="30">
        <f>RAND()*(1-2E-6)+1E-6</f>
        <v/>
      </c>
      <c r="G255" s="30">
        <f>RAND()*(1-2E-6)+1E-6</f>
        <v/>
      </c>
      <c r="H255" s="30">
        <f>RAND()*(1-2E-6)+1E-6</f>
        <v/>
      </c>
      <c r="I255" s="31">
        <f>MIN(IF(Supuestos!$H$5="",1E+99,Supuestos!$H$5),MAX(IF(Supuestos!$G$5="",-1E+99,Supuestos!$G$5),IF(Supuestos!$C$5="Normal",NORMINV(B255,Supuestos!$D$5,Supuestos!$E$5),IF(Supuestos!$C$5="Triangular",IF(B255&lt;(Supuestos!$E$5-Supuestos!$D$5)/(Supuestos!$F$5-Supuestos!$D$5),Supuestos!$D$5+SQRT(B255*(Supuestos!$F$5-Supuestos!$D$5)*(Supuestos!$E$5-Supuestos!$D$5)),Supuestos!$F$5-SQRT((1-B255)*(Supuestos!$F$5-Supuestos!$D$5)*(Supuestos!$F$5-Supuestos!$E$5))),IF(Supuestos!$C$5="Uniforme",Supuestos!$D$5+B255*(Supuestos!$E$5-Supuestos!$D$5),IF(Supuestos!$C$5="Lognormal",LOGINV(B255,LN(Supuestos!$D$5)-LN(1+Supuestos!$E$5^2/Supuestos!$D$5^2)/2,SQRT(LN(1+Supuestos!$E$5^2/Supuestos!$D$5^2))),Supuestos!$D$5))))))</f>
        <v/>
      </c>
      <c r="J255" s="31">
        <f>MIN(IF(Supuestos!$H$6="",1E+99,Supuestos!$H$6),MAX(IF(Supuestos!$G$6="",-1E+99,Supuestos!$G$6),IF(Supuestos!$C$6="Normal",NORMINV(C255,Supuestos!$D$6,Supuestos!$E$6),IF(Supuestos!$C$6="Triangular",IF(C255&lt;(Supuestos!$E$6-Supuestos!$D$6)/(Supuestos!$F$6-Supuestos!$D$6),Supuestos!$D$6+SQRT(C255*(Supuestos!$F$6-Supuestos!$D$6)*(Supuestos!$E$6-Supuestos!$D$6)),Supuestos!$F$6-SQRT((1-C255)*(Supuestos!$F$6-Supuestos!$D$6)*(Supuestos!$F$6-Supuestos!$E$6))),IF(Supuestos!$C$6="Uniforme",Supuestos!$D$6+C255*(Supuestos!$E$6-Supuestos!$D$6),IF(Supuestos!$C$6="Lognormal",LOGINV(C255,LN(Supuestos!$D$6)-LN(1+Supuestos!$E$6^2/Supuestos!$D$6^2)/2,SQRT(LN(1+Supuestos!$E$6^2/Supuestos!$D$6^2))),Supuestos!$D$6))))))</f>
        <v/>
      </c>
      <c r="K255" s="32">
        <f>MIN(IF(Supuestos!$H$7="",1E+99,Supuestos!$H$7),MAX(IF(Supuestos!$G$7="",-1E+99,Supuestos!$G$7),IF(Supuestos!$C$7="Normal",NORMINV(D255,Supuestos!$D$7,Supuestos!$E$7),IF(Supuestos!$C$7="Triangular",IF(D255&lt;(Supuestos!$E$7-Supuestos!$D$7)/(Supuestos!$F$7-Supuestos!$D$7),Supuestos!$D$7+SQRT(D255*(Supuestos!$F$7-Supuestos!$D$7)*(Supuestos!$E$7-Supuestos!$D$7)),Supuestos!$F$7-SQRT((1-D255)*(Supuestos!$F$7-Supuestos!$D$7)*(Supuestos!$F$7-Supuestos!$E$7))),IF(Supuestos!$C$7="Uniforme",Supuestos!$D$7+D255*(Supuestos!$E$7-Supuestos!$D$7),IF(Supuestos!$C$7="Lognormal",LOGINV(D255,LN(Supuestos!$D$7)-LN(1+Supuestos!$E$7^2/Supuestos!$D$7^2)/2,SQRT(LN(1+Supuestos!$E$7^2/Supuestos!$D$7^2))),Supuestos!$D$7))))))</f>
        <v/>
      </c>
      <c r="L255" s="32">
        <f>MIN(IF(Supuestos!$H$8="",1E+99,Supuestos!$H$8),MAX(IF(Supuestos!$G$8="",-1E+99,Supuestos!$G$8),IF(Supuestos!$C$8="Normal",NORMINV(E255,Supuestos!$D$8,Supuestos!$E$8),IF(Supuestos!$C$8="Triangular",IF(E255&lt;(Supuestos!$E$8-Supuestos!$D$8)/(Supuestos!$F$8-Supuestos!$D$8),Supuestos!$D$8+SQRT(E255*(Supuestos!$F$8-Supuestos!$D$8)*(Supuestos!$E$8-Supuestos!$D$8)),Supuestos!$F$8-SQRT((1-E255)*(Supuestos!$F$8-Supuestos!$D$8)*(Supuestos!$F$8-Supuestos!$E$8))),IF(Supuestos!$C$8="Uniforme",Supuestos!$D$8+E255*(Supuestos!$E$8-Supuestos!$D$8),IF(Supuestos!$C$8="Lognormal",LOGINV(E255,LN(Supuestos!$D$8)-LN(1+Supuestos!$E$8^2/Supuestos!$D$8^2)/2,SQRT(LN(1+Supuestos!$E$8^2/Supuestos!$D$8^2))),Supuestos!$D$8))))))</f>
        <v/>
      </c>
      <c r="M255" s="32">
        <f>MIN(IF(Supuestos!$H$9="",1E+99,Supuestos!$H$9),MAX(IF(Supuestos!$G$9="",-1E+99,Supuestos!$G$9),IF(Supuestos!$C$9="Normal",NORMINV(F255,Supuestos!$D$9,Supuestos!$E$9),IF(Supuestos!$C$9="Triangular",IF(F255&lt;(Supuestos!$E$9-Supuestos!$D$9)/(Supuestos!$F$9-Supuestos!$D$9),Supuestos!$D$9+SQRT(F255*(Supuestos!$F$9-Supuestos!$D$9)*(Supuestos!$E$9-Supuestos!$D$9)),Supuestos!$F$9-SQRT((1-F255)*(Supuestos!$F$9-Supuestos!$D$9)*(Supuestos!$F$9-Supuestos!$E$9))),IF(Supuestos!$C$9="Uniforme",Supuestos!$D$9+F255*(Supuestos!$E$9-Supuestos!$D$9),IF(Supuestos!$C$9="Lognormal",LOGINV(F255,LN(Supuestos!$D$9)-LN(1+Supuestos!$E$9^2/Supuestos!$D$9^2)/2,SQRT(LN(1+Supuestos!$E$9^2/Supuestos!$D$9^2))),Supuestos!$D$9))))))</f>
        <v/>
      </c>
      <c r="N255" s="32">
        <f>MIN(IF(Supuestos!$H$10="",1E+99,Supuestos!$H$10),MAX(IF(Supuestos!$G$10="",-1E+99,Supuestos!$G$10),IF(Supuestos!$C$10="Normal",NORMINV(G255,Supuestos!$D$10,Supuestos!$E$10),IF(Supuestos!$C$10="Triangular",IF(G255&lt;(Supuestos!$E$10-Supuestos!$D$10)/(Supuestos!$F$10-Supuestos!$D$10),Supuestos!$D$10+SQRT(G255*(Supuestos!$F$10-Supuestos!$D$10)*(Supuestos!$E$10-Supuestos!$D$10)),Supuestos!$F$10-SQRT((1-G255)*(Supuestos!$F$10-Supuestos!$D$10)*(Supuestos!$F$10-Supuestos!$E$10))),IF(Supuestos!$C$10="Uniforme",Supuestos!$D$10+G255*(Supuestos!$E$10-Supuestos!$D$10),IF(Supuestos!$C$10="Lognormal",LOGINV(G255,LN(Supuestos!$D$10)-LN(1+Supuestos!$E$10^2/Supuestos!$D$10^2)/2,SQRT(LN(1+Supuestos!$E$10^2/Supuestos!$D$10^2))),Supuestos!$D$10))))))</f>
        <v/>
      </c>
      <c r="O255" s="31">
        <f>MIN(IF(Supuestos!$H$11="",1E+99,Supuestos!$H$11),MAX(IF(Supuestos!$G$11="",-1E+99,Supuestos!$G$11),IF(Supuestos!$C$11="Normal",NORMINV(H255,Supuestos!$D$11,Supuestos!$E$11),IF(Supuestos!$C$11="Triangular",IF(H255&lt;(Supuestos!$E$11-Supuestos!$D$11)/(Supuestos!$F$11-Supuestos!$D$11),Supuestos!$D$11+SQRT(H255*(Supuestos!$F$11-Supuestos!$D$11)*(Supuestos!$E$11-Supuestos!$D$11)),Supuestos!$F$11-SQRT((1-H255)*(Supuestos!$F$11-Supuestos!$D$11)*(Supuestos!$F$11-Supuestos!$E$11))),IF(Supuestos!$C$11="Uniforme",Supuestos!$D$11+H255*(Supuestos!$E$11-Supuestos!$D$11),IF(Supuestos!$C$11="Lognormal",LOGINV(H255,LN(Supuestos!$D$11)-LN(1+Supuestos!$E$11^2/Supuestos!$D$11^2)/2,SQRT(LN(1+Supuestos!$E$11^2/Supuestos!$D$11^2))),Supuestos!$D$11))))))</f>
        <v/>
      </c>
      <c r="P255" s="33">
        <f>-I255</f>
        <v/>
      </c>
      <c r="Q255" s="33">
        <f>$J255*(1+$K255)^(1-1)*(1-$L255)*(1-$M255)</f>
        <v/>
      </c>
      <c r="R255" s="33">
        <f>$J255*(1+$K255)^(2-1)*(1-$L255)*(1-$M255)</f>
        <v/>
      </c>
      <c r="S255" s="33">
        <f>$J255*(1+$K255)^(3-1)*(1-$L255)*(1-$M255)</f>
        <v/>
      </c>
      <c r="T255" s="33">
        <f>$J255*(1+$K255)^(4-1)*(1-$L255)*(1-$M255)</f>
        <v/>
      </c>
      <c r="U255" s="33">
        <f>$J255*(1+$K255)^(5-1)*(1-$L255)*(1-$M255)+$O255</f>
        <v/>
      </c>
      <c r="V255" s="33">
        <f>P255+NPV($N255,Q255:U255)</f>
        <v/>
      </c>
      <c r="W255" s="32">
        <f>IFERROR(IRR(P255:U255,0.1),"")</f>
        <v/>
      </c>
    </row>
    <row r="256">
      <c r="A256" s="14" t="n">
        <v>252</v>
      </c>
      <c r="B256" s="30">
        <f>RAND()*(1-2E-6)+1E-6</f>
        <v/>
      </c>
      <c r="C256" s="30">
        <f>RAND()*(1-2E-6)+1E-6</f>
        <v/>
      </c>
      <c r="D256" s="30">
        <f>RAND()*(1-2E-6)+1E-6</f>
        <v/>
      </c>
      <c r="E256" s="30">
        <f>RAND()*(1-2E-6)+1E-6</f>
        <v/>
      </c>
      <c r="F256" s="30">
        <f>RAND()*(1-2E-6)+1E-6</f>
        <v/>
      </c>
      <c r="G256" s="30">
        <f>RAND()*(1-2E-6)+1E-6</f>
        <v/>
      </c>
      <c r="H256" s="30">
        <f>RAND()*(1-2E-6)+1E-6</f>
        <v/>
      </c>
      <c r="I256" s="31">
        <f>MIN(IF(Supuestos!$H$5="",1E+99,Supuestos!$H$5),MAX(IF(Supuestos!$G$5="",-1E+99,Supuestos!$G$5),IF(Supuestos!$C$5="Normal",NORMINV(B256,Supuestos!$D$5,Supuestos!$E$5),IF(Supuestos!$C$5="Triangular",IF(B256&lt;(Supuestos!$E$5-Supuestos!$D$5)/(Supuestos!$F$5-Supuestos!$D$5),Supuestos!$D$5+SQRT(B256*(Supuestos!$F$5-Supuestos!$D$5)*(Supuestos!$E$5-Supuestos!$D$5)),Supuestos!$F$5-SQRT((1-B256)*(Supuestos!$F$5-Supuestos!$D$5)*(Supuestos!$F$5-Supuestos!$E$5))),IF(Supuestos!$C$5="Uniforme",Supuestos!$D$5+B256*(Supuestos!$E$5-Supuestos!$D$5),IF(Supuestos!$C$5="Lognormal",LOGINV(B256,LN(Supuestos!$D$5)-LN(1+Supuestos!$E$5^2/Supuestos!$D$5^2)/2,SQRT(LN(1+Supuestos!$E$5^2/Supuestos!$D$5^2))),Supuestos!$D$5))))))</f>
        <v/>
      </c>
      <c r="J256" s="31">
        <f>MIN(IF(Supuestos!$H$6="",1E+99,Supuestos!$H$6),MAX(IF(Supuestos!$G$6="",-1E+99,Supuestos!$G$6),IF(Supuestos!$C$6="Normal",NORMINV(C256,Supuestos!$D$6,Supuestos!$E$6),IF(Supuestos!$C$6="Triangular",IF(C256&lt;(Supuestos!$E$6-Supuestos!$D$6)/(Supuestos!$F$6-Supuestos!$D$6),Supuestos!$D$6+SQRT(C256*(Supuestos!$F$6-Supuestos!$D$6)*(Supuestos!$E$6-Supuestos!$D$6)),Supuestos!$F$6-SQRT((1-C256)*(Supuestos!$F$6-Supuestos!$D$6)*(Supuestos!$F$6-Supuestos!$E$6))),IF(Supuestos!$C$6="Uniforme",Supuestos!$D$6+C256*(Supuestos!$E$6-Supuestos!$D$6),IF(Supuestos!$C$6="Lognormal",LOGINV(C256,LN(Supuestos!$D$6)-LN(1+Supuestos!$E$6^2/Supuestos!$D$6^2)/2,SQRT(LN(1+Supuestos!$E$6^2/Supuestos!$D$6^2))),Supuestos!$D$6))))))</f>
        <v/>
      </c>
      <c r="K256" s="32">
        <f>MIN(IF(Supuestos!$H$7="",1E+99,Supuestos!$H$7),MAX(IF(Supuestos!$G$7="",-1E+99,Supuestos!$G$7),IF(Supuestos!$C$7="Normal",NORMINV(D256,Supuestos!$D$7,Supuestos!$E$7),IF(Supuestos!$C$7="Triangular",IF(D256&lt;(Supuestos!$E$7-Supuestos!$D$7)/(Supuestos!$F$7-Supuestos!$D$7),Supuestos!$D$7+SQRT(D256*(Supuestos!$F$7-Supuestos!$D$7)*(Supuestos!$E$7-Supuestos!$D$7)),Supuestos!$F$7-SQRT((1-D256)*(Supuestos!$F$7-Supuestos!$D$7)*(Supuestos!$F$7-Supuestos!$E$7))),IF(Supuestos!$C$7="Uniforme",Supuestos!$D$7+D256*(Supuestos!$E$7-Supuestos!$D$7),IF(Supuestos!$C$7="Lognormal",LOGINV(D256,LN(Supuestos!$D$7)-LN(1+Supuestos!$E$7^2/Supuestos!$D$7^2)/2,SQRT(LN(1+Supuestos!$E$7^2/Supuestos!$D$7^2))),Supuestos!$D$7))))))</f>
        <v/>
      </c>
      <c r="L256" s="32">
        <f>MIN(IF(Supuestos!$H$8="",1E+99,Supuestos!$H$8),MAX(IF(Supuestos!$G$8="",-1E+99,Supuestos!$G$8),IF(Supuestos!$C$8="Normal",NORMINV(E256,Supuestos!$D$8,Supuestos!$E$8),IF(Supuestos!$C$8="Triangular",IF(E256&lt;(Supuestos!$E$8-Supuestos!$D$8)/(Supuestos!$F$8-Supuestos!$D$8),Supuestos!$D$8+SQRT(E256*(Supuestos!$F$8-Supuestos!$D$8)*(Supuestos!$E$8-Supuestos!$D$8)),Supuestos!$F$8-SQRT((1-E256)*(Supuestos!$F$8-Supuestos!$D$8)*(Supuestos!$F$8-Supuestos!$E$8))),IF(Supuestos!$C$8="Uniforme",Supuestos!$D$8+E256*(Supuestos!$E$8-Supuestos!$D$8),IF(Supuestos!$C$8="Lognormal",LOGINV(E256,LN(Supuestos!$D$8)-LN(1+Supuestos!$E$8^2/Supuestos!$D$8^2)/2,SQRT(LN(1+Supuestos!$E$8^2/Supuestos!$D$8^2))),Supuestos!$D$8))))))</f>
        <v/>
      </c>
      <c r="M256" s="32">
        <f>MIN(IF(Supuestos!$H$9="",1E+99,Supuestos!$H$9),MAX(IF(Supuestos!$G$9="",-1E+99,Supuestos!$G$9),IF(Supuestos!$C$9="Normal",NORMINV(F256,Supuestos!$D$9,Supuestos!$E$9),IF(Supuestos!$C$9="Triangular",IF(F256&lt;(Supuestos!$E$9-Supuestos!$D$9)/(Supuestos!$F$9-Supuestos!$D$9),Supuestos!$D$9+SQRT(F256*(Supuestos!$F$9-Supuestos!$D$9)*(Supuestos!$E$9-Supuestos!$D$9)),Supuestos!$F$9-SQRT((1-F256)*(Supuestos!$F$9-Supuestos!$D$9)*(Supuestos!$F$9-Supuestos!$E$9))),IF(Supuestos!$C$9="Uniforme",Supuestos!$D$9+F256*(Supuestos!$E$9-Supuestos!$D$9),IF(Supuestos!$C$9="Lognormal",LOGINV(F256,LN(Supuestos!$D$9)-LN(1+Supuestos!$E$9^2/Supuestos!$D$9^2)/2,SQRT(LN(1+Supuestos!$E$9^2/Supuestos!$D$9^2))),Supuestos!$D$9))))))</f>
        <v/>
      </c>
      <c r="N256" s="32">
        <f>MIN(IF(Supuestos!$H$10="",1E+99,Supuestos!$H$10),MAX(IF(Supuestos!$G$10="",-1E+99,Supuestos!$G$10),IF(Supuestos!$C$10="Normal",NORMINV(G256,Supuestos!$D$10,Supuestos!$E$10),IF(Supuestos!$C$10="Triangular",IF(G256&lt;(Supuestos!$E$10-Supuestos!$D$10)/(Supuestos!$F$10-Supuestos!$D$10),Supuestos!$D$10+SQRT(G256*(Supuestos!$F$10-Supuestos!$D$10)*(Supuestos!$E$10-Supuestos!$D$10)),Supuestos!$F$10-SQRT((1-G256)*(Supuestos!$F$10-Supuestos!$D$10)*(Supuestos!$F$10-Supuestos!$E$10))),IF(Supuestos!$C$10="Uniforme",Supuestos!$D$10+G256*(Supuestos!$E$10-Supuestos!$D$10),IF(Supuestos!$C$10="Lognormal",LOGINV(G256,LN(Supuestos!$D$10)-LN(1+Supuestos!$E$10^2/Supuestos!$D$10^2)/2,SQRT(LN(1+Supuestos!$E$10^2/Supuestos!$D$10^2))),Supuestos!$D$10))))))</f>
        <v/>
      </c>
      <c r="O256" s="31">
        <f>MIN(IF(Supuestos!$H$11="",1E+99,Supuestos!$H$11),MAX(IF(Supuestos!$G$11="",-1E+99,Supuestos!$G$11),IF(Supuestos!$C$11="Normal",NORMINV(H256,Supuestos!$D$11,Supuestos!$E$11),IF(Supuestos!$C$11="Triangular",IF(H256&lt;(Supuestos!$E$11-Supuestos!$D$11)/(Supuestos!$F$11-Supuestos!$D$11),Supuestos!$D$11+SQRT(H256*(Supuestos!$F$11-Supuestos!$D$11)*(Supuestos!$E$11-Supuestos!$D$11)),Supuestos!$F$11-SQRT((1-H256)*(Supuestos!$F$11-Supuestos!$D$11)*(Supuestos!$F$11-Supuestos!$E$11))),IF(Supuestos!$C$11="Uniforme",Supuestos!$D$11+H256*(Supuestos!$E$11-Supuestos!$D$11),IF(Supuestos!$C$11="Lognormal",LOGINV(H256,LN(Supuestos!$D$11)-LN(1+Supuestos!$E$11^2/Supuestos!$D$11^2)/2,SQRT(LN(1+Supuestos!$E$11^2/Supuestos!$D$11^2))),Supuestos!$D$11))))))</f>
        <v/>
      </c>
      <c r="P256" s="33">
        <f>-I256</f>
        <v/>
      </c>
      <c r="Q256" s="33">
        <f>$J256*(1+$K256)^(1-1)*(1-$L256)*(1-$M256)</f>
        <v/>
      </c>
      <c r="R256" s="33">
        <f>$J256*(1+$K256)^(2-1)*(1-$L256)*(1-$M256)</f>
        <v/>
      </c>
      <c r="S256" s="33">
        <f>$J256*(1+$K256)^(3-1)*(1-$L256)*(1-$M256)</f>
        <v/>
      </c>
      <c r="T256" s="33">
        <f>$J256*(1+$K256)^(4-1)*(1-$L256)*(1-$M256)</f>
        <v/>
      </c>
      <c r="U256" s="33">
        <f>$J256*(1+$K256)^(5-1)*(1-$L256)*(1-$M256)+$O256</f>
        <v/>
      </c>
      <c r="V256" s="33">
        <f>P256+NPV($N256,Q256:U256)</f>
        <v/>
      </c>
      <c r="W256" s="32">
        <f>IFERROR(IRR(P256:U256,0.1),"")</f>
        <v/>
      </c>
    </row>
    <row r="257">
      <c r="A257" s="14" t="n">
        <v>253</v>
      </c>
      <c r="B257" s="30">
        <f>RAND()*(1-2E-6)+1E-6</f>
        <v/>
      </c>
      <c r="C257" s="30">
        <f>RAND()*(1-2E-6)+1E-6</f>
        <v/>
      </c>
      <c r="D257" s="30">
        <f>RAND()*(1-2E-6)+1E-6</f>
        <v/>
      </c>
      <c r="E257" s="30">
        <f>RAND()*(1-2E-6)+1E-6</f>
        <v/>
      </c>
      <c r="F257" s="30">
        <f>RAND()*(1-2E-6)+1E-6</f>
        <v/>
      </c>
      <c r="G257" s="30">
        <f>RAND()*(1-2E-6)+1E-6</f>
        <v/>
      </c>
      <c r="H257" s="30">
        <f>RAND()*(1-2E-6)+1E-6</f>
        <v/>
      </c>
      <c r="I257" s="31">
        <f>MIN(IF(Supuestos!$H$5="",1E+99,Supuestos!$H$5),MAX(IF(Supuestos!$G$5="",-1E+99,Supuestos!$G$5),IF(Supuestos!$C$5="Normal",NORMINV(B257,Supuestos!$D$5,Supuestos!$E$5),IF(Supuestos!$C$5="Triangular",IF(B257&lt;(Supuestos!$E$5-Supuestos!$D$5)/(Supuestos!$F$5-Supuestos!$D$5),Supuestos!$D$5+SQRT(B257*(Supuestos!$F$5-Supuestos!$D$5)*(Supuestos!$E$5-Supuestos!$D$5)),Supuestos!$F$5-SQRT((1-B257)*(Supuestos!$F$5-Supuestos!$D$5)*(Supuestos!$F$5-Supuestos!$E$5))),IF(Supuestos!$C$5="Uniforme",Supuestos!$D$5+B257*(Supuestos!$E$5-Supuestos!$D$5),IF(Supuestos!$C$5="Lognormal",LOGINV(B257,LN(Supuestos!$D$5)-LN(1+Supuestos!$E$5^2/Supuestos!$D$5^2)/2,SQRT(LN(1+Supuestos!$E$5^2/Supuestos!$D$5^2))),Supuestos!$D$5))))))</f>
        <v/>
      </c>
      <c r="J257" s="31">
        <f>MIN(IF(Supuestos!$H$6="",1E+99,Supuestos!$H$6),MAX(IF(Supuestos!$G$6="",-1E+99,Supuestos!$G$6),IF(Supuestos!$C$6="Normal",NORMINV(C257,Supuestos!$D$6,Supuestos!$E$6),IF(Supuestos!$C$6="Triangular",IF(C257&lt;(Supuestos!$E$6-Supuestos!$D$6)/(Supuestos!$F$6-Supuestos!$D$6),Supuestos!$D$6+SQRT(C257*(Supuestos!$F$6-Supuestos!$D$6)*(Supuestos!$E$6-Supuestos!$D$6)),Supuestos!$F$6-SQRT((1-C257)*(Supuestos!$F$6-Supuestos!$D$6)*(Supuestos!$F$6-Supuestos!$E$6))),IF(Supuestos!$C$6="Uniforme",Supuestos!$D$6+C257*(Supuestos!$E$6-Supuestos!$D$6),IF(Supuestos!$C$6="Lognormal",LOGINV(C257,LN(Supuestos!$D$6)-LN(1+Supuestos!$E$6^2/Supuestos!$D$6^2)/2,SQRT(LN(1+Supuestos!$E$6^2/Supuestos!$D$6^2))),Supuestos!$D$6))))))</f>
        <v/>
      </c>
      <c r="K257" s="32">
        <f>MIN(IF(Supuestos!$H$7="",1E+99,Supuestos!$H$7),MAX(IF(Supuestos!$G$7="",-1E+99,Supuestos!$G$7),IF(Supuestos!$C$7="Normal",NORMINV(D257,Supuestos!$D$7,Supuestos!$E$7),IF(Supuestos!$C$7="Triangular",IF(D257&lt;(Supuestos!$E$7-Supuestos!$D$7)/(Supuestos!$F$7-Supuestos!$D$7),Supuestos!$D$7+SQRT(D257*(Supuestos!$F$7-Supuestos!$D$7)*(Supuestos!$E$7-Supuestos!$D$7)),Supuestos!$F$7-SQRT((1-D257)*(Supuestos!$F$7-Supuestos!$D$7)*(Supuestos!$F$7-Supuestos!$E$7))),IF(Supuestos!$C$7="Uniforme",Supuestos!$D$7+D257*(Supuestos!$E$7-Supuestos!$D$7),IF(Supuestos!$C$7="Lognormal",LOGINV(D257,LN(Supuestos!$D$7)-LN(1+Supuestos!$E$7^2/Supuestos!$D$7^2)/2,SQRT(LN(1+Supuestos!$E$7^2/Supuestos!$D$7^2))),Supuestos!$D$7))))))</f>
        <v/>
      </c>
      <c r="L257" s="32">
        <f>MIN(IF(Supuestos!$H$8="",1E+99,Supuestos!$H$8),MAX(IF(Supuestos!$G$8="",-1E+99,Supuestos!$G$8),IF(Supuestos!$C$8="Normal",NORMINV(E257,Supuestos!$D$8,Supuestos!$E$8),IF(Supuestos!$C$8="Triangular",IF(E257&lt;(Supuestos!$E$8-Supuestos!$D$8)/(Supuestos!$F$8-Supuestos!$D$8),Supuestos!$D$8+SQRT(E257*(Supuestos!$F$8-Supuestos!$D$8)*(Supuestos!$E$8-Supuestos!$D$8)),Supuestos!$F$8-SQRT((1-E257)*(Supuestos!$F$8-Supuestos!$D$8)*(Supuestos!$F$8-Supuestos!$E$8))),IF(Supuestos!$C$8="Uniforme",Supuestos!$D$8+E257*(Supuestos!$E$8-Supuestos!$D$8),IF(Supuestos!$C$8="Lognormal",LOGINV(E257,LN(Supuestos!$D$8)-LN(1+Supuestos!$E$8^2/Supuestos!$D$8^2)/2,SQRT(LN(1+Supuestos!$E$8^2/Supuestos!$D$8^2))),Supuestos!$D$8))))))</f>
        <v/>
      </c>
      <c r="M257" s="32">
        <f>MIN(IF(Supuestos!$H$9="",1E+99,Supuestos!$H$9),MAX(IF(Supuestos!$G$9="",-1E+99,Supuestos!$G$9),IF(Supuestos!$C$9="Normal",NORMINV(F257,Supuestos!$D$9,Supuestos!$E$9),IF(Supuestos!$C$9="Triangular",IF(F257&lt;(Supuestos!$E$9-Supuestos!$D$9)/(Supuestos!$F$9-Supuestos!$D$9),Supuestos!$D$9+SQRT(F257*(Supuestos!$F$9-Supuestos!$D$9)*(Supuestos!$E$9-Supuestos!$D$9)),Supuestos!$F$9-SQRT((1-F257)*(Supuestos!$F$9-Supuestos!$D$9)*(Supuestos!$F$9-Supuestos!$E$9))),IF(Supuestos!$C$9="Uniforme",Supuestos!$D$9+F257*(Supuestos!$E$9-Supuestos!$D$9),IF(Supuestos!$C$9="Lognormal",LOGINV(F257,LN(Supuestos!$D$9)-LN(1+Supuestos!$E$9^2/Supuestos!$D$9^2)/2,SQRT(LN(1+Supuestos!$E$9^2/Supuestos!$D$9^2))),Supuestos!$D$9))))))</f>
        <v/>
      </c>
      <c r="N257" s="32">
        <f>MIN(IF(Supuestos!$H$10="",1E+99,Supuestos!$H$10),MAX(IF(Supuestos!$G$10="",-1E+99,Supuestos!$G$10),IF(Supuestos!$C$10="Normal",NORMINV(G257,Supuestos!$D$10,Supuestos!$E$10),IF(Supuestos!$C$10="Triangular",IF(G257&lt;(Supuestos!$E$10-Supuestos!$D$10)/(Supuestos!$F$10-Supuestos!$D$10),Supuestos!$D$10+SQRT(G257*(Supuestos!$F$10-Supuestos!$D$10)*(Supuestos!$E$10-Supuestos!$D$10)),Supuestos!$F$10-SQRT((1-G257)*(Supuestos!$F$10-Supuestos!$D$10)*(Supuestos!$F$10-Supuestos!$E$10))),IF(Supuestos!$C$10="Uniforme",Supuestos!$D$10+G257*(Supuestos!$E$10-Supuestos!$D$10),IF(Supuestos!$C$10="Lognormal",LOGINV(G257,LN(Supuestos!$D$10)-LN(1+Supuestos!$E$10^2/Supuestos!$D$10^2)/2,SQRT(LN(1+Supuestos!$E$10^2/Supuestos!$D$10^2))),Supuestos!$D$10))))))</f>
        <v/>
      </c>
      <c r="O257" s="31">
        <f>MIN(IF(Supuestos!$H$11="",1E+99,Supuestos!$H$11),MAX(IF(Supuestos!$G$11="",-1E+99,Supuestos!$G$11),IF(Supuestos!$C$11="Normal",NORMINV(H257,Supuestos!$D$11,Supuestos!$E$11),IF(Supuestos!$C$11="Triangular",IF(H257&lt;(Supuestos!$E$11-Supuestos!$D$11)/(Supuestos!$F$11-Supuestos!$D$11),Supuestos!$D$11+SQRT(H257*(Supuestos!$F$11-Supuestos!$D$11)*(Supuestos!$E$11-Supuestos!$D$11)),Supuestos!$F$11-SQRT((1-H257)*(Supuestos!$F$11-Supuestos!$D$11)*(Supuestos!$F$11-Supuestos!$E$11))),IF(Supuestos!$C$11="Uniforme",Supuestos!$D$11+H257*(Supuestos!$E$11-Supuestos!$D$11),IF(Supuestos!$C$11="Lognormal",LOGINV(H257,LN(Supuestos!$D$11)-LN(1+Supuestos!$E$11^2/Supuestos!$D$11^2)/2,SQRT(LN(1+Supuestos!$E$11^2/Supuestos!$D$11^2))),Supuestos!$D$11))))))</f>
        <v/>
      </c>
      <c r="P257" s="33">
        <f>-I257</f>
        <v/>
      </c>
      <c r="Q257" s="33">
        <f>$J257*(1+$K257)^(1-1)*(1-$L257)*(1-$M257)</f>
        <v/>
      </c>
      <c r="R257" s="33">
        <f>$J257*(1+$K257)^(2-1)*(1-$L257)*(1-$M257)</f>
        <v/>
      </c>
      <c r="S257" s="33">
        <f>$J257*(1+$K257)^(3-1)*(1-$L257)*(1-$M257)</f>
        <v/>
      </c>
      <c r="T257" s="33">
        <f>$J257*(1+$K257)^(4-1)*(1-$L257)*(1-$M257)</f>
        <v/>
      </c>
      <c r="U257" s="33">
        <f>$J257*(1+$K257)^(5-1)*(1-$L257)*(1-$M257)+$O257</f>
        <v/>
      </c>
      <c r="V257" s="33">
        <f>P257+NPV($N257,Q257:U257)</f>
        <v/>
      </c>
      <c r="W257" s="32">
        <f>IFERROR(IRR(P257:U257,0.1),"")</f>
        <v/>
      </c>
    </row>
    <row r="258">
      <c r="A258" s="14" t="n">
        <v>254</v>
      </c>
      <c r="B258" s="30">
        <f>RAND()*(1-2E-6)+1E-6</f>
        <v/>
      </c>
      <c r="C258" s="30">
        <f>RAND()*(1-2E-6)+1E-6</f>
        <v/>
      </c>
      <c r="D258" s="30">
        <f>RAND()*(1-2E-6)+1E-6</f>
        <v/>
      </c>
      <c r="E258" s="30">
        <f>RAND()*(1-2E-6)+1E-6</f>
        <v/>
      </c>
      <c r="F258" s="30">
        <f>RAND()*(1-2E-6)+1E-6</f>
        <v/>
      </c>
      <c r="G258" s="30">
        <f>RAND()*(1-2E-6)+1E-6</f>
        <v/>
      </c>
      <c r="H258" s="30">
        <f>RAND()*(1-2E-6)+1E-6</f>
        <v/>
      </c>
      <c r="I258" s="31">
        <f>MIN(IF(Supuestos!$H$5="",1E+99,Supuestos!$H$5),MAX(IF(Supuestos!$G$5="",-1E+99,Supuestos!$G$5),IF(Supuestos!$C$5="Normal",NORMINV(B258,Supuestos!$D$5,Supuestos!$E$5),IF(Supuestos!$C$5="Triangular",IF(B258&lt;(Supuestos!$E$5-Supuestos!$D$5)/(Supuestos!$F$5-Supuestos!$D$5),Supuestos!$D$5+SQRT(B258*(Supuestos!$F$5-Supuestos!$D$5)*(Supuestos!$E$5-Supuestos!$D$5)),Supuestos!$F$5-SQRT((1-B258)*(Supuestos!$F$5-Supuestos!$D$5)*(Supuestos!$F$5-Supuestos!$E$5))),IF(Supuestos!$C$5="Uniforme",Supuestos!$D$5+B258*(Supuestos!$E$5-Supuestos!$D$5),IF(Supuestos!$C$5="Lognormal",LOGINV(B258,LN(Supuestos!$D$5)-LN(1+Supuestos!$E$5^2/Supuestos!$D$5^2)/2,SQRT(LN(1+Supuestos!$E$5^2/Supuestos!$D$5^2))),Supuestos!$D$5))))))</f>
        <v/>
      </c>
      <c r="J258" s="31">
        <f>MIN(IF(Supuestos!$H$6="",1E+99,Supuestos!$H$6),MAX(IF(Supuestos!$G$6="",-1E+99,Supuestos!$G$6),IF(Supuestos!$C$6="Normal",NORMINV(C258,Supuestos!$D$6,Supuestos!$E$6),IF(Supuestos!$C$6="Triangular",IF(C258&lt;(Supuestos!$E$6-Supuestos!$D$6)/(Supuestos!$F$6-Supuestos!$D$6),Supuestos!$D$6+SQRT(C258*(Supuestos!$F$6-Supuestos!$D$6)*(Supuestos!$E$6-Supuestos!$D$6)),Supuestos!$F$6-SQRT((1-C258)*(Supuestos!$F$6-Supuestos!$D$6)*(Supuestos!$F$6-Supuestos!$E$6))),IF(Supuestos!$C$6="Uniforme",Supuestos!$D$6+C258*(Supuestos!$E$6-Supuestos!$D$6),IF(Supuestos!$C$6="Lognormal",LOGINV(C258,LN(Supuestos!$D$6)-LN(1+Supuestos!$E$6^2/Supuestos!$D$6^2)/2,SQRT(LN(1+Supuestos!$E$6^2/Supuestos!$D$6^2))),Supuestos!$D$6))))))</f>
        <v/>
      </c>
      <c r="K258" s="32">
        <f>MIN(IF(Supuestos!$H$7="",1E+99,Supuestos!$H$7),MAX(IF(Supuestos!$G$7="",-1E+99,Supuestos!$G$7),IF(Supuestos!$C$7="Normal",NORMINV(D258,Supuestos!$D$7,Supuestos!$E$7),IF(Supuestos!$C$7="Triangular",IF(D258&lt;(Supuestos!$E$7-Supuestos!$D$7)/(Supuestos!$F$7-Supuestos!$D$7),Supuestos!$D$7+SQRT(D258*(Supuestos!$F$7-Supuestos!$D$7)*(Supuestos!$E$7-Supuestos!$D$7)),Supuestos!$F$7-SQRT((1-D258)*(Supuestos!$F$7-Supuestos!$D$7)*(Supuestos!$F$7-Supuestos!$E$7))),IF(Supuestos!$C$7="Uniforme",Supuestos!$D$7+D258*(Supuestos!$E$7-Supuestos!$D$7),IF(Supuestos!$C$7="Lognormal",LOGINV(D258,LN(Supuestos!$D$7)-LN(1+Supuestos!$E$7^2/Supuestos!$D$7^2)/2,SQRT(LN(1+Supuestos!$E$7^2/Supuestos!$D$7^2))),Supuestos!$D$7))))))</f>
        <v/>
      </c>
      <c r="L258" s="32">
        <f>MIN(IF(Supuestos!$H$8="",1E+99,Supuestos!$H$8),MAX(IF(Supuestos!$G$8="",-1E+99,Supuestos!$G$8),IF(Supuestos!$C$8="Normal",NORMINV(E258,Supuestos!$D$8,Supuestos!$E$8),IF(Supuestos!$C$8="Triangular",IF(E258&lt;(Supuestos!$E$8-Supuestos!$D$8)/(Supuestos!$F$8-Supuestos!$D$8),Supuestos!$D$8+SQRT(E258*(Supuestos!$F$8-Supuestos!$D$8)*(Supuestos!$E$8-Supuestos!$D$8)),Supuestos!$F$8-SQRT((1-E258)*(Supuestos!$F$8-Supuestos!$D$8)*(Supuestos!$F$8-Supuestos!$E$8))),IF(Supuestos!$C$8="Uniforme",Supuestos!$D$8+E258*(Supuestos!$E$8-Supuestos!$D$8),IF(Supuestos!$C$8="Lognormal",LOGINV(E258,LN(Supuestos!$D$8)-LN(1+Supuestos!$E$8^2/Supuestos!$D$8^2)/2,SQRT(LN(1+Supuestos!$E$8^2/Supuestos!$D$8^2))),Supuestos!$D$8))))))</f>
        <v/>
      </c>
      <c r="M258" s="32">
        <f>MIN(IF(Supuestos!$H$9="",1E+99,Supuestos!$H$9),MAX(IF(Supuestos!$G$9="",-1E+99,Supuestos!$G$9),IF(Supuestos!$C$9="Normal",NORMINV(F258,Supuestos!$D$9,Supuestos!$E$9),IF(Supuestos!$C$9="Triangular",IF(F258&lt;(Supuestos!$E$9-Supuestos!$D$9)/(Supuestos!$F$9-Supuestos!$D$9),Supuestos!$D$9+SQRT(F258*(Supuestos!$F$9-Supuestos!$D$9)*(Supuestos!$E$9-Supuestos!$D$9)),Supuestos!$F$9-SQRT((1-F258)*(Supuestos!$F$9-Supuestos!$D$9)*(Supuestos!$F$9-Supuestos!$E$9))),IF(Supuestos!$C$9="Uniforme",Supuestos!$D$9+F258*(Supuestos!$E$9-Supuestos!$D$9),IF(Supuestos!$C$9="Lognormal",LOGINV(F258,LN(Supuestos!$D$9)-LN(1+Supuestos!$E$9^2/Supuestos!$D$9^2)/2,SQRT(LN(1+Supuestos!$E$9^2/Supuestos!$D$9^2))),Supuestos!$D$9))))))</f>
        <v/>
      </c>
      <c r="N258" s="32">
        <f>MIN(IF(Supuestos!$H$10="",1E+99,Supuestos!$H$10),MAX(IF(Supuestos!$G$10="",-1E+99,Supuestos!$G$10),IF(Supuestos!$C$10="Normal",NORMINV(G258,Supuestos!$D$10,Supuestos!$E$10),IF(Supuestos!$C$10="Triangular",IF(G258&lt;(Supuestos!$E$10-Supuestos!$D$10)/(Supuestos!$F$10-Supuestos!$D$10),Supuestos!$D$10+SQRT(G258*(Supuestos!$F$10-Supuestos!$D$10)*(Supuestos!$E$10-Supuestos!$D$10)),Supuestos!$F$10-SQRT((1-G258)*(Supuestos!$F$10-Supuestos!$D$10)*(Supuestos!$F$10-Supuestos!$E$10))),IF(Supuestos!$C$10="Uniforme",Supuestos!$D$10+G258*(Supuestos!$E$10-Supuestos!$D$10),IF(Supuestos!$C$10="Lognormal",LOGINV(G258,LN(Supuestos!$D$10)-LN(1+Supuestos!$E$10^2/Supuestos!$D$10^2)/2,SQRT(LN(1+Supuestos!$E$10^2/Supuestos!$D$10^2))),Supuestos!$D$10))))))</f>
        <v/>
      </c>
      <c r="O258" s="31">
        <f>MIN(IF(Supuestos!$H$11="",1E+99,Supuestos!$H$11),MAX(IF(Supuestos!$G$11="",-1E+99,Supuestos!$G$11),IF(Supuestos!$C$11="Normal",NORMINV(H258,Supuestos!$D$11,Supuestos!$E$11),IF(Supuestos!$C$11="Triangular",IF(H258&lt;(Supuestos!$E$11-Supuestos!$D$11)/(Supuestos!$F$11-Supuestos!$D$11),Supuestos!$D$11+SQRT(H258*(Supuestos!$F$11-Supuestos!$D$11)*(Supuestos!$E$11-Supuestos!$D$11)),Supuestos!$F$11-SQRT((1-H258)*(Supuestos!$F$11-Supuestos!$D$11)*(Supuestos!$F$11-Supuestos!$E$11))),IF(Supuestos!$C$11="Uniforme",Supuestos!$D$11+H258*(Supuestos!$E$11-Supuestos!$D$11),IF(Supuestos!$C$11="Lognormal",LOGINV(H258,LN(Supuestos!$D$11)-LN(1+Supuestos!$E$11^2/Supuestos!$D$11^2)/2,SQRT(LN(1+Supuestos!$E$11^2/Supuestos!$D$11^2))),Supuestos!$D$11))))))</f>
        <v/>
      </c>
      <c r="P258" s="33">
        <f>-I258</f>
        <v/>
      </c>
      <c r="Q258" s="33">
        <f>$J258*(1+$K258)^(1-1)*(1-$L258)*(1-$M258)</f>
        <v/>
      </c>
      <c r="R258" s="33">
        <f>$J258*(1+$K258)^(2-1)*(1-$L258)*(1-$M258)</f>
        <v/>
      </c>
      <c r="S258" s="33">
        <f>$J258*(1+$K258)^(3-1)*(1-$L258)*(1-$M258)</f>
        <v/>
      </c>
      <c r="T258" s="33">
        <f>$J258*(1+$K258)^(4-1)*(1-$L258)*(1-$M258)</f>
        <v/>
      </c>
      <c r="U258" s="33">
        <f>$J258*(1+$K258)^(5-1)*(1-$L258)*(1-$M258)+$O258</f>
        <v/>
      </c>
      <c r="V258" s="33">
        <f>P258+NPV($N258,Q258:U258)</f>
        <v/>
      </c>
      <c r="W258" s="32">
        <f>IFERROR(IRR(P258:U258,0.1),"")</f>
        <v/>
      </c>
    </row>
    <row r="259">
      <c r="A259" s="14" t="n">
        <v>255</v>
      </c>
      <c r="B259" s="30">
        <f>RAND()*(1-2E-6)+1E-6</f>
        <v/>
      </c>
      <c r="C259" s="30">
        <f>RAND()*(1-2E-6)+1E-6</f>
        <v/>
      </c>
      <c r="D259" s="30">
        <f>RAND()*(1-2E-6)+1E-6</f>
        <v/>
      </c>
      <c r="E259" s="30">
        <f>RAND()*(1-2E-6)+1E-6</f>
        <v/>
      </c>
      <c r="F259" s="30">
        <f>RAND()*(1-2E-6)+1E-6</f>
        <v/>
      </c>
      <c r="G259" s="30">
        <f>RAND()*(1-2E-6)+1E-6</f>
        <v/>
      </c>
      <c r="H259" s="30">
        <f>RAND()*(1-2E-6)+1E-6</f>
        <v/>
      </c>
      <c r="I259" s="31">
        <f>MIN(IF(Supuestos!$H$5="",1E+99,Supuestos!$H$5),MAX(IF(Supuestos!$G$5="",-1E+99,Supuestos!$G$5),IF(Supuestos!$C$5="Normal",NORMINV(B259,Supuestos!$D$5,Supuestos!$E$5),IF(Supuestos!$C$5="Triangular",IF(B259&lt;(Supuestos!$E$5-Supuestos!$D$5)/(Supuestos!$F$5-Supuestos!$D$5),Supuestos!$D$5+SQRT(B259*(Supuestos!$F$5-Supuestos!$D$5)*(Supuestos!$E$5-Supuestos!$D$5)),Supuestos!$F$5-SQRT((1-B259)*(Supuestos!$F$5-Supuestos!$D$5)*(Supuestos!$F$5-Supuestos!$E$5))),IF(Supuestos!$C$5="Uniforme",Supuestos!$D$5+B259*(Supuestos!$E$5-Supuestos!$D$5),IF(Supuestos!$C$5="Lognormal",LOGINV(B259,LN(Supuestos!$D$5)-LN(1+Supuestos!$E$5^2/Supuestos!$D$5^2)/2,SQRT(LN(1+Supuestos!$E$5^2/Supuestos!$D$5^2))),Supuestos!$D$5))))))</f>
        <v/>
      </c>
      <c r="J259" s="31">
        <f>MIN(IF(Supuestos!$H$6="",1E+99,Supuestos!$H$6),MAX(IF(Supuestos!$G$6="",-1E+99,Supuestos!$G$6),IF(Supuestos!$C$6="Normal",NORMINV(C259,Supuestos!$D$6,Supuestos!$E$6),IF(Supuestos!$C$6="Triangular",IF(C259&lt;(Supuestos!$E$6-Supuestos!$D$6)/(Supuestos!$F$6-Supuestos!$D$6),Supuestos!$D$6+SQRT(C259*(Supuestos!$F$6-Supuestos!$D$6)*(Supuestos!$E$6-Supuestos!$D$6)),Supuestos!$F$6-SQRT((1-C259)*(Supuestos!$F$6-Supuestos!$D$6)*(Supuestos!$F$6-Supuestos!$E$6))),IF(Supuestos!$C$6="Uniforme",Supuestos!$D$6+C259*(Supuestos!$E$6-Supuestos!$D$6),IF(Supuestos!$C$6="Lognormal",LOGINV(C259,LN(Supuestos!$D$6)-LN(1+Supuestos!$E$6^2/Supuestos!$D$6^2)/2,SQRT(LN(1+Supuestos!$E$6^2/Supuestos!$D$6^2))),Supuestos!$D$6))))))</f>
        <v/>
      </c>
      <c r="K259" s="32">
        <f>MIN(IF(Supuestos!$H$7="",1E+99,Supuestos!$H$7),MAX(IF(Supuestos!$G$7="",-1E+99,Supuestos!$G$7),IF(Supuestos!$C$7="Normal",NORMINV(D259,Supuestos!$D$7,Supuestos!$E$7),IF(Supuestos!$C$7="Triangular",IF(D259&lt;(Supuestos!$E$7-Supuestos!$D$7)/(Supuestos!$F$7-Supuestos!$D$7),Supuestos!$D$7+SQRT(D259*(Supuestos!$F$7-Supuestos!$D$7)*(Supuestos!$E$7-Supuestos!$D$7)),Supuestos!$F$7-SQRT((1-D259)*(Supuestos!$F$7-Supuestos!$D$7)*(Supuestos!$F$7-Supuestos!$E$7))),IF(Supuestos!$C$7="Uniforme",Supuestos!$D$7+D259*(Supuestos!$E$7-Supuestos!$D$7),IF(Supuestos!$C$7="Lognormal",LOGINV(D259,LN(Supuestos!$D$7)-LN(1+Supuestos!$E$7^2/Supuestos!$D$7^2)/2,SQRT(LN(1+Supuestos!$E$7^2/Supuestos!$D$7^2))),Supuestos!$D$7))))))</f>
        <v/>
      </c>
      <c r="L259" s="32">
        <f>MIN(IF(Supuestos!$H$8="",1E+99,Supuestos!$H$8),MAX(IF(Supuestos!$G$8="",-1E+99,Supuestos!$G$8),IF(Supuestos!$C$8="Normal",NORMINV(E259,Supuestos!$D$8,Supuestos!$E$8),IF(Supuestos!$C$8="Triangular",IF(E259&lt;(Supuestos!$E$8-Supuestos!$D$8)/(Supuestos!$F$8-Supuestos!$D$8),Supuestos!$D$8+SQRT(E259*(Supuestos!$F$8-Supuestos!$D$8)*(Supuestos!$E$8-Supuestos!$D$8)),Supuestos!$F$8-SQRT((1-E259)*(Supuestos!$F$8-Supuestos!$D$8)*(Supuestos!$F$8-Supuestos!$E$8))),IF(Supuestos!$C$8="Uniforme",Supuestos!$D$8+E259*(Supuestos!$E$8-Supuestos!$D$8),IF(Supuestos!$C$8="Lognormal",LOGINV(E259,LN(Supuestos!$D$8)-LN(1+Supuestos!$E$8^2/Supuestos!$D$8^2)/2,SQRT(LN(1+Supuestos!$E$8^2/Supuestos!$D$8^2))),Supuestos!$D$8))))))</f>
        <v/>
      </c>
      <c r="M259" s="32">
        <f>MIN(IF(Supuestos!$H$9="",1E+99,Supuestos!$H$9),MAX(IF(Supuestos!$G$9="",-1E+99,Supuestos!$G$9),IF(Supuestos!$C$9="Normal",NORMINV(F259,Supuestos!$D$9,Supuestos!$E$9),IF(Supuestos!$C$9="Triangular",IF(F259&lt;(Supuestos!$E$9-Supuestos!$D$9)/(Supuestos!$F$9-Supuestos!$D$9),Supuestos!$D$9+SQRT(F259*(Supuestos!$F$9-Supuestos!$D$9)*(Supuestos!$E$9-Supuestos!$D$9)),Supuestos!$F$9-SQRT((1-F259)*(Supuestos!$F$9-Supuestos!$D$9)*(Supuestos!$F$9-Supuestos!$E$9))),IF(Supuestos!$C$9="Uniforme",Supuestos!$D$9+F259*(Supuestos!$E$9-Supuestos!$D$9),IF(Supuestos!$C$9="Lognormal",LOGINV(F259,LN(Supuestos!$D$9)-LN(1+Supuestos!$E$9^2/Supuestos!$D$9^2)/2,SQRT(LN(1+Supuestos!$E$9^2/Supuestos!$D$9^2))),Supuestos!$D$9))))))</f>
        <v/>
      </c>
      <c r="N259" s="32">
        <f>MIN(IF(Supuestos!$H$10="",1E+99,Supuestos!$H$10),MAX(IF(Supuestos!$G$10="",-1E+99,Supuestos!$G$10),IF(Supuestos!$C$10="Normal",NORMINV(G259,Supuestos!$D$10,Supuestos!$E$10),IF(Supuestos!$C$10="Triangular",IF(G259&lt;(Supuestos!$E$10-Supuestos!$D$10)/(Supuestos!$F$10-Supuestos!$D$10),Supuestos!$D$10+SQRT(G259*(Supuestos!$F$10-Supuestos!$D$10)*(Supuestos!$E$10-Supuestos!$D$10)),Supuestos!$F$10-SQRT((1-G259)*(Supuestos!$F$10-Supuestos!$D$10)*(Supuestos!$F$10-Supuestos!$E$10))),IF(Supuestos!$C$10="Uniforme",Supuestos!$D$10+G259*(Supuestos!$E$10-Supuestos!$D$10),IF(Supuestos!$C$10="Lognormal",LOGINV(G259,LN(Supuestos!$D$10)-LN(1+Supuestos!$E$10^2/Supuestos!$D$10^2)/2,SQRT(LN(1+Supuestos!$E$10^2/Supuestos!$D$10^2))),Supuestos!$D$10))))))</f>
        <v/>
      </c>
      <c r="O259" s="31">
        <f>MIN(IF(Supuestos!$H$11="",1E+99,Supuestos!$H$11),MAX(IF(Supuestos!$G$11="",-1E+99,Supuestos!$G$11),IF(Supuestos!$C$11="Normal",NORMINV(H259,Supuestos!$D$11,Supuestos!$E$11),IF(Supuestos!$C$11="Triangular",IF(H259&lt;(Supuestos!$E$11-Supuestos!$D$11)/(Supuestos!$F$11-Supuestos!$D$11),Supuestos!$D$11+SQRT(H259*(Supuestos!$F$11-Supuestos!$D$11)*(Supuestos!$E$11-Supuestos!$D$11)),Supuestos!$F$11-SQRT((1-H259)*(Supuestos!$F$11-Supuestos!$D$11)*(Supuestos!$F$11-Supuestos!$E$11))),IF(Supuestos!$C$11="Uniforme",Supuestos!$D$11+H259*(Supuestos!$E$11-Supuestos!$D$11),IF(Supuestos!$C$11="Lognormal",LOGINV(H259,LN(Supuestos!$D$11)-LN(1+Supuestos!$E$11^2/Supuestos!$D$11^2)/2,SQRT(LN(1+Supuestos!$E$11^2/Supuestos!$D$11^2))),Supuestos!$D$11))))))</f>
        <v/>
      </c>
      <c r="P259" s="33">
        <f>-I259</f>
        <v/>
      </c>
      <c r="Q259" s="33">
        <f>$J259*(1+$K259)^(1-1)*(1-$L259)*(1-$M259)</f>
        <v/>
      </c>
      <c r="R259" s="33">
        <f>$J259*(1+$K259)^(2-1)*(1-$L259)*(1-$M259)</f>
        <v/>
      </c>
      <c r="S259" s="33">
        <f>$J259*(1+$K259)^(3-1)*(1-$L259)*(1-$M259)</f>
        <v/>
      </c>
      <c r="T259" s="33">
        <f>$J259*(1+$K259)^(4-1)*(1-$L259)*(1-$M259)</f>
        <v/>
      </c>
      <c r="U259" s="33">
        <f>$J259*(1+$K259)^(5-1)*(1-$L259)*(1-$M259)+$O259</f>
        <v/>
      </c>
      <c r="V259" s="33">
        <f>P259+NPV($N259,Q259:U259)</f>
        <v/>
      </c>
      <c r="W259" s="32">
        <f>IFERROR(IRR(P259:U259,0.1),"")</f>
        <v/>
      </c>
    </row>
    <row r="260">
      <c r="A260" s="14" t="n">
        <v>256</v>
      </c>
      <c r="B260" s="30">
        <f>RAND()*(1-2E-6)+1E-6</f>
        <v/>
      </c>
      <c r="C260" s="30">
        <f>RAND()*(1-2E-6)+1E-6</f>
        <v/>
      </c>
      <c r="D260" s="30">
        <f>RAND()*(1-2E-6)+1E-6</f>
        <v/>
      </c>
      <c r="E260" s="30">
        <f>RAND()*(1-2E-6)+1E-6</f>
        <v/>
      </c>
      <c r="F260" s="30">
        <f>RAND()*(1-2E-6)+1E-6</f>
        <v/>
      </c>
      <c r="G260" s="30">
        <f>RAND()*(1-2E-6)+1E-6</f>
        <v/>
      </c>
      <c r="H260" s="30">
        <f>RAND()*(1-2E-6)+1E-6</f>
        <v/>
      </c>
      <c r="I260" s="31">
        <f>MIN(IF(Supuestos!$H$5="",1E+99,Supuestos!$H$5),MAX(IF(Supuestos!$G$5="",-1E+99,Supuestos!$G$5),IF(Supuestos!$C$5="Normal",NORMINV(B260,Supuestos!$D$5,Supuestos!$E$5),IF(Supuestos!$C$5="Triangular",IF(B260&lt;(Supuestos!$E$5-Supuestos!$D$5)/(Supuestos!$F$5-Supuestos!$D$5),Supuestos!$D$5+SQRT(B260*(Supuestos!$F$5-Supuestos!$D$5)*(Supuestos!$E$5-Supuestos!$D$5)),Supuestos!$F$5-SQRT((1-B260)*(Supuestos!$F$5-Supuestos!$D$5)*(Supuestos!$F$5-Supuestos!$E$5))),IF(Supuestos!$C$5="Uniforme",Supuestos!$D$5+B260*(Supuestos!$E$5-Supuestos!$D$5),IF(Supuestos!$C$5="Lognormal",LOGINV(B260,LN(Supuestos!$D$5)-LN(1+Supuestos!$E$5^2/Supuestos!$D$5^2)/2,SQRT(LN(1+Supuestos!$E$5^2/Supuestos!$D$5^2))),Supuestos!$D$5))))))</f>
        <v/>
      </c>
      <c r="J260" s="31">
        <f>MIN(IF(Supuestos!$H$6="",1E+99,Supuestos!$H$6),MAX(IF(Supuestos!$G$6="",-1E+99,Supuestos!$G$6),IF(Supuestos!$C$6="Normal",NORMINV(C260,Supuestos!$D$6,Supuestos!$E$6),IF(Supuestos!$C$6="Triangular",IF(C260&lt;(Supuestos!$E$6-Supuestos!$D$6)/(Supuestos!$F$6-Supuestos!$D$6),Supuestos!$D$6+SQRT(C260*(Supuestos!$F$6-Supuestos!$D$6)*(Supuestos!$E$6-Supuestos!$D$6)),Supuestos!$F$6-SQRT((1-C260)*(Supuestos!$F$6-Supuestos!$D$6)*(Supuestos!$F$6-Supuestos!$E$6))),IF(Supuestos!$C$6="Uniforme",Supuestos!$D$6+C260*(Supuestos!$E$6-Supuestos!$D$6),IF(Supuestos!$C$6="Lognormal",LOGINV(C260,LN(Supuestos!$D$6)-LN(1+Supuestos!$E$6^2/Supuestos!$D$6^2)/2,SQRT(LN(1+Supuestos!$E$6^2/Supuestos!$D$6^2))),Supuestos!$D$6))))))</f>
        <v/>
      </c>
      <c r="K260" s="32">
        <f>MIN(IF(Supuestos!$H$7="",1E+99,Supuestos!$H$7),MAX(IF(Supuestos!$G$7="",-1E+99,Supuestos!$G$7),IF(Supuestos!$C$7="Normal",NORMINV(D260,Supuestos!$D$7,Supuestos!$E$7),IF(Supuestos!$C$7="Triangular",IF(D260&lt;(Supuestos!$E$7-Supuestos!$D$7)/(Supuestos!$F$7-Supuestos!$D$7),Supuestos!$D$7+SQRT(D260*(Supuestos!$F$7-Supuestos!$D$7)*(Supuestos!$E$7-Supuestos!$D$7)),Supuestos!$F$7-SQRT((1-D260)*(Supuestos!$F$7-Supuestos!$D$7)*(Supuestos!$F$7-Supuestos!$E$7))),IF(Supuestos!$C$7="Uniforme",Supuestos!$D$7+D260*(Supuestos!$E$7-Supuestos!$D$7),IF(Supuestos!$C$7="Lognormal",LOGINV(D260,LN(Supuestos!$D$7)-LN(1+Supuestos!$E$7^2/Supuestos!$D$7^2)/2,SQRT(LN(1+Supuestos!$E$7^2/Supuestos!$D$7^2))),Supuestos!$D$7))))))</f>
        <v/>
      </c>
      <c r="L260" s="32">
        <f>MIN(IF(Supuestos!$H$8="",1E+99,Supuestos!$H$8),MAX(IF(Supuestos!$G$8="",-1E+99,Supuestos!$G$8),IF(Supuestos!$C$8="Normal",NORMINV(E260,Supuestos!$D$8,Supuestos!$E$8),IF(Supuestos!$C$8="Triangular",IF(E260&lt;(Supuestos!$E$8-Supuestos!$D$8)/(Supuestos!$F$8-Supuestos!$D$8),Supuestos!$D$8+SQRT(E260*(Supuestos!$F$8-Supuestos!$D$8)*(Supuestos!$E$8-Supuestos!$D$8)),Supuestos!$F$8-SQRT((1-E260)*(Supuestos!$F$8-Supuestos!$D$8)*(Supuestos!$F$8-Supuestos!$E$8))),IF(Supuestos!$C$8="Uniforme",Supuestos!$D$8+E260*(Supuestos!$E$8-Supuestos!$D$8),IF(Supuestos!$C$8="Lognormal",LOGINV(E260,LN(Supuestos!$D$8)-LN(1+Supuestos!$E$8^2/Supuestos!$D$8^2)/2,SQRT(LN(1+Supuestos!$E$8^2/Supuestos!$D$8^2))),Supuestos!$D$8))))))</f>
        <v/>
      </c>
      <c r="M260" s="32">
        <f>MIN(IF(Supuestos!$H$9="",1E+99,Supuestos!$H$9),MAX(IF(Supuestos!$G$9="",-1E+99,Supuestos!$G$9),IF(Supuestos!$C$9="Normal",NORMINV(F260,Supuestos!$D$9,Supuestos!$E$9),IF(Supuestos!$C$9="Triangular",IF(F260&lt;(Supuestos!$E$9-Supuestos!$D$9)/(Supuestos!$F$9-Supuestos!$D$9),Supuestos!$D$9+SQRT(F260*(Supuestos!$F$9-Supuestos!$D$9)*(Supuestos!$E$9-Supuestos!$D$9)),Supuestos!$F$9-SQRT((1-F260)*(Supuestos!$F$9-Supuestos!$D$9)*(Supuestos!$F$9-Supuestos!$E$9))),IF(Supuestos!$C$9="Uniforme",Supuestos!$D$9+F260*(Supuestos!$E$9-Supuestos!$D$9),IF(Supuestos!$C$9="Lognormal",LOGINV(F260,LN(Supuestos!$D$9)-LN(1+Supuestos!$E$9^2/Supuestos!$D$9^2)/2,SQRT(LN(1+Supuestos!$E$9^2/Supuestos!$D$9^2))),Supuestos!$D$9))))))</f>
        <v/>
      </c>
      <c r="N260" s="32">
        <f>MIN(IF(Supuestos!$H$10="",1E+99,Supuestos!$H$10),MAX(IF(Supuestos!$G$10="",-1E+99,Supuestos!$G$10),IF(Supuestos!$C$10="Normal",NORMINV(G260,Supuestos!$D$10,Supuestos!$E$10),IF(Supuestos!$C$10="Triangular",IF(G260&lt;(Supuestos!$E$10-Supuestos!$D$10)/(Supuestos!$F$10-Supuestos!$D$10),Supuestos!$D$10+SQRT(G260*(Supuestos!$F$10-Supuestos!$D$10)*(Supuestos!$E$10-Supuestos!$D$10)),Supuestos!$F$10-SQRT((1-G260)*(Supuestos!$F$10-Supuestos!$D$10)*(Supuestos!$F$10-Supuestos!$E$10))),IF(Supuestos!$C$10="Uniforme",Supuestos!$D$10+G260*(Supuestos!$E$10-Supuestos!$D$10),IF(Supuestos!$C$10="Lognormal",LOGINV(G260,LN(Supuestos!$D$10)-LN(1+Supuestos!$E$10^2/Supuestos!$D$10^2)/2,SQRT(LN(1+Supuestos!$E$10^2/Supuestos!$D$10^2))),Supuestos!$D$10))))))</f>
        <v/>
      </c>
      <c r="O260" s="31">
        <f>MIN(IF(Supuestos!$H$11="",1E+99,Supuestos!$H$11),MAX(IF(Supuestos!$G$11="",-1E+99,Supuestos!$G$11),IF(Supuestos!$C$11="Normal",NORMINV(H260,Supuestos!$D$11,Supuestos!$E$11),IF(Supuestos!$C$11="Triangular",IF(H260&lt;(Supuestos!$E$11-Supuestos!$D$11)/(Supuestos!$F$11-Supuestos!$D$11),Supuestos!$D$11+SQRT(H260*(Supuestos!$F$11-Supuestos!$D$11)*(Supuestos!$E$11-Supuestos!$D$11)),Supuestos!$F$11-SQRT((1-H260)*(Supuestos!$F$11-Supuestos!$D$11)*(Supuestos!$F$11-Supuestos!$E$11))),IF(Supuestos!$C$11="Uniforme",Supuestos!$D$11+H260*(Supuestos!$E$11-Supuestos!$D$11),IF(Supuestos!$C$11="Lognormal",LOGINV(H260,LN(Supuestos!$D$11)-LN(1+Supuestos!$E$11^2/Supuestos!$D$11^2)/2,SQRT(LN(1+Supuestos!$E$11^2/Supuestos!$D$11^2))),Supuestos!$D$11))))))</f>
        <v/>
      </c>
      <c r="P260" s="33">
        <f>-I260</f>
        <v/>
      </c>
      <c r="Q260" s="33">
        <f>$J260*(1+$K260)^(1-1)*(1-$L260)*(1-$M260)</f>
        <v/>
      </c>
      <c r="R260" s="33">
        <f>$J260*(1+$K260)^(2-1)*(1-$L260)*(1-$M260)</f>
        <v/>
      </c>
      <c r="S260" s="33">
        <f>$J260*(1+$K260)^(3-1)*(1-$L260)*(1-$M260)</f>
        <v/>
      </c>
      <c r="T260" s="33">
        <f>$J260*(1+$K260)^(4-1)*(1-$L260)*(1-$M260)</f>
        <v/>
      </c>
      <c r="U260" s="33">
        <f>$J260*(1+$K260)^(5-1)*(1-$L260)*(1-$M260)+$O260</f>
        <v/>
      </c>
      <c r="V260" s="33">
        <f>P260+NPV($N260,Q260:U260)</f>
        <v/>
      </c>
      <c r="W260" s="32">
        <f>IFERROR(IRR(P260:U260,0.1),"")</f>
        <v/>
      </c>
    </row>
    <row r="261">
      <c r="A261" s="14" t="n">
        <v>257</v>
      </c>
      <c r="B261" s="30">
        <f>RAND()*(1-2E-6)+1E-6</f>
        <v/>
      </c>
      <c r="C261" s="30">
        <f>RAND()*(1-2E-6)+1E-6</f>
        <v/>
      </c>
      <c r="D261" s="30">
        <f>RAND()*(1-2E-6)+1E-6</f>
        <v/>
      </c>
      <c r="E261" s="30">
        <f>RAND()*(1-2E-6)+1E-6</f>
        <v/>
      </c>
      <c r="F261" s="30">
        <f>RAND()*(1-2E-6)+1E-6</f>
        <v/>
      </c>
      <c r="G261" s="30">
        <f>RAND()*(1-2E-6)+1E-6</f>
        <v/>
      </c>
      <c r="H261" s="30">
        <f>RAND()*(1-2E-6)+1E-6</f>
        <v/>
      </c>
      <c r="I261" s="31">
        <f>MIN(IF(Supuestos!$H$5="",1E+99,Supuestos!$H$5),MAX(IF(Supuestos!$G$5="",-1E+99,Supuestos!$G$5),IF(Supuestos!$C$5="Normal",NORMINV(B261,Supuestos!$D$5,Supuestos!$E$5),IF(Supuestos!$C$5="Triangular",IF(B261&lt;(Supuestos!$E$5-Supuestos!$D$5)/(Supuestos!$F$5-Supuestos!$D$5),Supuestos!$D$5+SQRT(B261*(Supuestos!$F$5-Supuestos!$D$5)*(Supuestos!$E$5-Supuestos!$D$5)),Supuestos!$F$5-SQRT((1-B261)*(Supuestos!$F$5-Supuestos!$D$5)*(Supuestos!$F$5-Supuestos!$E$5))),IF(Supuestos!$C$5="Uniforme",Supuestos!$D$5+B261*(Supuestos!$E$5-Supuestos!$D$5),IF(Supuestos!$C$5="Lognormal",LOGINV(B261,LN(Supuestos!$D$5)-LN(1+Supuestos!$E$5^2/Supuestos!$D$5^2)/2,SQRT(LN(1+Supuestos!$E$5^2/Supuestos!$D$5^2))),Supuestos!$D$5))))))</f>
        <v/>
      </c>
      <c r="J261" s="31">
        <f>MIN(IF(Supuestos!$H$6="",1E+99,Supuestos!$H$6),MAX(IF(Supuestos!$G$6="",-1E+99,Supuestos!$G$6),IF(Supuestos!$C$6="Normal",NORMINV(C261,Supuestos!$D$6,Supuestos!$E$6),IF(Supuestos!$C$6="Triangular",IF(C261&lt;(Supuestos!$E$6-Supuestos!$D$6)/(Supuestos!$F$6-Supuestos!$D$6),Supuestos!$D$6+SQRT(C261*(Supuestos!$F$6-Supuestos!$D$6)*(Supuestos!$E$6-Supuestos!$D$6)),Supuestos!$F$6-SQRT((1-C261)*(Supuestos!$F$6-Supuestos!$D$6)*(Supuestos!$F$6-Supuestos!$E$6))),IF(Supuestos!$C$6="Uniforme",Supuestos!$D$6+C261*(Supuestos!$E$6-Supuestos!$D$6),IF(Supuestos!$C$6="Lognormal",LOGINV(C261,LN(Supuestos!$D$6)-LN(1+Supuestos!$E$6^2/Supuestos!$D$6^2)/2,SQRT(LN(1+Supuestos!$E$6^2/Supuestos!$D$6^2))),Supuestos!$D$6))))))</f>
        <v/>
      </c>
      <c r="K261" s="32">
        <f>MIN(IF(Supuestos!$H$7="",1E+99,Supuestos!$H$7),MAX(IF(Supuestos!$G$7="",-1E+99,Supuestos!$G$7),IF(Supuestos!$C$7="Normal",NORMINV(D261,Supuestos!$D$7,Supuestos!$E$7),IF(Supuestos!$C$7="Triangular",IF(D261&lt;(Supuestos!$E$7-Supuestos!$D$7)/(Supuestos!$F$7-Supuestos!$D$7),Supuestos!$D$7+SQRT(D261*(Supuestos!$F$7-Supuestos!$D$7)*(Supuestos!$E$7-Supuestos!$D$7)),Supuestos!$F$7-SQRT((1-D261)*(Supuestos!$F$7-Supuestos!$D$7)*(Supuestos!$F$7-Supuestos!$E$7))),IF(Supuestos!$C$7="Uniforme",Supuestos!$D$7+D261*(Supuestos!$E$7-Supuestos!$D$7),IF(Supuestos!$C$7="Lognormal",LOGINV(D261,LN(Supuestos!$D$7)-LN(1+Supuestos!$E$7^2/Supuestos!$D$7^2)/2,SQRT(LN(1+Supuestos!$E$7^2/Supuestos!$D$7^2))),Supuestos!$D$7))))))</f>
        <v/>
      </c>
      <c r="L261" s="32">
        <f>MIN(IF(Supuestos!$H$8="",1E+99,Supuestos!$H$8),MAX(IF(Supuestos!$G$8="",-1E+99,Supuestos!$G$8),IF(Supuestos!$C$8="Normal",NORMINV(E261,Supuestos!$D$8,Supuestos!$E$8),IF(Supuestos!$C$8="Triangular",IF(E261&lt;(Supuestos!$E$8-Supuestos!$D$8)/(Supuestos!$F$8-Supuestos!$D$8),Supuestos!$D$8+SQRT(E261*(Supuestos!$F$8-Supuestos!$D$8)*(Supuestos!$E$8-Supuestos!$D$8)),Supuestos!$F$8-SQRT((1-E261)*(Supuestos!$F$8-Supuestos!$D$8)*(Supuestos!$F$8-Supuestos!$E$8))),IF(Supuestos!$C$8="Uniforme",Supuestos!$D$8+E261*(Supuestos!$E$8-Supuestos!$D$8),IF(Supuestos!$C$8="Lognormal",LOGINV(E261,LN(Supuestos!$D$8)-LN(1+Supuestos!$E$8^2/Supuestos!$D$8^2)/2,SQRT(LN(1+Supuestos!$E$8^2/Supuestos!$D$8^2))),Supuestos!$D$8))))))</f>
        <v/>
      </c>
      <c r="M261" s="32">
        <f>MIN(IF(Supuestos!$H$9="",1E+99,Supuestos!$H$9),MAX(IF(Supuestos!$G$9="",-1E+99,Supuestos!$G$9),IF(Supuestos!$C$9="Normal",NORMINV(F261,Supuestos!$D$9,Supuestos!$E$9),IF(Supuestos!$C$9="Triangular",IF(F261&lt;(Supuestos!$E$9-Supuestos!$D$9)/(Supuestos!$F$9-Supuestos!$D$9),Supuestos!$D$9+SQRT(F261*(Supuestos!$F$9-Supuestos!$D$9)*(Supuestos!$E$9-Supuestos!$D$9)),Supuestos!$F$9-SQRT((1-F261)*(Supuestos!$F$9-Supuestos!$D$9)*(Supuestos!$F$9-Supuestos!$E$9))),IF(Supuestos!$C$9="Uniforme",Supuestos!$D$9+F261*(Supuestos!$E$9-Supuestos!$D$9),IF(Supuestos!$C$9="Lognormal",LOGINV(F261,LN(Supuestos!$D$9)-LN(1+Supuestos!$E$9^2/Supuestos!$D$9^2)/2,SQRT(LN(1+Supuestos!$E$9^2/Supuestos!$D$9^2))),Supuestos!$D$9))))))</f>
        <v/>
      </c>
      <c r="N261" s="32">
        <f>MIN(IF(Supuestos!$H$10="",1E+99,Supuestos!$H$10),MAX(IF(Supuestos!$G$10="",-1E+99,Supuestos!$G$10),IF(Supuestos!$C$10="Normal",NORMINV(G261,Supuestos!$D$10,Supuestos!$E$10),IF(Supuestos!$C$10="Triangular",IF(G261&lt;(Supuestos!$E$10-Supuestos!$D$10)/(Supuestos!$F$10-Supuestos!$D$10),Supuestos!$D$10+SQRT(G261*(Supuestos!$F$10-Supuestos!$D$10)*(Supuestos!$E$10-Supuestos!$D$10)),Supuestos!$F$10-SQRT((1-G261)*(Supuestos!$F$10-Supuestos!$D$10)*(Supuestos!$F$10-Supuestos!$E$10))),IF(Supuestos!$C$10="Uniforme",Supuestos!$D$10+G261*(Supuestos!$E$10-Supuestos!$D$10),IF(Supuestos!$C$10="Lognormal",LOGINV(G261,LN(Supuestos!$D$10)-LN(1+Supuestos!$E$10^2/Supuestos!$D$10^2)/2,SQRT(LN(1+Supuestos!$E$10^2/Supuestos!$D$10^2))),Supuestos!$D$10))))))</f>
        <v/>
      </c>
      <c r="O261" s="31">
        <f>MIN(IF(Supuestos!$H$11="",1E+99,Supuestos!$H$11),MAX(IF(Supuestos!$G$11="",-1E+99,Supuestos!$G$11),IF(Supuestos!$C$11="Normal",NORMINV(H261,Supuestos!$D$11,Supuestos!$E$11),IF(Supuestos!$C$11="Triangular",IF(H261&lt;(Supuestos!$E$11-Supuestos!$D$11)/(Supuestos!$F$11-Supuestos!$D$11),Supuestos!$D$11+SQRT(H261*(Supuestos!$F$11-Supuestos!$D$11)*(Supuestos!$E$11-Supuestos!$D$11)),Supuestos!$F$11-SQRT((1-H261)*(Supuestos!$F$11-Supuestos!$D$11)*(Supuestos!$F$11-Supuestos!$E$11))),IF(Supuestos!$C$11="Uniforme",Supuestos!$D$11+H261*(Supuestos!$E$11-Supuestos!$D$11),IF(Supuestos!$C$11="Lognormal",LOGINV(H261,LN(Supuestos!$D$11)-LN(1+Supuestos!$E$11^2/Supuestos!$D$11^2)/2,SQRT(LN(1+Supuestos!$E$11^2/Supuestos!$D$11^2))),Supuestos!$D$11))))))</f>
        <v/>
      </c>
      <c r="P261" s="33">
        <f>-I261</f>
        <v/>
      </c>
      <c r="Q261" s="33">
        <f>$J261*(1+$K261)^(1-1)*(1-$L261)*(1-$M261)</f>
        <v/>
      </c>
      <c r="R261" s="33">
        <f>$J261*(1+$K261)^(2-1)*(1-$L261)*(1-$M261)</f>
        <v/>
      </c>
      <c r="S261" s="33">
        <f>$J261*(1+$K261)^(3-1)*(1-$L261)*(1-$M261)</f>
        <v/>
      </c>
      <c r="T261" s="33">
        <f>$J261*(1+$K261)^(4-1)*(1-$L261)*(1-$M261)</f>
        <v/>
      </c>
      <c r="U261" s="33">
        <f>$J261*(1+$K261)^(5-1)*(1-$L261)*(1-$M261)+$O261</f>
        <v/>
      </c>
      <c r="V261" s="33">
        <f>P261+NPV($N261,Q261:U261)</f>
        <v/>
      </c>
      <c r="W261" s="32">
        <f>IFERROR(IRR(P261:U261,0.1),"")</f>
        <v/>
      </c>
    </row>
    <row r="262">
      <c r="A262" s="14" t="n">
        <v>258</v>
      </c>
      <c r="B262" s="30">
        <f>RAND()*(1-2E-6)+1E-6</f>
        <v/>
      </c>
      <c r="C262" s="30">
        <f>RAND()*(1-2E-6)+1E-6</f>
        <v/>
      </c>
      <c r="D262" s="30">
        <f>RAND()*(1-2E-6)+1E-6</f>
        <v/>
      </c>
      <c r="E262" s="30">
        <f>RAND()*(1-2E-6)+1E-6</f>
        <v/>
      </c>
      <c r="F262" s="30">
        <f>RAND()*(1-2E-6)+1E-6</f>
        <v/>
      </c>
      <c r="G262" s="30">
        <f>RAND()*(1-2E-6)+1E-6</f>
        <v/>
      </c>
      <c r="H262" s="30">
        <f>RAND()*(1-2E-6)+1E-6</f>
        <v/>
      </c>
      <c r="I262" s="31">
        <f>MIN(IF(Supuestos!$H$5="",1E+99,Supuestos!$H$5),MAX(IF(Supuestos!$G$5="",-1E+99,Supuestos!$G$5),IF(Supuestos!$C$5="Normal",NORMINV(B262,Supuestos!$D$5,Supuestos!$E$5),IF(Supuestos!$C$5="Triangular",IF(B262&lt;(Supuestos!$E$5-Supuestos!$D$5)/(Supuestos!$F$5-Supuestos!$D$5),Supuestos!$D$5+SQRT(B262*(Supuestos!$F$5-Supuestos!$D$5)*(Supuestos!$E$5-Supuestos!$D$5)),Supuestos!$F$5-SQRT((1-B262)*(Supuestos!$F$5-Supuestos!$D$5)*(Supuestos!$F$5-Supuestos!$E$5))),IF(Supuestos!$C$5="Uniforme",Supuestos!$D$5+B262*(Supuestos!$E$5-Supuestos!$D$5),IF(Supuestos!$C$5="Lognormal",LOGINV(B262,LN(Supuestos!$D$5)-LN(1+Supuestos!$E$5^2/Supuestos!$D$5^2)/2,SQRT(LN(1+Supuestos!$E$5^2/Supuestos!$D$5^2))),Supuestos!$D$5))))))</f>
        <v/>
      </c>
      <c r="J262" s="31">
        <f>MIN(IF(Supuestos!$H$6="",1E+99,Supuestos!$H$6),MAX(IF(Supuestos!$G$6="",-1E+99,Supuestos!$G$6),IF(Supuestos!$C$6="Normal",NORMINV(C262,Supuestos!$D$6,Supuestos!$E$6),IF(Supuestos!$C$6="Triangular",IF(C262&lt;(Supuestos!$E$6-Supuestos!$D$6)/(Supuestos!$F$6-Supuestos!$D$6),Supuestos!$D$6+SQRT(C262*(Supuestos!$F$6-Supuestos!$D$6)*(Supuestos!$E$6-Supuestos!$D$6)),Supuestos!$F$6-SQRT((1-C262)*(Supuestos!$F$6-Supuestos!$D$6)*(Supuestos!$F$6-Supuestos!$E$6))),IF(Supuestos!$C$6="Uniforme",Supuestos!$D$6+C262*(Supuestos!$E$6-Supuestos!$D$6),IF(Supuestos!$C$6="Lognormal",LOGINV(C262,LN(Supuestos!$D$6)-LN(1+Supuestos!$E$6^2/Supuestos!$D$6^2)/2,SQRT(LN(1+Supuestos!$E$6^2/Supuestos!$D$6^2))),Supuestos!$D$6))))))</f>
        <v/>
      </c>
      <c r="K262" s="32">
        <f>MIN(IF(Supuestos!$H$7="",1E+99,Supuestos!$H$7),MAX(IF(Supuestos!$G$7="",-1E+99,Supuestos!$G$7),IF(Supuestos!$C$7="Normal",NORMINV(D262,Supuestos!$D$7,Supuestos!$E$7),IF(Supuestos!$C$7="Triangular",IF(D262&lt;(Supuestos!$E$7-Supuestos!$D$7)/(Supuestos!$F$7-Supuestos!$D$7),Supuestos!$D$7+SQRT(D262*(Supuestos!$F$7-Supuestos!$D$7)*(Supuestos!$E$7-Supuestos!$D$7)),Supuestos!$F$7-SQRT((1-D262)*(Supuestos!$F$7-Supuestos!$D$7)*(Supuestos!$F$7-Supuestos!$E$7))),IF(Supuestos!$C$7="Uniforme",Supuestos!$D$7+D262*(Supuestos!$E$7-Supuestos!$D$7),IF(Supuestos!$C$7="Lognormal",LOGINV(D262,LN(Supuestos!$D$7)-LN(1+Supuestos!$E$7^2/Supuestos!$D$7^2)/2,SQRT(LN(1+Supuestos!$E$7^2/Supuestos!$D$7^2))),Supuestos!$D$7))))))</f>
        <v/>
      </c>
      <c r="L262" s="32">
        <f>MIN(IF(Supuestos!$H$8="",1E+99,Supuestos!$H$8),MAX(IF(Supuestos!$G$8="",-1E+99,Supuestos!$G$8),IF(Supuestos!$C$8="Normal",NORMINV(E262,Supuestos!$D$8,Supuestos!$E$8),IF(Supuestos!$C$8="Triangular",IF(E262&lt;(Supuestos!$E$8-Supuestos!$D$8)/(Supuestos!$F$8-Supuestos!$D$8),Supuestos!$D$8+SQRT(E262*(Supuestos!$F$8-Supuestos!$D$8)*(Supuestos!$E$8-Supuestos!$D$8)),Supuestos!$F$8-SQRT((1-E262)*(Supuestos!$F$8-Supuestos!$D$8)*(Supuestos!$F$8-Supuestos!$E$8))),IF(Supuestos!$C$8="Uniforme",Supuestos!$D$8+E262*(Supuestos!$E$8-Supuestos!$D$8),IF(Supuestos!$C$8="Lognormal",LOGINV(E262,LN(Supuestos!$D$8)-LN(1+Supuestos!$E$8^2/Supuestos!$D$8^2)/2,SQRT(LN(1+Supuestos!$E$8^2/Supuestos!$D$8^2))),Supuestos!$D$8))))))</f>
        <v/>
      </c>
      <c r="M262" s="32">
        <f>MIN(IF(Supuestos!$H$9="",1E+99,Supuestos!$H$9),MAX(IF(Supuestos!$G$9="",-1E+99,Supuestos!$G$9),IF(Supuestos!$C$9="Normal",NORMINV(F262,Supuestos!$D$9,Supuestos!$E$9),IF(Supuestos!$C$9="Triangular",IF(F262&lt;(Supuestos!$E$9-Supuestos!$D$9)/(Supuestos!$F$9-Supuestos!$D$9),Supuestos!$D$9+SQRT(F262*(Supuestos!$F$9-Supuestos!$D$9)*(Supuestos!$E$9-Supuestos!$D$9)),Supuestos!$F$9-SQRT((1-F262)*(Supuestos!$F$9-Supuestos!$D$9)*(Supuestos!$F$9-Supuestos!$E$9))),IF(Supuestos!$C$9="Uniforme",Supuestos!$D$9+F262*(Supuestos!$E$9-Supuestos!$D$9),IF(Supuestos!$C$9="Lognormal",LOGINV(F262,LN(Supuestos!$D$9)-LN(1+Supuestos!$E$9^2/Supuestos!$D$9^2)/2,SQRT(LN(1+Supuestos!$E$9^2/Supuestos!$D$9^2))),Supuestos!$D$9))))))</f>
        <v/>
      </c>
      <c r="N262" s="32">
        <f>MIN(IF(Supuestos!$H$10="",1E+99,Supuestos!$H$10),MAX(IF(Supuestos!$G$10="",-1E+99,Supuestos!$G$10),IF(Supuestos!$C$10="Normal",NORMINV(G262,Supuestos!$D$10,Supuestos!$E$10),IF(Supuestos!$C$10="Triangular",IF(G262&lt;(Supuestos!$E$10-Supuestos!$D$10)/(Supuestos!$F$10-Supuestos!$D$10),Supuestos!$D$10+SQRT(G262*(Supuestos!$F$10-Supuestos!$D$10)*(Supuestos!$E$10-Supuestos!$D$10)),Supuestos!$F$10-SQRT((1-G262)*(Supuestos!$F$10-Supuestos!$D$10)*(Supuestos!$F$10-Supuestos!$E$10))),IF(Supuestos!$C$10="Uniforme",Supuestos!$D$10+G262*(Supuestos!$E$10-Supuestos!$D$10),IF(Supuestos!$C$10="Lognormal",LOGINV(G262,LN(Supuestos!$D$10)-LN(1+Supuestos!$E$10^2/Supuestos!$D$10^2)/2,SQRT(LN(1+Supuestos!$E$10^2/Supuestos!$D$10^2))),Supuestos!$D$10))))))</f>
        <v/>
      </c>
      <c r="O262" s="31">
        <f>MIN(IF(Supuestos!$H$11="",1E+99,Supuestos!$H$11),MAX(IF(Supuestos!$G$11="",-1E+99,Supuestos!$G$11),IF(Supuestos!$C$11="Normal",NORMINV(H262,Supuestos!$D$11,Supuestos!$E$11),IF(Supuestos!$C$11="Triangular",IF(H262&lt;(Supuestos!$E$11-Supuestos!$D$11)/(Supuestos!$F$11-Supuestos!$D$11),Supuestos!$D$11+SQRT(H262*(Supuestos!$F$11-Supuestos!$D$11)*(Supuestos!$E$11-Supuestos!$D$11)),Supuestos!$F$11-SQRT((1-H262)*(Supuestos!$F$11-Supuestos!$D$11)*(Supuestos!$F$11-Supuestos!$E$11))),IF(Supuestos!$C$11="Uniforme",Supuestos!$D$11+H262*(Supuestos!$E$11-Supuestos!$D$11),IF(Supuestos!$C$11="Lognormal",LOGINV(H262,LN(Supuestos!$D$11)-LN(1+Supuestos!$E$11^2/Supuestos!$D$11^2)/2,SQRT(LN(1+Supuestos!$E$11^2/Supuestos!$D$11^2))),Supuestos!$D$11))))))</f>
        <v/>
      </c>
      <c r="P262" s="33">
        <f>-I262</f>
        <v/>
      </c>
      <c r="Q262" s="33">
        <f>$J262*(1+$K262)^(1-1)*(1-$L262)*(1-$M262)</f>
        <v/>
      </c>
      <c r="R262" s="33">
        <f>$J262*(1+$K262)^(2-1)*(1-$L262)*(1-$M262)</f>
        <v/>
      </c>
      <c r="S262" s="33">
        <f>$J262*(1+$K262)^(3-1)*(1-$L262)*(1-$M262)</f>
        <v/>
      </c>
      <c r="T262" s="33">
        <f>$J262*(1+$K262)^(4-1)*(1-$L262)*(1-$M262)</f>
        <v/>
      </c>
      <c r="U262" s="33">
        <f>$J262*(1+$K262)^(5-1)*(1-$L262)*(1-$M262)+$O262</f>
        <v/>
      </c>
      <c r="V262" s="33">
        <f>P262+NPV($N262,Q262:U262)</f>
        <v/>
      </c>
      <c r="W262" s="32">
        <f>IFERROR(IRR(P262:U262,0.1),"")</f>
        <v/>
      </c>
    </row>
    <row r="263">
      <c r="A263" s="14" t="n">
        <v>259</v>
      </c>
      <c r="B263" s="30">
        <f>RAND()*(1-2E-6)+1E-6</f>
        <v/>
      </c>
      <c r="C263" s="30">
        <f>RAND()*(1-2E-6)+1E-6</f>
        <v/>
      </c>
      <c r="D263" s="30">
        <f>RAND()*(1-2E-6)+1E-6</f>
        <v/>
      </c>
      <c r="E263" s="30">
        <f>RAND()*(1-2E-6)+1E-6</f>
        <v/>
      </c>
      <c r="F263" s="30">
        <f>RAND()*(1-2E-6)+1E-6</f>
        <v/>
      </c>
      <c r="G263" s="30">
        <f>RAND()*(1-2E-6)+1E-6</f>
        <v/>
      </c>
      <c r="H263" s="30">
        <f>RAND()*(1-2E-6)+1E-6</f>
        <v/>
      </c>
      <c r="I263" s="31">
        <f>MIN(IF(Supuestos!$H$5="",1E+99,Supuestos!$H$5),MAX(IF(Supuestos!$G$5="",-1E+99,Supuestos!$G$5),IF(Supuestos!$C$5="Normal",NORMINV(B263,Supuestos!$D$5,Supuestos!$E$5),IF(Supuestos!$C$5="Triangular",IF(B263&lt;(Supuestos!$E$5-Supuestos!$D$5)/(Supuestos!$F$5-Supuestos!$D$5),Supuestos!$D$5+SQRT(B263*(Supuestos!$F$5-Supuestos!$D$5)*(Supuestos!$E$5-Supuestos!$D$5)),Supuestos!$F$5-SQRT((1-B263)*(Supuestos!$F$5-Supuestos!$D$5)*(Supuestos!$F$5-Supuestos!$E$5))),IF(Supuestos!$C$5="Uniforme",Supuestos!$D$5+B263*(Supuestos!$E$5-Supuestos!$D$5),IF(Supuestos!$C$5="Lognormal",LOGINV(B263,LN(Supuestos!$D$5)-LN(1+Supuestos!$E$5^2/Supuestos!$D$5^2)/2,SQRT(LN(1+Supuestos!$E$5^2/Supuestos!$D$5^2))),Supuestos!$D$5))))))</f>
        <v/>
      </c>
      <c r="J263" s="31">
        <f>MIN(IF(Supuestos!$H$6="",1E+99,Supuestos!$H$6),MAX(IF(Supuestos!$G$6="",-1E+99,Supuestos!$G$6),IF(Supuestos!$C$6="Normal",NORMINV(C263,Supuestos!$D$6,Supuestos!$E$6),IF(Supuestos!$C$6="Triangular",IF(C263&lt;(Supuestos!$E$6-Supuestos!$D$6)/(Supuestos!$F$6-Supuestos!$D$6),Supuestos!$D$6+SQRT(C263*(Supuestos!$F$6-Supuestos!$D$6)*(Supuestos!$E$6-Supuestos!$D$6)),Supuestos!$F$6-SQRT((1-C263)*(Supuestos!$F$6-Supuestos!$D$6)*(Supuestos!$F$6-Supuestos!$E$6))),IF(Supuestos!$C$6="Uniforme",Supuestos!$D$6+C263*(Supuestos!$E$6-Supuestos!$D$6),IF(Supuestos!$C$6="Lognormal",LOGINV(C263,LN(Supuestos!$D$6)-LN(1+Supuestos!$E$6^2/Supuestos!$D$6^2)/2,SQRT(LN(1+Supuestos!$E$6^2/Supuestos!$D$6^2))),Supuestos!$D$6))))))</f>
        <v/>
      </c>
      <c r="K263" s="32">
        <f>MIN(IF(Supuestos!$H$7="",1E+99,Supuestos!$H$7),MAX(IF(Supuestos!$G$7="",-1E+99,Supuestos!$G$7),IF(Supuestos!$C$7="Normal",NORMINV(D263,Supuestos!$D$7,Supuestos!$E$7),IF(Supuestos!$C$7="Triangular",IF(D263&lt;(Supuestos!$E$7-Supuestos!$D$7)/(Supuestos!$F$7-Supuestos!$D$7),Supuestos!$D$7+SQRT(D263*(Supuestos!$F$7-Supuestos!$D$7)*(Supuestos!$E$7-Supuestos!$D$7)),Supuestos!$F$7-SQRT((1-D263)*(Supuestos!$F$7-Supuestos!$D$7)*(Supuestos!$F$7-Supuestos!$E$7))),IF(Supuestos!$C$7="Uniforme",Supuestos!$D$7+D263*(Supuestos!$E$7-Supuestos!$D$7),IF(Supuestos!$C$7="Lognormal",LOGINV(D263,LN(Supuestos!$D$7)-LN(1+Supuestos!$E$7^2/Supuestos!$D$7^2)/2,SQRT(LN(1+Supuestos!$E$7^2/Supuestos!$D$7^2))),Supuestos!$D$7))))))</f>
        <v/>
      </c>
      <c r="L263" s="32">
        <f>MIN(IF(Supuestos!$H$8="",1E+99,Supuestos!$H$8),MAX(IF(Supuestos!$G$8="",-1E+99,Supuestos!$G$8),IF(Supuestos!$C$8="Normal",NORMINV(E263,Supuestos!$D$8,Supuestos!$E$8),IF(Supuestos!$C$8="Triangular",IF(E263&lt;(Supuestos!$E$8-Supuestos!$D$8)/(Supuestos!$F$8-Supuestos!$D$8),Supuestos!$D$8+SQRT(E263*(Supuestos!$F$8-Supuestos!$D$8)*(Supuestos!$E$8-Supuestos!$D$8)),Supuestos!$F$8-SQRT((1-E263)*(Supuestos!$F$8-Supuestos!$D$8)*(Supuestos!$F$8-Supuestos!$E$8))),IF(Supuestos!$C$8="Uniforme",Supuestos!$D$8+E263*(Supuestos!$E$8-Supuestos!$D$8),IF(Supuestos!$C$8="Lognormal",LOGINV(E263,LN(Supuestos!$D$8)-LN(1+Supuestos!$E$8^2/Supuestos!$D$8^2)/2,SQRT(LN(1+Supuestos!$E$8^2/Supuestos!$D$8^2))),Supuestos!$D$8))))))</f>
        <v/>
      </c>
      <c r="M263" s="32">
        <f>MIN(IF(Supuestos!$H$9="",1E+99,Supuestos!$H$9),MAX(IF(Supuestos!$G$9="",-1E+99,Supuestos!$G$9),IF(Supuestos!$C$9="Normal",NORMINV(F263,Supuestos!$D$9,Supuestos!$E$9),IF(Supuestos!$C$9="Triangular",IF(F263&lt;(Supuestos!$E$9-Supuestos!$D$9)/(Supuestos!$F$9-Supuestos!$D$9),Supuestos!$D$9+SQRT(F263*(Supuestos!$F$9-Supuestos!$D$9)*(Supuestos!$E$9-Supuestos!$D$9)),Supuestos!$F$9-SQRT((1-F263)*(Supuestos!$F$9-Supuestos!$D$9)*(Supuestos!$F$9-Supuestos!$E$9))),IF(Supuestos!$C$9="Uniforme",Supuestos!$D$9+F263*(Supuestos!$E$9-Supuestos!$D$9),IF(Supuestos!$C$9="Lognormal",LOGINV(F263,LN(Supuestos!$D$9)-LN(1+Supuestos!$E$9^2/Supuestos!$D$9^2)/2,SQRT(LN(1+Supuestos!$E$9^2/Supuestos!$D$9^2))),Supuestos!$D$9))))))</f>
        <v/>
      </c>
      <c r="N263" s="32">
        <f>MIN(IF(Supuestos!$H$10="",1E+99,Supuestos!$H$10),MAX(IF(Supuestos!$G$10="",-1E+99,Supuestos!$G$10),IF(Supuestos!$C$10="Normal",NORMINV(G263,Supuestos!$D$10,Supuestos!$E$10),IF(Supuestos!$C$10="Triangular",IF(G263&lt;(Supuestos!$E$10-Supuestos!$D$10)/(Supuestos!$F$10-Supuestos!$D$10),Supuestos!$D$10+SQRT(G263*(Supuestos!$F$10-Supuestos!$D$10)*(Supuestos!$E$10-Supuestos!$D$10)),Supuestos!$F$10-SQRT((1-G263)*(Supuestos!$F$10-Supuestos!$D$10)*(Supuestos!$F$10-Supuestos!$E$10))),IF(Supuestos!$C$10="Uniforme",Supuestos!$D$10+G263*(Supuestos!$E$10-Supuestos!$D$10),IF(Supuestos!$C$10="Lognormal",LOGINV(G263,LN(Supuestos!$D$10)-LN(1+Supuestos!$E$10^2/Supuestos!$D$10^2)/2,SQRT(LN(1+Supuestos!$E$10^2/Supuestos!$D$10^2))),Supuestos!$D$10))))))</f>
        <v/>
      </c>
      <c r="O263" s="31">
        <f>MIN(IF(Supuestos!$H$11="",1E+99,Supuestos!$H$11),MAX(IF(Supuestos!$G$11="",-1E+99,Supuestos!$G$11),IF(Supuestos!$C$11="Normal",NORMINV(H263,Supuestos!$D$11,Supuestos!$E$11),IF(Supuestos!$C$11="Triangular",IF(H263&lt;(Supuestos!$E$11-Supuestos!$D$11)/(Supuestos!$F$11-Supuestos!$D$11),Supuestos!$D$11+SQRT(H263*(Supuestos!$F$11-Supuestos!$D$11)*(Supuestos!$E$11-Supuestos!$D$11)),Supuestos!$F$11-SQRT((1-H263)*(Supuestos!$F$11-Supuestos!$D$11)*(Supuestos!$F$11-Supuestos!$E$11))),IF(Supuestos!$C$11="Uniforme",Supuestos!$D$11+H263*(Supuestos!$E$11-Supuestos!$D$11),IF(Supuestos!$C$11="Lognormal",LOGINV(H263,LN(Supuestos!$D$11)-LN(1+Supuestos!$E$11^2/Supuestos!$D$11^2)/2,SQRT(LN(1+Supuestos!$E$11^2/Supuestos!$D$11^2))),Supuestos!$D$11))))))</f>
        <v/>
      </c>
      <c r="P263" s="33">
        <f>-I263</f>
        <v/>
      </c>
      <c r="Q263" s="33">
        <f>$J263*(1+$K263)^(1-1)*(1-$L263)*(1-$M263)</f>
        <v/>
      </c>
      <c r="R263" s="33">
        <f>$J263*(1+$K263)^(2-1)*(1-$L263)*(1-$M263)</f>
        <v/>
      </c>
      <c r="S263" s="33">
        <f>$J263*(1+$K263)^(3-1)*(1-$L263)*(1-$M263)</f>
        <v/>
      </c>
      <c r="T263" s="33">
        <f>$J263*(1+$K263)^(4-1)*(1-$L263)*(1-$M263)</f>
        <v/>
      </c>
      <c r="U263" s="33">
        <f>$J263*(1+$K263)^(5-1)*(1-$L263)*(1-$M263)+$O263</f>
        <v/>
      </c>
      <c r="V263" s="33">
        <f>P263+NPV($N263,Q263:U263)</f>
        <v/>
      </c>
      <c r="W263" s="32">
        <f>IFERROR(IRR(P263:U263,0.1),"")</f>
        <v/>
      </c>
    </row>
    <row r="264">
      <c r="A264" s="14" t="n">
        <v>260</v>
      </c>
      <c r="B264" s="30">
        <f>RAND()*(1-2E-6)+1E-6</f>
        <v/>
      </c>
      <c r="C264" s="30">
        <f>RAND()*(1-2E-6)+1E-6</f>
        <v/>
      </c>
      <c r="D264" s="30">
        <f>RAND()*(1-2E-6)+1E-6</f>
        <v/>
      </c>
      <c r="E264" s="30">
        <f>RAND()*(1-2E-6)+1E-6</f>
        <v/>
      </c>
      <c r="F264" s="30">
        <f>RAND()*(1-2E-6)+1E-6</f>
        <v/>
      </c>
      <c r="G264" s="30">
        <f>RAND()*(1-2E-6)+1E-6</f>
        <v/>
      </c>
      <c r="H264" s="30">
        <f>RAND()*(1-2E-6)+1E-6</f>
        <v/>
      </c>
      <c r="I264" s="31">
        <f>MIN(IF(Supuestos!$H$5="",1E+99,Supuestos!$H$5),MAX(IF(Supuestos!$G$5="",-1E+99,Supuestos!$G$5),IF(Supuestos!$C$5="Normal",NORMINV(B264,Supuestos!$D$5,Supuestos!$E$5),IF(Supuestos!$C$5="Triangular",IF(B264&lt;(Supuestos!$E$5-Supuestos!$D$5)/(Supuestos!$F$5-Supuestos!$D$5),Supuestos!$D$5+SQRT(B264*(Supuestos!$F$5-Supuestos!$D$5)*(Supuestos!$E$5-Supuestos!$D$5)),Supuestos!$F$5-SQRT((1-B264)*(Supuestos!$F$5-Supuestos!$D$5)*(Supuestos!$F$5-Supuestos!$E$5))),IF(Supuestos!$C$5="Uniforme",Supuestos!$D$5+B264*(Supuestos!$E$5-Supuestos!$D$5),IF(Supuestos!$C$5="Lognormal",LOGINV(B264,LN(Supuestos!$D$5)-LN(1+Supuestos!$E$5^2/Supuestos!$D$5^2)/2,SQRT(LN(1+Supuestos!$E$5^2/Supuestos!$D$5^2))),Supuestos!$D$5))))))</f>
        <v/>
      </c>
      <c r="J264" s="31">
        <f>MIN(IF(Supuestos!$H$6="",1E+99,Supuestos!$H$6),MAX(IF(Supuestos!$G$6="",-1E+99,Supuestos!$G$6),IF(Supuestos!$C$6="Normal",NORMINV(C264,Supuestos!$D$6,Supuestos!$E$6),IF(Supuestos!$C$6="Triangular",IF(C264&lt;(Supuestos!$E$6-Supuestos!$D$6)/(Supuestos!$F$6-Supuestos!$D$6),Supuestos!$D$6+SQRT(C264*(Supuestos!$F$6-Supuestos!$D$6)*(Supuestos!$E$6-Supuestos!$D$6)),Supuestos!$F$6-SQRT((1-C264)*(Supuestos!$F$6-Supuestos!$D$6)*(Supuestos!$F$6-Supuestos!$E$6))),IF(Supuestos!$C$6="Uniforme",Supuestos!$D$6+C264*(Supuestos!$E$6-Supuestos!$D$6),IF(Supuestos!$C$6="Lognormal",LOGINV(C264,LN(Supuestos!$D$6)-LN(1+Supuestos!$E$6^2/Supuestos!$D$6^2)/2,SQRT(LN(1+Supuestos!$E$6^2/Supuestos!$D$6^2))),Supuestos!$D$6))))))</f>
        <v/>
      </c>
      <c r="K264" s="32">
        <f>MIN(IF(Supuestos!$H$7="",1E+99,Supuestos!$H$7),MAX(IF(Supuestos!$G$7="",-1E+99,Supuestos!$G$7),IF(Supuestos!$C$7="Normal",NORMINV(D264,Supuestos!$D$7,Supuestos!$E$7),IF(Supuestos!$C$7="Triangular",IF(D264&lt;(Supuestos!$E$7-Supuestos!$D$7)/(Supuestos!$F$7-Supuestos!$D$7),Supuestos!$D$7+SQRT(D264*(Supuestos!$F$7-Supuestos!$D$7)*(Supuestos!$E$7-Supuestos!$D$7)),Supuestos!$F$7-SQRT((1-D264)*(Supuestos!$F$7-Supuestos!$D$7)*(Supuestos!$F$7-Supuestos!$E$7))),IF(Supuestos!$C$7="Uniforme",Supuestos!$D$7+D264*(Supuestos!$E$7-Supuestos!$D$7),IF(Supuestos!$C$7="Lognormal",LOGINV(D264,LN(Supuestos!$D$7)-LN(1+Supuestos!$E$7^2/Supuestos!$D$7^2)/2,SQRT(LN(1+Supuestos!$E$7^2/Supuestos!$D$7^2))),Supuestos!$D$7))))))</f>
        <v/>
      </c>
      <c r="L264" s="32">
        <f>MIN(IF(Supuestos!$H$8="",1E+99,Supuestos!$H$8),MAX(IF(Supuestos!$G$8="",-1E+99,Supuestos!$G$8),IF(Supuestos!$C$8="Normal",NORMINV(E264,Supuestos!$D$8,Supuestos!$E$8),IF(Supuestos!$C$8="Triangular",IF(E264&lt;(Supuestos!$E$8-Supuestos!$D$8)/(Supuestos!$F$8-Supuestos!$D$8),Supuestos!$D$8+SQRT(E264*(Supuestos!$F$8-Supuestos!$D$8)*(Supuestos!$E$8-Supuestos!$D$8)),Supuestos!$F$8-SQRT((1-E264)*(Supuestos!$F$8-Supuestos!$D$8)*(Supuestos!$F$8-Supuestos!$E$8))),IF(Supuestos!$C$8="Uniforme",Supuestos!$D$8+E264*(Supuestos!$E$8-Supuestos!$D$8),IF(Supuestos!$C$8="Lognormal",LOGINV(E264,LN(Supuestos!$D$8)-LN(1+Supuestos!$E$8^2/Supuestos!$D$8^2)/2,SQRT(LN(1+Supuestos!$E$8^2/Supuestos!$D$8^2))),Supuestos!$D$8))))))</f>
        <v/>
      </c>
      <c r="M264" s="32">
        <f>MIN(IF(Supuestos!$H$9="",1E+99,Supuestos!$H$9),MAX(IF(Supuestos!$G$9="",-1E+99,Supuestos!$G$9),IF(Supuestos!$C$9="Normal",NORMINV(F264,Supuestos!$D$9,Supuestos!$E$9),IF(Supuestos!$C$9="Triangular",IF(F264&lt;(Supuestos!$E$9-Supuestos!$D$9)/(Supuestos!$F$9-Supuestos!$D$9),Supuestos!$D$9+SQRT(F264*(Supuestos!$F$9-Supuestos!$D$9)*(Supuestos!$E$9-Supuestos!$D$9)),Supuestos!$F$9-SQRT((1-F264)*(Supuestos!$F$9-Supuestos!$D$9)*(Supuestos!$F$9-Supuestos!$E$9))),IF(Supuestos!$C$9="Uniforme",Supuestos!$D$9+F264*(Supuestos!$E$9-Supuestos!$D$9),IF(Supuestos!$C$9="Lognormal",LOGINV(F264,LN(Supuestos!$D$9)-LN(1+Supuestos!$E$9^2/Supuestos!$D$9^2)/2,SQRT(LN(1+Supuestos!$E$9^2/Supuestos!$D$9^2))),Supuestos!$D$9))))))</f>
        <v/>
      </c>
      <c r="N264" s="32">
        <f>MIN(IF(Supuestos!$H$10="",1E+99,Supuestos!$H$10),MAX(IF(Supuestos!$G$10="",-1E+99,Supuestos!$G$10),IF(Supuestos!$C$10="Normal",NORMINV(G264,Supuestos!$D$10,Supuestos!$E$10),IF(Supuestos!$C$10="Triangular",IF(G264&lt;(Supuestos!$E$10-Supuestos!$D$10)/(Supuestos!$F$10-Supuestos!$D$10),Supuestos!$D$10+SQRT(G264*(Supuestos!$F$10-Supuestos!$D$10)*(Supuestos!$E$10-Supuestos!$D$10)),Supuestos!$F$10-SQRT((1-G264)*(Supuestos!$F$10-Supuestos!$D$10)*(Supuestos!$F$10-Supuestos!$E$10))),IF(Supuestos!$C$10="Uniforme",Supuestos!$D$10+G264*(Supuestos!$E$10-Supuestos!$D$10),IF(Supuestos!$C$10="Lognormal",LOGINV(G264,LN(Supuestos!$D$10)-LN(1+Supuestos!$E$10^2/Supuestos!$D$10^2)/2,SQRT(LN(1+Supuestos!$E$10^2/Supuestos!$D$10^2))),Supuestos!$D$10))))))</f>
        <v/>
      </c>
      <c r="O264" s="31">
        <f>MIN(IF(Supuestos!$H$11="",1E+99,Supuestos!$H$11),MAX(IF(Supuestos!$G$11="",-1E+99,Supuestos!$G$11),IF(Supuestos!$C$11="Normal",NORMINV(H264,Supuestos!$D$11,Supuestos!$E$11),IF(Supuestos!$C$11="Triangular",IF(H264&lt;(Supuestos!$E$11-Supuestos!$D$11)/(Supuestos!$F$11-Supuestos!$D$11),Supuestos!$D$11+SQRT(H264*(Supuestos!$F$11-Supuestos!$D$11)*(Supuestos!$E$11-Supuestos!$D$11)),Supuestos!$F$11-SQRT((1-H264)*(Supuestos!$F$11-Supuestos!$D$11)*(Supuestos!$F$11-Supuestos!$E$11))),IF(Supuestos!$C$11="Uniforme",Supuestos!$D$11+H264*(Supuestos!$E$11-Supuestos!$D$11),IF(Supuestos!$C$11="Lognormal",LOGINV(H264,LN(Supuestos!$D$11)-LN(1+Supuestos!$E$11^2/Supuestos!$D$11^2)/2,SQRT(LN(1+Supuestos!$E$11^2/Supuestos!$D$11^2))),Supuestos!$D$11))))))</f>
        <v/>
      </c>
      <c r="P264" s="33">
        <f>-I264</f>
        <v/>
      </c>
      <c r="Q264" s="33">
        <f>$J264*(1+$K264)^(1-1)*(1-$L264)*(1-$M264)</f>
        <v/>
      </c>
      <c r="R264" s="33">
        <f>$J264*(1+$K264)^(2-1)*(1-$L264)*(1-$M264)</f>
        <v/>
      </c>
      <c r="S264" s="33">
        <f>$J264*(1+$K264)^(3-1)*(1-$L264)*(1-$M264)</f>
        <v/>
      </c>
      <c r="T264" s="33">
        <f>$J264*(1+$K264)^(4-1)*(1-$L264)*(1-$M264)</f>
        <v/>
      </c>
      <c r="U264" s="33">
        <f>$J264*(1+$K264)^(5-1)*(1-$L264)*(1-$M264)+$O264</f>
        <v/>
      </c>
      <c r="V264" s="33">
        <f>P264+NPV($N264,Q264:U264)</f>
        <v/>
      </c>
      <c r="W264" s="32">
        <f>IFERROR(IRR(P264:U264,0.1),"")</f>
        <v/>
      </c>
    </row>
    <row r="265">
      <c r="A265" s="14" t="n">
        <v>261</v>
      </c>
      <c r="B265" s="30">
        <f>RAND()*(1-2E-6)+1E-6</f>
        <v/>
      </c>
      <c r="C265" s="30">
        <f>RAND()*(1-2E-6)+1E-6</f>
        <v/>
      </c>
      <c r="D265" s="30">
        <f>RAND()*(1-2E-6)+1E-6</f>
        <v/>
      </c>
      <c r="E265" s="30">
        <f>RAND()*(1-2E-6)+1E-6</f>
        <v/>
      </c>
      <c r="F265" s="30">
        <f>RAND()*(1-2E-6)+1E-6</f>
        <v/>
      </c>
      <c r="G265" s="30">
        <f>RAND()*(1-2E-6)+1E-6</f>
        <v/>
      </c>
      <c r="H265" s="30">
        <f>RAND()*(1-2E-6)+1E-6</f>
        <v/>
      </c>
      <c r="I265" s="31">
        <f>MIN(IF(Supuestos!$H$5="",1E+99,Supuestos!$H$5),MAX(IF(Supuestos!$G$5="",-1E+99,Supuestos!$G$5),IF(Supuestos!$C$5="Normal",NORMINV(B265,Supuestos!$D$5,Supuestos!$E$5),IF(Supuestos!$C$5="Triangular",IF(B265&lt;(Supuestos!$E$5-Supuestos!$D$5)/(Supuestos!$F$5-Supuestos!$D$5),Supuestos!$D$5+SQRT(B265*(Supuestos!$F$5-Supuestos!$D$5)*(Supuestos!$E$5-Supuestos!$D$5)),Supuestos!$F$5-SQRT((1-B265)*(Supuestos!$F$5-Supuestos!$D$5)*(Supuestos!$F$5-Supuestos!$E$5))),IF(Supuestos!$C$5="Uniforme",Supuestos!$D$5+B265*(Supuestos!$E$5-Supuestos!$D$5),IF(Supuestos!$C$5="Lognormal",LOGINV(B265,LN(Supuestos!$D$5)-LN(1+Supuestos!$E$5^2/Supuestos!$D$5^2)/2,SQRT(LN(1+Supuestos!$E$5^2/Supuestos!$D$5^2))),Supuestos!$D$5))))))</f>
        <v/>
      </c>
      <c r="J265" s="31">
        <f>MIN(IF(Supuestos!$H$6="",1E+99,Supuestos!$H$6),MAX(IF(Supuestos!$G$6="",-1E+99,Supuestos!$G$6),IF(Supuestos!$C$6="Normal",NORMINV(C265,Supuestos!$D$6,Supuestos!$E$6),IF(Supuestos!$C$6="Triangular",IF(C265&lt;(Supuestos!$E$6-Supuestos!$D$6)/(Supuestos!$F$6-Supuestos!$D$6),Supuestos!$D$6+SQRT(C265*(Supuestos!$F$6-Supuestos!$D$6)*(Supuestos!$E$6-Supuestos!$D$6)),Supuestos!$F$6-SQRT((1-C265)*(Supuestos!$F$6-Supuestos!$D$6)*(Supuestos!$F$6-Supuestos!$E$6))),IF(Supuestos!$C$6="Uniforme",Supuestos!$D$6+C265*(Supuestos!$E$6-Supuestos!$D$6),IF(Supuestos!$C$6="Lognormal",LOGINV(C265,LN(Supuestos!$D$6)-LN(1+Supuestos!$E$6^2/Supuestos!$D$6^2)/2,SQRT(LN(1+Supuestos!$E$6^2/Supuestos!$D$6^2))),Supuestos!$D$6))))))</f>
        <v/>
      </c>
      <c r="K265" s="32">
        <f>MIN(IF(Supuestos!$H$7="",1E+99,Supuestos!$H$7),MAX(IF(Supuestos!$G$7="",-1E+99,Supuestos!$G$7),IF(Supuestos!$C$7="Normal",NORMINV(D265,Supuestos!$D$7,Supuestos!$E$7),IF(Supuestos!$C$7="Triangular",IF(D265&lt;(Supuestos!$E$7-Supuestos!$D$7)/(Supuestos!$F$7-Supuestos!$D$7),Supuestos!$D$7+SQRT(D265*(Supuestos!$F$7-Supuestos!$D$7)*(Supuestos!$E$7-Supuestos!$D$7)),Supuestos!$F$7-SQRT((1-D265)*(Supuestos!$F$7-Supuestos!$D$7)*(Supuestos!$F$7-Supuestos!$E$7))),IF(Supuestos!$C$7="Uniforme",Supuestos!$D$7+D265*(Supuestos!$E$7-Supuestos!$D$7),IF(Supuestos!$C$7="Lognormal",LOGINV(D265,LN(Supuestos!$D$7)-LN(1+Supuestos!$E$7^2/Supuestos!$D$7^2)/2,SQRT(LN(1+Supuestos!$E$7^2/Supuestos!$D$7^2))),Supuestos!$D$7))))))</f>
        <v/>
      </c>
      <c r="L265" s="32">
        <f>MIN(IF(Supuestos!$H$8="",1E+99,Supuestos!$H$8),MAX(IF(Supuestos!$G$8="",-1E+99,Supuestos!$G$8),IF(Supuestos!$C$8="Normal",NORMINV(E265,Supuestos!$D$8,Supuestos!$E$8),IF(Supuestos!$C$8="Triangular",IF(E265&lt;(Supuestos!$E$8-Supuestos!$D$8)/(Supuestos!$F$8-Supuestos!$D$8),Supuestos!$D$8+SQRT(E265*(Supuestos!$F$8-Supuestos!$D$8)*(Supuestos!$E$8-Supuestos!$D$8)),Supuestos!$F$8-SQRT((1-E265)*(Supuestos!$F$8-Supuestos!$D$8)*(Supuestos!$F$8-Supuestos!$E$8))),IF(Supuestos!$C$8="Uniforme",Supuestos!$D$8+E265*(Supuestos!$E$8-Supuestos!$D$8),IF(Supuestos!$C$8="Lognormal",LOGINV(E265,LN(Supuestos!$D$8)-LN(1+Supuestos!$E$8^2/Supuestos!$D$8^2)/2,SQRT(LN(1+Supuestos!$E$8^2/Supuestos!$D$8^2))),Supuestos!$D$8))))))</f>
        <v/>
      </c>
      <c r="M265" s="32">
        <f>MIN(IF(Supuestos!$H$9="",1E+99,Supuestos!$H$9),MAX(IF(Supuestos!$G$9="",-1E+99,Supuestos!$G$9),IF(Supuestos!$C$9="Normal",NORMINV(F265,Supuestos!$D$9,Supuestos!$E$9),IF(Supuestos!$C$9="Triangular",IF(F265&lt;(Supuestos!$E$9-Supuestos!$D$9)/(Supuestos!$F$9-Supuestos!$D$9),Supuestos!$D$9+SQRT(F265*(Supuestos!$F$9-Supuestos!$D$9)*(Supuestos!$E$9-Supuestos!$D$9)),Supuestos!$F$9-SQRT((1-F265)*(Supuestos!$F$9-Supuestos!$D$9)*(Supuestos!$F$9-Supuestos!$E$9))),IF(Supuestos!$C$9="Uniforme",Supuestos!$D$9+F265*(Supuestos!$E$9-Supuestos!$D$9),IF(Supuestos!$C$9="Lognormal",LOGINV(F265,LN(Supuestos!$D$9)-LN(1+Supuestos!$E$9^2/Supuestos!$D$9^2)/2,SQRT(LN(1+Supuestos!$E$9^2/Supuestos!$D$9^2))),Supuestos!$D$9))))))</f>
        <v/>
      </c>
      <c r="N265" s="32">
        <f>MIN(IF(Supuestos!$H$10="",1E+99,Supuestos!$H$10),MAX(IF(Supuestos!$G$10="",-1E+99,Supuestos!$G$10),IF(Supuestos!$C$10="Normal",NORMINV(G265,Supuestos!$D$10,Supuestos!$E$10),IF(Supuestos!$C$10="Triangular",IF(G265&lt;(Supuestos!$E$10-Supuestos!$D$10)/(Supuestos!$F$10-Supuestos!$D$10),Supuestos!$D$10+SQRT(G265*(Supuestos!$F$10-Supuestos!$D$10)*(Supuestos!$E$10-Supuestos!$D$10)),Supuestos!$F$10-SQRT((1-G265)*(Supuestos!$F$10-Supuestos!$D$10)*(Supuestos!$F$10-Supuestos!$E$10))),IF(Supuestos!$C$10="Uniforme",Supuestos!$D$10+G265*(Supuestos!$E$10-Supuestos!$D$10),IF(Supuestos!$C$10="Lognormal",LOGINV(G265,LN(Supuestos!$D$10)-LN(1+Supuestos!$E$10^2/Supuestos!$D$10^2)/2,SQRT(LN(1+Supuestos!$E$10^2/Supuestos!$D$10^2))),Supuestos!$D$10))))))</f>
        <v/>
      </c>
      <c r="O265" s="31">
        <f>MIN(IF(Supuestos!$H$11="",1E+99,Supuestos!$H$11),MAX(IF(Supuestos!$G$11="",-1E+99,Supuestos!$G$11),IF(Supuestos!$C$11="Normal",NORMINV(H265,Supuestos!$D$11,Supuestos!$E$11),IF(Supuestos!$C$11="Triangular",IF(H265&lt;(Supuestos!$E$11-Supuestos!$D$11)/(Supuestos!$F$11-Supuestos!$D$11),Supuestos!$D$11+SQRT(H265*(Supuestos!$F$11-Supuestos!$D$11)*(Supuestos!$E$11-Supuestos!$D$11)),Supuestos!$F$11-SQRT((1-H265)*(Supuestos!$F$11-Supuestos!$D$11)*(Supuestos!$F$11-Supuestos!$E$11))),IF(Supuestos!$C$11="Uniforme",Supuestos!$D$11+H265*(Supuestos!$E$11-Supuestos!$D$11),IF(Supuestos!$C$11="Lognormal",LOGINV(H265,LN(Supuestos!$D$11)-LN(1+Supuestos!$E$11^2/Supuestos!$D$11^2)/2,SQRT(LN(1+Supuestos!$E$11^2/Supuestos!$D$11^2))),Supuestos!$D$11))))))</f>
        <v/>
      </c>
      <c r="P265" s="33">
        <f>-I265</f>
        <v/>
      </c>
      <c r="Q265" s="33">
        <f>$J265*(1+$K265)^(1-1)*(1-$L265)*(1-$M265)</f>
        <v/>
      </c>
      <c r="R265" s="33">
        <f>$J265*(1+$K265)^(2-1)*(1-$L265)*(1-$M265)</f>
        <v/>
      </c>
      <c r="S265" s="33">
        <f>$J265*(1+$K265)^(3-1)*(1-$L265)*(1-$M265)</f>
        <v/>
      </c>
      <c r="T265" s="33">
        <f>$J265*(1+$K265)^(4-1)*(1-$L265)*(1-$M265)</f>
        <v/>
      </c>
      <c r="U265" s="33">
        <f>$J265*(1+$K265)^(5-1)*(1-$L265)*(1-$M265)+$O265</f>
        <v/>
      </c>
      <c r="V265" s="33">
        <f>P265+NPV($N265,Q265:U265)</f>
        <v/>
      </c>
      <c r="W265" s="32">
        <f>IFERROR(IRR(P265:U265,0.1),"")</f>
        <v/>
      </c>
    </row>
    <row r="266">
      <c r="A266" s="14" t="n">
        <v>262</v>
      </c>
      <c r="B266" s="30">
        <f>RAND()*(1-2E-6)+1E-6</f>
        <v/>
      </c>
      <c r="C266" s="30">
        <f>RAND()*(1-2E-6)+1E-6</f>
        <v/>
      </c>
      <c r="D266" s="30">
        <f>RAND()*(1-2E-6)+1E-6</f>
        <v/>
      </c>
      <c r="E266" s="30">
        <f>RAND()*(1-2E-6)+1E-6</f>
        <v/>
      </c>
      <c r="F266" s="30">
        <f>RAND()*(1-2E-6)+1E-6</f>
        <v/>
      </c>
      <c r="G266" s="30">
        <f>RAND()*(1-2E-6)+1E-6</f>
        <v/>
      </c>
      <c r="H266" s="30">
        <f>RAND()*(1-2E-6)+1E-6</f>
        <v/>
      </c>
      <c r="I266" s="31">
        <f>MIN(IF(Supuestos!$H$5="",1E+99,Supuestos!$H$5),MAX(IF(Supuestos!$G$5="",-1E+99,Supuestos!$G$5),IF(Supuestos!$C$5="Normal",NORMINV(B266,Supuestos!$D$5,Supuestos!$E$5),IF(Supuestos!$C$5="Triangular",IF(B266&lt;(Supuestos!$E$5-Supuestos!$D$5)/(Supuestos!$F$5-Supuestos!$D$5),Supuestos!$D$5+SQRT(B266*(Supuestos!$F$5-Supuestos!$D$5)*(Supuestos!$E$5-Supuestos!$D$5)),Supuestos!$F$5-SQRT((1-B266)*(Supuestos!$F$5-Supuestos!$D$5)*(Supuestos!$F$5-Supuestos!$E$5))),IF(Supuestos!$C$5="Uniforme",Supuestos!$D$5+B266*(Supuestos!$E$5-Supuestos!$D$5),IF(Supuestos!$C$5="Lognormal",LOGINV(B266,LN(Supuestos!$D$5)-LN(1+Supuestos!$E$5^2/Supuestos!$D$5^2)/2,SQRT(LN(1+Supuestos!$E$5^2/Supuestos!$D$5^2))),Supuestos!$D$5))))))</f>
        <v/>
      </c>
      <c r="J266" s="31">
        <f>MIN(IF(Supuestos!$H$6="",1E+99,Supuestos!$H$6),MAX(IF(Supuestos!$G$6="",-1E+99,Supuestos!$G$6),IF(Supuestos!$C$6="Normal",NORMINV(C266,Supuestos!$D$6,Supuestos!$E$6),IF(Supuestos!$C$6="Triangular",IF(C266&lt;(Supuestos!$E$6-Supuestos!$D$6)/(Supuestos!$F$6-Supuestos!$D$6),Supuestos!$D$6+SQRT(C266*(Supuestos!$F$6-Supuestos!$D$6)*(Supuestos!$E$6-Supuestos!$D$6)),Supuestos!$F$6-SQRT((1-C266)*(Supuestos!$F$6-Supuestos!$D$6)*(Supuestos!$F$6-Supuestos!$E$6))),IF(Supuestos!$C$6="Uniforme",Supuestos!$D$6+C266*(Supuestos!$E$6-Supuestos!$D$6),IF(Supuestos!$C$6="Lognormal",LOGINV(C266,LN(Supuestos!$D$6)-LN(1+Supuestos!$E$6^2/Supuestos!$D$6^2)/2,SQRT(LN(1+Supuestos!$E$6^2/Supuestos!$D$6^2))),Supuestos!$D$6))))))</f>
        <v/>
      </c>
      <c r="K266" s="32">
        <f>MIN(IF(Supuestos!$H$7="",1E+99,Supuestos!$H$7),MAX(IF(Supuestos!$G$7="",-1E+99,Supuestos!$G$7),IF(Supuestos!$C$7="Normal",NORMINV(D266,Supuestos!$D$7,Supuestos!$E$7),IF(Supuestos!$C$7="Triangular",IF(D266&lt;(Supuestos!$E$7-Supuestos!$D$7)/(Supuestos!$F$7-Supuestos!$D$7),Supuestos!$D$7+SQRT(D266*(Supuestos!$F$7-Supuestos!$D$7)*(Supuestos!$E$7-Supuestos!$D$7)),Supuestos!$F$7-SQRT((1-D266)*(Supuestos!$F$7-Supuestos!$D$7)*(Supuestos!$F$7-Supuestos!$E$7))),IF(Supuestos!$C$7="Uniforme",Supuestos!$D$7+D266*(Supuestos!$E$7-Supuestos!$D$7),IF(Supuestos!$C$7="Lognormal",LOGINV(D266,LN(Supuestos!$D$7)-LN(1+Supuestos!$E$7^2/Supuestos!$D$7^2)/2,SQRT(LN(1+Supuestos!$E$7^2/Supuestos!$D$7^2))),Supuestos!$D$7))))))</f>
        <v/>
      </c>
      <c r="L266" s="32">
        <f>MIN(IF(Supuestos!$H$8="",1E+99,Supuestos!$H$8),MAX(IF(Supuestos!$G$8="",-1E+99,Supuestos!$G$8),IF(Supuestos!$C$8="Normal",NORMINV(E266,Supuestos!$D$8,Supuestos!$E$8),IF(Supuestos!$C$8="Triangular",IF(E266&lt;(Supuestos!$E$8-Supuestos!$D$8)/(Supuestos!$F$8-Supuestos!$D$8),Supuestos!$D$8+SQRT(E266*(Supuestos!$F$8-Supuestos!$D$8)*(Supuestos!$E$8-Supuestos!$D$8)),Supuestos!$F$8-SQRT((1-E266)*(Supuestos!$F$8-Supuestos!$D$8)*(Supuestos!$F$8-Supuestos!$E$8))),IF(Supuestos!$C$8="Uniforme",Supuestos!$D$8+E266*(Supuestos!$E$8-Supuestos!$D$8),IF(Supuestos!$C$8="Lognormal",LOGINV(E266,LN(Supuestos!$D$8)-LN(1+Supuestos!$E$8^2/Supuestos!$D$8^2)/2,SQRT(LN(1+Supuestos!$E$8^2/Supuestos!$D$8^2))),Supuestos!$D$8))))))</f>
        <v/>
      </c>
      <c r="M266" s="32">
        <f>MIN(IF(Supuestos!$H$9="",1E+99,Supuestos!$H$9),MAX(IF(Supuestos!$G$9="",-1E+99,Supuestos!$G$9),IF(Supuestos!$C$9="Normal",NORMINV(F266,Supuestos!$D$9,Supuestos!$E$9),IF(Supuestos!$C$9="Triangular",IF(F266&lt;(Supuestos!$E$9-Supuestos!$D$9)/(Supuestos!$F$9-Supuestos!$D$9),Supuestos!$D$9+SQRT(F266*(Supuestos!$F$9-Supuestos!$D$9)*(Supuestos!$E$9-Supuestos!$D$9)),Supuestos!$F$9-SQRT((1-F266)*(Supuestos!$F$9-Supuestos!$D$9)*(Supuestos!$F$9-Supuestos!$E$9))),IF(Supuestos!$C$9="Uniforme",Supuestos!$D$9+F266*(Supuestos!$E$9-Supuestos!$D$9),IF(Supuestos!$C$9="Lognormal",LOGINV(F266,LN(Supuestos!$D$9)-LN(1+Supuestos!$E$9^2/Supuestos!$D$9^2)/2,SQRT(LN(1+Supuestos!$E$9^2/Supuestos!$D$9^2))),Supuestos!$D$9))))))</f>
        <v/>
      </c>
      <c r="N266" s="32">
        <f>MIN(IF(Supuestos!$H$10="",1E+99,Supuestos!$H$10),MAX(IF(Supuestos!$G$10="",-1E+99,Supuestos!$G$10),IF(Supuestos!$C$10="Normal",NORMINV(G266,Supuestos!$D$10,Supuestos!$E$10),IF(Supuestos!$C$10="Triangular",IF(G266&lt;(Supuestos!$E$10-Supuestos!$D$10)/(Supuestos!$F$10-Supuestos!$D$10),Supuestos!$D$10+SQRT(G266*(Supuestos!$F$10-Supuestos!$D$10)*(Supuestos!$E$10-Supuestos!$D$10)),Supuestos!$F$10-SQRT((1-G266)*(Supuestos!$F$10-Supuestos!$D$10)*(Supuestos!$F$10-Supuestos!$E$10))),IF(Supuestos!$C$10="Uniforme",Supuestos!$D$10+G266*(Supuestos!$E$10-Supuestos!$D$10),IF(Supuestos!$C$10="Lognormal",LOGINV(G266,LN(Supuestos!$D$10)-LN(1+Supuestos!$E$10^2/Supuestos!$D$10^2)/2,SQRT(LN(1+Supuestos!$E$10^2/Supuestos!$D$10^2))),Supuestos!$D$10))))))</f>
        <v/>
      </c>
      <c r="O266" s="31">
        <f>MIN(IF(Supuestos!$H$11="",1E+99,Supuestos!$H$11),MAX(IF(Supuestos!$G$11="",-1E+99,Supuestos!$G$11),IF(Supuestos!$C$11="Normal",NORMINV(H266,Supuestos!$D$11,Supuestos!$E$11),IF(Supuestos!$C$11="Triangular",IF(H266&lt;(Supuestos!$E$11-Supuestos!$D$11)/(Supuestos!$F$11-Supuestos!$D$11),Supuestos!$D$11+SQRT(H266*(Supuestos!$F$11-Supuestos!$D$11)*(Supuestos!$E$11-Supuestos!$D$11)),Supuestos!$F$11-SQRT((1-H266)*(Supuestos!$F$11-Supuestos!$D$11)*(Supuestos!$F$11-Supuestos!$E$11))),IF(Supuestos!$C$11="Uniforme",Supuestos!$D$11+H266*(Supuestos!$E$11-Supuestos!$D$11),IF(Supuestos!$C$11="Lognormal",LOGINV(H266,LN(Supuestos!$D$11)-LN(1+Supuestos!$E$11^2/Supuestos!$D$11^2)/2,SQRT(LN(1+Supuestos!$E$11^2/Supuestos!$D$11^2))),Supuestos!$D$11))))))</f>
        <v/>
      </c>
      <c r="P266" s="33">
        <f>-I266</f>
        <v/>
      </c>
      <c r="Q266" s="33">
        <f>$J266*(1+$K266)^(1-1)*(1-$L266)*(1-$M266)</f>
        <v/>
      </c>
      <c r="R266" s="33">
        <f>$J266*(1+$K266)^(2-1)*(1-$L266)*(1-$M266)</f>
        <v/>
      </c>
      <c r="S266" s="33">
        <f>$J266*(1+$K266)^(3-1)*(1-$L266)*(1-$M266)</f>
        <v/>
      </c>
      <c r="T266" s="33">
        <f>$J266*(1+$K266)^(4-1)*(1-$L266)*(1-$M266)</f>
        <v/>
      </c>
      <c r="U266" s="33">
        <f>$J266*(1+$K266)^(5-1)*(1-$L266)*(1-$M266)+$O266</f>
        <v/>
      </c>
      <c r="V266" s="33">
        <f>P266+NPV($N266,Q266:U266)</f>
        <v/>
      </c>
      <c r="W266" s="32">
        <f>IFERROR(IRR(P266:U266,0.1),"")</f>
        <v/>
      </c>
    </row>
    <row r="267">
      <c r="A267" s="14" t="n">
        <v>263</v>
      </c>
      <c r="B267" s="30">
        <f>RAND()*(1-2E-6)+1E-6</f>
        <v/>
      </c>
      <c r="C267" s="30">
        <f>RAND()*(1-2E-6)+1E-6</f>
        <v/>
      </c>
      <c r="D267" s="30">
        <f>RAND()*(1-2E-6)+1E-6</f>
        <v/>
      </c>
      <c r="E267" s="30">
        <f>RAND()*(1-2E-6)+1E-6</f>
        <v/>
      </c>
      <c r="F267" s="30">
        <f>RAND()*(1-2E-6)+1E-6</f>
        <v/>
      </c>
      <c r="G267" s="30">
        <f>RAND()*(1-2E-6)+1E-6</f>
        <v/>
      </c>
      <c r="H267" s="30">
        <f>RAND()*(1-2E-6)+1E-6</f>
        <v/>
      </c>
      <c r="I267" s="31">
        <f>MIN(IF(Supuestos!$H$5="",1E+99,Supuestos!$H$5),MAX(IF(Supuestos!$G$5="",-1E+99,Supuestos!$G$5),IF(Supuestos!$C$5="Normal",NORMINV(B267,Supuestos!$D$5,Supuestos!$E$5),IF(Supuestos!$C$5="Triangular",IF(B267&lt;(Supuestos!$E$5-Supuestos!$D$5)/(Supuestos!$F$5-Supuestos!$D$5),Supuestos!$D$5+SQRT(B267*(Supuestos!$F$5-Supuestos!$D$5)*(Supuestos!$E$5-Supuestos!$D$5)),Supuestos!$F$5-SQRT((1-B267)*(Supuestos!$F$5-Supuestos!$D$5)*(Supuestos!$F$5-Supuestos!$E$5))),IF(Supuestos!$C$5="Uniforme",Supuestos!$D$5+B267*(Supuestos!$E$5-Supuestos!$D$5),IF(Supuestos!$C$5="Lognormal",LOGINV(B267,LN(Supuestos!$D$5)-LN(1+Supuestos!$E$5^2/Supuestos!$D$5^2)/2,SQRT(LN(1+Supuestos!$E$5^2/Supuestos!$D$5^2))),Supuestos!$D$5))))))</f>
        <v/>
      </c>
      <c r="J267" s="31">
        <f>MIN(IF(Supuestos!$H$6="",1E+99,Supuestos!$H$6),MAX(IF(Supuestos!$G$6="",-1E+99,Supuestos!$G$6),IF(Supuestos!$C$6="Normal",NORMINV(C267,Supuestos!$D$6,Supuestos!$E$6),IF(Supuestos!$C$6="Triangular",IF(C267&lt;(Supuestos!$E$6-Supuestos!$D$6)/(Supuestos!$F$6-Supuestos!$D$6),Supuestos!$D$6+SQRT(C267*(Supuestos!$F$6-Supuestos!$D$6)*(Supuestos!$E$6-Supuestos!$D$6)),Supuestos!$F$6-SQRT((1-C267)*(Supuestos!$F$6-Supuestos!$D$6)*(Supuestos!$F$6-Supuestos!$E$6))),IF(Supuestos!$C$6="Uniforme",Supuestos!$D$6+C267*(Supuestos!$E$6-Supuestos!$D$6),IF(Supuestos!$C$6="Lognormal",LOGINV(C267,LN(Supuestos!$D$6)-LN(1+Supuestos!$E$6^2/Supuestos!$D$6^2)/2,SQRT(LN(1+Supuestos!$E$6^2/Supuestos!$D$6^2))),Supuestos!$D$6))))))</f>
        <v/>
      </c>
      <c r="K267" s="32">
        <f>MIN(IF(Supuestos!$H$7="",1E+99,Supuestos!$H$7),MAX(IF(Supuestos!$G$7="",-1E+99,Supuestos!$G$7),IF(Supuestos!$C$7="Normal",NORMINV(D267,Supuestos!$D$7,Supuestos!$E$7),IF(Supuestos!$C$7="Triangular",IF(D267&lt;(Supuestos!$E$7-Supuestos!$D$7)/(Supuestos!$F$7-Supuestos!$D$7),Supuestos!$D$7+SQRT(D267*(Supuestos!$F$7-Supuestos!$D$7)*(Supuestos!$E$7-Supuestos!$D$7)),Supuestos!$F$7-SQRT((1-D267)*(Supuestos!$F$7-Supuestos!$D$7)*(Supuestos!$F$7-Supuestos!$E$7))),IF(Supuestos!$C$7="Uniforme",Supuestos!$D$7+D267*(Supuestos!$E$7-Supuestos!$D$7),IF(Supuestos!$C$7="Lognormal",LOGINV(D267,LN(Supuestos!$D$7)-LN(1+Supuestos!$E$7^2/Supuestos!$D$7^2)/2,SQRT(LN(1+Supuestos!$E$7^2/Supuestos!$D$7^2))),Supuestos!$D$7))))))</f>
        <v/>
      </c>
      <c r="L267" s="32">
        <f>MIN(IF(Supuestos!$H$8="",1E+99,Supuestos!$H$8),MAX(IF(Supuestos!$G$8="",-1E+99,Supuestos!$G$8),IF(Supuestos!$C$8="Normal",NORMINV(E267,Supuestos!$D$8,Supuestos!$E$8),IF(Supuestos!$C$8="Triangular",IF(E267&lt;(Supuestos!$E$8-Supuestos!$D$8)/(Supuestos!$F$8-Supuestos!$D$8),Supuestos!$D$8+SQRT(E267*(Supuestos!$F$8-Supuestos!$D$8)*(Supuestos!$E$8-Supuestos!$D$8)),Supuestos!$F$8-SQRT((1-E267)*(Supuestos!$F$8-Supuestos!$D$8)*(Supuestos!$F$8-Supuestos!$E$8))),IF(Supuestos!$C$8="Uniforme",Supuestos!$D$8+E267*(Supuestos!$E$8-Supuestos!$D$8),IF(Supuestos!$C$8="Lognormal",LOGINV(E267,LN(Supuestos!$D$8)-LN(1+Supuestos!$E$8^2/Supuestos!$D$8^2)/2,SQRT(LN(1+Supuestos!$E$8^2/Supuestos!$D$8^2))),Supuestos!$D$8))))))</f>
        <v/>
      </c>
      <c r="M267" s="32">
        <f>MIN(IF(Supuestos!$H$9="",1E+99,Supuestos!$H$9),MAX(IF(Supuestos!$G$9="",-1E+99,Supuestos!$G$9),IF(Supuestos!$C$9="Normal",NORMINV(F267,Supuestos!$D$9,Supuestos!$E$9),IF(Supuestos!$C$9="Triangular",IF(F267&lt;(Supuestos!$E$9-Supuestos!$D$9)/(Supuestos!$F$9-Supuestos!$D$9),Supuestos!$D$9+SQRT(F267*(Supuestos!$F$9-Supuestos!$D$9)*(Supuestos!$E$9-Supuestos!$D$9)),Supuestos!$F$9-SQRT((1-F267)*(Supuestos!$F$9-Supuestos!$D$9)*(Supuestos!$F$9-Supuestos!$E$9))),IF(Supuestos!$C$9="Uniforme",Supuestos!$D$9+F267*(Supuestos!$E$9-Supuestos!$D$9),IF(Supuestos!$C$9="Lognormal",LOGINV(F267,LN(Supuestos!$D$9)-LN(1+Supuestos!$E$9^2/Supuestos!$D$9^2)/2,SQRT(LN(1+Supuestos!$E$9^2/Supuestos!$D$9^2))),Supuestos!$D$9))))))</f>
        <v/>
      </c>
      <c r="N267" s="32">
        <f>MIN(IF(Supuestos!$H$10="",1E+99,Supuestos!$H$10),MAX(IF(Supuestos!$G$10="",-1E+99,Supuestos!$G$10),IF(Supuestos!$C$10="Normal",NORMINV(G267,Supuestos!$D$10,Supuestos!$E$10),IF(Supuestos!$C$10="Triangular",IF(G267&lt;(Supuestos!$E$10-Supuestos!$D$10)/(Supuestos!$F$10-Supuestos!$D$10),Supuestos!$D$10+SQRT(G267*(Supuestos!$F$10-Supuestos!$D$10)*(Supuestos!$E$10-Supuestos!$D$10)),Supuestos!$F$10-SQRT((1-G267)*(Supuestos!$F$10-Supuestos!$D$10)*(Supuestos!$F$10-Supuestos!$E$10))),IF(Supuestos!$C$10="Uniforme",Supuestos!$D$10+G267*(Supuestos!$E$10-Supuestos!$D$10),IF(Supuestos!$C$10="Lognormal",LOGINV(G267,LN(Supuestos!$D$10)-LN(1+Supuestos!$E$10^2/Supuestos!$D$10^2)/2,SQRT(LN(1+Supuestos!$E$10^2/Supuestos!$D$10^2))),Supuestos!$D$10))))))</f>
        <v/>
      </c>
      <c r="O267" s="31">
        <f>MIN(IF(Supuestos!$H$11="",1E+99,Supuestos!$H$11),MAX(IF(Supuestos!$G$11="",-1E+99,Supuestos!$G$11),IF(Supuestos!$C$11="Normal",NORMINV(H267,Supuestos!$D$11,Supuestos!$E$11),IF(Supuestos!$C$11="Triangular",IF(H267&lt;(Supuestos!$E$11-Supuestos!$D$11)/(Supuestos!$F$11-Supuestos!$D$11),Supuestos!$D$11+SQRT(H267*(Supuestos!$F$11-Supuestos!$D$11)*(Supuestos!$E$11-Supuestos!$D$11)),Supuestos!$F$11-SQRT((1-H267)*(Supuestos!$F$11-Supuestos!$D$11)*(Supuestos!$F$11-Supuestos!$E$11))),IF(Supuestos!$C$11="Uniforme",Supuestos!$D$11+H267*(Supuestos!$E$11-Supuestos!$D$11),IF(Supuestos!$C$11="Lognormal",LOGINV(H267,LN(Supuestos!$D$11)-LN(1+Supuestos!$E$11^2/Supuestos!$D$11^2)/2,SQRT(LN(1+Supuestos!$E$11^2/Supuestos!$D$11^2))),Supuestos!$D$11))))))</f>
        <v/>
      </c>
      <c r="P267" s="33">
        <f>-I267</f>
        <v/>
      </c>
      <c r="Q267" s="33">
        <f>$J267*(1+$K267)^(1-1)*(1-$L267)*(1-$M267)</f>
        <v/>
      </c>
      <c r="R267" s="33">
        <f>$J267*(1+$K267)^(2-1)*(1-$L267)*(1-$M267)</f>
        <v/>
      </c>
      <c r="S267" s="33">
        <f>$J267*(1+$K267)^(3-1)*(1-$L267)*(1-$M267)</f>
        <v/>
      </c>
      <c r="T267" s="33">
        <f>$J267*(1+$K267)^(4-1)*(1-$L267)*(1-$M267)</f>
        <v/>
      </c>
      <c r="U267" s="33">
        <f>$J267*(1+$K267)^(5-1)*(1-$L267)*(1-$M267)+$O267</f>
        <v/>
      </c>
      <c r="V267" s="33">
        <f>P267+NPV($N267,Q267:U267)</f>
        <v/>
      </c>
      <c r="W267" s="32">
        <f>IFERROR(IRR(P267:U267,0.1),"")</f>
        <v/>
      </c>
    </row>
    <row r="268">
      <c r="A268" s="14" t="n">
        <v>264</v>
      </c>
      <c r="B268" s="30">
        <f>RAND()*(1-2E-6)+1E-6</f>
        <v/>
      </c>
      <c r="C268" s="30">
        <f>RAND()*(1-2E-6)+1E-6</f>
        <v/>
      </c>
      <c r="D268" s="30">
        <f>RAND()*(1-2E-6)+1E-6</f>
        <v/>
      </c>
      <c r="E268" s="30">
        <f>RAND()*(1-2E-6)+1E-6</f>
        <v/>
      </c>
      <c r="F268" s="30">
        <f>RAND()*(1-2E-6)+1E-6</f>
        <v/>
      </c>
      <c r="G268" s="30">
        <f>RAND()*(1-2E-6)+1E-6</f>
        <v/>
      </c>
      <c r="H268" s="30">
        <f>RAND()*(1-2E-6)+1E-6</f>
        <v/>
      </c>
      <c r="I268" s="31">
        <f>MIN(IF(Supuestos!$H$5="",1E+99,Supuestos!$H$5),MAX(IF(Supuestos!$G$5="",-1E+99,Supuestos!$G$5),IF(Supuestos!$C$5="Normal",NORMINV(B268,Supuestos!$D$5,Supuestos!$E$5),IF(Supuestos!$C$5="Triangular",IF(B268&lt;(Supuestos!$E$5-Supuestos!$D$5)/(Supuestos!$F$5-Supuestos!$D$5),Supuestos!$D$5+SQRT(B268*(Supuestos!$F$5-Supuestos!$D$5)*(Supuestos!$E$5-Supuestos!$D$5)),Supuestos!$F$5-SQRT((1-B268)*(Supuestos!$F$5-Supuestos!$D$5)*(Supuestos!$F$5-Supuestos!$E$5))),IF(Supuestos!$C$5="Uniforme",Supuestos!$D$5+B268*(Supuestos!$E$5-Supuestos!$D$5),IF(Supuestos!$C$5="Lognormal",LOGINV(B268,LN(Supuestos!$D$5)-LN(1+Supuestos!$E$5^2/Supuestos!$D$5^2)/2,SQRT(LN(1+Supuestos!$E$5^2/Supuestos!$D$5^2))),Supuestos!$D$5))))))</f>
        <v/>
      </c>
      <c r="J268" s="31">
        <f>MIN(IF(Supuestos!$H$6="",1E+99,Supuestos!$H$6),MAX(IF(Supuestos!$G$6="",-1E+99,Supuestos!$G$6),IF(Supuestos!$C$6="Normal",NORMINV(C268,Supuestos!$D$6,Supuestos!$E$6),IF(Supuestos!$C$6="Triangular",IF(C268&lt;(Supuestos!$E$6-Supuestos!$D$6)/(Supuestos!$F$6-Supuestos!$D$6),Supuestos!$D$6+SQRT(C268*(Supuestos!$F$6-Supuestos!$D$6)*(Supuestos!$E$6-Supuestos!$D$6)),Supuestos!$F$6-SQRT((1-C268)*(Supuestos!$F$6-Supuestos!$D$6)*(Supuestos!$F$6-Supuestos!$E$6))),IF(Supuestos!$C$6="Uniforme",Supuestos!$D$6+C268*(Supuestos!$E$6-Supuestos!$D$6),IF(Supuestos!$C$6="Lognormal",LOGINV(C268,LN(Supuestos!$D$6)-LN(1+Supuestos!$E$6^2/Supuestos!$D$6^2)/2,SQRT(LN(1+Supuestos!$E$6^2/Supuestos!$D$6^2))),Supuestos!$D$6))))))</f>
        <v/>
      </c>
      <c r="K268" s="32">
        <f>MIN(IF(Supuestos!$H$7="",1E+99,Supuestos!$H$7),MAX(IF(Supuestos!$G$7="",-1E+99,Supuestos!$G$7),IF(Supuestos!$C$7="Normal",NORMINV(D268,Supuestos!$D$7,Supuestos!$E$7),IF(Supuestos!$C$7="Triangular",IF(D268&lt;(Supuestos!$E$7-Supuestos!$D$7)/(Supuestos!$F$7-Supuestos!$D$7),Supuestos!$D$7+SQRT(D268*(Supuestos!$F$7-Supuestos!$D$7)*(Supuestos!$E$7-Supuestos!$D$7)),Supuestos!$F$7-SQRT((1-D268)*(Supuestos!$F$7-Supuestos!$D$7)*(Supuestos!$F$7-Supuestos!$E$7))),IF(Supuestos!$C$7="Uniforme",Supuestos!$D$7+D268*(Supuestos!$E$7-Supuestos!$D$7),IF(Supuestos!$C$7="Lognormal",LOGINV(D268,LN(Supuestos!$D$7)-LN(1+Supuestos!$E$7^2/Supuestos!$D$7^2)/2,SQRT(LN(1+Supuestos!$E$7^2/Supuestos!$D$7^2))),Supuestos!$D$7))))))</f>
        <v/>
      </c>
      <c r="L268" s="32">
        <f>MIN(IF(Supuestos!$H$8="",1E+99,Supuestos!$H$8),MAX(IF(Supuestos!$G$8="",-1E+99,Supuestos!$G$8),IF(Supuestos!$C$8="Normal",NORMINV(E268,Supuestos!$D$8,Supuestos!$E$8),IF(Supuestos!$C$8="Triangular",IF(E268&lt;(Supuestos!$E$8-Supuestos!$D$8)/(Supuestos!$F$8-Supuestos!$D$8),Supuestos!$D$8+SQRT(E268*(Supuestos!$F$8-Supuestos!$D$8)*(Supuestos!$E$8-Supuestos!$D$8)),Supuestos!$F$8-SQRT((1-E268)*(Supuestos!$F$8-Supuestos!$D$8)*(Supuestos!$F$8-Supuestos!$E$8))),IF(Supuestos!$C$8="Uniforme",Supuestos!$D$8+E268*(Supuestos!$E$8-Supuestos!$D$8),IF(Supuestos!$C$8="Lognormal",LOGINV(E268,LN(Supuestos!$D$8)-LN(1+Supuestos!$E$8^2/Supuestos!$D$8^2)/2,SQRT(LN(1+Supuestos!$E$8^2/Supuestos!$D$8^2))),Supuestos!$D$8))))))</f>
        <v/>
      </c>
      <c r="M268" s="32">
        <f>MIN(IF(Supuestos!$H$9="",1E+99,Supuestos!$H$9),MAX(IF(Supuestos!$G$9="",-1E+99,Supuestos!$G$9),IF(Supuestos!$C$9="Normal",NORMINV(F268,Supuestos!$D$9,Supuestos!$E$9),IF(Supuestos!$C$9="Triangular",IF(F268&lt;(Supuestos!$E$9-Supuestos!$D$9)/(Supuestos!$F$9-Supuestos!$D$9),Supuestos!$D$9+SQRT(F268*(Supuestos!$F$9-Supuestos!$D$9)*(Supuestos!$E$9-Supuestos!$D$9)),Supuestos!$F$9-SQRT((1-F268)*(Supuestos!$F$9-Supuestos!$D$9)*(Supuestos!$F$9-Supuestos!$E$9))),IF(Supuestos!$C$9="Uniforme",Supuestos!$D$9+F268*(Supuestos!$E$9-Supuestos!$D$9),IF(Supuestos!$C$9="Lognormal",LOGINV(F268,LN(Supuestos!$D$9)-LN(1+Supuestos!$E$9^2/Supuestos!$D$9^2)/2,SQRT(LN(1+Supuestos!$E$9^2/Supuestos!$D$9^2))),Supuestos!$D$9))))))</f>
        <v/>
      </c>
      <c r="N268" s="32">
        <f>MIN(IF(Supuestos!$H$10="",1E+99,Supuestos!$H$10),MAX(IF(Supuestos!$G$10="",-1E+99,Supuestos!$G$10),IF(Supuestos!$C$10="Normal",NORMINV(G268,Supuestos!$D$10,Supuestos!$E$10),IF(Supuestos!$C$10="Triangular",IF(G268&lt;(Supuestos!$E$10-Supuestos!$D$10)/(Supuestos!$F$10-Supuestos!$D$10),Supuestos!$D$10+SQRT(G268*(Supuestos!$F$10-Supuestos!$D$10)*(Supuestos!$E$10-Supuestos!$D$10)),Supuestos!$F$10-SQRT((1-G268)*(Supuestos!$F$10-Supuestos!$D$10)*(Supuestos!$F$10-Supuestos!$E$10))),IF(Supuestos!$C$10="Uniforme",Supuestos!$D$10+G268*(Supuestos!$E$10-Supuestos!$D$10),IF(Supuestos!$C$10="Lognormal",LOGINV(G268,LN(Supuestos!$D$10)-LN(1+Supuestos!$E$10^2/Supuestos!$D$10^2)/2,SQRT(LN(1+Supuestos!$E$10^2/Supuestos!$D$10^2))),Supuestos!$D$10))))))</f>
        <v/>
      </c>
      <c r="O268" s="31">
        <f>MIN(IF(Supuestos!$H$11="",1E+99,Supuestos!$H$11),MAX(IF(Supuestos!$G$11="",-1E+99,Supuestos!$G$11),IF(Supuestos!$C$11="Normal",NORMINV(H268,Supuestos!$D$11,Supuestos!$E$11),IF(Supuestos!$C$11="Triangular",IF(H268&lt;(Supuestos!$E$11-Supuestos!$D$11)/(Supuestos!$F$11-Supuestos!$D$11),Supuestos!$D$11+SQRT(H268*(Supuestos!$F$11-Supuestos!$D$11)*(Supuestos!$E$11-Supuestos!$D$11)),Supuestos!$F$11-SQRT((1-H268)*(Supuestos!$F$11-Supuestos!$D$11)*(Supuestos!$F$11-Supuestos!$E$11))),IF(Supuestos!$C$11="Uniforme",Supuestos!$D$11+H268*(Supuestos!$E$11-Supuestos!$D$11),IF(Supuestos!$C$11="Lognormal",LOGINV(H268,LN(Supuestos!$D$11)-LN(1+Supuestos!$E$11^2/Supuestos!$D$11^2)/2,SQRT(LN(1+Supuestos!$E$11^2/Supuestos!$D$11^2))),Supuestos!$D$11))))))</f>
        <v/>
      </c>
      <c r="P268" s="33">
        <f>-I268</f>
        <v/>
      </c>
      <c r="Q268" s="33">
        <f>$J268*(1+$K268)^(1-1)*(1-$L268)*(1-$M268)</f>
        <v/>
      </c>
      <c r="R268" s="33">
        <f>$J268*(1+$K268)^(2-1)*(1-$L268)*(1-$M268)</f>
        <v/>
      </c>
      <c r="S268" s="33">
        <f>$J268*(1+$K268)^(3-1)*(1-$L268)*(1-$M268)</f>
        <v/>
      </c>
      <c r="T268" s="33">
        <f>$J268*(1+$K268)^(4-1)*(1-$L268)*(1-$M268)</f>
        <v/>
      </c>
      <c r="U268" s="33">
        <f>$J268*(1+$K268)^(5-1)*(1-$L268)*(1-$M268)+$O268</f>
        <v/>
      </c>
      <c r="V268" s="33">
        <f>P268+NPV($N268,Q268:U268)</f>
        <v/>
      </c>
      <c r="W268" s="32">
        <f>IFERROR(IRR(P268:U268,0.1),"")</f>
        <v/>
      </c>
    </row>
    <row r="269">
      <c r="A269" s="14" t="n">
        <v>265</v>
      </c>
      <c r="B269" s="30">
        <f>RAND()*(1-2E-6)+1E-6</f>
        <v/>
      </c>
      <c r="C269" s="30">
        <f>RAND()*(1-2E-6)+1E-6</f>
        <v/>
      </c>
      <c r="D269" s="30">
        <f>RAND()*(1-2E-6)+1E-6</f>
        <v/>
      </c>
      <c r="E269" s="30">
        <f>RAND()*(1-2E-6)+1E-6</f>
        <v/>
      </c>
      <c r="F269" s="30">
        <f>RAND()*(1-2E-6)+1E-6</f>
        <v/>
      </c>
      <c r="G269" s="30">
        <f>RAND()*(1-2E-6)+1E-6</f>
        <v/>
      </c>
      <c r="H269" s="30">
        <f>RAND()*(1-2E-6)+1E-6</f>
        <v/>
      </c>
      <c r="I269" s="31">
        <f>MIN(IF(Supuestos!$H$5="",1E+99,Supuestos!$H$5),MAX(IF(Supuestos!$G$5="",-1E+99,Supuestos!$G$5),IF(Supuestos!$C$5="Normal",NORMINV(B269,Supuestos!$D$5,Supuestos!$E$5),IF(Supuestos!$C$5="Triangular",IF(B269&lt;(Supuestos!$E$5-Supuestos!$D$5)/(Supuestos!$F$5-Supuestos!$D$5),Supuestos!$D$5+SQRT(B269*(Supuestos!$F$5-Supuestos!$D$5)*(Supuestos!$E$5-Supuestos!$D$5)),Supuestos!$F$5-SQRT((1-B269)*(Supuestos!$F$5-Supuestos!$D$5)*(Supuestos!$F$5-Supuestos!$E$5))),IF(Supuestos!$C$5="Uniforme",Supuestos!$D$5+B269*(Supuestos!$E$5-Supuestos!$D$5),IF(Supuestos!$C$5="Lognormal",LOGINV(B269,LN(Supuestos!$D$5)-LN(1+Supuestos!$E$5^2/Supuestos!$D$5^2)/2,SQRT(LN(1+Supuestos!$E$5^2/Supuestos!$D$5^2))),Supuestos!$D$5))))))</f>
        <v/>
      </c>
      <c r="J269" s="31">
        <f>MIN(IF(Supuestos!$H$6="",1E+99,Supuestos!$H$6),MAX(IF(Supuestos!$G$6="",-1E+99,Supuestos!$G$6),IF(Supuestos!$C$6="Normal",NORMINV(C269,Supuestos!$D$6,Supuestos!$E$6),IF(Supuestos!$C$6="Triangular",IF(C269&lt;(Supuestos!$E$6-Supuestos!$D$6)/(Supuestos!$F$6-Supuestos!$D$6),Supuestos!$D$6+SQRT(C269*(Supuestos!$F$6-Supuestos!$D$6)*(Supuestos!$E$6-Supuestos!$D$6)),Supuestos!$F$6-SQRT((1-C269)*(Supuestos!$F$6-Supuestos!$D$6)*(Supuestos!$F$6-Supuestos!$E$6))),IF(Supuestos!$C$6="Uniforme",Supuestos!$D$6+C269*(Supuestos!$E$6-Supuestos!$D$6),IF(Supuestos!$C$6="Lognormal",LOGINV(C269,LN(Supuestos!$D$6)-LN(1+Supuestos!$E$6^2/Supuestos!$D$6^2)/2,SQRT(LN(1+Supuestos!$E$6^2/Supuestos!$D$6^2))),Supuestos!$D$6))))))</f>
        <v/>
      </c>
      <c r="K269" s="32">
        <f>MIN(IF(Supuestos!$H$7="",1E+99,Supuestos!$H$7),MAX(IF(Supuestos!$G$7="",-1E+99,Supuestos!$G$7),IF(Supuestos!$C$7="Normal",NORMINV(D269,Supuestos!$D$7,Supuestos!$E$7),IF(Supuestos!$C$7="Triangular",IF(D269&lt;(Supuestos!$E$7-Supuestos!$D$7)/(Supuestos!$F$7-Supuestos!$D$7),Supuestos!$D$7+SQRT(D269*(Supuestos!$F$7-Supuestos!$D$7)*(Supuestos!$E$7-Supuestos!$D$7)),Supuestos!$F$7-SQRT((1-D269)*(Supuestos!$F$7-Supuestos!$D$7)*(Supuestos!$F$7-Supuestos!$E$7))),IF(Supuestos!$C$7="Uniforme",Supuestos!$D$7+D269*(Supuestos!$E$7-Supuestos!$D$7),IF(Supuestos!$C$7="Lognormal",LOGINV(D269,LN(Supuestos!$D$7)-LN(1+Supuestos!$E$7^2/Supuestos!$D$7^2)/2,SQRT(LN(1+Supuestos!$E$7^2/Supuestos!$D$7^2))),Supuestos!$D$7))))))</f>
        <v/>
      </c>
      <c r="L269" s="32">
        <f>MIN(IF(Supuestos!$H$8="",1E+99,Supuestos!$H$8),MAX(IF(Supuestos!$G$8="",-1E+99,Supuestos!$G$8),IF(Supuestos!$C$8="Normal",NORMINV(E269,Supuestos!$D$8,Supuestos!$E$8),IF(Supuestos!$C$8="Triangular",IF(E269&lt;(Supuestos!$E$8-Supuestos!$D$8)/(Supuestos!$F$8-Supuestos!$D$8),Supuestos!$D$8+SQRT(E269*(Supuestos!$F$8-Supuestos!$D$8)*(Supuestos!$E$8-Supuestos!$D$8)),Supuestos!$F$8-SQRT((1-E269)*(Supuestos!$F$8-Supuestos!$D$8)*(Supuestos!$F$8-Supuestos!$E$8))),IF(Supuestos!$C$8="Uniforme",Supuestos!$D$8+E269*(Supuestos!$E$8-Supuestos!$D$8),IF(Supuestos!$C$8="Lognormal",LOGINV(E269,LN(Supuestos!$D$8)-LN(1+Supuestos!$E$8^2/Supuestos!$D$8^2)/2,SQRT(LN(1+Supuestos!$E$8^2/Supuestos!$D$8^2))),Supuestos!$D$8))))))</f>
        <v/>
      </c>
      <c r="M269" s="32">
        <f>MIN(IF(Supuestos!$H$9="",1E+99,Supuestos!$H$9),MAX(IF(Supuestos!$G$9="",-1E+99,Supuestos!$G$9),IF(Supuestos!$C$9="Normal",NORMINV(F269,Supuestos!$D$9,Supuestos!$E$9),IF(Supuestos!$C$9="Triangular",IF(F269&lt;(Supuestos!$E$9-Supuestos!$D$9)/(Supuestos!$F$9-Supuestos!$D$9),Supuestos!$D$9+SQRT(F269*(Supuestos!$F$9-Supuestos!$D$9)*(Supuestos!$E$9-Supuestos!$D$9)),Supuestos!$F$9-SQRT((1-F269)*(Supuestos!$F$9-Supuestos!$D$9)*(Supuestos!$F$9-Supuestos!$E$9))),IF(Supuestos!$C$9="Uniforme",Supuestos!$D$9+F269*(Supuestos!$E$9-Supuestos!$D$9),IF(Supuestos!$C$9="Lognormal",LOGINV(F269,LN(Supuestos!$D$9)-LN(1+Supuestos!$E$9^2/Supuestos!$D$9^2)/2,SQRT(LN(1+Supuestos!$E$9^2/Supuestos!$D$9^2))),Supuestos!$D$9))))))</f>
        <v/>
      </c>
      <c r="N269" s="32">
        <f>MIN(IF(Supuestos!$H$10="",1E+99,Supuestos!$H$10),MAX(IF(Supuestos!$G$10="",-1E+99,Supuestos!$G$10),IF(Supuestos!$C$10="Normal",NORMINV(G269,Supuestos!$D$10,Supuestos!$E$10),IF(Supuestos!$C$10="Triangular",IF(G269&lt;(Supuestos!$E$10-Supuestos!$D$10)/(Supuestos!$F$10-Supuestos!$D$10),Supuestos!$D$10+SQRT(G269*(Supuestos!$F$10-Supuestos!$D$10)*(Supuestos!$E$10-Supuestos!$D$10)),Supuestos!$F$10-SQRT((1-G269)*(Supuestos!$F$10-Supuestos!$D$10)*(Supuestos!$F$10-Supuestos!$E$10))),IF(Supuestos!$C$10="Uniforme",Supuestos!$D$10+G269*(Supuestos!$E$10-Supuestos!$D$10),IF(Supuestos!$C$10="Lognormal",LOGINV(G269,LN(Supuestos!$D$10)-LN(1+Supuestos!$E$10^2/Supuestos!$D$10^2)/2,SQRT(LN(1+Supuestos!$E$10^2/Supuestos!$D$10^2))),Supuestos!$D$10))))))</f>
        <v/>
      </c>
      <c r="O269" s="31">
        <f>MIN(IF(Supuestos!$H$11="",1E+99,Supuestos!$H$11),MAX(IF(Supuestos!$G$11="",-1E+99,Supuestos!$G$11),IF(Supuestos!$C$11="Normal",NORMINV(H269,Supuestos!$D$11,Supuestos!$E$11),IF(Supuestos!$C$11="Triangular",IF(H269&lt;(Supuestos!$E$11-Supuestos!$D$11)/(Supuestos!$F$11-Supuestos!$D$11),Supuestos!$D$11+SQRT(H269*(Supuestos!$F$11-Supuestos!$D$11)*(Supuestos!$E$11-Supuestos!$D$11)),Supuestos!$F$11-SQRT((1-H269)*(Supuestos!$F$11-Supuestos!$D$11)*(Supuestos!$F$11-Supuestos!$E$11))),IF(Supuestos!$C$11="Uniforme",Supuestos!$D$11+H269*(Supuestos!$E$11-Supuestos!$D$11),IF(Supuestos!$C$11="Lognormal",LOGINV(H269,LN(Supuestos!$D$11)-LN(1+Supuestos!$E$11^2/Supuestos!$D$11^2)/2,SQRT(LN(1+Supuestos!$E$11^2/Supuestos!$D$11^2))),Supuestos!$D$11))))))</f>
        <v/>
      </c>
      <c r="P269" s="33">
        <f>-I269</f>
        <v/>
      </c>
      <c r="Q269" s="33">
        <f>$J269*(1+$K269)^(1-1)*(1-$L269)*(1-$M269)</f>
        <v/>
      </c>
      <c r="R269" s="33">
        <f>$J269*(1+$K269)^(2-1)*(1-$L269)*(1-$M269)</f>
        <v/>
      </c>
      <c r="S269" s="33">
        <f>$J269*(1+$K269)^(3-1)*(1-$L269)*(1-$M269)</f>
        <v/>
      </c>
      <c r="T269" s="33">
        <f>$J269*(1+$K269)^(4-1)*(1-$L269)*(1-$M269)</f>
        <v/>
      </c>
      <c r="U269" s="33">
        <f>$J269*(1+$K269)^(5-1)*(1-$L269)*(1-$M269)+$O269</f>
        <v/>
      </c>
      <c r="V269" s="33">
        <f>P269+NPV($N269,Q269:U269)</f>
        <v/>
      </c>
      <c r="W269" s="32">
        <f>IFERROR(IRR(P269:U269,0.1),"")</f>
        <v/>
      </c>
    </row>
    <row r="270">
      <c r="A270" s="14" t="n">
        <v>266</v>
      </c>
      <c r="B270" s="30">
        <f>RAND()*(1-2E-6)+1E-6</f>
        <v/>
      </c>
      <c r="C270" s="30">
        <f>RAND()*(1-2E-6)+1E-6</f>
        <v/>
      </c>
      <c r="D270" s="30">
        <f>RAND()*(1-2E-6)+1E-6</f>
        <v/>
      </c>
      <c r="E270" s="30">
        <f>RAND()*(1-2E-6)+1E-6</f>
        <v/>
      </c>
      <c r="F270" s="30">
        <f>RAND()*(1-2E-6)+1E-6</f>
        <v/>
      </c>
      <c r="G270" s="30">
        <f>RAND()*(1-2E-6)+1E-6</f>
        <v/>
      </c>
      <c r="H270" s="30">
        <f>RAND()*(1-2E-6)+1E-6</f>
        <v/>
      </c>
      <c r="I270" s="31">
        <f>MIN(IF(Supuestos!$H$5="",1E+99,Supuestos!$H$5),MAX(IF(Supuestos!$G$5="",-1E+99,Supuestos!$G$5),IF(Supuestos!$C$5="Normal",NORMINV(B270,Supuestos!$D$5,Supuestos!$E$5),IF(Supuestos!$C$5="Triangular",IF(B270&lt;(Supuestos!$E$5-Supuestos!$D$5)/(Supuestos!$F$5-Supuestos!$D$5),Supuestos!$D$5+SQRT(B270*(Supuestos!$F$5-Supuestos!$D$5)*(Supuestos!$E$5-Supuestos!$D$5)),Supuestos!$F$5-SQRT((1-B270)*(Supuestos!$F$5-Supuestos!$D$5)*(Supuestos!$F$5-Supuestos!$E$5))),IF(Supuestos!$C$5="Uniforme",Supuestos!$D$5+B270*(Supuestos!$E$5-Supuestos!$D$5),IF(Supuestos!$C$5="Lognormal",LOGINV(B270,LN(Supuestos!$D$5)-LN(1+Supuestos!$E$5^2/Supuestos!$D$5^2)/2,SQRT(LN(1+Supuestos!$E$5^2/Supuestos!$D$5^2))),Supuestos!$D$5))))))</f>
        <v/>
      </c>
      <c r="J270" s="31">
        <f>MIN(IF(Supuestos!$H$6="",1E+99,Supuestos!$H$6),MAX(IF(Supuestos!$G$6="",-1E+99,Supuestos!$G$6),IF(Supuestos!$C$6="Normal",NORMINV(C270,Supuestos!$D$6,Supuestos!$E$6),IF(Supuestos!$C$6="Triangular",IF(C270&lt;(Supuestos!$E$6-Supuestos!$D$6)/(Supuestos!$F$6-Supuestos!$D$6),Supuestos!$D$6+SQRT(C270*(Supuestos!$F$6-Supuestos!$D$6)*(Supuestos!$E$6-Supuestos!$D$6)),Supuestos!$F$6-SQRT((1-C270)*(Supuestos!$F$6-Supuestos!$D$6)*(Supuestos!$F$6-Supuestos!$E$6))),IF(Supuestos!$C$6="Uniforme",Supuestos!$D$6+C270*(Supuestos!$E$6-Supuestos!$D$6),IF(Supuestos!$C$6="Lognormal",LOGINV(C270,LN(Supuestos!$D$6)-LN(1+Supuestos!$E$6^2/Supuestos!$D$6^2)/2,SQRT(LN(1+Supuestos!$E$6^2/Supuestos!$D$6^2))),Supuestos!$D$6))))))</f>
        <v/>
      </c>
      <c r="K270" s="32">
        <f>MIN(IF(Supuestos!$H$7="",1E+99,Supuestos!$H$7),MAX(IF(Supuestos!$G$7="",-1E+99,Supuestos!$G$7),IF(Supuestos!$C$7="Normal",NORMINV(D270,Supuestos!$D$7,Supuestos!$E$7),IF(Supuestos!$C$7="Triangular",IF(D270&lt;(Supuestos!$E$7-Supuestos!$D$7)/(Supuestos!$F$7-Supuestos!$D$7),Supuestos!$D$7+SQRT(D270*(Supuestos!$F$7-Supuestos!$D$7)*(Supuestos!$E$7-Supuestos!$D$7)),Supuestos!$F$7-SQRT((1-D270)*(Supuestos!$F$7-Supuestos!$D$7)*(Supuestos!$F$7-Supuestos!$E$7))),IF(Supuestos!$C$7="Uniforme",Supuestos!$D$7+D270*(Supuestos!$E$7-Supuestos!$D$7),IF(Supuestos!$C$7="Lognormal",LOGINV(D270,LN(Supuestos!$D$7)-LN(1+Supuestos!$E$7^2/Supuestos!$D$7^2)/2,SQRT(LN(1+Supuestos!$E$7^2/Supuestos!$D$7^2))),Supuestos!$D$7))))))</f>
        <v/>
      </c>
      <c r="L270" s="32">
        <f>MIN(IF(Supuestos!$H$8="",1E+99,Supuestos!$H$8),MAX(IF(Supuestos!$G$8="",-1E+99,Supuestos!$G$8),IF(Supuestos!$C$8="Normal",NORMINV(E270,Supuestos!$D$8,Supuestos!$E$8),IF(Supuestos!$C$8="Triangular",IF(E270&lt;(Supuestos!$E$8-Supuestos!$D$8)/(Supuestos!$F$8-Supuestos!$D$8),Supuestos!$D$8+SQRT(E270*(Supuestos!$F$8-Supuestos!$D$8)*(Supuestos!$E$8-Supuestos!$D$8)),Supuestos!$F$8-SQRT((1-E270)*(Supuestos!$F$8-Supuestos!$D$8)*(Supuestos!$F$8-Supuestos!$E$8))),IF(Supuestos!$C$8="Uniforme",Supuestos!$D$8+E270*(Supuestos!$E$8-Supuestos!$D$8),IF(Supuestos!$C$8="Lognormal",LOGINV(E270,LN(Supuestos!$D$8)-LN(1+Supuestos!$E$8^2/Supuestos!$D$8^2)/2,SQRT(LN(1+Supuestos!$E$8^2/Supuestos!$D$8^2))),Supuestos!$D$8))))))</f>
        <v/>
      </c>
      <c r="M270" s="32">
        <f>MIN(IF(Supuestos!$H$9="",1E+99,Supuestos!$H$9),MAX(IF(Supuestos!$G$9="",-1E+99,Supuestos!$G$9),IF(Supuestos!$C$9="Normal",NORMINV(F270,Supuestos!$D$9,Supuestos!$E$9),IF(Supuestos!$C$9="Triangular",IF(F270&lt;(Supuestos!$E$9-Supuestos!$D$9)/(Supuestos!$F$9-Supuestos!$D$9),Supuestos!$D$9+SQRT(F270*(Supuestos!$F$9-Supuestos!$D$9)*(Supuestos!$E$9-Supuestos!$D$9)),Supuestos!$F$9-SQRT((1-F270)*(Supuestos!$F$9-Supuestos!$D$9)*(Supuestos!$F$9-Supuestos!$E$9))),IF(Supuestos!$C$9="Uniforme",Supuestos!$D$9+F270*(Supuestos!$E$9-Supuestos!$D$9),IF(Supuestos!$C$9="Lognormal",LOGINV(F270,LN(Supuestos!$D$9)-LN(1+Supuestos!$E$9^2/Supuestos!$D$9^2)/2,SQRT(LN(1+Supuestos!$E$9^2/Supuestos!$D$9^2))),Supuestos!$D$9))))))</f>
        <v/>
      </c>
      <c r="N270" s="32">
        <f>MIN(IF(Supuestos!$H$10="",1E+99,Supuestos!$H$10),MAX(IF(Supuestos!$G$10="",-1E+99,Supuestos!$G$10),IF(Supuestos!$C$10="Normal",NORMINV(G270,Supuestos!$D$10,Supuestos!$E$10),IF(Supuestos!$C$10="Triangular",IF(G270&lt;(Supuestos!$E$10-Supuestos!$D$10)/(Supuestos!$F$10-Supuestos!$D$10),Supuestos!$D$10+SQRT(G270*(Supuestos!$F$10-Supuestos!$D$10)*(Supuestos!$E$10-Supuestos!$D$10)),Supuestos!$F$10-SQRT((1-G270)*(Supuestos!$F$10-Supuestos!$D$10)*(Supuestos!$F$10-Supuestos!$E$10))),IF(Supuestos!$C$10="Uniforme",Supuestos!$D$10+G270*(Supuestos!$E$10-Supuestos!$D$10),IF(Supuestos!$C$10="Lognormal",LOGINV(G270,LN(Supuestos!$D$10)-LN(1+Supuestos!$E$10^2/Supuestos!$D$10^2)/2,SQRT(LN(1+Supuestos!$E$10^2/Supuestos!$D$10^2))),Supuestos!$D$10))))))</f>
        <v/>
      </c>
      <c r="O270" s="31">
        <f>MIN(IF(Supuestos!$H$11="",1E+99,Supuestos!$H$11),MAX(IF(Supuestos!$G$11="",-1E+99,Supuestos!$G$11),IF(Supuestos!$C$11="Normal",NORMINV(H270,Supuestos!$D$11,Supuestos!$E$11),IF(Supuestos!$C$11="Triangular",IF(H270&lt;(Supuestos!$E$11-Supuestos!$D$11)/(Supuestos!$F$11-Supuestos!$D$11),Supuestos!$D$11+SQRT(H270*(Supuestos!$F$11-Supuestos!$D$11)*(Supuestos!$E$11-Supuestos!$D$11)),Supuestos!$F$11-SQRT((1-H270)*(Supuestos!$F$11-Supuestos!$D$11)*(Supuestos!$F$11-Supuestos!$E$11))),IF(Supuestos!$C$11="Uniforme",Supuestos!$D$11+H270*(Supuestos!$E$11-Supuestos!$D$11),IF(Supuestos!$C$11="Lognormal",LOGINV(H270,LN(Supuestos!$D$11)-LN(1+Supuestos!$E$11^2/Supuestos!$D$11^2)/2,SQRT(LN(1+Supuestos!$E$11^2/Supuestos!$D$11^2))),Supuestos!$D$11))))))</f>
        <v/>
      </c>
      <c r="P270" s="33">
        <f>-I270</f>
        <v/>
      </c>
      <c r="Q270" s="33">
        <f>$J270*(1+$K270)^(1-1)*(1-$L270)*(1-$M270)</f>
        <v/>
      </c>
      <c r="R270" s="33">
        <f>$J270*(1+$K270)^(2-1)*(1-$L270)*(1-$M270)</f>
        <v/>
      </c>
      <c r="S270" s="33">
        <f>$J270*(1+$K270)^(3-1)*(1-$L270)*(1-$M270)</f>
        <v/>
      </c>
      <c r="T270" s="33">
        <f>$J270*(1+$K270)^(4-1)*(1-$L270)*(1-$M270)</f>
        <v/>
      </c>
      <c r="U270" s="33">
        <f>$J270*(1+$K270)^(5-1)*(1-$L270)*(1-$M270)+$O270</f>
        <v/>
      </c>
      <c r="V270" s="33">
        <f>P270+NPV($N270,Q270:U270)</f>
        <v/>
      </c>
      <c r="W270" s="32">
        <f>IFERROR(IRR(P270:U270,0.1),"")</f>
        <v/>
      </c>
    </row>
    <row r="271">
      <c r="A271" s="14" t="n">
        <v>267</v>
      </c>
      <c r="B271" s="30">
        <f>RAND()*(1-2E-6)+1E-6</f>
        <v/>
      </c>
      <c r="C271" s="30">
        <f>RAND()*(1-2E-6)+1E-6</f>
        <v/>
      </c>
      <c r="D271" s="30">
        <f>RAND()*(1-2E-6)+1E-6</f>
        <v/>
      </c>
      <c r="E271" s="30">
        <f>RAND()*(1-2E-6)+1E-6</f>
        <v/>
      </c>
      <c r="F271" s="30">
        <f>RAND()*(1-2E-6)+1E-6</f>
        <v/>
      </c>
      <c r="G271" s="30">
        <f>RAND()*(1-2E-6)+1E-6</f>
        <v/>
      </c>
      <c r="H271" s="30">
        <f>RAND()*(1-2E-6)+1E-6</f>
        <v/>
      </c>
      <c r="I271" s="31">
        <f>MIN(IF(Supuestos!$H$5="",1E+99,Supuestos!$H$5),MAX(IF(Supuestos!$G$5="",-1E+99,Supuestos!$G$5),IF(Supuestos!$C$5="Normal",NORMINV(B271,Supuestos!$D$5,Supuestos!$E$5),IF(Supuestos!$C$5="Triangular",IF(B271&lt;(Supuestos!$E$5-Supuestos!$D$5)/(Supuestos!$F$5-Supuestos!$D$5),Supuestos!$D$5+SQRT(B271*(Supuestos!$F$5-Supuestos!$D$5)*(Supuestos!$E$5-Supuestos!$D$5)),Supuestos!$F$5-SQRT((1-B271)*(Supuestos!$F$5-Supuestos!$D$5)*(Supuestos!$F$5-Supuestos!$E$5))),IF(Supuestos!$C$5="Uniforme",Supuestos!$D$5+B271*(Supuestos!$E$5-Supuestos!$D$5),IF(Supuestos!$C$5="Lognormal",LOGINV(B271,LN(Supuestos!$D$5)-LN(1+Supuestos!$E$5^2/Supuestos!$D$5^2)/2,SQRT(LN(1+Supuestos!$E$5^2/Supuestos!$D$5^2))),Supuestos!$D$5))))))</f>
        <v/>
      </c>
      <c r="J271" s="31">
        <f>MIN(IF(Supuestos!$H$6="",1E+99,Supuestos!$H$6),MAX(IF(Supuestos!$G$6="",-1E+99,Supuestos!$G$6),IF(Supuestos!$C$6="Normal",NORMINV(C271,Supuestos!$D$6,Supuestos!$E$6),IF(Supuestos!$C$6="Triangular",IF(C271&lt;(Supuestos!$E$6-Supuestos!$D$6)/(Supuestos!$F$6-Supuestos!$D$6),Supuestos!$D$6+SQRT(C271*(Supuestos!$F$6-Supuestos!$D$6)*(Supuestos!$E$6-Supuestos!$D$6)),Supuestos!$F$6-SQRT((1-C271)*(Supuestos!$F$6-Supuestos!$D$6)*(Supuestos!$F$6-Supuestos!$E$6))),IF(Supuestos!$C$6="Uniforme",Supuestos!$D$6+C271*(Supuestos!$E$6-Supuestos!$D$6),IF(Supuestos!$C$6="Lognormal",LOGINV(C271,LN(Supuestos!$D$6)-LN(1+Supuestos!$E$6^2/Supuestos!$D$6^2)/2,SQRT(LN(1+Supuestos!$E$6^2/Supuestos!$D$6^2))),Supuestos!$D$6))))))</f>
        <v/>
      </c>
      <c r="K271" s="32">
        <f>MIN(IF(Supuestos!$H$7="",1E+99,Supuestos!$H$7),MAX(IF(Supuestos!$G$7="",-1E+99,Supuestos!$G$7),IF(Supuestos!$C$7="Normal",NORMINV(D271,Supuestos!$D$7,Supuestos!$E$7),IF(Supuestos!$C$7="Triangular",IF(D271&lt;(Supuestos!$E$7-Supuestos!$D$7)/(Supuestos!$F$7-Supuestos!$D$7),Supuestos!$D$7+SQRT(D271*(Supuestos!$F$7-Supuestos!$D$7)*(Supuestos!$E$7-Supuestos!$D$7)),Supuestos!$F$7-SQRT((1-D271)*(Supuestos!$F$7-Supuestos!$D$7)*(Supuestos!$F$7-Supuestos!$E$7))),IF(Supuestos!$C$7="Uniforme",Supuestos!$D$7+D271*(Supuestos!$E$7-Supuestos!$D$7),IF(Supuestos!$C$7="Lognormal",LOGINV(D271,LN(Supuestos!$D$7)-LN(1+Supuestos!$E$7^2/Supuestos!$D$7^2)/2,SQRT(LN(1+Supuestos!$E$7^2/Supuestos!$D$7^2))),Supuestos!$D$7))))))</f>
        <v/>
      </c>
      <c r="L271" s="32">
        <f>MIN(IF(Supuestos!$H$8="",1E+99,Supuestos!$H$8),MAX(IF(Supuestos!$G$8="",-1E+99,Supuestos!$G$8),IF(Supuestos!$C$8="Normal",NORMINV(E271,Supuestos!$D$8,Supuestos!$E$8),IF(Supuestos!$C$8="Triangular",IF(E271&lt;(Supuestos!$E$8-Supuestos!$D$8)/(Supuestos!$F$8-Supuestos!$D$8),Supuestos!$D$8+SQRT(E271*(Supuestos!$F$8-Supuestos!$D$8)*(Supuestos!$E$8-Supuestos!$D$8)),Supuestos!$F$8-SQRT((1-E271)*(Supuestos!$F$8-Supuestos!$D$8)*(Supuestos!$F$8-Supuestos!$E$8))),IF(Supuestos!$C$8="Uniforme",Supuestos!$D$8+E271*(Supuestos!$E$8-Supuestos!$D$8),IF(Supuestos!$C$8="Lognormal",LOGINV(E271,LN(Supuestos!$D$8)-LN(1+Supuestos!$E$8^2/Supuestos!$D$8^2)/2,SQRT(LN(1+Supuestos!$E$8^2/Supuestos!$D$8^2))),Supuestos!$D$8))))))</f>
        <v/>
      </c>
      <c r="M271" s="32">
        <f>MIN(IF(Supuestos!$H$9="",1E+99,Supuestos!$H$9),MAX(IF(Supuestos!$G$9="",-1E+99,Supuestos!$G$9),IF(Supuestos!$C$9="Normal",NORMINV(F271,Supuestos!$D$9,Supuestos!$E$9),IF(Supuestos!$C$9="Triangular",IF(F271&lt;(Supuestos!$E$9-Supuestos!$D$9)/(Supuestos!$F$9-Supuestos!$D$9),Supuestos!$D$9+SQRT(F271*(Supuestos!$F$9-Supuestos!$D$9)*(Supuestos!$E$9-Supuestos!$D$9)),Supuestos!$F$9-SQRT((1-F271)*(Supuestos!$F$9-Supuestos!$D$9)*(Supuestos!$F$9-Supuestos!$E$9))),IF(Supuestos!$C$9="Uniforme",Supuestos!$D$9+F271*(Supuestos!$E$9-Supuestos!$D$9),IF(Supuestos!$C$9="Lognormal",LOGINV(F271,LN(Supuestos!$D$9)-LN(1+Supuestos!$E$9^2/Supuestos!$D$9^2)/2,SQRT(LN(1+Supuestos!$E$9^2/Supuestos!$D$9^2))),Supuestos!$D$9))))))</f>
        <v/>
      </c>
      <c r="N271" s="32">
        <f>MIN(IF(Supuestos!$H$10="",1E+99,Supuestos!$H$10),MAX(IF(Supuestos!$G$10="",-1E+99,Supuestos!$G$10),IF(Supuestos!$C$10="Normal",NORMINV(G271,Supuestos!$D$10,Supuestos!$E$10),IF(Supuestos!$C$10="Triangular",IF(G271&lt;(Supuestos!$E$10-Supuestos!$D$10)/(Supuestos!$F$10-Supuestos!$D$10),Supuestos!$D$10+SQRT(G271*(Supuestos!$F$10-Supuestos!$D$10)*(Supuestos!$E$10-Supuestos!$D$10)),Supuestos!$F$10-SQRT((1-G271)*(Supuestos!$F$10-Supuestos!$D$10)*(Supuestos!$F$10-Supuestos!$E$10))),IF(Supuestos!$C$10="Uniforme",Supuestos!$D$10+G271*(Supuestos!$E$10-Supuestos!$D$10),IF(Supuestos!$C$10="Lognormal",LOGINV(G271,LN(Supuestos!$D$10)-LN(1+Supuestos!$E$10^2/Supuestos!$D$10^2)/2,SQRT(LN(1+Supuestos!$E$10^2/Supuestos!$D$10^2))),Supuestos!$D$10))))))</f>
        <v/>
      </c>
      <c r="O271" s="31">
        <f>MIN(IF(Supuestos!$H$11="",1E+99,Supuestos!$H$11),MAX(IF(Supuestos!$G$11="",-1E+99,Supuestos!$G$11),IF(Supuestos!$C$11="Normal",NORMINV(H271,Supuestos!$D$11,Supuestos!$E$11),IF(Supuestos!$C$11="Triangular",IF(H271&lt;(Supuestos!$E$11-Supuestos!$D$11)/(Supuestos!$F$11-Supuestos!$D$11),Supuestos!$D$11+SQRT(H271*(Supuestos!$F$11-Supuestos!$D$11)*(Supuestos!$E$11-Supuestos!$D$11)),Supuestos!$F$11-SQRT((1-H271)*(Supuestos!$F$11-Supuestos!$D$11)*(Supuestos!$F$11-Supuestos!$E$11))),IF(Supuestos!$C$11="Uniforme",Supuestos!$D$11+H271*(Supuestos!$E$11-Supuestos!$D$11),IF(Supuestos!$C$11="Lognormal",LOGINV(H271,LN(Supuestos!$D$11)-LN(1+Supuestos!$E$11^2/Supuestos!$D$11^2)/2,SQRT(LN(1+Supuestos!$E$11^2/Supuestos!$D$11^2))),Supuestos!$D$11))))))</f>
        <v/>
      </c>
      <c r="P271" s="33">
        <f>-I271</f>
        <v/>
      </c>
      <c r="Q271" s="33">
        <f>$J271*(1+$K271)^(1-1)*(1-$L271)*(1-$M271)</f>
        <v/>
      </c>
      <c r="R271" s="33">
        <f>$J271*(1+$K271)^(2-1)*(1-$L271)*(1-$M271)</f>
        <v/>
      </c>
      <c r="S271" s="33">
        <f>$J271*(1+$K271)^(3-1)*(1-$L271)*(1-$M271)</f>
        <v/>
      </c>
      <c r="T271" s="33">
        <f>$J271*(1+$K271)^(4-1)*(1-$L271)*(1-$M271)</f>
        <v/>
      </c>
      <c r="U271" s="33">
        <f>$J271*(1+$K271)^(5-1)*(1-$L271)*(1-$M271)+$O271</f>
        <v/>
      </c>
      <c r="V271" s="33">
        <f>P271+NPV($N271,Q271:U271)</f>
        <v/>
      </c>
      <c r="W271" s="32">
        <f>IFERROR(IRR(P271:U271,0.1),"")</f>
        <v/>
      </c>
    </row>
    <row r="272">
      <c r="A272" s="14" t="n">
        <v>268</v>
      </c>
      <c r="B272" s="30">
        <f>RAND()*(1-2E-6)+1E-6</f>
        <v/>
      </c>
      <c r="C272" s="30">
        <f>RAND()*(1-2E-6)+1E-6</f>
        <v/>
      </c>
      <c r="D272" s="30">
        <f>RAND()*(1-2E-6)+1E-6</f>
        <v/>
      </c>
      <c r="E272" s="30">
        <f>RAND()*(1-2E-6)+1E-6</f>
        <v/>
      </c>
      <c r="F272" s="30">
        <f>RAND()*(1-2E-6)+1E-6</f>
        <v/>
      </c>
      <c r="G272" s="30">
        <f>RAND()*(1-2E-6)+1E-6</f>
        <v/>
      </c>
      <c r="H272" s="30">
        <f>RAND()*(1-2E-6)+1E-6</f>
        <v/>
      </c>
      <c r="I272" s="31">
        <f>MIN(IF(Supuestos!$H$5="",1E+99,Supuestos!$H$5),MAX(IF(Supuestos!$G$5="",-1E+99,Supuestos!$G$5),IF(Supuestos!$C$5="Normal",NORMINV(B272,Supuestos!$D$5,Supuestos!$E$5),IF(Supuestos!$C$5="Triangular",IF(B272&lt;(Supuestos!$E$5-Supuestos!$D$5)/(Supuestos!$F$5-Supuestos!$D$5),Supuestos!$D$5+SQRT(B272*(Supuestos!$F$5-Supuestos!$D$5)*(Supuestos!$E$5-Supuestos!$D$5)),Supuestos!$F$5-SQRT((1-B272)*(Supuestos!$F$5-Supuestos!$D$5)*(Supuestos!$F$5-Supuestos!$E$5))),IF(Supuestos!$C$5="Uniforme",Supuestos!$D$5+B272*(Supuestos!$E$5-Supuestos!$D$5),IF(Supuestos!$C$5="Lognormal",LOGINV(B272,LN(Supuestos!$D$5)-LN(1+Supuestos!$E$5^2/Supuestos!$D$5^2)/2,SQRT(LN(1+Supuestos!$E$5^2/Supuestos!$D$5^2))),Supuestos!$D$5))))))</f>
        <v/>
      </c>
      <c r="J272" s="31">
        <f>MIN(IF(Supuestos!$H$6="",1E+99,Supuestos!$H$6),MAX(IF(Supuestos!$G$6="",-1E+99,Supuestos!$G$6),IF(Supuestos!$C$6="Normal",NORMINV(C272,Supuestos!$D$6,Supuestos!$E$6),IF(Supuestos!$C$6="Triangular",IF(C272&lt;(Supuestos!$E$6-Supuestos!$D$6)/(Supuestos!$F$6-Supuestos!$D$6),Supuestos!$D$6+SQRT(C272*(Supuestos!$F$6-Supuestos!$D$6)*(Supuestos!$E$6-Supuestos!$D$6)),Supuestos!$F$6-SQRT((1-C272)*(Supuestos!$F$6-Supuestos!$D$6)*(Supuestos!$F$6-Supuestos!$E$6))),IF(Supuestos!$C$6="Uniforme",Supuestos!$D$6+C272*(Supuestos!$E$6-Supuestos!$D$6),IF(Supuestos!$C$6="Lognormal",LOGINV(C272,LN(Supuestos!$D$6)-LN(1+Supuestos!$E$6^2/Supuestos!$D$6^2)/2,SQRT(LN(1+Supuestos!$E$6^2/Supuestos!$D$6^2))),Supuestos!$D$6))))))</f>
        <v/>
      </c>
      <c r="K272" s="32">
        <f>MIN(IF(Supuestos!$H$7="",1E+99,Supuestos!$H$7),MAX(IF(Supuestos!$G$7="",-1E+99,Supuestos!$G$7),IF(Supuestos!$C$7="Normal",NORMINV(D272,Supuestos!$D$7,Supuestos!$E$7),IF(Supuestos!$C$7="Triangular",IF(D272&lt;(Supuestos!$E$7-Supuestos!$D$7)/(Supuestos!$F$7-Supuestos!$D$7),Supuestos!$D$7+SQRT(D272*(Supuestos!$F$7-Supuestos!$D$7)*(Supuestos!$E$7-Supuestos!$D$7)),Supuestos!$F$7-SQRT((1-D272)*(Supuestos!$F$7-Supuestos!$D$7)*(Supuestos!$F$7-Supuestos!$E$7))),IF(Supuestos!$C$7="Uniforme",Supuestos!$D$7+D272*(Supuestos!$E$7-Supuestos!$D$7),IF(Supuestos!$C$7="Lognormal",LOGINV(D272,LN(Supuestos!$D$7)-LN(1+Supuestos!$E$7^2/Supuestos!$D$7^2)/2,SQRT(LN(1+Supuestos!$E$7^2/Supuestos!$D$7^2))),Supuestos!$D$7))))))</f>
        <v/>
      </c>
      <c r="L272" s="32">
        <f>MIN(IF(Supuestos!$H$8="",1E+99,Supuestos!$H$8),MAX(IF(Supuestos!$G$8="",-1E+99,Supuestos!$G$8),IF(Supuestos!$C$8="Normal",NORMINV(E272,Supuestos!$D$8,Supuestos!$E$8),IF(Supuestos!$C$8="Triangular",IF(E272&lt;(Supuestos!$E$8-Supuestos!$D$8)/(Supuestos!$F$8-Supuestos!$D$8),Supuestos!$D$8+SQRT(E272*(Supuestos!$F$8-Supuestos!$D$8)*(Supuestos!$E$8-Supuestos!$D$8)),Supuestos!$F$8-SQRT((1-E272)*(Supuestos!$F$8-Supuestos!$D$8)*(Supuestos!$F$8-Supuestos!$E$8))),IF(Supuestos!$C$8="Uniforme",Supuestos!$D$8+E272*(Supuestos!$E$8-Supuestos!$D$8),IF(Supuestos!$C$8="Lognormal",LOGINV(E272,LN(Supuestos!$D$8)-LN(1+Supuestos!$E$8^2/Supuestos!$D$8^2)/2,SQRT(LN(1+Supuestos!$E$8^2/Supuestos!$D$8^2))),Supuestos!$D$8))))))</f>
        <v/>
      </c>
      <c r="M272" s="32">
        <f>MIN(IF(Supuestos!$H$9="",1E+99,Supuestos!$H$9),MAX(IF(Supuestos!$G$9="",-1E+99,Supuestos!$G$9),IF(Supuestos!$C$9="Normal",NORMINV(F272,Supuestos!$D$9,Supuestos!$E$9),IF(Supuestos!$C$9="Triangular",IF(F272&lt;(Supuestos!$E$9-Supuestos!$D$9)/(Supuestos!$F$9-Supuestos!$D$9),Supuestos!$D$9+SQRT(F272*(Supuestos!$F$9-Supuestos!$D$9)*(Supuestos!$E$9-Supuestos!$D$9)),Supuestos!$F$9-SQRT((1-F272)*(Supuestos!$F$9-Supuestos!$D$9)*(Supuestos!$F$9-Supuestos!$E$9))),IF(Supuestos!$C$9="Uniforme",Supuestos!$D$9+F272*(Supuestos!$E$9-Supuestos!$D$9),IF(Supuestos!$C$9="Lognormal",LOGINV(F272,LN(Supuestos!$D$9)-LN(1+Supuestos!$E$9^2/Supuestos!$D$9^2)/2,SQRT(LN(1+Supuestos!$E$9^2/Supuestos!$D$9^2))),Supuestos!$D$9))))))</f>
        <v/>
      </c>
      <c r="N272" s="32">
        <f>MIN(IF(Supuestos!$H$10="",1E+99,Supuestos!$H$10),MAX(IF(Supuestos!$G$10="",-1E+99,Supuestos!$G$10),IF(Supuestos!$C$10="Normal",NORMINV(G272,Supuestos!$D$10,Supuestos!$E$10),IF(Supuestos!$C$10="Triangular",IF(G272&lt;(Supuestos!$E$10-Supuestos!$D$10)/(Supuestos!$F$10-Supuestos!$D$10),Supuestos!$D$10+SQRT(G272*(Supuestos!$F$10-Supuestos!$D$10)*(Supuestos!$E$10-Supuestos!$D$10)),Supuestos!$F$10-SQRT((1-G272)*(Supuestos!$F$10-Supuestos!$D$10)*(Supuestos!$F$10-Supuestos!$E$10))),IF(Supuestos!$C$10="Uniforme",Supuestos!$D$10+G272*(Supuestos!$E$10-Supuestos!$D$10),IF(Supuestos!$C$10="Lognormal",LOGINV(G272,LN(Supuestos!$D$10)-LN(1+Supuestos!$E$10^2/Supuestos!$D$10^2)/2,SQRT(LN(1+Supuestos!$E$10^2/Supuestos!$D$10^2))),Supuestos!$D$10))))))</f>
        <v/>
      </c>
      <c r="O272" s="31">
        <f>MIN(IF(Supuestos!$H$11="",1E+99,Supuestos!$H$11),MAX(IF(Supuestos!$G$11="",-1E+99,Supuestos!$G$11),IF(Supuestos!$C$11="Normal",NORMINV(H272,Supuestos!$D$11,Supuestos!$E$11),IF(Supuestos!$C$11="Triangular",IF(H272&lt;(Supuestos!$E$11-Supuestos!$D$11)/(Supuestos!$F$11-Supuestos!$D$11),Supuestos!$D$11+SQRT(H272*(Supuestos!$F$11-Supuestos!$D$11)*(Supuestos!$E$11-Supuestos!$D$11)),Supuestos!$F$11-SQRT((1-H272)*(Supuestos!$F$11-Supuestos!$D$11)*(Supuestos!$F$11-Supuestos!$E$11))),IF(Supuestos!$C$11="Uniforme",Supuestos!$D$11+H272*(Supuestos!$E$11-Supuestos!$D$11),IF(Supuestos!$C$11="Lognormal",LOGINV(H272,LN(Supuestos!$D$11)-LN(1+Supuestos!$E$11^2/Supuestos!$D$11^2)/2,SQRT(LN(1+Supuestos!$E$11^2/Supuestos!$D$11^2))),Supuestos!$D$11))))))</f>
        <v/>
      </c>
      <c r="P272" s="33">
        <f>-I272</f>
        <v/>
      </c>
      <c r="Q272" s="33">
        <f>$J272*(1+$K272)^(1-1)*(1-$L272)*(1-$M272)</f>
        <v/>
      </c>
      <c r="R272" s="33">
        <f>$J272*(1+$K272)^(2-1)*(1-$L272)*(1-$M272)</f>
        <v/>
      </c>
      <c r="S272" s="33">
        <f>$J272*(1+$K272)^(3-1)*(1-$L272)*(1-$M272)</f>
        <v/>
      </c>
      <c r="T272" s="33">
        <f>$J272*(1+$K272)^(4-1)*(1-$L272)*(1-$M272)</f>
        <v/>
      </c>
      <c r="U272" s="33">
        <f>$J272*(1+$K272)^(5-1)*(1-$L272)*(1-$M272)+$O272</f>
        <v/>
      </c>
      <c r="V272" s="33">
        <f>P272+NPV($N272,Q272:U272)</f>
        <v/>
      </c>
      <c r="W272" s="32">
        <f>IFERROR(IRR(P272:U272,0.1),"")</f>
        <v/>
      </c>
    </row>
    <row r="273">
      <c r="A273" s="14" t="n">
        <v>269</v>
      </c>
      <c r="B273" s="30">
        <f>RAND()*(1-2E-6)+1E-6</f>
        <v/>
      </c>
      <c r="C273" s="30">
        <f>RAND()*(1-2E-6)+1E-6</f>
        <v/>
      </c>
      <c r="D273" s="30">
        <f>RAND()*(1-2E-6)+1E-6</f>
        <v/>
      </c>
      <c r="E273" s="30">
        <f>RAND()*(1-2E-6)+1E-6</f>
        <v/>
      </c>
      <c r="F273" s="30">
        <f>RAND()*(1-2E-6)+1E-6</f>
        <v/>
      </c>
      <c r="G273" s="30">
        <f>RAND()*(1-2E-6)+1E-6</f>
        <v/>
      </c>
      <c r="H273" s="30">
        <f>RAND()*(1-2E-6)+1E-6</f>
        <v/>
      </c>
      <c r="I273" s="31">
        <f>MIN(IF(Supuestos!$H$5="",1E+99,Supuestos!$H$5),MAX(IF(Supuestos!$G$5="",-1E+99,Supuestos!$G$5),IF(Supuestos!$C$5="Normal",NORMINV(B273,Supuestos!$D$5,Supuestos!$E$5),IF(Supuestos!$C$5="Triangular",IF(B273&lt;(Supuestos!$E$5-Supuestos!$D$5)/(Supuestos!$F$5-Supuestos!$D$5),Supuestos!$D$5+SQRT(B273*(Supuestos!$F$5-Supuestos!$D$5)*(Supuestos!$E$5-Supuestos!$D$5)),Supuestos!$F$5-SQRT((1-B273)*(Supuestos!$F$5-Supuestos!$D$5)*(Supuestos!$F$5-Supuestos!$E$5))),IF(Supuestos!$C$5="Uniforme",Supuestos!$D$5+B273*(Supuestos!$E$5-Supuestos!$D$5),IF(Supuestos!$C$5="Lognormal",LOGINV(B273,LN(Supuestos!$D$5)-LN(1+Supuestos!$E$5^2/Supuestos!$D$5^2)/2,SQRT(LN(1+Supuestos!$E$5^2/Supuestos!$D$5^2))),Supuestos!$D$5))))))</f>
        <v/>
      </c>
      <c r="J273" s="31">
        <f>MIN(IF(Supuestos!$H$6="",1E+99,Supuestos!$H$6),MAX(IF(Supuestos!$G$6="",-1E+99,Supuestos!$G$6),IF(Supuestos!$C$6="Normal",NORMINV(C273,Supuestos!$D$6,Supuestos!$E$6),IF(Supuestos!$C$6="Triangular",IF(C273&lt;(Supuestos!$E$6-Supuestos!$D$6)/(Supuestos!$F$6-Supuestos!$D$6),Supuestos!$D$6+SQRT(C273*(Supuestos!$F$6-Supuestos!$D$6)*(Supuestos!$E$6-Supuestos!$D$6)),Supuestos!$F$6-SQRT((1-C273)*(Supuestos!$F$6-Supuestos!$D$6)*(Supuestos!$F$6-Supuestos!$E$6))),IF(Supuestos!$C$6="Uniforme",Supuestos!$D$6+C273*(Supuestos!$E$6-Supuestos!$D$6),IF(Supuestos!$C$6="Lognormal",LOGINV(C273,LN(Supuestos!$D$6)-LN(1+Supuestos!$E$6^2/Supuestos!$D$6^2)/2,SQRT(LN(1+Supuestos!$E$6^2/Supuestos!$D$6^2))),Supuestos!$D$6))))))</f>
        <v/>
      </c>
      <c r="K273" s="32">
        <f>MIN(IF(Supuestos!$H$7="",1E+99,Supuestos!$H$7),MAX(IF(Supuestos!$G$7="",-1E+99,Supuestos!$G$7),IF(Supuestos!$C$7="Normal",NORMINV(D273,Supuestos!$D$7,Supuestos!$E$7),IF(Supuestos!$C$7="Triangular",IF(D273&lt;(Supuestos!$E$7-Supuestos!$D$7)/(Supuestos!$F$7-Supuestos!$D$7),Supuestos!$D$7+SQRT(D273*(Supuestos!$F$7-Supuestos!$D$7)*(Supuestos!$E$7-Supuestos!$D$7)),Supuestos!$F$7-SQRT((1-D273)*(Supuestos!$F$7-Supuestos!$D$7)*(Supuestos!$F$7-Supuestos!$E$7))),IF(Supuestos!$C$7="Uniforme",Supuestos!$D$7+D273*(Supuestos!$E$7-Supuestos!$D$7),IF(Supuestos!$C$7="Lognormal",LOGINV(D273,LN(Supuestos!$D$7)-LN(1+Supuestos!$E$7^2/Supuestos!$D$7^2)/2,SQRT(LN(1+Supuestos!$E$7^2/Supuestos!$D$7^2))),Supuestos!$D$7))))))</f>
        <v/>
      </c>
      <c r="L273" s="32">
        <f>MIN(IF(Supuestos!$H$8="",1E+99,Supuestos!$H$8),MAX(IF(Supuestos!$G$8="",-1E+99,Supuestos!$G$8),IF(Supuestos!$C$8="Normal",NORMINV(E273,Supuestos!$D$8,Supuestos!$E$8),IF(Supuestos!$C$8="Triangular",IF(E273&lt;(Supuestos!$E$8-Supuestos!$D$8)/(Supuestos!$F$8-Supuestos!$D$8),Supuestos!$D$8+SQRT(E273*(Supuestos!$F$8-Supuestos!$D$8)*(Supuestos!$E$8-Supuestos!$D$8)),Supuestos!$F$8-SQRT((1-E273)*(Supuestos!$F$8-Supuestos!$D$8)*(Supuestos!$F$8-Supuestos!$E$8))),IF(Supuestos!$C$8="Uniforme",Supuestos!$D$8+E273*(Supuestos!$E$8-Supuestos!$D$8),IF(Supuestos!$C$8="Lognormal",LOGINV(E273,LN(Supuestos!$D$8)-LN(1+Supuestos!$E$8^2/Supuestos!$D$8^2)/2,SQRT(LN(1+Supuestos!$E$8^2/Supuestos!$D$8^2))),Supuestos!$D$8))))))</f>
        <v/>
      </c>
      <c r="M273" s="32">
        <f>MIN(IF(Supuestos!$H$9="",1E+99,Supuestos!$H$9),MAX(IF(Supuestos!$G$9="",-1E+99,Supuestos!$G$9),IF(Supuestos!$C$9="Normal",NORMINV(F273,Supuestos!$D$9,Supuestos!$E$9),IF(Supuestos!$C$9="Triangular",IF(F273&lt;(Supuestos!$E$9-Supuestos!$D$9)/(Supuestos!$F$9-Supuestos!$D$9),Supuestos!$D$9+SQRT(F273*(Supuestos!$F$9-Supuestos!$D$9)*(Supuestos!$E$9-Supuestos!$D$9)),Supuestos!$F$9-SQRT((1-F273)*(Supuestos!$F$9-Supuestos!$D$9)*(Supuestos!$F$9-Supuestos!$E$9))),IF(Supuestos!$C$9="Uniforme",Supuestos!$D$9+F273*(Supuestos!$E$9-Supuestos!$D$9),IF(Supuestos!$C$9="Lognormal",LOGINV(F273,LN(Supuestos!$D$9)-LN(1+Supuestos!$E$9^2/Supuestos!$D$9^2)/2,SQRT(LN(1+Supuestos!$E$9^2/Supuestos!$D$9^2))),Supuestos!$D$9))))))</f>
        <v/>
      </c>
      <c r="N273" s="32">
        <f>MIN(IF(Supuestos!$H$10="",1E+99,Supuestos!$H$10),MAX(IF(Supuestos!$G$10="",-1E+99,Supuestos!$G$10),IF(Supuestos!$C$10="Normal",NORMINV(G273,Supuestos!$D$10,Supuestos!$E$10),IF(Supuestos!$C$10="Triangular",IF(G273&lt;(Supuestos!$E$10-Supuestos!$D$10)/(Supuestos!$F$10-Supuestos!$D$10),Supuestos!$D$10+SQRT(G273*(Supuestos!$F$10-Supuestos!$D$10)*(Supuestos!$E$10-Supuestos!$D$10)),Supuestos!$F$10-SQRT((1-G273)*(Supuestos!$F$10-Supuestos!$D$10)*(Supuestos!$F$10-Supuestos!$E$10))),IF(Supuestos!$C$10="Uniforme",Supuestos!$D$10+G273*(Supuestos!$E$10-Supuestos!$D$10),IF(Supuestos!$C$10="Lognormal",LOGINV(G273,LN(Supuestos!$D$10)-LN(1+Supuestos!$E$10^2/Supuestos!$D$10^2)/2,SQRT(LN(1+Supuestos!$E$10^2/Supuestos!$D$10^2))),Supuestos!$D$10))))))</f>
        <v/>
      </c>
      <c r="O273" s="31">
        <f>MIN(IF(Supuestos!$H$11="",1E+99,Supuestos!$H$11),MAX(IF(Supuestos!$G$11="",-1E+99,Supuestos!$G$11),IF(Supuestos!$C$11="Normal",NORMINV(H273,Supuestos!$D$11,Supuestos!$E$11),IF(Supuestos!$C$11="Triangular",IF(H273&lt;(Supuestos!$E$11-Supuestos!$D$11)/(Supuestos!$F$11-Supuestos!$D$11),Supuestos!$D$11+SQRT(H273*(Supuestos!$F$11-Supuestos!$D$11)*(Supuestos!$E$11-Supuestos!$D$11)),Supuestos!$F$11-SQRT((1-H273)*(Supuestos!$F$11-Supuestos!$D$11)*(Supuestos!$F$11-Supuestos!$E$11))),IF(Supuestos!$C$11="Uniforme",Supuestos!$D$11+H273*(Supuestos!$E$11-Supuestos!$D$11),IF(Supuestos!$C$11="Lognormal",LOGINV(H273,LN(Supuestos!$D$11)-LN(1+Supuestos!$E$11^2/Supuestos!$D$11^2)/2,SQRT(LN(1+Supuestos!$E$11^2/Supuestos!$D$11^2))),Supuestos!$D$11))))))</f>
        <v/>
      </c>
      <c r="P273" s="33">
        <f>-I273</f>
        <v/>
      </c>
      <c r="Q273" s="33">
        <f>$J273*(1+$K273)^(1-1)*(1-$L273)*(1-$M273)</f>
        <v/>
      </c>
      <c r="R273" s="33">
        <f>$J273*(1+$K273)^(2-1)*(1-$L273)*(1-$M273)</f>
        <v/>
      </c>
      <c r="S273" s="33">
        <f>$J273*(1+$K273)^(3-1)*(1-$L273)*(1-$M273)</f>
        <v/>
      </c>
      <c r="T273" s="33">
        <f>$J273*(1+$K273)^(4-1)*(1-$L273)*(1-$M273)</f>
        <v/>
      </c>
      <c r="U273" s="33">
        <f>$J273*(1+$K273)^(5-1)*(1-$L273)*(1-$M273)+$O273</f>
        <v/>
      </c>
      <c r="V273" s="33">
        <f>P273+NPV($N273,Q273:U273)</f>
        <v/>
      </c>
      <c r="W273" s="32">
        <f>IFERROR(IRR(P273:U273,0.1),"")</f>
        <v/>
      </c>
    </row>
    <row r="274">
      <c r="A274" s="14" t="n">
        <v>270</v>
      </c>
      <c r="B274" s="30">
        <f>RAND()*(1-2E-6)+1E-6</f>
        <v/>
      </c>
      <c r="C274" s="30">
        <f>RAND()*(1-2E-6)+1E-6</f>
        <v/>
      </c>
      <c r="D274" s="30">
        <f>RAND()*(1-2E-6)+1E-6</f>
        <v/>
      </c>
      <c r="E274" s="30">
        <f>RAND()*(1-2E-6)+1E-6</f>
        <v/>
      </c>
      <c r="F274" s="30">
        <f>RAND()*(1-2E-6)+1E-6</f>
        <v/>
      </c>
      <c r="G274" s="30">
        <f>RAND()*(1-2E-6)+1E-6</f>
        <v/>
      </c>
      <c r="H274" s="30">
        <f>RAND()*(1-2E-6)+1E-6</f>
        <v/>
      </c>
      <c r="I274" s="31">
        <f>MIN(IF(Supuestos!$H$5="",1E+99,Supuestos!$H$5),MAX(IF(Supuestos!$G$5="",-1E+99,Supuestos!$G$5),IF(Supuestos!$C$5="Normal",NORMINV(B274,Supuestos!$D$5,Supuestos!$E$5),IF(Supuestos!$C$5="Triangular",IF(B274&lt;(Supuestos!$E$5-Supuestos!$D$5)/(Supuestos!$F$5-Supuestos!$D$5),Supuestos!$D$5+SQRT(B274*(Supuestos!$F$5-Supuestos!$D$5)*(Supuestos!$E$5-Supuestos!$D$5)),Supuestos!$F$5-SQRT((1-B274)*(Supuestos!$F$5-Supuestos!$D$5)*(Supuestos!$F$5-Supuestos!$E$5))),IF(Supuestos!$C$5="Uniforme",Supuestos!$D$5+B274*(Supuestos!$E$5-Supuestos!$D$5),IF(Supuestos!$C$5="Lognormal",LOGINV(B274,LN(Supuestos!$D$5)-LN(1+Supuestos!$E$5^2/Supuestos!$D$5^2)/2,SQRT(LN(1+Supuestos!$E$5^2/Supuestos!$D$5^2))),Supuestos!$D$5))))))</f>
        <v/>
      </c>
      <c r="J274" s="31">
        <f>MIN(IF(Supuestos!$H$6="",1E+99,Supuestos!$H$6),MAX(IF(Supuestos!$G$6="",-1E+99,Supuestos!$G$6),IF(Supuestos!$C$6="Normal",NORMINV(C274,Supuestos!$D$6,Supuestos!$E$6),IF(Supuestos!$C$6="Triangular",IF(C274&lt;(Supuestos!$E$6-Supuestos!$D$6)/(Supuestos!$F$6-Supuestos!$D$6),Supuestos!$D$6+SQRT(C274*(Supuestos!$F$6-Supuestos!$D$6)*(Supuestos!$E$6-Supuestos!$D$6)),Supuestos!$F$6-SQRT((1-C274)*(Supuestos!$F$6-Supuestos!$D$6)*(Supuestos!$F$6-Supuestos!$E$6))),IF(Supuestos!$C$6="Uniforme",Supuestos!$D$6+C274*(Supuestos!$E$6-Supuestos!$D$6),IF(Supuestos!$C$6="Lognormal",LOGINV(C274,LN(Supuestos!$D$6)-LN(1+Supuestos!$E$6^2/Supuestos!$D$6^2)/2,SQRT(LN(1+Supuestos!$E$6^2/Supuestos!$D$6^2))),Supuestos!$D$6))))))</f>
        <v/>
      </c>
      <c r="K274" s="32">
        <f>MIN(IF(Supuestos!$H$7="",1E+99,Supuestos!$H$7),MAX(IF(Supuestos!$G$7="",-1E+99,Supuestos!$G$7),IF(Supuestos!$C$7="Normal",NORMINV(D274,Supuestos!$D$7,Supuestos!$E$7),IF(Supuestos!$C$7="Triangular",IF(D274&lt;(Supuestos!$E$7-Supuestos!$D$7)/(Supuestos!$F$7-Supuestos!$D$7),Supuestos!$D$7+SQRT(D274*(Supuestos!$F$7-Supuestos!$D$7)*(Supuestos!$E$7-Supuestos!$D$7)),Supuestos!$F$7-SQRT((1-D274)*(Supuestos!$F$7-Supuestos!$D$7)*(Supuestos!$F$7-Supuestos!$E$7))),IF(Supuestos!$C$7="Uniforme",Supuestos!$D$7+D274*(Supuestos!$E$7-Supuestos!$D$7),IF(Supuestos!$C$7="Lognormal",LOGINV(D274,LN(Supuestos!$D$7)-LN(1+Supuestos!$E$7^2/Supuestos!$D$7^2)/2,SQRT(LN(1+Supuestos!$E$7^2/Supuestos!$D$7^2))),Supuestos!$D$7))))))</f>
        <v/>
      </c>
      <c r="L274" s="32">
        <f>MIN(IF(Supuestos!$H$8="",1E+99,Supuestos!$H$8),MAX(IF(Supuestos!$G$8="",-1E+99,Supuestos!$G$8),IF(Supuestos!$C$8="Normal",NORMINV(E274,Supuestos!$D$8,Supuestos!$E$8),IF(Supuestos!$C$8="Triangular",IF(E274&lt;(Supuestos!$E$8-Supuestos!$D$8)/(Supuestos!$F$8-Supuestos!$D$8),Supuestos!$D$8+SQRT(E274*(Supuestos!$F$8-Supuestos!$D$8)*(Supuestos!$E$8-Supuestos!$D$8)),Supuestos!$F$8-SQRT((1-E274)*(Supuestos!$F$8-Supuestos!$D$8)*(Supuestos!$F$8-Supuestos!$E$8))),IF(Supuestos!$C$8="Uniforme",Supuestos!$D$8+E274*(Supuestos!$E$8-Supuestos!$D$8),IF(Supuestos!$C$8="Lognormal",LOGINV(E274,LN(Supuestos!$D$8)-LN(1+Supuestos!$E$8^2/Supuestos!$D$8^2)/2,SQRT(LN(1+Supuestos!$E$8^2/Supuestos!$D$8^2))),Supuestos!$D$8))))))</f>
        <v/>
      </c>
      <c r="M274" s="32">
        <f>MIN(IF(Supuestos!$H$9="",1E+99,Supuestos!$H$9),MAX(IF(Supuestos!$G$9="",-1E+99,Supuestos!$G$9),IF(Supuestos!$C$9="Normal",NORMINV(F274,Supuestos!$D$9,Supuestos!$E$9),IF(Supuestos!$C$9="Triangular",IF(F274&lt;(Supuestos!$E$9-Supuestos!$D$9)/(Supuestos!$F$9-Supuestos!$D$9),Supuestos!$D$9+SQRT(F274*(Supuestos!$F$9-Supuestos!$D$9)*(Supuestos!$E$9-Supuestos!$D$9)),Supuestos!$F$9-SQRT((1-F274)*(Supuestos!$F$9-Supuestos!$D$9)*(Supuestos!$F$9-Supuestos!$E$9))),IF(Supuestos!$C$9="Uniforme",Supuestos!$D$9+F274*(Supuestos!$E$9-Supuestos!$D$9),IF(Supuestos!$C$9="Lognormal",LOGINV(F274,LN(Supuestos!$D$9)-LN(1+Supuestos!$E$9^2/Supuestos!$D$9^2)/2,SQRT(LN(1+Supuestos!$E$9^2/Supuestos!$D$9^2))),Supuestos!$D$9))))))</f>
        <v/>
      </c>
      <c r="N274" s="32">
        <f>MIN(IF(Supuestos!$H$10="",1E+99,Supuestos!$H$10),MAX(IF(Supuestos!$G$10="",-1E+99,Supuestos!$G$10),IF(Supuestos!$C$10="Normal",NORMINV(G274,Supuestos!$D$10,Supuestos!$E$10),IF(Supuestos!$C$10="Triangular",IF(G274&lt;(Supuestos!$E$10-Supuestos!$D$10)/(Supuestos!$F$10-Supuestos!$D$10),Supuestos!$D$10+SQRT(G274*(Supuestos!$F$10-Supuestos!$D$10)*(Supuestos!$E$10-Supuestos!$D$10)),Supuestos!$F$10-SQRT((1-G274)*(Supuestos!$F$10-Supuestos!$D$10)*(Supuestos!$F$10-Supuestos!$E$10))),IF(Supuestos!$C$10="Uniforme",Supuestos!$D$10+G274*(Supuestos!$E$10-Supuestos!$D$10),IF(Supuestos!$C$10="Lognormal",LOGINV(G274,LN(Supuestos!$D$10)-LN(1+Supuestos!$E$10^2/Supuestos!$D$10^2)/2,SQRT(LN(1+Supuestos!$E$10^2/Supuestos!$D$10^2))),Supuestos!$D$10))))))</f>
        <v/>
      </c>
      <c r="O274" s="31">
        <f>MIN(IF(Supuestos!$H$11="",1E+99,Supuestos!$H$11),MAX(IF(Supuestos!$G$11="",-1E+99,Supuestos!$G$11),IF(Supuestos!$C$11="Normal",NORMINV(H274,Supuestos!$D$11,Supuestos!$E$11),IF(Supuestos!$C$11="Triangular",IF(H274&lt;(Supuestos!$E$11-Supuestos!$D$11)/(Supuestos!$F$11-Supuestos!$D$11),Supuestos!$D$11+SQRT(H274*(Supuestos!$F$11-Supuestos!$D$11)*(Supuestos!$E$11-Supuestos!$D$11)),Supuestos!$F$11-SQRT((1-H274)*(Supuestos!$F$11-Supuestos!$D$11)*(Supuestos!$F$11-Supuestos!$E$11))),IF(Supuestos!$C$11="Uniforme",Supuestos!$D$11+H274*(Supuestos!$E$11-Supuestos!$D$11),IF(Supuestos!$C$11="Lognormal",LOGINV(H274,LN(Supuestos!$D$11)-LN(1+Supuestos!$E$11^2/Supuestos!$D$11^2)/2,SQRT(LN(1+Supuestos!$E$11^2/Supuestos!$D$11^2))),Supuestos!$D$11))))))</f>
        <v/>
      </c>
      <c r="P274" s="33">
        <f>-I274</f>
        <v/>
      </c>
      <c r="Q274" s="33">
        <f>$J274*(1+$K274)^(1-1)*(1-$L274)*(1-$M274)</f>
        <v/>
      </c>
      <c r="R274" s="33">
        <f>$J274*(1+$K274)^(2-1)*(1-$L274)*(1-$M274)</f>
        <v/>
      </c>
      <c r="S274" s="33">
        <f>$J274*(1+$K274)^(3-1)*(1-$L274)*(1-$M274)</f>
        <v/>
      </c>
      <c r="T274" s="33">
        <f>$J274*(1+$K274)^(4-1)*(1-$L274)*(1-$M274)</f>
        <v/>
      </c>
      <c r="U274" s="33">
        <f>$J274*(1+$K274)^(5-1)*(1-$L274)*(1-$M274)+$O274</f>
        <v/>
      </c>
      <c r="V274" s="33">
        <f>P274+NPV($N274,Q274:U274)</f>
        <v/>
      </c>
      <c r="W274" s="32">
        <f>IFERROR(IRR(P274:U274,0.1),"")</f>
        <v/>
      </c>
    </row>
    <row r="275">
      <c r="A275" s="14" t="n">
        <v>271</v>
      </c>
      <c r="B275" s="30">
        <f>RAND()*(1-2E-6)+1E-6</f>
        <v/>
      </c>
      <c r="C275" s="30">
        <f>RAND()*(1-2E-6)+1E-6</f>
        <v/>
      </c>
      <c r="D275" s="30">
        <f>RAND()*(1-2E-6)+1E-6</f>
        <v/>
      </c>
      <c r="E275" s="30">
        <f>RAND()*(1-2E-6)+1E-6</f>
        <v/>
      </c>
      <c r="F275" s="30">
        <f>RAND()*(1-2E-6)+1E-6</f>
        <v/>
      </c>
      <c r="G275" s="30">
        <f>RAND()*(1-2E-6)+1E-6</f>
        <v/>
      </c>
      <c r="H275" s="30">
        <f>RAND()*(1-2E-6)+1E-6</f>
        <v/>
      </c>
      <c r="I275" s="31">
        <f>MIN(IF(Supuestos!$H$5="",1E+99,Supuestos!$H$5),MAX(IF(Supuestos!$G$5="",-1E+99,Supuestos!$G$5),IF(Supuestos!$C$5="Normal",NORMINV(B275,Supuestos!$D$5,Supuestos!$E$5),IF(Supuestos!$C$5="Triangular",IF(B275&lt;(Supuestos!$E$5-Supuestos!$D$5)/(Supuestos!$F$5-Supuestos!$D$5),Supuestos!$D$5+SQRT(B275*(Supuestos!$F$5-Supuestos!$D$5)*(Supuestos!$E$5-Supuestos!$D$5)),Supuestos!$F$5-SQRT((1-B275)*(Supuestos!$F$5-Supuestos!$D$5)*(Supuestos!$F$5-Supuestos!$E$5))),IF(Supuestos!$C$5="Uniforme",Supuestos!$D$5+B275*(Supuestos!$E$5-Supuestos!$D$5),IF(Supuestos!$C$5="Lognormal",LOGINV(B275,LN(Supuestos!$D$5)-LN(1+Supuestos!$E$5^2/Supuestos!$D$5^2)/2,SQRT(LN(1+Supuestos!$E$5^2/Supuestos!$D$5^2))),Supuestos!$D$5))))))</f>
        <v/>
      </c>
      <c r="J275" s="31">
        <f>MIN(IF(Supuestos!$H$6="",1E+99,Supuestos!$H$6),MAX(IF(Supuestos!$G$6="",-1E+99,Supuestos!$G$6),IF(Supuestos!$C$6="Normal",NORMINV(C275,Supuestos!$D$6,Supuestos!$E$6),IF(Supuestos!$C$6="Triangular",IF(C275&lt;(Supuestos!$E$6-Supuestos!$D$6)/(Supuestos!$F$6-Supuestos!$D$6),Supuestos!$D$6+SQRT(C275*(Supuestos!$F$6-Supuestos!$D$6)*(Supuestos!$E$6-Supuestos!$D$6)),Supuestos!$F$6-SQRT((1-C275)*(Supuestos!$F$6-Supuestos!$D$6)*(Supuestos!$F$6-Supuestos!$E$6))),IF(Supuestos!$C$6="Uniforme",Supuestos!$D$6+C275*(Supuestos!$E$6-Supuestos!$D$6),IF(Supuestos!$C$6="Lognormal",LOGINV(C275,LN(Supuestos!$D$6)-LN(1+Supuestos!$E$6^2/Supuestos!$D$6^2)/2,SQRT(LN(1+Supuestos!$E$6^2/Supuestos!$D$6^2))),Supuestos!$D$6))))))</f>
        <v/>
      </c>
      <c r="K275" s="32">
        <f>MIN(IF(Supuestos!$H$7="",1E+99,Supuestos!$H$7),MAX(IF(Supuestos!$G$7="",-1E+99,Supuestos!$G$7),IF(Supuestos!$C$7="Normal",NORMINV(D275,Supuestos!$D$7,Supuestos!$E$7),IF(Supuestos!$C$7="Triangular",IF(D275&lt;(Supuestos!$E$7-Supuestos!$D$7)/(Supuestos!$F$7-Supuestos!$D$7),Supuestos!$D$7+SQRT(D275*(Supuestos!$F$7-Supuestos!$D$7)*(Supuestos!$E$7-Supuestos!$D$7)),Supuestos!$F$7-SQRT((1-D275)*(Supuestos!$F$7-Supuestos!$D$7)*(Supuestos!$F$7-Supuestos!$E$7))),IF(Supuestos!$C$7="Uniforme",Supuestos!$D$7+D275*(Supuestos!$E$7-Supuestos!$D$7),IF(Supuestos!$C$7="Lognormal",LOGINV(D275,LN(Supuestos!$D$7)-LN(1+Supuestos!$E$7^2/Supuestos!$D$7^2)/2,SQRT(LN(1+Supuestos!$E$7^2/Supuestos!$D$7^2))),Supuestos!$D$7))))))</f>
        <v/>
      </c>
      <c r="L275" s="32">
        <f>MIN(IF(Supuestos!$H$8="",1E+99,Supuestos!$H$8),MAX(IF(Supuestos!$G$8="",-1E+99,Supuestos!$G$8),IF(Supuestos!$C$8="Normal",NORMINV(E275,Supuestos!$D$8,Supuestos!$E$8),IF(Supuestos!$C$8="Triangular",IF(E275&lt;(Supuestos!$E$8-Supuestos!$D$8)/(Supuestos!$F$8-Supuestos!$D$8),Supuestos!$D$8+SQRT(E275*(Supuestos!$F$8-Supuestos!$D$8)*(Supuestos!$E$8-Supuestos!$D$8)),Supuestos!$F$8-SQRT((1-E275)*(Supuestos!$F$8-Supuestos!$D$8)*(Supuestos!$F$8-Supuestos!$E$8))),IF(Supuestos!$C$8="Uniforme",Supuestos!$D$8+E275*(Supuestos!$E$8-Supuestos!$D$8),IF(Supuestos!$C$8="Lognormal",LOGINV(E275,LN(Supuestos!$D$8)-LN(1+Supuestos!$E$8^2/Supuestos!$D$8^2)/2,SQRT(LN(1+Supuestos!$E$8^2/Supuestos!$D$8^2))),Supuestos!$D$8))))))</f>
        <v/>
      </c>
      <c r="M275" s="32">
        <f>MIN(IF(Supuestos!$H$9="",1E+99,Supuestos!$H$9),MAX(IF(Supuestos!$G$9="",-1E+99,Supuestos!$G$9),IF(Supuestos!$C$9="Normal",NORMINV(F275,Supuestos!$D$9,Supuestos!$E$9),IF(Supuestos!$C$9="Triangular",IF(F275&lt;(Supuestos!$E$9-Supuestos!$D$9)/(Supuestos!$F$9-Supuestos!$D$9),Supuestos!$D$9+SQRT(F275*(Supuestos!$F$9-Supuestos!$D$9)*(Supuestos!$E$9-Supuestos!$D$9)),Supuestos!$F$9-SQRT((1-F275)*(Supuestos!$F$9-Supuestos!$D$9)*(Supuestos!$F$9-Supuestos!$E$9))),IF(Supuestos!$C$9="Uniforme",Supuestos!$D$9+F275*(Supuestos!$E$9-Supuestos!$D$9),IF(Supuestos!$C$9="Lognormal",LOGINV(F275,LN(Supuestos!$D$9)-LN(1+Supuestos!$E$9^2/Supuestos!$D$9^2)/2,SQRT(LN(1+Supuestos!$E$9^2/Supuestos!$D$9^2))),Supuestos!$D$9))))))</f>
        <v/>
      </c>
      <c r="N275" s="32">
        <f>MIN(IF(Supuestos!$H$10="",1E+99,Supuestos!$H$10),MAX(IF(Supuestos!$G$10="",-1E+99,Supuestos!$G$10),IF(Supuestos!$C$10="Normal",NORMINV(G275,Supuestos!$D$10,Supuestos!$E$10),IF(Supuestos!$C$10="Triangular",IF(G275&lt;(Supuestos!$E$10-Supuestos!$D$10)/(Supuestos!$F$10-Supuestos!$D$10),Supuestos!$D$10+SQRT(G275*(Supuestos!$F$10-Supuestos!$D$10)*(Supuestos!$E$10-Supuestos!$D$10)),Supuestos!$F$10-SQRT((1-G275)*(Supuestos!$F$10-Supuestos!$D$10)*(Supuestos!$F$10-Supuestos!$E$10))),IF(Supuestos!$C$10="Uniforme",Supuestos!$D$10+G275*(Supuestos!$E$10-Supuestos!$D$10),IF(Supuestos!$C$10="Lognormal",LOGINV(G275,LN(Supuestos!$D$10)-LN(1+Supuestos!$E$10^2/Supuestos!$D$10^2)/2,SQRT(LN(1+Supuestos!$E$10^2/Supuestos!$D$10^2))),Supuestos!$D$10))))))</f>
        <v/>
      </c>
      <c r="O275" s="31">
        <f>MIN(IF(Supuestos!$H$11="",1E+99,Supuestos!$H$11),MAX(IF(Supuestos!$G$11="",-1E+99,Supuestos!$G$11),IF(Supuestos!$C$11="Normal",NORMINV(H275,Supuestos!$D$11,Supuestos!$E$11),IF(Supuestos!$C$11="Triangular",IF(H275&lt;(Supuestos!$E$11-Supuestos!$D$11)/(Supuestos!$F$11-Supuestos!$D$11),Supuestos!$D$11+SQRT(H275*(Supuestos!$F$11-Supuestos!$D$11)*(Supuestos!$E$11-Supuestos!$D$11)),Supuestos!$F$11-SQRT((1-H275)*(Supuestos!$F$11-Supuestos!$D$11)*(Supuestos!$F$11-Supuestos!$E$11))),IF(Supuestos!$C$11="Uniforme",Supuestos!$D$11+H275*(Supuestos!$E$11-Supuestos!$D$11),IF(Supuestos!$C$11="Lognormal",LOGINV(H275,LN(Supuestos!$D$11)-LN(1+Supuestos!$E$11^2/Supuestos!$D$11^2)/2,SQRT(LN(1+Supuestos!$E$11^2/Supuestos!$D$11^2))),Supuestos!$D$11))))))</f>
        <v/>
      </c>
      <c r="P275" s="33">
        <f>-I275</f>
        <v/>
      </c>
      <c r="Q275" s="33">
        <f>$J275*(1+$K275)^(1-1)*(1-$L275)*(1-$M275)</f>
        <v/>
      </c>
      <c r="R275" s="33">
        <f>$J275*(1+$K275)^(2-1)*(1-$L275)*(1-$M275)</f>
        <v/>
      </c>
      <c r="S275" s="33">
        <f>$J275*(1+$K275)^(3-1)*(1-$L275)*(1-$M275)</f>
        <v/>
      </c>
      <c r="T275" s="33">
        <f>$J275*(1+$K275)^(4-1)*(1-$L275)*(1-$M275)</f>
        <v/>
      </c>
      <c r="U275" s="33">
        <f>$J275*(1+$K275)^(5-1)*(1-$L275)*(1-$M275)+$O275</f>
        <v/>
      </c>
      <c r="V275" s="33">
        <f>P275+NPV($N275,Q275:U275)</f>
        <v/>
      </c>
      <c r="W275" s="32">
        <f>IFERROR(IRR(P275:U275,0.1),"")</f>
        <v/>
      </c>
    </row>
    <row r="276">
      <c r="A276" s="14" t="n">
        <v>272</v>
      </c>
      <c r="B276" s="30">
        <f>RAND()*(1-2E-6)+1E-6</f>
        <v/>
      </c>
      <c r="C276" s="30">
        <f>RAND()*(1-2E-6)+1E-6</f>
        <v/>
      </c>
      <c r="D276" s="30">
        <f>RAND()*(1-2E-6)+1E-6</f>
        <v/>
      </c>
      <c r="E276" s="30">
        <f>RAND()*(1-2E-6)+1E-6</f>
        <v/>
      </c>
      <c r="F276" s="30">
        <f>RAND()*(1-2E-6)+1E-6</f>
        <v/>
      </c>
      <c r="G276" s="30">
        <f>RAND()*(1-2E-6)+1E-6</f>
        <v/>
      </c>
      <c r="H276" s="30">
        <f>RAND()*(1-2E-6)+1E-6</f>
        <v/>
      </c>
      <c r="I276" s="31">
        <f>MIN(IF(Supuestos!$H$5="",1E+99,Supuestos!$H$5),MAX(IF(Supuestos!$G$5="",-1E+99,Supuestos!$G$5),IF(Supuestos!$C$5="Normal",NORMINV(B276,Supuestos!$D$5,Supuestos!$E$5),IF(Supuestos!$C$5="Triangular",IF(B276&lt;(Supuestos!$E$5-Supuestos!$D$5)/(Supuestos!$F$5-Supuestos!$D$5),Supuestos!$D$5+SQRT(B276*(Supuestos!$F$5-Supuestos!$D$5)*(Supuestos!$E$5-Supuestos!$D$5)),Supuestos!$F$5-SQRT((1-B276)*(Supuestos!$F$5-Supuestos!$D$5)*(Supuestos!$F$5-Supuestos!$E$5))),IF(Supuestos!$C$5="Uniforme",Supuestos!$D$5+B276*(Supuestos!$E$5-Supuestos!$D$5),IF(Supuestos!$C$5="Lognormal",LOGINV(B276,LN(Supuestos!$D$5)-LN(1+Supuestos!$E$5^2/Supuestos!$D$5^2)/2,SQRT(LN(1+Supuestos!$E$5^2/Supuestos!$D$5^2))),Supuestos!$D$5))))))</f>
        <v/>
      </c>
      <c r="J276" s="31">
        <f>MIN(IF(Supuestos!$H$6="",1E+99,Supuestos!$H$6),MAX(IF(Supuestos!$G$6="",-1E+99,Supuestos!$G$6),IF(Supuestos!$C$6="Normal",NORMINV(C276,Supuestos!$D$6,Supuestos!$E$6),IF(Supuestos!$C$6="Triangular",IF(C276&lt;(Supuestos!$E$6-Supuestos!$D$6)/(Supuestos!$F$6-Supuestos!$D$6),Supuestos!$D$6+SQRT(C276*(Supuestos!$F$6-Supuestos!$D$6)*(Supuestos!$E$6-Supuestos!$D$6)),Supuestos!$F$6-SQRT((1-C276)*(Supuestos!$F$6-Supuestos!$D$6)*(Supuestos!$F$6-Supuestos!$E$6))),IF(Supuestos!$C$6="Uniforme",Supuestos!$D$6+C276*(Supuestos!$E$6-Supuestos!$D$6),IF(Supuestos!$C$6="Lognormal",LOGINV(C276,LN(Supuestos!$D$6)-LN(1+Supuestos!$E$6^2/Supuestos!$D$6^2)/2,SQRT(LN(1+Supuestos!$E$6^2/Supuestos!$D$6^2))),Supuestos!$D$6))))))</f>
        <v/>
      </c>
      <c r="K276" s="32">
        <f>MIN(IF(Supuestos!$H$7="",1E+99,Supuestos!$H$7),MAX(IF(Supuestos!$G$7="",-1E+99,Supuestos!$G$7),IF(Supuestos!$C$7="Normal",NORMINV(D276,Supuestos!$D$7,Supuestos!$E$7),IF(Supuestos!$C$7="Triangular",IF(D276&lt;(Supuestos!$E$7-Supuestos!$D$7)/(Supuestos!$F$7-Supuestos!$D$7),Supuestos!$D$7+SQRT(D276*(Supuestos!$F$7-Supuestos!$D$7)*(Supuestos!$E$7-Supuestos!$D$7)),Supuestos!$F$7-SQRT((1-D276)*(Supuestos!$F$7-Supuestos!$D$7)*(Supuestos!$F$7-Supuestos!$E$7))),IF(Supuestos!$C$7="Uniforme",Supuestos!$D$7+D276*(Supuestos!$E$7-Supuestos!$D$7),IF(Supuestos!$C$7="Lognormal",LOGINV(D276,LN(Supuestos!$D$7)-LN(1+Supuestos!$E$7^2/Supuestos!$D$7^2)/2,SQRT(LN(1+Supuestos!$E$7^2/Supuestos!$D$7^2))),Supuestos!$D$7))))))</f>
        <v/>
      </c>
      <c r="L276" s="32">
        <f>MIN(IF(Supuestos!$H$8="",1E+99,Supuestos!$H$8),MAX(IF(Supuestos!$G$8="",-1E+99,Supuestos!$G$8),IF(Supuestos!$C$8="Normal",NORMINV(E276,Supuestos!$D$8,Supuestos!$E$8),IF(Supuestos!$C$8="Triangular",IF(E276&lt;(Supuestos!$E$8-Supuestos!$D$8)/(Supuestos!$F$8-Supuestos!$D$8),Supuestos!$D$8+SQRT(E276*(Supuestos!$F$8-Supuestos!$D$8)*(Supuestos!$E$8-Supuestos!$D$8)),Supuestos!$F$8-SQRT((1-E276)*(Supuestos!$F$8-Supuestos!$D$8)*(Supuestos!$F$8-Supuestos!$E$8))),IF(Supuestos!$C$8="Uniforme",Supuestos!$D$8+E276*(Supuestos!$E$8-Supuestos!$D$8),IF(Supuestos!$C$8="Lognormal",LOGINV(E276,LN(Supuestos!$D$8)-LN(1+Supuestos!$E$8^2/Supuestos!$D$8^2)/2,SQRT(LN(1+Supuestos!$E$8^2/Supuestos!$D$8^2))),Supuestos!$D$8))))))</f>
        <v/>
      </c>
      <c r="M276" s="32">
        <f>MIN(IF(Supuestos!$H$9="",1E+99,Supuestos!$H$9),MAX(IF(Supuestos!$G$9="",-1E+99,Supuestos!$G$9),IF(Supuestos!$C$9="Normal",NORMINV(F276,Supuestos!$D$9,Supuestos!$E$9),IF(Supuestos!$C$9="Triangular",IF(F276&lt;(Supuestos!$E$9-Supuestos!$D$9)/(Supuestos!$F$9-Supuestos!$D$9),Supuestos!$D$9+SQRT(F276*(Supuestos!$F$9-Supuestos!$D$9)*(Supuestos!$E$9-Supuestos!$D$9)),Supuestos!$F$9-SQRT((1-F276)*(Supuestos!$F$9-Supuestos!$D$9)*(Supuestos!$F$9-Supuestos!$E$9))),IF(Supuestos!$C$9="Uniforme",Supuestos!$D$9+F276*(Supuestos!$E$9-Supuestos!$D$9),IF(Supuestos!$C$9="Lognormal",LOGINV(F276,LN(Supuestos!$D$9)-LN(1+Supuestos!$E$9^2/Supuestos!$D$9^2)/2,SQRT(LN(1+Supuestos!$E$9^2/Supuestos!$D$9^2))),Supuestos!$D$9))))))</f>
        <v/>
      </c>
      <c r="N276" s="32">
        <f>MIN(IF(Supuestos!$H$10="",1E+99,Supuestos!$H$10),MAX(IF(Supuestos!$G$10="",-1E+99,Supuestos!$G$10),IF(Supuestos!$C$10="Normal",NORMINV(G276,Supuestos!$D$10,Supuestos!$E$10),IF(Supuestos!$C$10="Triangular",IF(G276&lt;(Supuestos!$E$10-Supuestos!$D$10)/(Supuestos!$F$10-Supuestos!$D$10),Supuestos!$D$10+SQRT(G276*(Supuestos!$F$10-Supuestos!$D$10)*(Supuestos!$E$10-Supuestos!$D$10)),Supuestos!$F$10-SQRT((1-G276)*(Supuestos!$F$10-Supuestos!$D$10)*(Supuestos!$F$10-Supuestos!$E$10))),IF(Supuestos!$C$10="Uniforme",Supuestos!$D$10+G276*(Supuestos!$E$10-Supuestos!$D$10),IF(Supuestos!$C$10="Lognormal",LOGINV(G276,LN(Supuestos!$D$10)-LN(1+Supuestos!$E$10^2/Supuestos!$D$10^2)/2,SQRT(LN(1+Supuestos!$E$10^2/Supuestos!$D$10^2))),Supuestos!$D$10))))))</f>
        <v/>
      </c>
      <c r="O276" s="31">
        <f>MIN(IF(Supuestos!$H$11="",1E+99,Supuestos!$H$11),MAX(IF(Supuestos!$G$11="",-1E+99,Supuestos!$G$11),IF(Supuestos!$C$11="Normal",NORMINV(H276,Supuestos!$D$11,Supuestos!$E$11),IF(Supuestos!$C$11="Triangular",IF(H276&lt;(Supuestos!$E$11-Supuestos!$D$11)/(Supuestos!$F$11-Supuestos!$D$11),Supuestos!$D$11+SQRT(H276*(Supuestos!$F$11-Supuestos!$D$11)*(Supuestos!$E$11-Supuestos!$D$11)),Supuestos!$F$11-SQRT((1-H276)*(Supuestos!$F$11-Supuestos!$D$11)*(Supuestos!$F$11-Supuestos!$E$11))),IF(Supuestos!$C$11="Uniforme",Supuestos!$D$11+H276*(Supuestos!$E$11-Supuestos!$D$11),IF(Supuestos!$C$11="Lognormal",LOGINV(H276,LN(Supuestos!$D$11)-LN(1+Supuestos!$E$11^2/Supuestos!$D$11^2)/2,SQRT(LN(1+Supuestos!$E$11^2/Supuestos!$D$11^2))),Supuestos!$D$11))))))</f>
        <v/>
      </c>
      <c r="P276" s="33">
        <f>-I276</f>
        <v/>
      </c>
      <c r="Q276" s="33">
        <f>$J276*(1+$K276)^(1-1)*(1-$L276)*(1-$M276)</f>
        <v/>
      </c>
      <c r="R276" s="33">
        <f>$J276*(1+$K276)^(2-1)*(1-$L276)*(1-$M276)</f>
        <v/>
      </c>
      <c r="S276" s="33">
        <f>$J276*(1+$K276)^(3-1)*(1-$L276)*(1-$M276)</f>
        <v/>
      </c>
      <c r="T276" s="33">
        <f>$J276*(1+$K276)^(4-1)*(1-$L276)*(1-$M276)</f>
        <v/>
      </c>
      <c r="U276" s="33">
        <f>$J276*(1+$K276)^(5-1)*(1-$L276)*(1-$M276)+$O276</f>
        <v/>
      </c>
      <c r="V276" s="33">
        <f>P276+NPV($N276,Q276:U276)</f>
        <v/>
      </c>
      <c r="W276" s="32">
        <f>IFERROR(IRR(P276:U276,0.1),"")</f>
        <v/>
      </c>
    </row>
    <row r="277">
      <c r="A277" s="14" t="n">
        <v>273</v>
      </c>
      <c r="B277" s="30">
        <f>RAND()*(1-2E-6)+1E-6</f>
        <v/>
      </c>
      <c r="C277" s="30">
        <f>RAND()*(1-2E-6)+1E-6</f>
        <v/>
      </c>
      <c r="D277" s="30">
        <f>RAND()*(1-2E-6)+1E-6</f>
        <v/>
      </c>
      <c r="E277" s="30">
        <f>RAND()*(1-2E-6)+1E-6</f>
        <v/>
      </c>
      <c r="F277" s="30">
        <f>RAND()*(1-2E-6)+1E-6</f>
        <v/>
      </c>
      <c r="G277" s="30">
        <f>RAND()*(1-2E-6)+1E-6</f>
        <v/>
      </c>
      <c r="H277" s="30">
        <f>RAND()*(1-2E-6)+1E-6</f>
        <v/>
      </c>
      <c r="I277" s="31">
        <f>MIN(IF(Supuestos!$H$5="",1E+99,Supuestos!$H$5),MAX(IF(Supuestos!$G$5="",-1E+99,Supuestos!$G$5),IF(Supuestos!$C$5="Normal",NORMINV(B277,Supuestos!$D$5,Supuestos!$E$5),IF(Supuestos!$C$5="Triangular",IF(B277&lt;(Supuestos!$E$5-Supuestos!$D$5)/(Supuestos!$F$5-Supuestos!$D$5),Supuestos!$D$5+SQRT(B277*(Supuestos!$F$5-Supuestos!$D$5)*(Supuestos!$E$5-Supuestos!$D$5)),Supuestos!$F$5-SQRT((1-B277)*(Supuestos!$F$5-Supuestos!$D$5)*(Supuestos!$F$5-Supuestos!$E$5))),IF(Supuestos!$C$5="Uniforme",Supuestos!$D$5+B277*(Supuestos!$E$5-Supuestos!$D$5),IF(Supuestos!$C$5="Lognormal",LOGINV(B277,LN(Supuestos!$D$5)-LN(1+Supuestos!$E$5^2/Supuestos!$D$5^2)/2,SQRT(LN(1+Supuestos!$E$5^2/Supuestos!$D$5^2))),Supuestos!$D$5))))))</f>
        <v/>
      </c>
      <c r="J277" s="31">
        <f>MIN(IF(Supuestos!$H$6="",1E+99,Supuestos!$H$6),MAX(IF(Supuestos!$G$6="",-1E+99,Supuestos!$G$6),IF(Supuestos!$C$6="Normal",NORMINV(C277,Supuestos!$D$6,Supuestos!$E$6),IF(Supuestos!$C$6="Triangular",IF(C277&lt;(Supuestos!$E$6-Supuestos!$D$6)/(Supuestos!$F$6-Supuestos!$D$6),Supuestos!$D$6+SQRT(C277*(Supuestos!$F$6-Supuestos!$D$6)*(Supuestos!$E$6-Supuestos!$D$6)),Supuestos!$F$6-SQRT((1-C277)*(Supuestos!$F$6-Supuestos!$D$6)*(Supuestos!$F$6-Supuestos!$E$6))),IF(Supuestos!$C$6="Uniforme",Supuestos!$D$6+C277*(Supuestos!$E$6-Supuestos!$D$6),IF(Supuestos!$C$6="Lognormal",LOGINV(C277,LN(Supuestos!$D$6)-LN(1+Supuestos!$E$6^2/Supuestos!$D$6^2)/2,SQRT(LN(1+Supuestos!$E$6^2/Supuestos!$D$6^2))),Supuestos!$D$6))))))</f>
        <v/>
      </c>
      <c r="K277" s="32">
        <f>MIN(IF(Supuestos!$H$7="",1E+99,Supuestos!$H$7),MAX(IF(Supuestos!$G$7="",-1E+99,Supuestos!$G$7),IF(Supuestos!$C$7="Normal",NORMINV(D277,Supuestos!$D$7,Supuestos!$E$7),IF(Supuestos!$C$7="Triangular",IF(D277&lt;(Supuestos!$E$7-Supuestos!$D$7)/(Supuestos!$F$7-Supuestos!$D$7),Supuestos!$D$7+SQRT(D277*(Supuestos!$F$7-Supuestos!$D$7)*(Supuestos!$E$7-Supuestos!$D$7)),Supuestos!$F$7-SQRT((1-D277)*(Supuestos!$F$7-Supuestos!$D$7)*(Supuestos!$F$7-Supuestos!$E$7))),IF(Supuestos!$C$7="Uniforme",Supuestos!$D$7+D277*(Supuestos!$E$7-Supuestos!$D$7),IF(Supuestos!$C$7="Lognormal",LOGINV(D277,LN(Supuestos!$D$7)-LN(1+Supuestos!$E$7^2/Supuestos!$D$7^2)/2,SQRT(LN(1+Supuestos!$E$7^2/Supuestos!$D$7^2))),Supuestos!$D$7))))))</f>
        <v/>
      </c>
      <c r="L277" s="32">
        <f>MIN(IF(Supuestos!$H$8="",1E+99,Supuestos!$H$8),MAX(IF(Supuestos!$G$8="",-1E+99,Supuestos!$G$8),IF(Supuestos!$C$8="Normal",NORMINV(E277,Supuestos!$D$8,Supuestos!$E$8),IF(Supuestos!$C$8="Triangular",IF(E277&lt;(Supuestos!$E$8-Supuestos!$D$8)/(Supuestos!$F$8-Supuestos!$D$8),Supuestos!$D$8+SQRT(E277*(Supuestos!$F$8-Supuestos!$D$8)*(Supuestos!$E$8-Supuestos!$D$8)),Supuestos!$F$8-SQRT((1-E277)*(Supuestos!$F$8-Supuestos!$D$8)*(Supuestos!$F$8-Supuestos!$E$8))),IF(Supuestos!$C$8="Uniforme",Supuestos!$D$8+E277*(Supuestos!$E$8-Supuestos!$D$8),IF(Supuestos!$C$8="Lognormal",LOGINV(E277,LN(Supuestos!$D$8)-LN(1+Supuestos!$E$8^2/Supuestos!$D$8^2)/2,SQRT(LN(1+Supuestos!$E$8^2/Supuestos!$D$8^2))),Supuestos!$D$8))))))</f>
        <v/>
      </c>
      <c r="M277" s="32">
        <f>MIN(IF(Supuestos!$H$9="",1E+99,Supuestos!$H$9),MAX(IF(Supuestos!$G$9="",-1E+99,Supuestos!$G$9),IF(Supuestos!$C$9="Normal",NORMINV(F277,Supuestos!$D$9,Supuestos!$E$9),IF(Supuestos!$C$9="Triangular",IF(F277&lt;(Supuestos!$E$9-Supuestos!$D$9)/(Supuestos!$F$9-Supuestos!$D$9),Supuestos!$D$9+SQRT(F277*(Supuestos!$F$9-Supuestos!$D$9)*(Supuestos!$E$9-Supuestos!$D$9)),Supuestos!$F$9-SQRT((1-F277)*(Supuestos!$F$9-Supuestos!$D$9)*(Supuestos!$F$9-Supuestos!$E$9))),IF(Supuestos!$C$9="Uniforme",Supuestos!$D$9+F277*(Supuestos!$E$9-Supuestos!$D$9),IF(Supuestos!$C$9="Lognormal",LOGINV(F277,LN(Supuestos!$D$9)-LN(1+Supuestos!$E$9^2/Supuestos!$D$9^2)/2,SQRT(LN(1+Supuestos!$E$9^2/Supuestos!$D$9^2))),Supuestos!$D$9))))))</f>
        <v/>
      </c>
      <c r="N277" s="32">
        <f>MIN(IF(Supuestos!$H$10="",1E+99,Supuestos!$H$10),MAX(IF(Supuestos!$G$10="",-1E+99,Supuestos!$G$10),IF(Supuestos!$C$10="Normal",NORMINV(G277,Supuestos!$D$10,Supuestos!$E$10),IF(Supuestos!$C$10="Triangular",IF(G277&lt;(Supuestos!$E$10-Supuestos!$D$10)/(Supuestos!$F$10-Supuestos!$D$10),Supuestos!$D$10+SQRT(G277*(Supuestos!$F$10-Supuestos!$D$10)*(Supuestos!$E$10-Supuestos!$D$10)),Supuestos!$F$10-SQRT((1-G277)*(Supuestos!$F$10-Supuestos!$D$10)*(Supuestos!$F$10-Supuestos!$E$10))),IF(Supuestos!$C$10="Uniforme",Supuestos!$D$10+G277*(Supuestos!$E$10-Supuestos!$D$10),IF(Supuestos!$C$10="Lognormal",LOGINV(G277,LN(Supuestos!$D$10)-LN(1+Supuestos!$E$10^2/Supuestos!$D$10^2)/2,SQRT(LN(1+Supuestos!$E$10^2/Supuestos!$D$10^2))),Supuestos!$D$10))))))</f>
        <v/>
      </c>
      <c r="O277" s="31">
        <f>MIN(IF(Supuestos!$H$11="",1E+99,Supuestos!$H$11),MAX(IF(Supuestos!$G$11="",-1E+99,Supuestos!$G$11),IF(Supuestos!$C$11="Normal",NORMINV(H277,Supuestos!$D$11,Supuestos!$E$11),IF(Supuestos!$C$11="Triangular",IF(H277&lt;(Supuestos!$E$11-Supuestos!$D$11)/(Supuestos!$F$11-Supuestos!$D$11),Supuestos!$D$11+SQRT(H277*(Supuestos!$F$11-Supuestos!$D$11)*(Supuestos!$E$11-Supuestos!$D$11)),Supuestos!$F$11-SQRT((1-H277)*(Supuestos!$F$11-Supuestos!$D$11)*(Supuestos!$F$11-Supuestos!$E$11))),IF(Supuestos!$C$11="Uniforme",Supuestos!$D$11+H277*(Supuestos!$E$11-Supuestos!$D$11),IF(Supuestos!$C$11="Lognormal",LOGINV(H277,LN(Supuestos!$D$11)-LN(1+Supuestos!$E$11^2/Supuestos!$D$11^2)/2,SQRT(LN(1+Supuestos!$E$11^2/Supuestos!$D$11^2))),Supuestos!$D$11))))))</f>
        <v/>
      </c>
      <c r="P277" s="33">
        <f>-I277</f>
        <v/>
      </c>
      <c r="Q277" s="33">
        <f>$J277*(1+$K277)^(1-1)*(1-$L277)*(1-$M277)</f>
        <v/>
      </c>
      <c r="R277" s="33">
        <f>$J277*(1+$K277)^(2-1)*(1-$L277)*(1-$M277)</f>
        <v/>
      </c>
      <c r="S277" s="33">
        <f>$J277*(1+$K277)^(3-1)*(1-$L277)*(1-$M277)</f>
        <v/>
      </c>
      <c r="T277" s="33">
        <f>$J277*(1+$K277)^(4-1)*(1-$L277)*(1-$M277)</f>
        <v/>
      </c>
      <c r="U277" s="33">
        <f>$J277*(1+$K277)^(5-1)*(1-$L277)*(1-$M277)+$O277</f>
        <v/>
      </c>
      <c r="V277" s="33">
        <f>P277+NPV($N277,Q277:U277)</f>
        <v/>
      </c>
      <c r="W277" s="32">
        <f>IFERROR(IRR(P277:U277,0.1),"")</f>
        <v/>
      </c>
    </row>
    <row r="278">
      <c r="A278" s="14" t="n">
        <v>274</v>
      </c>
      <c r="B278" s="30">
        <f>RAND()*(1-2E-6)+1E-6</f>
        <v/>
      </c>
      <c r="C278" s="30">
        <f>RAND()*(1-2E-6)+1E-6</f>
        <v/>
      </c>
      <c r="D278" s="30">
        <f>RAND()*(1-2E-6)+1E-6</f>
        <v/>
      </c>
      <c r="E278" s="30">
        <f>RAND()*(1-2E-6)+1E-6</f>
        <v/>
      </c>
      <c r="F278" s="30">
        <f>RAND()*(1-2E-6)+1E-6</f>
        <v/>
      </c>
      <c r="G278" s="30">
        <f>RAND()*(1-2E-6)+1E-6</f>
        <v/>
      </c>
      <c r="H278" s="30">
        <f>RAND()*(1-2E-6)+1E-6</f>
        <v/>
      </c>
      <c r="I278" s="31">
        <f>MIN(IF(Supuestos!$H$5="",1E+99,Supuestos!$H$5),MAX(IF(Supuestos!$G$5="",-1E+99,Supuestos!$G$5),IF(Supuestos!$C$5="Normal",NORMINV(B278,Supuestos!$D$5,Supuestos!$E$5),IF(Supuestos!$C$5="Triangular",IF(B278&lt;(Supuestos!$E$5-Supuestos!$D$5)/(Supuestos!$F$5-Supuestos!$D$5),Supuestos!$D$5+SQRT(B278*(Supuestos!$F$5-Supuestos!$D$5)*(Supuestos!$E$5-Supuestos!$D$5)),Supuestos!$F$5-SQRT((1-B278)*(Supuestos!$F$5-Supuestos!$D$5)*(Supuestos!$F$5-Supuestos!$E$5))),IF(Supuestos!$C$5="Uniforme",Supuestos!$D$5+B278*(Supuestos!$E$5-Supuestos!$D$5),IF(Supuestos!$C$5="Lognormal",LOGINV(B278,LN(Supuestos!$D$5)-LN(1+Supuestos!$E$5^2/Supuestos!$D$5^2)/2,SQRT(LN(1+Supuestos!$E$5^2/Supuestos!$D$5^2))),Supuestos!$D$5))))))</f>
        <v/>
      </c>
      <c r="J278" s="31">
        <f>MIN(IF(Supuestos!$H$6="",1E+99,Supuestos!$H$6),MAX(IF(Supuestos!$G$6="",-1E+99,Supuestos!$G$6),IF(Supuestos!$C$6="Normal",NORMINV(C278,Supuestos!$D$6,Supuestos!$E$6),IF(Supuestos!$C$6="Triangular",IF(C278&lt;(Supuestos!$E$6-Supuestos!$D$6)/(Supuestos!$F$6-Supuestos!$D$6),Supuestos!$D$6+SQRT(C278*(Supuestos!$F$6-Supuestos!$D$6)*(Supuestos!$E$6-Supuestos!$D$6)),Supuestos!$F$6-SQRT((1-C278)*(Supuestos!$F$6-Supuestos!$D$6)*(Supuestos!$F$6-Supuestos!$E$6))),IF(Supuestos!$C$6="Uniforme",Supuestos!$D$6+C278*(Supuestos!$E$6-Supuestos!$D$6),IF(Supuestos!$C$6="Lognormal",LOGINV(C278,LN(Supuestos!$D$6)-LN(1+Supuestos!$E$6^2/Supuestos!$D$6^2)/2,SQRT(LN(1+Supuestos!$E$6^2/Supuestos!$D$6^2))),Supuestos!$D$6))))))</f>
        <v/>
      </c>
      <c r="K278" s="32">
        <f>MIN(IF(Supuestos!$H$7="",1E+99,Supuestos!$H$7),MAX(IF(Supuestos!$G$7="",-1E+99,Supuestos!$G$7),IF(Supuestos!$C$7="Normal",NORMINV(D278,Supuestos!$D$7,Supuestos!$E$7),IF(Supuestos!$C$7="Triangular",IF(D278&lt;(Supuestos!$E$7-Supuestos!$D$7)/(Supuestos!$F$7-Supuestos!$D$7),Supuestos!$D$7+SQRT(D278*(Supuestos!$F$7-Supuestos!$D$7)*(Supuestos!$E$7-Supuestos!$D$7)),Supuestos!$F$7-SQRT((1-D278)*(Supuestos!$F$7-Supuestos!$D$7)*(Supuestos!$F$7-Supuestos!$E$7))),IF(Supuestos!$C$7="Uniforme",Supuestos!$D$7+D278*(Supuestos!$E$7-Supuestos!$D$7),IF(Supuestos!$C$7="Lognormal",LOGINV(D278,LN(Supuestos!$D$7)-LN(1+Supuestos!$E$7^2/Supuestos!$D$7^2)/2,SQRT(LN(1+Supuestos!$E$7^2/Supuestos!$D$7^2))),Supuestos!$D$7))))))</f>
        <v/>
      </c>
      <c r="L278" s="32">
        <f>MIN(IF(Supuestos!$H$8="",1E+99,Supuestos!$H$8),MAX(IF(Supuestos!$G$8="",-1E+99,Supuestos!$G$8),IF(Supuestos!$C$8="Normal",NORMINV(E278,Supuestos!$D$8,Supuestos!$E$8),IF(Supuestos!$C$8="Triangular",IF(E278&lt;(Supuestos!$E$8-Supuestos!$D$8)/(Supuestos!$F$8-Supuestos!$D$8),Supuestos!$D$8+SQRT(E278*(Supuestos!$F$8-Supuestos!$D$8)*(Supuestos!$E$8-Supuestos!$D$8)),Supuestos!$F$8-SQRT((1-E278)*(Supuestos!$F$8-Supuestos!$D$8)*(Supuestos!$F$8-Supuestos!$E$8))),IF(Supuestos!$C$8="Uniforme",Supuestos!$D$8+E278*(Supuestos!$E$8-Supuestos!$D$8),IF(Supuestos!$C$8="Lognormal",LOGINV(E278,LN(Supuestos!$D$8)-LN(1+Supuestos!$E$8^2/Supuestos!$D$8^2)/2,SQRT(LN(1+Supuestos!$E$8^2/Supuestos!$D$8^2))),Supuestos!$D$8))))))</f>
        <v/>
      </c>
      <c r="M278" s="32">
        <f>MIN(IF(Supuestos!$H$9="",1E+99,Supuestos!$H$9),MAX(IF(Supuestos!$G$9="",-1E+99,Supuestos!$G$9),IF(Supuestos!$C$9="Normal",NORMINV(F278,Supuestos!$D$9,Supuestos!$E$9),IF(Supuestos!$C$9="Triangular",IF(F278&lt;(Supuestos!$E$9-Supuestos!$D$9)/(Supuestos!$F$9-Supuestos!$D$9),Supuestos!$D$9+SQRT(F278*(Supuestos!$F$9-Supuestos!$D$9)*(Supuestos!$E$9-Supuestos!$D$9)),Supuestos!$F$9-SQRT((1-F278)*(Supuestos!$F$9-Supuestos!$D$9)*(Supuestos!$F$9-Supuestos!$E$9))),IF(Supuestos!$C$9="Uniforme",Supuestos!$D$9+F278*(Supuestos!$E$9-Supuestos!$D$9),IF(Supuestos!$C$9="Lognormal",LOGINV(F278,LN(Supuestos!$D$9)-LN(1+Supuestos!$E$9^2/Supuestos!$D$9^2)/2,SQRT(LN(1+Supuestos!$E$9^2/Supuestos!$D$9^2))),Supuestos!$D$9))))))</f>
        <v/>
      </c>
      <c r="N278" s="32">
        <f>MIN(IF(Supuestos!$H$10="",1E+99,Supuestos!$H$10),MAX(IF(Supuestos!$G$10="",-1E+99,Supuestos!$G$10),IF(Supuestos!$C$10="Normal",NORMINV(G278,Supuestos!$D$10,Supuestos!$E$10),IF(Supuestos!$C$10="Triangular",IF(G278&lt;(Supuestos!$E$10-Supuestos!$D$10)/(Supuestos!$F$10-Supuestos!$D$10),Supuestos!$D$10+SQRT(G278*(Supuestos!$F$10-Supuestos!$D$10)*(Supuestos!$E$10-Supuestos!$D$10)),Supuestos!$F$10-SQRT((1-G278)*(Supuestos!$F$10-Supuestos!$D$10)*(Supuestos!$F$10-Supuestos!$E$10))),IF(Supuestos!$C$10="Uniforme",Supuestos!$D$10+G278*(Supuestos!$E$10-Supuestos!$D$10),IF(Supuestos!$C$10="Lognormal",LOGINV(G278,LN(Supuestos!$D$10)-LN(1+Supuestos!$E$10^2/Supuestos!$D$10^2)/2,SQRT(LN(1+Supuestos!$E$10^2/Supuestos!$D$10^2))),Supuestos!$D$10))))))</f>
        <v/>
      </c>
      <c r="O278" s="31">
        <f>MIN(IF(Supuestos!$H$11="",1E+99,Supuestos!$H$11),MAX(IF(Supuestos!$G$11="",-1E+99,Supuestos!$G$11),IF(Supuestos!$C$11="Normal",NORMINV(H278,Supuestos!$D$11,Supuestos!$E$11),IF(Supuestos!$C$11="Triangular",IF(H278&lt;(Supuestos!$E$11-Supuestos!$D$11)/(Supuestos!$F$11-Supuestos!$D$11),Supuestos!$D$11+SQRT(H278*(Supuestos!$F$11-Supuestos!$D$11)*(Supuestos!$E$11-Supuestos!$D$11)),Supuestos!$F$11-SQRT((1-H278)*(Supuestos!$F$11-Supuestos!$D$11)*(Supuestos!$F$11-Supuestos!$E$11))),IF(Supuestos!$C$11="Uniforme",Supuestos!$D$11+H278*(Supuestos!$E$11-Supuestos!$D$11),IF(Supuestos!$C$11="Lognormal",LOGINV(H278,LN(Supuestos!$D$11)-LN(1+Supuestos!$E$11^2/Supuestos!$D$11^2)/2,SQRT(LN(1+Supuestos!$E$11^2/Supuestos!$D$11^2))),Supuestos!$D$11))))))</f>
        <v/>
      </c>
      <c r="P278" s="33">
        <f>-I278</f>
        <v/>
      </c>
      <c r="Q278" s="33">
        <f>$J278*(1+$K278)^(1-1)*(1-$L278)*(1-$M278)</f>
        <v/>
      </c>
      <c r="R278" s="33">
        <f>$J278*(1+$K278)^(2-1)*(1-$L278)*(1-$M278)</f>
        <v/>
      </c>
      <c r="S278" s="33">
        <f>$J278*(1+$K278)^(3-1)*(1-$L278)*(1-$M278)</f>
        <v/>
      </c>
      <c r="T278" s="33">
        <f>$J278*(1+$K278)^(4-1)*(1-$L278)*(1-$M278)</f>
        <v/>
      </c>
      <c r="U278" s="33">
        <f>$J278*(1+$K278)^(5-1)*(1-$L278)*(1-$M278)+$O278</f>
        <v/>
      </c>
      <c r="V278" s="33">
        <f>P278+NPV($N278,Q278:U278)</f>
        <v/>
      </c>
      <c r="W278" s="32">
        <f>IFERROR(IRR(P278:U278,0.1),"")</f>
        <v/>
      </c>
    </row>
    <row r="279">
      <c r="A279" s="14" t="n">
        <v>275</v>
      </c>
      <c r="B279" s="30">
        <f>RAND()*(1-2E-6)+1E-6</f>
        <v/>
      </c>
      <c r="C279" s="30">
        <f>RAND()*(1-2E-6)+1E-6</f>
        <v/>
      </c>
      <c r="D279" s="30">
        <f>RAND()*(1-2E-6)+1E-6</f>
        <v/>
      </c>
      <c r="E279" s="30">
        <f>RAND()*(1-2E-6)+1E-6</f>
        <v/>
      </c>
      <c r="F279" s="30">
        <f>RAND()*(1-2E-6)+1E-6</f>
        <v/>
      </c>
      <c r="G279" s="30">
        <f>RAND()*(1-2E-6)+1E-6</f>
        <v/>
      </c>
      <c r="H279" s="30">
        <f>RAND()*(1-2E-6)+1E-6</f>
        <v/>
      </c>
      <c r="I279" s="31">
        <f>MIN(IF(Supuestos!$H$5="",1E+99,Supuestos!$H$5),MAX(IF(Supuestos!$G$5="",-1E+99,Supuestos!$G$5),IF(Supuestos!$C$5="Normal",NORMINV(B279,Supuestos!$D$5,Supuestos!$E$5),IF(Supuestos!$C$5="Triangular",IF(B279&lt;(Supuestos!$E$5-Supuestos!$D$5)/(Supuestos!$F$5-Supuestos!$D$5),Supuestos!$D$5+SQRT(B279*(Supuestos!$F$5-Supuestos!$D$5)*(Supuestos!$E$5-Supuestos!$D$5)),Supuestos!$F$5-SQRT((1-B279)*(Supuestos!$F$5-Supuestos!$D$5)*(Supuestos!$F$5-Supuestos!$E$5))),IF(Supuestos!$C$5="Uniforme",Supuestos!$D$5+B279*(Supuestos!$E$5-Supuestos!$D$5),IF(Supuestos!$C$5="Lognormal",LOGINV(B279,LN(Supuestos!$D$5)-LN(1+Supuestos!$E$5^2/Supuestos!$D$5^2)/2,SQRT(LN(1+Supuestos!$E$5^2/Supuestos!$D$5^2))),Supuestos!$D$5))))))</f>
        <v/>
      </c>
      <c r="J279" s="31">
        <f>MIN(IF(Supuestos!$H$6="",1E+99,Supuestos!$H$6),MAX(IF(Supuestos!$G$6="",-1E+99,Supuestos!$G$6),IF(Supuestos!$C$6="Normal",NORMINV(C279,Supuestos!$D$6,Supuestos!$E$6),IF(Supuestos!$C$6="Triangular",IF(C279&lt;(Supuestos!$E$6-Supuestos!$D$6)/(Supuestos!$F$6-Supuestos!$D$6),Supuestos!$D$6+SQRT(C279*(Supuestos!$F$6-Supuestos!$D$6)*(Supuestos!$E$6-Supuestos!$D$6)),Supuestos!$F$6-SQRT((1-C279)*(Supuestos!$F$6-Supuestos!$D$6)*(Supuestos!$F$6-Supuestos!$E$6))),IF(Supuestos!$C$6="Uniforme",Supuestos!$D$6+C279*(Supuestos!$E$6-Supuestos!$D$6),IF(Supuestos!$C$6="Lognormal",LOGINV(C279,LN(Supuestos!$D$6)-LN(1+Supuestos!$E$6^2/Supuestos!$D$6^2)/2,SQRT(LN(1+Supuestos!$E$6^2/Supuestos!$D$6^2))),Supuestos!$D$6))))))</f>
        <v/>
      </c>
      <c r="K279" s="32">
        <f>MIN(IF(Supuestos!$H$7="",1E+99,Supuestos!$H$7),MAX(IF(Supuestos!$G$7="",-1E+99,Supuestos!$G$7),IF(Supuestos!$C$7="Normal",NORMINV(D279,Supuestos!$D$7,Supuestos!$E$7),IF(Supuestos!$C$7="Triangular",IF(D279&lt;(Supuestos!$E$7-Supuestos!$D$7)/(Supuestos!$F$7-Supuestos!$D$7),Supuestos!$D$7+SQRT(D279*(Supuestos!$F$7-Supuestos!$D$7)*(Supuestos!$E$7-Supuestos!$D$7)),Supuestos!$F$7-SQRT((1-D279)*(Supuestos!$F$7-Supuestos!$D$7)*(Supuestos!$F$7-Supuestos!$E$7))),IF(Supuestos!$C$7="Uniforme",Supuestos!$D$7+D279*(Supuestos!$E$7-Supuestos!$D$7),IF(Supuestos!$C$7="Lognormal",LOGINV(D279,LN(Supuestos!$D$7)-LN(1+Supuestos!$E$7^2/Supuestos!$D$7^2)/2,SQRT(LN(1+Supuestos!$E$7^2/Supuestos!$D$7^2))),Supuestos!$D$7))))))</f>
        <v/>
      </c>
      <c r="L279" s="32">
        <f>MIN(IF(Supuestos!$H$8="",1E+99,Supuestos!$H$8),MAX(IF(Supuestos!$G$8="",-1E+99,Supuestos!$G$8),IF(Supuestos!$C$8="Normal",NORMINV(E279,Supuestos!$D$8,Supuestos!$E$8),IF(Supuestos!$C$8="Triangular",IF(E279&lt;(Supuestos!$E$8-Supuestos!$D$8)/(Supuestos!$F$8-Supuestos!$D$8),Supuestos!$D$8+SQRT(E279*(Supuestos!$F$8-Supuestos!$D$8)*(Supuestos!$E$8-Supuestos!$D$8)),Supuestos!$F$8-SQRT((1-E279)*(Supuestos!$F$8-Supuestos!$D$8)*(Supuestos!$F$8-Supuestos!$E$8))),IF(Supuestos!$C$8="Uniforme",Supuestos!$D$8+E279*(Supuestos!$E$8-Supuestos!$D$8),IF(Supuestos!$C$8="Lognormal",LOGINV(E279,LN(Supuestos!$D$8)-LN(1+Supuestos!$E$8^2/Supuestos!$D$8^2)/2,SQRT(LN(1+Supuestos!$E$8^2/Supuestos!$D$8^2))),Supuestos!$D$8))))))</f>
        <v/>
      </c>
      <c r="M279" s="32">
        <f>MIN(IF(Supuestos!$H$9="",1E+99,Supuestos!$H$9),MAX(IF(Supuestos!$G$9="",-1E+99,Supuestos!$G$9),IF(Supuestos!$C$9="Normal",NORMINV(F279,Supuestos!$D$9,Supuestos!$E$9),IF(Supuestos!$C$9="Triangular",IF(F279&lt;(Supuestos!$E$9-Supuestos!$D$9)/(Supuestos!$F$9-Supuestos!$D$9),Supuestos!$D$9+SQRT(F279*(Supuestos!$F$9-Supuestos!$D$9)*(Supuestos!$E$9-Supuestos!$D$9)),Supuestos!$F$9-SQRT((1-F279)*(Supuestos!$F$9-Supuestos!$D$9)*(Supuestos!$F$9-Supuestos!$E$9))),IF(Supuestos!$C$9="Uniforme",Supuestos!$D$9+F279*(Supuestos!$E$9-Supuestos!$D$9),IF(Supuestos!$C$9="Lognormal",LOGINV(F279,LN(Supuestos!$D$9)-LN(1+Supuestos!$E$9^2/Supuestos!$D$9^2)/2,SQRT(LN(1+Supuestos!$E$9^2/Supuestos!$D$9^2))),Supuestos!$D$9))))))</f>
        <v/>
      </c>
      <c r="N279" s="32">
        <f>MIN(IF(Supuestos!$H$10="",1E+99,Supuestos!$H$10),MAX(IF(Supuestos!$G$10="",-1E+99,Supuestos!$G$10),IF(Supuestos!$C$10="Normal",NORMINV(G279,Supuestos!$D$10,Supuestos!$E$10),IF(Supuestos!$C$10="Triangular",IF(G279&lt;(Supuestos!$E$10-Supuestos!$D$10)/(Supuestos!$F$10-Supuestos!$D$10),Supuestos!$D$10+SQRT(G279*(Supuestos!$F$10-Supuestos!$D$10)*(Supuestos!$E$10-Supuestos!$D$10)),Supuestos!$F$10-SQRT((1-G279)*(Supuestos!$F$10-Supuestos!$D$10)*(Supuestos!$F$10-Supuestos!$E$10))),IF(Supuestos!$C$10="Uniforme",Supuestos!$D$10+G279*(Supuestos!$E$10-Supuestos!$D$10),IF(Supuestos!$C$10="Lognormal",LOGINV(G279,LN(Supuestos!$D$10)-LN(1+Supuestos!$E$10^2/Supuestos!$D$10^2)/2,SQRT(LN(1+Supuestos!$E$10^2/Supuestos!$D$10^2))),Supuestos!$D$10))))))</f>
        <v/>
      </c>
      <c r="O279" s="31">
        <f>MIN(IF(Supuestos!$H$11="",1E+99,Supuestos!$H$11),MAX(IF(Supuestos!$G$11="",-1E+99,Supuestos!$G$11),IF(Supuestos!$C$11="Normal",NORMINV(H279,Supuestos!$D$11,Supuestos!$E$11),IF(Supuestos!$C$11="Triangular",IF(H279&lt;(Supuestos!$E$11-Supuestos!$D$11)/(Supuestos!$F$11-Supuestos!$D$11),Supuestos!$D$11+SQRT(H279*(Supuestos!$F$11-Supuestos!$D$11)*(Supuestos!$E$11-Supuestos!$D$11)),Supuestos!$F$11-SQRT((1-H279)*(Supuestos!$F$11-Supuestos!$D$11)*(Supuestos!$F$11-Supuestos!$E$11))),IF(Supuestos!$C$11="Uniforme",Supuestos!$D$11+H279*(Supuestos!$E$11-Supuestos!$D$11),IF(Supuestos!$C$11="Lognormal",LOGINV(H279,LN(Supuestos!$D$11)-LN(1+Supuestos!$E$11^2/Supuestos!$D$11^2)/2,SQRT(LN(1+Supuestos!$E$11^2/Supuestos!$D$11^2))),Supuestos!$D$11))))))</f>
        <v/>
      </c>
      <c r="P279" s="33">
        <f>-I279</f>
        <v/>
      </c>
      <c r="Q279" s="33">
        <f>$J279*(1+$K279)^(1-1)*(1-$L279)*(1-$M279)</f>
        <v/>
      </c>
      <c r="R279" s="33">
        <f>$J279*(1+$K279)^(2-1)*(1-$L279)*(1-$M279)</f>
        <v/>
      </c>
      <c r="S279" s="33">
        <f>$J279*(1+$K279)^(3-1)*(1-$L279)*(1-$M279)</f>
        <v/>
      </c>
      <c r="T279" s="33">
        <f>$J279*(1+$K279)^(4-1)*(1-$L279)*(1-$M279)</f>
        <v/>
      </c>
      <c r="U279" s="33">
        <f>$J279*(1+$K279)^(5-1)*(1-$L279)*(1-$M279)+$O279</f>
        <v/>
      </c>
      <c r="V279" s="33">
        <f>P279+NPV($N279,Q279:U279)</f>
        <v/>
      </c>
      <c r="W279" s="32">
        <f>IFERROR(IRR(P279:U279,0.1),"")</f>
        <v/>
      </c>
    </row>
    <row r="280">
      <c r="A280" s="14" t="n">
        <v>276</v>
      </c>
      <c r="B280" s="30">
        <f>RAND()*(1-2E-6)+1E-6</f>
        <v/>
      </c>
      <c r="C280" s="30">
        <f>RAND()*(1-2E-6)+1E-6</f>
        <v/>
      </c>
      <c r="D280" s="30">
        <f>RAND()*(1-2E-6)+1E-6</f>
        <v/>
      </c>
      <c r="E280" s="30">
        <f>RAND()*(1-2E-6)+1E-6</f>
        <v/>
      </c>
      <c r="F280" s="30">
        <f>RAND()*(1-2E-6)+1E-6</f>
        <v/>
      </c>
      <c r="G280" s="30">
        <f>RAND()*(1-2E-6)+1E-6</f>
        <v/>
      </c>
      <c r="H280" s="30">
        <f>RAND()*(1-2E-6)+1E-6</f>
        <v/>
      </c>
      <c r="I280" s="31">
        <f>MIN(IF(Supuestos!$H$5="",1E+99,Supuestos!$H$5),MAX(IF(Supuestos!$G$5="",-1E+99,Supuestos!$G$5),IF(Supuestos!$C$5="Normal",NORMINV(B280,Supuestos!$D$5,Supuestos!$E$5),IF(Supuestos!$C$5="Triangular",IF(B280&lt;(Supuestos!$E$5-Supuestos!$D$5)/(Supuestos!$F$5-Supuestos!$D$5),Supuestos!$D$5+SQRT(B280*(Supuestos!$F$5-Supuestos!$D$5)*(Supuestos!$E$5-Supuestos!$D$5)),Supuestos!$F$5-SQRT((1-B280)*(Supuestos!$F$5-Supuestos!$D$5)*(Supuestos!$F$5-Supuestos!$E$5))),IF(Supuestos!$C$5="Uniforme",Supuestos!$D$5+B280*(Supuestos!$E$5-Supuestos!$D$5),IF(Supuestos!$C$5="Lognormal",LOGINV(B280,LN(Supuestos!$D$5)-LN(1+Supuestos!$E$5^2/Supuestos!$D$5^2)/2,SQRT(LN(1+Supuestos!$E$5^2/Supuestos!$D$5^2))),Supuestos!$D$5))))))</f>
        <v/>
      </c>
      <c r="J280" s="31">
        <f>MIN(IF(Supuestos!$H$6="",1E+99,Supuestos!$H$6),MAX(IF(Supuestos!$G$6="",-1E+99,Supuestos!$G$6),IF(Supuestos!$C$6="Normal",NORMINV(C280,Supuestos!$D$6,Supuestos!$E$6),IF(Supuestos!$C$6="Triangular",IF(C280&lt;(Supuestos!$E$6-Supuestos!$D$6)/(Supuestos!$F$6-Supuestos!$D$6),Supuestos!$D$6+SQRT(C280*(Supuestos!$F$6-Supuestos!$D$6)*(Supuestos!$E$6-Supuestos!$D$6)),Supuestos!$F$6-SQRT((1-C280)*(Supuestos!$F$6-Supuestos!$D$6)*(Supuestos!$F$6-Supuestos!$E$6))),IF(Supuestos!$C$6="Uniforme",Supuestos!$D$6+C280*(Supuestos!$E$6-Supuestos!$D$6),IF(Supuestos!$C$6="Lognormal",LOGINV(C280,LN(Supuestos!$D$6)-LN(1+Supuestos!$E$6^2/Supuestos!$D$6^2)/2,SQRT(LN(1+Supuestos!$E$6^2/Supuestos!$D$6^2))),Supuestos!$D$6))))))</f>
        <v/>
      </c>
      <c r="K280" s="32">
        <f>MIN(IF(Supuestos!$H$7="",1E+99,Supuestos!$H$7),MAX(IF(Supuestos!$G$7="",-1E+99,Supuestos!$G$7),IF(Supuestos!$C$7="Normal",NORMINV(D280,Supuestos!$D$7,Supuestos!$E$7),IF(Supuestos!$C$7="Triangular",IF(D280&lt;(Supuestos!$E$7-Supuestos!$D$7)/(Supuestos!$F$7-Supuestos!$D$7),Supuestos!$D$7+SQRT(D280*(Supuestos!$F$7-Supuestos!$D$7)*(Supuestos!$E$7-Supuestos!$D$7)),Supuestos!$F$7-SQRT((1-D280)*(Supuestos!$F$7-Supuestos!$D$7)*(Supuestos!$F$7-Supuestos!$E$7))),IF(Supuestos!$C$7="Uniforme",Supuestos!$D$7+D280*(Supuestos!$E$7-Supuestos!$D$7),IF(Supuestos!$C$7="Lognormal",LOGINV(D280,LN(Supuestos!$D$7)-LN(1+Supuestos!$E$7^2/Supuestos!$D$7^2)/2,SQRT(LN(1+Supuestos!$E$7^2/Supuestos!$D$7^2))),Supuestos!$D$7))))))</f>
        <v/>
      </c>
      <c r="L280" s="32">
        <f>MIN(IF(Supuestos!$H$8="",1E+99,Supuestos!$H$8),MAX(IF(Supuestos!$G$8="",-1E+99,Supuestos!$G$8),IF(Supuestos!$C$8="Normal",NORMINV(E280,Supuestos!$D$8,Supuestos!$E$8),IF(Supuestos!$C$8="Triangular",IF(E280&lt;(Supuestos!$E$8-Supuestos!$D$8)/(Supuestos!$F$8-Supuestos!$D$8),Supuestos!$D$8+SQRT(E280*(Supuestos!$F$8-Supuestos!$D$8)*(Supuestos!$E$8-Supuestos!$D$8)),Supuestos!$F$8-SQRT((1-E280)*(Supuestos!$F$8-Supuestos!$D$8)*(Supuestos!$F$8-Supuestos!$E$8))),IF(Supuestos!$C$8="Uniforme",Supuestos!$D$8+E280*(Supuestos!$E$8-Supuestos!$D$8),IF(Supuestos!$C$8="Lognormal",LOGINV(E280,LN(Supuestos!$D$8)-LN(1+Supuestos!$E$8^2/Supuestos!$D$8^2)/2,SQRT(LN(1+Supuestos!$E$8^2/Supuestos!$D$8^2))),Supuestos!$D$8))))))</f>
        <v/>
      </c>
      <c r="M280" s="32">
        <f>MIN(IF(Supuestos!$H$9="",1E+99,Supuestos!$H$9),MAX(IF(Supuestos!$G$9="",-1E+99,Supuestos!$G$9),IF(Supuestos!$C$9="Normal",NORMINV(F280,Supuestos!$D$9,Supuestos!$E$9),IF(Supuestos!$C$9="Triangular",IF(F280&lt;(Supuestos!$E$9-Supuestos!$D$9)/(Supuestos!$F$9-Supuestos!$D$9),Supuestos!$D$9+SQRT(F280*(Supuestos!$F$9-Supuestos!$D$9)*(Supuestos!$E$9-Supuestos!$D$9)),Supuestos!$F$9-SQRT((1-F280)*(Supuestos!$F$9-Supuestos!$D$9)*(Supuestos!$F$9-Supuestos!$E$9))),IF(Supuestos!$C$9="Uniforme",Supuestos!$D$9+F280*(Supuestos!$E$9-Supuestos!$D$9),IF(Supuestos!$C$9="Lognormal",LOGINV(F280,LN(Supuestos!$D$9)-LN(1+Supuestos!$E$9^2/Supuestos!$D$9^2)/2,SQRT(LN(1+Supuestos!$E$9^2/Supuestos!$D$9^2))),Supuestos!$D$9))))))</f>
        <v/>
      </c>
      <c r="N280" s="32">
        <f>MIN(IF(Supuestos!$H$10="",1E+99,Supuestos!$H$10),MAX(IF(Supuestos!$G$10="",-1E+99,Supuestos!$G$10),IF(Supuestos!$C$10="Normal",NORMINV(G280,Supuestos!$D$10,Supuestos!$E$10),IF(Supuestos!$C$10="Triangular",IF(G280&lt;(Supuestos!$E$10-Supuestos!$D$10)/(Supuestos!$F$10-Supuestos!$D$10),Supuestos!$D$10+SQRT(G280*(Supuestos!$F$10-Supuestos!$D$10)*(Supuestos!$E$10-Supuestos!$D$10)),Supuestos!$F$10-SQRT((1-G280)*(Supuestos!$F$10-Supuestos!$D$10)*(Supuestos!$F$10-Supuestos!$E$10))),IF(Supuestos!$C$10="Uniforme",Supuestos!$D$10+G280*(Supuestos!$E$10-Supuestos!$D$10),IF(Supuestos!$C$10="Lognormal",LOGINV(G280,LN(Supuestos!$D$10)-LN(1+Supuestos!$E$10^2/Supuestos!$D$10^2)/2,SQRT(LN(1+Supuestos!$E$10^2/Supuestos!$D$10^2))),Supuestos!$D$10))))))</f>
        <v/>
      </c>
      <c r="O280" s="31">
        <f>MIN(IF(Supuestos!$H$11="",1E+99,Supuestos!$H$11),MAX(IF(Supuestos!$G$11="",-1E+99,Supuestos!$G$11),IF(Supuestos!$C$11="Normal",NORMINV(H280,Supuestos!$D$11,Supuestos!$E$11),IF(Supuestos!$C$11="Triangular",IF(H280&lt;(Supuestos!$E$11-Supuestos!$D$11)/(Supuestos!$F$11-Supuestos!$D$11),Supuestos!$D$11+SQRT(H280*(Supuestos!$F$11-Supuestos!$D$11)*(Supuestos!$E$11-Supuestos!$D$11)),Supuestos!$F$11-SQRT((1-H280)*(Supuestos!$F$11-Supuestos!$D$11)*(Supuestos!$F$11-Supuestos!$E$11))),IF(Supuestos!$C$11="Uniforme",Supuestos!$D$11+H280*(Supuestos!$E$11-Supuestos!$D$11),IF(Supuestos!$C$11="Lognormal",LOGINV(H280,LN(Supuestos!$D$11)-LN(1+Supuestos!$E$11^2/Supuestos!$D$11^2)/2,SQRT(LN(1+Supuestos!$E$11^2/Supuestos!$D$11^2))),Supuestos!$D$11))))))</f>
        <v/>
      </c>
      <c r="P280" s="33">
        <f>-I280</f>
        <v/>
      </c>
      <c r="Q280" s="33">
        <f>$J280*(1+$K280)^(1-1)*(1-$L280)*(1-$M280)</f>
        <v/>
      </c>
      <c r="R280" s="33">
        <f>$J280*(1+$K280)^(2-1)*(1-$L280)*(1-$M280)</f>
        <v/>
      </c>
      <c r="S280" s="33">
        <f>$J280*(1+$K280)^(3-1)*(1-$L280)*(1-$M280)</f>
        <v/>
      </c>
      <c r="T280" s="33">
        <f>$J280*(1+$K280)^(4-1)*(1-$L280)*(1-$M280)</f>
        <v/>
      </c>
      <c r="U280" s="33">
        <f>$J280*(1+$K280)^(5-1)*(1-$L280)*(1-$M280)+$O280</f>
        <v/>
      </c>
      <c r="V280" s="33">
        <f>P280+NPV($N280,Q280:U280)</f>
        <v/>
      </c>
      <c r="W280" s="32">
        <f>IFERROR(IRR(P280:U280,0.1),"")</f>
        <v/>
      </c>
    </row>
    <row r="281">
      <c r="A281" s="14" t="n">
        <v>277</v>
      </c>
      <c r="B281" s="30">
        <f>RAND()*(1-2E-6)+1E-6</f>
        <v/>
      </c>
      <c r="C281" s="30">
        <f>RAND()*(1-2E-6)+1E-6</f>
        <v/>
      </c>
      <c r="D281" s="30">
        <f>RAND()*(1-2E-6)+1E-6</f>
        <v/>
      </c>
      <c r="E281" s="30">
        <f>RAND()*(1-2E-6)+1E-6</f>
        <v/>
      </c>
      <c r="F281" s="30">
        <f>RAND()*(1-2E-6)+1E-6</f>
        <v/>
      </c>
      <c r="G281" s="30">
        <f>RAND()*(1-2E-6)+1E-6</f>
        <v/>
      </c>
      <c r="H281" s="30">
        <f>RAND()*(1-2E-6)+1E-6</f>
        <v/>
      </c>
      <c r="I281" s="31">
        <f>MIN(IF(Supuestos!$H$5="",1E+99,Supuestos!$H$5),MAX(IF(Supuestos!$G$5="",-1E+99,Supuestos!$G$5),IF(Supuestos!$C$5="Normal",NORMINV(B281,Supuestos!$D$5,Supuestos!$E$5),IF(Supuestos!$C$5="Triangular",IF(B281&lt;(Supuestos!$E$5-Supuestos!$D$5)/(Supuestos!$F$5-Supuestos!$D$5),Supuestos!$D$5+SQRT(B281*(Supuestos!$F$5-Supuestos!$D$5)*(Supuestos!$E$5-Supuestos!$D$5)),Supuestos!$F$5-SQRT((1-B281)*(Supuestos!$F$5-Supuestos!$D$5)*(Supuestos!$F$5-Supuestos!$E$5))),IF(Supuestos!$C$5="Uniforme",Supuestos!$D$5+B281*(Supuestos!$E$5-Supuestos!$D$5),IF(Supuestos!$C$5="Lognormal",LOGINV(B281,LN(Supuestos!$D$5)-LN(1+Supuestos!$E$5^2/Supuestos!$D$5^2)/2,SQRT(LN(1+Supuestos!$E$5^2/Supuestos!$D$5^2))),Supuestos!$D$5))))))</f>
        <v/>
      </c>
      <c r="J281" s="31">
        <f>MIN(IF(Supuestos!$H$6="",1E+99,Supuestos!$H$6),MAX(IF(Supuestos!$G$6="",-1E+99,Supuestos!$G$6),IF(Supuestos!$C$6="Normal",NORMINV(C281,Supuestos!$D$6,Supuestos!$E$6),IF(Supuestos!$C$6="Triangular",IF(C281&lt;(Supuestos!$E$6-Supuestos!$D$6)/(Supuestos!$F$6-Supuestos!$D$6),Supuestos!$D$6+SQRT(C281*(Supuestos!$F$6-Supuestos!$D$6)*(Supuestos!$E$6-Supuestos!$D$6)),Supuestos!$F$6-SQRT((1-C281)*(Supuestos!$F$6-Supuestos!$D$6)*(Supuestos!$F$6-Supuestos!$E$6))),IF(Supuestos!$C$6="Uniforme",Supuestos!$D$6+C281*(Supuestos!$E$6-Supuestos!$D$6),IF(Supuestos!$C$6="Lognormal",LOGINV(C281,LN(Supuestos!$D$6)-LN(1+Supuestos!$E$6^2/Supuestos!$D$6^2)/2,SQRT(LN(1+Supuestos!$E$6^2/Supuestos!$D$6^2))),Supuestos!$D$6))))))</f>
        <v/>
      </c>
      <c r="K281" s="32">
        <f>MIN(IF(Supuestos!$H$7="",1E+99,Supuestos!$H$7),MAX(IF(Supuestos!$G$7="",-1E+99,Supuestos!$G$7),IF(Supuestos!$C$7="Normal",NORMINV(D281,Supuestos!$D$7,Supuestos!$E$7),IF(Supuestos!$C$7="Triangular",IF(D281&lt;(Supuestos!$E$7-Supuestos!$D$7)/(Supuestos!$F$7-Supuestos!$D$7),Supuestos!$D$7+SQRT(D281*(Supuestos!$F$7-Supuestos!$D$7)*(Supuestos!$E$7-Supuestos!$D$7)),Supuestos!$F$7-SQRT((1-D281)*(Supuestos!$F$7-Supuestos!$D$7)*(Supuestos!$F$7-Supuestos!$E$7))),IF(Supuestos!$C$7="Uniforme",Supuestos!$D$7+D281*(Supuestos!$E$7-Supuestos!$D$7),IF(Supuestos!$C$7="Lognormal",LOGINV(D281,LN(Supuestos!$D$7)-LN(1+Supuestos!$E$7^2/Supuestos!$D$7^2)/2,SQRT(LN(1+Supuestos!$E$7^2/Supuestos!$D$7^2))),Supuestos!$D$7))))))</f>
        <v/>
      </c>
      <c r="L281" s="32">
        <f>MIN(IF(Supuestos!$H$8="",1E+99,Supuestos!$H$8),MAX(IF(Supuestos!$G$8="",-1E+99,Supuestos!$G$8),IF(Supuestos!$C$8="Normal",NORMINV(E281,Supuestos!$D$8,Supuestos!$E$8),IF(Supuestos!$C$8="Triangular",IF(E281&lt;(Supuestos!$E$8-Supuestos!$D$8)/(Supuestos!$F$8-Supuestos!$D$8),Supuestos!$D$8+SQRT(E281*(Supuestos!$F$8-Supuestos!$D$8)*(Supuestos!$E$8-Supuestos!$D$8)),Supuestos!$F$8-SQRT((1-E281)*(Supuestos!$F$8-Supuestos!$D$8)*(Supuestos!$F$8-Supuestos!$E$8))),IF(Supuestos!$C$8="Uniforme",Supuestos!$D$8+E281*(Supuestos!$E$8-Supuestos!$D$8),IF(Supuestos!$C$8="Lognormal",LOGINV(E281,LN(Supuestos!$D$8)-LN(1+Supuestos!$E$8^2/Supuestos!$D$8^2)/2,SQRT(LN(1+Supuestos!$E$8^2/Supuestos!$D$8^2))),Supuestos!$D$8))))))</f>
        <v/>
      </c>
      <c r="M281" s="32">
        <f>MIN(IF(Supuestos!$H$9="",1E+99,Supuestos!$H$9),MAX(IF(Supuestos!$G$9="",-1E+99,Supuestos!$G$9),IF(Supuestos!$C$9="Normal",NORMINV(F281,Supuestos!$D$9,Supuestos!$E$9),IF(Supuestos!$C$9="Triangular",IF(F281&lt;(Supuestos!$E$9-Supuestos!$D$9)/(Supuestos!$F$9-Supuestos!$D$9),Supuestos!$D$9+SQRT(F281*(Supuestos!$F$9-Supuestos!$D$9)*(Supuestos!$E$9-Supuestos!$D$9)),Supuestos!$F$9-SQRT((1-F281)*(Supuestos!$F$9-Supuestos!$D$9)*(Supuestos!$F$9-Supuestos!$E$9))),IF(Supuestos!$C$9="Uniforme",Supuestos!$D$9+F281*(Supuestos!$E$9-Supuestos!$D$9),IF(Supuestos!$C$9="Lognormal",LOGINV(F281,LN(Supuestos!$D$9)-LN(1+Supuestos!$E$9^2/Supuestos!$D$9^2)/2,SQRT(LN(1+Supuestos!$E$9^2/Supuestos!$D$9^2))),Supuestos!$D$9))))))</f>
        <v/>
      </c>
      <c r="N281" s="32">
        <f>MIN(IF(Supuestos!$H$10="",1E+99,Supuestos!$H$10),MAX(IF(Supuestos!$G$10="",-1E+99,Supuestos!$G$10),IF(Supuestos!$C$10="Normal",NORMINV(G281,Supuestos!$D$10,Supuestos!$E$10),IF(Supuestos!$C$10="Triangular",IF(G281&lt;(Supuestos!$E$10-Supuestos!$D$10)/(Supuestos!$F$10-Supuestos!$D$10),Supuestos!$D$10+SQRT(G281*(Supuestos!$F$10-Supuestos!$D$10)*(Supuestos!$E$10-Supuestos!$D$10)),Supuestos!$F$10-SQRT((1-G281)*(Supuestos!$F$10-Supuestos!$D$10)*(Supuestos!$F$10-Supuestos!$E$10))),IF(Supuestos!$C$10="Uniforme",Supuestos!$D$10+G281*(Supuestos!$E$10-Supuestos!$D$10),IF(Supuestos!$C$10="Lognormal",LOGINV(G281,LN(Supuestos!$D$10)-LN(1+Supuestos!$E$10^2/Supuestos!$D$10^2)/2,SQRT(LN(1+Supuestos!$E$10^2/Supuestos!$D$10^2))),Supuestos!$D$10))))))</f>
        <v/>
      </c>
      <c r="O281" s="31">
        <f>MIN(IF(Supuestos!$H$11="",1E+99,Supuestos!$H$11),MAX(IF(Supuestos!$G$11="",-1E+99,Supuestos!$G$11),IF(Supuestos!$C$11="Normal",NORMINV(H281,Supuestos!$D$11,Supuestos!$E$11),IF(Supuestos!$C$11="Triangular",IF(H281&lt;(Supuestos!$E$11-Supuestos!$D$11)/(Supuestos!$F$11-Supuestos!$D$11),Supuestos!$D$11+SQRT(H281*(Supuestos!$F$11-Supuestos!$D$11)*(Supuestos!$E$11-Supuestos!$D$11)),Supuestos!$F$11-SQRT((1-H281)*(Supuestos!$F$11-Supuestos!$D$11)*(Supuestos!$F$11-Supuestos!$E$11))),IF(Supuestos!$C$11="Uniforme",Supuestos!$D$11+H281*(Supuestos!$E$11-Supuestos!$D$11),IF(Supuestos!$C$11="Lognormal",LOGINV(H281,LN(Supuestos!$D$11)-LN(1+Supuestos!$E$11^2/Supuestos!$D$11^2)/2,SQRT(LN(1+Supuestos!$E$11^2/Supuestos!$D$11^2))),Supuestos!$D$11))))))</f>
        <v/>
      </c>
      <c r="P281" s="33">
        <f>-I281</f>
        <v/>
      </c>
      <c r="Q281" s="33">
        <f>$J281*(1+$K281)^(1-1)*(1-$L281)*(1-$M281)</f>
        <v/>
      </c>
      <c r="R281" s="33">
        <f>$J281*(1+$K281)^(2-1)*(1-$L281)*(1-$M281)</f>
        <v/>
      </c>
      <c r="S281" s="33">
        <f>$J281*(1+$K281)^(3-1)*(1-$L281)*(1-$M281)</f>
        <v/>
      </c>
      <c r="T281" s="33">
        <f>$J281*(1+$K281)^(4-1)*(1-$L281)*(1-$M281)</f>
        <v/>
      </c>
      <c r="U281" s="33">
        <f>$J281*(1+$K281)^(5-1)*(1-$L281)*(1-$M281)+$O281</f>
        <v/>
      </c>
      <c r="V281" s="33">
        <f>P281+NPV($N281,Q281:U281)</f>
        <v/>
      </c>
      <c r="W281" s="32">
        <f>IFERROR(IRR(P281:U281,0.1),"")</f>
        <v/>
      </c>
    </row>
    <row r="282">
      <c r="A282" s="14" t="n">
        <v>278</v>
      </c>
      <c r="B282" s="30">
        <f>RAND()*(1-2E-6)+1E-6</f>
        <v/>
      </c>
      <c r="C282" s="30">
        <f>RAND()*(1-2E-6)+1E-6</f>
        <v/>
      </c>
      <c r="D282" s="30">
        <f>RAND()*(1-2E-6)+1E-6</f>
        <v/>
      </c>
      <c r="E282" s="30">
        <f>RAND()*(1-2E-6)+1E-6</f>
        <v/>
      </c>
      <c r="F282" s="30">
        <f>RAND()*(1-2E-6)+1E-6</f>
        <v/>
      </c>
      <c r="G282" s="30">
        <f>RAND()*(1-2E-6)+1E-6</f>
        <v/>
      </c>
      <c r="H282" s="30">
        <f>RAND()*(1-2E-6)+1E-6</f>
        <v/>
      </c>
      <c r="I282" s="31">
        <f>MIN(IF(Supuestos!$H$5="",1E+99,Supuestos!$H$5),MAX(IF(Supuestos!$G$5="",-1E+99,Supuestos!$G$5),IF(Supuestos!$C$5="Normal",NORMINV(B282,Supuestos!$D$5,Supuestos!$E$5),IF(Supuestos!$C$5="Triangular",IF(B282&lt;(Supuestos!$E$5-Supuestos!$D$5)/(Supuestos!$F$5-Supuestos!$D$5),Supuestos!$D$5+SQRT(B282*(Supuestos!$F$5-Supuestos!$D$5)*(Supuestos!$E$5-Supuestos!$D$5)),Supuestos!$F$5-SQRT((1-B282)*(Supuestos!$F$5-Supuestos!$D$5)*(Supuestos!$F$5-Supuestos!$E$5))),IF(Supuestos!$C$5="Uniforme",Supuestos!$D$5+B282*(Supuestos!$E$5-Supuestos!$D$5),IF(Supuestos!$C$5="Lognormal",LOGINV(B282,LN(Supuestos!$D$5)-LN(1+Supuestos!$E$5^2/Supuestos!$D$5^2)/2,SQRT(LN(1+Supuestos!$E$5^2/Supuestos!$D$5^2))),Supuestos!$D$5))))))</f>
        <v/>
      </c>
      <c r="J282" s="31">
        <f>MIN(IF(Supuestos!$H$6="",1E+99,Supuestos!$H$6),MAX(IF(Supuestos!$G$6="",-1E+99,Supuestos!$G$6),IF(Supuestos!$C$6="Normal",NORMINV(C282,Supuestos!$D$6,Supuestos!$E$6),IF(Supuestos!$C$6="Triangular",IF(C282&lt;(Supuestos!$E$6-Supuestos!$D$6)/(Supuestos!$F$6-Supuestos!$D$6),Supuestos!$D$6+SQRT(C282*(Supuestos!$F$6-Supuestos!$D$6)*(Supuestos!$E$6-Supuestos!$D$6)),Supuestos!$F$6-SQRT((1-C282)*(Supuestos!$F$6-Supuestos!$D$6)*(Supuestos!$F$6-Supuestos!$E$6))),IF(Supuestos!$C$6="Uniforme",Supuestos!$D$6+C282*(Supuestos!$E$6-Supuestos!$D$6),IF(Supuestos!$C$6="Lognormal",LOGINV(C282,LN(Supuestos!$D$6)-LN(1+Supuestos!$E$6^2/Supuestos!$D$6^2)/2,SQRT(LN(1+Supuestos!$E$6^2/Supuestos!$D$6^2))),Supuestos!$D$6))))))</f>
        <v/>
      </c>
      <c r="K282" s="32">
        <f>MIN(IF(Supuestos!$H$7="",1E+99,Supuestos!$H$7),MAX(IF(Supuestos!$G$7="",-1E+99,Supuestos!$G$7),IF(Supuestos!$C$7="Normal",NORMINV(D282,Supuestos!$D$7,Supuestos!$E$7),IF(Supuestos!$C$7="Triangular",IF(D282&lt;(Supuestos!$E$7-Supuestos!$D$7)/(Supuestos!$F$7-Supuestos!$D$7),Supuestos!$D$7+SQRT(D282*(Supuestos!$F$7-Supuestos!$D$7)*(Supuestos!$E$7-Supuestos!$D$7)),Supuestos!$F$7-SQRT((1-D282)*(Supuestos!$F$7-Supuestos!$D$7)*(Supuestos!$F$7-Supuestos!$E$7))),IF(Supuestos!$C$7="Uniforme",Supuestos!$D$7+D282*(Supuestos!$E$7-Supuestos!$D$7),IF(Supuestos!$C$7="Lognormal",LOGINV(D282,LN(Supuestos!$D$7)-LN(1+Supuestos!$E$7^2/Supuestos!$D$7^2)/2,SQRT(LN(1+Supuestos!$E$7^2/Supuestos!$D$7^2))),Supuestos!$D$7))))))</f>
        <v/>
      </c>
      <c r="L282" s="32">
        <f>MIN(IF(Supuestos!$H$8="",1E+99,Supuestos!$H$8),MAX(IF(Supuestos!$G$8="",-1E+99,Supuestos!$G$8),IF(Supuestos!$C$8="Normal",NORMINV(E282,Supuestos!$D$8,Supuestos!$E$8),IF(Supuestos!$C$8="Triangular",IF(E282&lt;(Supuestos!$E$8-Supuestos!$D$8)/(Supuestos!$F$8-Supuestos!$D$8),Supuestos!$D$8+SQRT(E282*(Supuestos!$F$8-Supuestos!$D$8)*(Supuestos!$E$8-Supuestos!$D$8)),Supuestos!$F$8-SQRT((1-E282)*(Supuestos!$F$8-Supuestos!$D$8)*(Supuestos!$F$8-Supuestos!$E$8))),IF(Supuestos!$C$8="Uniforme",Supuestos!$D$8+E282*(Supuestos!$E$8-Supuestos!$D$8),IF(Supuestos!$C$8="Lognormal",LOGINV(E282,LN(Supuestos!$D$8)-LN(1+Supuestos!$E$8^2/Supuestos!$D$8^2)/2,SQRT(LN(1+Supuestos!$E$8^2/Supuestos!$D$8^2))),Supuestos!$D$8))))))</f>
        <v/>
      </c>
      <c r="M282" s="32">
        <f>MIN(IF(Supuestos!$H$9="",1E+99,Supuestos!$H$9),MAX(IF(Supuestos!$G$9="",-1E+99,Supuestos!$G$9),IF(Supuestos!$C$9="Normal",NORMINV(F282,Supuestos!$D$9,Supuestos!$E$9),IF(Supuestos!$C$9="Triangular",IF(F282&lt;(Supuestos!$E$9-Supuestos!$D$9)/(Supuestos!$F$9-Supuestos!$D$9),Supuestos!$D$9+SQRT(F282*(Supuestos!$F$9-Supuestos!$D$9)*(Supuestos!$E$9-Supuestos!$D$9)),Supuestos!$F$9-SQRT((1-F282)*(Supuestos!$F$9-Supuestos!$D$9)*(Supuestos!$F$9-Supuestos!$E$9))),IF(Supuestos!$C$9="Uniforme",Supuestos!$D$9+F282*(Supuestos!$E$9-Supuestos!$D$9),IF(Supuestos!$C$9="Lognormal",LOGINV(F282,LN(Supuestos!$D$9)-LN(1+Supuestos!$E$9^2/Supuestos!$D$9^2)/2,SQRT(LN(1+Supuestos!$E$9^2/Supuestos!$D$9^2))),Supuestos!$D$9))))))</f>
        <v/>
      </c>
      <c r="N282" s="32">
        <f>MIN(IF(Supuestos!$H$10="",1E+99,Supuestos!$H$10),MAX(IF(Supuestos!$G$10="",-1E+99,Supuestos!$G$10),IF(Supuestos!$C$10="Normal",NORMINV(G282,Supuestos!$D$10,Supuestos!$E$10),IF(Supuestos!$C$10="Triangular",IF(G282&lt;(Supuestos!$E$10-Supuestos!$D$10)/(Supuestos!$F$10-Supuestos!$D$10),Supuestos!$D$10+SQRT(G282*(Supuestos!$F$10-Supuestos!$D$10)*(Supuestos!$E$10-Supuestos!$D$10)),Supuestos!$F$10-SQRT((1-G282)*(Supuestos!$F$10-Supuestos!$D$10)*(Supuestos!$F$10-Supuestos!$E$10))),IF(Supuestos!$C$10="Uniforme",Supuestos!$D$10+G282*(Supuestos!$E$10-Supuestos!$D$10),IF(Supuestos!$C$10="Lognormal",LOGINV(G282,LN(Supuestos!$D$10)-LN(1+Supuestos!$E$10^2/Supuestos!$D$10^2)/2,SQRT(LN(1+Supuestos!$E$10^2/Supuestos!$D$10^2))),Supuestos!$D$10))))))</f>
        <v/>
      </c>
      <c r="O282" s="31">
        <f>MIN(IF(Supuestos!$H$11="",1E+99,Supuestos!$H$11),MAX(IF(Supuestos!$G$11="",-1E+99,Supuestos!$G$11),IF(Supuestos!$C$11="Normal",NORMINV(H282,Supuestos!$D$11,Supuestos!$E$11),IF(Supuestos!$C$11="Triangular",IF(H282&lt;(Supuestos!$E$11-Supuestos!$D$11)/(Supuestos!$F$11-Supuestos!$D$11),Supuestos!$D$11+SQRT(H282*(Supuestos!$F$11-Supuestos!$D$11)*(Supuestos!$E$11-Supuestos!$D$11)),Supuestos!$F$11-SQRT((1-H282)*(Supuestos!$F$11-Supuestos!$D$11)*(Supuestos!$F$11-Supuestos!$E$11))),IF(Supuestos!$C$11="Uniforme",Supuestos!$D$11+H282*(Supuestos!$E$11-Supuestos!$D$11),IF(Supuestos!$C$11="Lognormal",LOGINV(H282,LN(Supuestos!$D$11)-LN(1+Supuestos!$E$11^2/Supuestos!$D$11^2)/2,SQRT(LN(1+Supuestos!$E$11^2/Supuestos!$D$11^2))),Supuestos!$D$11))))))</f>
        <v/>
      </c>
      <c r="P282" s="33">
        <f>-I282</f>
        <v/>
      </c>
      <c r="Q282" s="33">
        <f>$J282*(1+$K282)^(1-1)*(1-$L282)*(1-$M282)</f>
        <v/>
      </c>
      <c r="R282" s="33">
        <f>$J282*(1+$K282)^(2-1)*(1-$L282)*(1-$M282)</f>
        <v/>
      </c>
      <c r="S282" s="33">
        <f>$J282*(1+$K282)^(3-1)*(1-$L282)*(1-$M282)</f>
        <v/>
      </c>
      <c r="T282" s="33">
        <f>$J282*(1+$K282)^(4-1)*(1-$L282)*(1-$M282)</f>
        <v/>
      </c>
      <c r="U282" s="33">
        <f>$J282*(1+$K282)^(5-1)*(1-$L282)*(1-$M282)+$O282</f>
        <v/>
      </c>
      <c r="V282" s="33">
        <f>P282+NPV($N282,Q282:U282)</f>
        <v/>
      </c>
      <c r="W282" s="32">
        <f>IFERROR(IRR(P282:U282,0.1),"")</f>
        <v/>
      </c>
    </row>
    <row r="283">
      <c r="A283" s="14" t="n">
        <v>279</v>
      </c>
      <c r="B283" s="30">
        <f>RAND()*(1-2E-6)+1E-6</f>
        <v/>
      </c>
      <c r="C283" s="30">
        <f>RAND()*(1-2E-6)+1E-6</f>
        <v/>
      </c>
      <c r="D283" s="30">
        <f>RAND()*(1-2E-6)+1E-6</f>
        <v/>
      </c>
      <c r="E283" s="30">
        <f>RAND()*(1-2E-6)+1E-6</f>
        <v/>
      </c>
      <c r="F283" s="30">
        <f>RAND()*(1-2E-6)+1E-6</f>
        <v/>
      </c>
      <c r="G283" s="30">
        <f>RAND()*(1-2E-6)+1E-6</f>
        <v/>
      </c>
      <c r="H283" s="30">
        <f>RAND()*(1-2E-6)+1E-6</f>
        <v/>
      </c>
      <c r="I283" s="31">
        <f>MIN(IF(Supuestos!$H$5="",1E+99,Supuestos!$H$5),MAX(IF(Supuestos!$G$5="",-1E+99,Supuestos!$G$5),IF(Supuestos!$C$5="Normal",NORMINV(B283,Supuestos!$D$5,Supuestos!$E$5),IF(Supuestos!$C$5="Triangular",IF(B283&lt;(Supuestos!$E$5-Supuestos!$D$5)/(Supuestos!$F$5-Supuestos!$D$5),Supuestos!$D$5+SQRT(B283*(Supuestos!$F$5-Supuestos!$D$5)*(Supuestos!$E$5-Supuestos!$D$5)),Supuestos!$F$5-SQRT((1-B283)*(Supuestos!$F$5-Supuestos!$D$5)*(Supuestos!$F$5-Supuestos!$E$5))),IF(Supuestos!$C$5="Uniforme",Supuestos!$D$5+B283*(Supuestos!$E$5-Supuestos!$D$5),IF(Supuestos!$C$5="Lognormal",LOGINV(B283,LN(Supuestos!$D$5)-LN(1+Supuestos!$E$5^2/Supuestos!$D$5^2)/2,SQRT(LN(1+Supuestos!$E$5^2/Supuestos!$D$5^2))),Supuestos!$D$5))))))</f>
        <v/>
      </c>
      <c r="J283" s="31">
        <f>MIN(IF(Supuestos!$H$6="",1E+99,Supuestos!$H$6),MAX(IF(Supuestos!$G$6="",-1E+99,Supuestos!$G$6),IF(Supuestos!$C$6="Normal",NORMINV(C283,Supuestos!$D$6,Supuestos!$E$6),IF(Supuestos!$C$6="Triangular",IF(C283&lt;(Supuestos!$E$6-Supuestos!$D$6)/(Supuestos!$F$6-Supuestos!$D$6),Supuestos!$D$6+SQRT(C283*(Supuestos!$F$6-Supuestos!$D$6)*(Supuestos!$E$6-Supuestos!$D$6)),Supuestos!$F$6-SQRT((1-C283)*(Supuestos!$F$6-Supuestos!$D$6)*(Supuestos!$F$6-Supuestos!$E$6))),IF(Supuestos!$C$6="Uniforme",Supuestos!$D$6+C283*(Supuestos!$E$6-Supuestos!$D$6),IF(Supuestos!$C$6="Lognormal",LOGINV(C283,LN(Supuestos!$D$6)-LN(1+Supuestos!$E$6^2/Supuestos!$D$6^2)/2,SQRT(LN(1+Supuestos!$E$6^2/Supuestos!$D$6^2))),Supuestos!$D$6))))))</f>
        <v/>
      </c>
      <c r="K283" s="32">
        <f>MIN(IF(Supuestos!$H$7="",1E+99,Supuestos!$H$7),MAX(IF(Supuestos!$G$7="",-1E+99,Supuestos!$G$7),IF(Supuestos!$C$7="Normal",NORMINV(D283,Supuestos!$D$7,Supuestos!$E$7),IF(Supuestos!$C$7="Triangular",IF(D283&lt;(Supuestos!$E$7-Supuestos!$D$7)/(Supuestos!$F$7-Supuestos!$D$7),Supuestos!$D$7+SQRT(D283*(Supuestos!$F$7-Supuestos!$D$7)*(Supuestos!$E$7-Supuestos!$D$7)),Supuestos!$F$7-SQRT((1-D283)*(Supuestos!$F$7-Supuestos!$D$7)*(Supuestos!$F$7-Supuestos!$E$7))),IF(Supuestos!$C$7="Uniforme",Supuestos!$D$7+D283*(Supuestos!$E$7-Supuestos!$D$7),IF(Supuestos!$C$7="Lognormal",LOGINV(D283,LN(Supuestos!$D$7)-LN(1+Supuestos!$E$7^2/Supuestos!$D$7^2)/2,SQRT(LN(1+Supuestos!$E$7^2/Supuestos!$D$7^2))),Supuestos!$D$7))))))</f>
        <v/>
      </c>
      <c r="L283" s="32">
        <f>MIN(IF(Supuestos!$H$8="",1E+99,Supuestos!$H$8),MAX(IF(Supuestos!$G$8="",-1E+99,Supuestos!$G$8),IF(Supuestos!$C$8="Normal",NORMINV(E283,Supuestos!$D$8,Supuestos!$E$8),IF(Supuestos!$C$8="Triangular",IF(E283&lt;(Supuestos!$E$8-Supuestos!$D$8)/(Supuestos!$F$8-Supuestos!$D$8),Supuestos!$D$8+SQRT(E283*(Supuestos!$F$8-Supuestos!$D$8)*(Supuestos!$E$8-Supuestos!$D$8)),Supuestos!$F$8-SQRT((1-E283)*(Supuestos!$F$8-Supuestos!$D$8)*(Supuestos!$F$8-Supuestos!$E$8))),IF(Supuestos!$C$8="Uniforme",Supuestos!$D$8+E283*(Supuestos!$E$8-Supuestos!$D$8),IF(Supuestos!$C$8="Lognormal",LOGINV(E283,LN(Supuestos!$D$8)-LN(1+Supuestos!$E$8^2/Supuestos!$D$8^2)/2,SQRT(LN(1+Supuestos!$E$8^2/Supuestos!$D$8^2))),Supuestos!$D$8))))))</f>
        <v/>
      </c>
      <c r="M283" s="32">
        <f>MIN(IF(Supuestos!$H$9="",1E+99,Supuestos!$H$9),MAX(IF(Supuestos!$G$9="",-1E+99,Supuestos!$G$9),IF(Supuestos!$C$9="Normal",NORMINV(F283,Supuestos!$D$9,Supuestos!$E$9),IF(Supuestos!$C$9="Triangular",IF(F283&lt;(Supuestos!$E$9-Supuestos!$D$9)/(Supuestos!$F$9-Supuestos!$D$9),Supuestos!$D$9+SQRT(F283*(Supuestos!$F$9-Supuestos!$D$9)*(Supuestos!$E$9-Supuestos!$D$9)),Supuestos!$F$9-SQRT((1-F283)*(Supuestos!$F$9-Supuestos!$D$9)*(Supuestos!$F$9-Supuestos!$E$9))),IF(Supuestos!$C$9="Uniforme",Supuestos!$D$9+F283*(Supuestos!$E$9-Supuestos!$D$9),IF(Supuestos!$C$9="Lognormal",LOGINV(F283,LN(Supuestos!$D$9)-LN(1+Supuestos!$E$9^2/Supuestos!$D$9^2)/2,SQRT(LN(1+Supuestos!$E$9^2/Supuestos!$D$9^2))),Supuestos!$D$9))))))</f>
        <v/>
      </c>
      <c r="N283" s="32">
        <f>MIN(IF(Supuestos!$H$10="",1E+99,Supuestos!$H$10),MAX(IF(Supuestos!$G$10="",-1E+99,Supuestos!$G$10),IF(Supuestos!$C$10="Normal",NORMINV(G283,Supuestos!$D$10,Supuestos!$E$10),IF(Supuestos!$C$10="Triangular",IF(G283&lt;(Supuestos!$E$10-Supuestos!$D$10)/(Supuestos!$F$10-Supuestos!$D$10),Supuestos!$D$10+SQRT(G283*(Supuestos!$F$10-Supuestos!$D$10)*(Supuestos!$E$10-Supuestos!$D$10)),Supuestos!$F$10-SQRT((1-G283)*(Supuestos!$F$10-Supuestos!$D$10)*(Supuestos!$F$10-Supuestos!$E$10))),IF(Supuestos!$C$10="Uniforme",Supuestos!$D$10+G283*(Supuestos!$E$10-Supuestos!$D$10),IF(Supuestos!$C$10="Lognormal",LOGINV(G283,LN(Supuestos!$D$10)-LN(1+Supuestos!$E$10^2/Supuestos!$D$10^2)/2,SQRT(LN(1+Supuestos!$E$10^2/Supuestos!$D$10^2))),Supuestos!$D$10))))))</f>
        <v/>
      </c>
      <c r="O283" s="31">
        <f>MIN(IF(Supuestos!$H$11="",1E+99,Supuestos!$H$11),MAX(IF(Supuestos!$G$11="",-1E+99,Supuestos!$G$11),IF(Supuestos!$C$11="Normal",NORMINV(H283,Supuestos!$D$11,Supuestos!$E$11),IF(Supuestos!$C$11="Triangular",IF(H283&lt;(Supuestos!$E$11-Supuestos!$D$11)/(Supuestos!$F$11-Supuestos!$D$11),Supuestos!$D$11+SQRT(H283*(Supuestos!$F$11-Supuestos!$D$11)*(Supuestos!$E$11-Supuestos!$D$11)),Supuestos!$F$11-SQRT((1-H283)*(Supuestos!$F$11-Supuestos!$D$11)*(Supuestos!$F$11-Supuestos!$E$11))),IF(Supuestos!$C$11="Uniforme",Supuestos!$D$11+H283*(Supuestos!$E$11-Supuestos!$D$11),IF(Supuestos!$C$11="Lognormal",LOGINV(H283,LN(Supuestos!$D$11)-LN(1+Supuestos!$E$11^2/Supuestos!$D$11^2)/2,SQRT(LN(1+Supuestos!$E$11^2/Supuestos!$D$11^2))),Supuestos!$D$11))))))</f>
        <v/>
      </c>
      <c r="P283" s="33">
        <f>-I283</f>
        <v/>
      </c>
      <c r="Q283" s="33">
        <f>$J283*(1+$K283)^(1-1)*(1-$L283)*(1-$M283)</f>
        <v/>
      </c>
      <c r="R283" s="33">
        <f>$J283*(1+$K283)^(2-1)*(1-$L283)*(1-$M283)</f>
        <v/>
      </c>
      <c r="S283" s="33">
        <f>$J283*(1+$K283)^(3-1)*(1-$L283)*(1-$M283)</f>
        <v/>
      </c>
      <c r="T283" s="33">
        <f>$J283*(1+$K283)^(4-1)*(1-$L283)*(1-$M283)</f>
        <v/>
      </c>
      <c r="U283" s="33">
        <f>$J283*(1+$K283)^(5-1)*(1-$L283)*(1-$M283)+$O283</f>
        <v/>
      </c>
      <c r="V283" s="33">
        <f>P283+NPV($N283,Q283:U283)</f>
        <v/>
      </c>
      <c r="W283" s="32">
        <f>IFERROR(IRR(P283:U283,0.1),"")</f>
        <v/>
      </c>
    </row>
    <row r="284">
      <c r="A284" s="14" t="n">
        <v>280</v>
      </c>
      <c r="B284" s="30">
        <f>RAND()*(1-2E-6)+1E-6</f>
        <v/>
      </c>
      <c r="C284" s="30">
        <f>RAND()*(1-2E-6)+1E-6</f>
        <v/>
      </c>
      <c r="D284" s="30">
        <f>RAND()*(1-2E-6)+1E-6</f>
        <v/>
      </c>
      <c r="E284" s="30">
        <f>RAND()*(1-2E-6)+1E-6</f>
        <v/>
      </c>
      <c r="F284" s="30">
        <f>RAND()*(1-2E-6)+1E-6</f>
        <v/>
      </c>
      <c r="G284" s="30">
        <f>RAND()*(1-2E-6)+1E-6</f>
        <v/>
      </c>
      <c r="H284" s="30">
        <f>RAND()*(1-2E-6)+1E-6</f>
        <v/>
      </c>
      <c r="I284" s="31">
        <f>MIN(IF(Supuestos!$H$5="",1E+99,Supuestos!$H$5),MAX(IF(Supuestos!$G$5="",-1E+99,Supuestos!$G$5),IF(Supuestos!$C$5="Normal",NORMINV(B284,Supuestos!$D$5,Supuestos!$E$5),IF(Supuestos!$C$5="Triangular",IF(B284&lt;(Supuestos!$E$5-Supuestos!$D$5)/(Supuestos!$F$5-Supuestos!$D$5),Supuestos!$D$5+SQRT(B284*(Supuestos!$F$5-Supuestos!$D$5)*(Supuestos!$E$5-Supuestos!$D$5)),Supuestos!$F$5-SQRT((1-B284)*(Supuestos!$F$5-Supuestos!$D$5)*(Supuestos!$F$5-Supuestos!$E$5))),IF(Supuestos!$C$5="Uniforme",Supuestos!$D$5+B284*(Supuestos!$E$5-Supuestos!$D$5),IF(Supuestos!$C$5="Lognormal",LOGINV(B284,LN(Supuestos!$D$5)-LN(1+Supuestos!$E$5^2/Supuestos!$D$5^2)/2,SQRT(LN(1+Supuestos!$E$5^2/Supuestos!$D$5^2))),Supuestos!$D$5))))))</f>
        <v/>
      </c>
      <c r="J284" s="31">
        <f>MIN(IF(Supuestos!$H$6="",1E+99,Supuestos!$H$6),MAX(IF(Supuestos!$G$6="",-1E+99,Supuestos!$G$6),IF(Supuestos!$C$6="Normal",NORMINV(C284,Supuestos!$D$6,Supuestos!$E$6),IF(Supuestos!$C$6="Triangular",IF(C284&lt;(Supuestos!$E$6-Supuestos!$D$6)/(Supuestos!$F$6-Supuestos!$D$6),Supuestos!$D$6+SQRT(C284*(Supuestos!$F$6-Supuestos!$D$6)*(Supuestos!$E$6-Supuestos!$D$6)),Supuestos!$F$6-SQRT((1-C284)*(Supuestos!$F$6-Supuestos!$D$6)*(Supuestos!$F$6-Supuestos!$E$6))),IF(Supuestos!$C$6="Uniforme",Supuestos!$D$6+C284*(Supuestos!$E$6-Supuestos!$D$6),IF(Supuestos!$C$6="Lognormal",LOGINV(C284,LN(Supuestos!$D$6)-LN(1+Supuestos!$E$6^2/Supuestos!$D$6^2)/2,SQRT(LN(1+Supuestos!$E$6^2/Supuestos!$D$6^2))),Supuestos!$D$6))))))</f>
        <v/>
      </c>
      <c r="K284" s="32">
        <f>MIN(IF(Supuestos!$H$7="",1E+99,Supuestos!$H$7),MAX(IF(Supuestos!$G$7="",-1E+99,Supuestos!$G$7),IF(Supuestos!$C$7="Normal",NORMINV(D284,Supuestos!$D$7,Supuestos!$E$7),IF(Supuestos!$C$7="Triangular",IF(D284&lt;(Supuestos!$E$7-Supuestos!$D$7)/(Supuestos!$F$7-Supuestos!$D$7),Supuestos!$D$7+SQRT(D284*(Supuestos!$F$7-Supuestos!$D$7)*(Supuestos!$E$7-Supuestos!$D$7)),Supuestos!$F$7-SQRT((1-D284)*(Supuestos!$F$7-Supuestos!$D$7)*(Supuestos!$F$7-Supuestos!$E$7))),IF(Supuestos!$C$7="Uniforme",Supuestos!$D$7+D284*(Supuestos!$E$7-Supuestos!$D$7),IF(Supuestos!$C$7="Lognormal",LOGINV(D284,LN(Supuestos!$D$7)-LN(1+Supuestos!$E$7^2/Supuestos!$D$7^2)/2,SQRT(LN(1+Supuestos!$E$7^2/Supuestos!$D$7^2))),Supuestos!$D$7))))))</f>
        <v/>
      </c>
      <c r="L284" s="32">
        <f>MIN(IF(Supuestos!$H$8="",1E+99,Supuestos!$H$8),MAX(IF(Supuestos!$G$8="",-1E+99,Supuestos!$G$8),IF(Supuestos!$C$8="Normal",NORMINV(E284,Supuestos!$D$8,Supuestos!$E$8),IF(Supuestos!$C$8="Triangular",IF(E284&lt;(Supuestos!$E$8-Supuestos!$D$8)/(Supuestos!$F$8-Supuestos!$D$8),Supuestos!$D$8+SQRT(E284*(Supuestos!$F$8-Supuestos!$D$8)*(Supuestos!$E$8-Supuestos!$D$8)),Supuestos!$F$8-SQRT((1-E284)*(Supuestos!$F$8-Supuestos!$D$8)*(Supuestos!$F$8-Supuestos!$E$8))),IF(Supuestos!$C$8="Uniforme",Supuestos!$D$8+E284*(Supuestos!$E$8-Supuestos!$D$8),IF(Supuestos!$C$8="Lognormal",LOGINV(E284,LN(Supuestos!$D$8)-LN(1+Supuestos!$E$8^2/Supuestos!$D$8^2)/2,SQRT(LN(1+Supuestos!$E$8^2/Supuestos!$D$8^2))),Supuestos!$D$8))))))</f>
        <v/>
      </c>
      <c r="M284" s="32">
        <f>MIN(IF(Supuestos!$H$9="",1E+99,Supuestos!$H$9),MAX(IF(Supuestos!$G$9="",-1E+99,Supuestos!$G$9),IF(Supuestos!$C$9="Normal",NORMINV(F284,Supuestos!$D$9,Supuestos!$E$9),IF(Supuestos!$C$9="Triangular",IF(F284&lt;(Supuestos!$E$9-Supuestos!$D$9)/(Supuestos!$F$9-Supuestos!$D$9),Supuestos!$D$9+SQRT(F284*(Supuestos!$F$9-Supuestos!$D$9)*(Supuestos!$E$9-Supuestos!$D$9)),Supuestos!$F$9-SQRT((1-F284)*(Supuestos!$F$9-Supuestos!$D$9)*(Supuestos!$F$9-Supuestos!$E$9))),IF(Supuestos!$C$9="Uniforme",Supuestos!$D$9+F284*(Supuestos!$E$9-Supuestos!$D$9),IF(Supuestos!$C$9="Lognormal",LOGINV(F284,LN(Supuestos!$D$9)-LN(1+Supuestos!$E$9^2/Supuestos!$D$9^2)/2,SQRT(LN(1+Supuestos!$E$9^2/Supuestos!$D$9^2))),Supuestos!$D$9))))))</f>
        <v/>
      </c>
      <c r="N284" s="32">
        <f>MIN(IF(Supuestos!$H$10="",1E+99,Supuestos!$H$10),MAX(IF(Supuestos!$G$10="",-1E+99,Supuestos!$G$10),IF(Supuestos!$C$10="Normal",NORMINV(G284,Supuestos!$D$10,Supuestos!$E$10),IF(Supuestos!$C$10="Triangular",IF(G284&lt;(Supuestos!$E$10-Supuestos!$D$10)/(Supuestos!$F$10-Supuestos!$D$10),Supuestos!$D$10+SQRT(G284*(Supuestos!$F$10-Supuestos!$D$10)*(Supuestos!$E$10-Supuestos!$D$10)),Supuestos!$F$10-SQRT((1-G284)*(Supuestos!$F$10-Supuestos!$D$10)*(Supuestos!$F$10-Supuestos!$E$10))),IF(Supuestos!$C$10="Uniforme",Supuestos!$D$10+G284*(Supuestos!$E$10-Supuestos!$D$10),IF(Supuestos!$C$10="Lognormal",LOGINV(G284,LN(Supuestos!$D$10)-LN(1+Supuestos!$E$10^2/Supuestos!$D$10^2)/2,SQRT(LN(1+Supuestos!$E$10^2/Supuestos!$D$10^2))),Supuestos!$D$10))))))</f>
        <v/>
      </c>
      <c r="O284" s="31">
        <f>MIN(IF(Supuestos!$H$11="",1E+99,Supuestos!$H$11),MAX(IF(Supuestos!$G$11="",-1E+99,Supuestos!$G$11),IF(Supuestos!$C$11="Normal",NORMINV(H284,Supuestos!$D$11,Supuestos!$E$11),IF(Supuestos!$C$11="Triangular",IF(H284&lt;(Supuestos!$E$11-Supuestos!$D$11)/(Supuestos!$F$11-Supuestos!$D$11),Supuestos!$D$11+SQRT(H284*(Supuestos!$F$11-Supuestos!$D$11)*(Supuestos!$E$11-Supuestos!$D$11)),Supuestos!$F$11-SQRT((1-H284)*(Supuestos!$F$11-Supuestos!$D$11)*(Supuestos!$F$11-Supuestos!$E$11))),IF(Supuestos!$C$11="Uniforme",Supuestos!$D$11+H284*(Supuestos!$E$11-Supuestos!$D$11),IF(Supuestos!$C$11="Lognormal",LOGINV(H284,LN(Supuestos!$D$11)-LN(1+Supuestos!$E$11^2/Supuestos!$D$11^2)/2,SQRT(LN(1+Supuestos!$E$11^2/Supuestos!$D$11^2))),Supuestos!$D$11))))))</f>
        <v/>
      </c>
      <c r="P284" s="33">
        <f>-I284</f>
        <v/>
      </c>
      <c r="Q284" s="33">
        <f>$J284*(1+$K284)^(1-1)*(1-$L284)*(1-$M284)</f>
        <v/>
      </c>
      <c r="R284" s="33">
        <f>$J284*(1+$K284)^(2-1)*(1-$L284)*(1-$M284)</f>
        <v/>
      </c>
      <c r="S284" s="33">
        <f>$J284*(1+$K284)^(3-1)*(1-$L284)*(1-$M284)</f>
        <v/>
      </c>
      <c r="T284" s="33">
        <f>$J284*(1+$K284)^(4-1)*(1-$L284)*(1-$M284)</f>
        <v/>
      </c>
      <c r="U284" s="33">
        <f>$J284*(1+$K284)^(5-1)*(1-$L284)*(1-$M284)+$O284</f>
        <v/>
      </c>
      <c r="V284" s="33">
        <f>P284+NPV($N284,Q284:U284)</f>
        <v/>
      </c>
      <c r="W284" s="32">
        <f>IFERROR(IRR(P284:U284,0.1),"")</f>
        <v/>
      </c>
    </row>
    <row r="285">
      <c r="A285" s="14" t="n">
        <v>281</v>
      </c>
      <c r="B285" s="30">
        <f>RAND()*(1-2E-6)+1E-6</f>
        <v/>
      </c>
      <c r="C285" s="30">
        <f>RAND()*(1-2E-6)+1E-6</f>
        <v/>
      </c>
      <c r="D285" s="30">
        <f>RAND()*(1-2E-6)+1E-6</f>
        <v/>
      </c>
      <c r="E285" s="30">
        <f>RAND()*(1-2E-6)+1E-6</f>
        <v/>
      </c>
      <c r="F285" s="30">
        <f>RAND()*(1-2E-6)+1E-6</f>
        <v/>
      </c>
      <c r="G285" s="30">
        <f>RAND()*(1-2E-6)+1E-6</f>
        <v/>
      </c>
      <c r="H285" s="30">
        <f>RAND()*(1-2E-6)+1E-6</f>
        <v/>
      </c>
      <c r="I285" s="31">
        <f>MIN(IF(Supuestos!$H$5="",1E+99,Supuestos!$H$5),MAX(IF(Supuestos!$G$5="",-1E+99,Supuestos!$G$5),IF(Supuestos!$C$5="Normal",NORMINV(B285,Supuestos!$D$5,Supuestos!$E$5),IF(Supuestos!$C$5="Triangular",IF(B285&lt;(Supuestos!$E$5-Supuestos!$D$5)/(Supuestos!$F$5-Supuestos!$D$5),Supuestos!$D$5+SQRT(B285*(Supuestos!$F$5-Supuestos!$D$5)*(Supuestos!$E$5-Supuestos!$D$5)),Supuestos!$F$5-SQRT((1-B285)*(Supuestos!$F$5-Supuestos!$D$5)*(Supuestos!$F$5-Supuestos!$E$5))),IF(Supuestos!$C$5="Uniforme",Supuestos!$D$5+B285*(Supuestos!$E$5-Supuestos!$D$5),IF(Supuestos!$C$5="Lognormal",LOGINV(B285,LN(Supuestos!$D$5)-LN(1+Supuestos!$E$5^2/Supuestos!$D$5^2)/2,SQRT(LN(1+Supuestos!$E$5^2/Supuestos!$D$5^2))),Supuestos!$D$5))))))</f>
        <v/>
      </c>
      <c r="J285" s="31">
        <f>MIN(IF(Supuestos!$H$6="",1E+99,Supuestos!$H$6),MAX(IF(Supuestos!$G$6="",-1E+99,Supuestos!$G$6),IF(Supuestos!$C$6="Normal",NORMINV(C285,Supuestos!$D$6,Supuestos!$E$6),IF(Supuestos!$C$6="Triangular",IF(C285&lt;(Supuestos!$E$6-Supuestos!$D$6)/(Supuestos!$F$6-Supuestos!$D$6),Supuestos!$D$6+SQRT(C285*(Supuestos!$F$6-Supuestos!$D$6)*(Supuestos!$E$6-Supuestos!$D$6)),Supuestos!$F$6-SQRT((1-C285)*(Supuestos!$F$6-Supuestos!$D$6)*(Supuestos!$F$6-Supuestos!$E$6))),IF(Supuestos!$C$6="Uniforme",Supuestos!$D$6+C285*(Supuestos!$E$6-Supuestos!$D$6),IF(Supuestos!$C$6="Lognormal",LOGINV(C285,LN(Supuestos!$D$6)-LN(1+Supuestos!$E$6^2/Supuestos!$D$6^2)/2,SQRT(LN(1+Supuestos!$E$6^2/Supuestos!$D$6^2))),Supuestos!$D$6))))))</f>
        <v/>
      </c>
      <c r="K285" s="32">
        <f>MIN(IF(Supuestos!$H$7="",1E+99,Supuestos!$H$7),MAX(IF(Supuestos!$G$7="",-1E+99,Supuestos!$G$7),IF(Supuestos!$C$7="Normal",NORMINV(D285,Supuestos!$D$7,Supuestos!$E$7),IF(Supuestos!$C$7="Triangular",IF(D285&lt;(Supuestos!$E$7-Supuestos!$D$7)/(Supuestos!$F$7-Supuestos!$D$7),Supuestos!$D$7+SQRT(D285*(Supuestos!$F$7-Supuestos!$D$7)*(Supuestos!$E$7-Supuestos!$D$7)),Supuestos!$F$7-SQRT((1-D285)*(Supuestos!$F$7-Supuestos!$D$7)*(Supuestos!$F$7-Supuestos!$E$7))),IF(Supuestos!$C$7="Uniforme",Supuestos!$D$7+D285*(Supuestos!$E$7-Supuestos!$D$7),IF(Supuestos!$C$7="Lognormal",LOGINV(D285,LN(Supuestos!$D$7)-LN(1+Supuestos!$E$7^2/Supuestos!$D$7^2)/2,SQRT(LN(1+Supuestos!$E$7^2/Supuestos!$D$7^2))),Supuestos!$D$7))))))</f>
        <v/>
      </c>
      <c r="L285" s="32">
        <f>MIN(IF(Supuestos!$H$8="",1E+99,Supuestos!$H$8),MAX(IF(Supuestos!$G$8="",-1E+99,Supuestos!$G$8),IF(Supuestos!$C$8="Normal",NORMINV(E285,Supuestos!$D$8,Supuestos!$E$8),IF(Supuestos!$C$8="Triangular",IF(E285&lt;(Supuestos!$E$8-Supuestos!$D$8)/(Supuestos!$F$8-Supuestos!$D$8),Supuestos!$D$8+SQRT(E285*(Supuestos!$F$8-Supuestos!$D$8)*(Supuestos!$E$8-Supuestos!$D$8)),Supuestos!$F$8-SQRT((1-E285)*(Supuestos!$F$8-Supuestos!$D$8)*(Supuestos!$F$8-Supuestos!$E$8))),IF(Supuestos!$C$8="Uniforme",Supuestos!$D$8+E285*(Supuestos!$E$8-Supuestos!$D$8),IF(Supuestos!$C$8="Lognormal",LOGINV(E285,LN(Supuestos!$D$8)-LN(1+Supuestos!$E$8^2/Supuestos!$D$8^2)/2,SQRT(LN(1+Supuestos!$E$8^2/Supuestos!$D$8^2))),Supuestos!$D$8))))))</f>
        <v/>
      </c>
      <c r="M285" s="32">
        <f>MIN(IF(Supuestos!$H$9="",1E+99,Supuestos!$H$9),MAX(IF(Supuestos!$G$9="",-1E+99,Supuestos!$G$9),IF(Supuestos!$C$9="Normal",NORMINV(F285,Supuestos!$D$9,Supuestos!$E$9),IF(Supuestos!$C$9="Triangular",IF(F285&lt;(Supuestos!$E$9-Supuestos!$D$9)/(Supuestos!$F$9-Supuestos!$D$9),Supuestos!$D$9+SQRT(F285*(Supuestos!$F$9-Supuestos!$D$9)*(Supuestos!$E$9-Supuestos!$D$9)),Supuestos!$F$9-SQRT((1-F285)*(Supuestos!$F$9-Supuestos!$D$9)*(Supuestos!$F$9-Supuestos!$E$9))),IF(Supuestos!$C$9="Uniforme",Supuestos!$D$9+F285*(Supuestos!$E$9-Supuestos!$D$9),IF(Supuestos!$C$9="Lognormal",LOGINV(F285,LN(Supuestos!$D$9)-LN(1+Supuestos!$E$9^2/Supuestos!$D$9^2)/2,SQRT(LN(1+Supuestos!$E$9^2/Supuestos!$D$9^2))),Supuestos!$D$9))))))</f>
        <v/>
      </c>
      <c r="N285" s="32">
        <f>MIN(IF(Supuestos!$H$10="",1E+99,Supuestos!$H$10),MAX(IF(Supuestos!$G$10="",-1E+99,Supuestos!$G$10),IF(Supuestos!$C$10="Normal",NORMINV(G285,Supuestos!$D$10,Supuestos!$E$10),IF(Supuestos!$C$10="Triangular",IF(G285&lt;(Supuestos!$E$10-Supuestos!$D$10)/(Supuestos!$F$10-Supuestos!$D$10),Supuestos!$D$10+SQRT(G285*(Supuestos!$F$10-Supuestos!$D$10)*(Supuestos!$E$10-Supuestos!$D$10)),Supuestos!$F$10-SQRT((1-G285)*(Supuestos!$F$10-Supuestos!$D$10)*(Supuestos!$F$10-Supuestos!$E$10))),IF(Supuestos!$C$10="Uniforme",Supuestos!$D$10+G285*(Supuestos!$E$10-Supuestos!$D$10),IF(Supuestos!$C$10="Lognormal",LOGINV(G285,LN(Supuestos!$D$10)-LN(1+Supuestos!$E$10^2/Supuestos!$D$10^2)/2,SQRT(LN(1+Supuestos!$E$10^2/Supuestos!$D$10^2))),Supuestos!$D$10))))))</f>
        <v/>
      </c>
      <c r="O285" s="31">
        <f>MIN(IF(Supuestos!$H$11="",1E+99,Supuestos!$H$11),MAX(IF(Supuestos!$G$11="",-1E+99,Supuestos!$G$11),IF(Supuestos!$C$11="Normal",NORMINV(H285,Supuestos!$D$11,Supuestos!$E$11),IF(Supuestos!$C$11="Triangular",IF(H285&lt;(Supuestos!$E$11-Supuestos!$D$11)/(Supuestos!$F$11-Supuestos!$D$11),Supuestos!$D$11+SQRT(H285*(Supuestos!$F$11-Supuestos!$D$11)*(Supuestos!$E$11-Supuestos!$D$11)),Supuestos!$F$11-SQRT((1-H285)*(Supuestos!$F$11-Supuestos!$D$11)*(Supuestos!$F$11-Supuestos!$E$11))),IF(Supuestos!$C$11="Uniforme",Supuestos!$D$11+H285*(Supuestos!$E$11-Supuestos!$D$11),IF(Supuestos!$C$11="Lognormal",LOGINV(H285,LN(Supuestos!$D$11)-LN(1+Supuestos!$E$11^2/Supuestos!$D$11^2)/2,SQRT(LN(1+Supuestos!$E$11^2/Supuestos!$D$11^2))),Supuestos!$D$11))))))</f>
        <v/>
      </c>
      <c r="P285" s="33">
        <f>-I285</f>
        <v/>
      </c>
      <c r="Q285" s="33">
        <f>$J285*(1+$K285)^(1-1)*(1-$L285)*(1-$M285)</f>
        <v/>
      </c>
      <c r="R285" s="33">
        <f>$J285*(1+$K285)^(2-1)*(1-$L285)*(1-$M285)</f>
        <v/>
      </c>
      <c r="S285" s="33">
        <f>$J285*(1+$K285)^(3-1)*(1-$L285)*(1-$M285)</f>
        <v/>
      </c>
      <c r="T285" s="33">
        <f>$J285*(1+$K285)^(4-1)*(1-$L285)*(1-$M285)</f>
        <v/>
      </c>
      <c r="U285" s="33">
        <f>$J285*(1+$K285)^(5-1)*(1-$L285)*(1-$M285)+$O285</f>
        <v/>
      </c>
      <c r="V285" s="33">
        <f>P285+NPV($N285,Q285:U285)</f>
        <v/>
      </c>
      <c r="W285" s="32">
        <f>IFERROR(IRR(P285:U285,0.1),"")</f>
        <v/>
      </c>
    </row>
    <row r="286">
      <c r="A286" s="14" t="n">
        <v>282</v>
      </c>
      <c r="B286" s="30">
        <f>RAND()*(1-2E-6)+1E-6</f>
        <v/>
      </c>
      <c r="C286" s="30">
        <f>RAND()*(1-2E-6)+1E-6</f>
        <v/>
      </c>
      <c r="D286" s="30">
        <f>RAND()*(1-2E-6)+1E-6</f>
        <v/>
      </c>
      <c r="E286" s="30">
        <f>RAND()*(1-2E-6)+1E-6</f>
        <v/>
      </c>
      <c r="F286" s="30">
        <f>RAND()*(1-2E-6)+1E-6</f>
        <v/>
      </c>
      <c r="G286" s="30">
        <f>RAND()*(1-2E-6)+1E-6</f>
        <v/>
      </c>
      <c r="H286" s="30">
        <f>RAND()*(1-2E-6)+1E-6</f>
        <v/>
      </c>
      <c r="I286" s="31">
        <f>MIN(IF(Supuestos!$H$5="",1E+99,Supuestos!$H$5),MAX(IF(Supuestos!$G$5="",-1E+99,Supuestos!$G$5),IF(Supuestos!$C$5="Normal",NORMINV(B286,Supuestos!$D$5,Supuestos!$E$5),IF(Supuestos!$C$5="Triangular",IF(B286&lt;(Supuestos!$E$5-Supuestos!$D$5)/(Supuestos!$F$5-Supuestos!$D$5),Supuestos!$D$5+SQRT(B286*(Supuestos!$F$5-Supuestos!$D$5)*(Supuestos!$E$5-Supuestos!$D$5)),Supuestos!$F$5-SQRT((1-B286)*(Supuestos!$F$5-Supuestos!$D$5)*(Supuestos!$F$5-Supuestos!$E$5))),IF(Supuestos!$C$5="Uniforme",Supuestos!$D$5+B286*(Supuestos!$E$5-Supuestos!$D$5),IF(Supuestos!$C$5="Lognormal",LOGINV(B286,LN(Supuestos!$D$5)-LN(1+Supuestos!$E$5^2/Supuestos!$D$5^2)/2,SQRT(LN(1+Supuestos!$E$5^2/Supuestos!$D$5^2))),Supuestos!$D$5))))))</f>
        <v/>
      </c>
      <c r="J286" s="31">
        <f>MIN(IF(Supuestos!$H$6="",1E+99,Supuestos!$H$6),MAX(IF(Supuestos!$G$6="",-1E+99,Supuestos!$G$6),IF(Supuestos!$C$6="Normal",NORMINV(C286,Supuestos!$D$6,Supuestos!$E$6),IF(Supuestos!$C$6="Triangular",IF(C286&lt;(Supuestos!$E$6-Supuestos!$D$6)/(Supuestos!$F$6-Supuestos!$D$6),Supuestos!$D$6+SQRT(C286*(Supuestos!$F$6-Supuestos!$D$6)*(Supuestos!$E$6-Supuestos!$D$6)),Supuestos!$F$6-SQRT((1-C286)*(Supuestos!$F$6-Supuestos!$D$6)*(Supuestos!$F$6-Supuestos!$E$6))),IF(Supuestos!$C$6="Uniforme",Supuestos!$D$6+C286*(Supuestos!$E$6-Supuestos!$D$6),IF(Supuestos!$C$6="Lognormal",LOGINV(C286,LN(Supuestos!$D$6)-LN(1+Supuestos!$E$6^2/Supuestos!$D$6^2)/2,SQRT(LN(1+Supuestos!$E$6^2/Supuestos!$D$6^2))),Supuestos!$D$6))))))</f>
        <v/>
      </c>
      <c r="K286" s="32">
        <f>MIN(IF(Supuestos!$H$7="",1E+99,Supuestos!$H$7),MAX(IF(Supuestos!$G$7="",-1E+99,Supuestos!$G$7),IF(Supuestos!$C$7="Normal",NORMINV(D286,Supuestos!$D$7,Supuestos!$E$7),IF(Supuestos!$C$7="Triangular",IF(D286&lt;(Supuestos!$E$7-Supuestos!$D$7)/(Supuestos!$F$7-Supuestos!$D$7),Supuestos!$D$7+SQRT(D286*(Supuestos!$F$7-Supuestos!$D$7)*(Supuestos!$E$7-Supuestos!$D$7)),Supuestos!$F$7-SQRT((1-D286)*(Supuestos!$F$7-Supuestos!$D$7)*(Supuestos!$F$7-Supuestos!$E$7))),IF(Supuestos!$C$7="Uniforme",Supuestos!$D$7+D286*(Supuestos!$E$7-Supuestos!$D$7),IF(Supuestos!$C$7="Lognormal",LOGINV(D286,LN(Supuestos!$D$7)-LN(1+Supuestos!$E$7^2/Supuestos!$D$7^2)/2,SQRT(LN(1+Supuestos!$E$7^2/Supuestos!$D$7^2))),Supuestos!$D$7))))))</f>
        <v/>
      </c>
      <c r="L286" s="32">
        <f>MIN(IF(Supuestos!$H$8="",1E+99,Supuestos!$H$8),MAX(IF(Supuestos!$G$8="",-1E+99,Supuestos!$G$8),IF(Supuestos!$C$8="Normal",NORMINV(E286,Supuestos!$D$8,Supuestos!$E$8),IF(Supuestos!$C$8="Triangular",IF(E286&lt;(Supuestos!$E$8-Supuestos!$D$8)/(Supuestos!$F$8-Supuestos!$D$8),Supuestos!$D$8+SQRT(E286*(Supuestos!$F$8-Supuestos!$D$8)*(Supuestos!$E$8-Supuestos!$D$8)),Supuestos!$F$8-SQRT((1-E286)*(Supuestos!$F$8-Supuestos!$D$8)*(Supuestos!$F$8-Supuestos!$E$8))),IF(Supuestos!$C$8="Uniforme",Supuestos!$D$8+E286*(Supuestos!$E$8-Supuestos!$D$8),IF(Supuestos!$C$8="Lognormal",LOGINV(E286,LN(Supuestos!$D$8)-LN(1+Supuestos!$E$8^2/Supuestos!$D$8^2)/2,SQRT(LN(1+Supuestos!$E$8^2/Supuestos!$D$8^2))),Supuestos!$D$8))))))</f>
        <v/>
      </c>
      <c r="M286" s="32">
        <f>MIN(IF(Supuestos!$H$9="",1E+99,Supuestos!$H$9),MAX(IF(Supuestos!$G$9="",-1E+99,Supuestos!$G$9),IF(Supuestos!$C$9="Normal",NORMINV(F286,Supuestos!$D$9,Supuestos!$E$9),IF(Supuestos!$C$9="Triangular",IF(F286&lt;(Supuestos!$E$9-Supuestos!$D$9)/(Supuestos!$F$9-Supuestos!$D$9),Supuestos!$D$9+SQRT(F286*(Supuestos!$F$9-Supuestos!$D$9)*(Supuestos!$E$9-Supuestos!$D$9)),Supuestos!$F$9-SQRT((1-F286)*(Supuestos!$F$9-Supuestos!$D$9)*(Supuestos!$F$9-Supuestos!$E$9))),IF(Supuestos!$C$9="Uniforme",Supuestos!$D$9+F286*(Supuestos!$E$9-Supuestos!$D$9),IF(Supuestos!$C$9="Lognormal",LOGINV(F286,LN(Supuestos!$D$9)-LN(1+Supuestos!$E$9^2/Supuestos!$D$9^2)/2,SQRT(LN(1+Supuestos!$E$9^2/Supuestos!$D$9^2))),Supuestos!$D$9))))))</f>
        <v/>
      </c>
      <c r="N286" s="32">
        <f>MIN(IF(Supuestos!$H$10="",1E+99,Supuestos!$H$10),MAX(IF(Supuestos!$G$10="",-1E+99,Supuestos!$G$10),IF(Supuestos!$C$10="Normal",NORMINV(G286,Supuestos!$D$10,Supuestos!$E$10),IF(Supuestos!$C$10="Triangular",IF(G286&lt;(Supuestos!$E$10-Supuestos!$D$10)/(Supuestos!$F$10-Supuestos!$D$10),Supuestos!$D$10+SQRT(G286*(Supuestos!$F$10-Supuestos!$D$10)*(Supuestos!$E$10-Supuestos!$D$10)),Supuestos!$F$10-SQRT((1-G286)*(Supuestos!$F$10-Supuestos!$D$10)*(Supuestos!$F$10-Supuestos!$E$10))),IF(Supuestos!$C$10="Uniforme",Supuestos!$D$10+G286*(Supuestos!$E$10-Supuestos!$D$10),IF(Supuestos!$C$10="Lognormal",LOGINV(G286,LN(Supuestos!$D$10)-LN(1+Supuestos!$E$10^2/Supuestos!$D$10^2)/2,SQRT(LN(1+Supuestos!$E$10^2/Supuestos!$D$10^2))),Supuestos!$D$10))))))</f>
        <v/>
      </c>
      <c r="O286" s="31">
        <f>MIN(IF(Supuestos!$H$11="",1E+99,Supuestos!$H$11),MAX(IF(Supuestos!$G$11="",-1E+99,Supuestos!$G$11),IF(Supuestos!$C$11="Normal",NORMINV(H286,Supuestos!$D$11,Supuestos!$E$11),IF(Supuestos!$C$11="Triangular",IF(H286&lt;(Supuestos!$E$11-Supuestos!$D$11)/(Supuestos!$F$11-Supuestos!$D$11),Supuestos!$D$11+SQRT(H286*(Supuestos!$F$11-Supuestos!$D$11)*(Supuestos!$E$11-Supuestos!$D$11)),Supuestos!$F$11-SQRT((1-H286)*(Supuestos!$F$11-Supuestos!$D$11)*(Supuestos!$F$11-Supuestos!$E$11))),IF(Supuestos!$C$11="Uniforme",Supuestos!$D$11+H286*(Supuestos!$E$11-Supuestos!$D$11),IF(Supuestos!$C$11="Lognormal",LOGINV(H286,LN(Supuestos!$D$11)-LN(1+Supuestos!$E$11^2/Supuestos!$D$11^2)/2,SQRT(LN(1+Supuestos!$E$11^2/Supuestos!$D$11^2))),Supuestos!$D$11))))))</f>
        <v/>
      </c>
      <c r="P286" s="33">
        <f>-I286</f>
        <v/>
      </c>
      <c r="Q286" s="33">
        <f>$J286*(1+$K286)^(1-1)*(1-$L286)*(1-$M286)</f>
        <v/>
      </c>
      <c r="R286" s="33">
        <f>$J286*(1+$K286)^(2-1)*(1-$L286)*(1-$M286)</f>
        <v/>
      </c>
      <c r="S286" s="33">
        <f>$J286*(1+$K286)^(3-1)*(1-$L286)*(1-$M286)</f>
        <v/>
      </c>
      <c r="T286" s="33">
        <f>$J286*(1+$K286)^(4-1)*(1-$L286)*(1-$M286)</f>
        <v/>
      </c>
      <c r="U286" s="33">
        <f>$J286*(1+$K286)^(5-1)*(1-$L286)*(1-$M286)+$O286</f>
        <v/>
      </c>
      <c r="V286" s="33">
        <f>P286+NPV($N286,Q286:U286)</f>
        <v/>
      </c>
      <c r="W286" s="32">
        <f>IFERROR(IRR(P286:U286,0.1),"")</f>
        <v/>
      </c>
    </row>
    <row r="287">
      <c r="A287" s="14" t="n">
        <v>283</v>
      </c>
      <c r="B287" s="30">
        <f>RAND()*(1-2E-6)+1E-6</f>
        <v/>
      </c>
      <c r="C287" s="30">
        <f>RAND()*(1-2E-6)+1E-6</f>
        <v/>
      </c>
      <c r="D287" s="30">
        <f>RAND()*(1-2E-6)+1E-6</f>
        <v/>
      </c>
      <c r="E287" s="30">
        <f>RAND()*(1-2E-6)+1E-6</f>
        <v/>
      </c>
      <c r="F287" s="30">
        <f>RAND()*(1-2E-6)+1E-6</f>
        <v/>
      </c>
      <c r="G287" s="30">
        <f>RAND()*(1-2E-6)+1E-6</f>
        <v/>
      </c>
      <c r="H287" s="30">
        <f>RAND()*(1-2E-6)+1E-6</f>
        <v/>
      </c>
      <c r="I287" s="31">
        <f>MIN(IF(Supuestos!$H$5="",1E+99,Supuestos!$H$5),MAX(IF(Supuestos!$G$5="",-1E+99,Supuestos!$G$5),IF(Supuestos!$C$5="Normal",NORMINV(B287,Supuestos!$D$5,Supuestos!$E$5),IF(Supuestos!$C$5="Triangular",IF(B287&lt;(Supuestos!$E$5-Supuestos!$D$5)/(Supuestos!$F$5-Supuestos!$D$5),Supuestos!$D$5+SQRT(B287*(Supuestos!$F$5-Supuestos!$D$5)*(Supuestos!$E$5-Supuestos!$D$5)),Supuestos!$F$5-SQRT((1-B287)*(Supuestos!$F$5-Supuestos!$D$5)*(Supuestos!$F$5-Supuestos!$E$5))),IF(Supuestos!$C$5="Uniforme",Supuestos!$D$5+B287*(Supuestos!$E$5-Supuestos!$D$5),IF(Supuestos!$C$5="Lognormal",LOGINV(B287,LN(Supuestos!$D$5)-LN(1+Supuestos!$E$5^2/Supuestos!$D$5^2)/2,SQRT(LN(1+Supuestos!$E$5^2/Supuestos!$D$5^2))),Supuestos!$D$5))))))</f>
        <v/>
      </c>
      <c r="J287" s="31">
        <f>MIN(IF(Supuestos!$H$6="",1E+99,Supuestos!$H$6),MAX(IF(Supuestos!$G$6="",-1E+99,Supuestos!$G$6),IF(Supuestos!$C$6="Normal",NORMINV(C287,Supuestos!$D$6,Supuestos!$E$6),IF(Supuestos!$C$6="Triangular",IF(C287&lt;(Supuestos!$E$6-Supuestos!$D$6)/(Supuestos!$F$6-Supuestos!$D$6),Supuestos!$D$6+SQRT(C287*(Supuestos!$F$6-Supuestos!$D$6)*(Supuestos!$E$6-Supuestos!$D$6)),Supuestos!$F$6-SQRT((1-C287)*(Supuestos!$F$6-Supuestos!$D$6)*(Supuestos!$F$6-Supuestos!$E$6))),IF(Supuestos!$C$6="Uniforme",Supuestos!$D$6+C287*(Supuestos!$E$6-Supuestos!$D$6),IF(Supuestos!$C$6="Lognormal",LOGINV(C287,LN(Supuestos!$D$6)-LN(1+Supuestos!$E$6^2/Supuestos!$D$6^2)/2,SQRT(LN(1+Supuestos!$E$6^2/Supuestos!$D$6^2))),Supuestos!$D$6))))))</f>
        <v/>
      </c>
      <c r="K287" s="32">
        <f>MIN(IF(Supuestos!$H$7="",1E+99,Supuestos!$H$7),MAX(IF(Supuestos!$G$7="",-1E+99,Supuestos!$G$7),IF(Supuestos!$C$7="Normal",NORMINV(D287,Supuestos!$D$7,Supuestos!$E$7),IF(Supuestos!$C$7="Triangular",IF(D287&lt;(Supuestos!$E$7-Supuestos!$D$7)/(Supuestos!$F$7-Supuestos!$D$7),Supuestos!$D$7+SQRT(D287*(Supuestos!$F$7-Supuestos!$D$7)*(Supuestos!$E$7-Supuestos!$D$7)),Supuestos!$F$7-SQRT((1-D287)*(Supuestos!$F$7-Supuestos!$D$7)*(Supuestos!$F$7-Supuestos!$E$7))),IF(Supuestos!$C$7="Uniforme",Supuestos!$D$7+D287*(Supuestos!$E$7-Supuestos!$D$7),IF(Supuestos!$C$7="Lognormal",LOGINV(D287,LN(Supuestos!$D$7)-LN(1+Supuestos!$E$7^2/Supuestos!$D$7^2)/2,SQRT(LN(1+Supuestos!$E$7^2/Supuestos!$D$7^2))),Supuestos!$D$7))))))</f>
        <v/>
      </c>
      <c r="L287" s="32">
        <f>MIN(IF(Supuestos!$H$8="",1E+99,Supuestos!$H$8),MAX(IF(Supuestos!$G$8="",-1E+99,Supuestos!$G$8),IF(Supuestos!$C$8="Normal",NORMINV(E287,Supuestos!$D$8,Supuestos!$E$8),IF(Supuestos!$C$8="Triangular",IF(E287&lt;(Supuestos!$E$8-Supuestos!$D$8)/(Supuestos!$F$8-Supuestos!$D$8),Supuestos!$D$8+SQRT(E287*(Supuestos!$F$8-Supuestos!$D$8)*(Supuestos!$E$8-Supuestos!$D$8)),Supuestos!$F$8-SQRT((1-E287)*(Supuestos!$F$8-Supuestos!$D$8)*(Supuestos!$F$8-Supuestos!$E$8))),IF(Supuestos!$C$8="Uniforme",Supuestos!$D$8+E287*(Supuestos!$E$8-Supuestos!$D$8),IF(Supuestos!$C$8="Lognormal",LOGINV(E287,LN(Supuestos!$D$8)-LN(1+Supuestos!$E$8^2/Supuestos!$D$8^2)/2,SQRT(LN(1+Supuestos!$E$8^2/Supuestos!$D$8^2))),Supuestos!$D$8))))))</f>
        <v/>
      </c>
      <c r="M287" s="32">
        <f>MIN(IF(Supuestos!$H$9="",1E+99,Supuestos!$H$9),MAX(IF(Supuestos!$G$9="",-1E+99,Supuestos!$G$9),IF(Supuestos!$C$9="Normal",NORMINV(F287,Supuestos!$D$9,Supuestos!$E$9),IF(Supuestos!$C$9="Triangular",IF(F287&lt;(Supuestos!$E$9-Supuestos!$D$9)/(Supuestos!$F$9-Supuestos!$D$9),Supuestos!$D$9+SQRT(F287*(Supuestos!$F$9-Supuestos!$D$9)*(Supuestos!$E$9-Supuestos!$D$9)),Supuestos!$F$9-SQRT((1-F287)*(Supuestos!$F$9-Supuestos!$D$9)*(Supuestos!$F$9-Supuestos!$E$9))),IF(Supuestos!$C$9="Uniforme",Supuestos!$D$9+F287*(Supuestos!$E$9-Supuestos!$D$9),IF(Supuestos!$C$9="Lognormal",LOGINV(F287,LN(Supuestos!$D$9)-LN(1+Supuestos!$E$9^2/Supuestos!$D$9^2)/2,SQRT(LN(1+Supuestos!$E$9^2/Supuestos!$D$9^2))),Supuestos!$D$9))))))</f>
        <v/>
      </c>
      <c r="N287" s="32">
        <f>MIN(IF(Supuestos!$H$10="",1E+99,Supuestos!$H$10),MAX(IF(Supuestos!$G$10="",-1E+99,Supuestos!$G$10),IF(Supuestos!$C$10="Normal",NORMINV(G287,Supuestos!$D$10,Supuestos!$E$10),IF(Supuestos!$C$10="Triangular",IF(G287&lt;(Supuestos!$E$10-Supuestos!$D$10)/(Supuestos!$F$10-Supuestos!$D$10),Supuestos!$D$10+SQRT(G287*(Supuestos!$F$10-Supuestos!$D$10)*(Supuestos!$E$10-Supuestos!$D$10)),Supuestos!$F$10-SQRT((1-G287)*(Supuestos!$F$10-Supuestos!$D$10)*(Supuestos!$F$10-Supuestos!$E$10))),IF(Supuestos!$C$10="Uniforme",Supuestos!$D$10+G287*(Supuestos!$E$10-Supuestos!$D$10),IF(Supuestos!$C$10="Lognormal",LOGINV(G287,LN(Supuestos!$D$10)-LN(1+Supuestos!$E$10^2/Supuestos!$D$10^2)/2,SQRT(LN(1+Supuestos!$E$10^2/Supuestos!$D$10^2))),Supuestos!$D$10))))))</f>
        <v/>
      </c>
      <c r="O287" s="31">
        <f>MIN(IF(Supuestos!$H$11="",1E+99,Supuestos!$H$11),MAX(IF(Supuestos!$G$11="",-1E+99,Supuestos!$G$11),IF(Supuestos!$C$11="Normal",NORMINV(H287,Supuestos!$D$11,Supuestos!$E$11),IF(Supuestos!$C$11="Triangular",IF(H287&lt;(Supuestos!$E$11-Supuestos!$D$11)/(Supuestos!$F$11-Supuestos!$D$11),Supuestos!$D$11+SQRT(H287*(Supuestos!$F$11-Supuestos!$D$11)*(Supuestos!$E$11-Supuestos!$D$11)),Supuestos!$F$11-SQRT((1-H287)*(Supuestos!$F$11-Supuestos!$D$11)*(Supuestos!$F$11-Supuestos!$E$11))),IF(Supuestos!$C$11="Uniforme",Supuestos!$D$11+H287*(Supuestos!$E$11-Supuestos!$D$11),IF(Supuestos!$C$11="Lognormal",LOGINV(H287,LN(Supuestos!$D$11)-LN(1+Supuestos!$E$11^2/Supuestos!$D$11^2)/2,SQRT(LN(1+Supuestos!$E$11^2/Supuestos!$D$11^2))),Supuestos!$D$11))))))</f>
        <v/>
      </c>
      <c r="P287" s="33">
        <f>-I287</f>
        <v/>
      </c>
      <c r="Q287" s="33">
        <f>$J287*(1+$K287)^(1-1)*(1-$L287)*(1-$M287)</f>
        <v/>
      </c>
      <c r="R287" s="33">
        <f>$J287*(1+$K287)^(2-1)*(1-$L287)*(1-$M287)</f>
        <v/>
      </c>
      <c r="S287" s="33">
        <f>$J287*(1+$K287)^(3-1)*(1-$L287)*(1-$M287)</f>
        <v/>
      </c>
      <c r="T287" s="33">
        <f>$J287*(1+$K287)^(4-1)*(1-$L287)*(1-$M287)</f>
        <v/>
      </c>
      <c r="U287" s="33">
        <f>$J287*(1+$K287)^(5-1)*(1-$L287)*(1-$M287)+$O287</f>
        <v/>
      </c>
      <c r="V287" s="33">
        <f>P287+NPV($N287,Q287:U287)</f>
        <v/>
      </c>
      <c r="W287" s="32">
        <f>IFERROR(IRR(P287:U287,0.1),"")</f>
        <v/>
      </c>
    </row>
    <row r="288">
      <c r="A288" s="14" t="n">
        <v>284</v>
      </c>
      <c r="B288" s="30">
        <f>RAND()*(1-2E-6)+1E-6</f>
        <v/>
      </c>
      <c r="C288" s="30">
        <f>RAND()*(1-2E-6)+1E-6</f>
        <v/>
      </c>
      <c r="D288" s="30">
        <f>RAND()*(1-2E-6)+1E-6</f>
        <v/>
      </c>
      <c r="E288" s="30">
        <f>RAND()*(1-2E-6)+1E-6</f>
        <v/>
      </c>
      <c r="F288" s="30">
        <f>RAND()*(1-2E-6)+1E-6</f>
        <v/>
      </c>
      <c r="G288" s="30">
        <f>RAND()*(1-2E-6)+1E-6</f>
        <v/>
      </c>
      <c r="H288" s="30">
        <f>RAND()*(1-2E-6)+1E-6</f>
        <v/>
      </c>
      <c r="I288" s="31">
        <f>MIN(IF(Supuestos!$H$5="",1E+99,Supuestos!$H$5),MAX(IF(Supuestos!$G$5="",-1E+99,Supuestos!$G$5),IF(Supuestos!$C$5="Normal",NORMINV(B288,Supuestos!$D$5,Supuestos!$E$5),IF(Supuestos!$C$5="Triangular",IF(B288&lt;(Supuestos!$E$5-Supuestos!$D$5)/(Supuestos!$F$5-Supuestos!$D$5),Supuestos!$D$5+SQRT(B288*(Supuestos!$F$5-Supuestos!$D$5)*(Supuestos!$E$5-Supuestos!$D$5)),Supuestos!$F$5-SQRT((1-B288)*(Supuestos!$F$5-Supuestos!$D$5)*(Supuestos!$F$5-Supuestos!$E$5))),IF(Supuestos!$C$5="Uniforme",Supuestos!$D$5+B288*(Supuestos!$E$5-Supuestos!$D$5),IF(Supuestos!$C$5="Lognormal",LOGINV(B288,LN(Supuestos!$D$5)-LN(1+Supuestos!$E$5^2/Supuestos!$D$5^2)/2,SQRT(LN(1+Supuestos!$E$5^2/Supuestos!$D$5^2))),Supuestos!$D$5))))))</f>
        <v/>
      </c>
      <c r="J288" s="31">
        <f>MIN(IF(Supuestos!$H$6="",1E+99,Supuestos!$H$6),MAX(IF(Supuestos!$G$6="",-1E+99,Supuestos!$G$6),IF(Supuestos!$C$6="Normal",NORMINV(C288,Supuestos!$D$6,Supuestos!$E$6),IF(Supuestos!$C$6="Triangular",IF(C288&lt;(Supuestos!$E$6-Supuestos!$D$6)/(Supuestos!$F$6-Supuestos!$D$6),Supuestos!$D$6+SQRT(C288*(Supuestos!$F$6-Supuestos!$D$6)*(Supuestos!$E$6-Supuestos!$D$6)),Supuestos!$F$6-SQRT((1-C288)*(Supuestos!$F$6-Supuestos!$D$6)*(Supuestos!$F$6-Supuestos!$E$6))),IF(Supuestos!$C$6="Uniforme",Supuestos!$D$6+C288*(Supuestos!$E$6-Supuestos!$D$6),IF(Supuestos!$C$6="Lognormal",LOGINV(C288,LN(Supuestos!$D$6)-LN(1+Supuestos!$E$6^2/Supuestos!$D$6^2)/2,SQRT(LN(1+Supuestos!$E$6^2/Supuestos!$D$6^2))),Supuestos!$D$6))))))</f>
        <v/>
      </c>
      <c r="K288" s="32">
        <f>MIN(IF(Supuestos!$H$7="",1E+99,Supuestos!$H$7),MAX(IF(Supuestos!$G$7="",-1E+99,Supuestos!$G$7),IF(Supuestos!$C$7="Normal",NORMINV(D288,Supuestos!$D$7,Supuestos!$E$7),IF(Supuestos!$C$7="Triangular",IF(D288&lt;(Supuestos!$E$7-Supuestos!$D$7)/(Supuestos!$F$7-Supuestos!$D$7),Supuestos!$D$7+SQRT(D288*(Supuestos!$F$7-Supuestos!$D$7)*(Supuestos!$E$7-Supuestos!$D$7)),Supuestos!$F$7-SQRT((1-D288)*(Supuestos!$F$7-Supuestos!$D$7)*(Supuestos!$F$7-Supuestos!$E$7))),IF(Supuestos!$C$7="Uniforme",Supuestos!$D$7+D288*(Supuestos!$E$7-Supuestos!$D$7),IF(Supuestos!$C$7="Lognormal",LOGINV(D288,LN(Supuestos!$D$7)-LN(1+Supuestos!$E$7^2/Supuestos!$D$7^2)/2,SQRT(LN(1+Supuestos!$E$7^2/Supuestos!$D$7^2))),Supuestos!$D$7))))))</f>
        <v/>
      </c>
      <c r="L288" s="32">
        <f>MIN(IF(Supuestos!$H$8="",1E+99,Supuestos!$H$8),MAX(IF(Supuestos!$G$8="",-1E+99,Supuestos!$G$8),IF(Supuestos!$C$8="Normal",NORMINV(E288,Supuestos!$D$8,Supuestos!$E$8),IF(Supuestos!$C$8="Triangular",IF(E288&lt;(Supuestos!$E$8-Supuestos!$D$8)/(Supuestos!$F$8-Supuestos!$D$8),Supuestos!$D$8+SQRT(E288*(Supuestos!$F$8-Supuestos!$D$8)*(Supuestos!$E$8-Supuestos!$D$8)),Supuestos!$F$8-SQRT((1-E288)*(Supuestos!$F$8-Supuestos!$D$8)*(Supuestos!$F$8-Supuestos!$E$8))),IF(Supuestos!$C$8="Uniforme",Supuestos!$D$8+E288*(Supuestos!$E$8-Supuestos!$D$8),IF(Supuestos!$C$8="Lognormal",LOGINV(E288,LN(Supuestos!$D$8)-LN(1+Supuestos!$E$8^2/Supuestos!$D$8^2)/2,SQRT(LN(1+Supuestos!$E$8^2/Supuestos!$D$8^2))),Supuestos!$D$8))))))</f>
        <v/>
      </c>
      <c r="M288" s="32">
        <f>MIN(IF(Supuestos!$H$9="",1E+99,Supuestos!$H$9),MAX(IF(Supuestos!$G$9="",-1E+99,Supuestos!$G$9),IF(Supuestos!$C$9="Normal",NORMINV(F288,Supuestos!$D$9,Supuestos!$E$9),IF(Supuestos!$C$9="Triangular",IF(F288&lt;(Supuestos!$E$9-Supuestos!$D$9)/(Supuestos!$F$9-Supuestos!$D$9),Supuestos!$D$9+SQRT(F288*(Supuestos!$F$9-Supuestos!$D$9)*(Supuestos!$E$9-Supuestos!$D$9)),Supuestos!$F$9-SQRT((1-F288)*(Supuestos!$F$9-Supuestos!$D$9)*(Supuestos!$F$9-Supuestos!$E$9))),IF(Supuestos!$C$9="Uniforme",Supuestos!$D$9+F288*(Supuestos!$E$9-Supuestos!$D$9),IF(Supuestos!$C$9="Lognormal",LOGINV(F288,LN(Supuestos!$D$9)-LN(1+Supuestos!$E$9^2/Supuestos!$D$9^2)/2,SQRT(LN(1+Supuestos!$E$9^2/Supuestos!$D$9^2))),Supuestos!$D$9))))))</f>
        <v/>
      </c>
      <c r="N288" s="32">
        <f>MIN(IF(Supuestos!$H$10="",1E+99,Supuestos!$H$10),MAX(IF(Supuestos!$G$10="",-1E+99,Supuestos!$G$10),IF(Supuestos!$C$10="Normal",NORMINV(G288,Supuestos!$D$10,Supuestos!$E$10),IF(Supuestos!$C$10="Triangular",IF(G288&lt;(Supuestos!$E$10-Supuestos!$D$10)/(Supuestos!$F$10-Supuestos!$D$10),Supuestos!$D$10+SQRT(G288*(Supuestos!$F$10-Supuestos!$D$10)*(Supuestos!$E$10-Supuestos!$D$10)),Supuestos!$F$10-SQRT((1-G288)*(Supuestos!$F$10-Supuestos!$D$10)*(Supuestos!$F$10-Supuestos!$E$10))),IF(Supuestos!$C$10="Uniforme",Supuestos!$D$10+G288*(Supuestos!$E$10-Supuestos!$D$10),IF(Supuestos!$C$10="Lognormal",LOGINV(G288,LN(Supuestos!$D$10)-LN(1+Supuestos!$E$10^2/Supuestos!$D$10^2)/2,SQRT(LN(1+Supuestos!$E$10^2/Supuestos!$D$10^2))),Supuestos!$D$10))))))</f>
        <v/>
      </c>
      <c r="O288" s="31">
        <f>MIN(IF(Supuestos!$H$11="",1E+99,Supuestos!$H$11),MAX(IF(Supuestos!$G$11="",-1E+99,Supuestos!$G$11),IF(Supuestos!$C$11="Normal",NORMINV(H288,Supuestos!$D$11,Supuestos!$E$11),IF(Supuestos!$C$11="Triangular",IF(H288&lt;(Supuestos!$E$11-Supuestos!$D$11)/(Supuestos!$F$11-Supuestos!$D$11),Supuestos!$D$11+SQRT(H288*(Supuestos!$F$11-Supuestos!$D$11)*(Supuestos!$E$11-Supuestos!$D$11)),Supuestos!$F$11-SQRT((1-H288)*(Supuestos!$F$11-Supuestos!$D$11)*(Supuestos!$F$11-Supuestos!$E$11))),IF(Supuestos!$C$11="Uniforme",Supuestos!$D$11+H288*(Supuestos!$E$11-Supuestos!$D$11),IF(Supuestos!$C$11="Lognormal",LOGINV(H288,LN(Supuestos!$D$11)-LN(1+Supuestos!$E$11^2/Supuestos!$D$11^2)/2,SQRT(LN(1+Supuestos!$E$11^2/Supuestos!$D$11^2))),Supuestos!$D$11))))))</f>
        <v/>
      </c>
      <c r="P288" s="33">
        <f>-I288</f>
        <v/>
      </c>
      <c r="Q288" s="33">
        <f>$J288*(1+$K288)^(1-1)*(1-$L288)*(1-$M288)</f>
        <v/>
      </c>
      <c r="R288" s="33">
        <f>$J288*(1+$K288)^(2-1)*(1-$L288)*(1-$M288)</f>
        <v/>
      </c>
      <c r="S288" s="33">
        <f>$J288*(1+$K288)^(3-1)*(1-$L288)*(1-$M288)</f>
        <v/>
      </c>
      <c r="T288" s="33">
        <f>$J288*(1+$K288)^(4-1)*(1-$L288)*(1-$M288)</f>
        <v/>
      </c>
      <c r="U288" s="33">
        <f>$J288*(1+$K288)^(5-1)*(1-$L288)*(1-$M288)+$O288</f>
        <v/>
      </c>
      <c r="V288" s="33">
        <f>P288+NPV($N288,Q288:U288)</f>
        <v/>
      </c>
      <c r="W288" s="32">
        <f>IFERROR(IRR(P288:U288,0.1),"")</f>
        <v/>
      </c>
    </row>
    <row r="289">
      <c r="A289" s="14" t="n">
        <v>285</v>
      </c>
      <c r="B289" s="30">
        <f>RAND()*(1-2E-6)+1E-6</f>
        <v/>
      </c>
      <c r="C289" s="30">
        <f>RAND()*(1-2E-6)+1E-6</f>
        <v/>
      </c>
      <c r="D289" s="30">
        <f>RAND()*(1-2E-6)+1E-6</f>
        <v/>
      </c>
      <c r="E289" s="30">
        <f>RAND()*(1-2E-6)+1E-6</f>
        <v/>
      </c>
      <c r="F289" s="30">
        <f>RAND()*(1-2E-6)+1E-6</f>
        <v/>
      </c>
      <c r="G289" s="30">
        <f>RAND()*(1-2E-6)+1E-6</f>
        <v/>
      </c>
      <c r="H289" s="30">
        <f>RAND()*(1-2E-6)+1E-6</f>
        <v/>
      </c>
      <c r="I289" s="31">
        <f>MIN(IF(Supuestos!$H$5="",1E+99,Supuestos!$H$5),MAX(IF(Supuestos!$G$5="",-1E+99,Supuestos!$G$5),IF(Supuestos!$C$5="Normal",NORMINV(B289,Supuestos!$D$5,Supuestos!$E$5),IF(Supuestos!$C$5="Triangular",IF(B289&lt;(Supuestos!$E$5-Supuestos!$D$5)/(Supuestos!$F$5-Supuestos!$D$5),Supuestos!$D$5+SQRT(B289*(Supuestos!$F$5-Supuestos!$D$5)*(Supuestos!$E$5-Supuestos!$D$5)),Supuestos!$F$5-SQRT((1-B289)*(Supuestos!$F$5-Supuestos!$D$5)*(Supuestos!$F$5-Supuestos!$E$5))),IF(Supuestos!$C$5="Uniforme",Supuestos!$D$5+B289*(Supuestos!$E$5-Supuestos!$D$5),IF(Supuestos!$C$5="Lognormal",LOGINV(B289,LN(Supuestos!$D$5)-LN(1+Supuestos!$E$5^2/Supuestos!$D$5^2)/2,SQRT(LN(1+Supuestos!$E$5^2/Supuestos!$D$5^2))),Supuestos!$D$5))))))</f>
        <v/>
      </c>
      <c r="J289" s="31">
        <f>MIN(IF(Supuestos!$H$6="",1E+99,Supuestos!$H$6),MAX(IF(Supuestos!$G$6="",-1E+99,Supuestos!$G$6),IF(Supuestos!$C$6="Normal",NORMINV(C289,Supuestos!$D$6,Supuestos!$E$6),IF(Supuestos!$C$6="Triangular",IF(C289&lt;(Supuestos!$E$6-Supuestos!$D$6)/(Supuestos!$F$6-Supuestos!$D$6),Supuestos!$D$6+SQRT(C289*(Supuestos!$F$6-Supuestos!$D$6)*(Supuestos!$E$6-Supuestos!$D$6)),Supuestos!$F$6-SQRT((1-C289)*(Supuestos!$F$6-Supuestos!$D$6)*(Supuestos!$F$6-Supuestos!$E$6))),IF(Supuestos!$C$6="Uniforme",Supuestos!$D$6+C289*(Supuestos!$E$6-Supuestos!$D$6),IF(Supuestos!$C$6="Lognormal",LOGINV(C289,LN(Supuestos!$D$6)-LN(1+Supuestos!$E$6^2/Supuestos!$D$6^2)/2,SQRT(LN(1+Supuestos!$E$6^2/Supuestos!$D$6^2))),Supuestos!$D$6))))))</f>
        <v/>
      </c>
      <c r="K289" s="32">
        <f>MIN(IF(Supuestos!$H$7="",1E+99,Supuestos!$H$7),MAX(IF(Supuestos!$G$7="",-1E+99,Supuestos!$G$7),IF(Supuestos!$C$7="Normal",NORMINV(D289,Supuestos!$D$7,Supuestos!$E$7),IF(Supuestos!$C$7="Triangular",IF(D289&lt;(Supuestos!$E$7-Supuestos!$D$7)/(Supuestos!$F$7-Supuestos!$D$7),Supuestos!$D$7+SQRT(D289*(Supuestos!$F$7-Supuestos!$D$7)*(Supuestos!$E$7-Supuestos!$D$7)),Supuestos!$F$7-SQRT((1-D289)*(Supuestos!$F$7-Supuestos!$D$7)*(Supuestos!$F$7-Supuestos!$E$7))),IF(Supuestos!$C$7="Uniforme",Supuestos!$D$7+D289*(Supuestos!$E$7-Supuestos!$D$7),IF(Supuestos!$C$7="Lognormal",LOGINV(D289,LN(Supuestos!$D$7)-LN(1+Supuestos!$E$7^2/Supuestos!$D$7^2)/2,SQRT(LN(1+Supuestos!$E$7^2/Supuestos!$D$7^2))),Supuestos!$D$7))))))</f>
        <v/>
      </c>
      <c r="L289" s="32">
        <f>MIN(IF(Supuestos!$H$8="",1E+99,Supuestos!$H$8),MAX(IF(Supuestos!$G$8="",-1E+99,Supuestos!$G$8),IF(Supuestos!$C$8="Normal",NORMINV(E289,Supuestos!$D$8,Supuestos!$E$8),IF(Supuestos!$C$8="Triangular",IF(E289&lt;(Supuestos!$E$8-Supuestos!$D$8)/(Supuestos!$F$8-Supuestos!$D$8),Supuestos!$D$8+SQRT(E289*(Supuestos!$F$8-Supuestos!$D$8)*(Supuestos!$E$8-Supuestos!$D$8)),Supuestos!$F$8-SQRT((1-E289)*(Supuestos!$F$8-Supuestos!$D$8)*(Supuestos!$F$8-Supuestos!$E$8))),IF(Supuestos!$C$8="Uniforme",Supuestos!$D$8+E289*(Supuestos!$E$8-Supuestos!$D$8),IF(Supuestos!$C$8="Lognormal",LOGINV(E289,LN(Supuestos!$D$8)-LN(1+Supuestos!$E$8^2/Supuestos!$D$8^2)/2,SQRT(LN(1+Supuestos!$E$8^2/Supuestos!$D$8^2))),Supuestos!$D$8))))))</f>
        <v/>
      </c>
      <c r="M289" s="32">
        <f>MIN(IF(Supuestos!$H$9="",1E+99,Supuestos!$H$9),MAX(IF(Supuestos!$G$9="",-1E+99,Supuestos!$G$9),IF(Supuestos!$C$9="Normal",NORMINV(F289,Supuestos!$D$9,Supuestos!$E$9),IF(Supuestos!$C$9="Triangular",IF(F289&lt;(Supuestos!$E$9-Supuestos!$D$9)/(Supuestos!$F$9-Supuestos!$D$9),Supuestos!$D$9+SQRT(F289*(Supuestos!$F$9-Supuestos!$D$9)*(Supuestos!$E$9-Supuestos!$D$9)),Supuestos!$F$9-SQRT((1-F289)*(Supuestos!$F$9-Supuestos!$D$9)*(Supuestos!$F$9-Supuestos!$E$9))),IF(Supuestos!$C$9="Uniforme",Supuestos!$D$9+F289*(Supuestos!$E$9-Supuestos!$D$9),IF(Supuestos!$C$9="Lognormal",LOGINV(F289,LN(Supuestos!$D$9)-LN(1+Supuestos!$E$9^2/Supuestos!$D$9^2)/2,SQRT(LN(1+Supuestos!$E$9^2/Supuestos!$D$9^2))),Supuestos!$D$9))))))</f>
        <v/>
      </c>
      <c r="N289" s="32">
        <f>MIN(IF(Supuestos!$H$10="",1E+99,Supuestos!$H$10),MAX(IF(Supuestos!$G$10="",-1E+99,Supuestos!$G$10),IF(Supuestos!$C$10="Normal",NORMINV(G289,Supuestos!$D$10,Supuestos!$E$10),IF(Supuestos!$C$10="Triangular",IF(G289&lt;(Supuestos!$E$10-Supuestos!$D$10)/(Supuestos!$F$10-Supuestos!$D$10),Supuestos!$D$10+SQRT(G289*(Supuestos!$F$10-Supuestos!$D$10)*(Supuestos!$E$10-Supuestos!$D$10)),Supuestos!$F$10-SQRT((1-G289)*(Supuestos!$F$10-Supuestos!$D$10)*(Supuestos!$F$10-Supuestos!$E$10))),IF(Supuestos!$C$10="Uniforme",Supuestos!$D$10+G289*(Supuestos!$E$10-Supuestos!$D$10),IF(Supuestos!$C$10="Lognormal",LOGINV(G289,LN(Supuestos!$D$10)-LN(1+Supuestos!$E$10^2/Supuestos!$D$10^2)/2,SQRT(LN(1+Supuestos!$E$10^2/Supuestos!$D$10^2))),Supuestos!$D$10))))))</f>
        <v/>
      </c>
      <c r="O289" s="31">
        <f>MIN(IF(Supuestos!$H$11="",1E+99,Supuestos!$H$11),MAX(IF(Supuestos!$G$11="",-1E+99,Supuestos!$G$11),IF(Supuestos!$C$11="Normal",NORMINV(H289,Supuestos!$D$11,Supuestos!$E$11),IF(Supuestos!$C$11="Triangular",IF(H289&lt;(Supuestos!$E$11-Supuestos!$D$11)/(Supuestos!$F$11-Supuestos!$D$11),Supuestos!$D$11+SQRT(H289*(Supuestos!$F$11-Supuestos!$D$11)*(Supuestos!$E$11-Supuestos!$D$11)),Supuestos!$F$11-SQRT((1-H289)*(Supuestos!$F$11-Supuestos!$D$11)*(Supuestos!$F$11-Supuestos!$E$11))),IF(Supuestos!$C$11="Uniforme",Supuestos!$D$11+H289*(Supuestos!$E$11-Supuestos!$D$11),IF(Supuestos!$C$11="Lognormal",LOGINV(H289,LN(Supuestos!$D$11)-LN(1+Supuestos!$E$11^2/Supuestos!$D$11^2)/2,SQRT(LN(1+Supuestos!$E$11^2/Supuestos!$D$11^2))),Supuestos!$D$11))))))</f>
        <v/>
      </c>
      <c r="P289" s="33">
        <f>-I289</f>
        <v/>
      </c>
      <c r="Q289" s="33">
        <f>$J289*(1+$K289)^(1-1)*(1-$L289)*(1-$M289)</f>
        <v/>
      </c>
      <c r="R289" s="33">
        <f>$J289*(1+$K289)^(2-1)*(1-$L289)*(1-$M289)</f>
        <v/>
      </c>
      <c r="S289" s="33">
        <f>$J289*(1+$K289)^(3-1)*(1-$L289)*(1-$M289)</f>
        <v/>
      </c>
      <c r="T289" s="33">
        <f>$J289*(1+$K289)^(4-1)*(1-$L289)*(1-$M289)</f>
        <v/>
      </c>
      <c r="U289" s="33">
        <f>$J289*(1+$K289)^(5-1)*(1-$L289)*(1-$M289)+$O289</f>
        <v/>
      </c>
      <c r="V289" s="33">
        <f>P289+NPV($N289,Q289:U289)</f>
        <v/>
      </c>
      <c r="W289" s="32">
        <f>IFERROR(IRR(P289:U289,0.1),"")</f>
        <v/>
      </c>
    </row>
    <row r="290">
      <c r="A290" s="14" t="n">
        <v>286</v>
      </c>
      <c r="B290" s="30">
        <f>RAND()*(1-2E-6)+1E-6</f>
        <v/>
      </c>
      <c r="C290" s="30">
        <f>RAND()*(1-2E-6)+1E-6</f>
        <v/>
      </c>
      <c r="D290" s="30">
        <f>RAND()*(1-2E-6)+1E-6</f>
        <v/>
      </c>
      <c r="E290" s="30">
        <f>RAND()*(1-2E-6)+1E-6</f>
        <v/>
      </c>
      <c r="F290" s="30">
        <f>RAND()*(1-2E-6)+1E-6</f>
        <v/>
      </c>
      <c r="G290" s="30">
        <f>RAND()*(1-2E-6)+1E-6</f>
        <v/>
      </c>
      <c r="H290" s="30">
        <f>RAND()*(1-2E-6)+1E-6</f>
        <v/>
      </c>
      <c r="I290" s="31">
        <f>MIN(IF(Supuestos!$H$5="",1E+99,Supuestos!$H$5),MAX(IF(Supuestos!$G$5="",-1E+99,Supuestos!$G$5),IF(Supuestos!$C$5="Normal",NORMINV(B290,Supuestos!$D$5,Supuestos!$E$5),IF(Supuestos!$C$5="Triangular",IF(B290&lt;(Supuestos!$E$5-Supuestos!$D$5)/(Supuestos!$F$5-Supuestos!$D$5),Supuestos!$D$5+SQRT(B290*(Supuestos!$F$5-Supuestos!$D$5)*(Supuestos!$E$5-Supuestos!$D$5)),Supuestos!$F$5-SQRT((1-B290)*(Supuestos!$F$5-Supuestos!$D$5)*(Supuestos!$F$5-Supuestos!$E$5))),IF(Supuestos!$C$5="Uniforme",Supuestos!$D$5+B290*(Supuestos!$E$5-Supuestos!$D$5),IF(Supuestos!$C$5="Lognormal",LOGINV(B290,LN(Supuestos!$D$5)-LN(1+Supuestos!$E$5^2/Supuestos!$D$5^2)/2,SQRT(LN(1+Supuestos!$E$5^2/Supuestos!$D$5^2))),Supuestos!$D$5))))))</f>
        <v/>
      </c>
      <c r="J290" s="31">
        <f>MIN(IF(Supuestos!$H$6="",1E+99,Supuestos!$H$6),MAX(IF(Supuestos!$G$6="",-1E+99,Supuestos!$G$6),IF(Supuestos!$C$6="Normal",NORMINV(C290,Supuestos!$D$6,Supuestos!$E$6),IF(Supuestos!$C$6="Triangular",IF(C290&lt;(Supuestos!$E$6-Supuestos!$D$6)/(Supuestos!$F$6-Supuestos!$D$6),Supuestos!$D$6+SQRT(C290*(Supuestos!$F$6-Supuestos!$D$6)*(Supuestos!$E$6-Supuestos!$D$6)),Supuestos!$F$6-SQRT((1-C290)*(Supuestos!$F$6-Supuestos!$D$6)*(Supuestos!$F$6-Supuestos!$E$6))),IF(Supuestos!$C$6="Uniforme",Supuestos!$D$6+C290*(Supuestos!$E$6-Supuestos!$D$6),IF(Supuestos!$C$6="Lognormal",LOGINV(C290,LN(Supuestos!$D$6)-LN(1+Supuestos!$E$6^2/Supuestos!$D$6^2)/2,SQRT(LN(1+Supuestos!$E$6^2/Supuestos!$D$6^2))),Supuestos!$D$6))))))</f>
        <v/>
      </c>
      <c r="K290" s="32">
        <f>MIN(IF(Supuestos!$H$7="",1E+99,Supuestos!$H$7),MAX(IF(Supuestos!$G$7="",-1E+99,Supuestos!$G$7),IF(Supuestos!$C$7="Normal",NORMINV(D290,Supuestos!$D$7,Supuestos!$E$7),IF(Supuestos!$C$7="Triangular",IF(D290&lt;(Supuestos!$E$7-Supuestos!$D$7)/(Supuestos!$F$7-Supuestos!$D$7),Supuestos!$D$7+SQRT(D290*(Supuestos!$F$7-Supuestos!$D$7)*(Supuestos!$E$7-Supuestos!$D$7)),Supuestos!$F$7-SQRT((1-D290)*(Supuestos!$F$7-Supuestos!$D$7)*(Supuestos!$F$7-Supuestos!$E$7))),IF(Supuestos!$C$7="Uniforme",Supuestos!$D$7+D290*(Supuestos!$E$7-Supuestos!$D$7),IF(Supuestos!$C$7="Lognormal",LOGINV(D290,LN(Supuestos!$D$7)-LN(1+Supuestos!$E$7^2/Supuestos!$D$7^2)/2,SQRT(LN(1+Supuestos!$E$7^2/Supuestos!$D$7^2))),Supuestos!$D$7))))))</f>
        <v/>
      </c>
      <c r="L290" s="32">
        <f>MIN(IF(Supuestos!$H$8="",1E+99,Supuestos!$H$8),MAX(IF(Supuestos!$G$8="",-1E+99,Supuestos!$G$8),IF(Supuestos!$C$8="Normal",NORMINV(E290,Supuestos!$D$8,Supuestos!$E$8),IF(Supuestos!$C$8="Triangular",IF(E290&lt;(Supuestos!$E$8-Supuestos!$D$8)/(Supuestos!$F$8-Supuestos!$D$8),Supuestos!$D$8+SQRT(E290*(Supuestos!$F$8-Supuestos!$D$8)*(Supuestos!$E$8-Supuestos!$D$8)),Supuestos!$F$8-SQRT((1-E290)*(Supuestos!$F$8-Supuestos!$D$8)*(Supuestos!$F$8-Supuestos!$E$8))),IF(Supuestos!$C$8="Uniforme",Supuestos!$D$8+E290*(Supuestos!$E$8-Supuestos!$D$8),IF(Supuestos!$C$8="Lognormal",LOGINV(E290,LN(Supuestos!$D$8)-LN(1+Supuestos!$E$8^2/Supuestos!$D$8^2)/2,SQRT(LN(1+Supuestos!$E$8^2/Supuestos!$D$8^2))),Supuestos!$D$8))))))</f>
        <v/>
      </c>
      <c r="M290" s="32">
        <f>MIN(IF(Supuestos!$H$9="",1E+99,Supuestos!$H$9),MAX(IF(Supuestos!$G$9="",-1E+99,Supuestos!$G$9),IF(Supuestos!$C$9="Normal",NORMINV(F290,Supuestos!$D$9,Supuestos!$E$9),IF(Supuestos!$C$9="Triangular",IF(F290&lt;(Supuestos!$E$9-Supuestos!$D$9)/(Supuestos!$F$9-Supuestos!$D$9),Supuestos!$D$9+SQRT(F290*(Supuestos!$F$9-Supuestos!$D$9)*(Supuestos!$E$9-Supuestos!$D$9)),Supuestos!$F$9-SQRT((1-F290)*(Supuestos!$F$9-Supuestos!$D$9)*(Supuestos!$F$9-Supuestos!$E$9))),IF(Supuestos!$C$9="Uniforme",Supuestos!$D$9+F290*(Supuestos!$E$9-Supuestos!$D$9),IF(Supuestos!$C$9="Lognormal",LOGINV(F290,LN(Supuestos!$D$9)-LN(1+Supuestos!$E$9^2/Supuestos!$D$9^2)/2,SQRT(LN(1+Supuestos!$E$9^2/Supuestos!$D$9^2))),Supuestos!$D$9))))))</f>
        <v/>
      </c>
      <c r="N290" s="32">
        <f>MIN(IF(Supuestos!$H$10="",1E+99,Supuestos!$H$10),MAX(IF(Supuestos!$G$10="",-1E+99,Supuestos!$G$10),IF(Supuestos!$C$10="Normal",NORMINV(G290,Supuestos!$D$10,Supuestos!$E$10),IF(Supuestos!$C$10="Triangular",IF(G290&lt;(Supuestos!$E$10-Supuestos!$D$10)/(Supuestos!$F$10-Supuestos!$D$10),Supuestos!$D$10+SQRT(G290*(Supuestos!$F$10-Supuestos!$D$10)*(Supuestos!$E$10-Supuestos!$D$10)),Supuestos!$F$10-SQRT((1-G290)*(Supuestos!$F$10-Supuestos!$D$10)*(Supuestos!$F$10-Supuestos!$E$10))),IF(Supuestos!$C$10="Uniforme",Supuestos!$D$10+G290*(Supuestos!$E$10-Supuestos!$D$10),IF(Supuestos!$C$10="Lognormal",LOGINV(G290,LN(Supuestos!$D$10)-LN(1+Supuestos!$E$10^2/Supuestos!$D$10^2)/2,SQRT(LN(1+Supuestos!$E$10^2/Supuestos!$D$10^2))),Supuestos!$D$10))))))</f>
        <v/>
      </c>
      <c r="O290" s="31">
        <f>MIN(IF(Supuestos!$H$11="",1E+99,Supuestos!$H$11),MAX(IF(Supuestos!$G$11="",-1E+99,Supuestos!$G$11),IF(Supuestos!$C$11="Normal",NORMINV(H290,Supuestos!$D$11,Supuestos!$E$11),IF(Supuestos!$C$11="Triangular",IF(H290&lt;(Supuestos!$E$11-Supuestos!$D$11)/(Supuestos!$F$11-Supuestos!$D$11),Supuestos!$D$11+SQRT(H290*(Supuestos!$F$11-Supuestos!$D$11)*(Supuestos!$E$11-Supuestos!$D$11)),Supuestos!$F$11-SQRT((1-H290)*(Supuestos!$F$11-Supuestos!$D$11)*(Supuestos!$F$11-Supuestos!$E$11))),IF(Supuestos!$C$11="Uniforme",Supuestos!$D$11+H290*(Supuestos!$E$11-Supuestos!$D$11),IF(Supuestos!$C$11="Lognormal",LOGINV(H290,LN(Supuestos!$D$11)-LN(1+Supuestos!$E$11^2/Supuestos!$D$11^2)/2,SQRT(LN(1+Supuestos!$E$11^2/Supuestos!$D$11^2))),Supuestos!$D$11))))))</f>
        <v/>
      </c>
      <c r="P290" s="33">
        <f>-I290</f>
        <v/>
      </c>
      <c r="Q290" s="33">
        <f>$J290*(1+$K290)^(1-1)*(1-$L290)*(1-$M290)</f>
        <v/>
      </c>
      <c r="R290" s="33">
        <f>$J290*(1+$K290)^(2-1)*(1-$L290)*(1-$M290)</f>
        <v/>
      </c>
      <c r="S290" s="33">
        <f>$J290*(1+$K290)^(3-1)*(1-$L290)*(1-$M290)</f>
        <v/>
      </c>
      <c r="T290" s="33">
        <f>$J290*(1+$K290)^(4-1)*(1-$L290)*(1-$M290)</f>
        <v/>
      </c>
      <c r="U290" s="33">
        <f>$J290*(1+$K290)^(5-1)*(1-$L290)*(1-$M290)+$O290</f>
        <v/>
      </c>
      <c r="V290" s="33">
        <f>P290+NPV($N290,Q290:U290)</f>
        <v/>
      </c>
      <c r="W290" s="32">
        <f>IFERROR(IRR(P290:U290,0.1),"")</f>
        <v/>
      </c>
    </row>
    <row r="291">
      <c r="A291" s="14" t="n">
        <v>287</v>
      </c>
      <c r="B291" s="30">
        <f>RAND()*(1-2E-6)+1E-6</f>
        <v/>
      </c>
      <c r="C291" s="30">
        <f>RAND()*(1-2E-6)+1E-6</f>
        <v/>
      </c>
      <c r="D291" s="30">
        <f>RAND()*(1-2E-6)+1E-6</f>
        <v/>
      </c>
      <c r="E291" s="30">
        <f>RAND()*(1-2E-6)+1E-6</f>
        <v/>
      </c>
      <c r="F291" s="30">
        <f>RAND()*(1-2E-6)+1E-6</f>
        <v/>
      </c>
      <c r="G291" s="30">
        <f>RAND()*(1-2E-6)+1E-6</f>
        <v/>
      </c>
      <c r="H291" s="30">
        <f>RAND()*(1-2E-6)+1E-6</f>
        <v/>
      </c>
      <c r="I291" s="31">
        <f>MIN(IF(Supuestos!$H$5="",1E+99,Supuestos!$H$5),MAX(IF(Supuestos!$G$5="",-1E+99,Supuestos!$G$5),IF(Supuestos!$C$5="Normal",NORMINV(B291,Supuestos!$D$5,Supuestos!$E$5),IF(Supuestos!$C$5="Triangular",IF(B291&lt;(Supuestos!$E$5-Supuestos!$D$5)/(Supuestos!$F$5-Supuestos!$D$5),Supuestos!$D$5+SQRT(B291*(Supuestos!$F$5-Supuestos!$D$5)*(Supuestos!$E$5-Supuestos!$D$5)),Supuestos!$F$5-SQRT((1-B291)*(Supuestos!$F$5-Supuestos!$D$5)*(Supuestos!$F$5-Supuestos!$E$5))),IF(Supuestos!$C$5="Uniforme",Supuestos!$D$5+B291*(Supuestos!$E$5-Supuestos!$D$5),IF(Supuestos!$C$5="Lognormal",LOGINV(B291,LN(Supuestos!$D$5)-LN(1+Supuestos!$E$5^2/Supuestos!$D$5^2)/2,SQRT(LN(1+Supuestos!$E$5^2/Supuestos!$D$5^2))),Supuestos!$D$5))))))</f>
        <v/>
      </c>
      <c r="J291" s="31">
        <f>MIN(IF(Supuestos!$H$6="",1E+99,Supuestos!$H$6),MAX(IF(Supuestos!$G$6="",-1E+99,Supuestos!$G$6),IF(Supuestos!$C$6="Normal",NORMINV(C291,Supuestos!$D$6,Supuestos!$E$6),IF(Supuestos!$C$6="Triangular",IF(C291&lt;(Supuestos!$E$6-Supuestos!$D$6)/(Supuestos!$F$6-Supuestos!$D$6),Supuestos!$D$6+SQRT(C291*(Supuestos!$F$6-Supuestos!$D$6)*(Supuestos!$E$6-Supuestos!$D$6)),Supuestos!$F$6-SQRT((1-C291)*(Supuestos!$F$6-Supuestos!$D$6)*(Supuestos!$F$6-Supuestos!$E$6))),IF(Supuestos!$C$6="Uniforme",Supuestos!$D$6+C291*(Supuestos!$E$6-Supuestos!$D$6),IF(Supuestos!$C$6="Lognormal",LOGINV(C291,LN(Supuestos!$D$6)-LN(1+Supuestos!$E$6^2/Supuestos!$D$6^2)/2,SQRT(LN(1+Supuestos!$E$6^2/Supuestos!$D$6^2))),Supuestos!$D$6))))))</f>
        <v/>
      </c>
      <c r="K291" s="32">
        <f>MIN(IF(Supuestos!$H$7="",1E+99,Supuestos!$H$7),MAX(IF(Supuestos!$G$7="",-1E+99,Supuestos!$G$7),IF(Supuestos!$C$7="Normal",NORMINV(D291,Supuestos!$D$7,Supuestos!$E$7),IF(Supuestos!$C$7="Triangular",IF(D291&lt;(Supuestos!$E$7-Supuestos!$D$7)/(Supuestos!$F$7-Supuestos!$D$7),Supuestos!$D$7+SQRT(D291*(Supuestos!$F$7-Supuestos!$D$7)*(Supuestos!$E$7-Supuestos!$D$7)),Supuestos!$F$7-SQRT((1-D291)*(Supuestos!$F$7-Supuestos!$D$7)*(Supuestos!$F$7-Supuestos!$E$7))),IF(Supuestos!$C$7="Uniforme",Supuestos!$D$7+D291*(Supuestos!$E$7-Supuestos!$D$7),IF(Supuestos!$C$7="Lognormal",LOGINV(D291,LN(Supuestos!$D$7)-LN(1+Supuestos!$E$7^2/Supuestos!$D$7^2)/2,SQRT(LN(1+Supuestos!$E$7^2/Supuestos!$D$7^2))),Supuestos!$D$7))))))</f>
        <v/>
      </c>
      <c r="L291" s="32">
        <f>MIN(IF(Supuestos!$H$8="",1E+99,Supuestos!$H$8),MAX(IF(Supuestos!$G$8="",-1E+99,Supuestos!$G$8),IF(Supuestos!$C$8="Normal",NORMINV(E291,Supuestos!$D$8,Supuestos!$E$8),IF(Supuestos!$C$8="Triangular",IF(E291&lt;(Supuestos!$E$8-Supuestos!$D$8)/(Supuestos!$F$8-Supuestos!$D$8),Supuestos!$D$8+SQRT(E291*(Supuestos!$F$8-Supuestos!$D$8)*(Supuestos!$E$8-Supuestos!$D$8)),Supuestos!$F$8-SQRT((1-E291)*(Supuestos!$F$8-Supuestos!$D$8)*(Supuestos!$F$8-Supuestos!$E$8))),IF(Supuestos!$C$8="Uniforme",Supuestos!$D$8+E291*(Supuestos!$E$8-Supuestos!$D$8),IF(Supuestos!$C$8="Lognormal",LOGINV(E291,LN(Supuestos!$D$8)-LN(1+Supuestos!$E$8^2/Supuestos!$D$8^2)/2,SQRT(LN(1+Supuestos!$E$8^2/Supuestos!$D$8^2))),Supuestos!$D$8))))))</f>
        <v/>
      </c>
      <c r="M291" s="32">
        <f>MIN(IF(Supuestos!$H$9="",1E+99,Supuestos!$H$9),MAX(IF(Supuestos!$G$9="",-1E+99,Supuestos!$G$9),IF(Supuestos!$C$9="Normal",NORMINV(F291,Supuestos!$D$9,Supuestos!$E$9),IF(Supuestos!$C$9="Triangular",IF(F291&lt;(Supuestos!$E$9-Supuestos!$D$9)/(Supuestos!$F$9-Supuestos!$D$9),Supuestos!$D$9+SQRT(F291*(Supuestos!$F$9-Supuestos!$D$9)*(Supuestos!$E$9-Supuestos!$D$9)),Supuestos!$F$9-SQRT((1-F291)*(Supuestos!$F$9-Supuestos!$D$9)*(Supuestos!$F$9-Supuestos!$E$9))),IF(Supuestos!$C$9="Uniforme",Supuestos!$D$9+F291*(Supuestos!$E$9-Supuestos!$D$9),IF(Supuestos!$C$9="Lognormal",LOGINV(F291,LN(Supuestos!$D$9)-LN(1+Supuestos!$E$9^2/Supuestos!$D$9^2)/2,SQRT(LN(1+Supuestos!$E$9^2/Supuestos!$D$9^2))),Supuestos!$D$9))))))</f>
        <v/>
      </c>
      <c r="N291" s="32">
        <f>MIN(IF(Supuestos!$H$10="",1E+99,Supuestos!$H$10),MAX(IF(Supuestos!$G$10="",-1E+99,Supuestos!$G$10),IF(Supuestos!$C$10="Normal",NORMINV(G291,Supuestos!$D$10,Supuestos!$E$10),IF(Supuestos!$C$10="Triangular",IF(G291&lt;(Supuestos!$E$10-Supuestos!$D$10)/(Supuestos!$F$10-Supuestos!$D$10),Supuestos!$D$10+SQRT(G291*(Supuestos!$F$10-Supuestos!$D$10)*(Supuestos!$E$10-Supuestos!$D$10)),Supuestos!$F$10-SQRT((1-G291)*(Supuestos!$F$10-Supuestos!$D$10)*(Supuestos!$F$10-Supuestos!$E$10))),IF(Supuestos!$C$10="Uniforme",Supuestos!$D$10+G291*(Supuestos!$E$10-Supuestos!$D$10),IF(Supuestos!$C$10="Lognormal",LOGINV(G291,LN(Supuestos!$D$10)-LN(1+Supuestos!$E$10^2/Supuestos!$D$10^2)/2,SQRT(LN(1+Supuestos!$E$10^2/Supuestos!$D$10^2))),Supuestos!$D$10))))))</f>
        <v/>
      </c>
      <c r="O291" s="31">
        <f>MIN(IF(Supuestos!$H$11="",1E+99,Supuestos!$H$11),MAX(IF(Supuestos!$G$11="",-1E+99,Supuestos!$G$11),IF(Supuestos!$C$11="Normal",NORMINV(H291,Supuestos!$D$11,Supuestos!$E$11),IF(Supuestos!$C$11="Triangular",IF(H291&lt;(Supuestos!$E$11-Supuestos!$D$11)/(Supuestos!$F$11-Supuestos!$D$11),Supuestos!$D$11+SQRT(H291*(Supuestos!$F$11-Supuestos!$D$11)*(Supuestos!$E$11-Supuestos!$D$11)),Supuestos!$F$11-SQRT((1-H291)*(Supuestos!$F$11-Supuestos!$D$11)*(Supuestos!$F$11-Supuestos!$E$11))),IF(Supuestos!$C$11="Uniforme",Supuestos!$D$11+H291*(Supuestos!$E$11-Supuestos!$D$11),IF(Supuestos!$C$11="Lognormal",LOGINV(H291,LN(Supuestos!$D$11)-LN(1+Supuestos!$E$11^2/Supuestos!$D$11^2)/2,SQRT(LN(1+Supuestos!$E$11^2/Supuestos!$D$11^2))),Supuestos!$D$11))))))</f>
        <v/>
      </c>
      <c r="P291" s="33">
        <f>-I291</f>
        <v/>
      </c>
      <c r="Q291" s="33">
        <f>$J291*(1+$K291)^(1-1)*(1-$L291)*(1-$M291)</f>
        <v/>
      </c>
      <c r="R291" s="33">
        <f>$J291*(1+$K291)^(2-1)*(1-$L291)*(1-$M291)</f>
        <v/>
      </c>
      <c r="S291" s="33">
        <f>$J291*(1+$K291)^(3-1)*(1-$L291)*(1-$M291)</f>
        <v/>
      </c>
      <c r="T291" s="33">
        <f>$J291*(1+$K291)^(4-1)*(1-$L291)*(1-$M291)</f>
        <v/>
      </c>
      <c r="U291" s="33">
        <f>$J291*(1+$K291)^(5-1)*(1-$L291)*(1-$M291)+$O291</f>
        <v/>
      </c>
      <c r="V291" s="33">
        <f>P291+NPV($N291,Q291:U291)</f>
        <v/>
      </c>
      <c r="W291" s="32">
        <f>IFERROR(IRR(P291:U291,0.1),"")</f>
        <v/>
      </c>
    </row>
    <row r="292">
      <c r="A292" s="14" t="n">
        <v>288</v>
      </c>
      <c r="B292" s="30">
        <f>RAND()*(1-2E-6)+1E-6</f>
        <v/>
      </c>
      <c r="C292" s="30">
        <f>RAND()*(1-2E-6)+1E-6</f>
        <v/>
      </c>
      <c r="D292" s="30">
        <f>RAND()*(1-2E-6)+1E-6</f>
        <v/>
      </c>
      <c r="E292" s="30">
        <f>RAND()*(1-2E-6)+1E-6</f>
        <v/>
      </c>
      <c r="F292" s="30">
        <f>RAND()*(1-2E-6)+1E-6</f>
        <v/>
      </c>
      <c r="G292" s="30">
        <f>RAND()*(1-2E-6)+1E-6</f>
        <v/>
      </c>
      <c r="H292" s="30">
        <f>RAND()*(1-2E-6)+1E-6</f>
        <v/>
      </c>
      <c r="I292" s="31">
        <f>MIN(IF(Supuestos!$H$5="",1E+99,Supuestos!$H$5),MAX(IF(Supuestos!$G$5="",-1E+99,Supuestos!$G$5),IF(Supuestos!$C$5="Normal",NORMINV(B292,Supuestos!$D$5,Supuestos!$E$5),IF(Supuestos!$C$5="Triangular",IF(B292&lt;(Supuestos!$E$5-Supuestos!$D$5)/(Supuestos!$F$5-Supuestos!$D$5),Supuestos!$D$5+SQRT(B292*(Supuestos!$F$5-Supuestos!$D$5)*(Supuestos!$E$5-Supuestos!$D$5)),Supuestos!$F$5-SQRT((1-B292)*(Supuestos!$F$5-Supuestos!$D$5)*(Supuestos!$F$5-Supuestos!$E$5))),IF(Supuestos!$C$5="Uniforme",Supuestos!$D$5+B292*(Supuestos!$E$5-Supuestos!$D$5),IF(Supuestos!$C$5="Lognormal",LOGINV(B292,LN(Supuestos!$D$5)-LN(1+Supuestos!$E$5^2/Supuestos!$D$5^2)/2,SQRT(LN(1+Supuestos!$E$5^2/Supuestos!$D$5^2))),Supuestos!$D$5))))))</f>
        <v/>
      </c>
      <c r="J292" s="31">
        <f>MIN(IF(Supuestos!$H$6="",1E+99,Supuestos!$H$6),MAX(IF(Supuestos!$G$6="",-1E+99,Supuestos!$G$6),IF(Supuestos!$C$6="Normal",NORMINV(C292,Supuestos!$D$6,Supuestos!$E$6),IF(Supuestos!$C$6="Triangular",IF(C292&lt;(Supuestos!$E$6-Supuestos!$D$6)/(Supuestos!$F$6-Supuestos!$D$6),Supuestos!$D$6+SQRT(C292*(Supuestos!$F$6-Supuestos!$D$6)*(Supuestos!$E$6-Supuestos!$D$6)),Supuestos!$F$6-SQRT((1-C292)*(Supuestos!$F$6-Supuestos!$D$6)*(Supuestos!$F$6-Supuestos!$E$6))),IF(Supuestos!$C$6="Uniforme",Supuestos!$D$6+C292*(Supuestos!$E$6-Supuestos!$D$6),IF(Supuestos!$C$6="Lognormal",LOGINV(C292,LN(Supuestos!$D$6)-LN(1+Supuestos!$E$6^2/Supuestos!$D$6^2)/2,SQRT(LN(1+Supuestos!$E$6^2/Supuestos!$D$6^2))),Supuestos!$D$6))))))</f>
        <v/>
      </c>
      <c r="K292" s="32">
        <f>MIN(IF(Supuestos!$H$7="",1E+99,Supuestos!$H$7),MAX(IF(Supuestos!$G$7="",-1E+99,Supuestos!$G$7),IF(Supuestos!$C$7="Normal",NORMINV(D292,Supuestos!$D$7,Supuestos!$E$7),IF(Supuestos!$C$7="Triangular",IF(D292&lt;(Supuestos!$E$7-Supuestos!$D$7)/(Supuestos!$F$7-Supuestos!$D$7),Supuestos!$D$7+SQRT(D292*(Supuestos!$F$7-Supuestos!$D$7)*(Supuestos!$E$7-Supuestos!$D$7)),Supuestos!$F$7-SQRT((1-D292)*(Supuestos!$F$7-Supuestos!$D$7)*(Supuestos!$F$7-Supuestos!$E$7))),IF(Supuestos!$C$7="Uniforme",Supuestos!$D$7+D292*(Supuestos!$E$7-Supuestos!$D$7),IF(Supuestos!$C$7="Lognormal",LOGINV(D292,LN(Supuestos!$D$7)-LN(1+Supuestos!$E$7^2/Supuestos!$D$7^2)/2,SQRT(LN(1+Supuestos!$E$7^2/Supuestos!$D$7^2))),Supuestos!$D$7))))))</f>
        <v/>
      </c>
      <c r="L292" s="32">
        <f>MIN(IF(Supuestos!$H$8="",1E+99,Supuestos!$H$8),MAX(IF(Supuestos!$G$8="",-1E+99,Supuestos!$G$8),IF(Supuestos!$C$8="Normal",NORMINV(E292,Supuestos!$D$8,Supuestos!$E$8),IF(Supuestos!$C$8="Triangular",IF(E292&lt;(Supuestos!$E$8-Supuestos!$D$8)/(Supuestos!$F$8-Supuestos!$D$8),Supuestos!$D$8+SQRT(E292*(Supuestos!$F$8-Supuestos!$D$8)*(Supuestos!$E$8-Supuestos!$D$8)),Supuestos!$F$8-SQRT((1-E292)*(Supuestos!$F$8-Supuestos!$D$8)*(Supuestos!$F$8-Supuestos!$E$8))),IF(Supuestos!$C$8="Uniforme",Supuestos!$D$8+E292*(Supuestos!$E$8-Supuestos!$D$8),IF(Supuestos!$C$8="Lognormal",LOGINV(E292,LN(Supuestos!$D$8)-LN(1+Supuestos!$E$8^2/Supuestos!$D$8^2)/2,SQRT(LN(1+Supuestos!$E$8^2/Supuestos!$D$8^2))),Supuestos!$D$8))))))</f>
        <v/>
      </c>
      <c r="M292" s="32">
        <f>MIN(IF(Supuestos!$H$9="",1E+99,Supuestos!$H$9),MAX(IF(Supuestos!$G$9="",-1E+99,Supuestos!$G$9),IF(Supuestos!$C$9="Normal",NORMINV(F292,Supuestos!$D$9,Supuestos!$E$9),IF(Supuestos!$C$9="Triangular",IF(F292&lt;(Supuestos!$E$9-Supuestos!$D$9)/(Supuestos!$F$9-Supuestos!$D$9),Supuestos!$D$9+SQRT(F292*(Supuestos!$F$9-Supuestos!$D$9)*(Supuestos!$E$9-Supuestos!$D$9)),Supuestos!$F$9-SQRT((1-F292)*(Supuestos!$F$9-Supuestos!$D$9)*(Supuestos!$F$9-Supuestos!$E$9))),IF(Supuestos!$C$9="Uniforme",Supuestos!$D$9+F292*(Supuestos!$E$9-Supuestos!$D$9),IF(Supuestos!$C$9="Lognormal",LOGINV(F292,LN(Supuestos!$D$9)-LN(1+Supuestos!$E$9^2/Supuestos!$D$9^2)/2,SQRT(LN(1+Supuestos!$E$9^2/Supuestos!$D$9^2))),Supuestos!$D$9))))))</f>
        <v/>
      </c>
      <c r="N292" s="32">
        <f>MIN(IF(Supuestos!$H$10="",1E+99,Supuestos!$H$10),MAX(IF(Supuestos!$G$10="",-1E+99,Supuestos!$G$10),IF(Supuestos!$C$10="Normal",NORMINV(G292,Supuestos!$D$10,Supuestos!$E$10),IF(Supuestos!$C$10="Triangular",IF(G292&lt;(Supuestos!$E$10-Supuestos!$D$10)/(Supuestos!$F$10-Supuestos!$D$10),Supuestos!$D$10+SQRT(G292*(Supuestos!$F$10-Supuestos!$D$10)*(Supuestos!$E$10-Supuestos!$D$10)),Supuestos!$F$10-SQRT((1-G292)*(Supuestos!$F$10-Supuestos!$D$10)*(Supuestos!$F$10-Supuestos!$E$10))),IF(Supuestos!$C$10="Uniforme",Supuestos!$D$10+G292*(Supuestos!$E$10-Supuestos!$D$10),IF(Supuestos!$C$10="Lognormal",LOGINV(G292,LN(Supuestos!$D$10)-LN(1+Supuestos!$E$10^2/Supuestos!$D$10^2)/2,SQRT(LN(1+Supuestos!$E$10^2/Supuestos!$D$10^2))),Supuestos!$D$10))))))</f>
        <v/>
      </c>
      <c r="O292" s="31">
        <f>MIN(IF(Supuestos!$H$11="",1E+99,Supuestos!$H$11),MAX(IF(Supuestos!$G$11="",-1E+99,Supuestos!$G$11),IF(Supuestos!$C$11="Normal",NORMINV(H292,Supuestos!$D$11,Supuestos!$E$11),IF(Supuestos!$C$11="Triangular",IF(H292&lt;(Supuestos!$E$11-Supuestos!$D$11)/(Supuestos!$F$11-Supuestos!$D$11),Supuestos!$D$11+SQRT(H292*(Supuestos!$F$11-Supuestos!$D$11)*(Supuestos!$E$11-Supuestos!$D$11)),Supuestos!$F$11-SQRT((1-H292)*(Supuestos!$F$11-Supuestos!$D$11)*(Supuestos!$F$11-Supuestos!$E$11))),IF(Supuestos!$C$11="Uniforme",Supuestos!$D$11+H292*(Supuestos!$E$11-Supuestos!$D$11),IF(Supuestos!$C$11="Lognormal",LOGINV(H292,LN(Supuestos!$D$11)-LN(1+Supuestos!$E$11^2/Supuestos!$D$11^2)/2,SQRT(LN(1+Supuestos!$E$11^2/Supuestos!$D$11^2))),Supuestos!$D$11))))))</f>
        <v/>
      </c>
      <c r="P292" s="33">
        <f>-I292</f>
        <v/>
      </c>
      <c r="Q292" s="33">
        <f>$J292*(1+$K292)^(1-1)*(1-$L292)*(1-$M292)</f>
        <v/>
      </c>
      <c r="R292" s="33">
        <f>$J292*(1+$K292)^(2-1)*(1-$L292)*(1-$M292)</f>
        <v/>
      </c>
      <c r="S292" s="33">
        <f>$J292*(1+$K292)^(3-1)*(1-$L292)*(1-$M292)</f>
        <v/>
      </c>
      <c r="T292" s="33">
        <f>$J292*(1+$K292)^(4-1)*(1-$L292)*(1-$M292)</f>
        <v/>
      </c>
      <c r="U292" s="33">
        <f>$J292*(1+$K292)^(5-1)*(1-$L292)*(1-$M292)+$O292</f>
        <v/>
      </c>
      <c r="V292" s="33">
        <f>P292+NPV($N292,Q292:U292)</f>
        <v/>
      </c>
      <c r="W292" s="32">
        <f>IFERROR(IRR(P292:U292,0.1),"")</f>
        <v/>
      </c>
    </row>
    <row r="293">
      <c r="A293" s="14" t="n">
        <v>289</v>
      </c>
      <c r="B293" s="30">
        <f>RAND()*(1-2E-6)+1E-6</f>
        <v/>
      </c>
      <c r="C293" s="30">
        <f>RAND()*(1-2E-6)+1E-6</f>
        <v/>
      </c>
      <c r="D293" s="30">
        <f>RAND()*(1-2E-6)+1E-6</f>
        <v/>
      </c>
      <c r="E293" s="30">
        <f>RAND()*(1-2E-6)+1E-6</f>
        <v/>
      </c>
      <c r="F293" s="30">
        <f>RAND()*(1-2E-6)+1E-6</f>
        <v/>
      </c>
      <c r="G293" s="30">
        <f>RAND()*(1-2E-6)+1E-6</f>
        <v/>
      </c>
      <c r="H293" s="30">
        <f>RAND()*(1-2E-6)+1E-6</f>
        <v/>
      </c>
      <c r="I293" s="31">
        <f>MIN(IF(Supuestos!$H$5="",1E+99,Supuestos!$H$5),MAX(IF(Supuestos!$G$5="",-1E+99,Supuestos!$G$5),IF(Supuestos!$C$5="Normal",NORMINV(B293,Supuestos!$D$5,Supuestos!$E$5),IF(Supuestos!$C$5="Triangular",IF(B293&lt;(Supuestos!$E$5-Supuestos!$D$5)/(Supuestos!$F$5-Supuestos!$D$5),Supuestos!$D$5+SQRT(B293*(Supuestos!$F$5-Supuestos!$D$5)*(Supuestos!$E$5-Supuestos!$D$5)),Supuestos!$F$5-SQRT((1-B293)*(Supuestos!$F$5-Supuestos!$D$5)*(Supuestos!$F$5-Supuestos!$E$5))),IF(Supuestos!$C$5="Uniforme",Supuestos!$D$5+B293*(Supuestos!$E$5-Supuestos!$D$5),IF(Supuestos!$C$5="Lognormal",LOGINV(B293,LN(Supuestos!$D$5)-LN(1+Supuestos!$E$5^2/Supuestos!$D$5^2)/2,SQRT(LN(1+Supuestos!$E$5^2/Supuestos!$D$5^2))),Supuestos!$D$5))))))</f>
        <v/>
      </c>
      <c r="J293" s="31">
        <f>MIN(IF(Supuestos!$H$6="",1E+99,Supuestos!$H$6),MAX(IF(Supuestos!$G$6="",-1E+99,Supuestos!$G$6),IF(Supuestos!$C$6="Normal",NORMINV(C293,Supuestos!$D$6,Supuestos!$E$6),IF(Supuestos!$C$6="Triangular",IF(C293&lt;(Supuestos!$E$6-Supuestos!$D$6)/(Supuestos!$F$6-Supuestos!$D$6),Supuestos!$D$6+SQRT(C293*(Supuestos!$F$6-Supuestos!$D$6)*(Supuestos!$E$6-Supuestos!$D$6)),Supuestos!$F$6-SQRT((1-C293)*(Supuestos!$F$6-Supuestos!$D$6)*(Supuestos!$F$6-Supuestos!$E$6))),IF(Supuestos!$C$6="Uniforme",Supuestos!$D$6+C293*(Supuestos!$E$6-Supuestos!$D$6),IF(Supuestos!$C$6="Lognormal",LOGINV(C293,LN(Supuestos!$D$6)-LN(1+Supuestos!$E$6^2/Supuestos!$D$6^2)/2,SQRT(LN(1+Supuestos!$E$6^2/Supuestos!$D$6^2))),Supuestos!$D$6))))))</f>
        <v/>
      </c>
      <c r="K293" s="32">
        <f>MIN(IF(Supuestos!$H$7="",1E+99,Supuestos!$H$7),MAX(IF(Supuestos!$G$7="",-1E+99,Supuestos!$G$7),IF(Supuestos!$C$7="Normal",NORMINV(D293,Supuestos!$D$7,Supuestos!$E$7),IF(Supuestos!$C$7="Triangular",IF(D293&lt;(Supuestos!$E$7-Supuestos!$D$7)/(Supuestos!$F$7-Supuestos!$D$7),Supuestos!$D$7+SQRT(D293*(Supuestos!$F$7-Supuestos!$D$7)*(Supuestos!$E$7-Supuestos!$D$7)),Supuestos!$F$7-SQRT((1-D293)*(Supuestos!$F$7-Supuestos!$D$7)*(Supuestos!$F$7-Supuestos!$E$7))),IF(Supuestos!$C$7="Uniforme",Supuestos!$D$7+D293*(Supuestos!$E$7-Supuestos!$D$7),IF(Supuestos!$C$7="Lognormal",LOGINV(D293,LN(Supuestos!$D$7)-LN(1+Supuestos!$E$7^2/Supuestos!$D$7^2)/2,SQRT(LN(1+Supuestos!$E$7^2/Supuestos!$D$7^2))),Supuestos!$D$7))))))</f>
        <v/>
      </c>
      <c r="L293" s="32">
        <f>MIN(IF(Supuestos!$H$8="",1E+99,Supuestos!$H$8),MAX(IF(Supuestos!$G$8="",-1E+99,Supuestos!$G$8),IF(Supuestos!$C$8="Normal",NORMINV(E293,Supuestos!$D$8,Supuestos!$E$8),IF(Supuestos!$C$8="Triangular",IF(E293&lt;(Supuestos!$E$8-Supuestos!$D$8)/(Supuestos!$F$8-Supuestos!$D$8),Supuestos!$D$8+SQRT(E293*(Supuestos!$F$8-Supuestos!$D$8)*(Supuestos!$E$8-Supuestos!$D$8)),Supuestos!$F$8-SQRT((1-E293)*(Supuestos!$F$8-Supuestos!$D$8)*(Supuestos!$F$8-Supuestos!$E$8))),IF(Supuestos!$C$8="Uniforme",Supuestos!$D$8+E293*(Supuestos!$E$8-Supuestos!$D$8),IF(Supuestos!$C$8="Lognormal",LOGINV(E293,LN(Supuestos!$D$8)-LN(1+Supuestos!$E$8^2/Supuestos!$D$8^2)/2,SQRT(LN(1+Supuestos!$E$8^2/Supuestos!$D$8^2))),Supuestos!$D$8))))))</f>
        <v/>
      </c>
      <c r="M293" s="32">
        <f>MIN(IF(Supuestos!$H$9="",1E+99,Supuestos!$H$9),MAX(IF(Supuestos!$G$9="",-1E+99,Supuestos!$G$9),IF(Supuestos!$C$9="Normal",NORMINV(F293,Supuestos!$D$9,Supuestos!$E$9),IF(Supuestos!$C$9="Triangular",IF(F293&lt;(Supuestos!$E$9-Supuestos!$D$9)/(Supuestos!$F$9-Supuestos!$D$9),Supuestos!$D$9+SQRT(F293*(Supuestos!$F$9-Supuestos!$D$9)*(Supuestos!$E$9-Supuestos!$D$9)),Supuestos!$F$9-SQRT((1-F293)*(Supuestos!$F$9-Supuestos!$D$9)*(Supuestos!$F$9-Supuestos!$E$9))),IF(Supuestos!$C$9="Uniforme",Supuestos!$D$9+F293*(Supuestos!$E$9-Supuestos!$D$9),IF(Supuestos!$C$9="Lognormal",LOGINV(F293,LN(Supuestos!$D$9)-LN(1+Supuestos!$E$9^2/Supuestos!$D$9^2)/2,SQRT(LN(1+Supuestos!$E$9^2/Supuestos!$D$9^2))),Supuestos!$D$9))))))</f>
        <v/>
      </c>
      <c r="N293" s="32">
        <f>MIN(IF(Supuestos!$H$10="",1E+99,Supuestos!$H$10),MAX(IF(Supuestos!$G$10="",-1E+99,Supuestos!$G$10),IF(Supuestos!$C$10="Normal",NORMINV(G293,Supuestos!$D$10,Supuestos!$E$10),IF(Supuestos!$C$10="Triangular",IF(G293&lt;(Supuestos!$E$10-Supuestos!$D$10)/(Supuestos!$F$10-Supuestos!$D$10),Supuestos!$D$10+SQRT(G293*(Supuestos!$F$10-Supuestos!$D$10)*(Supuestos!$E$10-Supuestos!$D$10)),Supuestos!$F$10-SQRT((1-G293)*(Supuestos!$F$10-Supuestos!$D$10)*(Supuestos!$F$10-Supuestos!$E$10))),IF(Supuestos!$C$10="Uniforme",Supuestos!$D$10+G293*(Supuestos!$E$10-Supuestos!$D$10),IF(Supuestos!$C$10="Lognormal",LOGINV(G293,LN(Supuestos!$D$10)-LN(1+Supuestos!$E$10^2/Supuestos!$D$10^2)/2,SQRT(LN(1+Supuestos!$E$10^2/Supuestos!$D$10^2))),Supuestos!$D$10))))))</f>
        <v/>
      </c>
      <c r="O293" s="31">
        <f>MIN(IF(Supuestos!$H$11="",1E+99,Supuestos!$H$11),MAX(IF(Supuestos!$G$11="",-1E+99,Supuestos!$G$11),IF(Supuestos!$C$11="Normal",NORMINV(H293,Supuestos!$D$11,Supuestos!$E$11),IF(Supuestos!$C$11="Triangular",IF(H293&lt;(Supuestos!$E$11-Supuestos!$D$11)/(Supuestos!$F$11-Supuestos!$D$11),Supuestos!$D$11+SQRT(H293*(Supuestos!$F$11-Supuestos!$D$11)*(Supuestos!$E$11-Supuestos!$D$11)),Supuestos!$F$11-SQRT((1-H293)*(Supuestos!$F$11-Supuestos!$D$11)*(Supuestos!$F$11-Supuestos!$E$11))),IF(Supuestos!$C$11="Uniforme",Supuestos!$D$11+H293*(Supuestos!$E$11-Supuestos!$D$11),IF(Supuestos!$C$11="Lognormal",LOGINV(H293,LN(Supuestos!$D$11)-LN(1+Supuestos!$E$11^2/Supuestos!$D$11^2)/2,SQRT(LN(1+Supuestos!$E$11^2/Supuestos!$D$11^2))),Supuestos!$D$11))))))</f>
        <v/>
      </c>
      <c r="P293" s="33">
        <f>-I293</f>
        <v/>
      </c>
      <c r="Q293" s="33">
        <f>$J293*(1+$K293)^(1-1)*(1-$L293)*(1-$M293)</f>
        <v/>
      </c>
      <c r="R293" s="33">
        <f>$J293*(1+$K293)^(2-1)*(1-$L293)*(1-$M293)</f>
        <v/>
      </c>
      <c r="S293" s="33">
        <f>$J293*(1+$K293)^(3-1)*(1-$L293)*(1-$M293)</f>
        <v/>
      </c>
      <c r="T293" s="33">
        <f>$J293*(1+$K293)^(4-1)*(1-$L293)*(1-$M293)</f>
        <v/>
      </c>
      <c r="U293" s="33">
        <f>$J293*(1+$K293)^(5-1)*(1-$L293)*(1-$M293)+$O293</f>
        <v/>
      </c>
      <c r="V293" s="33">
        <f>P293+NPV($N293,Q293:U293)</f>
        <v/>
      </c>
      <c r="W293" s="32">
        <f>IFERROR(IRR(P293:U293,0.1),"")</f>
        <v/>
      </c>
    </row>
    <row r="294">
      <c r="A294" s="14" t="n">
        <v>290</v>
      </c>
      <c r="B294" s="30">
        <f>RAND()*(1-2E-6)+1E-6</f>
        <v/>
      </c>
      <c r="C294" s="30">
        <f>RAND()*(1-2E-6)+1E-6</f>
        <v/>
      </c>
      <c r="D294" s="30">
        <f>RAND()*(1-2E-6)+1E-6</f>
        <v/>
      </c>
      <c r="E294" s="30">
        <f>RAND()*(1-2E-6)+1E-6</f>
        <v/>
      </c>
      <c r="F294" s="30">
        <f>RAND()*(1-2E-6)+1E-6</f>
        <v/>
      </c>
      <c r="G294" s="30">
        <f>RAND()*(1-2E-6)+1E-6</f>
        <v/>
      </c>
      <c r="H294" s="30">
        <f>RAND()*(1-2E-6)+1E-6</f>
        <v/>
      </c>
      <c r="I294" s="31">
        <f>MIN(IF(Supuestos!$H$5="",1E+99,Supuestos!$H$5),MAX(IF(Supuestos!$G$5="",-1E+99,Supuestos!$G$5),IF(Supuestos!$C$5="Normal",NORMINV(B294,Supuestos!$D$5,Supuestos!$E$5),IF(Supuestos!$C$5="Triangular",IF(B294&lt;(Supuestos!$E$5-Supuestos!$D$5)/(Supuestos!$F$5-Supuestos!$D$5),Supuestos!$D$5+SQRT(B294*(Supuestos!$F$5-Supuestos!$D$5)*(Supuestos!$E$5-Supuestos!$D$5)),Supuestos!$F$5-SQRT((1-B294)*(Supuestos!$F$5-Supuestos!$D$5)*(Supuestos!$F$5-Supuestos!$E$5))),IF(Supuestos!$C$5="Uniforme",Supuestos!$D$5+B294*(Supuestos!$E$5-Supuestos!$D$5),IF(Supuestos!$C$5="Lognormal",LOGINV(B294,LN(Supuestos!$D$5)-LN(1+Supuestos!$E$5^2/Supuestos!$D$5^2)/2,SQRT(LN(1+Supuestos!$E$5^2/Supuestos!$D$5^2))),Supuestos!$D$5))))))</f>
        <v/>
      </c>
      <c r="J294" s="31">
        <f>MIN(IF(Supuestos!$H$6="",1E+99,Supuestos!$H$6),MAX(IF(Supuestos!$G$6="",-1E+99,Supuestos!$G$6),IF(Supuestos!$C$6="Normal",NORMINV(C294,Supuestos!$D$6,Supuestos!$E$6),IF(Supuestos!$C$6="Triangular",IF(C294&lt;(Supuestos!$E$6-Supuestos!$D$6)/(Supuestos!$F$6-Supuestos!$D$6),Supuestos!$D$6+SQRT(C294*(Supuestos!$F$6-Supuestos!$D$6)*(Supuestos!$E$6-Supuestos!$D$6)),Supuestos!$F$6-SQRT((1-C294)*(Supuestos!$F$6-Supuestos!$D$6)*(Supuestos!$F$6-Supuestos!$E$6))),IF(Supuestos!$C$6="Uniforme",Supuestos!$D$6+C294*(Supuestos!$E$6-Supuestos!$D$6),IF(Supuestos!$C$6="Lognormal",LOGINV(C294,LN(Supuestos!$D$6)-LN(1+Supuestos!$E$6^2/Supuestos!$D$6^2)/2,SQRT(LN(1+Supuestos!$E$6^2/Supuestos!$D$6^2))),Supuestos!$D$6))))))</f>
        <v/>
      </c>
      <c r="K294" s="32">
        <f>MIN(IF(Supuestos!$H$7="",1E+99,Supuestos!$H$7),MAX(IF(Supuestos!$G$7="",-1E+99,Supuestos!$G$7),IF(Supuestos!$C$7="Normal",NORMINV(D294,Supuestos!$D$7,Supuestos!$E$7),IF(Supuestos!$C$7="Triangular",IF(D294&lt;(Supuestos!$E$7-Supuestos!$D$7)/(Supuestos!$F$7-Supuestos!$D$7),Supuestos!$D$7+SQRT(D294*(Supuestos!$F$7-Supuestos!$D$7)*(Supuestos!$E$7-Supuestos!$D$7)),Supuestos!$F$7-SQRT((1-D294)*(Supuestos!$F$7-Supuestos!$D$7)*(Supuestos!$F$7-Supuestos!$E$7))),IF(Supuestos!$C$7="Uniforme",Supuestos!$D$7+D294*(Supuestos!$E$7-Supuestos!$D$7),IF(Supuestos!$C$7="Lognormal",LOGINV(D294,LN(Supuestos!$D$7)-LN(1+Supuestos!$E$7^2/Supuestos!$D$7^2)/2,SQRT(LN(1+Supuestos!$E$7^2/Supuestos!$D$7^2))),Supuestos!$D$7))))))</f>
        <v/>
      </c>
      <c r="L294" s="32">
        <f>MIN(IF(Supuestos!$H$8="",1E+99,Supuestos!$H$8),MAX(IF(Supuestos!$G$8="",-1E+99,Supuestos!$G$8),IF(Supuestos!$C$8="Normal",NORMINV(E294,Supuestos!$D$8,Supuestos!$E$8),IF(Supuestos!$C$8="Triangular",IF(E294&lt;(Supuestos!$E$8-Supuestos!$D$8)/(Supuestos!$F$8-Supuestos!$D$8),Supuestos!$D$8+SQRT(E294*(Supuestos!$F$8-Supuestos!$D$8)*(Supuestos!$E$8-Supuestos!$D$8)),Supuestos!$F$8-SQRT((1-E294)*(Supuestos!$F$8-Supuestos!$D$8)*(Supuestos!$F$8-Supuestos!$E$8))),IF(Supuestos!$C$8="Uniforme",Supuestos!$D$8+E294*(Supuestos!$E$8-Supuestos!$D$8),IF(Supuestos!$C$8="Lognormal",LOGINV(E294,LN(Supuestos!$D$8)-LN(1+Supuestos!$E$8^2/Supuestos!$D$8^2)/2,SQRT(LN(1+Supuestos!$E$8^2/Supuestos!$D$8^2))),Supuestos!$D$8))))))</f>
        <v/>
      </c>
      <c r="M294" s="32">
        <f>MIN(IF(Supuestos!$H$9="",1E+99,Supuestos!$H$9),MAX(IF(Supuestos!$G$9="",-1E+99,Supuestos!$G$9),IF(Supuestos!$C$9="Normal",NORMINV(F294,Supuestos!$D$9,Supuestos!$E$9),IF(Supuestos!$C$9="Triangular",IF(F294&lt;(Supuestos!$E$9-Supuestos!$D$9)/(Supuestos!$F$9-Supuestos!$D$9),Supuestos!$D$9+SQRT(F294*(Supuestos!$F$9-Supuestos!$D$9)*(Supuestos!$E$9-Supuestos!$D$9)),Supuestos!$F$9-SQRT((1-F294)*(Supuestos!$F$9-Supuestos!$D$9)*(Supuestos!$F$9-Supuestos!$E$9))),IF(Supuestos!$C$9="Uniforme",Supuestos!$D$9+F294*(Supuestos!$E$9-Supuestos!$D$9),IF(Supuestos!$C$9="Lognormal",LOGINV(F294,LN(Supuestos!$D$9)-LN(1+Supuestos!$E$9^2/Supuestos!$D$9^2)/2,SQRT(LN(1+Supuestos!$E$9^2/Supuestos!$D$9^2))),Supuestos!$D$9))))))</f>
        <v/>
      </c>
      <c r="N294" s="32">
        <f>MIN(IF(Supuestos!$H$10="",1E+99,Supuestos!$H$10),MAX(IF(Supuestos!$G$10="",-1E+99,Supuestos!$G$10),IF(Supuestos!$C$10="Normal",NORMINV(G294,Supuestos!$D$10,Supuestos!$E$10),IF(Supuestos!$C$10="Triangular",IF(G294&lt;(Supuestos!$E$10-Supuestos!$D$10)/(Supuestos!$F$10-Supuestos!$D$10),Supuestos!$D$10+SQRT(G294*(Supuestos!$F$10-Supuestos!$D$10)*(Supuestos!$E$10-Supuestos!$D$10)),Supuestos!$F$10-SQRT((1-G294)*(Supuestos!$F$10-Supuestos!$D$10)*(Supuestos!$F$10-Supuestos!$E$10))),IF(Supuestos!$C$10="Uniforme",Supuestos!$D$10+G294*(Supuestos!$E$10-Supuestos!$D$10),IF(Supuestos!$C$10="Lognormal",LOGINV(G294,LN(Supuestos!$D$10)-LN(1+Supuestos!$E$10^2/Supuestos!$D$10^2)/2,SQRT(LN(1+Supuestos!$E$10^2/Supuestos!$D$10^2))),Supuestos!$D$10))))))</f>
        <v/>
      </c>
      <c r="O294" s="31">
        <f>MIN(IF(Supuestos!$H$11="",1E+99,Supuestos!$H$11),MAX(IF(Supuestos!$G$11="",-1E+99,Supuestos!$G$11),IF(Supuestos!$C$11="Normal",NORMINV(H294,Supuestos!$D$11,Supuestos!$E$11),IF(Supuestos!$C$11="Triangular",IF(H294&lt;(Supuestos!$E$11-Supuestos!$D$11)/(Supuestos!$F$11-Supuestos!$D$11),Supuestos!$D$11+SQRT(H294*(Supuestos!$F$11-Supuestos!$D$11)*(Supuestos!$E$11-Supuestos!$D$11)),Supuestos!$F$11-SQRT((1-H294)*(Supuestos!$F$11-Supuestos!$D$11)*(Supuestos!$F$11-Supuestos!$E$11))),IF(Supuestos!$C$11="Uniforme",Supuestos!$D$11+H294*(Supuestos!$E$11-Supuestos!$D$11),IF(Supuestos!$C$11="Lognormal",LOGINV(H294,LN(Supuestos!$D$11)-LN(1+Supuestos!$E$11^2/Supuestos!$D$11^2)/2,SQRT(LN(1+Supuestos!$E$11^2/Supuestos!$D$11^2))),Supuestos!$D$11))))))</f>
        <v/>
      </c>
      <c r="P294" s="33">
        <f>-I294</f>
        <v/>
      </c>
      <c r="Q294" s="33">
        <f>$J294*(1+$K294)^(1-1)*(1-$L294)*(1-$M294)</f>
        <v/>
      </c>
      <c r="R294" s="33">
        <f>$J294*(1+$K294)^(2-1)*(1-$L294)*(1-$M294)</f>
        <v/>
      </c>
      <c r="S294" s="33">
        <f>$J294*(1+$K294)^(3-1)*(1-$L294)*(1-$M294)</f>
        <v/>
      </c>
      <c r="T294" s="33">
        <f>$J294*(1+$K294)^(4-1)*(1-$L294)*(1-$M294)</f>
        <v/>
      </c>
      <c r="U294" s="33">
        <f>$J294*(1+$K294)^(5-1)*(1-$L294)*(1-$M294)+$O294</f>
        <v/>
      </c>
      <c r="V294" s="33">
        <f>P294+NPV($N294,Q294:U294)</f>
        <v/>
      </c>
      <c r="W294" s="32">
        <f>IFERROR(IRR(P294:U294,0.1),"")</f>
        <v/>
      </c>
    </row>
    <row r="295">
      <c r="A295" s="14" t="n">
        <v>291</v>
      </c>
      <c r="B295" s="30">
        <f>RAND()*(1-2E-6)+1E-6</f>
        <v/>
      </c>
      <c r="C295" s="30">
        <f>RAND()*(1-2E-6)+1E-6</f>
        <v/>
      </c>
      <c r="D295" s="30">
        <f>RAND()*(1-2E-6)+1E-6</f>
        <v/>
      </c>
      <c r="E295" s="30">
        <f>RAND()*(1-2E-6)+1E-6</f>
        <v/>
      </c>
      <c r="F295" s="30">
        <f>RAND()*(1-2E-6)+1E-6</f>
        <v/>
      </c>
      <c r="G295" s="30">
        <f>RAND()*(1-2E-6)+1E-6</f>
        <v/>
      </c>
      <c r="H295" s="30">
        <f>RAND()*(1-2E-6)+1E-6</f>
        <v/>
      </c>
      <c r="I295" s="31">
        <f>MIN(IF(Supuestos!$H$5="",1E+99,Supuestos!$H$5),MAX(IF(Supuestos!$G$5="",-1E+99,Supuestos!$G$5),IF(Supuestos!$C$5="Normal",NORMINV(B295,Supuestos!$D$5,Supuestos!$E$5),IF(Supuestos!$C$5="Triangular",IF(B295&lt;(Supuestos!$E$5-Supuestos!$D$5)/(Supuestos!$F$5-Supuestos!$D$5),Supuestos!$D$5+SQRT(B295*(Supuestos!$F$5-Supuestos!$D$5)*(Supuestos!$E$5-Supuestos!$D$5)),Supuestos!$F$5-SQRT((1-B295)*(Supuestos!$F$5-Supuestos!$D$5)*(Supuestos!$F$5-Supuestos!$E$5))),IF(Supuestos!$C$5="Uniforme",Supuestos!$D$5+B295*(Supuestos!$E$5-Supuestos!$D$5),IF(Supuestos!$C$5="Lognormal",LOGINV(B295,LN(Supuestos!$D$5)-LN(1+Supuestos!$E$5^2/Supuestos!$D$5^2)/2,SQRT(LN(1+Supuestos!$E$5^2/Supuestos!$D$5^2))),Supuestos!$D$5))))))</f>
        <v/>
      </c>
      <c r="J295" s="31">
        <f>MIN(IF(Supuestos!$H$6="",1E+99,Supuestos!$H$6),MAX(IF(Supuestos!$G$6="",-1E+99,Supuestos!$G$6),IF(Supuestos!$C$6="Normal",NORMINV(C295,Supuestos!$D$6,Supuestos!$E$6),IF(Supuestos!$C$6="Triangular",IF(C295&lt;(Supuestos!$E$6-Supuestos!$D$6)/(Supuestos!$F$6-Supuestos!$D$6),Supuestos!$D$6+SQRT(C295*(Supuestos!$F$6-Supuestos!$D$6)*(Supuestos!$E$6-Supuestos!$D$6)),Supuestos!$F$6-SQRT((1-C295)*(Supuestos!$F$6-Supuestos!$D$6)*(Supuestos!$F$6-Supuestos!$E$6))),IF(Supuestos!$C$6="Uniforme",Supuestos!$D$6+C295*(Supuestos!$E$6-Supuestos!$D$6),IF(Supuestos!$C$6="Lognormal",LOGINV(C295,LN(Supuestos!$D$6)-LN(1+Supuestos!$E$6^2/Supuestos!$D$6^2)/2,SQRT(LN(1+Supuestos!$E$6^2/Supuestos!$D$6^2))),Supuestos!$D$6))))))</f>
        <v/>
      </c>
      <c r="K295" s="32">
        <f>MIN(IF(Supuestos!$H$7="",1E+99,Supuestos!$H$7),MAX(IF(Supuestos!$G$7="",-1E+99,Supuestos!$G$7),IF(Supuestos!$C$7="Normal",NORMINV(D295,Supuestos!$D$7,Supuestos!$E$7),IF(Supuestos!$C$7="Triangular",IF(D295&lt;(Supuestos!$E$7-Supuestos!$D$7)/(Supuestos!$F$7-Supuestos!$D$7),Supuestos!$D$7+SQRT(D295*(Supuestos!$F$7-Supuestos!$D$7)*(Supuestos!$E$7-Supuestos!$D$7)),Supuestos!$F$7-SQRT((1-D295)*(Supuestos!$F$7-Supuestos!$D$7)*(Supuestos!$F$7-Supuestos!$E$7))),IF(Supuestos!$C$7="Uniforme",Supuestos!$D$7+D295*(Supuestos!$E$7-Supuestos!$D$7),IF(Supuestos!$C$7="Lognormal",LOGINV(D295,LN(Supuestos!$D$7)-LN(1+Supuestos!$E$7^2/Supuestos!$D$7^2)/2,SQRT(LN(1+Supuestos!$E$7^2/Supuestos!$D$7^2))),Supuestos!$D$7))))))</f>
        <v/>
      </c>
      <c r="L295" s="32">
        <f>MIN(IF(Supuestos!$H$8="",1E+99,Supuestos!$H$8),MAX(IF(Supuestos!$G$8="",-1E+99,Supuestos!$G$8),IF(Supuestos!$C$8="Normal",NORMINV(E295,Supuestos!$D$8,Supuestos!$E$8),IF(Supuestos!$C$8="Triangular",IF(E295&lt;(Supuestos!$E$8-Supuestos!$D$8)/(Supuestos!$F$8-Supuestos!$D$8),Supuestos!$D$8+SQRT(E295*(Supuestos!$F$8-Supuestos!$D$8)*(Supuestos!$E$8-Supuestos!$D$8)),Supuestos!$F$8-SQRT((1-E295)*(Supuestos!$F$8-Supuestos!$D$8)*(Supuestos!$F$8-Supuestos!$E$8))),IF(Supuestos!$C$8="Uniforme",Supuestos!$D$8+E295*(Supuestos!$E$8-Supuestos!$D$8),IF(Supuestos!$C$8="Lognormal",LOGINV(E295,LN(Supuestos!$D$8)-LN(1+Supuestos!$E$8^2/Supuestos!$D$8^2)/2,SQRT(LN(1+Supuestos!$E$8^2/Supuestos!$D$8^2))),Supuestos!$D$8))))))</f>
        <v/>
      </c>
      <c r="M295" s="32">
        <f>MIN(IF(Supuestos!$H$9="",1E+99,Supuestos!$H$9),MAX(IF(Supuestos!$G$9="",-1E+99,Supuestos!$G$9),IF(Supuestos!$C$9="Normal",NORMINV(F295,Supuestos!$D$9,Supuestos!$E$9),IF(Supuestos!$C$9="Triangular",IF(F295&lt;(Supuestos!$E$9-Supuestos!$D$9)/(Supuestos!$F$9-Supuestos!$D$9),Supuestos!$D$9+SQRT(F295*(Supuestos!$F$9-Supuestos!$D$9)*(Supuestos!$E$9-Supuestos!$D$9)),Supuestos!$F$9-SQRT((1-F295)*(Supuestos!$F$9-Supuestos!$D$9)*(Supuestos!$F$9-Supuestos!$E$9))),IF(Supuestos!$C$9="Uniforme",Supuestos!$D$9+F295*(Supuestos!$E$9-Supuestos!$D$9),IF(Supuestos!$C$9="Lognormal",LOGINV(F295,LN(Supuestos!$D$9)-LN(1+Supuestos!$E$9^2/Supuestos!$D$9^2)/2,SQRT(LN(1+Supuestos!$E$9^2/Supuestos!$D$9^2))),Supuestos!$D$9))))))</f>
        <v/>
      </c>
      <c r="N295" s="32">
        <f>MIN(IF(Supuestos!$H$10="",1E+99,Supuestos!$H$10),MAX(IF(Supuestos!$G$10="",-1E+99,Supuestos!$G$10),IF(Supuestos!$C$10="Normal",NORMINV(G295,Supuestos!$D$10,Supuestos!$E$10),IF(Supuestos!$C$10="Triangular",IF(G295&lt;(Supuestos!$E$10-Supuestos!$D$10)/(Supuestos!$F$10-Supuestos!$D$10),Supuestos!$D$10+SQRT(G295*(Supuestos!$F$10-Supuestos!$D$10)*(Supuestos!$E$10-Supuestos!$D$10)),Supuestos!$F$10-SQRT((1-G295)*(Supuestos!$F$10-Supuestos!$D$10)*(Supuestos!$F$10-Supuestos!$E$10))),IF(Supuestos!$C$10="Uniforme",Supuestos!$D$10+G295*(Supuestos!$E$10-Supuestos!$D$10),IF(Supuestos!$C$10="Lognormal",LOGINV(G295,LN(Supuestos!$D$10)-LN(1+Supuestos!$E$10^2/Supuestos!$D$10^2)/2,SQRT(LN(1+Supuestos!$E$10^2/Supuestos!$D$10^2))),Supuestos!$D$10))))))</f>
        <v/>
      </c>
      <c r="O295" s="31">
        <f>MIN(IF(Supuestos!$H$11="",1E+99,Supuestos!$H$11),MAX(IF(Supuestos!$G$11="",-1E+99,Supuestos!$G$11),IF(Supuestos!$C$11="Normal",NORMINV(H295,Supuestos!$D$11,Supuestos!$E$11),IF(Supuestos!$C$11="Triangular",IF(H295&lt;(Supuestos!$E$11-Supuestos!$D$11)/(Supuestos!$F$11-Supuestos!$D$11),Supuestos!$D$11+SQRT(H295*(Supuestos!$F$11-Supuestos!$D$11)*(Supuestos!$E$11-Supuestos!$D$11)),Supuestos!$F$11-SQRT((1-H295)*(Supuestos!$F$11-Supuestos!$D$11)*(Supuestos!$F$11-Supuestos!$E$11))),IF(Supuestos!$C$11="Uniforme",Supuestos!$D$11+H295*(Supuestos!$E$11-Supuestos!$D$11),IF(Supuestos!$C$11="Lognormal",LOGINV(H295,LN(Supuestos!$D$11)-LN(1+Supuestos!$E$11^2/Supuestos!$D$11^2)/2,SQRT(LN(1+Supuestos!$E$11^2/Supuestos!$D$11^2))),Supuestos!$D$11))))))</f>
        <v/>
      </c>
      <c r="P295" s="33">
        <f>-I295</f>
        <v/>
      </c>
      <c r="Q295" s="33">
        <f>$J295*(1+$K295)^(1-1)*(1-$L295)*(1-$M295)</f>
        <v/>
      </c>
      <c r="R295" s="33">
        <f>$J295*(1+$K295)^(2-1)*(1-$L295)*(1-$M295)</f>
        <v/>
      </c>
      <c r="S295" s="33">
        <f>$J295*(1+$K295)^(3-1)*(1-$L295)*(1-$M295)</f>
        <v/>
      </c>
      <c r="T295" s="33">
        <f>$J295*(1+$K295)^(4-1)*(1-$L295)*(1-$M295)</f>
        <v/>
      </c>
      <c r="U295" s="33">
        <f>$J295*(1+$K295)^(5-1)*(1-$L295)*(1-$M295)+$O295</f>
        <v/>
      </c>
      <c r="V295" s="33">
        <f>P295+NPV($N295,Q295:U295)</f>
        <v/>
      </c>
      <c r="W295" s="32">
        <f>IFERROR(IRR(P295:U295,0.1),"")</f>
        <v/>
      </c>
    </row>
    <row r="296">
      <c r="A296" s="14" t="n">
        <v>292</v>
      </c>
      <c r="B296" s="30">
        <f>RAND()*(1-2E-6)+1E-6</f>
        <v/>
      </c>
      <c r="C296" s="30">
        <f>RAND()*(1-2E-6)+1E-6</f>
        <v/>
      </c>
      <c r="D296" s="30">
        <f>RAND()*(1-2E-6)+1E-6</f>
        <v/>
      </c>
      <c r="E296" s="30">
        <f>RAND()*(1-2E-6)+1E-6</f>
        <v/>
      </c>
      <c r="F296" s="30">
        <f>RAND()*(1-2E-6)+1E-6</f>
        <v/>
      </c>
      <c r="G296" s="30">
        <f>RAND()*(1-2E-6)+1E-6</f>
        <v/>
      </c>
      <c r="H296" s="30">
        <f>RAND()*(1-2E-6)+1E-6</f>
        <v/>
      </c>
      <c r="I296" s="31">
        <f>MIN(IF(Supuestos!$H$5="",1E+99,Supuestos!$H$5),MAX(IF(Supuestos!$G$5="",-1E+99,Supuestos!$G$5),IF(Supuestos!$C$5="Normal",NORMINV(B296,Supuestos!$D$5,Supuestos!$E$5),IF(Supuestos!$C$5="Triangular",IF(B296&lt;(Supuestos!$E$5-Supuestos!$D$5)/(Supuestos!$F$5-Supuestos!$D$5),Supuestos!$D$5+SQRT(B296*(Supuestos!$F$5-Supuestos!$D$5)*(Supuestos!$E$5-Supuestos!$D$5)),Supuestos!$F$5-SQRT((1-B296)*(Supuestos!$F$5-Supuestos!$D$5)*(Supuestos!$F$5-Supuestos!$E$5))),IF(Supuestos!$C$5="Uniforme",Supuestos!$D$5+B296*(Supuestos!$E$5-Supuestos!$D$5),IF(Supuestos!$C$5="Lognormal",LOGINV(B296,LN(Supuestos!$D$5)-LN(1+Supuestos!$E$5^2/Supuestos!$D$5^2)/2,SQRT(LN(1+Supuestos!$E$5^2/Supuestos!$D$5^2))),Supuestos!$D$5))))))</f>
        <v/>
      </c>
      <c r="J296" s="31">
        <f>MIN(IF(Supuestos!$H$6="",1E+99,Supuestos!$H$6),MAX(IF(Supuestos!$G$6="",-1E+99,Supuestos!$G$6),IF(Supuestos!$C$6="Normal",NORMINV(C296,Supuestos!$D$6,Supuestos!$E$6),IF(Supuestos!$C$6="Triangular",IF(C296&lt;(Supuestos!$E$6-Supuestos!$D$6)/(Supuestos!$F$6-Supuestos!$D$6),Supuestos!$D$6+SQRT(C296*(Supuestos!$F$6-Supuestos!$D$6)*(Supuestos!$E$6-Supuestos!$D$6)),Supuestos!$F$6-SQRT((1-C296)*(Supuestos!$F$6-Supuestos!$D$6)*(Supuestos!$F$6-Supuestos!$E$6))),IF(Supuestos!$C$6="Uniforme",Supuestos!$D$6+C296*(Supuestos!$E$6-Supuestos!$D$6),IF(Supuestos!$C$6="Lognormal",LOGINV(C296,LN(Supuestos!$D$6)-LN(1+Supuestos!$E$6^2/Supuestos!$D$6^2)/2,SQRT(LN(1+Supuestos!$E$6^2/Supuestos!$D$6^2))),Supuestos!$D$6))))))</f>
        <v/>
      </c>
      <c r="K296" s="32">
        <f>MIN(IF(Supuestos!$H$7="",1E+99,Supuestos!$H$7),MAX(IF(Supuestos!$G$7="",-1E+99,Supuestos!$G$7),IF(Supuestos!$C$7="Normal",NORMINV(D296,Supuestos!$D$7,Supuestos!$E$7),IF(Supuestos!$C$7="Triangular",IF(D296&lt;(Supuestos!$E$7-Supuestos!$D$7)/(Supuestos!$F$7-Supuestos!$D$7),Supuestos!$D$7+SQRT(D296*(Supuestos!$F$7-Supuestos!$D$7)*(Supuestos!$E$7-Supuestos!$D$7)),Supuestos!$F$7-SQRT((1-D296)*(Supuestos!$F$7-Supuestos!$D$7)*(Supuestos!$F$7-Supuestos!$E$7))),IF(Supuestos!$C$7="Uniforme",Supuestos!$D$7+D296*(Supuestos!$E$7-Supuestos!$D$7),IF(Supuestos!$C$7="Lognormal",LOGINV(D296,LN(Supuestos!$D$7)-LN(1+Supuestos!$E$7^2/Supuestos!$D$7^2)/2,SQRT(LN(1+Supuestos!$E$7^2/Supuestos!$D$7^2))),Supuestos!$D$7))))))</f>
        <v/>
      </c>
      <c r="L296" s="32">
        <f>MIN(IF(Supuestos!$H$8="",1E+99,Supuestos!$H$8),MAX(IF(Supuestos!$G$8="",-1E+99,Supuestos!$G$8),IF(Supuestos!$C$8="Normal",NORMINV(E296,Supuestos!$D$8,Supuestos!$E$8),IF(Supuestos!$C$8="Triangular",IF(E296&lt;(Supuestos!$E$8-Supuestos!$D$8)/(Supuestos!$F$8-Supuestos!$D$8),Supuestos!$D$8+SQRT(E296*(Supuestos!$F$8-Supuestos!$D$8)*(Supuestos!$E$8-Supuestos!$D$8)),Supuestos!$F$8-SQRT((1-E296)*(Supuestos!$F$8-Supuestos!$D$8)*(Supuestos!$F$8-Supuestos!$E$8))),IF(Supuestos!$C$8="Uniforme",Supuestos!$D$8+E296*(Supuestos!$E$8-Supuestos!$D$8),IF(Supuestos!$C$8="Lognormal",LOGINV(E296,LN(Supuestos!$D$8)-LN(1+Supuestos!$E$8^2/Supuestos!$D$8^2)/2,SQRT(LN(1+Supuestos!$E$8^2/Supuestos!$D$8^2))),Supuestos!$D$8))))))</f>
        <v/>
      </c>
      <c r="M296" s="32">
        <f>MIN(IF(Supuestos!$H$9="",1E+99,Supuestos!$H$9),MAX(IF(Supuestos!$G$9="",-1E+99,Supuestos!$G$9),IF(Supuestos!$C$9="Normal",NORMINV(F296,Supuestos!$D$9,Supuestos!$E$9),IF(Supuestos!$C$9="Triangular",IF(F296&lt;(Supuestos!$E$9-Supuestos!$D$9)/(Supuestos!$F$9-Supuestos!$D$9),Supuestos!$D$9+SQRT(F296*(Supuestos!$F$9-Supuestos!$D$9)*(Supuestos!$E$9-Supuestos!$D$9)),Supuestos!$F$9-SQRT((1-F296)*(Supuestos!$F$9-Supuestos!$D$9)*(Supuestos!$F$9-Supuestos!$E$9))),IF(Supuestos!$C$9="Uniforme",Supuestos!$D$9+F296*(Supuestos!$E$9-Supuestos!$D$9),IF(Supuestos!$C$9="Lognormal",LOGINV(F296,LN(Supuestos!$D$9)-LN(1+Supuestos!$E$9^2/Supuestos!$D$9^2)/2,SQRT(LN(1+Supuestos!$E$9^2/Supuestos!$D$9^2))),Supuestos!$D$9))))))</f>
        <v/>
      </c>
      <c r="N296" s="32">
        <f>MIN(IF(Supuestos!$H$10="",1E+99,Supuestos!$H$10),MAX(IF(Supuestos!$G$10="",-1E+99,Supuestos!$G$10),IF(Supuestos!$C$10="Normal",NORMINV(G296,Supuestos!$D$10,Supuestos!$E$10),IF(Supuestos!$C$10="Triangular",IF(G296&lt;(Supuestos!$E$10-Supuestos!$D$10)/(Supuestos!$F$10-Supuestos!$D$10),Supuestos!$D$10+SQRT(G296*(Supuestos!$F$10-Supuestos!$D$10)*(Supuestos!$E$10-Supuestos!$D$10)),Supuestos!$F$10-SQRT((1-G296)*(Supuestos!$F$10-Supuestos!$D$10)*(Supuestos!$F$10-Supuestos!$E$10))),IF(Supuestos!$C$10="Uniforme",Supuestos!$D$10+G296*(Supuestos!$E$10-Supuestos!$D$10),IF(Supuestos!$C$10="Lognormal",LOGINV(G296,LN(Supuestos!$D$10)-LN(1+Supuestos!$E$10^2/Supuestos!$D$10^2)/2,SQRT(LN(1+Supuestos!$E$10^2/Supuestos!$D$10^2))),Supuestos!$D$10))))))</f>
        <v/>
      </c>
      <c r="O296" s="31">
        <f>MIN(IF(Supuestos!$H$11="",1E+99,Supuestos!$H$11),MAX(IF(Supuestos!$G$11="",-1E+99,Supuestos!$G$11),IF(Supuestos!$C$11="Normal",NORMINV(H296,Supuestos!$D$11,Supuestos!$E$11),IF(Supuestos!$C$11="Triangular",IF(H296&lt;(Supuestos!$E$11-Supuestos!$D$11)/(Supuestos!$F$11-Supuestos!$D$11),Supuestos!$D$11+SQRT(H296*(Supuestos!$F$11-Supuestos!$D$11)*(Supuestos!$E$11-Supuestos!$D$11)),Supuestos!$F$11-SQRT((1-H296)*(Supuestos!$F$11-Supuestos!$D$11)*(Supuestos!$F$11-Supuestos!$E$11))),IF(Supuestos!$C$11="Uniforme",Supuestos!$D$11+H296*(Supuestos!$E$11-Supuestos!$D$11),IF(Supuestos!$C$11="Lognormal",LOGINV(H296,LN(Supuestos!$D$11)-LN(1+Supuestos!$E$11^2/Supuestos!$D$11^2)/2,SQRT(LN(1+Supuestos!$E$11^2/Supuestos!$D$11^2))),Supuestos!$D$11))))))</f>
        <v/>
      </c>
      <c r="P296" s="33">
        <f>-I296</f>
        <v/>
      </c>
      <c r="Q296" s="33">
        <f>$J296*(1+$K296)^(1-1)*(1-$L296)*(1-$M296)</f>
        <v/>
      </c>
      <c r="R296" s="33">
        <f>$J296*(1+$K296)^(2-1)*(1-$L296)*(1-$M296)</f>
        <v/>
      </c>
      <c r="S296" s="33">
        <f>$J296*(1+$K296)^(3-1)*(1-$L296)*(1-$M296)</f>
        <v/>
      </c>
      <c r="T296" s="33">
        <f>$J296*(1+$K296)^(4-1)*(1-$L296)*(1-$M296)</f>
        <v/>
      </c>
      <c r="U296" s="33">
        <f>$J296*(1+$K296)^(5-1)*(1-$L296)*(1-$M296)+$O296</f>
        <v/>
      </c>
      <c r="V296" s="33">
        <f>P296+NPV($N296,Q296:U296)</f>
        <v/>
      </c>
      <c r="W296" s="32">
        <f>IFERROR(IRR(P296:U296,0.1),"")</f>
        <v/>
      </c>
    </row>
    <row r="297">
      <c r="A297" s="14" t="n">
        <v>293</v>
      </c>
      <c r="B297" s="30">
        <f>RAND()*(1-2E-6)+1E-6</f>
        <v/>
      </c>
      <c r="C297" s="30">
        <f>RAND()*(1-2E-6)+1E-6</f>
        <v/>
      </c>
      <c r="D297" s="30">
        <f>RAND()*(1-2E-6)+1E-6</f>
        <v/>
      </c>
      <c r="E297" s="30">
        <f>RAND()*(1-2E-6)+1E-6</f>
        <v/>
      </c>
      <c r="F297" s="30">
        <f>RAND()*(1-2E-6)+1E-6</f>
        <v/>
      </c>
      <c r="G297" s="30">
        <f>RAND()*(1-2E-6)+1E-6</f>
        <v/>
      </c>
      <c r="H297" s="30">
        <f>RAND()*(1-2E-6)+1E-6</f>
        <v/>
      </c>
      <c r="I297" s="31">
        <f>MIN(IF(Supuestos!$H$5="",1E+99,Supuestos!$H$5),MAX(IF(Supuestos!$G$5="",-1E+99,Supuestos!$G$5),IF(Supuestos!$C$5="Normal",NORMINV(B297,Supuestos!$D$5,Supuestos!$E$5),IF(Supuestos!$C$5="Triangular",IF(B297&lt;(Supuestos!$E$5-Supuestos!$D$5)/(Supuestos!$F$5-Supuestos!$D$5),Supuestos!$D$5+SQRT(B297*(Supuestos!$F$5-Supuestos!$D$5)*(Supuestos!$E$5-Supuestos!$D$5)),Supuestos!$F$5-SQRT((1-B297)*(Supuestos!$F$5-Supuestos!$D$5)*(Supuestos!$F$5-Supuestos!$E$5))),IF(Supuestos!$C$5="Uniforme",Supuestos!$D$5+B297*(Supuestos!$E$5-Supuestos!$D$5),IF(Supuestos!$C$5="Lognormal",LOGINV(B297,LN(Supuestos!$D$5)-LN(1+Supuestos!$E$5^2/Supuestos!$D$5^2)/2,SQRT(LN(1+Supuestos!$E$5^2/Supuestos!$D$5^2))),Supuestos!$D$5))))))</f>
        <v/>
      </c>
      <c r="J297" s="31">
        <f>MIN(IF(Supuestos!$H$6="",1E+99,Supuestos!$H$6),MAX(IF(Supuestos!$G$6="",-1E+99,Supuestos!$G$6),IF(Supuestos!$C$6="Normal",NORMINV(C297,Supuestos!$D$6,Supuestos!$E$6),IF(Supuestos!$C$6="Triangular",IF(C297&lt;(Supuestos!$E$6-Supuestos!$D$6)/(Supuestos!$F$6-Supuestos!$D$6),Supuestos!$D$6+SQRT(C297*(Supuestos!$F$6-Supuestos!$D$6)*(Supuestos!$E$6-Supuestos!$D$6)),Supuestos!$F$6-SQRT((1-C297)*(Supuestos!$F$6-Supuestos!$D$6)*(Supuestos!$F$6-Supuestos!$E$6))),IF(Supuestos!$C$6="Uniforme",Supuestos!$D$6+C297*(Supuestos!$E$6-Supuestos!$D$6),IF(Supuestos!$C$6="Lognormal",LOGINV(C297,LN(Supuestos!$D$6)-LN(1+Supuestos!$E$6^2/Supuestos!$D$6^2)/2,SQRT(LN(1+Supuestos!$E$6^2/Supuestos!$D$6^2))),Supuestos!$D$6))))))</f>
        <v/>
      </c>
      <c r="K297" s="32">
        <f>MIN(IF(Supuestos!$H$7="",1E+99,Supuestos!$H$7),MAX(IF(Supuestos!$G$7="",-1E+99,Supuestos!$G$7),IF(Supuestos!$C$7="Normal",NORMINV(D297,Supuestos!$D$7,Supuestos!$E$7),IF(Supuestos!$C$7="Triangular",IF(D297&lt;(Supuestos!$E$7-Supuestos!$D$7)/(Supuestos!$F$7-Supuestos!$D$7),Supuestos!$D$7+SQRT(D297*(Supuestos!$F$7-Supuestos!$D$7)*(Supuestos!$E$7-Supuestos!$D$7)),Supuestos!$F$7-SQRT((1-D297)*(Supuestos!$F$7-Supuestos!$D$7)*(Supuestos!$F$7-Supuestos!$E$7))),IF(Supuestos!$C$7="Uniforme",Supuestos!$D$7+D297*(Supuestos!$E$7-Supuestos!$D$7),IF(Supuestos!$C$7="Lognormal",LOGINV(D297,LN(Supuestos!$D$7)-LN(1+Supuestos!$E$7^2/Supuestos!$D$7^2)/2,SQRT(LN(1+Supuestos!$E$7^2/Supuestos!$D$7^2))),Supuestos!$D$7))))))</f>
        <v/>
      </c>
      <c r="L297" s="32">
        <f>MIN(IF(Supuestos!$H$8="",1E+99,Supuestos!$H$8),MAX(IF(Supuestos!$G$8="",-1E+99,Supuestos!$G$8),IF(Supuestos!$C$8="Normal",NORMINV(E297,Supuestos!$D$8,Supuestos!$E$8),IF(Supuestos!$C$8="Triangular",IF(E297&lt;(Supuestos!$E$8-Supuestos!$D$8)/(Supuestos!$F$8-Supuestos!$D$8),Supuestos!$D$8+SQRT(E297*(Supuestos!$F$8-Supuestos!$D$8)*(Supuestos!$E$8-Supuestos!$D$8)),Supuestos!$F$8-SQRT((1-E297)*(Supuestos!$F$8-Supuestos!$D$8)*(Supuestos!$F$8-Supuestos!$E$8))),IF(Supuestos!$C$8="Uniforme",Supuestos!$D$8+E297*(Supuestos!$E$8-Supuestos!$D$8),IF(Supuestos!$C$8="Lognormal",LOGINV(E297,LN(Supuestos!$D$8)-LN(1+Supuestos!$E$8^2/Supuestos!$D$8^2)/2,SQRT(LN(1+Supuestos!$E$8^2/Supuestos!$D$8^2))),Supuestos!$D$8))))))</f>
        <v/>
      </c>
      <c r="M297" s="32">
        <f>MIN(IF(Supuestos!$H$9="",1E+99,Supuestos!$H$9),MAX(IF(Supuestos!$G$9="",-1E+99,Supuestos!$G$9),IF(Supuestos!$C$9="Normal",NORMINV(F297,Supuestos!$D$9,Supuestos!$E$9),IF(Supuestos!$C$9="Triangular",IF(F297&lt;(Supuestos!$E$9-Supuestos!$D$9)/(Supuestos!$F$9-Supuestos!$D$9),Supuestos!$D$9+SQRT(F297*(Supuestos!$F$9-Supuestos!$D$9)*(Supuestos!$E$9-Supuestos!$D$9)),Supuestos!$F$9-SQRT((1-F297)*(Supuestos!$F$9-Supuestos!$D$9)*(Supuestos!$F$9-Supuestos!$E$9))),IF(Supuestos!$C$9="Uniforme",Supuestos!$D$9+F297*(Supuestos!$E$9-Supuestos!$D$9),IF(Supuestos!$C$9="Lognormal",LOGINV(F297,LN(Supuestos!$D$9)-LN(1+Supuestos!$E$9^2/Supuestos!$D$9^2)/2,SQRT(LN(1+Supuestos!$E$9^2/Supuestos!$D$9^2))),Supuestos!$D$9))))))</f>
        <v/>
      </c>
      <c r="N297" s="32">
        <f>MIN(IF(Supuestos!$H$10="",1E+99,Supuestos!$H$10),MAX(IF(Supuestos!$G$10="",-1E+99,Supuestos!$G$10),IF(Supuestos!$C$10="Normal",NORMINV(G297,Supuestos!$D$10,Supuestos!$E$10),IF(Supuestos!$C$10="Triangular",IF(G297&lt;(Supuestos!$E$10-Supuestos!$D$10)/(Supuestos!$F$10-Supuestos!$D$10),Supuestos!$D$10+SQRT(G297*(Supuestos!$F$10-Supuestos!$D$10)*(Supuestos!$E$10-Supuestos!$D$10)),Supuestos!$F$10-SQRT((1-G297)*(Supuestos!$F$10-Supuestos!$D$10)*(Supuestos!$F$10-Supuestos!$E$10))),IF(Supuestos!$C$10="Uniforme",Supuestos!$D$10+G297*(Supuestos!$E$10-Supuestos!$D$10),IF(Supuestos!$C$10="Lognormal",LOGINV(G297,LN(Supuestos!$D$10)-LN(1+Supuestos!$E$10^2/Supuestos!$D$10^2)/2,SQRT(LN(1+Supuestos!$E$10^2/Supuestos!$D$10^2))),Supuestos!$D$10))))))</f>
        <v/>
      </c>
      <c r="O297" s="31">
        <f>MIN(IF(Supuestos!$H$11="",1E+99,Supuestos!$H$11),MAX(IF(Supuestos!$G$11="",-1E+99,Supuestos!$G$11),IF(Supuestos!$C$11="Normal",NORMINV(H297,Supuestos!$D$11,Supuestos!$E$11),IF(Supuestos!$C$11="Triangular",IF(H297&lt;(Supuestos!$E$11-Supuestos!$D$11)/(Supuestos!$F$11-Supuestos!$D$11),Supuestos!$D$11+SQRT(H297*(Supuestos!$F$11-Supuestos!$D$11)*(Supuestos!$E$11-Supuestos!$D$11)),Supuestos!$F$11-SQRT((1-H297)*(Supuestos!$F$11-Supuestos!$D$11)*(Supuestos!$F$11-Supuestos!$E$11))),IF(Supuestos!$C$11="Uniforme",Supuestos!$D$11+H297*(Supuestos!$E$11-Supuestos!$D$11),IF(Supuestos!$C$11="Lognormal",LOGINV(H297,LN(Supuestos!$D$11)-LN(1+Supuestos!$E$11^2/Supuestos!$D$11^2)/2,SQRT(LN(1+Supuestos!$E$11^2/Supuestos!$D$11^2))),Supuestos!$D$11))))))</f>
        <v/>
      </c>
      <c r="P297" s="33">
        <f>-I297</f>
        <v/>
      </c>
      <c r="Q297" s="33">
        <f>$J297*(1+$K297)^(1-1)*(1-$L297)*(1-$M297)</f>
        <v/>
      </c>
      <c r="R297" s="33">
        <f>$J297*(1+$K297)^(2-1)*(1-$L297)*(1-$M297)</f>
        <v/>
      </c>
      <c r="S297" s="33">
        <f>$J297*(1+$K297)^(3-1)*(1-$L297)*(1-$M297)</f>
        <v/>
      </c>
      <c r="T297" s="33">
        <f>$J297*(1+$K297)^(4-1)*(1-$L297)*(1-$M297)</f>
        <v/>
      </c>
      <c r="U297" s="33">
        <f>$J297*(1+$K297)^(5-1)*(1-$L297)*(1-$M297)+$O297</f>
        <v/>
      </c>
      <c r="V297" s="33">
        <f>P297+NPV($N297,Q297:U297)</f>
        <v/>
      </c>
      <c r="W297" s="32">
        <f>IFERROR(IRR(P297:U297,0.1),"")</f>
        <v/>
      </c>
    </row>
    <row r="298">
      <c r="A298" s="14" t="n">
        <v>294</v>
      </c>
      <c r="B298" s="30">
        <f>RAND()*(1-2E-6)+1E-6</f>
        <v/>
      </c>
      <c r="C298" s="30">
        <f>RAND()*(1-2E-6)+1E-6</f>
        <v/>
      </c>
      <c r="D298" s="30">
        <f>RAND()*(1-2E-6)+1E-6</f>
        <v/>
      </c>
      <c r="E298" s="30">
        <f>RAND()*(1-2E-6)+1E-6</f>
        <v/>
      </c>
      <c r="F298" s="30">
        <f>RAND()*(1-2E-6)+1E-6</f>
        <v/>
      </c>
      <c r="G298" s="30">
        <f>RAND()*(1-2E-6)+1E-6</f>
        <v/>
      </c>
      <c r="H298" s="30">
        <f>RAND()*(1-2E-6)+1E-6</f>
        <v/>
      </c>
      <c r="I298" s="31">
        <f>MIN(IF(Supuestos!$H$5="",1E+99,Supuestos!$H$5),MAX(IF(Supuestos!$G$5="",-1E+99,Supuestos!$G$5),IF(Supuestos!$C$5="Normal",NORMINV(B298,Supuestos!$D$5,Supuestos!$E$5),IF(Supuestos!$C$5="Triangular",IF(B298&lt;(Supuestos!$E$5-Supuestos!$D$5)/(Supuestos!$F$5-Supuestos!$D$5),Supuestos!$D$5+SQRT(B298*(Supuestos!$F$5-Supuestos!$D$5)*(Supuestos!$E$5-Supuestos!$D$5)),Supuestos!$F$5-SQRT((1-B298)*(Supuestos!$F$5-Supuestos!$D$5)*(Supuestos!$F$5-Supuestos!$E$5))),IF(Supuestos!$C$5="Uniforme",Supuestos!$D$5+B298*(Supuestos!$E$5-Supuestos!$D$5),IF(Supuestos!$C$5="Lognormal",LOGINV(B298,LN(Supuestos!$D$5)-LN(1+Supuestos!$E$5^2/Supuestos!$D$5^2)/2,SQRT(LN(1+Supuestos!$E$5^2/Supuestos!$D$5^2))),Supuestos!$D$5))))))</f>
        <v/>
      </c>
      <c r="J298" s="31">
        <f>MIN(IF(Supuestos!$H$6="",1E+99,Supuestos!$H$6),MAX(IF(Supuestos!$G$6="",-1E+99,Supuestos!$G$6),IF(Supuestos!$C$6="Normal",NORMINV(C298,Supuestos!$D$6,Supuestos!$E$6),IF(Supuestos!$C$6="Triangular",IF(C298&lt;(Supuestos!$E$6-Supuestos!$D$6)/(Supuestos!$F$6-Supuestos!$D$6),Supuestos!$D$6+SQRT(C298*(Supuestos!$F$6-Supuestos!$D$6)*(Supuestos!$E$6-Supuestos!$D$6)),Supuestos!$F$6-SQRT((1-C298)*(Supuestos!$F$6-Supuestos!$D$6)*(Supuestos!$F$6-Supuestos!$E$6))),IF(Supuestos!$C$6="Uniforme",Supuestos!$D$6+C298*(Supuestos!$E$6-Supuestos!$D$6),IF(Supuestos!$C$6="Lognormal",LOGINV(C298,LN(Supuestos!$D$6)-LN(1+Supuestos!$E$6^2/Supuestos!$D$6^2)/2,SQRT(LN(1+Supuestos!$E$6^2/Supuestos!$D$6^2))),Supuestos!$D$6))))))</f>
        <v/>
      </c>
      <c r="K298" s="32">
        <f>MIN(IF(Supuestos!$H$7="",1E+99,Supuestos!$H$7),MAX(IF(Supuestos!$G$7="",-1E+99,Supuestos!$G$7),IF(Supuestos!$C$7="Normal",NORMINV(D298,Supuestos!$D$7,Supuestos!$E$7),IF(Supuestos!$C$7="Triangular",IF(D298&lt;(Supuestos!$E$7-Supuestos!$D$7)/(Supuestos!$F$7-Supuestos!$D$7),Supuestos!$D$7+SQRT(D298*(Supuestos!$F$7-Supuestos!$D$7)*(Supuestos!$E$7-Supuestos!$D$7)),Supuestos!$F$7-SQRT((1-D298)*(Supuestos!$F$7-Supuestos!$D$7)*(Supuestos!$F$7-Supuestos!$E$7))),IF(Supuestos!$C$7="Uniforme",Supuestos!$D$7+D298*(Supuestos!$E$7-Supuestos!$D$7),IF(Supuestos!$C$7="Lognormal",LOGINV(D298,LN(Supuestos!$D$7)-LN(1+Supuestos!$E$7^2/Supuestos!$D$7^2)/2,SQRT(LN(1+Supuestos!$E$7^2/Supuestos!$D$7^2))),Supuestos!$D$7))))))</f>
        <v/>
      </c>
      <c r="L298" s="32">
        <f>MIN(IF(Supuestos!$H$8="",1E+99,Supuestos!$H$8),MAX(IF(Supuestos!$G$8="",-1E+99,Supuestos!$G$8),IF(Supuestos!$C$8="Normal",NORMINV(E298,Supuestos!$D$8,Supuestos!$E$8),IF(Supuestos!$C$8="Triangular",IF(E298&lt;(Supuestos!$E$8-Supuestos!$D$8)/(Supuestos!$F$8-Supuestos!$D$8),Supuestos!$D$8+SQRT(E298*(Supuestos!$F$8-Supuestos!$D$8)*(Supuestos!$E$8-Supuestos!$D$8)),Supuestos!$F$8-SQRT((1-E298)*(Supuestos!$F$8-Supuestos!$D$8)*(Supuestos!$F$8-Supuestos!$E$8))),IF(Supuestos!$C$8="Uniforme",Supuestos!$D$8+E298*(Supuestos!$E$8-Supuestos!$D$8),IF(Supuestos!$C$8="Lognormal",LOGINV(E298,LN(Supuestos!$D$8)-LN(1+Supuestos!$E$8^2/Supuestos!$D$8^2)/2,SQRT(LN(1+Supuestos!$E$8^2/Supuestos!$D$8^2))),Supuestos!$D$8))))))</f>
        <v/>
      </c>
      <c r="M298" s="32">
        <f>MIN(IF(Supuestos!$H$9="",1E+99,Supuestos!$H$9),MAX(IF(Supuestos!$G$9="",-1E+99,Supuestos!$G$9),IF(Supuestos!$C$9="Normal",NORMINV(F298,Supuestos!$D$9,Supuestos!$E$9),IF(Supuestos!$C$9="Triangular",IF(F298&lt;(Supuestos!$E$9-Supuestos!$D$9)/(Supuestos!$F$9-Supuestos!$D$9),Supuestos!$D$9+SQRT(F298*(Supuestos!$F$9-Supuestos!$D$9)*(Supuestos!$E$9-Supuestos!$D$9)),Supuestos!$F$9-SQRT((1-F298)*(Supuestos!$F$9-Supuestos!$D$9)*(Supuestos!$F$9-Supuestos!$E$9))),IF(Supuestos!$C$9="Uniforme",Supuestos!$D$9+F298*(Supuestos!$E$9-Supuestos!$D$9),IF(Supuestos!$C$9="Lognormal",LOGINV(F298,LN(Supuestos!$D$9)-LN(1+Supuestos!$E$9^2/Supuestos!$D$9^2)/2,SQRT(LN(1+Supuestos!$E$9^2/Supuestos!$D$9^2))),Supuestos!$D$9))))))</f>
        <v/>
      </c>
      <c r="N298" s="32">
        <f>MIN(IF(Supuestos!$H$10="",1E+99,Supuestos!$H$10),MAX(IF(Supuestos!$G$10="",-1E+99,Supuestos!$G$10),IF(Supuestos!$C$10="Normal",NORMINV(G298,Supuestos!$D$10,Supuestos!$E$10),IF(Supuestos!$C$10="Triangular",IF(G298&lt;(Supuestos!$E$10-Supuestos!$D$10)/(Supuestos!$F$10-Supuestos!$D$10),Supuestos!$D$10+SQRT(G298*(Supuestos!$F$10-Supuestos!$D$10)*(Supuestos!$E$10-Supuestos!$D$10)),Supuestos!$F$10-SQRT((1-G298)*(Supuestos!$F$10-Supuestos!$D$10)*(Supuestos!$F$10-Supuestos!$E$10))),IF(Supuestos!$C$10="Uniforme",Supuestos!$D$10+G298*(Supuestos!$E$10-Supuestos!$D$10),IF(Supuestos!$C$10="Lognormal",LOGINV(G298,LN(Supuestos!$D$10)-LN(1+Supuestos!$E$10^2/Supuestos!$D$10^2)/2,SQRT(LN(1+Supuestos!$E$10^2/Supuestos!$D$10^2))),Supuestos!$D$10))))))</f>
        <v/>
      </c>
      <c r="O298" s="31">
        <f>MIN(IF(Supuestos!$H$11="",1E+99,Supuestos!$H$11),MAX(IF(Supuestos!$G$11="",-1E+99,Supuestos!$G$11),IF(Supuestos!$C$11="Normal",NORMINV(H298,Supuestos!$D$11,Supuestos!$E$11),IF(Supuestos!$C$11="Triangular",IF(H298&lt;(Supuestos!$E$11-Supuestos!$D$11)/(Supuestos!$F$11-Supuestos!$D$11),Supuestos!$D$11+SQRT(H298*(Supuestos!$F$11-Supuestos!$D$11)*(Supuestos!$E$11-Supuestos!$D$11)),Supuestos!$F$11-SQRT((1-H298)*(Supuestos!$F$11-Supuestos!$D$11)*(Supuestos!$F$11-Supuestos!$E$11))),IF(Supuestos!$C$11="Uniforme",Supuestos!$D$11+H298*(Supuestos!$E$11-Supuestos!$D$11),IF(Supuestos!$C$11="Lognormal",LOGINV(H298,LN(Supuestos!$D$11)-LN(1+Supuestos!$E$11^2/Supuestos!$D$11^2)/2,SQRT(LN(1+Supuestos!$E$11^2/Supuestos!$D$11^2))),Supuestos!$D$11))))))</f>
        <v/>
      </c>
      <c r="P298" s="33">
        <f>-I298</f>
        <v/>
      </c>
      <c r="Q298" s="33">
        <f>$J298*(1+$K298)^(1-1)*(1-$L298)*(1-$M298)</f>
        <v/>
      </c>
      <c r="R298" s="33">
        <f>$J298*(1+$K298)^(2-1)*(1-$L298)*(1-$M298)</f>
        <v/>
      </c>
      <c r="S298" s="33">
        <f>$J298*(1+$K298)^(3-1)*(1-$L298)*(1-$M298)</f>
        <v/>
      </c>
      <c r="T298" s="33">
        <f>$J298*(1+$K298)^(4-1)*(1-$L298)*(1-$M298)</f>
        <v/>
      </c>
      <c r="U298" s="33">
        <f>$J298*(1+$K298)^(5-1)*(1-$L298)*(1-$M298)+$O298</f>
        <v/>
      </c>
      <c r="V298" s="33">
        <f>P298+NPV($N298,Q298:U298)</f>
        <v/>
      </c>
      <c r="W298" s="32">
        <f>IFERROR(IRR(P298:U298,0.1),"")</f>
        <v/>
      </c>
    </row>
    <row r="299">
      <c r="A299" s="14" t="n">
        <v>295</v>
      </c>
      <c r="B299" s="30">
        <f>RAND()*(1-2E-6)+1E-6</f>
        <v/>
      </c>
      <c r="C299" s="30">
        <f>RAND()*(1-2E-6)+1E-6</f>
        <v/>
      </c>
      <c r="D299" s="30">
        <f>RAND()*(1-2E-6)+1E-6</f>
        <v/>
      </c>
      <c r="E299" s="30">
        <f>RAND()*(1-2E-6)+1E-6</f>
        <v/>
      </c>
      <c r="F299" s="30">
        <f>RAND()*(1-2E-6)+1E-6</f>
        <v/>
      </c>
      <c r="G299" s="30">
        <f>RAND()*(1-2E-6)+1E-6</f>
        <v/>
      </c>
      <c r="H299" s="30">
        <f>RAND()*(1-2E-6)+1E-6</f>
        <v/>
      </c>
      <c r="I299" s="31">
        <f>MIN(IF(Supuestos!$H$5="",1E+99,Supuestos!$H$5),MAX(IF(Supuestos!$G$5="",-1E+99,Supuestos!$G$5),IF(Supuestos!$C$5="Normal",NORMINV(B299,Supuestos!$D$5,Supuestos!$E$5),IF(Supuestos!$C$5="Triangular",IF(B299&lt;(Supuestos!$E$5-Supuestos!$D$5)/(Supuestos!$F$5-Supuestos!$D$5),Supuestos!$D$5+SQRT(B299*(Supuestos!$F$5-Supuestos!$D$5)*(Supuestos!$E$5-Supuestos!$D$5)),Supuestos!$F$5-SQRT((1-B299)*(Supuestos!$F$5-Supuestos!$D$5)*(Supuestos!$F$5-Supuestos!$E$5))),IF(Supuestos!$C$5="Uniforme",Supuestos!$D$5+B299*(Supuestos!$E$5-Supuestos!$D$5),IF(Supuestos!$C$5="Lognormal",LOGINV(B299,LN(Supuestos!$D$5)-LN(1+Supuestos!$E$5^2/Supuestos!$D$5^2)/2,SQRT(LN(1+Supuestos!$E$5^2/Supuestos!$D$5^2))),Supuestos!$D$5))))))</f>
        <v/>
      </c>
      <c r="J299" s="31">
        <f>MIN(IF(Supuestos!$H$6="",1E+99,Supuestos!$H$6),MAX(IF(Supuestos!$G$6="",-1E+99,Supuestos!$G$6),IF(Supuestos!$C$6="Normal",NORMINV(C299,Supuestos!$D$6,Supuestos!$E$6),IF(Supuestos!$C$6="Triangular",IF(C299&lt;(Supuestos!$E$6-Supuestos!$D$6)/(Supuestos!$F$6-Supuestos!$D$6),Supuestos!$D$6+SQRT(C299*(Supuestos!$F$6-Supuestos!$D$6)*(Supuestos!$E$6-Supuestos!$D$6)),Supuestos!$F$6-SQRT((1-C299)*(Supuestos!$F$6-Supuestos!$D$6)*(Supuestos!$F$6-Supuestos!$E$6))),IF(Supuestos!$C$6="Uniforme",Supuestos!$D$6+C299*(Supuestos!$E$6-Supuestos!$D$6),IF(Supuestos!$C$6="Lognormal",LOGINV(C299,LN(Supuestos!$D$6)-LN(1+Supuestos!$E$6^2/Supuestos!$D$6^2)/2,SQRT(LN(1+Supuestos!$E$6^2/Supuestos!$D$6^2))),Supuestos!$D$6))))))</f>
        <v/>
      </c>
      <c r="K299" s="32">
        <f>MIN(IF(Supuestos!$H$7="",1E+99,Supuestos!$H$7),MAX(IF(Supuestos!$G$7="",-1E+99,Supuestos!$G$7),IF(Supuestos!$C$7="Normal",NORMINV(D299,Supuestos!$D$7,Supuestos!$E$7),IF(Supuestos!$C$7="Triangular",IF(D299&lt;(Supuestos!$E$7-Supuestos!$D$7)/(Supuestos!$F$7-Supuestos!$D$7),Supuestos!$D$7+SQRT(D299*(Supuestos!$F$7-Supuestos!$D$7)*(Supuestos!$E$7-Supuestos!$D$7)),Supuestos!$F$7-SQRT((1-D299)*(Supuestos!$F$7-Supuestos!$D$7)*(Supuestos!$F$7-Supuestos!$E$7))),IF(Supuestos!$C$7="Uniforme",Supuestos!$D$7+D299*(Supuestos!$E$7-Supuestos!$D$7),IF(Supuestos!$C$7="Lognormal",LOGINV(D299,LN(Supuestos!$D$7)-LN(1+Supuestos!$E$7^2/Supuestos!$D$7^2)/2,SQRT(LN(1+Supuestos!$E$7^2/Supuestos!$D$7^2))),Supuestos!$D$7))))))</f>
        <v/>
      </c>
      <c r="L299" s="32">
        <f>MIN(IF(Supuestos!$H$8="",1E+99,Supuestos!$H$8),MAX(IF(Supuestos!$G$8="",-1E+99,Supuestos!$G$8),IF(Supuestos!$C$8="Normal",NORMINV(E299,Supuestos!$D$8,Supuestos!$E$8),IF(Supuestos!$C$8="Triangular",IF(E299&lt;(Supuestos!$E$8-Supuestos!$D$8)/(Supuestos!$F$8-Supuestos!$D$8),Supuestos!$D$8+SQRT(E299*(Supuestos!$F$8-Supuestos!$D$8)*(Supuestos!$E$8-Supuestos!$D$8)),Supuestos!$F$8-SQRT((1-E299)*(Supuestos!$F$8-Supuestos!$D$8)*(Supuestos!$F$8-Supuestos!$E$8))),IF(Supuestos!$C$8="Uniforme",Supuestos!$D$8+E299*(Supuestos!$E$8-Supuestos!$D$8),IF(Supuestos!$C$8="Lognormal",LOGINV(E299,LN(Supuestos!$D$8)-LN(1+Supuestos!$E$8^2/Supuestos!$D$8^2)/2,SQRT(LN(1+Supuestos!$E$8^2/Supuestos!$D$8^2))),Supuestos!$D$8))))))</f>
        <v/>
      </c>
      <c r="M299" s="32">
        <f>MIN(IF(Supuestos!$H$9="",1E+99,Supuestos!$H$9),MAX(IF(Supuestos!$G$9="",-1E+99,Supuestos!$G$9),IF(Supuestos!$C$9="Normal",NORMINV(F299,Supuestos!$D$9,Supuestos!$E$9),IF(Supuestos!$C$9="Triangular",IF(F299&lt;(Supuestos!$E$9-Supuestos!$D$9)/(Supuestos!$F$9-Supuestos!$D$9),Supuestos!$D$9+SQRT(F299*(Supuestos!$F$9-Supuestos!$D$9)*(Supuestos!$E$9-Supuestos!$D$9)),Supuestos!$F$9-SQRT((1-F299)*(Supuestos!$F$9-Supuestos!$D$9)*(Supuestos!$F$9-Supuestos!$E$9))),IF(Supuestos!$C$9="Uniforme",Supuestos!$D$9+F299*(Supuestos!$E$9-Supuestos!$D$9),IF(Supuestos!$C$9="Lognormal",LOGINV(F299,LN(Supuestos!$D$9)-LN(1+Supuestos!$E$9^2/Supuestos!$D$9^2)/2,SQRT(LN(1+Supuestos!$E$9^2/Supuestos!$D$9^2))),Supuestos!$D$9))))))</f>
        <v/>
      </c>
      <c r="N299" s="32">
        <f>MIN(IF(Supuestos!$H$10="",1E+99,Supuestos!$H$10),MAX(IF(Supuestos!$G$10="",-1E+99,Supuestos!$G$10),IF(Supuestos!$C$10="Normal",NORMINV(G299,Supuestos!$D$10,Supuestos!$E$10),IF(Supuestos!$C$10="Triangular",IF(G299&lt;(Supuestos!$E$10-Supuestos!$D$10)/(Supuestos!$F$10-Supuestos!$D$10),Supuestos!$D$10+SQRT(G299*(Supuestos!$F$10-Supuestos!$D$10)*(Supuestos!$E$10-Supuestos!$D$10)),Supuestos!$F$10-SQRT((1-G299)*(Supuestos!$F$10-Supuestos!$D$10)*(Supuestos!$F$10-Supuestos!$E$10))),IF(Supuestos!$C$10="Uniforme",Supuestos!$D$10+G299*(Supuestos!$E$10-Supuestos!$D$10),IF(Supuestos!$C$10="Lognormal",LOGINV(G299,LN(Supuestos!$D$10)-LN(1+Supuestos!$E$10^2/Supuestos!$D$10^2)/2,SQRT(LN(1+Supuestos!$E$10^2/Supuestos!$D$10^2))),Supuestos!$D$10))))))</f>
        <v/>
      </c>
      <c r="O299" s="31">
        <f>MIN(IF(Supuestos!$H$11="",1E+99,Supuestos!$H$11),MAX(IF(Supuestos!$G$11="",-1E+99,Supuestos!$G$11),IF(Supuestos!$C$11="Normal",NORMINV(H299,Supuestos!$D$11,Supuestos!$E$11),IF(Supuestos!$C$11="Triangular",IF(H299&lt;(Supuestos!$E$11-Supuestos!$D$11)/(Supuestos!$F$11-Supuestos!$D$11),Supuestos!$D$11+SQRT(H299*(Supuestos!$F$11-Supuestos!$D$11)*(Supuestos!$E$11-Supuestos!$D$11)),Supuestos!$F$11-SQRT((1-H299)*(Supuestos!$F$11-Supuestos!$D$11)*(Supuestos!$F$11-Supuestos!$E$11))),IF(Supuestos!$C$11="Uniforme",Supuestos!$D$11+H299*(Supuestos!$E$11-Supuestos!$D$11),IF(Supuestos!$C$11="Lognormal",LOGINV(H299,LN(Supuestos!$D$11)-LN(1+Supuestos!$E$11^2/Supuestos!$D$11^2)/2,SQRT(LN(1+Supuestos!$E$11^2/Supuestos!$D$11^2))),Supuestos!$D$11))))))</f>
        <v/>
      </c>
      <c r="P299" s="33">
        <f>-I299</f>
        <v/>
      </c>
      <c r="Q299" s="33">
        <f>$J299*(1+$K299)^(1-1)*(1-$L299)*(1-$M299)</f>
        <v/>
      </c>
      <c r="R299" s="33">
        <f>$J299*(1+$K299)^(2-1)*(1-$L299)*(1-$M299)</f>
        <v/>
      </c>
      <c r="S299" s="33">
        <f>$J299*(1+$K299)^(3-1)*(1-$L299)*(1-$M299)</f>
        <v/>
      </c>
      <c r="T299" s="33">
        <f>$J299*(1+$K299)^(4-1)*(1-$L299)*(1-$M299)</f>
        <v/>
      </c>
      <c r="U299" s="33">
        <f>$J299*(1+$K299)^(5-1)*(1-$L299)*(1-$M299)+$O299</f>
        <v/>
      </c>
      <c r="V299" s="33">
        <f>P299+NPV($N299,Q299:U299)</f>
        <v/>
      </c>
      <c r="W299" s="32">
        <f>IFERROR(IRR(P299:U299,0.1),"")</f>
        <v/>
      </c>
    </row>
    <row r="300">
      <c r="A300" s="14" t="n">
        <v>296</v>
      </c>
      <c r="B300" s="30">
        <f>RAND()*(1-2E-6)+1E-6</f>
        <v/>
      </c>
      <c r="C300" s="30">
        <f>RAND()*(1-2E-6)+1E-6</f>
        <v/>
      </c>
      <c r="D300" s="30">
        <f>RAND()*(1-2E-6)+1E-6</f>
        <v/>
      </c>
      <c r="E300" s="30">
        <f>RAND()*(1-2E-6)+1E-6</f>
        <v/>
      </c>
      <c r="F300" s="30">
        <f>RAND()*(1-2E-6)+1E-6</f>
        <v/>
      </c>
      <c r="G300" s="30">
        <f>RAND()*(1-2E-6)+1E-6</f>
        <v/>
      </c>
      <c r="H300" s="30">
        <f>RAND()*(1-2E-6)+1E-6</f>
        <v/>
      </c>
      <c r="I300" s="31">
        <f>MIN(IF(Supuestos!$H$5="",1E+99,Supuestos!$H$5),MAX(IF(Supuestos!$G$5="",-1E+99,Supuestos!$G$5),IF(Supuestos!$C$5="Normal",NORMINV(B300,Supuestos!$D$5,Supuestos!$E$5),IF(Supuestos!$C$5="Triangular",IF(B300&lt;(Supuestos!$E$5-Supuestos!$D$5)/(Supuestos!$F$5-Supuestos!$D$5),Supuestos!$D$5+SQRT(B300*(Supuestos!$F$5-Supuestos!$D$5)*(Supuestos!$E$5-Supuestos!$D$5)),Supuestos!$F$5-SQRT((1-B300)*(Supuestos!$F$5-Supuestos!$D$5)*(Supuestos!$F$5-Supuestos!$E$5))),IF(Supuestos!$C$5="Uniforme",Supuestos!$D$5+B300*(Supuestos!$E$5-Supuestos!$D$5),IF(Supuestos!$C$5="Lognormal",LOGINV(B300,LN(Supuestos!$D$5)-LN(1+Supuestos!$E$5^2/Supuestos!$D$5^2)/2,SQRT(LN(1+Supuestos!$E$5^2/Supuestos!$D$5^2))),Supuestos!$D$5))))))</f>
        <v/>
      </c>
      <c r="J300" s="31">
        <f>MIN(IF(Supuestos!$H$6="",1E+99,Supuestos!$H$6),MAX(IF(Supuestos!$G$6="",-1E+99,Supuestos!$G$6),IF(Supuestos!$C$6="Normal",NORMINV(C300,Supuestos!$D$6,Supuestos!$E$6),IF(Supuestos!$C$6="Triangular",IF(C300&lt;(Supuestos!$E$6-Supuestos!$D$6)/(Supuestos!$F$6-Supuestos!$D$6),Supuestos!$D$6+SQRT(C300*(Supuestos!$F$6-Supuestos!$D$6)*(Supuestos!$E$6-Supuestos!$D$6)),Supuestos!$F$6-SQRT((1-C300)*(Supuestos!$F$6-Supuestos!$D$6)*(Supuestos!$F$6-Supuestos!$E$6))),IF(Supuestos!$C$6="Uniforme",Supuestos!$D$6+C300*(Supuestos!$E$6-Supuestos!$D$6),IF(Supuestos!$C$6="Lognormal",LOGINV(C300,LN(Supuestos!$D$6)-LN(1+Supuestos!$E$6^2/Supuestos!$D$6^2)/2,SQRT(LN(1+Supuestos!$E$6^2/Supuestos!$D$6^2))),Supuestos!$D$6))))))</f>
        <v/>
      </c>
      <c r="K300" s="32">
        <f>MIN(IF(Supuestos!$H$7="",1E+99,Supuestos!$H$7),MAX(IF(Supuestos!$G$7="",-1E+99,Supuestos!$G$7),IF(Supuestos!$C$7="Normal",NORMINV(D300,Supuestos!$D$7,Supuestos!$E$7),IF(Supuestos!$C$7="Triangular",IF(D300&lt;(Supuestos!$E$7-Supuestos!$D$7)/(Supuestos!$F$7-Supuestos!$D$7),Supuestos!$D$7+SQRT(D300*(Supuestos!$F$7-Supuestos!$D$7)*(Supuestos!$E$7-Supuestos!$D$7)),Supuestos!$F$7-SQRT((1-D300)*(Supuestos!$F$7-Supuestos!$D$7)*(Supuestos!$F$7-Supuestos!$E$7))),IF(Supuestos!$C$7="Uniforme",Supuestos!$D$7+D300*(Supuestos!$E$7-Supuestos!$D$7),IF(Supuestos!$C$7="Lognormal",LOGINV(D300,LN(Supuestos!$D$7)-LN(1+Supuestos!$E$7^2/Supuestos!$D$7^2)/2,SQRT(LN(1+Supuestos!$E$7^2/Supuestos!$D$7^2))),Supuestos!$D$7))))))</f>
        <v/>
      </c>
      <c r="L300" s="32">
        <f>MIN(IF(Supuestos!$H$8="",1E+99,Supuestos!$H$8),MAX(IF(Supuestos!$G$8="",-1E+99,Supuestos!$G$8),IF(Supuestos!$C$8="Normal",NORMINV(E300,Supuestos!$D$8,Supuestos!$E$8),IF(Supuestos!$C$8="Triangular",IF(E300&lt;(Supuestos!$E$8-Supuestos!$D$8)/(Supuestos!$F$8-Supuestos!$D$8),Supuestos!$D$8+SQRT(E300*(Supuestos!$F$8-Supuestos!$D$8)*(Supuestos!$E$8-Supuestos!$D$8)),Supuestos!$F$8-SQRT((1-E300)*(Supuestos!$F$8-Supuestos!$D$8)*(Supuestos!$F$8-Supuestos!$E$8))),IF(Supuestos!$C$8="Uniforme",Supuestos!$D$8+E300*(Supuestos!$E$8-Supuestos!$D$8),IF(Supuestos!$C$8="Lognormal",LOGINV(E300,LN(Supuestos!$D$8)-LN(1+Supuestos!$E$8^2/Supuestos!$D$8^2)/2,SQRT(LN(1+Supuestos!$E$8^2/Supuestos!$D$8^2))),Supuestos!$D$8))))))</f>
        <v/>
      </c>
      <c r="M300" s="32">
        <f>MIN(IF(Supuestos!$H$9="",1E+99,Supuestos!$H$9),MAX(IF(Supuestos!$G$9="",-1E+99,Supuestos!$G$9),IF(Supuestos!$C$9="Normal",NORMINV(F300,Supuestos!$D$9,Supuestos!$E$9),IF(Supuestos!$C$9="Triangular",IF(F300&lt;(Supuestos!$E$9-Supuestos!$D$9)/(Supuestos!$F$9-Supuestos!$D$9),Supuestos!$D$9+SQRT(F300*(Supuestos!$F$9-Supuestos!$D$9)*(Supuestos!$E$9-Supuestos!$D$9)),Supuestos!$F$9-SQRT((1-F300)*(Supuestos!$F$9-Supuestos!$D$9)*(Supuestos!$F$9-Supuestos!$E$9))),IF(Supuestos!$C$9="Uniforme",Supuestos!$D$9+F300*(Supuestos!$E$9-Supuestos!$D$9),IF(Supuestos!$C$9="Lognormal",LOGINV(F300,LN(Supuestos!$D$9)-LN(1+Supuestos!$E$9^2/Supuestos!$D$9^2)/2,SQRT(LN(1+Supuestos!$E$9^2/Supuestos!$D$9^2))),Supuestos!$D$9))))))</f>
        <v/>
      </c>
      <c r="N300" s="32">
        <f>MIN(IF(Supuestos!$H$10="",1E+99,Supuestos!$H$10),MAX(IF(Supuestos!$G$10="",-1E+99,Supuestos!$G$10),IF(Supuestos!$C$10="Normal",NORMINV(G300,Supuestos!$D$10,Supuestos!$E$10),IF(Supuestos!$C$10="Triangular",IF(G300&lt;(Supuestos!$E$10-Supuestos!$D$10)/(Supuestos!$F$10-Supuestos!$D$10),Supuestos!$D$10+SQRT(G300*(Supuestos!$F$10-Supuestos!$D$10)*(Supuestos!$E$10-Supuestos!$D$10)),Supuestos!$F$10-SQRT((1-G300)*(Supuestos!$F$10-Supuestos!$D$10)*(Supuestos!$F$10-Supuestos!$E$10))),IF(Supuestos!$C$10="Uniforme",Supuestos!$D$10+G300*(Supuestos!$E$10-Supuestos!$D$10),IF(Supuestos!$C$10="Lognormal",LOGINV(G300,LN(Supuestos!$D$10)-LN(1+Supuestos!$E$10^2/Supuestos!$D$10^2)/2,SQRT(LN(1+Supuestos!$E$10^2/Supuestos!$D$10^2))),Supuestos!$D$10))))))</f>
        <v/>
      </c>
      <c r="O300" s="31">
        <f>MIN(IF(Supuestos!$H$11="",1E+99,Supuestos!$H$11),MAX(IF(Supuestos!$G$11="",-1E+99,Supuestos!$G$11),IF(Supuestos!$C$11="Normal",NORMINV(H300,Supuestos!$D$11,Supuestos!$E$11),IF(Supuestos!$C$11="Triangular",IF(H300&lt;(Supuestos!$E$11-Supuestos!$D$11)/(Supuestos!$F$11-Supuestos!$D$11),Supuestos!$D$11+SQRT(H300*(Supuestos!$F$11-Supuestos!$D$11)*(Supuestos!$E$11-Supuestos!$D$11)),Supuestos!$F$11-SQRT((1-H300)*(Supuestos!$F$11-Supuestos!$D$11)*(Supuestos!$F$11-Supuestos!$E$11))),IF(Supuestos!$C$11="Uniforme",Supuestos!$D$11+H300*(Supuestos!$E$11-Supuestos!$D$11),IF(Supuestos!$C$11="Lognormal",LOGINV(H300,LN(Supuestos!$D$11)-LN(1+Supuestos!$E$11^2/Supuestos!$D$11^2)/2,SQRT(LN(1+Supuestos!$E$11^2/Supuestos!$D$11^2))),Supuestos!$D$11))))))</f>
        <v/>
      </c>
      <c r="P300" s="33">
        <f>-I300</f>
        <v/>
      </c>
      <c r="Q300" s="33">
        <f>$J300*(1+$K300)^(1-1)*(1-$L300)*(1-$M300)</f>
        <v/>
      </c>
      <c r="R300" s="33">
        <f>$J300*(1+$K300)^(2-1)*(1-$L300)*(1-$M300)</f>
        <v/>
      </c>
      <c r="S300" s="33">
        <f>$J300*(1+$K300)^(3-1)*(1-$L300)*(1-$M300)</f>
        <v/>
      </c>
      <c r="T300" s="33">
        <f>$J300*(1+$K300)^(4-1)*(1-$L300)*(1-$M300)</f>
        <v/>
      </c>
      <c r="U300" s="33">
        <f>$J300*(1+$K300)^(5-1)*(1-$L300)*(1-$M300)+$O300</f>
        <v/>
      </c>
      <c r="V300" s="33">
        <f>P300+NPV($N300,Q300:U300)</f>
        <v/>
      </c>
      <c r="W300" s="32">
        <f>IFERROR(IRR(P300:U300,0.1),"")</f>
        <v/>
      </c>
    </row>
    <row r="301">
      <c r="A301" s="14" t="n">
        <v>297</v>
      </c>
      <c r="B301" s="30">
        <f>RAND()*(1-2E-6)+1E-6</f>
        <v/>
      </c>
      <c r="C301" s="30">
        <f>RAND()*(1-2E-6)+1E-6</f>
        <v/>
      </c>
      <c r="D301" s="30">
        <f>RAND()*(1-2E-6)+1E-6</f>
        <v/>
      </c>
      <c r="E301" s="30">
        <f>RAND()*(1-2E-6)+1E-6</f>
        <v/>
      </c>
      <c r="F301" s="30">
        <f>RAND()*(1-2E-6)+1E-6</f>
        <v/>
      </c>
      <c r="G301" s="30">
        <f>RAND()*(1-2E-6)+1E-6</f>
        <v/>
      </c>
      <c r="H301" s="30">
        <f>RAND()*(1-2E-6)+1E-6</f>
        <v/>
      </c>
      <c r="I301" s="31">
        <f>MIN(IF(Supuestos!$H$5="",1E+99,Supuestos!$H$5),MAX(IF(Supuestos!$G$5="",-1E+99,Supuestos!$G$5),IF(Supuestos!$C$5="Normal",NORMINV(B301,Supuestos!$D$5,Supuestos!$E$5),IF(Supuestos!$C$5="Triangular",IF(B301&lt;(Supuestos!$E$5-Supuestos!$D$5)/(Supuestos!$F$5-Supuestos!$D$5),Supuestos!$D$5+SQRT(B301*(Supuestos!$F$5-Supuestos!$D$5)*(Supuestos!$E$5-Supuestos!$D$5)),Supuestos!$F$5-SQRT((1-B301)*(Supuestos!$F$5-Supuestos!$D$5)*(Supuestos!$F$5-Supuestos!$E$5))),IF(Supuestos!$C$5="Uniforme",Supuestos!$D$5+B301*(Supuestos!$E$5-Supuestos!$D$5),IF(Supuestos!$C$5="Lognormal",LOGINV(B301,LN(Supuestos!$D$5)-LN(1+Supuestos!$E$5^2/Supuestos!$D$5^2)/2,SQRT(LN(1+Supuestos!$E$5^2/Supuestos!$D$5^2))),Supuestos!$D$5))))))</f>
        <v/>
      </c>
      <c r="J301" s="31">
        <f>MIN(IF(Supuestos!$H$6="",1E+99,Supuestos!$H$6),MAX(IF(Supuestos!$G$6="",-1E+99,Supuestos!$G$6),IF(Supuestos!$C$6="Normal",NORMINV(C301,Supuestos!$D$6,Supuestos!$E$6),IF(Supuestos!$C$6="Triangular",IF(C301&lt;(Supuestos!$E$6-Supuestos!$D$6)/(Supuestos!$F$6-Supuestos!$D$6),Supuestos!$D$6+SQRT(C301*(Supuestos!$F$6-Supuestos!$D$6)*(Supuestos!$E$6-Supuestos!$D$6)),Supuestos!$F$6-SQRT((1-C301)*(Supuestos!$F$6-Supuestos!$D$6)*(Supuestos!$F$6-Supuestos!$E$6))),IF(Supuestos!$C$6="Uniforme",Supuestos!$D$6+C301*(Supuestos!$E$6-Supuestos!$D$6),IF(Supuestos!$C$6="Lognormal",LOGINV(C301,LN(Supuestos!$D$6)-LN(1+Supuestos!$E$6^2/Supuestos!$D$6^2)/2,SQRT(LN(1+Supuestos!$E$6^2/Supuestos!$D$6^2))),Supuestos!$D$6))))))</f>
        <v/>
      </c>
      <c r="K301" s="32">
        <f>MIN(IF(Supuestos!$H$7="",1E+99,Supuestos!$H$7),MAX(IF(Supuestos!$G$7="",-1E+99,Supuestos!$G$7),IF(Supuestos!$C$7="Normal",NORMINV(D301,Supuestos!$D$7,Supuestos!$E$7),IF(Supuestos!$C$7="Triangular",IF(D301&lt;(Supuestos!$E$7-Supuestos!$D$7)/(Supuestos!$F$7-Supuestos!$D$7),Supuestos!$D$7+SQRT(D301*(Supuestos!$F$7-Supuestos!$D$7)*(Supuestos!$E$7-Supuestos!$D$7)),Supuestos!$F$7-SQRT((1-D301)*(Supuestos!$F$7-Supuestos!$D$7)*(Supuestos!$F$7-Supuestos!$E$7))),IF(Supuestos!$C$7="Uniforme",Supuestos!$D$7+D301*(Supuestos!$E$7-Supuestos!$D$7),IF(Supuestos!$C$7="Lognormal",LOGINV(D301,LN(Supuestos!$D$7)-LN(1+Supuestos!$E$7^2/Supuestos!$D$7^2)/2,SQRT(LN(1+Supuestos!$E$7^2/Supuestos!$D$7^2))),Supuestos!$D$7))))))</f>
        <v/>
      </c>
      <c r="L301" s="32">
        <f>MIN(IF(Supuestos!$H$8="",1E+99,Supuestos!$H$8),MAX(IF(Supuestos!$G$8="",-1E+99,Supuestos!$G$8),IF(Supuestos!$C$8="Normal",NORMINV(E301,Supuestos!$D$8,Supuestos!$E$8),IF(Supuestos!$C$8="Triangular",IF(E301&lt;(Supuestos!$E$8-Supuestos!$D$8)/(Supuestos!$F$8-Supuestos!$D$8),Supuestos!$D$8+SQRT(E301*(Supuestos!$F$8-Supuestos!$D$8)*(Supuestos!$E$8-Supuestos!$D$8)),Supuestos!$F$8-SQRT((1-E301)*(Supuestos!$F$8-Supuestos!$D$8)*(Supuestos!$F$8-Supuestos!$E$8))),IF(Supuestos!$C$8="Uniforme",Supuestos!$D$8+E301*(Supuestos!$E$8-Supuestos!$D$8),IF(Supuestos!$C$8="Lognormal",LOGINV(E301,LN(Supuestos!$D$8)-LN(1+Supuestos!$E$8^2/Supuestos!$D$8^2)/2,SQRT(LN(1+Supuestos!$E$8^2/Supuestos!$D$8^2))),Supuestos!$D$8))))))</f>
        <v/>
      </c>
      <c r="M301" s="32">
        <f>MIN(IF(Supuestos!$H$9="",1E+99,Supuestos!$H$9),MAX(IF(Supuestos!$G$9="",-1E+99,Supuestos!$G$9),IF(Supuestos!$C$9="Normal",NORMINV(F301,Supuestos!$D$9,Supuestos!$E$9),IF(Supuestos!$C$9="Triangular",IF(F301&lt;(Supuestos!$E$9-Supuestos!$D$9)/(Supuestos!$F$9-Supuestos!$D$9),Supuestos!$D$9+SQRT(F301*(Supuestos!$F$9-Supuestos!$D$9)*(Supuestos!$E$9-Supuestos!$D$9)),Supuestos!$F$9-SQRT((1-F301)*(Supuestos!$F$9-Supuestos!$D$9)*(Supuestos!$F$9-Supuestos!$E$9))),IF(Supuestos!$C$9="Uniforme",Supuestos!$D$9+F301*(Supuestos!$E$9-Supuestos!$D$9),IF(Supuestos!$C$9="Lognormal",LOGINV(F301,LN(Supuestos!$D$9)-LN(1+Supuestos!$E$9^2/Supuestos!$D$9^2)/2,SQRT(LN(1+Supuestos!$E$9^2/Supuestos!$D$9^2))),Supuestos!$D$9))))))</f>
        <v/>
      </c>
      <c r="N301" s="32">
        <f>MIN(IF(Supuestos!$H$10="",1E+99,Supuestos!$H$10),MAX(IF(Supuestos!$G$10="",-1E+99,Supuestos!$G$10),IF(Supuestos!$C$10="Normal",NORMINV(G301,Supuestos!$D$10,Supuestos!$E$10),IF(Supuestos!$C$10="Triangular",IF(G301&lt;(Supuestos!$E$10-Supuestos!$D$10)/(Supuestos!$F$10-Supuestos!$D$10),Supuestos!$D$10+SQRT(G301*(Supuestos!$F$10-Supuestos!$D$10)*(Supuestos!$E$10-Supuestos!$D$10)),Supuestos!$F$10-SQRT((1-G301)*(Supuestos!$F$10-Supuestos!$D$10)*(Supuestos!$F$10-Supuestos!$E$10))),IF(Supuestos!$C$10="Uniforme",Supuestos!$D$10+G301*(Supuestos!$E$10-Supuestos!$D$10),IF(Supuestos!$C$10="Lognormal",LOGINV(G301,LN(Supuestos!$D$10)-LN(1+Supuestos!$E$10^2/Supuestos!$D$10^2)/2,SQRT(LN(1+Supuestos!$E$10^2/Supuestos!$D$10^2))),Supuestos!$D$10))))))</f>
        <v/>
      </c>
      <c r="O301" s="31">
        <f>MIN(IF(Supuestos!$H$11="",1E+99,Supuestos!$H$11),MAX(IF(Supuestos!$G$11="",-1E+99,Supuestos!$G$11),IF(Supuestos!$C$11="Normal",NORMINV(H301,Supuestos!$D$11,Supuestos!$E$11),IF(Supuestos!$C$11="Triangular",IF(H301&lt;(Supuestos!$E$11-Supuestos!$D$11)/(Supuestos!$F$11-Supuestos!$D$11),Supuestos!$D$11+SQRT(H301*(Supuestos!$F$11-Supuestos!$D$11)*(Supuestos!$E$11-Supuestos!$D$11)),Supuestos!$F$11-SQRT((1-H301)*(Supuestos!$F$11-Supuestos!$D$11)*(Supuestos!$F$11-Supuestos!$E$11))),IF(Supuestos!$C$11="Uniforme",Supuestos!$D$11+H301*(Supuestos!$E$11-Supuestos!$D$11),IF(Supuestos!$C$11="Lognormal",LOGINV(H301,LN(Supuestos!$D$11)-LN(1+Supuestos!$E$11^2/Supuestos!$D$11^2)/2,SQRT(LN(1+Supuestos!$E$11^2/Supuestos!$D$11^2))),Supuestos!$D$11))))))</f>
        <v/>
      </c>
      <c r="P301" s="33">
        <f>-I301</f>
        <v/>
      </c>
      <c r="Q301" s="33">
        <f>$J301*(1+$K301)^(1-1)*(1-$L301)*(1-$M301)</f>
        <v/>
      </c>
      <c r="R301" s="33">
        <f>$J301*(1+$K301)^(2-1)*(1-$L301)*(1-$M301)</f>
        <v/>
      </c>
      <c r="S301" s="33">
        <f>$J301*(1+$K301)^(3-1)*(1-$L301)*(1-$M301)</f>
        <v/>
      </c>
      <c r="T301" s="33">
        <f>$J301*(1+$K301)^(4-1)*(1-$L301)*(1-$M301)</f>
        <v/>
      </c>
      <c r="U301" s="33">
        <f>$J301*(1+$K301)^(5-1)*(1-$L301)*(1-$M301)+$O301</f>
        <v/>
      </c>
      <c r="V301" s="33">
        <f>P301+NPV($N301,Q301:U301)</f>
        <v/>
      </c>
      <c r="W301" s="32">
        <f>IFERROR(IRR(P301:U301,0.1),"")</f>
        <v/>
      </c>
    </row>
    <row r="302">
      <c r="A302" s="14" t="n">
        <v>298</v>
      </c>
      <c r="B302" s="30">
        <f>RAND()*(1-2E-6)+1E-6</f>
        <v/>
      </c>
      <c r="C302" s="30">
        <f>RAND()*(1-2E-6)+1E-6</f>
        <v/>
      </c>
      <c r="D302" s="30">
        <f>RAND()*(1-2E-6)+1E-6</f>
        <v/>
      </c>
      <c r="E302" s="30">
        <f>RAND()*(1-2E-6)+1E-6</f>
        <v/>
      </c>
      <c r="F302" s="30">
        <f>RAND()*(1-2E-6)+1E-6</f>
        <v/>
      </c>
      <c r="G302" s="30">
        <f>RAND()*(1-2E-6)+1E-6</f>
        <v/>
      </c>
      <c r="H302" s="30">
        <f>RAND()*(1-2E-6)+1E-6</f>
        <v/>
      </c>
      <c r="I302" s="31">
        <f>MIN(IF(Supuestos!$H$5="",1E+99,Supuestos!$H$5),MAX(IF(Supuestos!$G$5="",-1E+99,Supuestos!$G$5),IF(Supuestos!$C$5="Normal",NORMINV(B302,Supuestos!$D$5,Supuestos!$E$5),IF(Supuestos!$C$5="Triangular",IF(B302&lt;(Supuestos!$E$5-Supuestos!$D$5)/(Supuestos!$F$5-Supuestos!$D$5),Supuestos!$D$5+SQRT(B302*(Supuestos!$F$5-Supuestos!$D$5)*(Supuestos!$E$5-Supuestos!$D$5)),Supuestos!$F$5-SQRT((1-B302)*(Supuestos!$F$5-Supuestos!$D$5)*(Supuestos!$F$5-Supuestos!$E$5))),IF(Supuestos!$C$5="Uniforme",Supuestos!$D$5+B302*(Supuestos!$E$5-Supuestos!$D$5),IF(Supuestos!$C$5="Lognormal",LOGINV(B302,LN(Supuestos!$D$5)-LN(1+Supuestos!$E$5^2/Supuestos!$D$5^2)/2,SQRT(LN(1+Supuestos!$E$5^2/Supuestos!$D$5^2))),Supuestos!$D$5))))))</f>
        <v/>
      </c>
      <c r="J302" s="31">
        <f>MIN(IF(Supuestos!$H$6="",1E+99,Supuestos!$H$6),MAX(IF(Supuestos!$G$6="",-1E+99,Supuestos!$G$6),IF(Supuestos!$C$6="Normal",NORMINV(C302,Supuestos!$D$6,Supuestos!$E$6),IF(Supuestos!$C$6="Triangular",IF(C302&lt;(Supuestos!$E$6-Supuestos!$D$6)/(Supuestos!$F$6-Supuestos!$D$6),Supuestos!$D$6+SQRT(C302*(Supuestos!$F$6-Supuestos!$D$6)*(Supuestos!$E$6-Supuestos!$D$6)),Supuestos!$F$6-SQRT((1-C302)*(Supuestos!$F$6-Supuestos!$D$6)*(Supuestos!$F$6-Supuestos!$E$6))),IF(Supuestos!$C$6="Uniforme",Supuestos!$D$6+C302*(Supuestos!$E$6-Supuestos!$D$6),IF(Supuestos!$C$6="Lognormal",LOGINV(C302,LN(Supuestos!$D$6)-LN(1+Supuestos!$E$6^2/Supuestos!$D$6^2)/2,SQRT(LN(1+Supuestos!$E$6^2/Supuestos!$D$6^2))),Supuestos!$D$6))))))</f>
        <v/>
      </c>
      <c r="K302" s="32">
        <f>MIN(IF(Supuestos!$H$7="",1E+99,Supuestos!$H$7),MAX(IF(Supuestos!$G$7="",-1E+99,Supuestos!$G$7),IF(Supuestos!$C$7="Normal",NORMINV(D302,Supuestos!$D$7,Supuestos!$E$7),IF(Supuestos!$C$7="Triangular",IF(D302&lt;(Supuestos!$E$7-Supuestos!$D$7)/(Supuestos!$F$7-Supuestos!$D$7),Supuestos!$D$7+SQRT(D302*(Supuestos!$F$7-Supuestos!$D$7)*(Supuestos!$E$7-Supuestos!$D$7)),Supuestos!$F$7-SQRT((1-D302)*(Supuestos!$F$7-Supuestos!$D$7)*(Supuestos!$F$7-Supuestos!$E$7))),IF(Supuestos!$C$7="Uniforme",Supuestos!$D$7+D302*(Supuestos!$E$7-Supuestos!$D$7),IF(Supuestos!$C$7="Lognormal",LOGINV(D302,LN(Supuestos!$D$7)-LN(1+Supuestos!$E$7^2/Supuestos!$D$7^2)/2,SQRT(LN(1+Supuestos!$E$7^2/Supuestos!$D$7^2))),Supuestos!$D$7))))))</f>
        <v/>
      </c>
      <c r="L302" s="32">
        <f>MIN(IF(Supuestos!$H$8="",1E+99,Supuestos!$H$8),MAX(IF(Supuestos!$G$8="",-1E+99,Supuestos!$G$8),IF(Supuestos!$C$8="Normal",NORMINV(E302,Supuestos!$D$8,Supuestos!$E$8),IF(Supuestos!$C$8="Triangular",IF(E302&lt;(Supuestos!$E$8-Supuestos!$D$8)/(Supuestos!$F$8-Supuestos!$D$8),Supuestos!$D$8+SQRT(E302*(Supuestos!$F$8-Supuestos!$D$8)*(Supuestos!$E$8-Supuestos!$D$8)),Supuestos!$F$8-SQRT((1-E302)*(Supuestos!$F$8-Supuestos!$D$8)*(Supuestos!$F$8-Supuestos!$E$8))),IF(Supuestos!$C$8="Uniforme",Supuestos!$D$8+E302*(Supuestos!$E$8-Supuestos!$D$8),IF(Supuestos!$C$8="Lognormal",LOGINV(E302,LN(Supuestos!$D$8)-LN(1+Supuestos!$E$8^2/Supuestos!$D$8^2)/2,SQRT(LN(1+Supuestos!$E$8^2/Supuestos!$D$8^2))),Supuestos!$D$8))))))</f>
        <v/>
      </c>
      <c r="M302" s="32">
        <f>MIN(IF(Supuestos!$H$9="",1E+99,Supuestos!$H$9),MAX(IF(Supuestos!$G$9="",-1E+99,Supuestos!$G$9),IF(Supuestos!$C$9="Normal",NORMINV(F302,Supuestos!$D$9,Supuestos!$E$9),IF(Supuestos!$C$9="Triangular",IF(F302&lt;(Supuestos!$E$9-Supuestos!$D$9)/(Supuestos!$F$9-Supuestos!$D$9),Supuestos!$D$9+SQRT(F302*(Supuestos!$F$9-Supuestos!$D$9)*(Supuestos!$E$9-Supuestos!$D$9)),Supuestos!$F$9-SQRT((1-F302)*(Supuestos!$F$9-Supuestos!$D$9)*(Supuestos!$F$9-Supuestos!$E$9))),IF(Supuestos!$C$9="Uniforme",Supuestos!$D$9+F302*(Supuestos!$E$9-Supuestos!$D$9),IF(Supuestos!$C$9="Lognormal",LOGINV(F302,LN(Supuestos!$D$9)-LN(1+Supuestos!$E$9^2/Supuestos!$D$9^2)/2,SQRT(LN(1+Supuestos!$E$9^2/Supuestos!$D$9^2))),Supuestos!$D$9))))))</f>
        <v/>
      </c>
      <c r="N302" s="32">
        <f>MIN(IF(Supuestos!$H$10="",1E+99,Supuestos!$H$10),MAX(IF(Supuestos!$G$10="",-1E+99,Supuestos!$G$10),IF(Supuestos!$C$10="Normal",NORMINV(G302,Supuestos!$D$10,Supuestos!$E$10),IF(Supuestos!$C$10="Triangular",IF(G302&lt;(Supuestos!$E$10-Supuestos!$D$10)/(Supuestos!$F$10-Supuestos!$D$10),Supuestos!$D$10+SQRT(G302*(Supuestos!$F$10-Supuestos!$D$10)*(Supuestos!$E$10-Supuestos!$D$10)),Supuestos!$F$10-SQRT((1-G302)*(Supuestos!$F$10-Supuestos!$D$10)*(Supuestos!$F$10-Supuestos!$E$10))),IF(Supuestos!$C$10="Uniforme",Supuestos!$D$10+G302*(Supuestos!$E$10-Supuestos!$D$10),IF(Supuestos!$C$10="Lognormal",LOGINV(G302,LN(Supuestos!$D$10)-LN(1+Supuestos!$E$10^2/Supuestos!$D$10^2)/2,SQRT(LN(1+Supuestos!$E$10^2/Supuestos!$D$10^2))),Supuestos!$D$10))))))</f>
        <v/>
      </c>
      <c r="O302" s="31">
        <f>MIN(IF(Supuestos!$H$11="",1E+99,Supuestos!$H$11),MAX(IF(Supuestos!$G$11="",-1E+99,Supuestos!$G$11),IF(Supuestos!$C$11="Normal",NORMINV(H302,Supuestos!$D$11,Supuestos!$E$11),IF(Supuestos!$C$11="Triangular",IF(H302&lt;(Supuestos!$E$11-Supuestos!$D$11)/(Supuestos!$F$11-Supuestos!$D$11),Supuestos!$D$11+SQRT(H302*(Supuestos!$F$11-Supuestos!$D$11)*(Supuestos!$E$11-Supuestos!$D$11)),Supuestos!$F$11-SQRT((1-H302)*(Supuestos!$F$11-Supuestos!$D$11)*(Supuestos!$F$11-Supuestos!$E$11))),IF(Supuestos!$C$11="Uniforme",Supuestos!$D$11+H302*(Supuestos!$E$11-Supuestos!$D$11),IF(Supuestos!$C$11="Lognormal",LOGINV(H302,LN(Supuestos!$D$11)-LN(1+Supuestos!$E$11^2/Supuestos!$D$11^2)/2,SQRT(LN(1+Supuestos!$E$11^2/Supuestos!$D$11^2))),Supuestos!$D$11))))))</f>
        <v/>
      </c>
      <c r="P302" s="33">
        <f>-I302</f>
        <v/>
      </c>
      <c r="Q302" s="33">
        <f>$J302*(1+$K302)^(1-1)*(1-$L302)*(1-$M302)</f>
        <v/>
      </c>
      <c r="R302" s="33">
        <f>$J302*(1+$K302)^(2-1)*(1-$L302)*(1-$M302)</f>
        <v/>
      </c>
      <c r="S302" s="33">
        <f>$J302*(1+$K302)^(3-1)*(1-$L302)*(1-$M302)</f>
        <v/>
      </c>
      <c r="T302" s="33">
        <f>$J302*(1+$K302)^(4-1)*(1-$L302)*(1-$M302)</f>
        <v/>
      </c>
      <c r="U302" s="33">
        <f>$J302*(1+$K302)^(5-1)*(1-$L302)*(1-$M302)+$O302</f>
        <v/>
      </c>
      <c r="V302" s="33">
        <f>P302+NPV($N302,Q302:U302)</f>
        <v/>
      </c>
      <c r="W302" s="32">
        <f>IFERROR(IRR(P302:U302,0.1),"")</f>
        <v/>
      </c>
    </row>
    <row r="303">
      <c r="A303" s="14" t="n">
        <v>299</v>
      </c>
      <c r="B303" s="30">
        <f>RAND()*(1-2E-6)+1E-6</f>
        <v/>
      </c>
      <c r="C303" s="30">
        <f>RAND()*(1-2E-6)+1E-6</f>
        <v/>
      </c>
      <c r="D303" s="30">
        <f>RAND()*(1-2E-6)+1E-6</f>
        <v/>
      </c>
      <c r="E303" s="30">
        <f>RAND()*(1-2E-6)+1E-6</f>
        <v/>
      </c>
      <c r="F303" s="30">
        <f>RAND()*(1-2E-6)+1E-6</f>
        <v/>
      </c>
      <c r="G303" s="30">
        <f>RAND()*(1-2E-6)+1E-6</f>
        <v/>
      </c>
      <c r="H303" s="30">
        <f>RAND()*(1-2E-6)+1E-6</f>
        <v/>
      </c>
      <c r="I303" s="31">
        <f>MIN(IF(Supuestos!$H$5="",1E+99,Supuestos!$H$5),MAX(IF(Supuestos!$G$5="",-1E+99,Supuestos!$G$5),IF(Supuestos!$C$5="Normal",NORMINV(B303,Supuestos!$D$5,Supuestos!$E$5),IF(Supuestos!$C$5="Triangular",IF(B303&lt;(Supuestos!$E$5-Supuestos!$D$5)/(Supuestos!$F$5-Supuestos!$D$5),Supuestos!$D$5+SQRT(B303*(Supuestos!$F$5-Supuestos!$D$5)*(Supuestos!$E$5-Supuestos!$D$5)),Supuestos!$F$5-SQRT((1-B303)*(Supuestos!$F$5-Supuestos!$D$5)*(Supuestos!$F$5-Supuestos!$E$5))),IF(Supuestos!$C$5="Uniforme",Supuestos!$D$5+B303*(Supuestos!$E$5-Supuestos!$D$5),IF(Supuestos!$C$5="Lognormal",LOGINV(B303,LN(Supuestos!$D$5)-LN(1+Supuestos!$E$5^2/Supuestos!$D$5^2)/2,SQRT(LN(1+Supuestos!$E$5^2/Supuestos!$D$5^2))),Supuestos!$D$5))))))</f>
        <v/>
      </c>
      <c r="J303" s="31">
        <f>MIN(IF(Supuestos!$H$6="",1E+99,Supuestos!$H$6),MAX(IF(Supuestos!$G$6="",-1E+99,Supuestos!$G$6),IF(Supuestos!$C$6="Normal",NORMINV(C303,Supuestos!$D$6,Supuestos!$E$6),IF(Supuestos!$C$6="Triangular",IF(C303&lt;(Supuestos!$E$6-Supuestos!$D$6)/(Supuestos!$F$6-Supuestos!$D$6),Supuestos!$D$6+SQRT(C303*(Supuestos!$F$6-Supuestos!$D$6)*(Supuestos!$E$6-Supuestos!$D$6)),Supuestos!$F$6-SQRT((1-C303)*(Supuestos!$F$6-Supuestos!$D$6)*(Supuestos!$F$6-Supuestos!$E$6))),IF(Supuestos!$C$6="Uniforme",Supuestos!$D$6+C303*(Supuestos!$E$6-Supuestos!$D$6),IF(Supuestos!$C$6="Lognormal",LOGINV(C303,LN(Supuestos!$D$6)-LN(1+Supuestos!$E$6^2/Supuestos!$D$6^2)/2,SQRT(LN(1+Supuestos!$E$6^2/Supuestos!$D$6^2))),Supuestos!$D$6))))))</f>
        <v/>
      </c>
      <c r="K303" s="32">
        <f>MIN(IF(Supuestos!$H$7="",1E+99,Supuestos!$H$7),MAX(IF(Supuestos!$G$7="",-1E+99,Supuestos!$G$7),IF(Supuestos!$C$7="Normal",NORMINV(D303,Supuestos!$D$7,Supuestos!$E$7),IF(Supuestos!$C$7="Triangular",IF(D303&lt;(Supuestos!$E$7-Supuestos!$D$7)/(Supuestos!$F$7-Supuestos!$D$7),Supuestos!$D$7+SQRT(D303*(Supuestos!$F$7-Supuestos!$D$7)*(Supuestos!$E$7-Supuestos!$D$7)),Supuestos!$F$7-SQRT((1-D303)*(Supuestos!$F$7-Supuestos!$D$7)*(Supuestos!$F$7-Supuestos!$E$7))),IF(Supuestos!$C$7="Uniforme",Supuestos!$D$7+D303*(Supuestos!$E$7-Supuestos!$D$7),IF(Supuestos!$C$7="Lognormal",LOGINV(D303,LN(Supuestos!$D$7)-LN(1+Supuestos!$E$7^2/Supuestos!$D$7^2)/2,SQRT(LN(1+Supuestos!$E$7^2/Supuestos!$D$7^2))),Supuestos!$D$7))))))</f>
        <v/>
      </c>
      <c r="L303" s="32">
        <f>MIN(IF(Supuestos!$H$8="",1E+99,Supuestos!$H$8),MAX(IF(Supuestos!$G$8="",-1E+99,Supuestos!$G$8),IF(Supuestos!$C$8="Normal",NORMINV(E303,Supuestos!$D$8,Supuestos!$E$8),IF(Supuestos!$C$8="Triangular",IF(E303&lt;(Supuestos!$E$8-Supuestos!$D$8)/(Supuestos!$F$8-Supuestos!$D$8),Supuestos!$D$8+SQRT(E303*(Supuestos!$F$8-Supuestos!$D$8)*(Supuestos!$E$8-Supuestos!$D$8)),Supuestos!$F$8-SQRT((1-E303)*(Supuestos!$F$8-Supuestos!$D$8)*(Supuestos!$F$8-Supuestos!$E$8))),IF(Supuestos!$C$8="Uniforme",Supuestos!$D$8+E303*(Supuestos!$E$8-Supuestos!$D$8),IF(Supuestos!$C$8="Lognormal",LOGINV(E303,LN(Supuestos!$D$8)-LN(1+Supuestos!$E$8^2/Supuestos!$D$8^2)/2,SQRT(LN(1+Supuestos!$E$8^2/Supuestos!$D$8^2))),Supuestos!$D$8))))))</f>
        <v/>
      </c>
      <c r="M303" s="32">
        <f>MIN(IF(Supuestos!$H$9="",1E+99,Supuestos!$H$9),MAX(IF(Supuestos!$G$9="",-1E+99,Supuestos!$G$9),IF(Supuestos!$C$9="Normal",NORMINV(F303,Supuestos!$D$9,Supuestos!$E$9),IF(Supuestos!$C$9="Triangular",IF(F303&lt;(Supuestos!$E$9-Supuestos!$D$9)/(Supuestos!$F$9-Supuestos!$D$9),Supuestos!$D$9+SQRT(F303*(Supuestos!$F$9-Supuestos!$D$9)*(Supuestos!$E$9-Supuestos!$D$9)),Supuestos!$F$9-SQRT((1-F303)*(Supuestos!$F$9-Supuestos!$D$9)*(Supuestos!$F$9-Supuestos!$E$9))),IF(Supuestos!$C$9="Uniforme",Supuestos!$D$9+F303*(Supuestos!$E$9-Supuestos!$D$9),IF(Supuestos!$C$9="Lognormal",LOGINV(F303,LN(Supuestos!$D$9)-LN(1+Supuestos!$E$9^2/Supuestos!$D$9^2)/2,SQRT(LN(1+Supuestos!$E$9^2/Supuestos!$D$9^2))),Supuestos!$D$9))))))</f>
        <v/>
      </c>
      <c r="N303" s="32">
        <f>MIN(IF(Supuestos!$H$10="",1E+99,Supuestos!$H$10),MAX(IF(Supuestos!$G$10="",-1E+99,Supuestos!$G$10),IF(Supuestos!$C$10="Normal",NORMINV(G303,Supuestos!$D$10,Supuestos!$E$10),IF(Supuestos!$C$10="Triangular",IF(G303&lt;(Supuestos!$E$10-Supuestos!$D$10)/(Supuestos!$F$10-Supuestos!$D$10),Supuestos!$D$10+SQRT(G303*(Supuestos!$F$10-Supuestos!$D$10)*(Supuestos!$E$10-Supuestos!$D$10)),Supuestos!$F$10-SQRT((1-G303)*(Supuestos!$F$10-Supuestos!$D$10)*(Supuestos!$F$10-Supuestos!$E$10))),IF(Supuestos!$C$10="Uniforme",Supuestos!$D$10+G303*(Supuestos!$E$10-Supuestos!$D$10),IF(Supuestos!$C$10="Lognormal",LOGINV(G303,LN(Supuestos!$D$10)-LN(1+Supuestos!$E$10^2/Supuestos!$D$10^2)/2,SQRT(LN(1+Supuestos!$E$10^2/Supuestos!$D$10^2))),Supuestos!$D$10))))))</f>
        <v/>
      </c>
      <c r="O303" s="31">
        <f>MIN(IF(Supuestos!$H$11="",1E+99,Supuestos!$H$11),MAX(IF(Supuestos!$G$11="",-1E+99,Supuestos!$G$11),IF(Supuestos!$C$11="Normal",NORMINV(H303,Supuestos!$D$11,Supuestos!$E$11),IF(Supuestos!$C$11="Triangular",IF(H303&lt;(Supuestos!$E$11-Supuestos!$D$11)/(Supuestos!$F$11-Supuestos!$D$11),Supuestos!$D$11+SQRT(H303*(Supuestos!$F$11-Supuestos!$D$11)*(Supuestos!$E$11-Supuestos!$D$11)),Supuestos!$F$11-SQRT((1-H303)*(Supuestos!$F$11-Supuestos!$D$11)*(Supuestos!$F$11-Supuestos!$E$11))),IF(Supuestos!$C$11="Uniforme",Supuestos!$D$11+H303*(Supuestos!$E$11-Supuestos!$D$11),IF(Supuestos!$C$11="Lognormal",LOGINV(H303,LN(Supuestos!$D$11)-LN(1+Supuestos!$E$11^2/Supuestos!$D$11^2)/2,SQRT(LN(1+Supuestos!$E$11^2/Supuestos!$D$11^2))),Supuestos!$D$11))))))</f>
        <v/>
      </c>
      <c r="P303" s="33">
        <f>-I303</f>
        <v/>
      </c>
      <c r="Q303" s="33">
        <f>$J303*(1+$K303)^(1-1)*(1-$L303)*(1-$M303)</f>
        <v/>
      </c>
      <c r="R303" s="33">
        <f>$J303*(1+$K303)^(2-1)*(1-$L303)*(1-$M303)</f>
        <v/>
      </c>
      <c r="S303" s="33">
        <f>$J303*(1+$K303)^(3-1)*(1-$L303)*(1-$M303)</f>
        <v/>
      </c>
      <c r="T303" s="33">
        <f>$J303*(1+$K303)^(4-1)*(1-$L303)*(1-$M303)</f>
        <v/>
      </c>
      <c r="U303" s="33">
        <f>$J303*(1+$K303)^(5-1)*(1-$L303)*(1-$M303)+$O303</f>
        <v/>
      </c>
      <c r="V303" s="33">
        <f>P303+NPV($N303,Q303:U303)</f>
        <v/>
      </c>
      <c r="W303" s="32">
        <f>IFERROR(IRR(P303:U303,0.1),"")</f>
        <v/>
      </c>
    </row>
    <row r="304">
      <c r="A304" s="14" t="n">
        <v>300</v>
      </c>
      <c r="B304" s="30">
        <f>RAND()*(1-2E-6)+1E-6</f>
        <v/>
      </c>
      <c r="C304" s="30">
        <f>RAND()*(1-2E-6)+1E-6</f>
        <v/>
      </c>
      <c r="D304" s="30">
        <f>RAND()*(1-2E-6)+1E-6</f>
        <v/>
      </c>
      <c r="E304" s="30">
        <f>RAND()*(1-2E-6)+1E-6</f>
        <v/>
      </c>
      <c r="F304" s="30">
        <f>RAND()*(1-2E-6)+1E-6</f>
        <v/>
      </c>
      <c r="G304" s="30">
        <f>RAND()*(1-2E-6)+1E-6</f>
        <v/>
      </c>
      <c r="H304" s="30">
        <f>RAND()*(1-2E-6)+1E-6</f>
        <v/>
      </c>
      <c r="I304" s="31">
        <f>MIN(IF(Supuestos!$H$5="",1E+99,Supuestos!$H$5),MAX(IF(Supuestos!$G$5="",-1E+99,Supuestos!$G$5),IF(Supuestos!$C$5="Normal",NORMINV(B304,Supuestos!$D$5,Supuestos!$E$5),IF(Supuestos!$C$5="Triangular",IF(B304&lt;(Supuestos!$E$5-Supuestos!$D$5)/(Supuestos!$F$5-Supuestos!$D$5),Supuestos!$D$5+SQRT(B304*(Supuestos!$F$5-Supuestos!$D$5)*(Supuestos!$E$5-Supuestos!$D$5)),Supuestos!$F$5-SQRT((1-B304)*(Supuestos!$F$5-Supuestos!$D$5)*(Supuestos!$F$5-Supuestos!$E$5))),IF(Supuestos!$C$5="Uniforme",Supuestos!$D$5+B304*(Supuestos!$E$5-Supuestos!$D$5),IF(Supuestos!$C$5="Lognormal",LOGINV(B304,LN(Supuestos!$D$5)-LN(1+Supuestos!$E$5^2/Supuestos!$D$5^2)/2,SQRT(LN(1+Supuestos!$E$5^2/Supuestos!$D$5^2))),Supuestos!$D$5))))))</f>
        <v/>
      </c>
      <c r="J304" s="31">
        <f>MIN(IF(Supuestos!$H$6="",1E+99,Supuestos!$H$6),MAX(IF(Supuestos!$G$6="",-1E+99,Supuestos!$G$6),IF(Supuestos!$C$6="Normal",NORMINV(C304,Supuestos!$D$6,Supuestos!$E$6),IF(Supuestos!$C$6="Triangular",IF(C304&lt;(Supuestos!$E$6-Supuestos!$D$6)/(Supuestos!$F$6-Supuestos!$D$6),Supuestos!$D$6+SQRT(C304*(Supuestos!$F$6-Supuestos!$D$6)*(Supuestos!$E$6-Supuestos!$D$6)),Supuestos!$F$6-SQRT((1-C304)*(Supuestos!$F$6-Supuestos!$D$6)*(Supuestos!$F$6-Supuestos!$E$6))),IF(Supuestos!$C$6="Uniforme",Supuestos!$D$6+C304*(Supuestos!$E$6-Supuestos!$D$6),IF(Supuestos!$C$6="Lognormal",LOGINV(C304,LN(Supuestos!$D$6)-LN(1+Supuestos!$E$6^2/Supuestos!$D$6^2)/2,SQRT(LN(1+Supuestos!$E$6^2/Supuestos!$D$6^2))),Supuestos!$D$6))))))</f>
        <v/>
      </c>
      <c r="K304" s="32">
        <f>MIN(IF(Supuestos!$H$7="",1E+99,Supuestos!$H$7),MAX(IF(Supuestos!$G$7="",-1E+99,Supuestos!$G$7),IF(Supuestos!$C$7="Normal",NORMINV(D304,Supuestos!$D$7,Supuestos!$E$7),IF(Supuestos!$C$7="Triangular",IF(D304&lt;(Supuestos!$E$7-Supuestos!$D$7)/(Supuestos!$F$7-Supuestos!$D$7),Supuestos!$D$7+SQRT(D304*(Supuestos!$F$7-Supuestos!$D$7)*(Supuestos!$E$7-Supuestos!$D$7)),Supuestos!$F$7-SQRT((1-D304)*(Supuestos!$F$7-Supuestos!$D$7)*(Supuestos!$F$7-Supuestos!$E$7))),IF(Supuestos!$C$7="Uniforme",Supuestos!$D$7+D304*(Supuestos!$E$7-Supuestos!$D$7),IF(Supuestos!$C$7="Lognormal",LOGINV(D304,LN(Supuestos!$D$7)-LN(1+Supuestos!$E$7^2/Supuestos!$D$7^2)/2,SQRT(LN(1+Supuestos!$E$7^2/Supuestos!$D$7^2))),Supuestos!$D$7))))))</f>
        <v/>
      </c>
      <c r="L304" s="32">
        <f>MIN(IF(Supuestos!$H$8="",1E+99,Supuestos!$H$8),MAX(IF(Supuestos!$G$8="",-1E+99,Supuestos!$G$8),IF(Supuestos!$C$8="Normal",NORMINV(E304,Supuestos!$D$8,Supuestos!$E$8),IF(Supuestos!$C$8="Triangular",IF(E304&lt;(Supuestos!$E$8-Supuestos!$D$8)/(Supuestos!$F$8-Supuestos!$D$8),Supuestos!$D$8+SQRT(E304*(Supuestos!$F$8-Supuestos!$D$8)*(Supuestos!$E$8-Supuestos!$D$8)),Supuestos!$F$8-SQRT((1-E304)*(Supuestos!$F$8-Supuestos!$D$8)*(Supuestos!$F$8-Supuestos!$E$8))),IF(Supuestos!$C$8="Uniforme",Supuestos!$D$8+E304*(Supuestos!$E$8-Supuestos!$D$8),IF(Supuestos!$C$8="Lognormal",LOGINV(E304,LN(Supuestos!$D$8)-LN(1+Supuestos!$E$8^2/Supuestos!$D$8^2)/2,SQRT(LN(1+Supuestos!$E$8^2/Supuestos!$D$8^2))),Supuestos!$D$8))))))</f>
        <v/>
      </c>
      <c r="M304" s="32">
        <f>MIN(IF(Supuestos!$H$9="",1E+99,Supuestos!$H$9),MAX(IF(Supuestos!$G$9="",-1E+99,Supuestos!$G$9),IF(Supuestos!$C$9="Normal",NORMINV(F304,Supuestos!$D$9,Supuestos!$E$9),IF(Supuestos!$C$9="Triangular",IF(F304&lt;(Supuestos!$E$9-Supuestos!$D$9)/(Supuestos!$F$9-Supuestos!$D$9),Supuestos!$D$9+SQRT(F304*(Supuestos!$F$9-Supuestos!$D$9)*(Supuestos!$E$9-Supuestos!$D$9)),Supuestos!$F$9-SQRT((1-F304)*(Supuestos!$F$9-Supuestos!$D$9)*(Supuestos!$F$9-Supuestos!$E$9))),IF(Supuestos!$C$9="Uniforme",Supuestos!$D$9+F304*(Supuestos!$E$9-Supuestos!$D$9),IF(Supuestos!$C$9="Lognormal",LOGINV(F304,LN(Supuestos!$D$9)-LN(1+Supuestos!$E$9^2/Supuestos!$D$9^2)/2,SQRT(LN(1+Supuestos!$E$9^2/Supuestos!$D$9^2))),Supuestos!$D$9))))))</f>
        <v/>
      </c>
      <c r="N304" s="32">
        <f>MIN(IF(Supuestos!$H$10="",1E+99,Supuestos!$H$10),MAX(IF(Supuestos!$G$10="",-1E+99,Supuestos!$G$10),IF(Supuestos!$C$10="Normal",NORMINV(G304,Supuestos!$D$10,Supuestos!$E$10),IF(Supuestos!$C$10="Triangular",IF(G304&lt;(Supuestos!$E$10-Supuestos!$D$10)/(Supuestos!$F$10-Supuestos!$D$10),Supuestos!$D$10+SQRT(G304*(Supuestos!$F$10-Supuestos!$D$10)*(Supuestos!$E$10-Supuestos!$D$10)),Supuestos!$F$10-SQRT((1-G304)*(Supuestos!$F$10-Supuestos!$D$10)*(Supuestos!$F$10-Supuestos!$E$10))),IF(Supuestos!$C$10="Uniforme",Supuestos!$D$10+G304*(Supuestos!$E$10-Supuestos!$D$10),IF(Supuestos!$C$10="Lognormal",LOGINV(G304,LN(Supuestos!$D$10)-LN(1+Supuestos!$E$10^2/Supuestos!$D$10^2)/2,SQRT(LN(1+Supuestos!$E$10^2/Supuestos!$D$10^2))),Supuestos!$D$10))))))</f>
        <v/>
      </c>
      <c r="O304" s="31">
        <f>MIN(IF(Supuestos!$H$11="",1E+99,Supuestos!$H$11),MAX(IF(Supuestos!$G$11="",-1E+99,Supuestos!$G$11),IF(Supuestos!$C$11="Normal",NORMINV(H304,Supuestos!$D$11,Supuestos!$E$11),IF(Supuestos!$C$11="Triangular",IF(H304&lt;(Supuestos!$E$11-Supuestos!$D$11)/(Supuestos!$F$11-Supuestos!$D$11),Supuestos!$D$11+SQRT(H304*(Supuestos!$F$11-Supuestos!$D$11)*(Supuestos!$E$11-Supuestos!$D$11)),Supuestos!$F$11-SQRT((1-H304)*(Supuestos!$F$11-Supuestos!$D$11)*(Supuestos!$F$11-Supuestos!$E$11))),IF(Supuestos!$C$11="Uniforme",Supuestos!$D$11+H304*(Supuestos!$E$11-Supuestos!$D$11),IF(Supuestos!$C$11="Lognormal",LOGINV(H304,LN(Supuestos!$D$11)-LN(1+Supuestos!$E$11^2/Supuestos!$D$11^2)/2,SQRT(LN(1+Supuestos!$E$11^2/Supuestos!$D$11^2))),Supuestos!$D$11))))))</f>
        <v/>
      </c>
      <c r="P304" s="33">
        <f>-I304</f>
        <v/>
      </c>
      <c r="Q304" s="33">
        <f>$J304*(1+$K304)^(1-1)*(1-$L304)*(1-$M304)</f>
        <v/>
      </c>
      <c r="R304" s="33">
        <f>$J304*(1+$K304)^(2-1)*(1-$L304)*(1-$M304)</f>
        <v/>
      </c>
      <c r="S304" s="33">
        <f>$J304*(1+$K304)^(3-1)*(1-$L304)*(1-$M304)</f>
        <v/>
      </c>
      <c r="T304" s="33">
        <f>$J304*(1+$K304)^(4-1)*(1-$L304)*(1-$M304)</f>
        <v/>
      </c>
      <c r="U304" s="33">
        <f>$J304*(1+$K304)^(5-1)*(1-$L304)*(1-$M304)+$O304</f>
        <v/>
      </c>
      <c r="V304" s="33">
        <f>P304+NPV($N304,Q304:U304)</f>
        <v/>
      </c>
      <c r="W304" s="32">
        <f>IFERROR(IRR(P304:U304,0.1),"")</f>
        <v/>
      </c>
    </row>
    <row r="305">
      <c r="A305" s="14" t="n">
        <v>301</v>
      </c>
      <c r="B305" s="30">
        <f>RAND()*(1-2E-6)+1E-6</f>
        <v/>
      </c>
      <c r="C305" s="30">
        <f>RAND()*(1-2E-6)+1E-6</f>
        <v/>
      </c>
      <c r="D305" s="30">
        <f>RAND()*(1-2E-6)+1E-6</f>
        <v/>
      </c>
      <c r="E305" s="30">
        <f>RAND()*(1-2E-6)+1E-6</f>
        <v/>
      </c>
      <c r="F305" s="30">
        <f>RAND()*(1-2E-6)+1E-6</f>
        <v/>
      </c>
      <c r="G305" s="30">
        <f>RAND()*(1-2E-6)+1E-6</f>
        <v/>
      </c>
      <c r="H305" s="30">
        <f>RAND()*(1-2E-6)+1E-6</f>
        <v/>
      </c>
      <c r="I305" s="31">
        <f>MIN(IF(Supuestos!$H$5="",1E+99,Supuestos!$H$5),MAX(IF(Supuestos!$G$5="",-1E+99,Supuestos!$G$5),IF(Supuestos!$C$5="Normal",NORMINV(B305,Supuestos!$D$5,Supuestos!$E$5),IF(Supuestos!$C$5="Triangular",IF(B305&lt;(Supuestos!$E$5-Supuestos!$D$5)/(Supuestos!$F$5-Supuestos!$D$5),Supuestos!$D$5+SQRT(B305*(Supuestos!$F$5-Supuestos!$D$5)*(Supuestos!$E$5-Supuestos!$D$5)),Supuestos!$F$5-SQRT((1-B305)*(Supuestos!$F$5-Supuestos!$D$5)*(Supuestos!$F$5-Supuestos!$E$5))),IF(Supuestos!$C$5="Uniforme",Supuestos!$D$5+B305*(Supuestos!$E$5-Supuestos!$D$5),IF(Supuestos!$C$5="Lognormal",LOGINV(B305,LN(Supuestos!$D$5)-LN(1+Supuestos!$E$5^2/Supuestos!$D$5^2)/2,SQRT(LN(1+Supuestos!$E$5^2/Supuestos!$D$5^2))),Supuestos!$D$5))))))</f>
        <v/>
      </c>
      <c r="J305" s="31">
        <f>MIN(IF(Supuestos!$H$6="",1E+99,Supuestos!$H$6),MAX(IF(Supuestos!$G$6="",-1E+99,Supuestos!$G$6),IF(Supuestos!$C$6="Normal",NORMINV(C305,Supuestos!$D$6,Supuestos!$E$6),IF(Supuestos!$C$6="Triangular",IF(C305&lt;(Supuestos!$E$6-Supuestos!$D$6)/(Supuestos!$F$6-Supuestos!$D$6),Supuestos!$D$6+SQRT(C305*(Supuestos!$F$6-Supuestos!$D$6)*(Supuestos!$E$6-Supuestos!$D$6)),Supuestos!$F$6-SQRT((1-C305)*(Supuestos!$F$6-Supuestos!$D$6)*(Supuestos!$F$6-Supuestos!$E$6))),IF(Supuestos!$C$6="Uniforme",Supuestos!$D$6+C305*(Supuestos!$E$6-Supuestos!$D$6),IF(Supuestos!$C$6="Lognormal",LOGINV(C305,LN(Supuestos!$D$6)-LN(1+Supuestos!$E$6^2/Supuestos!$D$6^2)/2,SQRT(LN(1+Supuestos!$E$6^2/Supuestos!$D$6^2))),Supuestos!$D$6))))))</f>
        <v/>
      </c>
      <c r="K305" s="32">
        <f>MIN(IF(Supuestos!$H$7="",1E+99,Supuestos!$H$7),MAX(IF(Supuestos!$G$7="",-1E+99,Supuestos!$G$7),IF(Supuestos!$C$7="Normal",NORMINV(D305,Supuestos!$D$7,Supuestos!$E$7),IF(Supuestos!$C$7="Triangular",IF(D305&lt;(Supuestos!$E$7-Supuestos!$D$7)/(Supuestos!$F$7-Supuestos!$D$7),Supuestos!$D$7+SQRT(D305*(Supuestos!$F$7-Supuestos!$D$7)*(Supuestos!$E$7-Supuestos!$D$7)),Supuestos!$F$7-SQRT((1-D305)*(Supuestos!$F$7-Supuestos!$D$7)*(Supuestos!$F$7-Supuestos!$E$7))),IF(Supuestos!$C$7="Uniforme",Supuestos!$D$7+D305*(Supuestos!$E$7-Supuestos!$D$7),IF(Supuestos!$C$7="Lognormal",LOGINV(D305,LN(Supuestos!$D$7)-LN(1+Supuestos!$E$7^2/Supuestos!$D$7^2)/2,SQRT(LN(1+Supuestos!$E$7^2/Supuestos!$D$7^2))),Supuestos!$D$7))))))</f>
        <v/>
      </c>
      <c r="L305" s="32">
        <f>MIN(IF(Supuestos!$H$8="",1E+99,Supuestos!$H$8),MAX(IF(Supuestos!$G$8="",-1E+99,Supuestos!$G$8),IF(Supuestos!$C$8="Normal",NORMINV(E305,Supuestos!$D$8,Supuestos!$E$8),IF(Supuestos!$C$8="Triangular",IF(E305&lt;(Supuestos!$E$8-Supuestos!$D$8)/(Supuestos!$F$8-Supuestos!$D$8),Supuestos!$D$8+SQRT(E305*(Supuestos!$F$8-Supuestos!$D$8)*(Supuestos!$E$8-Supuestos!$D$8)),Supuestos!$F$8-SQRT((1-E305)*(Supuestos!$F$8-Supuestos!$D$8)*(Supuestos!$F$8-Supuestos!$E$8))),IF(Supuestos!$C$8="Uniforme",Supuestos!$D$8+E305*(Supuestos!$E$8-Supuestos!$D$8),IF(Supuestos!$C$8="Lognormal",LOGINV(E305,LN(Supuestos!$D$8)-LN(1+Supuestos!$E$8^2/Supuestos!$D$8^2)/2,SQRT(LN(1+Supuestos!$E$8^2/Supuestos!$D$8^2))),Supuestos!$D$8))))))</f>
        <v/>
      </c>
      <c r="M305" s="32">
        <f>MIN(IF(Supuestos!$H$9="",1E+99,Supuestos!$H$9),MAX(IF(Supuestos!$G$9="",-1E+99,Supuestos!$G$9),IF(Supuestos!$C$9="Normal",NORMINV(F305,Supuestos!$D$9,Supuestos!$E$9),IF(Supuestos!$C$9="Triangular",IF(F305&lt;(Supuestos!$E$9-Supuestos!$D$9)/(Supuestos!$F$9-Supuestos!$D$9),Supuestos!$D$9+SQRT(F305*(Supuestos!$F$9-Supuestos!$D$9)*(Supuestos!$E$9-Supuestos!$D$9)),Supuestos!$F$9-SQRT((1-F305)*(Supuestos!$F$9-Supuestos!$D$9)*(Supuestos!$F$9-Supuestos!$E$9))),IF(Supuestos!$C$9="Uniforme",Supuestos!$D$9+F305*(Supuestos!$E$9-Supuestos!$D$9),IF(Supuestos!$C$9="Lognormal",LOGINV(F305,LN(Supuestos!$D$9)-LN(1+Supuestos!$E$9^2/Supuestos!$D$9^2)/2,SQRT(LN(1+Supuestos!$E$9^2/Supuestos!$D$9^2))),Supuestos!$D$9))))))</f>
        <v/>
      </c>
      <c r="N305" s="32">
        <f>MIN(IF(Supuestos!$H$10="",1E+99,Supuestos!$H$10),MAX(IF(Supuestos!$G$10="",-1E+99,Supuestos!$G$10),IF(Supuestos!$C$10="Normal",NORMINV(G305,Supuestos!$D$10,Supuestos!$E$10),IF(Supuestos!$C$10="Triangular",IF(G305&lt;(Supuestos!$E$10-Supuestos!$D$10)/(Supuestos!$F$10-Supuestos!$D$10),Supuestos!$D$10+SQRT(G305*(Supuestos!$F$10-Supuestos!$D$10)*(Supuestos!$E$10-Supuestos!$D$10)),Supuestos!$F$10-SQRT((1-G305)*(Supuestos!$F$10-Supuestos!$D$10)*(Supuestos!$F$10-Supuestos!$E$10))),IF(Supuestos!$C$10="Uniforme",Supuestos!$D$10+G305*(Supuestos!$E$10-Supuestos!$D$10),IF(Supuestos!$C$10="Lognormal",LOGINV(G305,LN(Supuestos!$D$10)-LN(1+Supuestos!$E$10^2/Supuestos!$D$10^2)/2,SQRT(LN(1+Supuestos!$E$10^2/Supuestos!$D$10^2))),Supuestos!$D$10))))))</f>
        <v/>
      </c>
      <c r="O305" s="31">
        <f>MIN(IF(Supuestos!$H$11="",1E+99,Supuestos!$H$11),MAX(IF(Supuestos!$G$11="",-1E+99,Supuestos!$G$11),IF(Supuestos!$C$11="Normal",NORMINV(H305,Supuestos!$D$11,Supuestos!$E$11),IF(Supuestos!$C$11="Triangular",IF(H305&lt;(Supuestos!$E$11-Supuestos!$D$11)/(Supuestos!$F$11-Supuestos!$D$11),Supuestos!$D$11+SQRT(H305*(Supuestos!$F$11-Supuestos!$D$11)*(Supuestos!$E$11-Supuestos!$D$11)),Supuestos!$F$11-SQRT((1-H305)*(Supuestos!$F$11-Supuestos!$D$11)*(Supuestos!$F$11-Supuestos!$E$11))),IF(Supuestos!$C$11="Uniforme",Supuestos!$D$11+H305*(Supuestos!$E$11-Supuestos!$D$11),IF(Supuestos!$C$11="Lognormal",LOGINV(H305,LN(Supuestos!$D$11)-LN(1+Supuestos!$E$11^2/Supuestos!$D$11^2)/2,SQRT(LN(1+Supuestos!$E$11^2/Supuestos!$D$11^2))),Supuestos!$D$11))))))</f>
        <v/>
      </c>
      <c r="P305" s="33">
        <f>-I305</f>
        <v/>
      </c>
      <c r="Q305" s="33">
        <f>$J305*(1+$K305)^(1-1)*(1-$L305)*(1-$M305)</f>
        <v/>
      </c>
      <c r="R305" s="33">
        <f>$J305*(1+$K305)^(2-1)*(1-$L305)*(1-$M305)</f>
        <v/>
      </c>
      <c r="S305" s="33">
        <f>$J305*(1+$K305)^(3-1)*(1-$L305)*(1-$M305)</f>
        <v/>
      </c>
      <c r="T305" s="33">
        <f>$J305*(1+$K305)^(4-1)*(1-$L305)*(1-$M305)</f>
        <v/>
      </c>
      <c r="U305" s="33">
        <f>$J305*(1+$K305)^(5-1)*(1-$L305)*(1-$M305)+$O305</f>
        <v/>
      </c>
      <c r="V305" s="33">
        <f>P305+NPV($N305,Q305:U305)</f>
        <v/>
      </c>
      <c r="W305" s="32">
        <f>IFERROR(IRR(P305:U305,0.1),"")</f>
        <v/>
      </c>
    </row>
    <row r="306">
      <c r="A306" s="14" t="n">
        <v>302</v>
      </c>
      <c r="B306" s="30">
        <f>RAND()*(1-2E-6)+1E-6</f>
        <v/>
      </c>
      <c r="C306" s="30">
        <f>RAND()*(1-2E-6)+1E-6</f>
        <v/>
      </c>
      <c r="D306" s="30">
        <f>RAND()*(1-2E-6)+1E-6</f>
        <v/>
      </c>
      <c r="E306" s="30">
        <f>RAND()*(1-2E-6)+1E-6</f>
        <v/>
      </c>
      <c r="F306" s="30">
        <f>RAND()*(1-2E-6)+1E-6</f>
        <v/>
      </c>
      <c r="G306" s="30">
        <f>RAND()*(1-2E-6)+1E-6</f>
        <v/>
      </c>
      <c r="H306" s="30">
        <f>RAND()*(1-2E-6)+1E-6</f>
        <v/>
      </c>
      <c r="I306" s="31">
        <f>MIN(IF(Supuestos!$H$5="",1E+99,Supuestos!$H$5),MAX(IF(Supuestos!$G$5="",-1E+99,Supuestos!$G$5),IF(Supuestos!$C$5="Normal",NORMINV(B306,Supuestos!$D$5,Supuestos!$E$5),IF(Supuestos!$C$5="Triangular",IF(B306&lt;(Supuestos!$E$5-Supuestos!$D$5)/(Supuestos!$F$5-Supuestos!$D$5),Supuestos!$D$5+SQRT(B306*(Supuestos!$F$5-Supuestos!$D$5)*(Supuestos!$E$5-Supuestos!$D$5)),Supuestos!$F$5-SQRT((1-B306)*(Supuestos!$F$5-Supuestos!$D$5)*(Supuestos!$F$5-Supuestos!$E$5))),IF(Supuestos!$C$5="Uniforme",Supuestos!$D$5+B306*(Supuestos!$E$5-Supuestos!$D$5),IF(Supuestos!$C$5="Lognormal",LOGINV(B306,LN(Supuestos!$D$5)-LN(1+Supuestos!$E$5^2/Supuestos!$D$5^2)/2,SQRT(LN(1+Supuestos!$E$5^2/Supuestos!$D$5^2))),Supuestos!$D$5))))))</f>
        <v/>
      </c>
      <c r="J306" s="31">
        <f>MIN(IF(Supuestos!$H$6="",1E+99,Supuestos!$H$6),MAX(IF(Supuestos!$G$6="",-1E+99,Supuestos!$G$6),IF(Supuestos!$C$6="Normal",NORMINV(C306,Supuestos!$D$6,Supuestos!$E$6),IF(Supuestos!$C$6="Triangular",IF(C306&lt;(Supuestos!$E$6-Supuestos!$D$6)/(Supuestos!$F$6-Supuestos!$D$6),Supuestos!$D$6+SQRT(C306*(Supuestos!$F$6-Supuestos!$D$6)*(Supuestos!$E$6-Supuestos!$D$6)),Supuestos!$F$6-SQRT((1-C306)*(Supuestos!$F$6-Supuestos!$D$6)*(Supuestos!$F$6-Supuestos!$E$6))),IF(Supuestos!$C$6="Uniforme",Supuestos!$D$6+C306*(Supuestos!$E$6-Supuestos!$D$6),IF(Supuestos!$C$6="Lognormal",LOGINV(C306,LN(Supuestos!$D$6)-LN(1+Supuestos!$E$6^2/Supuestos!$D$6^2)/2,SQRT(LN(1+Supuestos!$E$6^2/Supuestos!$D$6^2))),Supuestos!$D$6))))))</f>
        <v/>
      </c>
      <c r="K306" s="32">
        <f>MIN(IF(Supuestos!$H$7="",1E+99,Supuestos!$H$7),MAX(IF(Supuestos!$G$7="",-1E+99,Supuestos!$G$7),IF(Supuestos!$C$7="Normal",NORMINV(D306,Supuestos!$D$7,Supuestos!$E$7),IF(Supuestos!$C$7="Triangular",IF(D306&lt;(Supuestos!$E$7-Supuestos!$D$7)/(Supuestos!$F$7-Supuestos!$D$7),Supuestos!$D$7+SQRT(D306*(Supuestos!$F$7-Supuestos!$D$7)*(Supuestos!$E$7-Supuestos!$D$7)),Supuestos!$F$7-SQRT((1-D306)*(Supuestos!$F$7-Supuestos!$D$7)*(Supuestos!$F$7-Supuestos!$E$7))),IF(Supuestos!$C$7="Uniforme",Supuestos!$D$7+D306*(Supuestos!$E$7-Supuestos!$D$7),IF(Supuestos!$C$7="Lognormal",LOGINV(D306,LN(Supuestos!$D$7)-LN(1+Supuestos!$E$7^2/Supuestos!$D$7^2)/2,SQRT(LN(1+Supuestos!$E$7^2/Supuestos!$D$7^2))),Supuestos!$D$7))))))</f>
        <v/>
      </c>
      <c r="L306" s="32">
        <f>MIN(IF(Supuestos!$H$8="",1E+99,Supuestos!$H$8),MAX(IF(Supuestos!$G$8="",-1E+99,Supuestos!$G$8),IF(Supuestos!$C$8="Normal",NORMINV(E306,Supuestos!$D$8,Supuestos!$E$8),IF(Supuestos!$C$8="Triangular",IF(E306&lt;(Supuestos!$E$8-Supuestos!$D$8)/(Supuestos!$F$8-Supuestos!$D$8),Supuestos!$D$8+SQRT(E306*(Supuestos!$F$8-Supuestos!$D$8)*(Supuestos!$E$8-Supuestos!$D$8)),Supuestos!$F$8-SQRT((1-E306)*(Supuestos!$F$8-Supuestos!$D$8)*(Supuestos!$F$8-Supuestos!$E$8))),IF(Supuestos!$C$8="Uniforme",Supuestos!$D$8+E306*(Supuestos!$E$8-Supuestos!$D$8),IF(Supuestos!$C$8="Lognormal",LOGINV(E306,LN(Supuestos!$D$8)-LN(1+Supuestos!$E$8^2/Supuestos!$D$8^2)/2,SQRT(LN(1+Supuestos!$E$8^2/Supuestos!$D$8^2))),Supuestos!$D$8))))))</f>
        <v/>
      </c>
      <c r="M306" s="32">
        <f>MIN(IF(Supuestos!$H$9="",1E+99,Supuestos!$H$9),MAX(IF(Supuestos!$G$9="",-1E+99,Supuestos!$G$9),IF(Supuestos!$C$9="Normal",NORMINV(F306,Supuestos!$D$9,Supuestos!$E$9),IF(Supuestos!$C$9="Triangular",IF(F306&lt;(Supuestos!$E$9-Supuestos!$D$9)/(Supuestos!$F$9-Supuestos!$D$9),Supuestos!$D$9+SQRT(F306*(Supuestos!$F$9-Supuestos!$D$9)*(Supuestos!$E$9-Supuestos!$D$9)),Supuestos!$F$9-SQRT((1-F306)*(Supuestos!$F$9-Supuestos!$D$9)*(Supuestos!$F$9-Supuestos!$E$9))),IF(Supuestos!$C$9="Uniforme",Supuestos!$D$9+F306*(Supuestos!$E$9-Supuestos!$D$9),IF(Supuestos!$C$9="Lognormal",LOGINV(F306,LN(Supuestos!$D$9)-LN(1+Supuestos!$E$9^2/Supuestos!$D$9^2)/2,SQRT(LN(1+Supuestos!$E$9^2/Supuestos!$D$9^2))),Supuestos!$D$9))))))</f>
        <v/>
      </c>
      <c r="N306" s="32">
        <f>MIN(IF(Supuestos!$H$10="",1E+99,Supuestos!$H$10),MAX(IF(Supuestos!$G$10="",-1E+99,Supuestos!$G$10),IF(Supuestos!$C$10="Normal",NORMINV(G306,Supuestos!$D$10,Supuestos!$E$10),IF(Supuestos!$C$10="Triangular",IF(G306&lt;(Supuestos!$E$10-Supuestos!$D$10)/(Supuestos!$F$10-Supuestos!$D$10),Supuestos!$D$10+SQRT(G306*(Supuestos!$F$10-Supuestos!$D$10)*(Supuestos!$E$10-Supuestos!$D$10)),Supuestos!$F$10-SQRT((1-G306)*(Supuestos!$F$10-Supuestos!$D$10)*(Supuestos!$F$10-Supuestos!$E$10))),IF(Supuestos!$C$10="Uniforme",Supuestos!$D$10+G306*(Supuestos!$E$10-Supuestos!$D$10),IF(Supuestos!$C$10="Lognormal",LOGINV(G306,LN(Supuestos!$D$10)-LN(1+Supuestos!$E$10^2/Supuestos!$D$10^2)/2,SQRT(LN(1+Supuestos!$E$10^2/Supuestos!$D$10^2))),Supuestos!$D$10))))))</f>
        <v/>
      </c>
      <c r="O306" s="31">
        <f>MIN(IF(Supuestos!$H$11="",1E+99,Supuestos!$H$11),MAX(IF(Supuestos!$G$11="",-1E+99,Supuestos!$G$11),IF(Supuestos!$C$11="Normal",NORMINV(H306,Supuestos!$D$11,Supuestos!$E$11),IF(Supuestos!$C$11="Triangular",IF(H306&lt;(Supuestos!$E$11-Supuestos!$D$11)/(Supuestos!$F$11-Supuestos!$D$11),Supuestos!$D$11+SQRT(H306*(Supuestos!$F$11-Supuestos!$D$11)*(Supuestos!$E$11-Supuestos!$D$11)),Supuestos!$F$11-SQRT((1-H306)*(Supuestos!$F$11-Supuestos!$D$11)*(Supuestos!$F$11-Supuestos!$E$11))),IF(Supuestos!$C$11="Uniforme",Supuestos!$D$11+H306*(Supuestos!$E$11-Supuestos!$D$11),IF(Supuestos!$C$11="Lognormal",LOGINV(H306,LN(Supuestos!$D$11)-LN(1+Supuestos!$E$11^2/Supuestos!$D$11^2)/2,SQRT(LN(1+Supuestos!$E$11^2/Supuestos!$D$11^2))),Supuestos!$D$11))))))</f>
        <v/>
      </c>
      <c r="P306" s="33">
        <f>-I306</f>
        <v/>
      </c>
      <c r="Q306" s="33">
        <f>$J306*(1+$K306)^(1-1)*(1-$L306)*(1-$M306)</f>
        <v/>
      </c>
      <c r="R306" s="33">
        <f>$J306*(1+$K306)^(2-1)*(1-$L306)*(1-$M306)</f>
        <v/>
      </c>
      <c r="S306" s="33">
        <f>$J306*(1+$K306)^(3-1)*(1-$L306)*(1-$M306)</f>
        <v/>
      </c>
      <c r="T306" s="33">
        <f>$J306*(1+$K306)^(4-1)*(1-$L306)*(1-$M306)</f>
        <v/>
      </c>
      <c r="U306" s="33">
        <f>$J306*(1+$K306)^(5-1)*(1-$L306)*(1-$M306)+$O306</f>
        <v/>
      </c>
      <c r="V306" s="33">
        <f>P306+NPV($N306,Q306:U306)</f>
        <v/>
      </c>
      <c r="W306" s="32">
        <f>IFERROR(IRR(P306:U306,0.1),"")</f>
        <v/>
      </c>
    </row>
    <row r="307">
      <c r="A307" s="14" t="n">
        <v>303</v>
      </c>
      <c r="B307" s="30">
        <f>RAND()*(1-2E-6)+1E-6</f>
        <v/>
      </c>
      <c r="C307" s="30">
        <f>RAND()*(1-2E-6)+1E-6</f>
        <v/>
      </c>
      <c r="D307" s="30">
        <f>RAND()*(1-2E-6)+1E-6</f>
        <v/>
      </c>
      <c r="E307" s="30">
        <f>RAND()*(1-2E-6)+1E-6</f>
        <v/>
      </c>
      <c r="F307" s="30">
        <f>RAND()*(1-2E-6)+1E-6</f>
        <v/>
      </c>
      <c r="G307" s="30">
        <f>RAND()*(1-2E-6)+1E-6</f>
        <v/>
      </c>
      <c r="H307" s="30">
        <f>RAND()*(1-2E-6)+1E-6</f>
        <v/>
      </c>
      <c r="I307" s="31">
        <f>MIN(IF(Supuestos!$H$5="",1E+99,Supuestos!$H$5),MAX(IF(Supuestos!$G$5="",-1E+99,Supuestos!$G$5),IF(Supuestos!$C$5="Normal",NORMINV(B307,Supuestos!$D$5,Supuestos!$E$5),IF(Supuestos!$C$5="Triangular",IF(B307&lt;(Supuestos!$E$5-Supuestos!$D$5)/(Supuestos!$F$5-Supuestos!$D$5),Supuestos!$D$5+SQRT(B307*(Supuestos!$F$5-Supuestos!$D$5)*(Supuestos!$E$5-Supuestos!$D$5)),Supuestos!$F$5-SQRT((1-B307)*(Supuestos!$F$5-Supuestos!$D$5)*(Supuestos!$F$5-Supuestos!$E$5))),IF(Supuestos!$C$5="Uniforme",Supuestos!$D$5+B307*(Supuestos!$E$5-Supuestos!$D$5),IF(Supuestos!$C$5="Lognormal",LOGINV(B307,LN(Supuestos!$D$5)-LN(1+Supuestos!$E$5^2/Supuestos!$D$5^2)/2,SQRT(LN(1+Supuestos!$E$5^2/Supuestos!$D$5^2))),Supuestos!$D$5))))))</f>
        <v/>
      </c>
      <c r="J307" s="31">
        <f>MIN(IF(Supuestos!$H$6="",1E+99,Supuestos!$H$6),MAX(IF(Supuestos!$G$6="",-1E+99,Supuestos!$G$6),IF(Supuestos!$C$6="Normal",NORMINV(C307,Supuestos!$D$6,Supuestos!$E$6),IF(Supuestos!$C$6="Triangular",IF(C307&lt;(Supuestos!$E$6-Supuestos!$D$6)/(Supuestos!$F$6-Supuestos!$D$6),Supuestos!$D$6+SQRT(C307*(Supuestos!$F$6-Supuestos!$D$6)*(Supuestos!$E$6-Supuestos!$D$6)),Supuestos!$F$6-SQRT((1-C307)*(Supuestos!$F$6-Supuestos!$D$6)*(Supuestos!$F$6-Supuestos!$E$6))),IF(Supuestos!$C$6="Uniforme",Supuestos!$D$6+C307*(Supuestos!$E$6-Supuestos!$D$6),IF(Supuestos!$C$6="Lognormal",LOGINV(C307,LN(Supuestos!$D$6)-LN(1+Supuestos!$E$6^2/Supuestos!$D$6^2)/2,SQRT(LN(1+Supuestos!$E$6^2/Supuestos!$D$6^2))),Supuestos!$D$6))))))</f>
        <v/>
      </c>
      <c r="K307" s="32">
        <f>MIN(IF(Supuestos!$H$7="",1E+99,Supuestos!$H$7),MAX(IF(Supuestos!$G$7="",-1E+99,Supuestos!$G$7),IF(Supuestos!$C$7="Normal",NORMINV(D307,Supuestos!$D$7,Supuestos!$E$7),IF(Supuestos!$C$7="Triangular",IF(D307&lt;(Supuestos!$E$7-Supuestos!$D$7)/(Supuestos!$F$7-Supuestos!$D$7),Supuestos!$D$7+SQRT(D307*(Supuestos!$F$7-Supuestos!$D$7)*(Supuestos!$E$7-Supuestos!$D$7)),Supuestos!$F$7-SQRT((1-D307)*(Supuestos!$F$7-Supuestos!$D$7)*(Supuestos!$F$7-Supuestos!$E$7))),IF(Supuestos!$C$7="Uniforme",Supuestos!$D$7+D307*(Supuestos!$E$7-Supuestos!$D$7),IF(Supuestos!$C$7="Lognormal",LOGINV(D307,LN(Supuestos!$D$7)-LN(1+Supuestos!$E$7^2/Supuestos!$D$7^2)/2,SQRT(LN(1+Supuestos!$E$7^2/Supuestos!$D$7^2))),Supuestos!$D$7))))))</f>
        <v/>
      </c>
      <c r="L307" s="32">
        <f>MIN(IF(Supuestos!$H$8="",1E+99,Supuestos!$H$8),MAX(IF(Supuestos!$G$8="",-1E+99,Supuestos!$G$8),IF(Supuestos!$C$8="Normal",NORMINV(E307,Supuestos!$D$8,Supuestos!$E$8),IF(Supuestos!$C$8="Triangular",IF(E307&lt;(Supuestos!$E$8-Supuestos!$D$8)/(Supuestos!$F$8-Supuestos!$D$8),Supuestos!$D$8+SQRT(E307*(Supuestos!$F$8-Supuestos!$D$8)*(Supuestos!$E$8-Supuestos!$D$8)),Supuestos!$F$8-SQRT((1-E307)*(Supuestos!$F$8-Supuestos!$D$8)*(Supuestos!$F$8-Supuestos!$E$8))),IF(Supuestos!$C$8="Uniforme",Supuestos!$D$8+E307*(Supuestos!$E$8-Supuestos!$D$8),IF(Supuestos!$C$8="Lognormal",LOGINV(E307,LN(Supuestos!$D$8)-LN(1+Supuestos!$E$8^2/Supuestos!$D$8^2)/2,SQRT(LN(1+Supuestos!$E$8^2/Supuestos!$D$8^2))),Supuestos!$D$8))))))</f>
        <v/>
      </c>
      <c r="M307" s="32">
        <f>MIN(IF(Supuestos!$H$9="",1E+99,Supuestos!$H$9),MAX(IF(Supuestos!$G$9="",-1E+99,Supuestos!$G$9),IF(Supuestos!$C$9="Normal",NORMINV(F307,Supuestos!$D$9,Supuestos!$E$9),IF(Supuestos!$C$9="Triangular",IF(F307&lt;(Supuestos!$E$9-Supuestos!$D$9)/(Supuestos!$F$9-Supuestos!$D$9),Supuestos!$D$9+SQRT(F307*(Supuestos!$F$9-Supuestos!$D$9)*(Supuestos!$E$9-Supuestos!$D$9)),Supuestos!$F$9-SQRT((1-F307)*(Supuestos!$F$9-Supuestos!$D$9)*(Supuestos!$F$9-Supuestos!$E$9))),IF(Supuestos!$C$9="Uniforme",Supuestos!$D$9+F307*(Supuestos!$E$9-Supuestos!$D$9),IF(Supuestos!$C$9="Lognormal",LOGINV(F307,LN(Supuestos!$D$9)-LN(1+Supuestos!$E$9^2/Supuestos!$D$9^2)/2,SQRT(LN(1+Supuestos!$E$9^2/Supuestos!$D$9^2))),Supuestos!$D$9))))))</f>
        <v/>
      </c>
      <c r="N307" s="32">
        <f>MIN(IF(Supuestos!$H$10="",1E+99,Supuestos!$H$10),MAX(IF(Supuestos!$G$10="",-1E+99,Supuestos!$G$10),IF(Supuestos!$C$10="Normal",NORMINV(G307,Supuestos!$D$10,Supuestos!$E$10),IF(Supuestos!$C$10="Triangular",IF(G307&lt;(Supuestos!$E$10-Supuestos!$D$10)/(Supuestos!$F$10-Supuestos!$D$10),Supuestos!$D$10+SQRT(G307*(Supuestos!$F$10-Supuestos!$D$10)*(Supuestos!$E$10-Supuestos!$D$10)),Supuestos!$F$10-SQRT((1-G307)*(Supuestos!$F$10-Supuestos!$D$10)*(Supuestos!$F$10-Supuestos!$E$10))),IF(Supuestos!$C$10="Uniforme",Supuestos!$D$10+G307*(Supuestos!$E$10-Supuestos!$D$10),IF(Supuestos!$C$10="Lognormal",LOGINV(G307,LN(Supuestos!$D$10)-LN(1+Supuestos!$E$10^2/Supuestos!$D$10^2)/2,SQRT(LN(1+Supuestos!$E$10^2/Supuestos!$D$10^2))),Supuestos!$D$10))))))</f>
        <v/>
      </c>
      <c r="O307" s="31">
        <f>MIN(IF(Supuestos!$H$11="",1E+99,Supuestos!$H$11),MAX(IF(Supuestos!$G$11="",-1E+99,Supuestos!$G$11),IF(Supuestos!$C$11="Normal",NORMINV(H307,Supuestos!$D$11,Supuestos!$E$11),IF(Supuestos!$C$11="Triangular",IF(H307&lt;(Supuestos!$E$11-Supuestos!$D$11)/(Supuestos!$F$11-Supuestos!$D$11),Supuestos!$D$11+SQRT(H307*(Supuestos!$F$11-Supuestos!$D$11)*(Supuestos!$E$11-Supuestos!$D$11)),Supuestos!$F$11-SQRT((1-H307)*(Supuestos!$F$11-Supuestos!$D$11)*(Supuestos!$F$11-Supuestos!$E$11))),IF(Supuestos!$C$11="Uniforme",Supuestos!$D$11+H307*(Supuestos!$E$11-Supuestos!$D$11),IF(Supuestos!$C$11="Lognormal",LOGINV(H307,LN(Supuestos!$D$11)-LN(1+Supuestos!$E$11^2/Supuestos!$D$11^2)/2,SQRT(LN(1+Supuestos!$E$11^2/Supuestos!$D$11^2))),Supuestos!$D$11))))))</f>
        <v/>
      </c>
      <c r="P307" s="33">
        <f>-I307</f>
        <v/>
      </c>
      <c r="Q307" s="33">
        <f>$J307*(1+$K307)^(1-1)*(1-$L307)*(1-$M307)</f>
        <v/>
      </c>
      <c r="R307" s="33">
        <f>$J307*(1+$K307)^(2-1)*(1-$L307)*(1-$M307)</f>
        <v/>
      </c>
      <c r="S307" s="33">
        <f>$J307*(1+$K307)^(3-1)*(1-$L307)*(1-$M307)</f>
        <v/>
      </c>
      <c r="T307" s="33">
        <f>$J307*(1+$K307)^(4-1)*(1-$L307)*(1-$M307)</f>
        <v/>
      </c>
      <c r="U307" s="33">
        <f>$J307*(1+$K307)^(5-1)*(1-$L307)*(1-$M307)+$O307</f>
        <v/>
      </c>
      <c r="V307" s="33">
        <f>P307+NPV($N307,Q307:U307)</f>
        <v/>
      </c>
      <c r="W307" s="32">
        <f>IFERROR(IRR(P307:U307,0.1),"")</f>
        <v/>
      </c>
    </row>
    <row r="308">
      <c r="A308" s="14" t="n">
        <v>304</v>
      </c>
      <c r="B308" s="30">
        <f>RAND()*(1-2E-6)+1E-6</f>
        <v/>
      </c>
      <c r="C308" s="30">
        <f>RAND()*(1-2E-6)+1E-6</f>
        <v/>
      </c>
      <c r="D308" s="30">
        <f>RAND()*(1-2E-6)+1E-6</f>
        <v/>
      </c>
      <c r="E308" s="30">
        <f>RAND()*(1-2E-6)+1E-6</f>
        <v/>
      </c>
      <c r="F308" s="30">
        <f>RAND()*(1-2E-6)+1E-6</f>
        <v/>
      </c>
      <c r="G308" s="30">
        <f>RAND()*(1-2E-6)+1E-6</f>
        <v/>
      </c>
      <c r="H308" s="30">
        <f>RAND()*(1-2E-6)+1E-6</f>
        <v/>
      </c>
      <c r="I308" s="31">
        <f>MIN(IF(Supuestos!$H$5="",1E+99,Supuestos!$H$5),MAX(IF(Supuestos!$G$5="",-1E+99,Supuestos!$G$5),IF(Supuestos!$C$5="Normal",NORMINV(B308,Supuestos!$D$5,Supuestos!$E$5),IF(Supuestos!$C$5="Triangular",IF(B308&lt;(Supuestos!$E$5-Supuestos!$D$5)/(Supuestos!$F$5-Supuestos!$D$5),Supuestos!$D$5+SQRT(B308*(Supuestos!$F$5-Supuestos!$D$5)*(Supuestos!$E$5-Supuestos!$D$5)),Supuestos!$F$5-SQRT((1-B308)*(Supuestos!$F$5-Supuestos!$D$5)*(Supuestos!$F$5-Supuestos!$E$5))),IF(Supuestos!$C$5="Uniforme",Supuestos!$D$5+B308*(Supuestos!$E$5-Supuestos!$D$5),IF(Supuestos!$C$5="Lognormal",LOGINV(B308,LN(Supuestos!$D$5)-LN(1+Supuestos!$E$5^2/Supuestos!$D$5^2)/2,SQRT(LN(1+Supuestos!$E$5^2/Supuestos!$D$5^2))),Supuestos!$D$5))))))</f>
        <v/>
      </c>
      <c r="J308" s="31">
        <f>MIN(IF(Supuestos!$H$6="",1E+99,Supuestos!$H$6),MAX(IF(Supuestos!$G$6="",-1E+99,Supuestos!$G$6),IF(Supuestos!$C$6="Normal",NORMINV(C308,Supuestos!$D$6,Supuestos!$E$6),IF(Supuestos!$C$6="Triangular",IF(C308&lt;(Supuestos!$E$6-Supuestos!$D$6)/(Supuestos!$F$6-Supuestos!$D$6),Supuestos!$D$6+SQRT(C308*(Supuestos!$F$6-Supuestos!$D$6)*(Supuestos!$E$6-Supuestos!$D$6)),Supuestos!$F$6-SQRT((1-C308)*(Supuestos!$F$6-Supuestos!$D$6)*(Supuestos!$F$6-Supuestos!$E$6))),IF(Supuestos!$C$6="Uniforme",Supuestos!$D$6+C308*(Supuestos!$E$6-Supuestos!$D$6),IF(Supuestos!$C$6="Lognormal",LOGINV(C308,LN(Supuestos!$D$6)-LN(1+Supuestos!$E$6^2/Supuestos!$D$6^2)/2,SQRT(LN(1+Supuestos!$E$6^2/Supuestos!$D$6^2))),Supuestos!$D$6))))))</f>
        <v/>
      </c>
      <c r="K308" s="32">
        <f>MIN(IF(Supuestos!$H$7="",1E+99,Supuestos!$H$7),MAX(IF(Supuestos!$G$7="",-1E+99,Supuestos!$G$7),IF(Supuestos!$C$7="Normal",NORMINV(D308,Supuestos!$D$7,Supuestos!$E$7),IF(Supuestos!$C$7="Triangular",IF(D308&lt;(Supuestos!$E$7-Supuestos!$D$7)/(Supuestos!$F$7-Supuestos!$D$7),Supuestos!$D$7+SQRT(D308*(Supuestos!$F$7-Supuestos!$D$7)*(Supuestos!$E$7-Supuestos!$D$7)),Supuestos!$F$7-SQRT((1-D308)*(Supuestos!$F$7-Supuestos!$D$7)*(Supuestos!$F$7-Supuestos!$E$7))),IF(Supuestos!$C$7="Uniforme",Supuestos!$D$7+D308*(Supuestos!$E$7-Supuestos!$D$7),IF(Supuestos!$C$7="Lognormal",LOGINV(D308,LN(Supuestos!$D$7)-LN(1+Supuestos!$E$7^2/Supuestos!$D$7^2)/2,SQRT(LN(1+Supuestos!$E$7^2/Supuestos!$D$7^2))),Supuestos!$D$7))))))</f>
        <v/>
      </c>
      <c r="L308" s="32">
        <f>MIN(IF(Supuestos!$H$8="",1E+99,Supuestos!$H$8),MAX(IF(Supuestos!$G$8="",-1E+99,Supuestos!$G$8),IF(Supuestos!$C$8="Normal",NORMINV(E308,Supuestos!$D$8,Supuestos!$E$8),IF(Supuestos!$C$8="Triangular",IF(E308&lt;(Supuestos!$E$8-Supuestos!$D$8)/(Supuestos!$F$8-Supuestos!$D$8),Supuestos!$D$8+SQRT(E308*(Supuestos!$F$8-Supuestos!$D$8)*(Supuestos!$E$8-Supuestos!$D$8)),Supuestos!$F$8-SQRT((1-E308)*(Supuestos!$F$8-Supuestos!$D$8)*(Supuestos!$F$8-Supuestos!$E$8))),IF(Supuestos!$C$8="Uniforme",Supuestos!$D$8+E308*(Supuestos!$E$8-Supuestos!$D$8),IF(Supuestos!$C$8="Lognormal",LOGINV(E308,LN(Supuestos!$D$8)-LN(1+Supuestos!$E$8^2/Supuestos!$D$8^2)/2,SQRT(LN(1+Supuestos!$E$8^2/Supuestos!$D$8^2))),Supuestos!$D$8))))))</f>
        <v/>
      </c>
      <c r="M308" s="32">
        <f>MIN(IF(Supuestos!$H$9="",1E+99,Supuestos!$H$9),MAX(IF(Supuestos!$G$9="",-1E+99,Supuestos!$G$9),IF(Supuestos!$C$9="Normal",NORMINV(F308,Supuestos!$D$9,Supuestos!$E$9),IF(Supuestos!$C$9="Triangular",IF(F308&lt;(Supuestos!$E$9-Supuestos!$D$9)/(Supuestos!$F$9-Supuestos!$D$9),Supuestos!$D$9+SQRT(F308*(Supuestos!$F$9-Supuestos!$D$9)*(Supuestos!$E$9-Supuestos!$D$9)),Supuestos!$F$9-SQRT((1-F308)*(Supuestos!$F$9-Supuestos!$D$9)*(Supuestos!$F$9-Supuestos!$E$9))),IF(Supuestos!$C$9="Uniforme",Supuestos!$D$9+F308*(Supuestos!$E$9-Supuestos!$D$9),IF(Supuestos!$C$9="Lognormal",LOGINV(F308,LN(Supuestos!$D$9)-LN(1+Supuestos!$E$9^2/Supuestos!$D$9^2)/2,SQRT(LN(1+Supuestos!$E$9^2/Supuestos!$D$9^2))),Supuestos!$D$9))))))</f>
        <v/>
      </c>
      <c r="N308" s="32">
        <f>MIN(IF(Supuestos!$H$10="",1E+99,Supuestos!$H$10),MAX(IF(Supuestos!$G$10="",-1E+99,Supuestos!$G$10),IF(Supuestos!$C$10="Normal",NORMINV(G308,Supuestos!$D$10,Supuestos!$E$10),IF(Supuestos!$C$10="Triangular",IF(G308&lt;(Supuestos!$E$10-Supuestos!$D$10)/(Supuestos!$F$10-Supuestos!$D$10),Supuestos!$D$10+SQRT(G308*(Supuestos!$F$10-Supuestos!$D$10)*(Supuestos!$E$10-Supuestos!$D$10)),Supuestos!$F$10-SQRT((1-G308)*(Supuestos!$F$10-Supuestos!$D$10)*(Supuestos!$F$10-Supuestos!$E$10))),IF(Supuestos!$C$10="Uniforme",Supuestos!$D$10+G308*(Supuestos!$E$10-Supuestos!$D$10),IF(Supuestos!$C$10="Lognormal",LOGINV(G308,LN(Supuestos!$D$10)-LN(1+Supuestos!$E$10^2/Supuestos!$D$10^2)/2,SQRT(LN(1+Supuestos!$E$10^2/Supuestos!$D$10^2))),Supuestos!$D$10))))))</f>
        <v/>
      </c>
      <c r="O308" s="31">
        <f>MIN(IF(Supuestos!$H$11="",1E+99,Supuestos!$H$11),MAX(IF(Supuestos!$G$11="",-1E+99,Supuestos!$G$11),IF(Supuestos!$C$11="Normal",NORMINV(H308,Supuestos!$D$11,Supuestos!$E$11),IF(Supuestos!$C$11="Triangular",IF(H308&lt;(Supuestos!$E$11-Supuestos!$D$11)/(Supuestos!$F$11-Supuestos!$D$11),Supuestos!$D$11+SQRT(H308*(Supuestos!$F$11-Supuestos!$D$11)*(Supuestos!$E$11-Supuestos!$D$11)),Supuestos!$F$11-SQRT((1-H308)*(Supuestos!$F$11-Supuestos!$D$11)*(Supuestos!$F$11-Supuestos!$E$11))),IF(Supuestos!$C$11="Uniforme",Supuestos!$D$11+H308*(Supuestos!$E$11-Supuestos!$D$11),IF(Supuestos!$C$11="Lognormal",LOGINV(H308,LN(Supuestos!$D$11)-LN(1+Supuestos!$E$11^2/Supuestos!$D$11^2)/2,SQRT(LN(1+Supuestos!$E$11^2/Supuestos!$D$11^2))),Supuestos!$D$11))))))</f>
        <v/>
      </c>
      <c r="P308" s="33">
        <f>-I308</f>
        <v/>
      </c>
      <c r="Q308" s="33">
        <f>$J308*(1+$K308)^(1-1)*(1-$L308)*(1-$M308)</f>
        <v/>
      </c>
      <c r="R308" s="33">
        <f>$J308*(1+$K308)^(2-1)*(1-$L308)*(1-$M308)</f>
        <v/>
      </c>
      <c r="S308" s="33">
        <f>$J308*(1+$K308)^(3-1)*(1-$L308)*(1-$M308)</f>
        <v/>
      </c>
      <c r="T308" s="33">
        <f>$J308*(1+$K308)^(4-1)*(1-$L308)*(1-$M308)</f>
        <v/>
      </c>
      <c r="U308" s="33">
        <f>$J308*(1+$K308)^(5-1)*(1-$L308)*(1-$M308)+$O308</f>
        <v/>
      </c>
      <c r="V308" s="33">
        <f>P308+NPV($N308,Q308:U308)</f>
        <v/>
      </c>
      <c r="W308" s="32">
        <f>IFERROR(IRR(P308:U308,0.1),"")</f>
        <v/>
      </c>
    </row>
    <row r="309">
      <c r="A309" s="14" t="n">
        <v>305</v>
      </c>
      <c r="B309" s="30">
        <f>RAND()*(1-2E-6)+1E-6</f>
        <v/>
      </c>
      <c r="C309" s="30">
        <f>RAND()*(1-2E-6)+1E-6</f>
        <v/>
      </c>
      <c r="D309" s="30">
        <f>RAND()*(1-2E-6)+1E-6</f>
        <v/>
      </c>
      <c r="E309" s="30">
        <f>RAND()*(1-2E-6)+1E-6</f>
        <v/>
      </c>
      <c r="F309" s="30">
        <f>RAND()*(1-2E-6)+1E-6</f>
        <v/>
      </c>
      <c r="G309" s="30">
        <f>RAND()*(1-2E-6)+1E-6</f>
        <v/>
      </c>
      <c r="H309" s="30">
        <f>RAND()*(1-2E-6)+1E-6</f>
        <v/>
      </c>
      <c r="I309" s="31">
        <f>MIN(IF(Supuestos!$H$5="",1E+99,Supuestos!$H$5),MAX(IF(Supuestos!$G$5="",-1E+99,Supuestos!$G$5),IF(Supuestos!$C$5="Normal",NORMINV(B309,Supuestos!$D$5,Supuestos!$E$5),IF(Supuestos!$C$5="Triangular",IF(B309&lt;(Supuestos!$E$5-Supuestos!$D$5)/(Supuestos!$F$5-Supuestos!$D$5),Supuestos!$D$5+SQRT(B309*(Supuestos!$F$5-Supuestos!$D$5)*(Supuestos!$E$5-Supuestos!$D$5)),Supuestos!$F$5-SQRT((1-B309)*(Supuestos!$F$5-Supuestos!$D$5)*(Supuestos!$F$5-Supuestos!$E$5))),IF(Supuestos!$C$5="Uniforme",Supuestos!$D$5+B309*(Supuestos!$E$5-Supuestos!$D$5),IF(Supuestos!$C$5="Lognormal",LOGINV(B309,LN(Supuestos!$D$5)-LN(1+Supuestos!$E$5^2/Supuestos!$D$5^2)/2,SQRT(LN(1+Supuestos!$E$5^2/Supuestos!$D$5^2))),Supuestos!$D$5))))))</f>
        <v/>
      </c>
      <c r="J309" s="31">
        <f>MIN(IF(Supuestos!$H$6="",1E+99,Supuestos!$H$6),MAX(IF(Supuestos!$G$6="",-1E+99,Supuestos!$G$6),IF(Supuestos!$C$6="Normal",NORMINV(C309,Supuestos!$D$6,Supuestos!$E$6),IF(Supuestos!$C$6="Triangular",IF(C309&lt;(Supuestos!$E$6-Supuestos!$D$6)/(Supuestos!$F$6-Supuestos!$D$6),Supuestos!$D$6+SQRT(C309*(Supuestos!$F$6-Supuestos!$D$6)*(Supuestos!$E$6-Supuestos!$D$6)),Supuestos!$F$6-SQRT((1-C309)*(Supuestos!$F$6-Supuestos!$D$6)*(Supuestos!$F$6-Supuestos!$E$6))),IF(Supuestos!$C$6="Uniforme",Supuestos!$D$6+C309*(Supuestos!$E$6-Supuestos!$D$6),IF(Supuestos!$C$6="Lognormal",LOGINV(C309,LN(Supuestos!$D$6)-LN(1+Supuestos!$E$6^2/Supuestos!$D$6^2)/2,SQRT(LN(1+Supuestos!$E$6^2/Supuestos!$D$6^2))),Supuestos!$D$6))))))</f>
        <v/>
      </c>
      <c r="K309" s="32">
        <f>MIN(IF(Supuestos!$H$7="",1E+99,Supuestos!$H$7),MAX(IF(Supuestos!$G$7="",-1E+99,Supuestos!$G$7),IF(Supuestos!$C$7="Normal",NORMINV(D309,Supuestos!$D$7,Supuestos!$E$7),IF(Supuestos!$C$7="Triangular",IF(D309&lt;(Supuestos!$E$7-Supuestos!$D$7)/(Supuestos!$F$7-Supuestos!$D$7),Supuestos!$D$7+SQRT(D309*(Supuestos!$F$7-Supuestos!$D$7)*(Supuestos!$E$7-Supuestos!$D$7)),Supuestos!$F$7-SQRT((1-D309)*(Supuestos!$F$7-Supuestos!$D$7)*(Supuestos!$F$7-Supuestos!$E$7))),IF(Supuestos!$C$7="Uniforme",Supuestos!$D$7+D309*(Supuestos!$E$7-Supuestos!$D$7),IF(Supuestos!$C$7="Lognormal",LOGINV(D309,LN(Supuestos!$D$7)-LN(1+Supuestos!$E$7^2/Supuestos!$D$7^2)/2,SQRT(LN(1+Supuestos!$E$7^2/Supuestos!$D$7^2))),Supuestos!$D$7))))))</f>
        <v/>
      </c>
      <c r="L309" s="32">
        <f>MIN(IF(Supuestos!$H$8="",1E+99,Supuestos!$H$8),MAX(IF(Supuestos!$G$8="",-1E+99,Supuestos!$G$8),IF(Supuestos!$C$8="Normal",NORMINV(E309,Supuestos!$D$8,Supuestos!$E$8),IF(Supuestos!$C$8="Triangular",IF(E309&lt;(Supuestos!$E$8-Supuestos!$D$8)/(Supuestos!$F$8-Supuestos!$D$8),Supuestos!$D$8+SQRT(E309*(Supuestos!$F$8-Supuestos!$D$8)*(Supuestos!$E$8-Supuestos!$D$8)),Supuestos!$F$8-SQRT((1-E309)*(Supuestos!$F$8-Supuestos!$D$8)*(Supuestos!$F$8-Supuestos!$E$8))),IF(Supuestos!$C$8="Uniforme",Supuestos!$D$8+E309*(Supuestos!$E$8-Supuestos!$D$8),IF(Supuestos!$C$8="Lognormal",LOGINV(E309,LN(Supuestos!$D$8)-LN(1+Supuestos!$E$8^2/Supuestos!$D$8^2)/2,SQRT(LN(1+Supuestos!$E$8^2/Supuestos!$D$8^2))),Supuestos!$D$8))))))</f>
        <v/>
      </c>
      <c r="M309" s="32">
        <f>MIN(IF(Supuestos!$H$9="",1E+99,Supuestos!$H$9),MAX(IF(Supuestos!$G$9="",-1E+99,Supuestos!$G$9),IF(Supuestos!$C$9="Normal",NORMINV(F309,Supuestos!$D$9,Supuestos!$E$9),IF(Supuestos!$C$9="Triangular",IF(F309&lt;(Supuestos!$E$9-Supuestos!$D$9)/(Supuestos!$F$9-Supuestos!$D$9),Supuestos!$D$9+SQRT(F309*(Supuestos!$F$9-Supuestos!$D$9)*(Supuestos!$E$9-Supuestos!$D$9)),Supuestos!$F$9-SQRT((1-F309)*(Supuestos!$F$9-Supuestos!$D$9)*(Supuestos!$F$9-Supuestos!$E$9))),IF(Supuestos!$C$9="Uniforme",Supuestos!$D$9+F309*(Supuestos!$E$9-Supuestos!$D$9),IF(Supuestos!$C$9="Lognormal",LOGINV(F309,LN(Supuestos!$D$9)-LN(1+Supuestos!$E$9^2/Supuestos!$D$9^2)/2,SQRT(LN(1+Supuestos!$E$9^2/Supuestos!$D$9^2))),Supuestos!$D$9))))))</f>
        <v/>
      </c>
      <c r="N309" s="32">
        <f>MIN(IF(Supuestos!$H$10="",1E+99,Supuestos!$H$10),MAX(IF(Supuestos!$G$10="",-1E+99,Supuestos!$G$10),IF(Supuestos!$C$10="Normal",NORMINV(G309,Supuestos!$D$10,Supuestos!$E$10),IF(Supuestos!$C$10="Triangular",IF(G309&lt;(Supuestos!$E$10-Supuestos!$D$10)/(Supuestos!$F$10-Supuestos!$D$10),Supuestos!$D$10+SQRT(G309*(Supuestos!$F$10-Supuestos!$D$10)*(Supuestos!$E$10-Supuestos!$D$10)),Supuestos!$F$10-SQRT((1-G309)*(Supuestos!$F$10-Supuestos!$D$10)*(Supuestos!$F$10-Supuestos!$E$10))),IF(Supuestos!$C$10="Uniforme",Supuestos!$D$10+G309*(Supuestos!$E$10-Supuestos!$D$10),IF(Supuestos!$C$10="Lognormal",LOGINV(G309,LN(Supuestos!$D$10)-LN(1+Supuestos!$E$10^2/Supuestos!$D$10^2)/2,SQRT(LN(1+Supuestos!$E$10^2/Supuestos!$D$10^2))),Supuestos!$D$10))))))</f>
        <v/>
      </c>
      <c r="O309" s="31">
        <f>MIN(IF(Supuestos!$H$11="",1E+99,Supuestos!$H$11),MAX(IF(Supuestos!$G$11="",-1E+99,Supuestos!$G$11),IF(Supuestos!$C$11="Normal",NORMINV(H309,Supuestos!$D$11,Supuestos!$E$11),IF(Supuestos!$C$11="Triangular",IF(H309&lt;(Supuestos!$E$11-Supuestos!$D$11)/(Supuestos!$F$11-Supuestos!$D$11),Supuestos!$D$11+SQRT(H309*(Supuestos!$F$11-Supuestos!$D$11)*(Supuestos!$E$11-Supuestos!$D$11)),Supuestos!$F$11-SQRT((1-H309)*(Supuestos!$F$11-Supuestos!$D$11)*(Supuestos!$F$11-Supuestos!$E$11))),IF(Supuestos!$C$11="Uniforme",Supuestos!$D$11+H309*(Supuestos!$E$11-Supuestos!$D$11),IF(Supuestos!$C$11="Lognormal",LOGINV(H309,LN(Supuestos!$D$11)-LN(1+Supuestos!$E$11^2/Supuestos!$D$11^2)/2,SQRT(LN(1+Supuestos!$E$11^2/Supuestos!$D$11^2))),Supuestos!$D$11))))))</f>
        <v/>
      </c>
      <c r="P309" s="33">
        <f>-I309</f>
        <v/>
      </c>
      <c r="Q309" s="33">
        <f>$J309*(1+$K309)^(1-1)*(1-$L309)*(1-$M309)</f>
        <v/>
      </c>
      <c r="R309" s="33">
        <f>$J309*(1+$K309)^(2-1)*(1-$L309)*(1-$M309)</f>
        <v/>
      </c>
      <c r="S309" s="33">
        <f>$J309*(1+$K309)^(3-1)*(1-$L309)*(1-$M309)</f>
        <v/>
      </c>
      <c r="T309" s="33">
        <f>$J309*(1+$K309)^(4-1)*(1-$L309)*(1-$M309)</f>
        <v/>
      </c>
      <c r="U309" s="33">
        <f>$J309*(1+$K309)^(5-1)*(1-$L309)*(1-$M309)+$O309</f>
        <v/>
      </c>
      <c r="V309" s="33">
        <f>P309+NPV($N309,Q309:U309)</f>
        <v/>
      </c>
      <c r="W309" s="32">
        <f>IFERROR(IRR(P309:U309,0.1),"")</f>
        <v/>
      </c>
    </row>
    <row r="310">
      <c r="A310" s="14" t="n">
        <v>306</v>
      </c>
      <c r="B310" s="30">
        <f>RAND()*(1-2E-6)+1E-6</f>
        <v/>
      </c>
      <c r="C310" s="30">
        <f>RAND()*(1-2E-6)+1E-6</f>
        <v/>
      </c>
      <c r="D310" s="30">
        <f>RAND()*(1-2E-6)+1E-6</f>
        <v/>
      </c>
      <c r="E310" s="30">
        <f>RAND()*(1-2E-6)+1E-6</f>
        <v/>
      </c>
      <c r="F310" s="30">
        <f>RAND()*(1-2E-6)+1E-6</f>
        <v/>
      </c>
      <c r="G310" s="30">
        <f>RAND()*(1-2E-6)+1E-6</f>
        <v/>
      </c>
      <c r="H310" s="30">
        <f>RAND()*(1-2E-6)+1E-6</f>
        <v/>
      </c>
      <c r="I310" s="31">
        <f>MIN(IF(Supuestos!$H$5="",1E+99,Supuestos!$H$5),MAX(IF(Supuestos!$G$5="",-1E+99,Supuestos!$G$5),IF(Supuestos!$C$5="Normal",NORMINV(B310,Supuestos!$D$5,Supuestos!$E$5),IF(Supuestos!$C$5="Triangular",IF(B310&lt;(Supuestos!$E$5-Supuestos!$D$5)/(Supuestos!$F$5-Supuestos!$D$5),Supuestos!$D$5+SQRT(B310*(Supuestos!$F$5-Supuestos!$D$5)*(Supuestos!$E$5-Supuestos!$D$5)),Supuestos!$F$5-SQRT((1-B310)*(Supuestos!$F$5-Supuestos!$D$5)*(Supuestos!$F$5-Supuestos!$E$5))),IF(Supuestos!$C$5="Uniforme",Supuestos!$D$5+B310*(Supuestos!$E$5-Supuestos!$D$5),IF(Supuestos!$C$5="Lognormal",LOGINV(B310,LN(Supuestos!$D$5)-LN(1+Supuestos!$E$5^2/Supuestos!$D$5^2)/2,SQRT(LN(1+Supuestos!$E$5^2/Supuestos!$D$5^2))),Supuestos!$D$5))))))</f>
        <v/>
      </c>
      <c r="J310" s="31">
        <f>MIN(IF(Supuestos!$H$6="",1E+99,Supuestos!$H$6),MAX(IF(Supuestos!$G$6="",-1E+99,Supuestos!$G$6),IF(Supuestos!$C$6="Normal",NORMINV(C310,Supuestos!$D$6,Supuestos!$E$6),IF(Supuestos!$C$6="Triangular",IF(C310&lt;(Supuestos!$E$6-Supuestos!$D$6)/(Supuestos!$F$6-Supuestos!$D$6),Supuestos!$D$6+SQRT(C310*(Supuestos!$F$6-Supuestos!$D$6)*(Supuestos!$E$6-Supuestos!$D$6)),Supuestos!$F$6-SQRT((1-C310)*(Supuestos!$F$6-Supuestos!$D$6)*(Supuestos!$F$6-Supuestos!$E$6))),IF(Supuestos!$C$6="Uniforme",Supuestos!$D$6+C310*(Supuestos!$E$6-Supuestos!$D$6),IF(Supuestos!$C$6="Lognormal",LOGINV(C310,LN(Supuestos!$D$6)-LN(1+Supuestos!$E$6^2/Supuestos!$D$6^2)/2,SQRT(LN(1+Supuestos!$E$6^2/Supuestos!$D$6^2))),Supuestos!$D$6))))))</f>
        <v/>
      </c>
      <c r="K310" s="32">
        <f>MIN(IF(Supuestos!$H$7="",1E+99,Supuestos!$H$7),MAX(IF(Supuestos!$G$7="",-1E+99,Supuestos!$G$7),IF(Supuestos!$C$7="Normal",NORMINV(D310,Supuestos!$D$7,Supuestos!$E$7),IF(Supuestos!$C$7="Triangular",IF(D310&lt;(Supuestos!$E$7-Supuestos!$D$7)/(Supuestos!$F$7-Supuestos!$D$7),Supuestos!$D$7+SQRT(D310*(Supuestos!$F$7-Supuestos!$D$7)*(Supuestos!$E$7-Supuestos!$D$7)),Supuestos!$F$7-SQRT((1-D310)*(Supuestos!$F$7-Supuestos!$D$7)*(Supuestos!$F$7-Supuestos!$E$7))),IF(Supuestos!$C$7="Uniforme",Supuestos!$D$7+D310*(Supuestos!$E$7-Supuestos!$D$7),IF(Supuestos!$C$7="Lognormal",LOGINV(D310,LN(Supuestos!$D$7)-LN(1+Supuestos!$E$7^2/Supuestos!$D$7^2)/2,SQRT(LN(1+Supuestos!$E$7^2/Supuestos!$D$7^2))),Supuestos!$D$7))))))</f>
        <v/>
      </c>
      <c r="L310" s="32">
        <f>MIN(IF(Supuestos!$H$8="",1E+99,Supuestos!$H$8),MAX(IF(Supuestos!$G$8="",-1E+99,Supuestos!$G$8),IF(Supuestos!$C$8="Normal",NORMINV(E310,Supuestos!$D$8,Supuestos!$E$8),IF(Supuestos!$C$8="Triangular",IF(E310&lt;(Supuestos!$E$8-Supuestos!$D$8)/(Supuestos!$F$8-Supuestos!$D$8),Supuestos!$D$8+SQRT(E310*(Supuestos!$F$8-Supuestos!$D$8)*(Supuestos!$E$8-Supuestos!$D$8)),Supuestos!$F$8-SQRT((1-E310)*(Supuestos!$F$8-Supuestos!$D$8)*(Supuestos!$F$8-Supuestos!$E$8))),IF(Supuestos!$C$8="Uniforme",Supuestos!$D$8+E310*(Supuestos!$E$8-Supuestos!$D$8),IF(Supuestos!$C$8="Lognormal",LOGINV(E310,LN(Supuestos!$D$8)-LN(1+Supuestos!$E$8^2/Supuestos!$D$8^2)/2,SQRT(LN(1+Supuestos!$E$8^2/Supuestos!$D$8^2))),Supuestos!$D$8))))))</f>
        <v/>
      </c>
      <c r="M310" s="32">
        <f>MIN(IF(Supuestos!$H$9="",1E+99,Supuestos!$H$9),MAX(IF(Supuestos!$G$9="",-1E+99,Supuestos!$G$9),IF(Supuestos!$C$9="Normal",NORMINV(F310,Supuestos!$D$9,Supuestos!$E$9),IF(Supuestos!$C$9="Triangular",IF(F310&lt;(Supuestos!$E$9-Supuestos!$D$9)/(Supuestos!$F$9-Supuestos!$D$9),Supuestos!$D$9+SQRT(F310*(Supuestos!$F$9-Supuestos!$D$9)*(Supuestos!$E$9-Supuestos!$D$9)),Supuestos!$F$9-SQRT((1-F310)*(Supuestos!$F$9-Supuestos!$D$9)*(Supuestos!$F$9-Supuestos!$E$9))),IF(Supuestos!$C$9="Uniforme",Supuestos!$D$9+F310*(Supuestos!$E$9-Supuestos!$D$9),IF(Supuestos!$C$9="Lognormal",LOGINV(F310,LN(Supuestos!$D$9)-LN(1+Supuestos!$E$9^2/Supuestos!$D$9^2)/2,SQRT(LN(1+Supuestos!$E$9^2/Supuestos!$D$9^2))),Supuestos!$D$9))))))</f>
        <v/>
      </c>
      <c r="N310" s="32">
        <f>MIN(IF(Supuestos!$H$10="",1E+99,Supuestos!$H$10),MAX(IF(Supuestos!$G$10="",-1E+99,Supuestos!$G$10),IF(Supuestos!$C$10="Normal",NORMINV(G310,Supuestos!$D$10,Supuestos!$E$10),IF(Supuestos!$C$10="Triangular",IF(G310&lt;(Supuestos!$E$10-Supuestos!$D$10)/(Supuestos!$F$10-Supuestos!$D$10),Supuestos!$D$10+SQRT(G310*(Supuestos!$F$10-Supuestos!$D$10)*(Supuestos!$E$10-Supuestos!$D$10)),Supuestos!$F$10-SQRT((1-G310)*(Supuestos!$F$10-Supuestos!$D$10)*(Supuestos!$F$10-Supuestos!$E$10))),IF(Supuestos!$C$10="Uniforme",Supuestos!$D$10+G310*(Supuestos!$E$10-Supuestos!$D$10),IF(Supuestos!$C$10="Lognormal",LOGINV(G310,LN(Supuestos!$D$10)-LN(1+Supuestos!$E$10^2/Supuestos!$D$10^2)/2,SQRT(LN(1+Supuestos!$E$10^2/Supuestos!$D$10^2))),Supuestos!$D$10))))))</f>
        <v/>
      </c>
      <c r="O310" s="31">
        <f>MIN(IF(Supuestos!$H$11="",1E+99,Supuestos!$H$11),MAX(IF(Supuestos!$G$11="",-1E+99,Supuestos!$G$11),IF(Supuestos!$C$11="Normal",NORMINV(H310,Supuestos!$D$11,Supuestos!$E$11),IF(Supuestos!$C$11="Triangular",IF(H310&lt;(Supuestos!$E$11-Supuestos!$D$11)/(Supuestos!$F$11-Supuestos!$D$11),Supuestos!$D$11+SQRT(H310*(Supuestos!$F$11-Supuestos!$D$11)*(Supuestos!$E$11-Supuestos!$D$11)),Supuestos!$F$11-SQRT((1-H310)*(Supuestos!$F$11-Supuestos!$D$11)*(Supuestos!$F$11-Supuestos!$E$11))),IF(Supuestos!$C$11="Uniforme",Supuestos!$D$11+H310*(Supuestos!$E$11-Supuestos!$D$11),IF(Supuestos!$C$11="Lognormal",LOGINV(H310,LN(Supuestos!$D$11)-LN(1+Supuestos!$E$11^2/Supuestos!$D$11^2)/2,SQRT(LN(1+Supuestos!$E$11^2/Supuestos!$D$11^2))),Supuestos!$D$11))))))</f>
        <v/>
      </c>
      <c r="P310" s="33">
        <f>-I310</f>
        <v/>
      </c>
      <c r="Q310" s="33">
        <f>$J310*(1+$K310)^(1-1)*(1-$L310)*(1-$M310)</f>
        <v/>
      </c>
      <c r="R310" s="33">
        <f>$J310*(1+$K310)^(2-1)*(1-$L310)*(1-$M310)</f>
        <v/>
      </c>
      <c r="S310" s="33">
        <f>$J310*(1+$K310)^(3-1)*(1-$L310)*(1-$M310)</f>
        <v/>
      </c>
      <c r="T310" s="33">
        <f>$J310*(1+$K310)^(4-1)*(1-$L310)*(1-$M310)</f>
        <v/>
      </c>
      <c r="U310" s="33">
        <f>$J310*(1+$K310)^(5-1)*(1-$L310)*(1-$M310)+$O310</f>
        <v/>
      </c>
      <c r="V310" s="33">
        <f>P310+NPV($N310,Q310:U310)</f>
        <v/>
      </c>
      <c r="W310" s="32">
        <f>IFERROR(IRR(P310:U310,0.1),"")</f>
        <v/>
      </c>
    </row>
    <row r="311">
      <c r="A311" s="14" t="n">
        <v>307</v>
      </c>
      <c r="B311" s="30">
        <f>RAND()*(1-2E-6)+1E-6</f>
        <v/>
      </c>
      <c r="C311" s="30">
        <f>RAND()*(1-2E-6)+1E-6</f>
        <v/>
      </c>
      <c r="D311" s="30">
        <f>RAND()*(1-2E-6)+1E-6</f>
        <v/>
      </c>
      <c r="E311" s="30">
        <f>RAND()*(1-2E-6)+1E-6</f>
        <v/>
      </c>
      <c r="F311" s="30">
        <f>RAND()*(1-2E-6)+1E-6</f>
        <v/>
      </c>
      <c r="G311" s="30">
        <f>RAND()*(1-2E-6)+1E-6</f>
        <v/>
      </c>
      <c r="H311" s="30">
        <f>RAND()*(1-2E-6)+1E-6</f>
        <v/>
      </c>
      <c r="I311" s="31">
        <f>MIN(IF(Supuestos!$H$5="",1E+99,Supuestos!$H$5),MAX(IF(Supuestos!$G$5="",-1E+99,Supuestos!$G$5),IF(Supuestos!$C$5="Normal",NORMINV(B311,Supuestos!$D$5,Supuestos!$E$5),IF(Supuestos!$C$5="Triangular",IF(B311&lt;(Supuestos!$E$5-Supuestos!$D$5)/(Supuestos!$F$5-Supuestos!$D$5),Supuestos!$D$5+SQRT(B311*(Supuestos!$F$5-Supuestos!$D$5)*(Supuestos!$E$5-Supuestos!$D$5)),Supuestos!$F$5-SQRT((1-B311)*(Supuestos!$F$5-Supuestos!$D$5)*(Supuestos!$F$5-Supuestos!$E$5))),IF(Supuestos!$C$5="Uniforme",Supuestos!$D$5+B311*(Supuestos!$E$5-Supuestos!$D$5),IF(Supuestos!$C$5="Lognormal",LOGINV(B311,LN(Supuestos!$D$5)-LN(1+Supuestos!$E$5^2/Supuestos!$D$5^2)/2,SQRT(LN(1+Supuestos!$E$5^2/Supuestos!$D$5^2))),Supuestos!$D$5))))))</f>
        <v/>
      </c>
      <c r="J311" s="31">
        <f>MIN(IF(Supuestos!$H$6="",1E+99,Supuestos!$H$6),MAX(IF(Supuestos!$G$6="",-1E+99,Supuestos!$G$6),IF(Supuestos!$C$6="Normal",NORMINV(C311,Supuestos!$D$6,Supuestos!$E$6),IF(Supuestos!$C$6="Triangular",IF(C311&lt;(Supuestos!$E$6-Supuestos!$D$6)/(Supuestos!$F$6-Supuestos!$D$6),Supuestos!$D$6+SQRT(C311*(Supuestos!$F$6-Supuestos!$D$6)*(Supuestos!$E$6-Supuestos!$D$6)),Supuestos!$F$6-SQRT((1-C311)*(Supuestos!$F$6-Supuestos!$D$6)*(Supuestos!$F$6-Supuestos!$E$6))),IF(Supuestos!$C$6="Uniforme",Supuestos!$D$6+C311*(Supuestos!$E$6-Supuestos!$D$6),IF(Supuestos!$C$6="Lognormal",LOGINV(C311,LN(Supuestos!$D$6)-LN(1+Supuestos!$E$6^2/Supuestos!$D$6^2)/2,SQRT(LN(1+Supuestos!$E$6^2/Supuestos!$D$6^2))),Supuestos!$D$6))))))</f>
        <v/>
      </c>
      <c r="K311" s="32">
        <f>MIN(IF(Supuestos!$H$7="",1E+99,Supuestos!$H$7),MAX(IF(Supuestos!$G$7="",-1E+99,Supuestos!$G$7),IF(Supuestos!$C$7="Normal",NORMINV(D311,Supuestos!$D$7,Supuestos!$E$7),IF(Supuestos!$C$7="Triangular",IF(D311&lt;(Supuestos!$E$7-Supuestos!$D$7)/(Supuestos!$F$7-Supuestos!$D$7),Supuestos!$D$7+SQRT(D311*(Supuestos!$F$7-Supuestos!$D$7)*(Supuestos!$E$7-Supuestos!$D$7)),Supuestos!$F$7-SQRT((1-D311)*(Supuestos!$F$7-Supuestos!$D$7)*(Supuestos!$F$7-Supuestos!$E$7))),IF(Supuestos!$C$7="Uniforme",Supuestos!$D$7+D311*(Supuestos!$E$7-Supuestos!$D$7),IF(Supuestos!$C$7="Lognormal",LOGINV(D311,LN(Supuestos!$D$7)-LN(1+Supuestos!$E$7^2/Supuestos!$D$7^2)/2,SQRT(LN(1+Supuestos!$E$7^2/Supuestos!$D$7^2))),Supuestos!$D$7))))))</f>
        <v/>
      </c>
      <c r="L311" s="32">
        <f>MIN(IF(Supuestos!$H$8="",1E+99,Supuestos!$H$8),MAX(IF(Supuestos!$G$8="",-1E+99,Supuestos!$G$8),IF(Supuestos!$C$8="Normal",NORMINV(E311,Supuestos!$D$8,Supuestos!$E$8),IF(Supuestos!$C$8="Triangular",IF(E311&lt;(Supuestos!$E$8-Supuestos!$D$8)/(Supuestos!$F$8-Supuestos!$D$8),Supuestos!$D$8+SQRT(E311*(Supuestos!$F$8-Supuestos!$D$8)*(Supuestos!$E$8-Supuestos!$D$8)),Supuestos!$F$8-SQRT((1-E311)*(Supuestos!$F$8-Supuestos!$D$8)*(Supuestos!$F$8-Supuestos!$E$8))),IF(Supuestos!$C$8="Uniforme",Supuestos!$D$8+E311*(Supuestos!$E$8-Supuestos!$D$8),IF(Supuestos!$C$8="Lognormal",LOGINV(E311,LN(Supuestos!$D$8)-LN(1+Supuestos!$E$8^2/Supuestos!$D$8^2)/2,SQRT(LN(1+Supuestos!$E$8^2/Supuestos!$D$8^2))),Supuestos!$D$8))))))</f>
        <v/>
      </c>
      <c r="M311" s="32">
        <f>MIN(IF(Supuestos!$H$9="",1E+99,Supuestos!$H$9),MAX(IF(Supuestos!$G$9="",-1E+99,Supuestos!$G$9),IF(Supuestos!$C$9="Normal",NORMINV(F311,Supuestos!$D$9,Supuestos!$E$9),IF(Supuestos!$C$9="Triangular",IF(F311&lt;(Supuestos!$E$9-Supuestos!$D$9)/(Supuestos!$F$9-Supuestos!$D$9),Supuestos!$D$9+SQRT(F311*(Supuestos!$F$9-Supuestos!$D$9)*(Supuestos!$E$9-Supuestos!$D$9)),Supuestos!$F$9-SQRT((1-F311)*(Supuestos!$F$9-Supuestos!$D$9)*(Supuestos!$F$9-Supuestos!$E$9))),IF(Supuestos!$C$9="Uniforme",Supuestos!$D$9+F311*(Supuestos!$E$9-Supuestos!$D$9),IF(Supuestos!$C$9="Lognormal",LOGINV(F311,LN(Supuestos!$D$9)-LN(1+Supuestos!$E$9^2/Supuestos!$D$9^2)/2,SQRT(LN(1+Supuestos!$E$9^2/Supuestos!$D$9^2))),Supuestos!$D$9))))))</f>
        <v/>
      </c>
      <c r="N311" s="32">
        <f>MIN(IF(Supuestos!$H$10="",1E+99,Supuestos!$H$10),MAX(IF(Supuestos!$G$10="",-1E+99,Supuestos!$G$10),IF(Supuestos!$C$10="Normal",NORMINV(G311,Supuestos!$D$10,Supuestos!$E$10),IF(Supuestos!$C$10="Triangular",IF(G311&lt;(Supuestos!$E$10-Supuestos!$D$10)/(Supuestos!$F$10-Supuestos!$D$10),Supuestos!$D$10+SQRT(G311*(Supuestos!$F$10-Supuestos!$D$10)*(Supuestos!$E$10-Supuestos!$D$10)),Supuestos!$F$10-SQRT((1-G311)*(Supuestos!$F$10-Supuestos!$D$10)*(Supuestos!$F$10-Supuestos!$E$10))),IF(Supuestos!$C$10="Uniforme",Supuestos!$D$10+G311*(Supuestos!$E$10-Supuestos!$D$10),IF(Supuestos!$C$10="Lognormal",LOGINV(G311,LN(Supuestos!$D$10)-LN(1+Supuestos!$E$10^2/Supuestos!$D$10^2)/2,SQRT(LN(1+Supuestos!$E$10^2/Supuestos!$D$10^2))),Supuestos!$D$10))))))</f>
        <v/>
      </c>
      <c r="O311" s="31">
        <f>MIN(IF(Supuestos!$H$11="",1E+99,Supuestos!$H$11),MAX(IF(Supuestos!$G$11="",-1E+99,Supuestos!$G$11),IF(Supuestos!$C$11="Normal",NORMINV(H311,Supuestos!$D$11,Supuestos!$E$11),IF(Supuestos!$C$11="Triangular",IF(H311&lt;(Supuestos!$E$11-Supuestos!$D$11)/(Supuestos!$F$11-Supuestos!$D$11),Supuestos!$D$11+SQRT(H311*(Supuestos!$F$11-Supuestos!$D$11)*(Supuestos!$E$11-Supuestos!$D$11)),Supuestos!$F$11-SQRT((1-H311)*(Supuestos!$F$11-Supuestos!$D$11)*(Supuestos!$F$11-Supuestos!$E$11))),IF(Supuestos!$C$11="Uniforme",Supuestos!$D$11+H311*(Supuestos!$E$11-Supuestos!$D$11),IF(Supuestos!$C$11="Lognormal",LOGINV(H311,LN(Supuestos!$D$11)-LN(1+Supuestos!$E$11^2/Supuestos!$D$11^2)/2,SQRT(LN(1+Supuestos!$E$11^2/Supuestos!$D$11^2))),Supuestos!$D$11))))))</f>
        <v/>
      </c>
      <c r="P311" s="33">
        <f>-I311</f>
        <v/>
      </c>
      <c r="Q311" s="33">
        <f>$J311*(1+$K311)^(1-1)*(1-$L311)*(1-$M311)</f>
        <v/>
      </c>
      <c r="R311" s="33">
        <f>$J311*(1+$K311)^(2-1)*(1-$L311)*(1-$M311)</f>
        <v/>
      </c>
      <c r="S311" s="33">
        <f>$J311*(1+$K311)^(3-1)*(1-$L311)*(1-$M311)</f>
        <v/>
      </c>
      <c r="T311" s="33">
        <f>$J311*(1+$K311)^(4-1)*(1-$L311)*(1-$M311)</f>
        <v/>
      </c>
      <c r="U311" s="33">
        <f>$J311*(1+$K311)^(5-1)*(1-$L311)*(1-$M311)+$O311</f>
        <v/>
      </c>
      <c r="V311" s="33">
        <f>P311+NPV($N311,Q311:U311)</f>
        <v/>
      </c>
      <c r="W311" s="32">
        <f>IFERROR(IRR(P311:U311,0.1),"")</f>
        <v/>
      </c>
    </row>
    <row r="312">
      <c r="A312" s="14" t="n">
        <v>308</v>
      </c>
      <c r="B312" s="30">
        <f>RAND()*(1-2E-6)+1E-6</f>
        <v/>
      </c>
      <c r="C312" s="30">
        <f>RAND()*(1-2E-6)+1E-6</f>
        <v/>
      </c>
      <c r="D312" s="30">
        <f>RAND()*(1-2E-6)+1E-6</f>
        <v/>
      </c>
      <c r="E312" s="30">
        <f>RAND()*(1-2E-6)+1E-6</f>
        <v/>
      </c>
      <c r="F312" s="30">
        <f>RAND()*(1-2E-6)+1E-6</f>
        <v/>
      </c>
      <c r="G312" s="30">
        <f>RAND()*(1-2E-6)+1E-6</f>
        <v/>
      </c>
      <c r="H312" s="30">
        <f>RAND()*(1-2E-6)+1E-6</f>
        <v/>
      </c>
      <c r="I312" s="31">
        <f>MIN(IF(Supuestos!$H$5="",1E+99,Supuestos!$H$5),MAX(IF(Supuestos!$G$5="",-1E+99,Supuestos!$G$5),IF(Supuestos!$C$5="Normal",NORMINV(B312,Supuestos!$D$5,Supuestos!$E$5),IF(Supuestos!$C$5="Triangular",IF(B312&lt;(Supuestos!$E$5-Supuestos!$D$5)/(Supuestos!$F$5-Supuestos!$D$5),Supuestos!$D$5+SQRT(B312*(Supuestos!$F$5-Supuestos!$D$5)*(Supuestos!$E$5-Supuestos!$D$5)),Supuestos!$F$5-SQRT((1-B312)*(Supuestos!$F$5-Supuestos!$D$5)*(Supuestos!$F$5-Supuestos!$E$5))),IF(Supuestos!$C$5="Uniforme",Supuestos!$D$5+B312*(Supuestos!$E$5-Supuestos!$D$5),IF(Supuestos!$C$5="Lognormal",LOGINV(B312,LN(Supuestos!$D$5)-LN(1+Supuestos!$E$5^2/Supuestos!$D$5^2)/2,SQRT(LN(1+Supuestos!$E$5^2/Supuestos!$D$5^2))),Supuestos!$D$5))))))</f>
        <v/>
      </c>
      <c r="J312" s="31">
        <f>MIN(IF(Supuestos!$H$6="",1E+99,Supuestos!$H$6),MAX(IF(Supuestos!$G$6="",-1E+99,Supuestos!$G$6),IF(Supuestos!$C$6="Normal",NORMINV(C312,Supuestos!$D$6,Supuestos!$E$6),IF(Supuestos!$C$6="Triangular",IF(C312&lt;(Supuestos!$E$6-Supuestos!$D$6)/(Supuestos!$F$6-Supuestos!$D$6),Supuestos!$D$6+SQRT(C312*(Supuestos!$F$6-Supuestos!$D$6)*(Supuestos!$E$6-Supuestos!$D$6)),Supuestos!$F$6-SQRT((1-C312)*(Supuestos!$F$6-Supuestos!$D$6)*(Supuestos!$F$6-Supuestos!$E$6))),IF(Supuestos!$C$6="Uniforme",Supuestos!$D$6+C312*(Supuestos!$E$6-Supuestos!$D$6),IF(Supuestos!$C$6="Lognormal",LOGINV(C312,LN(Supuestos!$D$6)-LN(1+Supuestos!$E$6^2/Supuestos!$D$6^2)/2,SQRT(LN(1+Supuestos!$E$6^2/Supuestos!$D$6^2))),Supuestos!$D$6))))))</f>
        <v/>
      </c>
      <c r="K312" s="32">
        <f>MIN(IF(Supuestos!$H$7="",1E+99,Supuestos!$H$7),MAX(IF(Supuestos!$G$7="",-1E+99,Supuestos!$G$7),IF(Supuestos!$C$7="Normal",NORMINV(D312,Supuestos!$D$7,Supuestos!$E$7),IF(Supuestos!$C$7="Triangular",IF(D312&lt;(Supuestos!$E$7-Supuestos!$D$7)/(Supuestos!$F$7-Supuestos!$D$7),Supuestos!$D$7+SQRT(D312*(Supuestos!$F$7-Supuestos!$D$7)*(Supuestos!$E$7-Supuestos!$D$7)),Supuestos!$F$7-SQRT((1-D312)*(Supuestos!$F$7-Supuestos!$D$7)*(Supuestos!$F$7-Supuestos!$E$7))),IF(Supuestos!$C$7="Uniforme",Supuestos!$D$7+D312*(Supuestos!$E$7-Supuestos!$D$7),IF(Supuestos!$C$7="Lognormal",LOGINV(D312,LN(Supuestos!$D$7)-LN(1+Supuestos!$E$7^2/Supuestos!$D$7^2)/2,SQRT(LN(1+Supuestos!$E$7^2/Supuestos!$D$7^2))),Supuestos!$D$7))))))</f>
        <v/>
      </c>
      <c r="L312" s="32">
        <f>MIN(IF(Supuestos!$H$8="",1E+99,Supuestos!$H$8),MAX(IF(Supuestos!$G$8="",-1E+99,Supuestos!$G$8),IF(Supuestos!$C$8="Normal",NORMINV(E312,Supuestos!$D$8,Supuestos!$E$8),IF(Supuestos!$C$8="Triangular",IF(E312&lt;(Supuestos!$E$8-Supuestos!$D$8)/(Supuestos!$F$8-Supuestos!$D$8),Supuestos!$D$8+SQRT(E312*(Supuestos!$F$8-Supuestos!$D$8)*(Supuestos!$E$8-Supuestos!$D$8)),Supuestos!$F$8-SQRT((1-E312)*(Supuestos!$F$8-Supuestos!$D$8)*(Supuestos!$F$8-Supuestos!$E$8))),IF(Supuestos!$C$8="Uniforme",Supuestos!$D$8+E312*(Supuestos!$E$8-Supuestos!$D$8),IF(Supuestos!$C$8="Lognormal",LOGINV(E312,LN(Supuestos!$D$8)-LN(1+Supuestos!$E$8^2/Supuestos!$D$8^2)/2,SQRT(LN(1+Supuestos!$E$8^2/Supuestos!$D$8^2))),Supuestos!$D$8))))))</f>
        <v/>
      </c>
      <c r="M312" s="32">
        <f>MIN(IF(Supuestos!$H$9="",1E+99,Supuestos!$H$9),MAX(IF(Supuestos!$G$9="",-1E+99,Supuestos!$G$9),IF(Supuestos!$C$9="Normal",NORMINV(F312,Supuestos!$D$9,Supuestos!$E$9),IF(Supuestos!$C$9="Triangular",IF(F312&lt;(Supuestos!$E$9-Supuestos!$D$9)/(Supuestos!$F$9-Supuestos!$D$9),Supuestos!$D$9+SQRT(F312*(Supuestos!$F$9-Supuestos!$D$9)*(Supuestos!$E$9-Supuestos!$D$9)),Supuestos!$F$9-SQRT((1-F312)*(Supuestos!$F$9-Supuestos!$D$9)*(Supuestos!$F$9-Supuestos!$E$9))),IF(Supuestos!$C$9="Uniforme",Supuestos!$D$9+F312*(Supuestos!$E$9-Supuestos!$D$9),IF(Supuestos!$C$9="Lognormal",LOGINV(F312,LN(Supuestos!$D$9)-LN(1+Supuestos!$E$9^2/Supuestos!$D$9^2)/2,SQRT(LN(1+Supuestos!$E$9^2/Supuestos!$D$9^2))),Supuestos!$D$9))))))</f>
        <v/>
      </c>
      <c r="N312" s="32">
        <f>MIN(IF(Supuestos!$H$10="",1E+99,Supuestos!$H$10),MAX(IF(Supuestos!$G$10="",-1E+99,Supuestos!$G$10),IF(Supuestos!$C$10="Normal",NORMINV(G312,Supuestos!$D$10,Supuestos!$E$10),IF(Supuestos!$C$10="Triangular",IF(G312&lt;(Supuestos!$E$10-Supuestos!$D$10)/(Supuestos!$F$10-Supuestos!$D$10),Supuestos!$D$10+SQRT(G312*(Supuestos!$F$10-Supuestos!$D$10)*(Supuestos!$E$10-Supuestos!$D$10)),Supuestos!$F$10-SQRT((1-G312)*(Supuestos!$F$10-Supuestos!$D$10)*(Supuestos!$F$10-Supuestos!$E$10))),IF(Supuestos!$C$10="Uniforme",Supuestos!$D$10+G312*(Supuestos!$E$10-Supuestos!$D$10),IF(Supuestos!$C$10="Lognormal",LOGINV(G312,LN(Supuestos!$D$10)-LN(1+Supuestos!$E$10^2/Supuestos!$D$10^2)/2,SQRT(LN(1+Supuestos!$E$10^2/Supuestos!$D$10^2))),Supuestos!$D$10))))))</f>
        <v/>
      </c>
      <c r="O312" s="31">
        <f>MIN(IF(Supuestos!$H$11="",1E+99,Supuestos!$H$11),MAX(IF(Supuestos!$G$11="",-1E+99,Supuestos!$G$11),IF(Supuestos!$C$11="Normal",NORMINV(H312,Supuestos!$D$11,Supuestos!$E$11),IF(Supuestos!$C$11="Triangular",IF(H312&lt;(Supuestos!$E$11-Supuestos!$D$11)/(Supuestos!$F$11-Supuestos!$D$11),Supuestos!$D$11+SQRT(H312*(Supuestos!$F$11-Supuestos!$D$11)*(Supuestos!$E$11-Supuestos!$D$11)),Supuestos!$F$11-SQRT((1-H312)*(Supuestos!$F$11-Supuestos!$D$11)*(Supuestos!$F$11-Supuestos!$E$11))),IF(Supuestos!$C$11="Uniforme",Supuestos!$D$11+H312*(Supuestos!$E$11-Supuestos!$D$11),IF(Supuestos!$C$11="Lognormal",LOGINV(H312,LN(Supuestos!$D$11)-LN(1+Supuestos!$E$11^2/Supuestos!$D$11^2)/2,SQRT(LN(1+Supuestos!$E$11^2/Supuestos!$D$11^2))),Supuestos!$D$11))))))</f>
        <v/>
      </c>
      <c r="P312" s="33">
        <f>-I312</f>
        <v/>
      </c>
      <c r="Q312" s="33">
        <f>$J312*(1+$K312)^(1-1)*(1-$L312)*(1-$M312)</f>
        <v/>
      </c>
      <c r="R312" s="33">
        <f>$J312*(1+$K312)^(2-1)*(1-$L312)*(1-$M312)</f>
        <v/>
      </c>
      <c r="S312" s="33">
        <f>$J312*(1+$K312)^(3-1)*(1-$L312)*(1-$M312)</f>
        <v/>
      </c>
      <c r="T312" s="33">
        <f>$J312*(1+$K312)^(4-1)*(1-$L312)*(1-$M312)</f>
        <v/>
      </c>
      <c r="U312" s="33">
        <f>$J312*(1+$K312)^(5-1)*(1-$L312)*(1-$M312)+$O312</f>
        <v/>
      </c>
      <c r="V312" s="33">
        <f>P312+NPV($N312,Q312:U312)</f>
        <v/>
      </c>
      <c r="W312" s="32">
        <f>IFERROR(IRR(P312:U312,0.1),"")</f>
        <v/>
      </c>
    </row>
    <row r="313">
      <c r="A313" s="14" t="n">
        <v>309</v>
      </c>
      <c r="B313" s="30">
        <f>RAND()*(1-2E-6)+1E-6</f>
        <v/>
      </c>
      <c r="C313" s="30">
        <f>RAND()*(1-2E-6)+1E-6</f>
        <v/>
      </c>
      <c r="D313" s="30">
        <f>RAND()*(1-2E-6)+1E-6</f>
        <v/>
      </c>
      <c r="E313" s="30">
        <f>RAND()*(1-2E-6)+1E-6</f>
        <v/>
      </c>
      <c r="F313" s="30">
        <f>RAND()*(1-2E-6)+1E-6</f>
        <v/>
      </c>
      <c r="G313" s="30">
        <f>RAND()*(1-2E-6)+1E-6</f>
        <v/>
      </c>
      <c r="H313" s="30">
        <f>RAND()*(1-2E-6)+1E-6</f>
        <v/>
      </c>
      <c r="I313" s="31">
        <f>MIN(IF(Supuestos!$H$5="",1E+99,Supuestos!$H$5),MAX(IF(Supuestos!$G$5="",-1E+99,Supuestos!$G$5),IF(Supuestos!$C$5="Normal",NORMINV(B313,Supuestos!$D$5,Supuestos!$E$5),IF(Supuestos!$C$5="Triangular",IF(B313&lt;(Supuestos!$E$5-Supuestos!$D$5)/(Supuestos!$F$5-Supuestos!$D$5),Supuestos!$D$5+SQRT(B313*(Supuestos!$F$5-Supuestos!$D$5)*(Supuestos!$E$5-Supuestos!$D$5)),Supuestos!$F$5-SQRT((1-B313)*(Supuestos!$F$5-Supuestos!$D$5)*(Supuestos!$F$5-Supuestos!$E$5))),IF(Supuestos!$C$5="Uniforme",Supuestos!$D$5+B313*(Supuestos!$E$5-Supuestos!$D$5),IF(Supuestos!$C$5="Lognormal",LOGINV(B313,LN(Supuestos!$D$5)-LN(1+Supuestos!$E$5^2/Supuestos!$D$5^2)/2,SQRT(LN(1+Supuestos!$E$5^2/Supuestos!$D$5^2))),Supuestos!$D$5))))))</f>
        <v/>
      </c>
      <c r="J313" s="31">
        <f>MIN(IF(Supuestos!$H$6="",1E+99,Supuestos!$H$6),MAX(IF(Supuestos!$G$6="",-1E+99,Supuestos!$G$6),IF(Supuestos!$C$6="Normal",NORMINV(C313,Supuestos!$D$6,Supuestos!$E$6),IF(Supuestos!$C$6="Triangular",IF(C313&lt;(Supuestos!$E$6-Supuestos!$D$6)/(Supuestos!$F$6-Supuestos!$D$6),Supuestos!$D$6+SQRT(C313*(Supuestos!$F$6-Supuestos!$D$6)*(Supuestos!$E$6-Supuestos!$D$6)),Supuestos!$F$6-SQRT((1-C313)*(Supuestos!$F$6-Supuestos!$D$6)*(Supuestos!$F$6-Supuestos!$E$6))),IF(Supuestos!$C$6="Uniforme",Supuestos!$D$6+C313*(Supuestos!$E$6-Supuestos!$D$6),IF(Supuestos!$C$6="Lognormal",LOGINV(C313,LN(Supuestos!$D$6)-LN(1+Supuestos!$E$6^2/Supuestos!$D$6^2)/2,SQRT(LN(1+Supuestos!$E$6^2/Supuestos!$D$6^2))),Supuestos!$D$6))))))</f>
        <v/>
      </c>
      <c r="K313" s="32">
        <f>MIN(IF(Supuestos!$H$7="",1E+99,Supuestos!$H$7),MAX(IF(Supuestos!$G$7="",-1E+99,Supuestos!$G$7),IF(Supuestos!$C$7="Normal",NORMINV(D313,Supuestos!$D$7,Supuestos!$E$7),IF(Supuestos!$C$7="Triangular",IF(D313&lt;(Supuestos!$E$7-Supuestos!$D$7)/(Supuestos!$F$7-Supuestos!$D$7),Supuestos!$D$7+SQRT(D313*(Supuestos!$F$7-Supuestos!$D$7)*(Supuestos!$E$7-Supuestos!$D$7)),Supuestos!$F$7-SQRT((1-D313)*(Supuestos!$F$7-Supuestos!$D$7)*(Supuestos!$F$7-Supuestos!$E$7))),IF(Supuestos!$C$7="Uniforme",Supuestos!$D$7+D313*(Supuestos!$E$7-Supuestos!$D$7),IF(Supuestos!$C$7="Lognormal",LOGINV(D313,LN(Supuestos!$D$7)-LN(1+Supuestos!$E$7^2/Supuestos!$D$7^2)/2,SQRT(LN(1+Supuestos!$E$7^2/Supuestos!$D$7^2))),Supuestos!$D$7))))))</f>
        <v/>
      </c>
      <c r="L313" s="32">
        <f>MIN(IF(Supuestos!$H$8="",1E+99,Supuestos!$H$8),MAX(IF(Supuestos!$G$8="",-1E+99,Supuestos!$G$8),IF(Supuestos!$C$8="Normal",NORMINV(E313,Supuestos!$D$8,Supuestos!$E$8),IF(Supuestos!$C$8="Triangular",IF(E313&lt;(Supuestos!$E$8-Supuestos!$D$8)/(Supuestos!$F$8-Supuestos!$D$8),Supuestos!$D$8+SQRT(E313*(Supuestos!$F$8-Supuestos!$D$8)*(Supuestos!$E$8-Supuestos!$D$8)),Supuestos!$F$8-SQRT((1-E313)*(Supuestos!$F$8-Supuestos!$D$8)*(Supuestos!$F$8-Supuestos!$E$8))),IF(Supuestos!$C$8="Uniforme",Supuestos!$D$8+E313*(Supuestos!$E$8-Supuestos!$D$8),IF(Supuestos!$C$8="Lognormal",LOGINV(E313,LN(Supuestos!$D$8)-LN(1+Supuestos!$E$8^2/Supuestos!$D$8^2)/2,SQRT(LN(1+Supuestos!$E$8^2/Supuestos!$D$8^2))),Supuestos!$D$8))))))</f>
        <v/>
      </c>
      <c r="M313" s="32">
        <f>MIN(IF(Supuestos!$H$9="",1E+99,Supuestos!$H$9),MAX(IF(Supuestos!$G$9="",-1E+99,Supuestos!$G$9),IF(Supuestos!$C$9="Normal",NORMINV(F313,Supuestos!$D$9,Supuestos!$E$9),IF(Supuestos!$C$9="Triangular",IF(F313&lt;(Supuestos!$E$9-Supuestos!$D$9)/(Supuestos!$F$9-Supuestos!$D$9),Supuestos!$D$9+SQRT(F313*(Supuestos!$F$9-Supuestos!$D$9)*(Supuestos!$E$9-Supuestos!$D$9)),Supuestos!$F$9-SQRT((1-F313)*(Supuestos!$F$9-Supuestos!$D$9)*(Supuestos!$F$9-Supuestos!$E$9))),IF(Supuestos!$C$9="Uniforme",Supuestos!$D$9+F313*(Supuestos!$E$9-Supuestos!$D$9),IF(Supuestos!$C$9="Lognormal",LOGINV(F313,LN(Supuestos!$D$9)-LN(1+Supuestos!$E$9^2/Supuestos!$D$9^2)/2,SQRT(LN(1+Supuestos!$E$9^2/Supuestos!$D$9^2))),Supuestos!$D$9))))))</f>
        <v/>
      </c>
      <c r="N313" s="32">
        <f>MIN(IF(Supuestos!$H$10="",1E+99,Supuestos!$H$10),MAX(IF(Supuestos!$G$10="",-1E+99,Supuestos!$G$10),IF(Supuestos!$C$10="Normal",NORMINV(G313,Supuestos!$D$10,Supuestos!$E$10),IF(Supuestos!$C$10="Triangular",IF(G313&lt;(Supuestos!$E$10-Supuestos!$D$10)/(Supuestos!$F$10-Supuestos!$D$10),Supuestos!$D$10+SQRT(G313*(Supuestos!$F$10-Supuestos!$D$10)*(Supuestos!$E$10-Supuestos!$D$10)),Supuestos!$F$10-SQRT((1-G313)*(Supuestos!$F$10-Supuestos!$D$10)*(Supuestos!$F$10-Supuestos!$E$10))),IF(Supuestos!$C$10="Uniforme",Supuestos!$D$10+G313*(Supuestos!$E$10-Supuestos!$D$10),IF(Supuestos!$C$10="Lognormal",LOGINV(G313,LN(Supuestos!$D$10)-LN(1+Supuestos!$E$10^2/Supuestos!$D$10^2)/2,SQRT(LN(1+Supuestos!$E$10^2/Supuestos!$D$10^2))),Supuestos!$D$10))))))</f>
        <v/>
      </c>
      <c r="O313" s="31">
        <f>MIN(IF(Supuestos!$H$11="",1E+99,Supuestos!$H$11),MAX(IF(Supuestos!$G$11="",-1E+99,Supuestos!$G$11),IF(Supuestos!$C$11="Normal",NORMINV(H313,Supuestos!$D$11,Supuestos!$E$11),IF(Supuestos!$C$11="Triangular",IF(H313&lt;(Supuestos!$E$11-Supuestos!$D$11)/(Supuestos!$F$11-Supuestos!$D$11),Supuestos!$D$11+SQRT(H313*(Supuestos!$F$11-Supuestos!$D$11)*(Supuestos!$E$11-Supuestos!$D$11)),Supuestos!$F$11-SQRT((1-H313)*(Supuestos!$F$11-Supuestos!$D$11)*(Supuestos!$F$11-Supuestos!$E$11))),IF(Supuestos!$C$11="Uniforme",Supuestos!$D$11+H313*(Supuestos!$E$11-Supuestos!$D$11),IF(Supuestos!$C$11="Lognormal",LOGINV(H313,LN(Supuestos!$D$11)-LN(1+Supuestos!$E$11^2/Supuestos!$D$11^2)/2,SQRT(LN(1+Supuestos!$E$11^2/Supuestos!$D$11^2))),Supuestos!$D$11))))))</f>
        <v/>
      </c>
      <c r="P313" s="33">
        <f>-I313</f>
        <v/>
      </c>
      <c r="Q313" s="33">
        <f>$J313*(1+$K313)^(1-1)*(1-$L313)*(1-$M313)</f>
        <v/>
      </c>
      <c r="R313" s="33">
        <f>$J313*(1+$K313)^(2-1)*(1-$L313)*(1-$M313)</f>
        <v/>
      </c>
      <c r="S313" s="33">
        <f>$J313*(1+$K313)^(3-1)*(1-$L313)*(1-$M313)</f>
        <v/>
      </c>
      <c r="T313" s="33">
        <f>$J313*(1+$K313)^(4-1)*(1-$L313)*(1-$M313)</f>
        <v/>
      </c>
      <c r="U313" s="33">
        <f>$J313*(1+$K313)^(5-1)*(1-$L313)*(1-$M313)+$O313</f>
        <v/>
      </c>
      <c r="V313" s="33">
        <f>P313+NPV($N313,Q313:U313)</f>
        <v/>
      </c>
      <c r="W313" s="32">
        <f>IFERROR(IRR(P313:U313,0.1),"")</f>
        <v/>
      </c>
    </row>
    <row r="314">
      <c r="A314" s="14" t="n">
        <v>310</v>
      </c>
      <c r="B314" s="30">
        <f>RAND()*(1-2E-6)+1E-6</f>
        <v/>
      </c>
      <c r="C314" s="30">
        <f>RAND()*(1-2E-6)+1E-6</f>
        <v/>
      </c>
      <c r="D314" s="30">
        <f>RAND()*(1-2E-6)+1E-6</f>
        <v/>
      </c>
      <c r="E314" s="30">
        <f>RAND()*(1-2E-6)+1E-6</f>
        <v/>
      </c>
      <c r="F314" s="30">
        <f>RAND()*(1-2E-6)+1E-6</f>
        <v/>
      </c>
      <c r="G314" s="30">
        <f>RAND()*(1-2E-6)+1E-6</f>
        <v/>
      </c>
      <c r="H314" s="30">
        <f>RAND()*(1-2E-6)+1E-6</f>
        <v/>
      </c>
      <c r="I314" s="31">
        <f>MIN(IF(Supuestos!$H$5="",1E+99,Supuestos!$H$5),MAX(IF(Supuestos!$G$5="",-1E+99,Supuestos!$G$5),IF(Supuestos!$C$5="Normal",NORMINV(B314,Supuestos!$D$5,Supuestos!$E$5),IF(Supuestos!$C$5="Triangular",IF(B314&lt;(Supuestos!$E$5-Supuestos!$D$5)/(Supuestos!$F$5-Supuestos!$D$5),Supuestos!$D$5+SQRT(B314*(Supuestos!$F$5-Supuestos!$D$5)*(Supuestos!$E$5-Supuestos!$D$5)),Supuestos!$F$5-SQRT((1-B314)*(Supuestos!$F$5-Supuestos!$D$5)*(Supuestos!$F$5-Supuestos!$E$5))),IF(Supuestos!$C$5="Uniforme",Supuestos!$D$5+B314*(Supuestos!$E$5-Supuestos!$D$5),IF(Supuestos!$C$5="Lognormal",LOGINV(B314,LN(Supuestos!$D$5)-LN(1+Supuestos!$E$5^2/Supuestos!$D$5^2)/2,SQRT(LN(1+Supuestos!$E$5^2/Supuestos!$D$5^2))),Supuestos!$D$5))))))</f>
        <v/>
      </c>
      <c r="J314" s="31">
        <f>MIN(IF(Supuestos!$H$6="",1E+99,Supuestos!$H$6),MAX(IF(Supuestos!$G$6="",-1E+99,Supuestos!$G$6),IF(Supuestos!$C$6="Normal",NORMINV(C314,Supuestos!$D$6,Supuestos!$E$6),IF(Supuestos!$C$6="Triangular",IF(C314&lt;(Supuestos!$E$6-Supuestos!$D$6)/(Supuestos!$F$6-Supuestos!$D$6),Supuestos!$D$6+SQRT(C314*(Supuestos!$F$6-Supuestos!$D$6)*(Supuestos!$E$6-Supuestos!$D$6)),Supuestos!$F$6-SQRT((1-C314)*(Supuestos!$F$6-Supuestos!$D$6)*(Supuestos!$F$6-Supuestos!$E$6))),IF(Supuestos!$C$6="Uniforme",Supuestos!$D$6+C314*(Supuestos!$E$6-Supuestos!$D$6),IF(Supuestos!$C$6="Lognormal",LOGINV(C314,LN(Supuestos!$D$6)-LN(1+Supuestos!$E$6^2/Supuestos!$D$6^2)/2,SQRT(LN(1+Supuestos!$E$6^2/Supuestos!$D$6^2))),Supuestos!$D$6))))))</f>
        <v/>
      </c>
      <c r="K314" s="32">
        <f>MIN(IF(Supuestos!$H$7="",1E+99,Supuestos!$H$7),MAX(IF(Supuestos!$G$7="",-1E+99,Supuestos!$G$7),IF(Supuestos!$C$7="Normal",NORMINV(D314,Supuestos!$D$7,Supuestos!$E$7),IF(Supuestos!$C$7="Triangular",IF(D314&lt;(Supuestos!$E$7-Supuestos!$D$7)/(Supuestos!$F$7-Supuestos!$D$7),Supuestos!$D$7+SQRT(D314*(Supuestos!$F$7-Supuestos!$D$7)*(Supuestos!$E$7-Supuestos!$D$7)),Supuestos!$F$7-SQRT((1-D314)*(Supuestos!$F$7-Supuestos!$D$7)*(Supuestos!$F$7-Supuestos!$E$7))),IF(Supuestos!$C$7="Uniforme",Supuestos!$D$7+D314*(Supuestos!$E$7-Supuestos!$D$7),IF(Supuestos!$C$7="Lognormal",LOGINV(D314,LN(Supuestos!$D$7)-LN(1+Supuestos!$E$7^2/Supuestos!$D$7^2)/2,SQRT(LN(1+Supuestos!$E$7^2/Supuestos!$D$7^2))),Supuestos!$D$7))))))</f>
        <v/>
      </c>
      <c r="L314" s="32">
        <f>MIN(IF(Supuestos!$H$8="",1E+99,Supuestos!$H$8),MAX(IF(Supuestos!$G$8="",-1E+99,Supuestos!$G$8),IF(Supuestos!$C$8="Normal",NORMINV(E314,Supuestos!$D$8,Supuestos!$E$8),IF(Supuestos!$C$8="Triangular",IF(E314&lt;(Supuestos!$E$8-Supuestos!$D$8)/(Supuestos!$F$8-Supuestos!$D$8),Supuestos!$D$8+SQRT(E314*(Supuestos!$F$8-Supuestos!$D$8)*(Supuestos!$E$8-Supuestos!$D$8)),Supuestos!$F$8-SQRT((1-E314)*(Supuestos!$F$8-Supuestos!$D$8)*(Supuestos!$F$8-Supuestos!$E$8))),IF(Supuestos!$C$8="Uniforme",Supuestos!$D$8+E314*(Supuestos!$E$8-Supuestos!$D$8),IF(Supuestos!$C$8="Lognormal",LOGINV(E314,LN(Supuestos!$D$8)-LN(1+Supuestos!$E$8^2/Supuestos!$D$8^2)/2,SQRT(LN(1+Supuestos!$E$8^2/Supuestos!$D$8^2))),Supuestos!$D$8))))))</f>
        <v/>
      </c>
      <c r="M314" s="32">
        <f>MIN(IF(Supuestos!$H$9="",1E+99,Supuestos!$H$9),MAX(IF(Supuestos!$G$9="",-1E+99,Supuestos!$G$9),IF(Supuestos!$C$9="Normal",NORMINV(F314,Supuestos!$D$9,Supuestos!$E$9),IF(Supuestos!$C$9="Triangular",IF(F314&lt;(Supuestos!$E$9-Supuestos!$D$9)/(Supuestos!$F$9-Supuestos!$D$9),Supuestos!$D$9+SQRT(F314*(Supuestos!$F$9-Supuestos!$D$9)*(Supuestos!$E$9-Supuestos!$D$9)),Supuestos!$F$9-SQRT((1-F314)*(Supuestos!$F$9-Supuestos!$D$9)*(Supuestos!$F$9-Supuestos!$E$9))),IF(Supuestos!$C$9="Uniforme",Supuestos!$D$9+F314*(Supuestos!$E$9-Supuestos!$D$9),IF(Supuestos!$C$9="Lognormal",LOGINV(F314,LN(Supuestos!$D$9)-LN(1+Supuestos!$E$9^2/Supuestos!$D$9^2)/2,SQRT(LN(1+Supuestos!$E$9^2/Supuestos!$D$9^2))),Supuestos!$D$9))))))</f>
        <v/>
      </c>
      <c r="N314" s="32">
        <f>MIN(IF(Supuestos!$H$10="",1E+99,Supuestos!$H$10),MAX(IF(Supuestos!$G$10="",-1E+99,Supuestos!$G$10),IF(Supuestos!$C$10="Normal",NORMINV(G314,Supuestos!$D$10,Supuestos!$E$10),IF(Supuestos!$C$10="Triangular",IF(G314&lt;(Supuestos!$E$10-Supuestos!$D$10)/(Supuestos!$F$10-Supuestos!$D$10),Supuestos!$D$10+SQRT(G314*(Supuestos!$F$10-Supuestos!$D$10)*(Supuestos!$E$10-Supuestos!$D$10)),Supuestos!$F$10-SQRT((1-G314)*(Supuestos!$F$10-Supuestos!$D$10)*(Supuestos!$F$10-Supuestos!$E$10))),IF(Supuestos!$C$10="Uniforme",Supuestos!$D$10+G314*(Supuestos!$E$10-Supuestos!$D$10),IF(Supuestos!$C$10="Lognormal",LOGINV(G314,LN(Supuestos!$D$10)-LN(1+Supuestos!$E$10^2/Supuestos!$D$10^2)/2,SQRT(LN(1+Supuestos!$E$10^2/Supuestos!$D$10^2))),Supuestos!$D$10))))))</f>
        <v/>
      </c>
      <c r="O314" s="31">
        <f>MIN(IF(Supuestos!$H$11="",1E+99,Supuestos!$H$11),MAX(IF(Supuestos!$G$11="",-1E+99,Supuestos!$G$11),IF(Supuestos!$C$11="Normal",NORMINV(H314,Supuestos!$D$11,Supuestos!$E$11),IF(Supuestos!$C$11="Triangular",IF(H314&lt;(Supuestos!$E$11-Supuestos!$D$11)/(Supuestos!$F$11-Supuestos!$D$11),Supuestos!$D$11+SQRT(H314*(Supuestos!$F$11-Supuestos!$D$11)*(Supuestos!$E$11-Supuestos!$D$11)),Supuestos!$F$11-SQRT((1-H314)*(Supuestos!$F$11-Supuestos!$D$11)*(Supuestos!$F$11-Supuestos!$E$11))),IF(Supuestos!$C$11="Uniforme",Supuestos!$D$11+H314*(Supuestos!$E$11-Supuestos!$D$11),IF(Supuestos!$C$11="Lognormal",LOGINV(H314,LN(Supuestos!$D$11)-LN(1+Supuestos!$E$11^2/Supuestos!$D$11^2)/2,SQRT(LN(1+Supuestos!$E$11^2/Supuestos!$D$11^2))),Supuestos!$D$11))))))</f>
        <v/>
      </c>
      <c r="P314" s="33">
        <f>-I314</f>
        <v/>
      </c>
      <c r="Q314" s="33">
        <f>$J314*(1+$K314)^(1-1)*(1-$L314)*(1-$M314)</f>
        <v/>
      </c>
      <c r="R314" s="33">
        <f>$J314*(1+$K314)^(2-1)*(1-$L314)*(1-$M314)</f>
        <v/>
      </c>
      <c r="S314" s="33">
        <f>$J314*(1+$K314)^(3-1)*(1-$L314)*(1-$M314)</f>
        <v/>
      </c>
      <c r="T314" s="33">
        <f>$J314*(1+$K314)^(4-1)*(1-$L314)*(1-$M314)</f>
        <v/>
      </c>
      <c r="U314" s="33">
        <f>$J314*(1+$K314)^(5-1)*(1-$L314)*(1-$M314)+$O314</f>
        <v/>
      </c>
      <c r="V314" s="33">
        <f>P314+NPV($N314,Q314:U314)</f>
        <v/>
      </c>
      <c r="W314" s="32">
        <f>IFERROR(IRR(P314:U314,0.1),"")</f>
        <v/>
      </c>
    </row>
    <row r="315">
      <c r="A315" s="14" t="n">
        <v>311</v>
      </c>
      <c r="B315" s="30">
        <f>RAND()*(1-2E-6)+1E-6</f>
        <v/>
      </c>
      <c r="C315" s="30">
        <f>RAND()*(1-2E-6)+1E-6</f>
        <v/>
      </c>
      <c r="D315" s="30">
        <f>RAND()*(1-2E-6)+1E-6</f>
        <v/>
      </c>
      <c r="E315" s="30">
        <f>RAND()*(1-2E-6)+1E-6</f>
        <v/>
      </c>
      <c r="F315" s="30">
        <f>RAND()*(1-2E-6)+1E-6</f>
        <v/>
      </c>
      <c r="G315" s="30">
        <f>RAND()*(1-2E-6)+1E-6</f>
        <v/>
      </c>
      <c r="H315" s="30">
        <f>RAND()*(1-2E-6)+1E-6</f>
        <v/>
      </c>
      <c r="I315" s="31">
        <f>MIN(IF(Supuestos!$H$5="",1E+99,Supuestos!$H$5),MAX(IF(Supuestos!$G$5="",-1E+99,Supuestos!$G$5),IF(Supuestos!$C$5="Normal",NORMINV(B315,Supuestos!$D$5,Supuestos!$E$5),IF(Supuestos!$C$5="Triangular",IF(B315&lt;(Supuestos!$E$5-Supuestos!$D$5)/(Supuestos!$F$5-Supuestos!$D$5),Supuestos!$D$5+SQRT(B315*(Supuestos!$F$5-Supuestos!$D$5)*(Supuestos!$E$5-Supuestos!$D$5)),Supuestos!$F$5-SQRT((1-B315)*(Supuestos!$F$5-Supuestos!$D$5)*(Supuestos!$F$5-Supuestos!$E$5))),IF(Supuestos!$C$5="Uniforme",Supuestos!$D$5+B315*(Supuestos!$E$5-Supuestos!$D$5),IF(Supuestos!$C$5="Lognormal",LOGINV(B315,LN(Supuestos!$D$5)-LN(1+Supuestos!$E$5^2/Supuestos!$D$5^2)/2,SQRT(LN(1+Supuestos!$E$5^2/Supuestos!$D$5^2))),Supuestos!$D$5))))))</f>
        <v/>
      </c>
      <c r="J315" s="31">
        <f>MIN(IF(Supuestos!$H$6="",1E+99,Supuestos!$H$6),MAX(IF(Supuestos!$G$6="",-1E+99,Supuestos!$G$6),IF(Supuestos!$C$6="Normal",NORMINV(C315,Supuestos!$D$6,Supuestos!$E$6),IF(Supuestos!$C$6="Triangular",IF(C315&lt;(Supuestos!$E$6-Supuestos!$D$6)/(Supuestos!$F$6-Supuestos!$D$6),Supuestos!$D$6+SQRT(C315*(Supuestos!$F$6-Supuestos!$D$6)*(Supuestos!$E$6-Supuestos!$D$6)),Supuestos!$F$6-SQRT((1-C315)*(Supuestos!$F$6-Supuestos!$D$6)*(Supuestos!$F$6-Supuestos!$E$6))),IF(Supuestos!$C$6="Uniforme",Supuestos!$D$6+C315*(Supuestos!$E$6-Supuestos!$D$6),IF(Supuestos!$C$6="Lognormal",LOGINV(C315,LN(Supuestos!$D$6)-LN(1+Supuestos!$E$6^2/Supuestos!$D$6^2)/2,SQRT(LN(1+Supuestos!$E$6^2/Supuestos!$D$6^2))),Supuestos!$D$6))))))</f>
        <v/>
      </c>
      <c r="K315" s="32">
        <f>MIN(IF(Supuestos!$H$7="",1E+99,Supuestos!$H$7),MAX(IF(Supuestos!$G$7="",-1E+99,Supuestos!$G$7),IF(Supuestos!$C$7="Normal",NORMINV(D315,Supuestos!$D$7,Supuestos!$E$7),IF(Supuestos!$C$7="Triangular",IF(D315&lt;(Supuestos!$E$7-Supuestos!$D$7)/(Supuestos!$F$7-Supuestos!$D$7),Supuestos!$D$7+SQRT(D315*(Supuestos!$F$7-Supuestos!$D$7)*(Supuestos!$E$7-Supuestos!$D$7)),Supuestos!$F$7-SQRT((1-D315)*(Supuestos!$F$7-Supuestos!$D$7)*(Supuestos!$F$7-Supuestos!$E$7))),IF(Supuestos!$C$7="Uniforme",Supuestos!$D$7+D315*(Supuestos!$E$7-Supuestos!$D$7),IF(Supuestos!$C$7="Lognormal",LOGINV(D315,LN(Supuestos!$D$7)-LN(1+Supuestos!$E$7^2/Supuestos!$D$7^2)/2,SQRT(LN(1+Supuestos!$E$7^2/Supuestos!$D$7^2))),Supuestos!$D$7))))))</f>
        <v/>
      </c>
      <c r="L315" s="32">
        <f>MIN(IF(Supuestos!$H$8="",1E+99,Supuestos!$H$8),MAX(IF(Supuestos!$G$8="",-1E+99,Supuestos!$G$8),IF(Supuestos!$C$8="Normal",NORMINV(E315,Supuestos!$D$8,Supuestos!$E$8),IF(Supuestos!$C$8="Triangular",IF(E315&lt;(Supuestos!$E$8-Supuestos!$D$8)/(Supuestos!$F$8-Supuestos!$D$8),Supuestos!$D$8+SQRT(E315*(Supuestos!$F$8-Supuestos!$D$8)*(Supuestos!$E$8-Supuestos!$D$8)),Supuestos!$F$8-SQRT((1-E315)*(Supuestos!$F$8-Supuestos!$D$8)*(Supuestos!$F$8-Supuestos!$E$8))),IF(Supuestos!$C$8="Uniforme",Supuestos!$D$8+E315*(Supuestos!$E$8-Supuestos!$D$8),IF(Supuestos!$C$8="Lognormal",LOGINV(E315,LN(Supuestos!$D$8)-LN(1+Supuestos!$E$8^2/Supuestos!$D$8^2)/2,SQRT(LN(1+Supuestos!$E$8^2/Supuestos!$D$8^2))),Supuestos!$D$8))))))</f>
        <v/>
      </c>
      <c r="M315" s="32">
        <f>MIN(IF(Supuestos!$H$9="",1E+99,Supuestos!$H$9),MAX(IF(Supuestos!$G$9="",-1E+99,Supuestos!$G$9),IF(Supuestos!$C$9="Normal",NORMINV(F315,Supuestos!$D$9,Supuestos!$E$9),IF(Supuestos!$C$9="Triangular",IF(F315&lt;(Supuestos!$E$9-Supuestos!$D$9)/(Supuestos!$F$9-Supuestos!$D$9),Supuestos!$D$9+SQRT(F315*(Supuestos!$F$9-Supuestos!$D$9)*(Supuestos!$E$9-Supuestos!$D$9)),Supuestos!$F$9-SQRT((1-F315)*(Supuestos!$F$9-Supuestos!$D$9)*(Supuestos!$F$9-Supuestos!$E$9))),IF(Supuestos!$C$9="Uniforme",Supuestos!$D$9+F315*(Supuestos!$E$9-Supuestos!$D$9),IF(Supuestos!$C$9="Lognormal",LOGINV(F315,LN(Supuestos!$D$9)-LN(1+Supuestos!$E$9^2/Supuestos!$D$9^2)/2,SQRT(LN(1+Supuestos!$E$9^2/Supuestos!$D$9^2))),Supuestos!$D$9))))))</f>
        <v/>
      </c>
      <c r="N315" s="32">
        <f>MIN(IF(Supuestos!$H$10="",1E+99,Supuestos!$H$10),MAX(IF(Supuestos!$G$10="",-1E+99,Supuestos!$G$10),IF(Supuestos!$C$10="Normal",NORMINV(G315,Supuestos!$D$10,Supuestos!$E$10),IF(Supuestos!$C$10="Triangular",IF(G315&lt;(Supuestos!$E$10-Supuestos!$D$10)/(Supuestos!$F$10-Supuestos!$D$10),Supuestos!$D$10+SQRT(G315*(Supuestos!$F$10-Supuestos!$D$10)*(Supuestos!$E$10-Supuestos!$D$10)),Supuestos!$F$10-SQRT((1-G315)*(Supuestos!$F$10-Supuestos!$D$10)*(Supuestos!$F$10-Supuestos!$E$10))),IF(Supuestos!$C$10="Uniforme",Supuestos!$D$10+G315*(Supuestos!$E$10-Supuestos!$D$10),IF(Supuestos!$C$10="Lognormal",LOGINV(G315,LN(Supuestos!$D$10)-LN(1+Supuestos!$E$10^2/Supuestos!$D$10^2)/2,SQRT(LN(1+Supuestos!$E$10^2/Supuestos!$D$10^2))),Supuestos!$D$10))))))</f>
        <v/>
      </c>
      <c r="O315" s="31">
        <f>MIN(IF(Supuestos!$H$11="",1E+99,Supuestos!$H$11),MAX(IF(Supuestos!$G$11="",-1E+99,Supuestos!$G$11),IF(Supuestos!$C$11="Normal",NORMINV(H315,Supuestos!$D$11,Supuestos!$E$11),IF(Supuestos!$C$11="Triangular",IF(H315&lt;(Supuestos!$E$11-Supuestos!$D$11)/(Supuestos!$F$11-Supuestos!$D$11),Supuestos!$D$11+SQRT(H315*(Supuestos!$F$11-Supuestos!$D$11)*(Supuestos!$E$11-Supuestos!$D$11)),Supuestos!$F$11-SQRT((1-H315)*(Supuestos!$F$11-Supuestos!$D$11)*(Supuestos!$F$11-Supuestos!$E$11))),IF(Supuestos!$C$11="Uniforme",Supuestos!$D$11+H315*(Supuestos!$E$11-Supuestos!$D$11),IF(Supuestos!$C$11="Lognormal",LOGINV(H315,LN(Supuestos!$D$11)-LN(1+Supuestos!$E$11^2/Supuestos!$D$11^2)/2,SQRT(LN(1+Supuestos!$E$11^2/Supuestos!$D$11^2))),Supuestos!$D$11))))))</f>
        <v/>
      </c>
      <c r="P315" s="33">
        <f>-I315</f>
        <v/>
      </c>
      <c r="Q315" s="33">
        <f>$J315*(1+$K315)^(1-1)*(1-$L315)*(1-$M315)</f>
        <v/>
      </c>
      <c r="R315" s="33">
        <f>$J315*(1+$K315)^(2-1)*(1-$L315)*(1-$M315)</f>
        <v/>
      </c>
      <c r="S315" s="33">
        <f>$J315*(1+$K315)^(3-1)*(1-$L315)*(1-$M315)</f>
        <v/>
      </c>
      <c r="T315" s="33">
        <f>$J315*(1+$K315)^(4-1)*(1-$L315)*(1-$M315)</f>
        <v/>
      </c>
      <c r="U315" s="33">
        <f>$J315*(1+$K315)^(5-1)*(1-$L315)*(1-$M315)+$O315</f>
        <v/>
      </c>
      <c r="V315" s="33">
        <f>P315+NPV($N315,Q315:U315)</f>
        <v/>
      </c>
      <c r="W315" s="32">
        <f>IFERROR(IRR(P315:U315,0.1),"")</f>
        <v/>
      </c>
    </row>
    <row r="316">
      <c r="A316" s="14" t="n">
        <v>312</v>
      </c>
      <c r="B316" s="30">
        <f>RAND()*(1-2E-6)+1E-6</f>
        <v/>
      </c>
      <c r="C316" s="30">
        <f>RAND()*(1-2E-6)+1E-6</f>
        <v/>
      </c>
      <c r="D316" s="30">
        <f>RAND()*(1-2E-6)+1E-6</f>
        <v/>
      </c>
      <c r="E316" s="30">
        <f>RAND()*(1-2E-6)+1E-6</f>
        <v/>
      </c>
      <c r="F316" s="30">
        <f>RAND()*(1-2E-6)+1E-6</f>
        <v/>
      </c>
      <c r="G316" s="30">
        <f>RAND()*(1-2E-6)+1E-6</f>
        <v/>
      </c>
      <c r="H316" s="30">
        <f>RAND()*(1-2E-6)+1E-6</f>
        <v/>
      </c>
      <c r="I316" s="31">
        <f>MIN(IF(Supuestos!$H$5="",1E+99,Supuestos!$H$5),MAX(IF(Supuestos!$G$5="",-1E+99,Supuestos!$G$5),IF(Supuestos!$C$5="Normal",NORMINV(B316,Supuestos!$D$5,Supuestos!$E$5),IF(Supuestos!$C$5="Triangular",IF(B316&lt;(Supuestos!$E$5-Supuestos!$D$5)/(Supuestos!$F$5-Supuestos!$D$5),Supuestos!$D$5+SQRT(B316*(Supuestos!$F$5-Supuestos!$D$5)*(Supuestos!$E$5-Supuestos!$D$5)),Supuestos!$F$5-SQRT((1-B316)*(Supuestos!$F$5-Supuestos!$D$5)*(Supuestos!$F$5-Supuestos!$E$5))),IF(Supuestos!$C$5="Uniforme",Supuestos!$D$5+B316*(Supuestos!$E$5-Supuestos!$D$5),IF(Supuestos!$C$5="Lognormal",LOGINV(B316,LN(Supuestos!$D$5)-LN(1+Supuestos!$E$5^2/Supuestos!$D$5^2)/2,SQRT(LN(1+Supuestos!$E$5^2/Supuestos!$D$5^2))),Supuestos!$D$5))))))</f>
        <v/>
      </c>
      <c r="J316" s="31">
        <f>MIN(IF(Supuestos!$H$6="",1E+99,Supuestos!$H$6),MAX(IF(Supuestos!$G$6="",-1E+99,Supuestos!$G$6),IF(Supuestos!$C$6="Normal",NORMINV(C316,Supuestos!$D$6,Supuestos!$E$6),IF(Supuestos!$C$6="Triangular",IF(C316&lt;(Supuestos!$E$6-Supuestos!$D$6)/(Supuestos!$F$6-Supuestos!$D$6),Supuestos!$D$6+SQRT(C316*(Supuestos!$F$6-Supuestos!$D$6)*(Supuestos!$E$6-Supuestos!$D$6)),Supuestos!$F$6-SQRT((1-C316)*(Supuestos!$F$6-Supuestos!$D$6)*(Supuestos!$F$6-Supuestos!$E$6))),IF(Supuestos!$C$6="Uniforme",Supuestos!$D$6+C316*(Supuestos!$E$6-Supuestos!$D$6),IF(Supuestos!$C$6="Lognormal",LOGINV(C316,LN(Supuestos!$D$6)-LN(1+Supuestos!$E$6^2/Supuestos!$D$6^2)/2,SQRT(LN(1+Supuestos!$E$6^2/Supuestos!$D$6^2))),Supuestos!$D$6))))))</f>
        <v/>
      </c>
      <c r="K316" s="32">
        <f>MIN(IF(Supuestos!$H$7="",1E+99,Supuestos!$H$7),MAX(IF(Supuestos!$G$7="",-1E+99,Supuestos!$G$7),IF(Supuestos!$C$7="Normal",NORMINV(D316,Supuestos!$D$7,Supuestos!$E$7),IF(Supuestos!$C$7="Triangular",IF(D316&lt;(Supuestos!$E$7-Supuestos!$D$7)/(Supuestos!$F$7-Supuestos!$D$7),Supuestos!$D$7+SQRT(D316*(Supuestos!$F$7-Supuestos!$D$7)*(Supuestos!$E$7-Supuestos!$D$7)),Supuestos!$F$7-SQRT((1-D316)*(Supuestos!$F$7-Supuestos!$D$7)*(Supuestos!$F$7-Supuestos!$E$7))),IF(Supuestos!$C$7="Uniforme",Supuestos!$D$7+D316*(Supuestos!$E$7-Supuestos!$D$7),IF(Supuestos!$C$7="Lognormal",LOGINV(D316,LN(Supuestos!$D$7)-LN(1+Supuestos!$E$7^2/Supuestos!$D$7^2)/2,SQRT(LN(1+Supuestos!$E$7^2/Supuestos!$D$7^2))),Supuestos!$D$7))))))</f>
        <v/>
      </c>
      <c r="L316" s="32">
        <f>MIN(IF(Supuestos!$H$8="",1E+99,Supuestos!$H$8),MAX(IF(Supuestos!$G$8="",-1E+99,Supuestos!$G$8),IF(Supuestos!$C$8="Normal",NORMINV(E316,Supuestos!$D$8,Supuestos!$E$8),IF(Supuestos!$C$8="Triangular",IF(E316&lt;(Supuestos!$E$8-Supuestos!$D$8)/(Supuestos!$F$8-Supuestos!$D$8),Supuestos!$D$8+SQRT(E316*(Supuestos!$F$8-Supuestos!$D$8)*(Supuestos!$E$8-Supuestos!$D$8)),Supuestos!$F$8-SQRT((1-E316)*(Supuestos!$F$8-Supuestos!$D$8)*(Supuestos!$F$8-Supuestos!$E$8))),IF(Supuestos!$C$8="Uniforme",Supuestos!$D$8+E316*(Supuestos!$E$8-Supuestos!$D$8),IF(Supuestos!$C$8="Lognormal",LOGINV(E316,LN(Supuestos!$D$8)-LN(1+Supuestos!$E$8^2/Supuestos!$D$8^2)/2,SQRT(LN(1+Supuestos!$E$8^2/Supuestos!$D$8^2))),Supuestos!$D$8))))))</f>
        <v/>
      </c>
      <c r="M316" s="32">
        <f>MIN(IF(Supuestos!$H$9="",1E+99,Supuestos!$H$9),MAX(IF(Supuestos!$G$9="",-1E+99,Supuestos!$G$9),IF(Supuestos!$C$9="Normal",NORMINV(F316,Supuestos!$D$9,Supuestos!$E$9),IF(Supuestos!$C$9="Triangular",IF(F316&lt;(Supuestos!$E$9-Supuestos!$D$9)/(Supuestos!$F$9-Supuestos!$D$9),Supuestos!$D$9+SQRT(F316*(Supuestos!$F$9-Supuestos!$D$9)*(Supuestos!$E$9-Supuestos!$D$9)),Supuestos!$F$9-SQRT((1-F316)*(Supuestos!$F$9-Supuestos!$D$9)*(Supuestos!$F$9-Supuestos!$E$9))),IF(Supuestos!$C$9="Uniforme",Supuestos!$D$9+F316*(Supuestos!$E$9-Supuestos!$D$9),IF(Supuestos!$C$9="Lognormal",LOGINV(F316,LN(Supuestos!$D$9)-LN(1+Supuestos!$E$9^2/Supuestos!$D$9^2)/2,SQRT(LN(1+Supuestos!$E$9^2/Supuestos!$D$9^2))),Supuestos!$D$9))))))</f>
        <v/>
      </c>
      <c r="N316" s="32">
        <f>MIN(IF(Supuestos!$H$10="",1E+99,Supuestos!$H$10),MAX(IF(Supuestos!$G$10="",-1E+99,Supuestos!$G$10),IF(Supuestos!$C$10="Normal",NORMINV(G316,Supuestos!$D$10,Supuestos!$E$10),IF(Supuestos!$C$10="Triangular",IF(G316&lt;(Supuestos!$E$10-Supuestos!$D$10)/(Supuestos!$F$10-Supuestos!$D$10),Supuestos!$D$10+SQRT(G316*(Supuestos!$F$10-Supuestos!$D$10)*(Supuestos!$E$10-Supuestos!$D$10)),Supuestos!$F$10-SQRT((1-G316)*(Supuestos!$F$10-Supuestos!$D$10)*(Supuestos!$F$10-Supuestos!$E$10))),IF(Supuestos!$C$10="Uniforme",Supuestos!$D$10+G316*(Supuestos!$E$10-Supuestos!$D$10),IF(Supuestos!$C$10="Lognormal",LOGINV(G316,LN(Supuestos!$D$10)-LN(1+Supuestos!$E$10^2/Supuestos!$D$10^2)/2,SQRT(LN(1+Supuestos!$E$10^2/Supuestos!$D$10^2))),Supuestos!$D$10))))))</f>
        <v/>
      </c>
      <c r="O316" s="31">
        <f>MIN(IF(Supuestos!$H$11="",1E+99,Supuestos!$H$11),MAX(IF(Supuestos!$G$11="",-1E+99,Supuestos!$G$11),IF(Supuestos!$C$11="Normal",NORMINV(H316,Supuestos!$D$11,Supuestos!$E$11),IF(Supuestos!$C$11="Triangular",IF(H316&lt;(Supuestos!$E$11-Supuestos!$D$11)/(Supuestos!$F$11-Supuestos!$D$11),Supuestos!$D$11+SQRT(H316*(Supuestos!$F$11-Supuestos!$D$11)*(Supuestos!$E$11-Supuestos!$D$11)),Supuestos!$F$11-SQRT((1-H316)*(Supuestos!$F$11-Supuestos!$D$11)*(Supuestos!$F$11-Supuestos!$E$11))),IF(Supuestos!$C$11="Uniforme",Supuestos!$D$11+H316*(Supuestos!$E$11-Supuestos!$D$11),IF(Supuestos!$C$11="Lognormal",LOGINV(H316,LN(Supuestos!$D$11)-LN(1+Supuestos!$E$11^2/Supuestos!$D$11^2)/2,SQRT(LN(1+Supuestos!$E$11^2/Supuestos!$D$11^2))),Supuestos!$D$11))))))</f>
        <v/>
      </c>
      <c r="P316" s="33">
        <f>-I316</f>
        <v/>
      </c>
      <c r="Q316" s="33">
        <f>$J316*(1+$K316)^(1-1)*(1-$L316)*(1-$M316)</f>
        <v/>
      </c>
      <c r="R316" s="33">
        <f>$J316*(1+$K316)^(2-1)*(1-$L316)*(1-$M316)</f>
        <v/>
      </c>
      <c r="S316" s="33">
        <f>$J316*(1+$K316)^(3-1)*(1-$L316)*(1-$M316)</f>
        <v/>
      </c>
      <c r="T316" s="33">
        <f>$J316*(1+$K316)^(4-1)*(1-$L316)*(1-$M316)</f>
        <v/>
      </c>
      <c r="U316" s="33">
        <f>$J316*(1+$K316)^(5-1)*(1-$L316)*(1-$M316)+$O316</f>
        <v/>
      </c>
      <c r="V316" s="33">
        <f>P316+NPV($N316,Q316:U316)</f>
        <v/>
      </c>
      <c r="W316" s="32">
        <f>IFERROR(IRR(P316:U316,0.1),"")</f>
        <v/>
      </c>
    </row>
    <row r="317">
      <c r="A317" s="14" t="n">
        <v>313</v>
      </c>
      <c r="B317" s="30">
        <f>RAND()*(1-2E-6)+1E-6</f>
        <v/>
      </c>
      <c r="C317" s="30">
        <f>RAND()*(1-2E-6)+1E-6</f>
        <v/>
      </c>
      <c r="D317" s="30">
        <f>RAND()*(1-2E-6)+1E-6</f>
        <v/>
      </c>
      <c r="E317" s="30">
        <f>RAND()*(1-2E-6)+1E-6</f>
        <v/>
      </c>
      <c r="F317" s="30">
        <f>RAND()*(1-2E-6)+1E-6</f>
        <v/>
      </c>
      <c r="G317" s="30">
        <f>RAND()*(1-2E-6)+1E-6</f>
        <v/>
      </c>
      <c r="H317" s="30">
        <f>RAND()*(1-2E-6)+1E-6</f>
        <v/>
      </c>
      <c r="I317" s="31">
        <f>MIN(IF(Supuestos!$H$5="",1E+99,Supuestos!$H$5),MAX(IF(Supuestos!$G$5="",-1E+99,Supuestos!$G$5),IF(Supuestos!$C$5="Normal",NORMINV(B317,Supuestos!$D$5,Supuestos!$E$5),IF(Supuestos!$C$5="Triangular",IF(B317&lt;(Supuestos!$E$5-Supuestos!$D$5)/(Supuestos!$F$5-Supuestos!$D$5),Supuestos!$D$5+SQRT(B317*(Supuestos!$F$5-Supuestos!$D$5)*(Supuestos!$E$5-Supuestos!$D$5)),Supuestos!$F$5-SQRT((1-B317)*(Supuestos!$F$5-Supuestos!$D$5)*(Supuestos!$F$5-Supuestos!$E$5))),IF(Supuestos!$C$5="Uniforme",Supuestos!$D$5+B317*(Supuestos!$E$5-Supuestos!$D$5),IF(Supuestos!$C$5="Lognormal",LOGINV(B317,LN(Supuestos!$D$5)-LN(1+Supuestos!$E$5^2/Supuestos!$D$5^2)/2,SQRT(LN(1+Supuestos!$E$5^2/Supuestos!$D$5^2))),Supuestos!$D$5))))))</f>
        <v/>
      </c>
      <c r="J317" s="31">
        <f>MIN(IF(Supuestos!$H$6="",1E+99,Supuestos!$H$6),MAX(IF(Supuestos!$G$6="",-1E+99,Supuestos!$G$6),IF(Supuestos!$C$6="Normal",NORMINV(C317,Supuestos!$D$6,Supuestos!$E$6),IF(Supuestos!$C$6="Triangular",IF(C317&lt;(Supuestos!$E$6-Supuestos!$D$6)/(Supuestos!$F$6-Supuestos!$D$6),Supuestos!$D$6+SQRT(C317*(Supuestos!$F$6-Supuestos!$D$6)*(Supuestos!$E$6-Supuestos!$D$6)),Supuestos!$F$6-SQRT((1-C317)*(Supuestos!$F$6-Supuestos!$D$6)*(Supuestos!$F$6-Supuestos!$E$6))),IF(Supuestos!$C$6="Uniforme",Supuestos!$D$6+C317*(Supuestos!$E$6-Supuestos!$D$6),IF(Supuestos!$C$6="Lognormal",LOGINV(C317,LN(Supuestos!$D$6)-LN(1+Supuestos!$E$6^2/Supuestos!$D$6^2)/2,SQRT(LN(1+Supuestos!$E$6^2/Supuestos!$D$6^2))),Supuestos!$D$6))))))</f>
        <v/>
      </c>
      <c r="K317" s="32">
        <f>MIN(IF(Supuestos!$H$7="",1E+99,Supuestos!$H$7),MAX(IF(Supuestos!$G$7="",-1E+99,Supuestos!$G$7),IF(Supuestos!$C$7="Normal",NORMINV(D317,Supuestos!$D$7,Supuestos!$E$7),IF(Supuestos!$C$7="Triangular",IF(D317&lt;(Supuestos!$E$7-Supuestos!$D$7)/(Supuestos!$F$7-Supuestos!$D$7),Supuestos!$D$7+SQRT(D317*(Supuestos!$F$7-Supuestos!$D$7)*(Supuestos!$E$7-Supuestos!$D$7)),Supuestos!$F$7-SQRT((1-D317)*(Supuestos!$F$7-Supuestos!$D$7)*(Supuestos!$F$7-Supuestos!$E$7))),IF(Supuestos!$C$7="Uniforme",Supuestos!$D$7+D317*(Supuestos!$E$7-Supuestos!$D$7),IF(Supuestos!$C$7="Lognormal",LOGINV(D317,LN(Supuestos!$D$7)-LN(1+Supuestos!$E$7^2/Supuestos!$D$7^2)/2,SQRT(LN(1+Supuestos!$E$7^2/Supuestos!$D$7^2))),Supuestos!$D$7))))))</f>
        <v/>
      </c>
      <c r="L317" s="32">
        <f>MIN(IF(Supuestos!$H$8="",1E+99,Supuestos!$H$8),MAX(IF(Supuestos!$G$8="",-1E+99,Supuestos!$G$8),IF(Supuestos!$C$8="Normal",NORMINV(E317,Supuestos!$D$8,Supuestos!$E$8),IF(Supuestos!$C$8="Triangular",IF(E317&lt;(Supuestos!$E$8-Supuestos!$D$8)/(Supuestos!$F$8-Supuestos!$D$8),Supuestos!$D$8+SQRT(E317*(Supuestos!$F$8-Supuestos!$D$8)*(Supuestos!$E$8-Supuestos!$D$8)),Supuestos!$F$8-SQRT((1-E317)*(Supuestos!$F$8-Supuestos!$D$8)*(Supuestos!$F$8-Supuestos!$E$8))),IF(Supuestos!$C$8="Uniforme",Supuestos!$D$8+E317*(Supuestos!$E$8-Supuestos!$D$8),IF(Supuestos!$C$8="Lognormal",LOGINV(E317,LN(Supuestos!$D$8)-LN(1+Supuestos!$E$8^2/Supuestos!$D$8^2)/2,SQRT(LN(1+Supuestos!$E$8^2/Supuestos!$D$8^2))),Supuestos!$D$8))))))</f>
        <v/>
      </c>
      <c r="M317" s="32">
        <f>MIN(IF(Supuestos!$H$9="",1E+99,Supuestos!$H$9),MAX(IF(Supuestos!$G$9="",-1E+99,Supuestos!$G$9),IF(Supuestos!$C$9="Normal",NORMINV(F317,Supuestos!$D$9,Supuestos!$E$9),IF(Supuestos!$C$9="Triangular",IF(F317&lt;(Supuestos!$E$9-Supuestos!$D$9)/(Supuestos!$F$9-Supuestos!$D$9),Supuestos!$D$9+SQRT(F317*(Supuestos!$F$9-Supuestos!$D$9)*(Supuestos!$E$9-Supuestos!$D$9)),Supuestos!$F$9-SQRT((1-F317)*(Supuestos!$F$9-Supuestos!$D$9)*(Supuestos!$F$9-Supuestos!$E$9))),IF(Supuestos!$C$9="Uniforme",Supuestos!$D$9+F317*(Supuestos!$E$9-Supuestos!$D$9),IF(Supuestos!$C$9="Lognormal",LOGINV(F317,LN(Supuestos!$D$9)-LN(1+Supuestos!$E$9^2/Supuestos!$D$9^2)/2,SQRT(LN(1+Supuestos!$E$9^2/Supuestos!$D$9^2))),Supuestos!$D$9))))))</f>
        <v/>
      </c>
      <c r="N317" s="32">
        <f>MIN(IF(Supuestos!$H$10="",1E+99,Supuestos!$H$10),MAX(IF(Supuestos!$G$10="",-1E+99,Supuestos!$G$10),IF(Supuestos!$C$10="Normal",NORMINV(G317,Supuestos!$D$10,Supuestos!$E$10),IF(Supuestos!$C$10="Triangular",IF(G317&lt;(Supuestos!$E$10-Supuestos!$D$10)/(Supuestos!$F$10-Supuestos!$D$10),Supuestos!$D$10+SQRT(G317*(Supuestos!$F$10-Supuestos!$D$10)*(Supuestos!$E$10-Supuestos!$D$10)),Supuestos!$F$10-SQRT((1-G317)*(Supuestos!$F$10-Supuestos!$D$10)*(Supuestos!$F$10-Supuestos!$E$10))),IF(Supuestos!$C$10="Uniforme",Supuestos!$D$10+G317*(Supuestos!$E$10-Supuestos!$D$10),IF(Supuestos!$C$10="Lognormal",LOGINV(G317,LN(Supuestos!$D$10)-LN(1+Supuestos!$E$10^2/Supuestos!$D$10^2)/2,SQRT(LN(1+Supuestos!$E$10^2/Supuestos!$D$10^2))),Supuestos!$D$10))))))</f>
        <v/>
      </c>
      <c r="O317" s="31">
        <f>MIN(IF(Supuestos!$H$11="",1E+99,Supuestos!$H$11),MAX(IF(Supuestos!$G$11="",-1E+99,Supuestos!$G$11),IF(Supuestos!$C$11="Normal",NORMINV(H317,Supuestos!$D$11,Supuestos!$E$11),IF(Supuestos!$C$11="Triangular",IF(H317&lt;(Supuestos!$E$11-Supuestos!$D$11)/(Supuestos!$F$11-Supuestos!$D$11),Supuestos!$D$11+SQRT(H317*(Supuestos!$F$11-Supuestos!$D$11)*(Supuestos!$E$11-Supuestos!$D$11)),Supuestos!$F$11-SQRT((1-H317)*(Supuestos!$F$11-Supuestos!$D$11)*(Supuestos!$F$11-Supuestos!$E$11))),IF(Supuestos!$C$11="Uniforme",Supuestos!$D$11+H317*(Supuestos!$E$11-Supuestos!$D$11),IF(Supuestos!$C$11="Lognormal",LOGINV(H317,LN(Supuestos!$D$11)-LN(1+Supuestos!$E$11^2/Supuestos!$D$11^2)/2,SQRT(LN(1+Supuestos!$E$11^2/Supuestos!$D$11^2))),Supuestos!$D$11))))))</f>
        <v/>
      </c>
      <c r="P317" s="33">
        <f>-I317</f>
        <v/>
      </c>
      <c r="Q317" s="33">
        <f>$J317*(1+$K317)^(1-1)*(1-$L317)*(1-$M317)</f>
        <v/>
      </c>
      <c r="R317" s="33">
        <f>$J317*(1+$K317)^(2-1)*(1-$L317)*(1-$M317)</f>
        <v/>
      </c>
      <c r="S317" s="33">
        <f>$J317*(1+$K317)^(3-1)*(1-$L317)*(1-$M317)</f>
        <v/>
      </c>
      <c r="T317" s="33">
        <f>$J317*(1+$K317)^(4-1)*(1-$L317)*(1-$M317)</f>
        <v/>
      </c>
      <c r="U317" s="33">
        <f>$J317*(1+$K317)^(5-1)*(1-$L317)*(1-$M317)+$O317</f>
        <v/>
      </c>
      <c r="V317" s="33">
        <f>P317+NPV($N317,Q317:U317)</f>
        <v/>
      </c>
      <c r="W317" s="32">
        <f>IFERROR(IRR(P317:U317,0.1),"")</f>
        <v/>
      </c>
    </row>
    <row r="318">
      <c r="A318" s="14" t="n">
        <v>314</v>
      </c>
      <c r="B318" s="30">
        <f>RAND()*(1-2E-6)+1E-6</f>
        <v/>
      </c>
      <c r="C318" s="30">
        <f>RAND()*(1-2E-6)+1E-6</f>
        <v/>
      </c>
      <c r="D318" s="30">
        <f>RAND()*(1-2E-6)+1E-6</f>
        <v/>
      </c>
      <c r="E318" s="30">
        <f>RAND()*(1-2E-6)+1E-6</f>
        <v/>
      </c>
      <c r="F318" s="30">
        <f>RAND()*(1-2E-6)+1E-6</f>
        <v/>
      </c>
      <c r="G318" s="30">
        <f>RAND()*(1-2E-6)+1E-6</f>
        <v/>
      </c>
      <c r="H318" s="30">
        <f>RAND()*(1-2E-6)+1E-6</f>
        <v/>
      </c>
      <c r="I318" s="31">
        <f>MIN(IF(Supuestos!$H$5="",1E+99,Supuestos!$H$5),MAX(IF(Supuestos!$G$5="",-1E+99,Supuestos!$G$5),IF(Supuestos!$C$5="Normal",NORMINV(B318,Supuestos!$D$5,Supuestos!$E$5),IF(Supuestos!$C$5="Triangular",IF(B318&lt;(Supuestos!$E$5-Supuestos!$D$5)/(Supuestos!$F$5-Supuestos!$D$5),Supuestos!$D$5+SQRT(B318*(Supuestos!$F$5-Supuestos!$D$5)*(Supuestos!$E$5-Supuestos!$D$5)),Supuestos!$F$5-SQRT((1-B318)*(Supuestos!$F$5-Supuestos!$D$5)*(Supuestos!$F$5-Supuestos!$E$5))),IF(Supuestos!$C$5="Uniforme",Supuestos!$D$5+B318*(Supuestos!$E$5-Supuestos!$D$5),IF(Supuestos!$C$5="Lognormal",LOGINV(B318,LN(Supuestos!$D$5)-LN(1+Supuestos!$E$5^2/Supuestos!$D$5^2)/2,SQRT(LN(1+Supuestos!$E$5^2/Supuestos!$D$5^2))),Supuestos!$D$5))))))</f>
        <v/>
      </c>
      <c r="J318" s="31">
        <f>MIN(IF(Supuestos!$H$6="",1E+99,Supuestos!$H$6),MAX(IF(Supuestos!$G$6="",-1E+99,Supuestos!$G$6),IF(Supuestos!$C$6="Normal",NORMINV(C318,Supuestos!$D$6,Supuestos!$E$6),IF(Supuestos!$C$6="Triangular",IF(C318&lt;(Supuestos!$E$6-Supuestos!$D$6)/(Supuestos!$F$6-Supuestos!$D$6),Supuestos!$D$6+SQRT(C318*(Supuestos!$F$6-Supuestos!$D$6)*(Supuestos!$E$6-Supuestos!$D$6)),Supuestos!$F$6-SQRT((1-C318)*(Supuestos!$F$6-Supuestos!$D$6)*(Supuestos!$F$6-Supuestos!$E$6))),IF(Supuestos!$C$6="Uniforme",Supuestos!$D$6+C318*(Supuestos!$E$6-Supuestos!$D$6),IF(Supuestos!$C$6="Lognormal",LOGINV(C318,LN(Supuestos!$D$6)-LN(1+Supuestos!$E$6^2/Supuestos!$D$6^2)/2,SQRT(LN(1+Supuestos!$E$6^2/Supuestos!$D$6^2))),Supuestos!$D$6))))))</f>
        <v/>
      </c>
      <c r="K318" s="32">
        <f>MIN(IF(Supuestos!$H$7="",1E+99,Supuestos!$H$7),MAX(IF(Supuestos!$G$7="",-1E+99,Supuestos!$G$7),IF(Supuestos!$C$7="Normal",NORMINV(D318,Supuestos!$D$7,Supuestos!$E$7),IF(Supuestos!$C$7="Triangular",IF(D318&lt;(Supuestos!$E$7-Supuestos!$D$7)/(Supuestos!$F$7-Supuestos!$D$7),Supuestos!$D$7+SQRT(D318*(Supuestos!$F$7-Supuestos!$D$7)*(Supuestos!$E$7-Supuestos!$D$7)),Supuestos!$F$7-SQRT((1-D318)*(Supuestos!$F$7-Supuestos!$D$7)*(Supuestos!$F$7-Supuestos!$E$7))),IF(Supuestos!$C$7="Uniforme",Supuestos!$D$7+D318*(Supuestos!$E$7-Supuestos!$D$7),IF(Supuestos!$C$7="Lognormal",LOGINV(D318,LN(Supuestos!$D$7)-LN(1+Supuestos!$E$7^2/Supuestos!$D$7^2)/2,SQRT(LN(1+Supuestos!$E$7^2/Supuestos!$D$7^2))),Supuestos!$D$7))))))</f>
        <v/>
      </c>
      <c r="L318" s="32">
        <f>MIN(IF(Supuestos!$H$8="",1E+99,Supuestos!$H$8),MAX(IF(Supuestos!$G$8="",-1E+99,Supuestos!$G$8),IF(Supuestos!$C$8="Normal",NORMINV(E318,Supuestos!$D$8,Supuestos!$E$8),IF(Supuestos!$C$8="Triangular",IF(E318&lt;(Supuestos!$E$8-Supuestos!$D$8)/(Supuestos!$F$8-Supuestos!$D$8),Supuestos!$D$8+SQRT(E318*(Supuestos!$F$8-Supuestos!$D$8)*(Supuestos!$E$8-Supuestos!$D$8)),Supuestos!$F$8-SQRT((1-E318)*(Supuestos!$F$8-Supuestos!$D$8)*(Supuestos!$F$8-Supuestos!$E$8))),IF(Supuestos!$C$8="Uniforme",Supuestos!$D$8+E318*(Supuestos!$E$8-Supuestos!$D$8),IF(Supuestos!$C$8="Lognormal",LOGINV(E318,LN(Supuestos!$D$8)-LN(1+Supuestos!$E$8^2/Supuestos!$D$8^2)/2,SQRT(LN(1+Supuestos!$E$8^2/Supuestos!$D$8^2))),Supuestos!$D$8))))))</f>
        <v/>
      </c>
      <c r="M318" s="32">
        <f>MIN(IF(Supuestos!$H$9="",1E+99,Supuestos!$H$9),MAX(IF(Supuestos!$G$9="",-1E+99,Supuestos!$G$9),IF(Supuestos!$C$9="Normal",NORMINV(F318,Supuestos!$D$9,Supuestos!$E$9),IF(Supuestos!$C$9="Triangular",IF(F318&lt;(Supuestos!$E$9-Supuestos!$D$9)/(Supuestos!$F$9-Supuestos!$D$9),Supuestos!$D$9+SQRT(F318*(Supuestos!$F$9-Supuestos!$D$9)*(Supuestos!$E$9-Supuestos!$D$9)),Supuestos!$F$9-SQRT((1-F318)*(Supuestos!$F$9-Supuestos!$D$9)*(Supuestos!$F$9-Supuestos!$E$9))),IF(Supuestos!$C$9="Uniforme",Supuestos!$D$9+F318*(Supuestos!$E$9-Supuestos!$D$9),IF(Supuestos!$C$9="Lognormal",LOGINV(F318,LN(Supuestos!$D$9)-LN(1+Supuestos!$E$9^2/Supuestos!$D$9^2)/2,SQRT(LN(1+Supuestos!$E$9^2/Supuestos!$D$9^2))),Supuestos!$D$9))))))</f>
        <v/>
      </c>
      <c r="N318" s="32">
        <f>MIN(IF(Supuestos!$H$10="",1E+99,Supuestos!$H$10),MAX(IF(Supuestos!$G$10="",-1E+99,Supuestos!$G$10),IF(Supuestos!$C$10="Normal",NORMINV(G318,Supuestos!$D$10,Supuestos!$E$10),IF(Supuestos!$C$10="Triangular",IF(G318&lt;(Supuestos!$E$10-Supuestos!$D$10)/(Supuestos!$F$10-Supuestos!$D$10),Supuestos!$D$10+SQRT(G318*(Supuestos!$F$10-Supuestos!$D$10)*(Supuestos!$E$10-Supuestos!$D$10)),Supuestos!$F$10-SQRT((1-G318)*(Supuestos!$F$10-Supuestos!$D$10)*(Supuestos!$F$10-Supuestos!$E$10))),IF(Supuestos!$C$10="Uniforme",Supuestos!$D$10+G318*(Supuestos!$E$10-Supuestos!$D$10),IF(Supuestos!$C$10="Lognormal",LOGINV(G318,LN(Supuestos!$D$10)-LN(1+Supuestos!$E$10^2/Supuestos!$D$10^2)/2,SQRT(LN(1+Supuestos!$E$10^2/Supuestos!$D$10^2))),Supuestos!$D$10))))))</f>
        <v/>
      </c>
      <c r="O318" s="31">
        <f>MIN(IF(Supuestos!$H$11="",1E+99,Supuestos!$H$11),MAX(IF(Supuestos!$G$11="",-1E+99,Supuestos!$G$11),IF(Supuestos!$C$11="Normal",NORMINV(H318,Supuestos!$D$11,Supuestos!$E$11),IF(Supuestos!$C$11="Triangular",IF(H318&lt;(Supuestos!$E$11-Supuestos!$D$11)/(Supuestos!$F$11-Supuestos!$D$11),Supuestos!$D$11+SQRT(H318*(Supuestos!$F$11-Supuestos!$D$11)*(Supuestos!$E$11-Supuestos!$D$11)),Supuestos!$F$11-SQRT((1-H318)*(Supuestos!$F$11-Supuestos!$D$11)*(Supuestos!$F$11-Supuestos!$E$11))),IF(Supuestos!$C$11="Uniforme",Supuestos!$D$11+H318*(Supuestos!$E$11-Supuestos!$D$11),IF(Supuestos!$C$11="Lognormal",LOGINV(H318,LN(Supuestos!$D$11)-LN(1+Supuestos!$E$11^2/Supuestos!$D$11^2)/2,SQRT(LN(1+Supuestos!$E$11^2/Supuestos!$D$11^2))),Supuestos!$D$11))))))</f>
        <v/>
      </c>
      <c r="P318" s="33">
        <f>-I318</f>
        <v/>
      </c>
      <c r="Q318" s="33">
        <f>$J318*(1+$K318)^(1-1)*(1-$L318)*(1-$M318)</f>
        <v/>
      </c>
      <c r="R318" s="33">
        <f>$J318*(1+$K318)^(2-1)*(1-$L318)*(1-$M318)</f>
        <v/>
      </c>
      <c r="S318" s="33">
        <f>$J318*(1+$K318)^(3-1)*(1-$L318)*(1-$M318)</f>
        <v/>
      </c>
      <c r="T318" s="33">
        <f>$J318*(1+$K318)^(4-1)*(1-$L318)*(1-$M318)</f>
        <v/>
      </c>
      <c r="U318" s="33">
        <f>$J318*(1+$K318)^(5-1)*(1-$L318)*(1-$M318)+$O318</f>
        <v/>
      </c>
      <c r="V318" s="33">
        <f>P318+NPV($N318,Q318:U318)</f>
        <v/>
      </c>
      <c r="W318" s="32">
        <f>IFERROR(IRR(P318:U318,0.1),"")</f>
        <v/>
      </c>
    </row>
    <row r="319">
      <c r="A319" s="14" t="n">
        <v>315</v>
      </c>
      <c r="B319" s="30">
        <f>RAND()*(1-2E-6)+1E-6</f>
        <v/>
      </c>
      <c r="C319" s="30">
        <f>RAND()*(1-2E-6)+1E-6</f>
        <v/>
      </c>
      <c r="D319" s="30">
        <f>RAND()*(1-2E-6)+1E-6</f>
        <v/>
      </c>
      <c r="E319" s="30">
        <f>RAND()*(1-2E-6)+1E-6</f>
        <v/>
      </c>
      <c r="F319" s="30">
        <f>RAND()*(1-2E-6)+1E-6</f>
        <v/>
      </c>
      <c r="G319" s="30">
        <f>RAND()*(1-2E-6)+1E-6</f>
        <v/>
      </c>
      <c r="H319" s="30">
        <f>RAND()*(1-2E-6)+1E-6</f>
        <v/>
      </c>
      <c r="I319" s="31">
        <f>MIN(IF(Supuestos!$H$5="",1E+99,Supuestos!$H$5),MAX(IF(Supuestos!$G$5="",-1E+99,Supuestos!$G$5),IF(Supuestos!$C$5="Normal",NORMINV(B319,Supuestos!$D$5,Supuestos!$E$5),IF(Supuestos!$C$5="Triangular",IF(B319&lt;(Supuestos!$E$5-Supuestos!$D$5)/(Supuestos!$F$5-Supuestos!$D$5),Supuestos!$D$5+SQRT(B319*(Supuestos!$F$5-Supuestos!$D$5)*(Supuestos!$E$5-Supuestos!$D$5)),Supuestos!$F$5-SQRT((1-B319)*(Supuestos!$F$5-Supuestos!$D$5)*(Supuestos!$F$5-Supuestos!$E$5))),IF(Supuestos!$C$5="Uniforme",Supuestos!$D$5+B319*(Supuestos!$E$5-Supuestos!$D$5),IF(Supuestos!$C$5="Lognormal",LOGINV(B319,LN(Supuestos!$D$5)-LN(1+Supuestos!$E$5^2/Supuestos!$D$5^2)/2,SQRT(LN(1+Supuestos!$E$5^2/Supuestos!$D$5^2))),Supuestos!$D$5))))))</f>
        <v/>
      </c>
      <c r="J319" s="31">
        <f>MIN(IF(Supuestos!$H$6="",1E+99,Supuestos!$H$6),MAX(IF(Supuestos!$G$6="",-1E+99,Supuestos!$G$6),IF(Supuestos!$C$6="Normal",NORMINV(C319,Supuestos!$D$6,Supuestos!$E$6),IF(Supuestos!$C$6="Triangular",IF(C319&lt;(Supuestos!$E$6-Supuestos!$D$6)/(Supuestos!$F$6-Supuestos!$D$6),Supuestos!$D$6+SQRT(C319*(Supuestos!$F$6-Supuestos!$D$6)*(Supuestos!$E$6-Supuestos!$D$6)),Supuestos!$F$6-SQRT((1-C319)*(Supuestos!$F$6-Supuestos!$D$6)*(Supuestos!$F$6-Supuestos!$E$6))),IF(Supuestos!$C$6="Uniforme",Supuestos!$D$6+C319*(Supuestos!$E$6-Supuestos!$D$6),IF(Supuestos!$C$6="Lognormal",LOGINV(C319,LN(Supuestos!$D$6)-LN(1+Supuestos!$E$6^2/Supuestos!$D$6^2)/2,SQRT(LN(1+Supuestos!$E$6^2/Supuestos!$D$6^2))),Supuestos!$D$6))))))</f>
        <v/>
      </c>
      <c r="K319" s="32">
        <f>MIN(IF(Supuestos!$H$7="",1E+99,Supuestos!$H$7),MAX(IF(Supuestos!$G$7="",-1E+99,Supuestos!$G$7),IF(Supuestos!$C$7="Normal",NORMINV(D319,Supuestos!$D$7,Supuestos!$E$7),IF(Supuestos!$C$7="Triangular",IF(D319&lt;(Supuestos!$E$7-Supuestos!$D$7)/(Supuestos!$F$7-Supuestos!$D$7),Supuestos!$D$7+SQRT(D319*(Supuestos!$F$7-Supuestos!$D$7)*(Supuestos!$E$7-Supuestos!$D$7)),Supuestos!$F$7-SQRT((1-D319)*(Supuestos!$F$7-Supuestos!$D$7)*(Supuestos!$F$7-Supuestos!$E$7))),IF(Supuestos!$C$7="Uniforme",Supuestos!$D$7+D319*(Supuestos!$E$7-Supuestos!$D$7),IF(Supuestos!$C$7="Lognormal",LOGINV(D319,LN(Supuestos!$D$7)-LN(1+Supuestos!$E$7^2/Supuestos!$D$7^2)/2,SQRT(LN(1+Supuestos!$E$7^2/Supuestos!$D$7^2))),Supuestos!$D$7))))))</f>
        <v/>
      </c>
      <c r="L319" s="32">
        <f>MIN(IF(Supuestos!$H$8="",1E+99,Supuestos!$H$8),MAX(IF(Supuestos!$G$8="",-1E+99,Supuestos!$G$8),IF(Supuestos!$C$8="Normal",NORMINV(E319,Supuestos!$D$8,Supuestos!$E$8),IF(Supuestos!$C$8="Triangular",IF(E319&lt;(Supuestos!$E$8-Supuestos!$D$8)/(Supuestos!$F$8-Supuestos!$D$8),Supuestos!$D$8+SQRT(E319*(Supuestos!$F$8-Supuestos!$D$8)*(Supuestos!$E$8-Supuestos!$D$8)),Supuestos!$F$8-SQRT((1-E319)*(Supuestos!$F$8-Supuestos!$D$8)*(Supuestos!$F$8-Supuestos!$E$8))),IF(Supuestos!$C$8="Uniforme",Supuestos!$D$8+E319*(Supuestos!$E$8-Supuestos!$D$8),IF(Supuestos!$C$8="Lognormal",LOGINV(E319,LN(Supuestos!$D$8)-LN(1+Supuestos!$E$8^2/Supuestos!$D$8^2)/2,SQRT(LN(1+Supuestos!$E$8^2/Supuestos!$D$8^2))),Supuestos!$D$8))))))</f>
        <v/>
      </c>
      <c r="M319" s="32">
        <f>MIN(IF(Supuestos!$H$9="",1E+99,Supuestos!$H$9),MAX(IF(Supuestos!$G$9="",-1E+99,Supuestos!$G$9),IF(Supuestos!$C$9="Normal",NORMINV(F319,Supuestos!$D$9,Supuestos!$E$9),IF(Supuestos!$C$9="Triangular",IF(F319&lt;(Supuestos!$E$9-Supuestos!$D$9)/(Supuestos!$F$9-Supuestos!$D$9),Supuestos!$D$9+SQRT(F319*(Supuestos!$F$9-Supuestos!$D$9)*(Supuestos!$E$9-Supuestos!$D$9)),Supuestos!$F$9-SQRT((1-F319)*(Supuestos!$F$9-Supuestos!$D$9)*(Supuestos!$F$9-Supuestos!$E$9))),IF(Supuestos!$C$9="Uniforme",Supuestos!$D$9+F319*(Supuestos!$E$9-Supuestos!$D$9),IF(Supuestos!$C$9="Lognormal",LOGINV(F319,LN(Supuestos!$D$9)-LN(1+Supuestos!$E$9^2/Supuestos!$D$9^2)/2,SQRT(LN(1+Supuestos!$E$9^2/Supuestos!$D$9^2))),Supuestos!$D$9))))))</f>
        <v/>
      </c>
      <c r="N319" s="32">
        <f>MIN(IF(Supuestos!$H$10="",1E+99,Supuestos!$H$10),MAX(IF(Supuestos!$G$10="",-1E+99,Supuestos!$G$10),IF(Supuestos!$C$10="Normal",NORMINV(G319,Supuestos!$D$10,Supuestos!$E$10),IF(Supuestos!$C$10="Triangular",IF(G319&lt;(Supuestos!$E$10-Supuestos!$D$10)/(Supuestos!$F$10-Supuestos!$D$10),Supuestos!$D$10+SQRT(G319*(Supuestos!$F$10-Supuestos!$D$10)*(Supuestos!$E$10-Supuestos!$D$10)),Supuestos!$F$10-SQRT((1-G319)*(Supuestos!$F$10-Supuestos!$D$10)*(Supuestos!$F$10-Supuestos!$E$10))),IF(Supuestos!$C$10="Uniforme",Supuestos!$D$10+G319*(Supuestos!$E$10-Supuestos!$D$10),IF(Supuestos!$C$10="Lognormal",LOGINV(G319,LN(Supuestos!$D$10)-LN(1+Supuestos!$E$10^2/Supuestos!$D$10^2)/2,SQRT(LN(1+Supuestos!$E$10^2/Supuestos!$D$10^2))),Supuestos!$D$10))))))</f>
        <v/>
      </c>
      <c r="O319" s="31">
        <f>MIN(IF(Supuestos!$H$11="",1E+99,Supuestos!$H$11),MAX(IF(Supuestos!$G$11="",-1E+99,Supuestos!$G$11),IF(Supuestos!$C$11="Normal",NORMINV(H319,Supuestos!$D$11,Supuestos!$E$11),IF(Supuestos!$C$11="Triangular",IF(H319&lt;(Supuestos!$E$11-Supuestos!$D$11)/(Supuestos!$F$11-Supuestos!$D$11),Supuestos!$D$11+SQRT(H319*(Supuestos!$F$11-Supuestos!$D$11)*(Supuestos!$E$11-Supuestos!$D$11)),Supuestos!$F$11-SQRT((1-H319)*(Supuestos!$F$11-Supuestos!$D$11)*(Supuestos!$F$11-Supuestos!$E$11))),IF(Supuestos!$C$11="Uniforme",Supuestos!$D$11+H319*(Supuestos!$E$11-Supuestos!$D$11),IF(Supuestos!$C$11="Lognormal",LOGINV(H319,LN(Supuestos!$D$11)-LN(1+Supuestos!$E$11^2/Supuestos!$D$11^2)/2,SQRT(LN(1+Supuestos!$E$11^2/Supuestos!$D$11^2))),Supuestos!$D$11))))))</f>
        <v/>
      </c>
      <c r="P319" s="33">
        <f>-I319</f>
        <v/>
      </c>
      <c r="Q319" s="33">
        <f>$J319*(1+$K319)^(1-1)*(1-$L319)*(1-$M319)</f>
        <v/>
      </c>
      <c r="R319" s="33">
        <f>$J319*(1+$K319)^(2-1)*(1-$L319)*(1-$M319)</f>
        <v/>
      </c>
      <c r="S319" s="33">
        <f>$J319*(1+$K319)^(3-1)*(1-$L319)*(1-$M319)</f>
        <v/>
      </c>
      <c r="T319" s="33">
        <f>$J319*(1+$K319)^(4-1)*(1-$L319)*(1-$M319)</f>
        <v/>
      </c>
      <c r="U319" s="33">
        <f>$J319*(1+$K319)^(5-1)*(1-$L319)*(1-$M319)+$O319</f>
        <v/>
      </c>
      <c r="V319" s="33">
        <f>P319+NPV($N319,Q319:U319)</f>
        <v/>
      </c>
      <c r="W319" s="32">
        <f>IFERROR(IRR(P319:U319,0.1),"")</f>
        <v/>
      </c>
    </row>
    <row r="320">
      <c r="A320" s="14" t="n">
        <v>316</v>
      </c>
      <c r="B320" s="30">
        <f>RAND()*(1-2E-6)+1E-6</f>
        <v/>
      </c>
      <c r="C320" s="30">
        <f>RAND()*(1-2E-6)+1E-6</f>
        <v/>
      </c>
      <c r="D320" s="30">
        <f>RAND()*(1-2E-6)+1E-6</f>
        <v/>
      </c>
      <c r="E320" s="30">
        <f>RAND()*(1-2E-6)+1E-6</f>
        <v/>
      </c>
      <c r="F320" s="30">
        <f>RAND()*(1-2E-6)+1E-6</f>
        <v/>
      </c>
      <c r="G320" s="30">
        <f>RAND()*(1-2E-6)+1E-6</f>
        <v/>
      </c>
      <c r="H320" s="30">
        <f>RAND()*(1-2E-6)+1E-6</f>
        <v/>
      </c>
      <c r="I320" s="31">
        <f>MIN(IF(Supuestos!$H$5="",1E+99,Supuestos!$H$5),MAX(IF(Supuestos!$G$5="",-1E+99,Supuestos!$G$5),IF(Supuestos!$C$5="Normal",NORMINV(B320,Supuestos!$D$5,Supuestos!$E$5),IF(Supuestos!$C$5="Triangular",IF(B320&lt;(Supuestos!$E$5-Supuestos!$D$5)/(Supuestos!$F$5-Supuestos!$D$5),Supuestos!$D$5+SQRT(B320*(Supuestos!$F$5-Supuestos!$D$5)*(Supuestos!$E$5-Supuestos!$D$5)),Supuestos!$F$5-SQRT((1-B320)*(Supuestos!$F$5-Supuestos!$D$5)*(Supuestos!$F$5-Supuestos!$E$5))),IF(Supuestos!$C$5="Uniforme",Supuestos!$D$5+B320*(Supuestos!$E$5-Supuestos!$D$5),IF(Supuestos!$C$5="Lognormal",LOGINV(B320,LN(Supuestos!$D$5)-LN(1+Supuestos!$E$5^2/Supuestos!$D$5^2)/2,SQRT(LN(1+Supuestos!$E$5^2/Supuestos!$D$5^2))),Supuestos!$D$5))))))</f>
        <v/>
      </c>
      <c r="J320" s="31">
        <f>MIN(IF(Supuestos!$H$6="",1E+99,Supuestos!$H$6),MAX(IF(Supuestos!$G$6="",-1E+99,Supuestos!$G$6),IF(Supuestos!$C$6="Normal",NORMINV(C320,Supuestos!$D$6,Supuestos!$E$6),IF(Supuestos!$C$6="Triangular",IF(C320&lt;(Supuestos!$E$6-Supuestos!$D$6)/(Supuestos!$F$6-Supuestos!$D$6),Supuestos!$D$6+SQRT(C320*(Supuestos!$F$6-Supuestos!$D$6)*(Supuestos!$E$6-Supuestos!$D$6)),Supuestos!$F$6-SQRT((1-C320)*(Supuestos!$F$6-Supuestos!$D$6)*(Supuestos!$F$6-Supuestos!$E$6))),IF(Supuestos!$C$6="Uniforme",Supuestos!$D$6+C320*(Supuestos!$E$6-Supuestos!$D$6),IF(Supuestos!$C$6="Lognormal",LOGINV(C320,LN(Supuestos!$D$6)-LN(1+Supuestos!$E$6^2/Supuestos!$D$6^2)/2,SQRT(LN(1+Supuestos!$E$6^2/Supuestos!$D$6^2))),Supuestos!$D$6))))))</f>
        <v/>
      </c>
      <c r="K320" s="32">
        <f>MIN(IF(Supuestos!$H$7="",1E+99,Supuestos!$H$7),MAX(IF(Supuestos!$G$7="",-1E+99,Supuestos!$G$7),IF(Supuestos!$C$7="Normal",NORMINV(D320,Supuestos!$D$7,Supuestos!$E$7),IF(Supuestos!$C$7="Triangular",IF(D320&lt;(Supuestos!$E$7-Supuestos!$D$7)/(Supuestos!$F$7-Supuestos!$D$7),Supuestos!$D$7+SQRT(D320*(Supuestos!$F$7-Supuestos!$D$7)*(Supuestos!$E$7-Supuestos!$D$7)),Supuestos!$F$7-SQRT((1-D320)*(Supuestos!$F$7-Supuestos!$D$7)*(Supuestos!$F$7-Supuestos!$E$7))),IF(Supuestos!$C$7="Uniforme",Supuestos!$D$7+D320*(Supuestos!$E$7-Supuestos!$D$7),IF(Supuestos!$C$7="Lognormal",LOGINV(D320,LN(Supuestos!$D$7)-LN(1+Supuestos!$E$7^2/Supuestos!$D$7^2)/2,SQRT(LN(1+Supuestos!$E$7^2/Supuestos!$D$7^2))),Supuestos!$D$7))))))</f>
        <v/>
      </c>
      <c r="L320" s="32">
        <f>MIN(IF(Supuestos!$H$8="",1E+99,Supuestos!$H$8),MAX(IF(Supuestos!$G$8="",-1E+99,Supuestos!$G$8),IF(Supuestos!$C$8="Normal",NORMINV(E320,Supuestos!$D$8,Supuestos!$E$8),IF(Supuestos!$C$8="Triangular",IF(E320&lt;(Supuestos!$E$8-Supuestos!$D$8)/(Supuestos!$F$8-Supuestos!$D$8),Supuestos!$D$8+SQRT(E320*(Supuestos!$F$8-Supuestos!$D$8)*(Supuestos!$E$8-Supuestos!$D$8)),Supuestos!$F$8-SQRT((1-E320)*(Supuestos!$F$8-Supuestos!$D$8)*(Supuestos!$F$8-Supuestos!$E$8))),IF(Supuestos!$C$8="Uniforme",Supuestos!$D$8+E320*(Supuestos!$E$8-Supuestos!$D$8),IF(Supuestos!$C$8="Lognormal",LOGINV(E320,LN(Supuestos!$D$8)-LN(1+Supuestos!$E$8^2/Supuestos!$D$8^2)/2,SQRT(LN(1+Supuestos!$E$8^2/Supuestos!$D$8^2))),Supuestos!$D$8))))))</f>
        <v/>
      </c>
      <c r="M320" s="32">
        <f>MIN(IF(Supuestos!$H$9="",1E+99,Supuestos!$H$9),MAX(IF(Supuestos!$G$9="",-1E+99,Supuestos!$G$9),IF(Supuestos!$C$9="Normal",NORMINV(F320,Supuestos!$D$9,Supuestos!$E$9),IF(Supuestos!$C$9="Triangular",IF(F320&lt;(Supuestos!$E$9-Supuestos!$D$9)/(Supuestos!$F$9-Supuestos!$D$9),Supuestos!$D$9+SQRT(F320*(Supuestos!$F$9-Supuestos!$D$9)*(Supuestos!$E$9-Supuestos!$D$9)),Supuestos!$F$9-SQRT((1-F320)*(Supuestos!$F$9-Supuestos!$D$9)*(Supuestos!$F$9-Supuestos!$E$9))),IF(Supuestos!$C$9="Uniforme",Supuestos!$D$9+F320*(Supuestos!$E$9-Supuestos!$D$9),IF(Supuestos!$C$9="Lognormal",LOGINV(F320,LN(Supuestos!$D$9)-LN(1+Supuestos!$E$9^2/Supuestos!$D$9^2)/2,SQRT(LN(1+Supuestos!$E$9^2/Supuestos!$D$9^2))),Supuestos!$D$9))))))</f>
        <v/>
      </c>
      <c r="N320" s="32">
        <f>MIN(IF(Supuestos!$H$10="",1E+99,Supuestos!$H$10),MAX(IF(Supuestos!$G$10="",-1E+99,Supuestos!$G$10),IF(Supuestos!$C$10="Normal",NORMINV(G320,Supuestos!$D$10,Supuestos!$E$10),IF(Supuestos!$C$10="Triangular",IF(G320&lt;(Supuestos!$E$10-Supuestos!$D$10)/(Supuestos!$F$10-Supuestos!$D$10),Supuestos!$D$10+SQRT(G320*(Supuestos!$F$10-Supuestos!$D$10)*(Supuestos!$E$10-Supuestos!$D$10)),Supuestos!$F$10-SQRT((1-G320)*(Supuestos!$F$10-Supuestos!$D$10)*(Supuestos!$F$10-Supuestos!$E$10))),IF(Supuestos!$C$10="Uniforme",Supuestos!$D$10+G320*(Supuestos!$E$10-Supuestos!$D$10),IF(Supuestos!$C$10="Lognormal",LOGINV(G320,LN(Supuestos!$D$10)-LN(1+Supuestos!$E$10^2/Supuestos!$D$10^2)/2,SQRT(LN(1+Supuestos!$E$10^2/Supuestos!$D$10^2))),Supuestos!$D$10))))))</f>
        <v/>
      </c>
      <c r="O320" s="31">
        <f>MIN(IF(Supuestos!$H$11="",1E+99,Supuestos!$H$11),MAX(IF(Supuestos!$G$11="",-1E+99,Supuestos!$G$11),IF(Supuestos!$C$11="Normal",NORMINV(H320,Supuestos!$D$11,Supuestos!$E$11),IF(Supuestos!$C$11="Triangular",IF(H320&lt;(Supuestos!$E$11-Supuestos!$D$11)/(Supuestos!$F$11-Supuestos!$D$11),Supuestos!$D$11+SQRT(H320*(Supuestos!$F$11-Supuestos!$D$11)*(Supuestos!$E$11-Supuestos!$D$11)),Supuestos!$F$11-SQRT((1-H320)*(Supuestos!$F$11-Supuestos!$D$11)*(Supuestos!$F$11-Supuestos!$E$11))),IF(Supuestos!$C$11="Uniforme",Supuestos!$D$11+H320*(Supuestos!$E$11-Supuestos!$D$11),IF(Supuestos!$C$11="Lognormal",LOGINV(H320,LN(Supuestos!$D$11)-LN(1+Supuestos!$E$11^2/Supuestos!$D$11^2)/2,SQRT(LN(1+Supuestos!$E$11^2/Supuestos!$D$11^2))),Supuestos!$D$11))))))</f>
        <v/>
      </c>
      <c r="P320" s="33">
        <f>-I320</f>
        <v/>
      </c>
      <c r="Q320" s="33">
        <f>$J320*(1+$K320)^(1-1)*(1-$L320)*(1-$M320)</f>
        <v/>
      </c>
      <c r="R320" s="33">
        <f>$J320*(1+$K320)^(2-1)*(1-$L320)*(1-$M320)</f>
        <v/>
      </c>
      <c r="S320" s="33">
        <f>$J320*(1+$K320)^(3-1)*(1-$L320)*(1-$M320)</f>
        <v/>
      </c>
      <c r="T320" s="33">
        <f>$J320*(1+$K320)^(4-1)*(1-$L320)*(1-$M320)</f>
        <v/>
      </c>
      <c r="U320" s="33">
        <f>$J320*(1+$K320)^(5-1)*(1-$L320)*(1-$M320)+$O320</f>
        <v/>
      </c>
      <c r="V320" s="33">
        <f>P320+NPV($N320,Q320:U320)</f>
        <v/>
      </c>
      <c r="W320" s="32">
        <f>IFERROR(IRR(P320:U320,0.1),"")</f>
        <v/>
      </c>
    </row>
    <row r="321">
      <c r="A321" s="14" t="n">
        <v>317</v>
      </c>
      <c r="B321" s="30">
        <f>RAND()*(1-2E-6)+1E-6</f>
        <v/>
      </c>
      <c r="C321" s="30">
        <f>RAND()*(1-2E-6)+1E-6</f>
        <v/>
      </c>
      <c r="D321" s="30">
        <f>RAND()*(1-2E-6)+1E-6</f>
        <v/>
      </c>
      <c r="E321" s="30">
        <f>RAND()*(1-2E-6)+1E-6</f>
        <v/>
      </c>
      <c r="F321" s="30">
        <f>RAND()*(1-2E-6)+1E-6</f>
        <v/>
      </c>
      <c r="G321" s="30">
        <f>RAND()*(1-2E-6)+1E-6</f>
        <v/>
      </c>
      <c r="H321" s="30">
        <f>RAND()*(1-2E-6)+1E-6</f>
        <v/>
      </c>
      <c r="I321" s="31">
        <f>MIN(IF(Supuestos!$H$5="",1E+99,Supuestos!$H$5),MAX(IF(Supuestos!$G$5="",-1E+99,Supuestos!$G$5),IF(Supuestos!$C$5="Normal",NORMINV(B321,Supuestos!$D$5,Supuestos!$E$5),IF(Supuestos!$C$5="Triangular",IF(B321&lt;(Supuestos!$E$5-Supuestos!$D$5)/(Supuestos!$F$5-Supuestos!$D$5),Supuestos!$D$5+SQRT(B321*(Supuestos!$F$5-Supuestos!$D$5)*(Supuestos!$E$5-Supuestos!$D$5)),Supuestos!$F$5-SQRT((1-B321)*(Supuestos!$F$5-Supuestos!$D$5)*(Supuestos!$F$5-Supuestos!$E$5))),IF(Supuestos!$C$5="Uniforme",Supuestos!$D$5+B321*(Supuestos!$E$5-Supuestos!$D$5),IF(Supuestos!$C$5="Lognormal",LOGINV(B321,LN(Supuestos!$D$5)-LN(1+Supuestos!$E$5^2/Supuestos!$D$5^2)/2,SQRT(LN(1+Supuestos!$E$5^2/Supuestos!$D$5^2))),Supuestos!$D$5))))))</f>
        <v/>
      </c>
      <c r="J321" s="31">
        <f>MIN(IF(Supuestos!$H$6="",1E+99,Supuestos!$H$6),MAX(IF(Supuestos!$G$6="",-1E+99,Supuestos!$G$6),IF(Supuestos!$C$6="Normal",NORMINV(C321,Supuestos!$D$6,Supuestos!$E$6),IF(Supuestos!$C$6="Triangular",IF(C321&lt;(Supuestos!$E$6-Supuestos!$D$6)/(Supuestos!$F$6-Supuestos!$D$6),Supuestos!$D$6+SQRT(C321*(Supuestos!$F$6-Supuestos!$D$6)*(Supuestos!$E$6-Supuestos!$D$6)),Supuestos!$F$6-SQRT((1-C321)*(Supuestos!$F$6-Supuestos!$D$6)*(Supuestos!$F$6-Supuestos!$E$6))),IF(Supuestos!$C$6="Uniforme",Supuestos!$D$6+C321*(Supuestos!$E$6-Supuestos!$D$6),IF(Supuestos!$C$6="Lognormal",LOGINV(C321,LN(Supuestos!$D$6)-LN(1+Supuestos!$E$6^2/Supuestos!$D$6^2)/2,SQRT(LN(1+Supuestos!$E$6^2/Supuestos!$D$6^2))),Supuestos!$D$6))))))</f>
        <v/>
      </c>
      <c r="K321" s="32">
        <f>MIN(IF(Supuestos!$H$7="",1E+99,Supuestos!$H$7),MAX(IF(Supuestos!$G$7="",-1E+99,Supuestos!$G$7),IF(Supuestos!$C$7="Normal",NORMINV(D321,Supuestos!$D$7,Supuestos!$E$7),IF(Supuestos!$C$7="Triangular",IF(D321&lt;(Supuestos!$E$7-Supuestos!$D$7)/(Supuestos!$F$7-Supuestos!$D$7),Supuestos!$D$7+SQRT(D321*(Supuestos!$F$7-Supuestos!$D$7)*(Supuestos!$E$7-Supuestos!$D$7)),Supuestos!$F$7-SQRT((1-D321)*(Supuestos!$F$7-Supuestos!$D$7)*(Supuestos!$F$7-Supuestos!$E$7))),IF(Supuestos!$C$7="Uniforme",Supuestos!$D$7+D321*(Supuestos!$E$7-Supuestos!$D$7),IF(Supuestos!$C$7="Lognormal",LOGINV(D321,LN(Supuestos!$D$7)-LN(1+Supuestos!$E$7^2/Supuestos!$D$7^2)/2,SQRT(LN(1+Supuestos!$E$7^2/Supuestos!$D$7^2))),Supuestos!$D$7))))))</f>
        <v/>
      </c>
      <c r="L321" s="32">
        <f>MIN(IF(Supuestos!$H$8="",1E+99,Supuestos!$H$8),MAX(IF(Supuestos!$G$8="",-1E+99,Supuestos!$G$8),IF(Supuestos!$C$8="Normal",NORMINV(E321,Supuestos!$D$8,Supuestos!$E$8),IF(Supuestos!$C$8="Triangular",IF(E321&lt;(Supuestos!$E$8-Supuestos!$D$8)/(Supuestos!$F$8-Supuestos!$D$8),Supuestos!$D$8+SQRT(E321*(Supuestos!$F$8-Supuestos!$D$8)*(Supuestos!$E$8-Supuestos!$D$8)),Supuestos!$F$8-SQRT((1-E321)*(Supuestos!$F$8-Supuestos!$D$8)*(Supuestos!$F$8-Supuestos!$E$8))),IF(Supuestos!$C$8="Uniforme",Supuestos!$D$8+E321*(Supuestos!$E$8-Supuestos!$D$8),IF(Supuestos!$C$8="Lognormal",LOGINV(E321,LN(Supuestos!$D$8)-LN(1+Supuestos!$E$8^2/Supuestos!$D$8^2)/2,SQRT(LN(1+Supuestos!$E$8^2/Supuestos!$D$8^2))),Supuestos!$D$8))))))</f>
        <v/>
      </c>
      <c r="M321" s="32">
        <f>MIN(IF(Supuestos!$H$9="",1E+99,Supuestos!$H$9),MAX(IF(Supuestos!$G$9="",-1E+99,Supuestos!$G$9),IF(Supuestos!$C$9="Normal",NORMINV(F321,Supuestos!$D$9,Supuestos!$E$9),IF(Supuestos!$C$9="Triangular",IF(F321&lt;(Supuestos!$E$9-Supuestos!$D$9)/(Supuestos!$F$9-Supuestos!$D$9),Supuestos!$D$9+SQRT(F321*(Supuestos!$F$9-Supuestos!$D$9)*(Supuestos!$E$9-Supuestos!$D$9)),Supuestos!$F$9-SQRT((1-F321)*(Supuestos!$F$9-Supuestos!$D$9)*(Supuestos!$F$9-Supuestos!$E$9))),IF(Supuestos!$C$9="Uniforme",Supuestos!$D$9+F321*(Supuestos!$E$9-Supuestos!$D$9),IF(Supuestos!$C$9="Lognormal",LOGINV(F321,LN(Supuestos!$D$9)-LN(1+Supuestos!$E$9^2/Supuestos!$D$9^2)/2,SQRT(LN(1+Supuestos!$E$9^2/Supuestos!$D$9^2))),Supuestos!$D$9))))))</f>
        <v/>
      </c>
      <c r="N321" s="32">
        <f>MIN(IF(Supuestos!$H$10="",1E+99,Supuestos!$H$10),MAX(IF(Supuestos!$G$10="",-1E+99,Supuestos!$G$10),IF(Supuestos!$C$10="Normal",NORMINV(G321,Supuestos!$D$10,Supuestos!$E$10),IF(Supuestos!$C$10="Triangular",IF(G321&lt;(Supuestos!$E$10-Supuestos!$D$10)/(Supuestos!$F$10-Supuestos!$D$10),Supuestos!$D$10+SQRT(G321*(Supuestos!$F$10-Supuestos!$D$10)*(Supuestos!$E$10-Supuestos!$D$10)),Supuestos!$F$10-SQRT((1-G321)*(Supuestos!$F$10-Supuestos!$D$10)*(Supuestos!$F$10-Supuestos!$E$10))),IF(Supuestos!$C$10="Uniforme",Supuestos!$D$10+G321*(Supuestos!$E$10-Supuestos!$D$10),IF(Supuestos!$C$10="Lognormal",LOGINV(G321,LN(Supuestos!$D$10)-LN(1+Supuestos!$E$10^2/Supuestos!$D$10^2)/2,SQRT(LN(1+Supuestos!$E$10^2/Supuestos!$D$10^2))),Supuestos!$D$10))))))</f>
        <v/>
      </c>
      <c r="O321" s="31">
        <f>MIN(IF(Supuestos!$H$11="",1E+99,Supuestos!$H$11),MAX(IF(Supuestos!$G$11="",-1E+99,Supuestos!$G$11),IF(Supuestos!$C$11="Normal",NORMINV(H321,Supuestos!$D$11,Supuestos!$E$11),IF(Supuestos!$C$11="Triangular",IF(H321&lt;(Supuestos!$E$11-Supuestos!$D$11)/(Supuestos!$F$11-Supuestos!$D$11),Supuestos!$D$11+SQRT(H321*(Supuestos!$F$11-Supuestos!$D$11)*(Supuestos!$E$11-Supuestos!$D$11)),Supuestos!$F$11-SQRT((1-H321)*(Supuestos!$F$11-Supuestos!$D$11)*(Supuestos!$F$11-Supuestos!$E$11))),IF(Supuestos!$C$11="Uniforme",Supuestos!$D$11+H321*(Supuestos!$E$11-Supuestos!$D$11),IF(Supuestos!$C$11="Lognormal",LOGINV(H321,LN(Supuestos!$D$11)-LN(1+Supuestos!$E$11^2/Supuestos!$D$11^2)/2,SQRT(LN(1+Supuestos!$E$11^2/Supuestos!$D$11^2))),Supuestos!$D$11))))))</f>
        <v/>
      </c>
      <c r="P321" s="33">
        <f>-I321</f>
        <v/>
      </c>
      <c r="Q321" s="33">
        <f>$J321*(1+$K321)^(1-1)*(1-$L321)*(1-$M321)</f>
        <v/>
      </c>
      <c r="R321" s="33">
        <f>$J321*(1+$K321)^(2-1)*(1-$L321)*(1-$M321)</f>
        <v/>
      </c>
      <c r="S321" s="33">
        <f>$J321*(1+$K321)^(3-1)*(1-$L321)*(1-$M321)</f>
        <v/>
      </c>
      <c r="T321" s="33">
        <f>$J321*(1+$K321)^(4-1)*(1-$L321)*(1-$M321)</f>
        <v/>
      </c>
      <c r="U321" s="33">
        <f>$J321*(1+$K321)^(5-1)*(1-$L321)*(1-$M321)+$O321</f>
        <v/>
      </c>
      <c r="V321" s="33">
        <f>P321+NPV($N321,Q321:U321)</f>
        <v/>
      </c>
      <c r="W321" s="32">
        <f>IFERROR(IRR(P321:U321,0.1),"")</f>
        <v/>
      </c>
    </row>
    <row r="322">
      <c r="A322" s="14" t="n">
        <v>318</v>
      </c>
      <c r="B322" s="30">
        <f>RAND()*(1-2E-6)+1E-6</f>
        <v/>
      </c>
      <c r="C322" s="30">
        <f>RAND()*(1-2E-6)+1E-6</f>
        <v/>
      </c>
      <c r="D322" s="30">
        <f>RAND()*(1-2E-6)+1E-6</f>
        <v/>
      </c>
      <c r="E322" s="30">
        <f>RAND()*(1-2E-6)+1E-6</f>
        <v/>
      </c>
      <c r="F322" s="30">
        <f>RAND()*(1-2E-6)+1E-6</f>
        <v/>
      </c>
      <c r="G322" s="30">
        <f>RAND()*(1-2E-6)+1E-6</f>
        <v/>
      </c>
      <c r="H322" s="30">
        <f>RAND()*(1-2E-6)+1E-6</f>
        <v/>
      </c>
      <c r="I322" s="31">
        <f>MIN(IF(Supuestos!$H$5="",1E+99,Supuestos!$H$5),MAX(IF(Supuestos!$G$5="",-1E+99,Supuestos!$G$5),IF(Supuestos!$C$5="Normal",NORMINV(B322,Supuestos!$D$5,Supuestos!$E$5),IF(Supuestos!$C$5="Triangular",IF(B322&lt;(Supuestos!$E$5-Supuestos!$D$5)/(Supuestos!$F$5-Supuestos!$D$5),Supuestos!$D$5+SQRT(B322*(Supuestos!$F$5-Supuestos!$D$5)*(Supuestos!$E$5-Supuestos!$D$5)),Supuestos!$F$5-SQRT((1-B322)*(Supuestos!$F$5-Supuestos!$D$5)*(Supuestos!$F$5-Supuestos!$E$5))),IF(Supuestos!$C$5="Uniforme",Supuestos!$D$5+B322*(Supuestos!$E$5-Supuestos!$D$5),IF(Supuestos!$C$5="Lognormal",LOGINV(B322,LN(Supuestos!$D$5)-LN(1+Supuestos!$E$5^2/Supuestos!$D$5^2)/2,SQRT(LN(1+Supuestos!$E$5^2/Supuestos!$D$5^2))),Supuestos!$D$5))))))</f>
        <v/>
      </c>
      <c r="J322" s="31">
        <f>MIN(IF(Supuestos!$H$6="",1E+99,Supuestos!$H$6),MAX(IF(Supuestos!$G$6="",-1E+99,Supuestos!$G$6),IF(Supuestos!$C$6="Normal",NORMINV(C322,Supuestos!$D$6,Supuestos!$E$6),IF(Supuestos!$C$6="Triangular",IF(C322&lt;(Supuestos!$E$6-Supuestos!$D$6)/(Supuestos!$F$6-Supuestos!$D$6),Supuestos!$D$6+SQRT(C322*(Supuestos!$F$6-Supuestos!$D$6)*(Supuestos!$E$6-Supuestos!$D$6)),Supuestos!$F$6-SQRT((1-C322)*(Supuestos!$F$6-Supuestos!$D$6)*(Supuestos!$F$6-Supuestos!$E$6))),IF(Supuestos!$C$6="Uniforme",Supuestos!$D$6+C322*(Supuestos!$E$6-Supuestos!$D$6),IF(Supuestos!$C$6="Lognormal",LOGINV(C322,LN(Supuestos!$D$6)-LN(1+Supuestos!$E$6^2/Supuestos!$D$6^2)/2,SQRT(LN(1+Supuestos!$E$6^2/Supuestos!$D$6^2))),Supuestos!$D$6))))))</f>
        <v/>
      </c>
      <c r="K322" s="32">
        <f>MIN(IF(Supuestos!$H$7="",1E+99,Supuestos!$H$7),MAX(IF(Supuestos!$G$7="",-1E+99,Supuestos!$G$7),IF(Supuestos!$C$7="Normal",NORMINV(D322,Supuestos!$D$7,Supuestos!$E$7),IF(Supuestos!$C$7="Triangular",IF(D322&lt;(Supuestos!$E$7-Supuestos!$D$7)/(Supuestos!$F$7-Supuestos!$D$7),Supuestos!$D$7+SQRT(D322*(Supuestos!$F$7-Supuestos!$D$7)*(Supuestos!$E$7-Supuestos!$D$7)),Supuestos!$F$7-SQRT((1-D322)*(Supuestos!$F$7-Supuestos!$D$7)*(Supuestos!$F$7-Supuestos!$E$7))),IF(Supuestos!$C$7="Uniforme",Supuestos!$D$7+D322*(Supuestos!$E$7-Supuestos!$D$7),IF(Supuestos!$C$7="Lognormal",LOGINV(D322,LN(Supuestos!$D$7)-LN(1+Supuestos!$E$7^2/Supuestos!$D$7^2)/2,SQRT(LN(1+Supuestos!$E$7^2/Supuestos!$D$7^2))),Supuestos!$D$7))))))</f>
        <v/>
      </c>
      <c r="L322" s="32">
        <f>MIN(IF(Supuestos!$H$8="",1E+99,Supuestos!$H$8),MAX(IF(Supuestos!$G$8="",-1E+99,Supuestos!$G$8),IF(Supuestos!$C$8="Normal",NORMINV(E322,Supuestos!$D$8,Supuestos!$E$8),IF(Supuestos!$C$8="Triangular",IF(E322&lt;(Supuestos!$E$8-Supuestos!$D$8)/(Supuestos!$F$8-Supuestos!$D$8),Supuestos!$D$8+SQRT(E322*(Supuestos!$F$8-Supuestos!$D$8)*(Supuestos!$E$8-Supuestos!$D$8)),Supuestos!$F$8-SQRT((1-E322)*(Supuestos!$F$8-Supuestos!$D$8)*(Supuestos!$F$8-Supuestos!$E$8))),IF(Supuestos!$C$8="Uniforme",Supuestos!$D$8+E322*(Supuestos!$E$8-Supuestos!$D$8),IF(Supuestos!$C$8="Lognormal",LOGINV(E322,LN(Supuestos!$D$8)-LN(1+Supuestos!$E$8^2/Supuestos!$D$8^2)/2,SQRT(LN(1+Supuestos!$E$8^2/Supuestos!$D$8^2))),Supuestos!$D$8))))))</f>
        <v/>
      </c>
      <c r="M322" s="32">
        <f>MIN(IF(Supuestos!$H$9="",1E+99,Supuestos!$H$9),MAX(IF(Supuestos!$G$9="",-1E+99,Supuestos!$G$9),IF(Supuestos!$C$9="Normal",NORMINV(F322,Supuestos!$D$9,Supuestos!$E$9),IF(Supuestos!$C$9="Triangular",IF(F322&lt;(Supuestos!$E$9-Supuestos!$D$9)/(Supuestos!$F$9-Supuestos!$D$9),Supuestos!$D$9+SQRT(F322*(Supuestos!$F$9-Supuestos!$D$9)*(Supuestos!$E$9-Supuestos!$D$9)),Supuestos!$F$9-SQRT((1-F322)*(Supuestos!$F$9-Supuestos!$D$9)*(Supuestos!$F$9-Supuestos!$E$9))),IF(Supuestos!$C$9="Uniforme",Supuestos!$D$9+F322*(Supuestos!$E$9-Supuestos!$D$9),IF(Supuestos!$C$9="Lognormal",LOGINV(F322,LN(Supuestos!$D$9)-LN(1+Supuestos!$E$9^2/Supuestos!$D$9^2)/2,SQRT(LN(1+Supuestos!$E$9^2/Supuestos!$D$9^2))),Supuestos!$D$9))))))</f>
        <v/>
      </c>
      <c r="N322" s="32">
        <f>MIN(IF(Supuestos!$H$10="",1E+99,Supuestos!$H$10),MAX(IF(Supuestos!$G$10="",-1E+99,Supuestos!$G$10),IF(Supuestos!$C$10="Normal",NORMINV(G322,Supuestos!$D$10,Supuestos!$E$10),IF(Supuestos!$C$10="Triangular",IF(G322&lt;(Supuestos!$E$10-Supuestos!$D$10)/(Supuestos!$F$10-Supuestos!$D$10),Supuestos!$D$10+SQRT(G322*(Supuestos!$F$10-Supuestos!$D$10)*(Supuestos!$E$10-Supuestos!$D$10)),Supuestos!$F$10-SQRT((1-G322)*(Supuestos!$F$10-Supuestos!$D$10)*(Supuestos!$F$10-Supuestos!$E$10))),IF(Supuestos!$C$10="Uniforme",Supuestos!$D$10+G322*(Supuestos!$E$10-Supuestos!$D$10),IF(Supuestos!$C$10="Lognormal",LOGINV(G322,LN(Supuestos!$D$10)-LN(1+Supuestos!$E$10^2/Supuestos!$D$10^2)/2,SQRT(LN(1+Supuestos!$E$10^2/Supuestos!$D$10^2))),Supuestos!$D$10))))))</f>
        <v/>
      </c>
      <c r="O322" s="31">
        <f>MIN(IF(Supuestos!$H$11="",1E+99,Supuestos!$H$11),MAX(IF(Supuestos!$G$11="",-1E+99,Supuestos!$G$11),IF(Supuestos!$C$11="Normal",NORMINV(H322,Supuestos!$D$11,Supuestos!$E$11),IF(Supuestos!$C$11="Triangular",IF(H322&lt;(Supuestos!$E$11-Supuestos!$D$11)/(Supuestos!$F$11-Supuestos!$D$11),Supuestos!$D$11+SQRT(H322*(Supuestos!$F$11-Supuestos!$D$11)*(Supuestos!$E$11-Supuestos!$D$11)),Supuestos!$F$11-SQRT((1-H322)*(Supuestos!$F$11-Supuestos!$D$11)*(Supuestos!$F$11-Supuestos!$E$11))),IF(Supuestos!$C$11="Uniforme",Supuestos!$D$11+H322*(Supuestos!$E$11-Supuestos!$D$11),IF(Supuestos!$C$11="Lognormal",LOGINV(H322,LN(Supuestos!$D$11)-LN(1+Supuestos!$E$11^2/Supuestos!$D$11^2)/2,SQRT(LN(1+Supuestos!$E$11^2/Supuestos!$D$11^2))),Supuestos!$D$11))))))</f>
        <v/>
      </c>
      <c r="P322" s="33">
        <f>-I322</f>
        <v/>
      </c>
      <c r="Q322" s="33">
        <f>$J322*(1+$K322)^(1-1)*(1-$L322)*(1-$M322)</f>
        <v/>
      </c>
      <c r="R322" s="33">
        <f>$J322*(1+$K322)^(2-1)*(1-$L322)*(1-$M322)</f>
        <v/>
      </c>
      <c r="S322" s="33">
        <f>$J322*(1+$K322)^(3-1)*(1-$L322)*(1-$M322)</f>
        <v/>
      </c>
      <c r="T322" s="33">
        <f>$J322*(1+$K322)^(4-1)*(1-$L322)*(1-$M322)</f>
        <v/>
      </c>
      <c r="U322" s="33">
        <f>$J322*(1+$K322)^(5-1)*(1-$L322)*(1-$M322)+$O322</f>
        <v/>
      </c>
      <c r="V322" s="33">
        <f>P322+NPV($N322,Q322:U322)</f>
        <v/>
      </c>
      <c r="W322" s="32">
        <f>IFERROR(IRR(P322:U322,0.1),"")</f>
        <v/>
      </c>
    </row>
    <row r="323">
      <c r="A323" s="14" t="n">
        <v>319</v>
      </c>
      <c r="B323" s="30">
        <f>RAND()*(1-2E-6)+1E-6</f>
        <v/>
      </c>
      <c r="C323" s="30">
        <f>RAND()*(1-2E-6)+1E-6</f>
        <v/>
      </c>
      <c r="D323" s="30">
        <f>RAND()*(1-2E-6)+1E-6</f>
        <v/>
      </c>
      <c r="E323" s="30">
        <f>RAND()*(1-2E-6)+1E-6</f>
        <v/>
      </c>
      <c r="F323" s="30">
        <f>RAND()*(1-2E-6)+1E-6</f>
        <v/>
      </c>
      <c r="G323" s="30">
        <f>RAND()*(1-2E-6)+1E-6</f>
        <v/>
      </c>
      <c r="H323" s="30">
        <f>RAND()*(1-2E-6)+1E-6</f>
        <v/>
      </c>
      <c r="I323" s="31">
        <f>MIN(IF(Supuestos!$H$5="",1E+99,Supuestos!$H$5),MAX(IF(Supuestos!$G$5="",-1E+99,Supuestos!$G$5),IF(Supuestos!$C$5="Normal",NORMINV(B323,Supuestos!$D$5,Supuestos!$E$5),IF(Supuestos!$C$5="Triangular",IF(B323&lt;(Supuestos!$E$5-Supuestos!$D$5)/(Supuestos!$F$5-Supuestos!$D$5),Supuestos!$D$5+SQRT(B323*(Supuestos!$F$5-Supuestos!$D$5)*(Supuestos!$E$5-Supuestos!$D$5)),Supuestos!$F$5-SQRT((1-B323)*(Supuestos!$F$5-Supuestos!$D$5)*(Supuestos!$F$5-Supuestos!$E$5))),IF(Supuestos!$C$5="Uniforme",Supuestos!$D$5+B323*(Supuestos!$E$5-Supuestos!$D$5),IF(Supuestos!$C$5="Lognormal",LOGINV(B323,LN(Supuestos!$D$5)-LN(1+Supuestos!$E$5^2/Supuestos!$D$5^2)/2,SQRT(LN(1+Supuestos!$E$5^2/Supuestos!$D$5^2))),Supuestos!$D$5))))))</f>
        <v/>
      </c>
      <c r="J323" s="31">
        <f>MIN(IF(Supuestos!$H$6="",1E+99,Supuestos!$H$6),MAX(IF(Supuestos!$G$6="",-1E+99,Supuestos!$G$6),IF(Supuestos!$C$6="Normal",NORMINV(C323,Supuestos!$D$6,Supuestos!$E$6),IF(Supuestos!$C$6="Triangular",IF(C323&lt;(Supuestos!$E$6-Supuestos!$D$6)/(Supuestos!$F$6-Supuestos!$D$6),Supuestos!$D$6+SQRT(C323*(Supuestos!$F$6-Supuestos!$D$6)*(Supuestos!$E$6-Supuestos!$D$6)),Supuestos!$F$6-SQRT((1-C323)*(Supuestos!$F$6-Supuestos!$D$6)*(Supuestos!$F$6-Supuestos!$E$6))),IF(Supuestos!$C$6="Uniforme",Supuestos!$D$6+C323*(Supuestos!$E$6-Supuestos!$D$6),IF(Supuestos!$C$6="Lognormal",LOGINV(C323,LN(Supuestos!$D$6)-LN(1+Supuestos!$E$6^2/Supuestos!$D$6^2)/2,SQRT(LN(1+Supuestos!$E$6^2/Supuestos!$D$6^2))),Supuestos!$D$6))))))</f>
        <v/>
      </c>
      <c r="K323" s="32">
        <f>MIN(IF(Supuestos!$H$7="",1E+99,Supuestos!$H$7),MAX(IF(Supuestos!$G$7="",-1E+99,Supuestos!$G$7),IF(Supuestos!$C$7="Normal",NORMINV(D323,Supuestos!$D$7,Supuestos!$E$7),IF(Supuestos!$C$7="Triangular",IF(D323&lt;(Supuestos!$E$7-Supuestos!$D$7)/(Supuestos!$F$7-Supuestos!$D$7),Supuestos!$D$7+SQRT(D323*(Supuestos!$F$7-Supuestos!$D$7)*(Supuestos!$E$7-Supuestos!$D$7)),Supuestos!$F$7-SQRT((1-D323)*(Supuestos!$F$7-Supuestos!$D$7)*(Supuestos!$F$7-Supuestos!$E$7))),IF(Supuestos!$C$7="Uniforme",Supuestos!$D$7+D323*(Supuestos!$E$7-Supuestos!$D$7),IF(Supuestos!$C$7="Lognormal",LOGINV(D323,LN(Supuestos!$D$7)-LN(1+Supuestos!$E$7^2/Supuestos!$D$7^2)/2,SQRT(LN(1+Supuestos!$E$7^2/Supuestos!$D$7^2))),Supuestos!$D$7))))))</f>
        <v/>
      </c>
      <c r="L323" s="32">
        <f>MIN(IF(Supuestos!$H$8="",1E+99,Supuestos!$H$8),MAX(IF(Supuestos!$G$8="",-1E+99,Supuestos!$G$8),IF(Supuestos!$C$8="Normal",NORMINV(E323,Supuestos!$D$8,Supuestos!$E$8),IF(Supuestos!$C$8="Triangular",IF(E323&lt;(Supuestos!$E$8-Supuestos!$D$8)/(Supuestos!$F$8-Supuestos!$D$8),Supuestos!$D$8+SQRT(E323*(Supuestos!$F$8-Supuestos!$D$8)*(Supuestos!$E$8-Supuestos!$D$8)),Supuestos!$F$8-SQRT((1-E323)*(Supuestos!$F$8-Supuestos!$D$8)*(Supuestos!$F$8-Supuestos!$E$8))),IF(Supuestos!$C$8="Uniforme",Supuestos!$D$8+E323*(Supuestos!$E$8-Supuestos!$D$8),IF(Supuestos!$C$8="Lognormal",LOGINV(E323,LN(Supuestos!$D$8)-LN(1+Supuestos!$E$8^2/Supuestos!$D$8^2)/2,SQRT(LN(1+Supuestos!$E$8^2/Supuestos!$D$8^2))),Supuestos!$D$8))))))</f>
        <v/>
      </c>
      <c r="M323" s="32">
        <f>MIN(IF(Supuestos!$H$9="",1E+99,Supuestos!$H$9),MAX(IF(Supuestos!$G$9="",-1E+99,Supuestos!$G$9),IF(Supuestos!$C$9="Normal",NORMINV(F323,Supuestos!$D$9,Supuestos!$E$9),IF(Supuestos!$C$9="Triangular",IF(F323&lt;(Supuestos!$E$9-Supuestos!$D$9)/(Supuestos!$F$9-Supuestos!$D$9),Supuestos!$D$9+SQRT(F323*(Supuestos!$F$9-Supuestos!$D$9)*(Supuestos!$E$9-Supuestos!$D$9)),Supuestos!$F$9-SQRT((1-F323)*(Supuestos!$F$9-Supuestos!$D$9)*(Supuestos!$F$9-Supuestos!$E$9))),IF(Supuestos!$C$9="Uniforme",Supuestos!$D$9+F323*(Supuestos!$E$9-Supuestos!$D$9),IF(Supuestos!$C$9="Lognormal",LOGINV(F323,LN(Supuestos!$D$9)-LN(1+Supuestos!$E$9^2/Supuestos!$D$9^2)/2,SQRT(LN(1+Supuestos!$E$9^2/Supuestos!$D$9^2))),Supuestos!$D$9))))))</f>
        <v/>
      </c>
      <c r="N323" s="32">
        <f>MIN(IF(Supuestos!$H$10="",1E+99,Supuestos!$H$10),MAX(IF(Supuestos!$G$10="",-1E+99,Supuestos!$G$10),IF(Supuestos!$C$10="Normal",NORMINV(G323,Supuestos!$D$10,Supuestos!$E$10),IF(Supuestos!$C$10="Triangular",IF(G323&lt;(Supuestos!$E$10-Supuestos!$D$10)/(Supuestos!$F$10-Supuestos!$D$10),Supuestos!$D$10+SQRT(G323*(Supuestos!$F$10-Supuestos!$D$10)*(Supuestos!$E$10-Supuestos!$D$10)),Supuestos!$F$10-SQRT((1-G323)*(Supuestos!$F$10-Supuestos!$D$10)*(Supuestos!$F$10-Supuestos!$E$10))),IF(Supuestos!$C$10="Uniforme",Supuestos!$D$10+G323*(Supuestos!$E$10-Supuestos!$D$10),IF(Supuestos!$C$10="Lognormal",LOGINV(G323,LN(Supuestos!$D$10)-LN(1+Supuestos!$E$10^2/Supuestos!$D$10^2)/2,SQRT(LN(1+Supuestos!$E$10^2/Supuestos!$D$10^2))),Supuestos!$D$10))))))</f>
        <v/>
      </c>
      <c r="O323" s="31">
        <f>MIN(IF(Supuestos!$H$11="",1E+99,Supuestos!$H$11),MAX(IF(Supuestos!$G$11="",-1E+99,Supuestos!$G$11),IF(Supuestos!$C$11="Normal",NORMINV(H323,Supuestos!$D$11,Supuestos!$E$11),IF(Supuestos!$C$11="Triangular",IF(H323&lt;(Supuestos!$E$11-Supuestos!$D$11)/(Supuestos!$F$11-Supuestos!$D$11),Supuestos!$D$11+SQRT(H323*(Supuestos!$F$11-Supuestos!$D$11)*(Supuestos!$E$11-Supuestos!$D$11)),Supuestos!$F$11-SQRT((1-H323)*(Supuestos!$F$11-Supuestos!$D$11)*(Supuestos!$F$11-Supuestos!$E$11))),IF(Supuestos!$C$11="Uniforme",Supuestos!$D$11+H323*(Supuestos!$E$11-Supuestos!$D$11),IF(Supuestos!$C$11="Lognormal",LOGINV(H323,LN(Supuestos!$D$11)-LN(1+Supuestos!$E$11^2/Supuestos!$D$11^2)/2,SQRT(LN(1+Supuestos!$E$11^2/Supuestos!$D$11^2))),Supuestos!$D$11))))))</f>
        <v/>
      </c>
      <c r="P323" s="33">
        <f>-I323</f>
        <v/>
      </c>
      <c r="Q323" s="33">
        <f>$J323*(1+$K323)^(1-1)*(1-$L323)*(1-$M323)</f>
        <v/>
      </c>
      <c r="R323" s="33">
        <f>$J323*(1+$K323)^(2-1)*(1-$L323)*(1-$M323)</f>
        <v/>
      </c>
      <c r="S323" s="33">
        <f>$J323*(1+$K323)^(3-1)*(1-$L323)*(1-$M323)</f>
        <v/>
      </c>
      <c r="T323" s="33">
        <f>$J323*(1+$K323)^(4-1)*(1-$L323)*(1-$M323)</f>
        <v/>
      </c>
      <c r="U323" s="33">
        <f>$J323*(1+$K323)^(5-1)*(1-$L323)*(1-$M323)+$O323</f>
        <v/>
      </c>
      <c r="V323" s="33">
        <f>P323+NPV($N323,Q323:U323)</f>
        <v/>
      </c>
      <c r="W323" s="32">
        <f>IFERROR(IRR(P323:U323,0.1),"")</f>
        <v/>
      </c>
    </row>
    <row r="324">
      <c r="A324" s="14" t="n">
        <v>320</v>
      </c>
      <c r="B324" s="30">
        <f>RAND()*(1-2E-6)+1E-6</f>
        <v/>
      </c>
      <c r="C324" s="30">
        <f>RAND()*(1-2E-6)+1E-6</f>
        <v/>
      </c>
      <c r="D324" s="30">
        <f>RAND()*(1-2E-6)+1E-6</f>
        <v/>
      </c>
      <c r="E324" s="30">
        <f>RAND()*(1-2E-6)+1E-6</f>
        <v/>
      </c>
      <c r="F324" s="30">
        <f>RAND()*(1-2E-6)+1E-6</f>
        <v/>
      </c>
      <c r="G324" s="30">
        <f>RAND()*(1-2E-6)+1E-6</f>
        <v/>
      </c>
      <c r="H324" s="30">
        <f>RAND()*(1-2E-6)+1E-6</f>
        <v/>
      </c>
      <c r="I324" s="31">
        <f>MIN(IF(Supuestos!$H$5="",1E+99,Supuestos!$H$5),MAX(IF(Supuestos!$G$5="",-1E+99,Supuestos!$G$5),IF(Supuestos!$C$5="Normal",NORMINV(B324,Supuestos!$D$5,Supuestos!$E$5),IF(Supuestos!$C$5="Triangular",IF(B324&lt;(Supuestos!$E$5-Supuestos!$D$5)/(Supuestos!$F$5-Supuestos!$D$5),Supuestos!$D$5+SQRT(B324*(Supuestos!$F$5-Supuestos!$D$5)*(Supuestos!$E$5-Supuestos!$D$5)),Supuestos!$F$5-SQRT((1-B324)*(Supuestos!$F$5-Supuestos!$D$5)*(Supuestos!$F$5-Supuestos!$E$5))),IF(Supuestos!$C$5="Uniforme",Supuestos!$D$5+B324*(Supuestos!$E$5-Supuestos!$D$5),IF(Supuestos!$C$5="Lognormal",LOGINV(B324,LN(Supuestos!$D$5)-LN(1+Supuestos!$E$5^2/Supuestos!$D$5^2)/2,SQRT(LN(1+Supuestos!$E$5^2/Supuestos!$D$5^2))),Supuestos!$D$5))))))</f>
        <v/>
      </c>
      <c r="J324" s="31">
        <f>MIN(IF(Supuestos!$H$6="",1E+99,Supuestos!$H$6),MAX(IF(Supuestos!$G$6="",-1E+99,Supuestos!$G$6),IF(Supuestos!$C$6="Normal",NORMINV(C324,Supuestos!$D$6,Supuestos!$E$6),IF(Supuestos!$C$6="Triangular",IF(C324&lt;(Supuestos!$E$6-Supuestos!$D$6)/(Supuestos!$F$6-Supuestos!$D$6),Supuestos!$D$6+SQRT(C324*(Supuestos!$F$6-Supuestos!$D$6)*(Supuestos!$E$6-Supuestos!$D$6)),Supuestos!$F$6-SQRT((1-C324)*(Supuestos!$F$6-Supuestos!$D$6)*(Supuestos!$F$6-Supuestos!$E$6))),IF(Supuestos!$C$6="Uniforme",Supuestos!$D$6+C324*(Supuestos!$E$6-Supuestos!$D$6),IF(Supuestos!$C$6="Lognormal",LOGINV(C324,LN(Supuestos!$D$6)-LN(1+Supuestos!$E$6^2/Supuestos!$D$6^2)/2,SQRT(LN(1+Supuestos!$E$6^2/Supuestos!$D$6^2))),Supuestos!$D$6))))))</f>
        <v/>
      </c>
      <c r="K324" s="32">
        <f>MIN(IF(Supuestos!$H$7="",1E+99,Supuestos!$H$7),MAX(IF(Supuestos!$G$7="",-1E+99,Supuestos!$G$7),IF(Supuestos!$C$7="Normal",NORMINV(D324,Supuestos!$D$7,Supuestos!$E$7),IF(Supuestos!$C$7="Triangular",IF(D324&lt;(Supuestos!$E$7-Supuestos!$D$7)/(Supuestos!$F$7-Supuestos!$D$7),Supuestos!$D$7+SQRT(D324*(Supuestos!$F$7-Supuestos!$D$7)*(Supuestos!$E$7-Supuestos!$D$7)),Supuestos!$F$7-SQRT((1-D324)*(Supuestos!$F$7-Supuestos!$D$7)*(Supuestos!$F$7-Supuestos!$E$7))),IF(Supuestos!$C$7="Uniforme",Supuestos!$D$7+D324*(Supuestos!$E$7-Supuestos!$D$7),IF(Supuestos!$C$7="Lognormal",LOGINV(D324,LN(Supuestos!$D$7)-LN(1+Supuestos!$E$7^2/Supuestos!$D$7^2)/2,SQRT(LN(1+Supuestos!$E$7^2/Supuestos!$D$7^2))),Supuestos!$D$7))))))</f>
        <v/>
      </c>
      <c r="L324" s="32">
        <f>MIN(IF(Supuestos!$H$8="",1E+99,Supuestos!$H$8),MAX(IF(Supuestos!$G$8="",-1E+99,Supuestos!$G$8),IF(Supuestos!$C$8="Normal",NORMINV(E324,Supuestos!$D$8,Supuestos!$E$8),IF(Supuestos!$C$8="Triangular",IF(E324&lt;(Supuestos!$E$8-Supuestos!$D$8)/(Supuestos!$F$8-Supuestos!$D$8),Supuestos!$D$8+SQRT(E324*(Supuestos!$F$8-Supuestos!$D$8)*(Supuestos!$E$8-Supuestos!$D$8)),Supuestos!$F$8-SQRT((1-E324)*(Supuestos!$F$8-Supuestos!$D$8)*(Supuestos!$F$8-Supuestos!$E$8))),IF(Supuestos!$C$8="Uniforme",Supuestos!$D$8+E324*(Supuestos!$E$8-Supuestos!$D$8),IF(Supuestos!$C$8="Lognormal",LOGINV(E324,LN(Supuestos!$D$8)-LN(1+Supuestos!$E$8^2/Supuestos!$D$8^2)/2,SQRT(LN(1+Supuestos!$E$8^2/Supuestos!$D$8^2))),Supuestos!$D$8))))))</f>
        <v/>
      </c>
      <c r="M324" s="32">
        <f>MIN(IF(Supuestos!$H$9="",1E+99,Supuestos!$H$9),MAX(IF(Supuestos!$G$9="",-1E+99,Supuestos!$G$9),IF(Supuestos!$C$9="Normal",NORMINV(F324,Supuestos!$D$9,Supuestos!$E$9),IF(Supuestos!$C$9="Triangular",IF(F324&lt;(Supuestos!$E$9-Supuestos!$D$9)/(Supuestos!$F$9-Supuestos!$D$9),Supuestos!$D$9+SQRT(F324*(Supuestos!$F$9-Supuestos!$D$9)*(Supuestos!$E$9-Supuestos!$D$9)),Supuestos!$F$9-SQRT((1-F324)*(Supuestos!$F$9-Supuestos!$D$9)*(Supuestos!$F$9-Supuestos!$E$9))),IF(Supuestos!$C$9="Uniforme",Supuestos!$D$9+F324*(Supuestos!$E$9-Supuestos!$D$9),IF(Supuestos!$C$9="Lognormal",LOGINV(F324,LN(Supuestos!$D$9)-LN(1+Supuestos!$E$9^2/Supuestos!$D$9^2)/2,SQRT(LN(1+Supuestos!$E$9^2/Supuestos!$D$9^2))),Supuestos!$D$9))))))</f>
        <v/>
      </c>
      <c r="N324" s="32">
        <f>MIN(IF(Supuestos!$H$10="",1E+99,Supuestos!$H$10),MAX(IF(Supuestos!$G$10="",-1E+99,Supuestos!$G$10),IF(Supuestos!$C$10="Normal",NORMINV(G324,Supuestos!$D$10,Supuestos!$E$10),IF(Supuestos!$C$10="Triangular",IF(G324&lt;(Supuestos!$E$10-Supuestos!$D$10)/(Supuestos!$F$10-Supuestos!$D$10),Supuestos!$D$10+SQRT(G324*(Supuestos!$F$10-Supuestos!$D$10)*(Supuestos!$E$10-Supuestos!$D$10)),Supuestos!$F$10-SQRT((1-G324)*(Supuestos!$F$10-Supuestos!$D$10)*(Supuestos!$F$10-Supuestos!$E$10))),IF(Supuestos!$C$10="Uniforme",Supuestos!$D$10+G324*(Supuestos!$E$10-Supuestos!$D$10),IF(Supuestos!$C$10="Lognormal",LOGINV(G324,LN(Supuestos!$D$10)-LN(1+Supuestos!$E$10^2/Supuestos!$D$10^2)/2,SQRT(LN(1+Supuestos!$E$10^2/Supuestos!$D$10^2))),Supuestos!$D$10))))))</f>
        <v/>
      </c>
      <c r="O324" s="31">
        <f>MIN(IF(Supuestos!$H$11="",1E+99,Supuestos!$H$11),MAX(IF(Supuestos!$G$11="",-1E+99,Supuestos!$G$11),IF(Supuestos!$C$11="Normal",NORMINV(H324,Supuestos!$D$11,Supuestos!$E$11),IF(Supuestos!$C$11="Triangular",IF(H324&lt;(Supuestos!$E$11-Supuestos!$D$11)/(Supuestos!$F$11-Supuestos!$D$11),Supuestos!$D$11+SQRT(H324*(Supuestos!$F$11-Supuestos!$D$11)*(Supuestos!$E$11-Supuestos!$D$11)),Supuestos!$F$11-SQRT((1-H324)*(Supuestos!$F$11-Supuestos!$D$11)*(Supuestos!$F$11-Supuestos!$E$11))),IF(Supuestos!$C$11="Uniforme",Supuestos!$D$11+H324*(Supuestos!$E$11-Supuestos!$D$11),IF(Supuestos!$C$11="Lognormal",LOGINV(H324,LN(Supuestos!$D$11)-LN(1+Supuestos!$E$11^2/Supuestos!$D$11^2)/2,SQRT(LN(1+Supuestos!$E$11^2/Supuestos!$D$11^2))),Supuestos!$D$11))))))</f>
        <v/>
      </c>
      <c r="P324" s="33">
        <f>-I324</f>
        <v/>
      </c>
      <c r="Q324" s="33">
        <f>$J324*(1+$K324)^(1-1)*(1-$L324)*(1-$M324)</f>
        <v/>
      </c>
      <c r="R324" s="33">
        <f>$J324*(1+$K324)^(2-1)*(1-$L324)*(1-$M324)</f>
        <v/>
      </c>
      <c r="S324" s="33">
        <f>$J324*(1+$K324)^(3-1)*(1-$L324)*(1-$M324)</f>
        <v/>
      </c>
      <c r="T324" s="33">
        <f>$J324*(1+$K324)^(4-1)*(1-$L324)*(1-$M324)</f>
        <v/>
      </c>
      <c r="U324" s="33">
        <f>$J324*(1+$K324)^(5-1)*(1-$L324)*(1-$M324)+$O324</f>
        <v/>
      </c>
      <c r="V324" s="33">
        <f>P324+NPV($N324,Q324:U324)</f>
        <v/>
      </c>
      <c r="W324" s="32">
        <f>IFERROR(IRR(P324:U324,0.1),"")</f>
        <v/>
      </c>
    </row>
    <row r="325">
      <c r="A325" s="14" t="n">
        <v>321</v>
      </c>
      <c r="B325" s="30">
        <f>RAND()*(1-2E-6)+1E-6</f>
        <v/>
      </c>
      <c r="C325" s="30">
        <f>RAND()*(1-2E-6)+1E-6</f>
        <v/>
      </c>
      <c r="D325" s="30">
        <f>RAND()*(1-2E-6)+1E-6</f>
        <v/>
      </c>
      <c r="E325" s="30">
        <f>RAND()*(1-2E-6)+1E-6</f>
        <v/>
      </c>
      <c r="F325" s="30">
        <f>RAND()*(1-2E-6)+1E-6</f>
        <v/>
      </c>
      <c r="G325" s="30">
        <f>RAND()*(1-2E-6)+1E-6</f>
        <v/>
      </c>
      <c r="H325" s="30">
        <f>RAND()*(1-2E-6)+1E-6</f>
        <v/>
      </c>
      <c r="I325" s="31">
        <f>MIN(IF(Supuestos!$H$5="",1E+99,Supuestos!$H$5),MAX(IF(Supuestos!$G$5="",-1E+99,Supuestos!$G$5),IF(Supuestos!$C$5="Normal",NORMINV(B325,Supuestos!$D$5,Supuestos!$E$5),IF(Supuestos!$C$5="Triangular",IF(B325&lt;(Supuestos!$E$5-Supuestos!$D$5)/(Supuestos!$F$5-Supuestos!$D$5),Supuestos!$D$5+SQRT(B325*(Supuestos!$F$5-Supuestos!$D$5)*(Supuestos!$E$5-Supuestos!$D$5)),Supuestos!$F$5-SQRT((1-B325)*(Supuestos!$F$5-Supuestos!$D$5)*(Supuestos!$F$5-Supuestos!$E$5))),IF(Supuestos!$C$5="Uniforme",Supuestos!$D$5+B325*(Supuestos!$E$5-Supuestos!$D$5),IF(Supuestos!$C$5="Lognormal",LOGINV(B325,LN(Supuestos!$D$5)-LN(1+Supuestos!$E$5^2/Supuestos!$D$5^2)/2,SQRT(LN(1+Supuestos!$E$5^2/Supuestos!$D$5^2))),Supuestos!$D$5))))))</f>
        <v/>
      </c>
      <c r="J325" s="31">
        <f>MIN(IF(Supuestos!$H$6="",1E+99,Supuestos!$H$6),MAX(IF(Supuestos!$G$6="",-1E+99,Supuestos!$G$6),IF(Supuestos!$C$6="Normal",NORMINV(C325,Supuestos!$D$6,Supuestos!$E$6),IF(Supuestos!$C$6="Triangular",IF(C325&lt;(Supuestos!$E$6-Supuestos!$D$6)/(Supuestos!$F$6-Supuestos!$D$6),Supuestos!$D$6+SQRT(C325*(Supuestos!$F$6-Supuestos!$D$6)*(Supuestos!$E$6-Supuestos!$D$6)),Supuestos!$F$6-SQRT((1-C325)*(Supuestos!$F$6-Supuestos!$D$6)*(Supuestos!$F$6-Supuestos!$E$6))),IF(Supuestos!$C$6="Uniforme",Supuestos!$D$6+C325*(Supuestos!$E$6-Supuestos!$D$6),IF(Supuestos!$C$6="Lognormal",LOGINV(C325,LN(Supuestos!$D$6)-LN(1+Supuestos!$E$6^2/Supuestos!$D$6^2)/2,SQRT(LN(1+Supuestos!$E$6^2/Supuestos!$D$6^2))),Supuestos!$D$6))))))</f>
        <v/>
      </c>
      <c r="K325" s="32">
        <f>MIN(IF(Supuestos!$H$7="",1E+99,Supuestos!$H$7),MAX(IF(Supuestos!$G$7="",-1E+99,Supuestos!$G$7),IF(Supuestos!$C$7="Normal",NORMINV(D325,Supuestos!$D$7,Supuestos!$E$7),IF(Supuestos!$C$7="Triangular",IF(D325&lt;(Supuestos!$E$7-Supuestos!$D$7)/(Supuestos!$F$7-Supuestos!$D$7),Supuestos!$D$7+SQRT(D325*(Supuestos!$F$7-Supuestos!$D$7)*(Supuestos!$E$7-Supuestos!$D$7)),Supuestos!$F$7-SQRT((1-D325)*(Supuestos!$F$7-Supuestos!$D$7)*(Supuestos!$F$7-Supuestos!$E$7))),IF(Supuestos!$C$7="Uniforme",Supuestos!$D$7+D325*(Supuestos!$E$7-Supuestos!$D$7),IF(Supuestos!$C$7="Lognormal",LOGINV(D325,LN(Supuestos!$D$7)-LN(1+Supuestos!$E$7^2/Supuestos!$D$7^2)/2,SQRT(LN(1+Supuestos!$E$7^2/Supuestos!$D$7^2))),Supuestos!$D$7))))))</f>
        <v/>
      </c>
      <c r="L325" s="32">
        <f>MIN(IF(Supuestos!$H$8="",1E+99,Supuestos!$H$8),MAX(IF(Supuestos!$G$8="",-1E+99,Supuestos!$G$8),IF(Supuestos!$C$8="Normal",NORMINV(E325,Supuestos!$D$8,Supuestos!$E$8),IF(Supuestos!$C$8="Triangular",IF(E325&lt;(Supuestos!$E$8-Supuestos!$D$8)/(Supuestos!$F$8-Supuestos!$D$8),Supuestos!$D$8+SQRT(E325*(Supuestos!$F$8-Supuestos!$D$8)*(Supuestos!$E$8-Supuestos!$D$8)),Supuestos!$F$8-SQRT((1-E325)*(Supuestos!$F$8-Supuestos!$D$8)*(Supuestos!$F$8-Supuestos!$E$8))),IF(Supuestos!$C$8="Uniforme",Supuestos!$D$8+E325*(Supuestos!$E$8-Supuestos!$D$8),IF(Supuestos!$C$8="Lognormal",LOGINV(E325,LN(Supuestos!$D$8)-LN(1+Supuestos!$E$8^2/Supuestos!$D$8^2)/2,SQRT(LN(1+Supuestos!$E$8^2/Supuestos!$D$8^2))),Supuestos!$D$8))))))</f>
        <v/>
      </c>
      <c r="M325" s="32">
        <f>MIN(IF(Supuestos!$H$9="",1E+99,Supuestos!$H$9),MAX(IF(Supuestos!$G$9="",-1E+99,Supuestos!$G$9),IF(Supuestos!$C$9="Normal",NORMINV(F325,Supuestos!$D$9,Supuestos!$E$9),IF(Supuestos!$C$9="Triangular",IF(F325&lt;(Supuestos!$E$9-Supuestos!$D$9)/(Supuestos!$F$9-Supuestos!$D$9),Supuestos!$D$9+SQRT(F325*(Supuestos!$F$9-Supuestos!$D$9)*(Supuestos!$E$9-Supuestos!$D$9)),Supuestos!$F$9-SQRT((1-F325)*(Supuestos!$F$9-Supuestos!$D$9)*(Supuestos!$F$9-Supuestos!$E$9))),IF(Supuestos!$C$9="Uniforme",Supuestos!$D$9+F325*(Supuestos!$E$9-Supuestos!$D$9),IF(Supuestos!$C$9="Lognormal",LOGINV(F325,LN(Supuestos!$D$9)-LN(1+Supuestos!$E$9^2/Supuestos!$D$9^2)/2,SQRT(LN(1+Supuestos!$E$9^2/Supuestos!$D$9^2))),Supuestos!$D$9))))))</f>
        <v/>
      </c>
      <c r="N325" s="32">
        <f>MIN(IF(Supuestos!$H$10="",1E+99,Supuestos!$H$10),MAX(IF(Supuestos!$G$10="",-1E+99,Supuestos!$G$10),IF(Supuestos!$C$10="Normal",NORMINV(G325,Supuestos!$D$10,Supuestos!$E$10),IF(Supuestos!$C$10="Triangular",IF(G325&lt;(Supuestos!$E$10-Supuestos!$D$10)/(Supuestos!$F$10-Supuestos!$D$10),Supuestos!$D$10+SQRT(G325*(Supuestos!$F$10-Supuestos!$D$10)*(Supuestos!$E$10-Supuestos!$D$10)),Supuestos!$F$10-SQRT((1-G325)*(Supuestos!$F$10-Supuestos!$D$10)*(Supuestos!$F$10-Supuestos!$E$10))),IF(Supuestos!$C$10="Uniforme",Supuestos!$D$10+G325*(Supuestos!$E$10-Supuestos!$D$10),IF(Supuestos!$C$10="Lognormal",LOGINV(G325,LN(Supuestos!$D$10)-LN(1+Supuestos!$E$10^2/Supuestos!$D$10^2)/2,SQRT(LN(1+Supuestos!$E$10^2/Supuestos!$D$10^2))),Supuestos!$D$10))))))</f>
        <v/>
      </c>
      <c r="O325" s="31">
        <f>MIN(IF(Supuestos!$H$11="",1E+99,Supuestos!$H$11),MAX(IF(Supuestos!$G$11="",-1E+99,Supuestos!$G$11),IF(Supuestos!$C$11="Normal",NORMINV(H325,Supuestos!$D$11,Supuestos!$E$11),IF(Supuestos!$C$11="Triangular",IF(H325&lt;(Supuestos!$E$11-Supuestos!$D$11)/(Supuestos!$F$11-Supuestos!$D$11),Supuestos!$D$11+SQRT(H325*(Supuestos!$F$11-Supuestos!$D$11)*(Supuestos!$E$11-Supuestos!$D$11)),Supuestos!$F$11-SQRT((1-H325)*(Supuestos!$F$11-Supuestos!$D$11)*(Supuestos!$F$11-Supuestos!$E$11))),IF(Supuestos!$C$11="Uniforme",Supuestos!$D$11+H325*(Supuestos!$E$11-Supuestos!$D$11),IF(Supuestos!$C$11="Lognormal",LOGINV(H325,LN(Supuestos!$D$11)-LN(1+Supuestos!$E$11^2/Supuestos!$D$11^2)/2,SQRT(LN(1+Supuestos!$E$11^2/Supuestos!$D$11^2))),Supuestos!$D$11))))))</f>
        <v/>
      </c>
      <c r="P325" s="33">
        <f>-I325</f>
        <v/>
      </c>
      <c r="Q325" s="33">
        <f>$J325*(1+$K325)^(1-1)*(1-$L325)*(1-$M325)</f>
        <v/>
      </c>
      <c r="R325" s="33">
        <f>$J325*(1+$K325)^(2-1)*(1-$L325)*(1-$M325)</f>
        <v/>
      </c>
      <c r="S325" s="33">
        <f>$J325*(1+$K325)^(3-1)*(1-$L325)*(1-$M325)</f>
        <v/>
      </c>
      <c r="T325" s="33">
        <f>$J325*(1+$K325)^(4-1)*(1-$L325)*(1-$M325)</f>
        <v/>
      </c>
      <c r="U325" s="33">
        <f>$J325*(1+$K325)^(5-1)*(1-$L325)*(1-$M325)+$O325</f>
        <v/>
      </c>
      <c r="V325" s="33">
        <f>P325+NPV($N325,Q325:U325)</f>
        <v/>
      </c>
      <c r="W325" s="32">
        <f>IFERROR(IRR(P325:U325,0.1),"")</f>
        <v/>
      </c>
    </row>
    <row r="326">
      <c r="A326" s="14" t="n">
        <v>322</v>
      </c>
      <c r="B326" s="30">
        <f>RAND()*(1-2E-6)+1E-6</f>
        <v/>
      </c>
      <c r="C326" s="30">
        <f>RAND()*(1-2E-6)+1E-6</f>
        <v/>
      </c>
      <c r="D326" s="30">
        <f>RAND()*(1-2E-6)+1E-6</f>
        <v/>
      </c>
      <c r="E326" s="30">
        <f>RAND()*(1-2E-6)+1E-6</f>
        <v/>
      </c>
      <c r="F326" s="30">
        <f>RAND()*(1-2E-6)+1E-6</f>
        <v/>
      </c>
      <c r="G326" s="30">
        <f>RAND()*(1-2E-6)+1E-6</f>
        <v/>
      </c>
      <c r="H326" s="30">
        <f>RAND()*(1-2E-6)+1E-6</f>
        <v/>
      </c>
      <c r="I326" s="31">
        <f>MIN(IF(Supuestos!$H$5="",1E+99,Supuestos!$H$5),MAX(IF(Supuestos!$G$5="",-1E+99,Supuestos!$G$5),IF(Supuestos!$C$5="Normal",NORMINV(B326,Supuestos!$D$5,Supuestos!$E$5),IF(Supuestos!$C$5="Triangular",IF(B326&lt;(Supuestos!$E$5-Supuestos!$D$5)/(Supuestos!$F$5-Supuestos!$D$5),Supuestos!$D$5+SQRT(B326*(Supuestos!$F$5-Supuestos!$D$5)*(Supuestos!$E$5-Supuestos!$D$5)),Supuestos!$F$5-SQRT((1-B326)*(Supuestos!$F$5-Supuestos!$D$5)*(Supuestos!$F$5-Supuestos!$E$5))),IF(Supuestos!$C$5="Uniforme",Supuestos!$D$5+B326*(Supuestos!$E$5-Supuestos!$D$5),IF(Supuestos!$C$5="Lognormal",LOGINV(B326,LN(Supuestos!$D$5)-LN(1+Supuestos!$E$5^2/Supuestos!$D$5^2)/2,SQRT(LN(1+Supuestos!$E$5^2/Supuestos!$D$5^2))),Supuestos!$D$5))))))</f>
        <v/>
      </c>
      <c r="J326" s="31">
        <f>MIN(IF(Supuestos!$H$6="",1E+99,Supuestos!$H$6),MAX(IF(Supuestos!$G$6="",-1E+99,Supuestos!$G$6),IF(Supuestos!$C$6="Normal",NORMINV(C326,Supuestos!$D$6,Supuestos!$E$6),IF(Supuestos!$C$6="Triangular",IF(C326&lt;(Supuestos!$E$6-Supuestos!$D$6)/(Supuestos!$F$6-Supuestos!$D$6),Supuestos!$D$6+SQRT(C326*(Supuestos!$F$6-Supuestos!$D$6)*(Supuestos!$E$6-Supuestos!$D$6)),Supuestos!$F$6-SQRT((1-C326)*(Supuestos!$F$6-Supuestos!$D$6)*(Supuestos!$F$6-Supuestos!$E$6))),IF(Supuestos!$C$6="Uniforme",Supuestos!$D$6+C326*(Supuestos!$E$6-Supuestos!$D$6),IF(Supuestos!$C$6="Lognormal",LOGINV(C326,LN(Supuestos!$D$6)-LN(1+Supuestos!$E$6^2/Supuestos!$D$6^2)/2,SQRT(LN(1+Supuestos!$E$6^2/Supuestos!$D$6^2))),Supuestos!$D$6))))))</f>
        <v/>
      </c>
      <c r="K326" s="32">
        <f>MIN(IF(Supuestos!$H$7="",1E+99,Supuestos!$H$7),MAX(IF(Supuestos!$G$7="",-1E+99,Supuestos!$G$7),IF(Supuestos!$C$7="Normal",NORMINV(D326,Supuestos!$D$7,Supuestos!$E$7),IF(Supuestos!$C$7="Triangular",IF(D326&lt;(Supuestos!$E$7-Supuestos!$D$7)/(Supuestos!$F$7-Supuestos!$D$7),Supuestos!$D$7+SQRT(D326*(Supuestos!$F$7-Supuestos!$D$7)*(Supuestos!$E$7-Supuestos!$D$7)),Supuestos!$F$7-SQRT((1-D326)*(Supuestos!$F$7-Supuestos!$D$7)*(Supuestos!$F$7-Supuestos!$E$7))),IF(Supuestos!$C$7="Uniforme",Supuestos!$D$7+D326*(Supuestos!$E$7-Supuestos!$D$7),IF(Supuestos!$C$7="Lognormal",LOGINV(D326,LN(Supuestos!$D$7)-LN(1+Supuestos!$E$7^2/Supuestos!$D$7^2)/2,SQRT(LN(1+Supuestos!$E$7^2/Supuestos!$D$7^2))),Supuestos!$D$7))))))</f>
        <v/>
      </c>
      <c r="L326" s="32">
        <f>MIN(IF(Supuestos!$H$8="",1E+99,Supuestos!$H$8),MAX(IF(Supuestos!$G$8="",-1E+99,Supuestos!$G$8),IF(Supuestos!$C$8="Normal",NORMINV(E326,Supuestos!$D$8,Supuestos!$E$8),IF(Supuestos!$C$8="Triangular",IF(E326&lt;(Supuestos!$E$8-Supuestos!$D$8)/(Supuestos!$F$8-Supuestos!$D$8),Supuestos!$D$8+SQRT(E326*(Supuestos!$F$8-Supuestos!$D$8)*(Supuestos!$E$8-Supuestos!$D$8)),Supuestos!$F$8-SQRT((1-E326)*(Supuestos!$F$8-Supuestos!$D$8)*(Supuestos!$F$8-Supuestos!$E$8))),IF(Supuestos!$C$8="Uniforme",Supuestos!$D$8+E326*(Supuestos!$E$8-Supuestos!$D$8),IF(Supuestos!$C$8="Lognormal",LOGINV(E326,LN(Supuestos!$D$8)-LN(1+Supuestos!$E$8^2/Supuestos!$D$8^2)/2,SQRT(LN(1+Supuestos!$E$8^2/Supuestos!$D$8^2))),Supuestos!$D$8))))))</f>
        <v/>
      </c>
      <c r="M326" s="32">
        <f>MIN(IF(Supuestos!$H$9="",1E+99,Supuestos!$H$9),MAX(IF(Supuestos!$G$9="",-1E+99,Supuestos!$G$9),IF(Supuestos!$C$9="Normal",NORMINV(F326,Supuestos!$D$9,Supuestos!$E$9),IF(Supuestos!$C$9="Triangular",IF(F326&lt;(Supuestos!$E$9-Supuestos!$D$9)/(Supuestos!$F$9-Supuestos!$D$9),Supuestos!$D$9+SQRT(F326*(Supuestos!$F$9-Supuestos!$D$9)*(Supuestos!$E$9-Supuestos!$D$9)),Supuestos!$F$9-SQRT((1-F326)*(Supuestos!$F$9-Supuestos!$D$9)*(Supuestos!$F$9-Supuestos!$E$9))),IF(Supuestos!$C$9="Uniforme",Supuestos!$D$9+F326*(Supuestos!$E$9-Supuestos!$D$9),IF(Supuestos!$C$9="Lognormal",LOGINV(F326,LN(Supuestos!$D$9)-LN(1+Supuestos!$E$9^2/Supuestos!$D$9^2)/2,SQRT(LN(1+Supuestos!$E$9^2/Supuestos!$D$9^2))),Supuestos!$D$9))))))</f>
        <v/>
      </c>
      <c r="N326" s="32">
        <f>MIN(IF(Supuestos!$H$10="",1E+99,Supuestos!$H$10),MAX(IF(Supuestos!$G$10="",-1E+99,Supuestos!$G$10),IF(Supuestos!$C$10="Normal",NORMINV(G326,Supuestos!$D$10,Supuestos!$E$10),IF(Supuestos!$C$10="Triangular",IF(G326&lt;(Supuestos!$E$10-Supuestos!$D$10)/(Supuestos!$F$10-Supuestos!$D$10),Supuestos!$D$10+SQRT(G326*(Supuestos!$F$10-Supuestos!$D$10)*(Supuestos!$E$10-Supuestos!$D$10)),Supuestos!$F$10-SQRT((1-G326)*(Supuestos!$F$10-Supuestos!$D$10)*(Supuestos!$F$10-Supuestos!$E$10))),IF(Supuestos!$C$10="Uniforme",Supuestos!$D$10+G326*(Supuestos!$E$10-Supuestos!$D$10),IF(Supuestos!$C$10="Lognormal",LOGINV(G326,LN(Supuestos!$D$10)-LN(1+Supuestos!$E$10^2/Supuestos!$D$10^2)/2,SQRT(LN(1+Supuestos!$E$10^2/Supuestos!$D$10^2))),Supuestos!$D$10))))))</f>
        <v/>
      </c>
      <c r="O326" s="31">
        <f>MIN(IF(Supuestos!$H$11="",1E+99,Supuestos!$H$11),MAX(IF(Supuestos!$G$11="",-1E+99,Supuestos!$G$11),IF(Supuestos!$C$11="Normal",NORMINV(H326,Supuestos!$D$11,Supuestos!$E$11),IF(Supuestos!$C$11="Triangular",IF(H326&lt;(Supuestos!$E$11-Supuestos!$D$11)/(Supuestos!$F$11-Supuestos!$D$11),Supuestos!$D$11+SQRT(H326*(Supuestos!$F$11-Supuestos!$D$11)*(Supuestos!$E$11-Supuestos!$D$11)),Supuestos!$F$11-SQRT((1-H326)*(Supuestos!$F$11-Supuestos!$D$11)*(Supuestos!$F$11-Supuestos!$E$11))),IF(Supuestos!$C$11="Uniforme",Supuestos!$D$11+H326*(Supuestos!$E$11-Supuestos!$D$11),IF(Supuestos!$C$11="Lognormal",LOGINV(H326,LN(Supuestos!$D$11)-LN(1+Supuestos!$E$11^2/Supuestos!$D$11^2)/2,SQRT(LN(1+Supuestos!$E$11^2/Supuestos!$D$11^2))),Supuestos!$D$11))))))</f>
        <v/>
      </c>
      <c r="P326" s="33">
        <f>-I326</f>
        <v/>
      </c>
      <c r="Q326" s="33">
        <f>$J326*(1+$K326)^(1-1)*(1-$L326)*(1-$M326)</f>
        <v/>
      </c>
      <c r="R326" s="33">
        <f>$J326*(1+$K326)^(2-1)*(1-$L326)*(1-$M326)</f>
        <v/>
      </c>
      <c r="S326" s="33">
        <f>$J326*(1+$K326)^(3-1)*(1-$L326)*(1-$M326)</f>
        <v/>
      </c>
      <c r="T326" s="33">
        <f>$J326*(1+$K326)^(4-1)*(1-$L326)*(1-$M326)</f>
        <v/>
      </c>
      <c r="U326" s="33">
        <f>$J326*(1+$K326)^(5-1)*(1-$L326)*(1-$M326)+$O326</f>
        <v/>
      </c>
      <c r="V326" s="33">
        <f>P326+NPV($N326,Q326:U326)</f>
        <v/>
      </c>
      <c r="W326" s="32">
        <f>IFERROR(IRR(P326:U326,0.1),"")</f>
        <v/>
      </c>
    </row>
    <row r="327">
      <c r="A327" s="14" t="n">
        <v>323</v>
      </c>
      <c r="B327" s="30">
        <f>RAND()*(1-2E-6)+1E-6</f>
        <v/>
      </c>
      <c r="C327" s="30">
        <f>RAND()*(1-2E-6)+1E-6</f>
        <v/>
      </c>
      <c r="D327" s="30">
        <f>RAND()*(1-2E-6)+1E-6</f>
        <v/>
      </c>
      <c r="E327" s="30">
        <f>RAND()*(1-2E-6)+1E-6</f>
        <v/>
      </c>
      <c r="F327" s="30">
        <f>RAND()*(1-2E-6)+1E-6</f>
        <v/>
      </c>
      <c r="G327" s="30">
        <f>RAND()*(1-2E-6)+1E-6</f>
        <v/>
      </c>
      <c r="H327" s="30">
        <f>RAND()*(1-2E-6)+1E-6</f>
        <v/>
      </c>
      <c r="I327" s="31">
        <f>MIN(IF(Supuestos!$H$5="",1E+99,Supuestos!$H$5),MAX(IF(Supuestos!$G$5="",-1E+99,Supuestos!$G$5),IF(Supuestos!$C$5="Normal",NORMINV(B327,Supuestos!$D$5,Supuestos!$E$5),IF(Supuestos!$C$5="Triangular",IF(B327&lt;(Supuestos!$E$5-Supuestos!$D$5)/(Supuestos!$F$5-Supuestos!$D$5),Supuestos!$D$5+SQRT(B327*(Supuestos!$F$5-Supuestos!$D$5)*(Supuestos!$E$5-Supuestos!$D$5)),Supuestos!$F$5-SQRT((1-B327)*(Supuestos!$F$5-Supuestos!$D$5)*(Supuestos!$F$5-Supuestos!$E$5))),IF(Supuestos!$C$5="Uniforme",Supuestos!$D$5+B327*(Supuestos!$E$5-Supuestos!$D$5),IF(Supuestos!$C$5="Lognormal",LOGINV(B327,LN(Supuestos!$D$5)-LN(1+Supuestos!$E$5^2/Supuestos!$D$5^2)/2,SQRT(LN(1+Supuestos!$E$5^2/Supuestos!$D$5^2))),Supuestos!$D$5))))))</f>
        <v/>
      </c>
      <c r="J327" s="31">
        <f>MIN(IF(Supuestos!$H$6="",1E+99,Supuestos!$H$6),MAX(IF(Supuestos!$G$6="",-1E+99,Supuestos!$G$6),IF(Supuestos!$C$6="Normal",NORMINV(C327,Supuestos!$D$6,Supuestos!$E$6),IF(Supuestos!$C$6="Triangular",IF(C327&lt;(Supuestos!$E$6-Supuestos!$D$6)/(Supuestos!$F$6-Supuestos!$D$6),Supuestos!$D$6+SQRT(C327*(Supuestos!$F$6-Supuestos!$D$6)*(Supuestos!$E$6-Supuestos!$D$6)),Supuestos!$F$6-SQRT((1-C327)*(Supuestos!$F$6-Supuestos!$D$6)*(Supuestos!$F$6-Supuestos!$E$6))),IF(Supuestos!$C$6="Uniforme",Supuestos!$D$6+C327*(Supuestos!$E$6-Supuestos!$D$6),IF(Supuestos!$C$6="Lognormal",LOGINV(C327,LN(Supuestos!$D$6)-LN(1+Supuestos!$E$6^2/Supuestos!$D$6^2)/2,SQRT(LN(1+Supuestos!$E$6^2/Supuestos!$D$6^2))),Supuestos!$D$6))))))</f>
        <v/>
      </c>
      <c r="K327" s="32">
        <f>MIN(IF(Supuestos!$H$7="",1E+99,Supuestos!$H$7),MAX(IF(Supuestos!$G$7="",-1E+99,Supuestos!$G$7),IF(Supuestos!$C$7="Normal",NORMINV(D327,Supuestos!$D$7,Supuestos!$E$7),IF(Supuestos!$C$7="Triangular",IF(D327&lt;(Supuestos!$E$7-Supuestos!$D$7)/(Supuestos!$F$7-Supuestos!$D$7),Supuestos!$D$7+SQRT(D327*(Supuestos!$F$7-Supuestos!$D$7)*(Supuestos!$E$7-Supuestos!$D$7)),Supuestos!$F$7-SQRT((1-D327)*(Supuestos!$F$7-Supuestos!$D$7)*(Supuestos!$F$7-Supuestos!$E$7))),IF(Supuestos!$C$7="Uniforme",Supuestos!$D$7+D327*(Supuestos!$E$7-Supuestos!$D$7),IF(Supuestos!$C$7="Lognormal",LOGINV(D327,LN(Supuestos!$D$7)-LN(1+Supuestos!$E$7^2/Supuestos!$D$7^2)/2,SQRT(LN(1+Supuestos!$E$7^2/Supuestos!$D$7^2))),Supuestos!$D$7))))))</f>
        <v/>
      </c>
      <c r="L327" s="32">
        <f>MIN(IF(Supuestos!$H$8="",1E+99,Supuestos!$H$8),MAX(IF(Supuestos!$G$8="",-1E+99,Supuestos!$G$8),IF(Supuestos!$C$8="Normal",NORMINV(E327,Supuestos!$D$8,Supuestos!$E$8),IF(Supuestos!$C$8="Triangular",IF(E327&lt;(Supuestos!$E$8-Supuestos!$D$8)/(Supuestos!$F$8-Supuestos!$D$8),Supuestos!$D$8+SQRT(E327*(Supuestos!$F$8-Supuestos!$D$8)*(Supuestos!$E$8-Supuestos!$D$8)),Supuestos!$F$8-SQRT((1-E327)*(Supuestos!$F$8-Supuestos!$D$8)*(Supuestos!$F$8-Supuestos!$E$8))),IF(Supuestos!$C$8="Uniforme",Supuestos!$D$8+E327*(Supuestos!$E$8-Supuestos!$D$8),IF(Supuestos!$C$8="Lognormal",LOGINV(E327,LN(Supuestos!$D$8)-LN(1+Supuestos!$E$8^2/Supuestos!$D$8^2)/2,SQRT(LN(1+Supuestos!$E$8^2/Supuestos!$D$8^2))),Supuestos!$D$8))))))</f>
        <v/>
      </c>
      <c r="M327" s="32">
        <f>MIN(IF(Supuestos!$H$9="",1E+99,Supuestos!$H$9),MAX(IF(Supuestos!$G$9="",-1E+99,Supuestos!$G$9),IF(Supuestos!$C$9="Normal",NORMINV(F327,Supuestos!$D$9,Supuestos!$E$9),IF(Supuestos!$C$9="Triangular",IF(F327&lt;(Supuestos!$E$9-Supuestos!$D$9)/(Supuestos!$F$9-Supuestos!$D$9),Supuestos!$D$9+SQRT(F327*(Supuestos!$F$9-Supuestos!$D$9)*(Supuestos!$E$9-Supuestos!$D$9)),Supuestos!$F$9-SQRT((1-F327)*(Supuestos!$F$9-Supuestos!$D$9)*(Supuestos!$F$9-Supuestos!$E$9))),IF(Supuestos!$C$9="Uniforme",Supuestos!$D$9+F327*(Supuestos!$E$9-Supuestos!$D$9),IF(Supuestos!$C$9="Lognormal",LOGINV(F327,LN(Supuestos!$D$9)-LN(1+Supuestos!$E$9^2/Supuestos!$D$9^2)/2,SQRT(LN(1+Supuestos!$E$9^2/Supuestos!$D$9^2))),Supuestos!$D$9))))))</f>
        <v/>
      </c>
      <c r="N327" s="32">
        <f>MIN(IF(Supuestos!$H$10="",1E+99,Supuestos!$H$10),MAX(IF(Supuestos!$G$10="",-1E+99,Supuestos!$G$10),IF(Supuestos!$C$10="Normal",NORMINV(G327,Supuestos!$D$10,Supuestos!$E$10),IF(Supuestos!$C$10="Triangular",IF(G327&lt;(Supuestos!$E$10-Supuestos!$D$10)/(Supuestos!$F$10-Supuestos!$D$10),Supuestos!$D$10+SQRT(G327*(Supuestos!$F$10-Supuestos!$D$10)*(Supuestos!$E$10-Supuestos!$D$10)),Supuestos!$F$10-SQRT((1-G327)*(Supuestos!$F$10-Supuestos!$D$10)*(Supuestos!$F$10-Supuestos!$E$10))),IF(Supuestos!$C$10="Uniforme",Supuestos!$D$10+G327*(Supuestos!$E$10-Supuestos!$D$10),IF(Supuestos!$C$10="Lognormal",LOGINV(G327,LN(Supuestos!$D$10)-LN(1+Supuestos!$E$10^2/Supuestos!$D$10^2)/2,SQRT(LN(1+Supuestos!$E$10^2/Supuestos!$D$10^2))),Supuestos!$D$10))))))</f>
        <v/>
      </c>
      <c r="O327" s="31">
        <f>MIN(IF(Supuestos!$H$11="",1E+99,Supuestos!$H$11),MAX(IF(Supuestos!$G$11="",-1E+99,Supuestos!$G$11),IF(Supuestos!$C$11="Normal",NORMINV(H327,Supuestos!$D$11,Supuestos!$E$11),IF(Supuestos!$C$11="Triangular",IF(H327&lt;(Supuestos!$E$11-Supuestos!$D$11)/(Supuestos!$F$11-Supuestos!$D$11),Supuestos!$D$11+SQRT(H327*(Supuestos!$F$11-Supuestos!$D$11)*(Supuestos!$E$11-Supuestos!$D$11)),Supuestos!$F$11-SQRT((1-H327)*(Supuestos!$F$11-Supuestos!$D$11)*(Supuestos!$F$11-Supuestos!$E$11))),IF(Supuestos!$C$11="Uniforme",Supuestos!$D$11+H327*(Supuestos!$E$11-Supuestos!$D$11),IF(Supuestos!$C$11="Lognormal",LOGINV(H327,LN(Supuestos!$D$11)-LN(1+Supuestos!$E$11^2/Supuestos!$D$11^2)/2,SQRT(LN(1+Supuestos!$E$11^2/Supuestos!$D$11^2))),Supuestos!$D$11))))))</f>
        <v/>
      </c>
      <c r="P327" s="33">
        <f>-I327</f>
        <v/>
      </c>
      <c r="Q327" s="33">
        <f>$J327*(1+$K327)^(1-1)*(1-$L327)*(1-$M327)</f>
        <v/>
      </c>
      <c r="R327" s="33">
        <f>$J327*(1+$K327)^(2-1)*(1-$L327)*(1-$M327)</f>
        <v/>
      </c>
      <c r="S327" s="33">
        <f>$J327*(1+$K327)^(3-1)*(1-$L327)*(1-$M327)</f>
        <v/>
      </c>
      <c r="T327" s="33">
        <f>$J327*(1+$K327)^(4-1)*(1-$L327)*(1-$M327)</f>
        <v/>
      </c>
      <c r="U327" s="33">
        <f>$J327*(1+$K327)^(5-1)*(1-$L327)*(1-$M327)+$O327</f>
        <v/>
      </c>
      <c r="V327" s="33">
        <f>P327+NPV($N327,Q327:U327)</f>
        <v/>
      </c>
      <c r="W327" s="32">
        <f>IFERROR(IRR(P327:U327,0.1),"")</f>
        <v/>
      </c>
    </row>
    <row r="328">
      <c r="A328" s="14" t="n">
        <v>324</v>
      </c>
      <c r="B328" s="30">
        <f>RAND()*(1-2E-6)+1E-6</f>
        <v/>
      </c>
      <c r="C328" s="30">
        <f>RAND()*(1-2E-6)+1E-6</f>
        <v/>
      </c>
      <c r="D328" s="30">
        <f>RAND()*(1-2E-6)+1E-6</f>
        <v/>
      </c>
      <c r="E328" s="30">
        <f>RAND()*(1-2E-6)+1E-6</f>
        <v/>
      </c>
      <c r="F328" s="30">
        <f>RAND()*(1-2E-6)+1E-6</f>
        <v/>
      </c>
      <c r="G328" s="30">
        <f>RAND()*(1-2E-6)+1E-6</f>
        <v/>
      </c>
      <c r="H328" s="30">
        <f>RAND()*(1-2E-6)+1E-6</f>
        <v/>
      </c>
      <c r="I328" s="31">
        <f>MIN(IF(Supuestos!$H$5="",1E+99,Supuestos!$H$5),MAX(IF(Supuestos!$G$5="",-1E+99,Supuestos!$G$5),IF(Supuestos!$C$5="Normal",NORMINV(B328,Supuestos!$D$5,Supuestos!$E$5),IF(Supuestos!$C$5="Triangular",IF(B328&lt;(Supuestos!$E$5-Supuestos!$D$5)/(Supuestos!$F$5-Supuestos!$D$5),Supuestos!$D$5+SQRT(B328*(Supuestos!$F$5-Supuestos!$D$5)*(Supuestos!$E$5-Supuestos!$D$5)),Supuestos!$F$5-SQRT((1-B328)*(Supuestos!$F$5-Supuestos!$D$5)*(Supuestos!$F$5-Supuestos!$E$5))),IF(Supuestos!$C$5="Uniforme",Supuestos!$D$5+B328*(Supuestos!$E$5-Supuestos!$D$5),IF(Supuestos!$C$5="Lognormal",LOGINV(B328,LN(Supuestos!$D$5)-LN(1+Supuestos!$E$5^2/Supuestos!$D$5^2)/2,SQRT(LN(1+Supuestos!$E$5^2/Supuestos!$D$5^2))),Supuestos!$D$5))))))</f>
        <v/>
      </c>
      <c r="J328" s="31">
        <f>MIN(IF(Supuestos!$H$6="",1E+99,Supuestos!$H$6),MAX(IF(Supuestos!$G$6="",-1E+99,Supuestos!$G$6),IF(Supuestos!$C$6="Normal",NORMINV(C328,Supuestos!$D$6,Supuestos!$E$6),IF(Supuestos!$C$6="Triangular",IF(C328&lt;(Supuestos!$E$6-Supuestos!$D$6)/(Supuestos!$F$6-Supuestos!$D$6),Supuestos!$D$6+SQRT(C328*(Supuestos!$F$6-Supuestos!$D$6)*(Supuestos!$E$6-Supuestos!$D$6)),Supuestos!$F$6-SQRT((1-C328)*(Supuestos!$F$6-Supuestos!$D$6)*(Supuestos!$F$6-Supuestos!$E$6))),IF(Supuestos!$C$6="Uniforme",Supuestos!$D$6+C328*(Supuestos!$E$6-Supuestos!$D$6),IF(Supuestos!$C$6="Lognormal",LOGINV(C328,LN(Supuestos!$D$6)-LN(1+Supuestos!$E$6^2/Supuestos!$D$6^2)/2,SQRT(LN(1+Supuestos!$E$6^2/Supuestos!$D$6^2))),Supuestos!$D$6))))))</f>
        <v/>
      </c>
      <c r="K328" s="32">
        <f>MIN(IF(Supuestos!$H$7="",1E+99,Supuestos!$H$7),MAX(IF(Supuestos!$G$7="",-1E+99,Supuestos!$G$7),IF(Supuestos!$C$7="Normal",NORMINV(D328,Supuestos!$D$7,Supuestos!$E$7),IF(Supuestos!$C$7="Triangular",IF(D328&lt;(Supuestos!$E$7-Supuestos!$D$7)/(Supuestos!$F$7-Supuestos!$D$7),Supuestos!$D$7+SQRT(D328*(Supuestos!$F$7-Supuestos!$D$7)*(Supuestos!$E$7-Supuestos!$D$7)),Supuestos!$F$7-SQRT((1-D328)*(Supuestos!$F$7-Supuestos!$D$7)*(Supuestos!$F$7-Supuestos!$E$7))),IF(Supuestos!$C$7="Uniforme",Supuestos!$D$7+D328*(Supuestos!$E$7-Supuestos!$D$7),IF(Supuestos!$C$7="Lognormal",LOGINV(D328,LN(Supuestos!$D$7)-LN(1+Supuestos!$E$7^2/Supuestos!$D$7^2)/2,SQRT(LN(1+Supuestos!$E$7^2/Supuestos!$D$7^2))),Supuestos!$D$7))))))</f>
        <v/>
      </c>
      <c r="L328" s="32">
        <f>MIN(IF(Supuestos!$H$8="",1E+99,Supuestos!$H$8),MAX(IF(Supuestos!$G$8="",-1E+99,Supuestos!$G$8),IF(Supuestos!$C$8="Normal",NORMINV(E328,Supuestos!$D$8,Supuestos!$E$8),IF(Supuestos!$C$8="Triangular",IF(E328&lt;(Supuestos!$E$8-Supuestos!$D$8)/(Supuestos!$F$8-Supuestos!$D$8),Supuestos!$D$8+SQRT(E328*(Supuestos!$F$8-Supuestos!$D$8)*(Supuestos!$E$8-Supuestos!$D$8)),Supuestos!$F$8-SQRT((1-E328)*(Supuestos!$F$8-Supuestos!$D$8)*(Supuestos!$F$8-Supuestos!$E$8))),IF(Supuestos!$C$8="Uniforme",Supuestos!$D$8+E328*(Supuestos!$E$8-Supuestos!$D$8),IF(Supuestos!$C$8="Lognormal",LOGINV(E328,LN(Supuestos!$D$8)-LN(1+Supuestos!$E$8^2/Supuestos!$D$8^2)/2,SQRT(LN(1+Supuestos!$E$8^2/Supuestos!$D$8^2))),Supuestos!$D$8))))))</f>
        <v/>
      </c>
      <c r="M328" s="32">
        <f>MIN(IF(Supuestos!$H$9="",1E+99,Supuestos!$H$9),MAX(IF(Supuestos!$G$9="",-1E+99,Supuestos!$G$9),IF(Supuestos!$C$9="Normal",NORMINV(F328,Supuestos!$D$9,Supuestos!$E$9),IF(Supuestos!$C$9="Triangular",IF(F328&lt;(Supuestos!$E$9-Supuestos!$D$9)/(Supuestos!$F$9-Supuestos!$D$9),Supuestos!$D$9+SQRT(F328*(Supuestos!$F$9-Supuestos!$D$9)*(Supuestos!$E$9-Supuestos!$D$9)),Supuestos!$F$9-SQRT((1-F328)*(Supuestos!$F$9-Supuestos!$D$9)*(Supuestos!$F$9-Supuestos!$E$9))),IF(Supuestos!$C$9="Uniforme",Supuestos!$D$9+F328*(Supuestos!$E$9-Supuestos!$D$9),IF(Supuestos!$C$9="Lognormal",LOGINV(F328,LN(Supuestos!$D$9)-LN(1+Supuestos!$E$9^2/Supuestos!$D$9^2)/2,SQRT(LN(1+Supuestos!$E$9^2/Supuestos!$D$9^2))),Supuestos!$D$9))))))</f>
        <v/>
      </c>
      <c r="N328" s="32">
        <f>MIN(IF(Supuestos!$H$10="",1E+99,Supuestos!$H$10),MAX(IF(Supuestos!$G$10="",-1E+99,Supuestos!$G$10),IF(Supuestos!$C$10="Normal",NORMINV(G328,Supuestos!$D$10,Supuestos!$E$10),IF(Supuestos!$C$10="Triangular",IF(G328&lt;(Supuestos!$E$10-Supuestos!$D$10)/(Supuestos!$F$10-Supuestos!$D$10),Supuestos!$D$10+SQRT(G328*(Supuestos!$F$10-Supuestos!$D$10)*(Supuestos!$E$10-Supuestos!$D$10)),Supuestos!$F$10-SQRT((1-G328)*(Supuestos!$F$10-Supuestos!$D$10)*(Supuestos!$F$10-Supuestos!$E$10))),IF(Supuestos!$C$10="Uniforme",Supuestos!$D$10+G328*(Supuestos!$E$10-Supuestos!$D$10),IF(Supuestos!$C$10="Lognormal",LOGINV(G328,LN(Supuestos!$D$10)-LN(1+Supuestos!$E$10^2/Supuestos!$D$10^2)/2,SQRT(LN(1+Supuestos!$E$10^2/Supuestos!$D$10^2))),Supuestos!$D$10))))))</f>
        <v/>
      </c>
      <c r="O328" s="31">
        <f>MIN(IF(Supuestos!$H$11="",1E+99,Supuestos!$H$11),MAX(IF(Supuestos!$G$11="",-1E+99,Supuestos!$G$11),IF(Supuestos!$C$11="Normal",NORMINV(H328,Supuestos!$D$11,Supuestos!$E$11),IF(Supuestos!$C$11="Triangular",IF(H328&lt;(Supuestos!$E$11-Supuestos!$D$11)/(Supuestos!$F$11-Supuestos!$D$11),Supuestos!$D$11+SQRT(H328*(Supuestos!$F$11-Supuestos!$D$11)*(Supuestos!$E$11-Supuestos!$D$11)),Supuestos!$F$11-SQRT((1-H328)*(Supuestos!$F$11-Supuestos!$D$11)*(Supuestos!$F$11-Supuestos!$E$11))),IF(Supuestos!$C$11="Uniforme",Supuestos!$D$11+H328*(Supuestos!$E$11-Supuestos!$D$11),IF(Supuestos!$C$11="Lognormal",LOGINV(H328,LN(Supuestos!$D$11)-LN(1+Supuestos!$E$11^2/Supuestos!$D$11^2)/2,SQRT(LN(1+Supuestos!$E$11^2/Supuestos!$D$11^2))),Supuestos!$D$11))))))</f>
        <v/>
      </c>
      <c r="P328" s="33">
        <f>-I328</f>
        <v/>
      </c>
      <c r="Q328" s="33">
        <f>$J328*(1+$K328)^(1-1)*(1-$L328)*(1-$M328)</f>
        <v/>
      </c>
      <c r="R328" s="33">
        <f>$J328*(1+$K328)^(2-1)*(1-$L328)*(1-$M328)</f>
        <v/>
      </c>
      <c r="S328" s="33">
        <f>$J328*(1+$K328)^(3-1)*(1-$L328)*(1-$M328)</f>
        <v/>
      </c>
      <c r="T328" s="33">
        <f>$J328*(1+$K328)^(4-1)*(1-$L328)*(1-$M328)</f>
        <v/>
      </c>
      <c r="U328" s="33">
        <f>$J328*(1+$K328)^(5-1)*(1-$L328)*(1-$M328)+$O328</f>
        <v/>
      </c>
      <c r="V328" s="33">
        <f>P328+NPV($N328,Q328:U328)</f>
        <v/>
      </c>
      <c r="W328" s="32">
        <f>IFERROR(IRR(P328:U328,0.1),"")</f>
        <v/>
      </c>
    </row>
    <row r="329">
      <c r="A329" s="14" t="n">
        <v>325</v>
      </c>
      <c r="B329" s="30">
        <f>RAND()*(1-2E-6)+1E-6</f>
        <v/>
      </c>
      <c r="C329" s="30">
        <f>RAND()*(1-2E-6)+1E-6</f>
        <v/>
      </c>
      <c r="D329" s="30">
        <f>RAND()*(1-2E-6)+1E-6</f>
        <v/>
      </c>
      <c r="E329" s="30">
        <f>RAND()*(1-2E-6)+1E-6</f>
        <v/>
      </c>
      <c r="F329" s="30">
        <f>RAND()*(1-2E-6)+1E-6</f>
        <v/>
      </c>
      <c r="G329" s="30">
        <f>RAND()*(1-2E-6)+1E-6</f>
        <v/>
      </c>
      <c r="H329" s="30">
        <f>RAND()*(1-2E-6)+1E-6</f>
        <v/>
      </c>
      <c r="I329" s="31">
        <f>MIN(IF(Supuestos!$H$5="",1E+99,Supuestos!$H$5),MAX(IF(Supuestos!$G$5="",-1E+99,Supuestos!$G$5),IF(Supuestos!$C$5="Normal",NORMINV(B329,Supuestos!$D$5,Supuestos!$E$5),IF(Supuestos!$C$5="Triangular",IF(B329&lt;(Supuestos!$E$5-Supuestos!$D$5)/(Supuestos!$F$5-Supuestos!$D$5),Supuestos!$D$5+SQRT(B329*(Supuestos!$F$5-Supuestos!$D$5)*(Supuestos!$E$5-Supuestos!$D$5)),Supuestos!$F$5-SQRT((1-B329)*(Supuestos!$F$5-Supuestos!$D$5)*(Supuestos!$F$5-Supuestos!$E$5))),IF(Supuestos!$C$5="Uniforme",Supuestos!$D$5+B329*(Supuestos!$E$5-Supuestos!$D$5),IF(Supuestos!$C$5="Lognormal",LOGINV(B329,LN(Supuestos!$D$5)-LN(1+Supuestos!$E$5^2/Supuestos!$D$5^2)/2,SQRT(LN(1+Supuestos!$E$5^2/Supuestos!$D$5^2))),Supuestos!$D$5))))))</f>
        <v/>
      </c>
      <c r="J329" s="31">
        <f>MIN(IF(Supuestos!$H$6="",1E+99,Supuestos!$H$6),MAX(IF(Supuestos!$G$6="",-1E+99,Supuestos!$G$6),IF(Supuestos!$C$6="Normal",NORMINV(C329,Supuestos!$D$6,Supuestos!$E$6),IF(Supuestos!$C$6="Triangular",IF(C329&lt;(Supuestos!$E$6-Supuestos!$D$6)/(Supuestos!$F$6-Supuestos!$D$6),Supuestos!$D$6+SQRT(C329*(Supuestos!$F$6-Supuestos!$D$6)*(Supuestos!$E$6-Supuestos!$D$6)),Supuestos!$F$6-SQRT((1-C329)*(Supuestos!$F$6-Supuestos!$D$6)*(Supuestos!$F$6-Supuestos!$E$6))),IF(Supuestos!$C$6="Uniforme",Supuestos!$D$6+C329*(Supuestos!$E$6-Supuestos!$D$6),IF(Supuestos!$C$6="Lognormal",LOGINV(C329,LN(Supuestos!$D$6)-LN(1+Supuestos!$E$6^2/Supuestos!$D$6^2)/2,SQRT(LN(1+Supuestos!$E$6^2/Supuestos!$D$6^2))),Supuestos!$D$6))))))</f>
        <v/>
      </c>
      <c r="K329" s="32">
        <f>MIN(IF(Supuestos!$H$7="",1E+99,Supuestos!$H$7),MAX(IF(Supuestos!$G$7="",-1E+99,Supuestos!$G$7),IF(Supuestos!$C$7="Normal",NORMINV(D329,Supuestos!$D$7,Supuestos!$E$7),IF(Supuestos!$C$7="Triangular",IF(D329&lt;(Supuestos!$E$7-Supuestos!$D$7)/(Supuestos!$F$7-Supuestos!$D$7),Supuestos!$D$7+SQRT(D329*(Supuestos!$F$7-Supuestos!$D$7)*(Supuestos!$E$7-Supuestos!$D$7)),Supuestos!$F$7-SQRT((1-D329)*(Supuestos!$F$7-Supuestos!$D$7)*(Supuestos!$F$7-Supuestos!$E$7))),IF(Supuestos!$C$7="Uniforme",Supuestos!$D$7+D329*(Supuestos!$E$7-Supuestos!$D$7),IF(Supuestos!$C$7="Lognormal",LOGINV(D329,LN(Supuestos!$D$7)-LN(1+Supuestos!$E$7^2/Supuestos!$D$7^2)/2,SQRT(LN(1+Supuestos!$E$7^2/Supuestos!$D$7^2))),Supuestos!$D$7))))))</f>
        <v/>
      </c>
      <c r="L329" s="32">
        <f>MIN(IF(Supuestos!$H$8="",1E+99,Supuestos!$H$8),MAX(IF(Supuestos!$G$8="",-1E+99,Supuestos!$G$8),IF(Supuestos!$C$8="Normal",NORMINV(E329,Supuestos!$D$8,Supuestos!$E$8),IF(Supuestos!$C$8="Triangular",IF(E329&lt;(Supuestos!$E$8-Supuestos!$D$8)/(Supuestos!$F$8-Supuestos!$D$8),Supuestos!$D$8+SQRT(E329*(Supuestos!$F$8-Supuestos!$D$8)*(Supuestos!$E$8-Supuestos!$D$8)),Supuestos!$F$8-SQRT((1-E329)*(Supuestos!$F$8-Supuestos!$D$8)*(Supuestos!$F$8-Supuestos!$E$8))),IF(Supuestos!$C$8="Uniforme",Supuestos!$D$8+E329*(Supuestos!$E$8-Supuestos!$D$8),IF(Supuestos!$C$8="Lognormal",LOGINV(E329,LN(Supuestos!$D$8)-LN(1+Supuestos!$E$8^2/Supuestos!$D$8^2)/2,SQRT(LN(1+Supuestos!$E$8^2/Supuestos!$D$8^2))),Supuestos!$D$8))))))</f>
        <v/>
      </c>
      <c r="M329" s="32">
        <f>MIN(IF(Supuestos!$H$9="",1E+99,Supuestos!$H$9),MAX(IF(Supuestos!$G$9="",-1E+99,Supuestos!$G$9),IF(Supuestos!$C$9="Normal",NORMINV(F329,Supuestos!$D$9,Supuestos!$E$9),IF(Supuestos!$C$9="Triangular",IF(F329&lt;(Supuestos!$E$9-Supuestos!$D$9)/(Supuestos!$F$9-Supuestos!$D$9),Supuestos!$D$9+SQRT(F329*(Supuestos!$F$9-Supuestos!$D$9)*(Supuestos!$E$9-Supuestos!$D$9)),Supuestos!$F$9-SQRT((1-F329)*(Supuestos!$F$9-Supuestos!$D$9)*(Supuestos!$F$9-Supuestos!$E$9))),IF(Supuestos!$C$9="Uniforme",Supuestos!$D$9+F329*(Supuestos!$E$9-Supuestos!$D$9),IF(Supuestos!$C$9="Lognormal",LOGINV(F329,LN(Supuestos!$D$9)-LN(1+Supuestos!$E$9^2/Supuestos!$D$9^2)/2,SQRT(LN(1+Supuestos!$E$9^2/Supuestos!$D$9^2))),Supuestos!$D$9))))))</f>
        <v/>
      </c>
      <c r="N329" s="32">
        <f>MIN(IF(Supuestos!$H$10="",1E+99,Supuestos!$H$10),MAX(IF(Supuestos!$G$10="",-1E+99,Supuestos!$G$10),IF(Supuestos!$C$10="Normal",NORMINV(G329,Supuestos!$D$10,Supuestos!$E$10),IF(Supuestos!$C$10="Triangular",IF(G329&lt;(Supuestos!$E$10-Supuestos!$D$10)/(Supuestos!$F$10-Supuestos!$D$10),Supuestos!$D$10+SQRT(G329*(Supuestos!$F$10-Supuestos!$D$10)*(Supuestos!$E$10-Supuestos!$D$10)),Supuestos!$F$10-SQRT((1-G329)*(Supuestos!$F$10-Supuestos!$D$10)*(Supuestos!$F$10-Supuestos!$E$10))),IF(Supuestos!$C$10="Uniforme",Supuestos!$D$10+G329*(Supuestos!$E$10-Supuestos!$D$10),IF(Supuestos!$C$10="Lognormal",LOGINV(G329,LN(Supuestos!$D$10)-LN(1+Supuestos!$E$10^2/Supuestos!$D$10^2)/2,SQRT(LN(1+Supuestos!$E$10^2/Supuestos!$D$10^2))),Supuestos!$D$10))))))</f>
        <v/>
      </c>
      <c r="O329" s="31">
        <f>MIN(IF(Supuestos!$H$11="",1E+99,Supuestos!$H$11),MAX(IF(Supuestos!$G$11="",-1E+99,Supuestos!$G$11),IF(Supuestos!$C$11="Normal",NORMINV(H329,Supuestos!$D$11,Supuestos!$E$11),IF(Supuestos!$C$11="Triangular",IF(H329&lt;(Supuestos!$E$11-Supuestos!$D$11)/(Supuestos!$F$11-Supuestos!$D$11),Supuestos!$D$11+SQRT(H329*(Supuestos!$F$11-Supuestos!$D$11)*(Supuestos!$E$11-Supuestos!$D$11)),Supuestos!$F$11-SQRT((1-H329)*(Supuestos!$F$11-Supuestos!$D$11)*(Supuestos!$F$11-Supuestos!$E$11))),IF(Supuestos!$C$11="Uniforme",Supuestos!$D$11+H329*(Supuestos!$E$11-Supuestos!$D$11),IF(Supuestos!$C$11="Lognormal",LOGINV(H329,LN(Supuestos!$D$11)-LN(1+Supuestos!$E$11^2/Supuestos!$D$11^2)/2,SQRT(LN(1+Supuestos!$E$11^2/Supuestos!$D$11^2))),Supuestos!$D$11))))))</f>
        <v/>
      </c>
      <c r="P329" s="33">
        <f>-I329</f>
        <v/>
      </c>
      <c r="Q329" s="33">
        <f>$J329*(1+$K329)^(1-1)*(1-$L329)*(1-$M329)</f>
        <v/>
      </c>
      <c r="R329" s="33">
        <f>$J329*(1+$K329)^(2-1)*(1-$L329)*(1-$M329)</f>
        <v/>
      </c>
      <c r="S329" s="33">
        <f>$J329*(1+$K329)^(3-1)*(1-$L329)*(1-$M329)</f>
        <v/>
      </c>
      <c r="T329" s="33">
        <f>$J329*(1+$K329)^(4-1)*(1-$L329)*(1-$M329)</f>
        <v/>
      </c>
      <c r="U329" s="33">
        <f>$J329*(1+$K329)^(5-1)*(1-$L329)*(1-$M329)+$O329</f>
        <v/>
      </c>
      <c r="V329" s="33">
        <f>P329+NPV($N329,Q329:U329)</f>
        <v/>
      </c>
      <c r="W329" s="32">
        <f>IFERROR(IRR(P329:U329,0.1),"")</f>
        <v/>
      </c>
    </row>
    <row r="330">
      <c r="A330" s="14" t="n">
        <v>326</v>
      </c>
      <c r="B330" s="30">
        <f>RAND()*(1-2E-6)+1E-6</f>
        <v/>
      </c>
      <c r="C330" s="30">
        <f>RAND()*(1-2E-6)+1E-6</f>
        <v/>
      </c>
      <c r="D330" s="30">
        <f>RAND()*(1-2E-6)+1E-6</f>
        <v/>
      </c>
      <c r="E330" s="30">
        <f>RAND()*(1-2E-6)+1E-6</f>
        <v/>
      </c>
      <c r="F330" s="30">
        <f>RAND()*(1-2E-6)+1E-6</f>
        <v/>
      </c>
      <c r="G330" s="30">
        <f>RAND()*(1-2E-6)+1E-6</f>
        <v/>
      </c>
      <c r="H330" s="30">
        <f>RAND()*(1-2E-6)+1E-6</f>
        <v/>
      </c>
      <c r="I330" s="31">
        <f>MIN(IF(Supuestos!$H$5="",1E+99,Supuestos!$H$5),MAX(IF(Supuestos!$G$5="",-1E+99,Supuestos!$G$5),IF(Supuestos!$C$5="Normal",NORMINV(B330,Supuestos!$D$5,Supuestos!$E$5),IF(Supuestos!$C$5="Triangular",IF(B330&lt;(Supuestos!$E$5-Supuestos!$D$5)/(Supuestos!$F$5-Supuestos!$D$5),Supuestos!$D$5+SQRT(B330*(Supuestos!$F$5-Supuestos!$D$5)*(Supuestos!$E$5-Supuestos!$D$5)),Supuestos!$F$5-SQRT((1-B330)*(Supuestos!$F$5-Supuestos!$D$5)*(Supuestos!$F$5-Supuestos!$E$5))),IF(Supuestos!$C$5="Uniforme",Supuestos!$D$5+B330*(Supuestos!$E$5-Supuestos!$D$5),IF(Supuestos!$C$5="Lognormal",LOGINV(B330,LN(Supuestos!$D$5)-LN(1+Supuestos!$E$5^2/Supuestos!$D$5^2)/2,SQRT(LN(1+Supuestos!$E$5^2/Supuestos!$D$5^2))),Supuestos!$D$5))))))</f>
        <v/>
      </c>
      <c r="J330" s="31">
        <f>MIN(IF(Supuestos!$H$6="",1E+99,Supuestos!$H$6),MAX(IF(Supuestos!$G$6="",-1E+99,Supuestos!$G$6),IF(Supuestos!$C$6="Normal",NORMINV(C330,Supuestos!$D$6,Supuestos!$E$6),IF(Supuestos!$C$6="Triangular",IF(C330&lt;(Supuestos!$E$6-Supuestos!$D$6)/(Supuestos!$F$6-Supuestos!$D$6),Supuestos!$D$6+SQRT(C330*(Supuestos!$F$6-Supuestos!$D$6)*(Supuestos!$E$6-Supuestos!$D$6)),Supuestos!$F$6-SQRT((1-C330)*(Supuestos!$F$6-Supuestos!$D$6)*(Supuestos!$F$6-Supuestos!$E$6))),IF(Supuestos!$C$6="Uniforme",Supuestos!$D$6+C330*(Supuestos!$E$6-Supuestos!$D$6),IF(Supuestos!$C$6="Lognormal",LOGINV(C330,LN(Supuestos!$D$6)-LN(1+Supuestos!$E$6^2/Supuestos!$D$6^2)/2,SQRT(LN(1+Supuestos!$E$6^2/Supuestos!$D$6^2))),Supuestos!$D$6))))))</f>
        <v/>
      </c>
      <c r="K330" s="32">
        <f>MIN(IF(Supuestos!$H$7="",1E+99,Supuestos!$H$7),MAX(IF(Supuestos!$G$7="",-1E+99,Supuestos!$G$7),IF(Supuestos!$C$7="Normal",NORMINV(D330,Supuestos!$D$7,Supuestos!$E$7),IF(Supuestos!$C$7="Triangular",IF(D330&lt;(Supuestos!$E$7-Supuestos!$D$7)/(Supuestos!$F$7-Supuestos!$D$7),Supuestos!$D$7+SQRT(D330*(Supuestos!$F$7-Supuestos!$D$7)*(Supuestos!$E$7-Supuestos!$D$7)),Supuestos!$F$7-SQRT((1-D330)*(Supuestos!$F$7-Supuestos!$D$7)*(Supuestos!$F$7-Supuestos!$E$7))),IF(Supuestos!$C$7="Uniforme",Supuestos!$D$7+D330*(Supuestos!$E$7-Supuestos!$D$7),IF(Supuestos!$C$7="Lognormal",LOGINV(D330,LN(Supuestos!$D$7)-LN(1+Supuestos!$E$7^2/Supuestos!$D$7^2)/2,SQRT(LN(1+Supuestos!$E$7^2/Supuestos!$D$7^2))),Supuestos!$D$7))))))</f>
        <v/>
      </c>
      <c r="L330" s="32">
        <f>MIN(IF(Supuestos!$H$8="",1E+99,Supuestos!$H$8),MAX(IF(Supuestos!$G$8="",-1E+99,Supuestos!$G$8),IF(Supuestos!$C$8="Normal",NORMINV(E330,Supuestos!$D$8,Supuestos!$E$8),IF(Supuestos!$C$8="Triangular",IF(E330&lt;(Supuestos!$E$8-Supuestos!$D$8)/(Supuestos!$F$8-Supuestos!$D$8),Supuestos!$D$8+SQRT(E330*(Supuestos!$F$8-Supuestos!$D$8)*(Supuestos!$E$8-Supuestos!$D$8)),Supuestos!$F$8-SQRT((1-E330)*(Supuestos!$F$8-Supuestos!$D$8)*(Supuestos!$F$8-Supuestos!$E$8))),IF(Supuestos!$C$8="Uniforme",Supuestos!$D$8+E330*(Supuestos!$E$8-Supuestos!$D$8),IF(Supuestos!$C$8="Lognormal",LOGINV(E330,LN(Supuestos!$D$8)-LN(1+Supuestos!$E$8^2/Supuestos!$D$8^2)/2,SQRT(LN(1+Supuestos!$E$8^2/Supuestos!$D$8^2))),Supuestos!$D$8))))))</f>
        <v/>
      </c>
      <c r="M330" s="32">
        <f>MIN(IF(Supuestos!$H$9="",1E+99,Supuestos!$H$9),MAX(IF(Supuestos!$G$9="",-1E+99,Supuestos!$G$9),IF(Supuestos!$C$9="Normal",NORMINV(F330,Supuestos!$D$9,Supuestos!$E$9),IF(Supuestos!$C$9="Triangular",IF(F330&lt;(Supuestos!$E$9-Supuestos!$D$9)/(Supuestos!$F$9-Supuestos!$D$9),Supuestos!$D$9+SQRT(F330*(Supuestos!$F$9-Supuestos!$D$9)*(Supuestos!$E$9-Supuestos!$D$9)),Supuestos!$F$9-SQRT((1-F330)*(Supuestos!$F$9-Supuestos!$D$9)*(Supuestos!$F$9-Supuestos!$E$9))),IF(Supuestos!$C$9="Uniforme",Supuestos!$D$9+F330*(Supuestos!$E$9-Supuestos!$D$9),IF(Supuestos!$C$9="Lognormal",LOGINV(F330,LN(Supuestos!$D$9)-LN(1+Supuestos!$E$9^2/Supuestos!$D$9^2)/2,SQRT(LN(1+Supuestos!$E$9^2/Supuestos!$D$9^2))),Supuestos!$D$9))))))</f>
        <v/>
      </c>
      <c r="N330" s="32">
        <f>MIN(IF(Supuestos!$H$10="",1E+99,Supuestos!$H$10),MAX(IF(Supuestos!$G$10="",-1E+99,Supuestos!$G$10),IF(Supuestos!$C$10="Normal",NORMINV(G330,Supuestos!$D$10,Supuestos!$E$10),IF(Supuestos!$C$10="Triangular",IF(G330&lt;(Supuestos!$E$10-Supuestos!$D$10)/(Supuestos!$F$10-Supuestos!$D$10),Supuestos!$D$10+SQRT(G330*(Supuestos!$F$10-Supuestos!$D$10)*(Supuestos!$E$10-Supuestos!$D$10)),Supuestos!$F$10-SQRT((1-G330)*(Supuestos!$F$10-Supuestos!$D$10)*(Supuestos!$F$10-Supuestos!$E$10))),IF(Supuestos!$C$10="Uniforme",Supuestos!$D$10+G330*(Supuestos!$E$10-Supuestos!$D$10),IF(Supuestos!$C$10="Lognormal",LOGINV(G330,LN(Supuestos!$D$10)-LN(1+Supuestos!$E$10^2/Supuestos!$D$10^2)/2,SQRT(LN(1+Supuestos!$E$10^2/Supuestos!$D$10^2))),Supuestos!$D$10))))))</f>
        <v/>
      </c>
      <c r="O330" s="31">
        <f>MIN(IF(Supuestos!$H$11="",1E+99,Supuestos!$H$11),MAX(IF(Supuestos!$G$11="",-1E+99,Supuestos!$G$11),IF(Supuestos!$C$11="Normal",NORMINV(H330,Supuestos!$D$11,Supuestos!$E$11),IF(Supuestos!$C$11="Triangular",IF(H330&lt;(Supuestos!$E$11-Supuestos!$D$11)/(Supuestos!$F$11-Supuestos!$D$11),Supuestos!$D$11+SQRT(H330*(Supuestos!$F$11-Supuestos!$D$11)*(Supuestos!$E$11-Supuestos!$D$11)),Supuestos!$F$11-SQRT((1-H330)*(Supuestos!$F$11-Supuestos!$D$11)*(Supuestos!$F$11-Supuestos!$E$11))),IF(Supuestos!$C$11="Uniforme",Supuestos!$D$11+H330*(Supuestos!$E$11-Supuestos!$D$11),IF(Supuestos!$C$11="Lognormal",LOGINV(H330,LN(Supuestos!$D$11)-LN(1+Supuestos!$E$11^2/Supuestos!$D$11^2)/2,SQRT(LN(1+Supuestos!$E$11^2/Supuestos!$D$11^2))),Supuestos!$D$11))))))</f>
        <v/>
      </c>
      <c r="P330" s="33">
        <f>-I330</f>
        <v/>
      </c>
      <c r="Q330" s="33">
        <f>$J330*(1+$K330)^(1-1)*(1-$L330)*(1-$M330)</f>
        <v/>
      </c>
      <c r="R330" s="33">
        <f>$J330*(1+$K330)^(2-1)*(1-$L330)*(1-$M330)</f>
        <v/>
      </c>
      <c r="S330" s="33">
        <f>$J330*(1+$K330)^(3-1)*(1-$L330)*(1-$M330)</f>
        <v/>
      </c>
      <c r="T330" s="33">
        <f>$J330*(1+$K330)^(4-1)*(1-$L330)*(1-$M330)</f>
        <v/>
      </c>
      <c r="U330" s="33">
        <f>$J330*(1+$K330)^(5-1)*(1-$L330)*(1-$M330)+$O330</f>
        <v/>
      </c>
      <c r="V330" s="33">
        <f>P330+NPV($N330,Q330:U330)</f>
        <v/>
      </c>
      <c r="W330" s="32">
        <f>IFERROR(IRR(P330:U330,0.1),"")</f>
        <v/>
      </c>
    </row>
    <row r="331">
      <c r="A331" s="14" t="n">
        <v>327</v>
      </c>
      <c r="B331" s="30">
        <f>RAND()*(1-2E-6)+1E-6</f>
        <v/>
      </c>
      <c r="C331" s="30">
        <f>RAND()*(1-2E-6)+1E-6</f>
        <v/>
      </c>
      <c r="D331" s="30">
        <f>RAND()*(1-2E-6)+1E-6</f>
        <v/>
      </c>
      <c r="E331" s="30">
        <f>RAND()*(1-2E-6)+1E-6</f>
        <v/>
      </c>
      <c r="F331" s="30">
        <f>RAND()*(1-2E-6)+1E-6</f>
        <v/>
      </c>
      <c r="G331" s="30">
        <f>RAND()*(1-2E-6)+1E-6</f>
        <v/>
      </c>
      <c r="H331" s="30">
        <f>RAND()*(1-2E-6)+1E-6</f>
        <v/>
      </c>
      <c r="I331" s="31">
        <f>MIN(IF(Supuestos!$H$5="",1E+99,Supuestos!$H$5),MAX(IF(Supuestos!$G$5="",-1E+99,Supuestos!$G$5),IF(Supuestos!$C$5="Normal",NORMINV(B331,Supuestos!$D$5,Supuestos!$E$5),IF(Supuestos!$C$5="Triangular",IF(B331&lt;(Supuestos!$E$5-Supuestos!$D$5)/(Supuestos!$F$5-Supuestos!$D$5),Supuestos!$D$5+SQRT(B331*(Supuestos!$F$5-Supuestos!$D$5)*(Supuestos!$E$5-Supuestos!$D$5)),Supuestos!$F$5-SQRT((1-B331)*(Supuestos!$F$5-Supuestos!$D$5)*(Supuestos!$F$5-Supuestos!$E$5))),IF(Supuestos!$C$5="Uniforme",Supuestos!$D$5+B331*(Supuestos!$E$5-Supuestos!$D$5),IF(Supuestos!$C$5="Lognormal",LOGINV(B331,LN(Supuestos!$D$5)-LN(1+Supuestos!$E$5^2/Supuestos!$D$5^2)/2,SQRT(LN(1+Supuestos!$E$5^2/Supuestos!$D$5^2))),Supuestos!$D$5))))))</f>
        <v/>
      </c>
      <c r="J331" s="31">
        <f>MIN(IF(Supuestos!$H$6="",1E+99,Supuestos!$H$6),MAX(IF(Supuestos!$G$6="",-1E+99,Supuestos!$G$6),IF(Supuestos!$C$6="Normal",NORMINV(C331,Supuestos!$D$6,Supuestos!$E$6),IF(Supuestos!$C$6="Triangular",IF(C331&lt;(Supuestos!$E$6-Supuestos!$D$6)/(Supuestos!$F$6-Supuestos!$D$6),Supuestos!$D$6+SQRT(C331*(Supuestos!$F$6-Supuestos!$D$6)*(Supuestos!$E$6-Supuestos!$D$6)),Supuestos!$F$6-SQRT((1-C331)*(Supuestos!$F$6-Supuestos!$D$6)*(Supuestos!$F$6-Supuestos!$E$6))),IF(Supuestos!$C$6="Uniforme",Supuestos!$D$6+C331*(Supuestos!$E$6-Supuestos!$D$6),IF(Supuestos!$C$6="Lognormal",LOGINV(C331,LN(Supuestos!$D$6)-LN(1+Supuestos!$E$6^2/Supuestos!$D$6^2)/2,SQRT(LN(1+Supuestos!$E$6^2/Supuestos!$D$6^2))),Supuestos!$D$6))))))</f>
        <v/>
      </c>
      <c r="K331" s="32">
        <f>MIN(IF(Supuestos!$H$7="",1E+99,Supuestos!$H$7),MAX(IF(Supuestos!$G$7="",-1E+99,Supuestos!$G$7),IF(Supuestos!$C$7="Normal",NORMINV(D331,Supuestos!$D$7,Supuestos!$E$7),IF(Supuestos!$C$7="Triangular",IF(D331&lt;(Supuestos!$E$7-Supuestos!$D$7)/(Supuestos!$F$7-Supuestos!$D$7),Supuestos!$D$7+SQRT(D331*(Supuestos!$F$7-Supuestos!$D$7)*(Supuestos!$E$7-Supuestos!$D$7)),Supuestos!$F$7-SQRT((1-D331)*(Supuestos!$F$7-Supuestos!$D$7)*(Supuestos!$F$7-Supuestos!$E$7))),IF(Supuestos!$C$7="Uniforme",Supuestos!$D$7+D331*(Supuestos!$E$7-Supuestos!$D$7),IF(Supuestos!$C$7="Lognormal",LOGINV(D331,LN(Supuestos!$D$7)-LN(1+Supuestos!$E$7^2/Supuestos!$D$7^2)/2,SQRT(LN(1+Supuestos!$E$7^2/Supuestos!$D$7^2))),Supuestos!$D$7))))))</f>
        <v/>
      </c>
      <c r="L331" s="32">
        <f>MIN(IF(Supuestos!$H$8="",1E+99,Supuestos!$H$8),MAX(IF(Supuestos!$G$8="",-1E+99,Supuestos!$G$8),IF(Supuestos!$C$8="Normal",NORMINV(E331,Supuestos!$D$8,Supuestos!$E$8),IF(Supuestos!$C$8="Triangular",IF(E331&lt;(Supuestos!$E$8-Supuestos!$D$8)/(Supuestos!$F$8-Supuestos!$D$8),Supuestos!$D$8+SQRT(E331*(Supuestos!$F$8-Supuestos!$D$8)*(Supuestos!$E$8-Supuestos!$D$8)),Supuestos!$F$8-SQRT((1-E331)*(Supuestos!$F$8-Supuestos!$D$8)*(Supuestos!$F$8-Supuestos!$E$8))),IF(Supuestos!$C$8="Uniforme",Supuestos!$D$8+E331*(Supuestos!$E$8-Supuestos!$D$8),IF(Supuestos!$C$8="Lognormal",LOGINV(E331,LN(Supuestos!$D$8)-LN(1+Supuestos!$E$8^2/Supuestos!$D$8^2)/2,SQRT(LN(1+Supuestos!$E$8^2/Supuestos!$D$8^2))),Supuestos!$D$8))))))</f>
        <v/>
      </c>
      <c r="M331" s="32">
        <f>MIN(IF(Supuestos!$H$9="",1E+99,Supuestos!$H$9),MAX(IF(Supuestos!$G$9="",-1E+99,Supuestos!$G$9),IF(Supuestos!$C$9="Normal",NORMINV(F331,Supuestos!$D$9,Supuestos!$E$9),IF(Supuestos!$C$9="Triangular",IF(F331&lt;(Supuestos!$E$9-Supuestos!$D$9)/(Supuestos!$F$9-Supuestos!$D$9),Supuestos!$D$9+SQRT(F331*(Supuestos!$F$9-Supuestos!$D$9)*(Supuestos!$E$9-Supuestos!$D$9)),Supuestos!$F$9-SQRT((1-F331)*(Supuestos!$F$9-Supuestos!$D$9)*(Supuestos!$F$9-Supuestos!$E$9))),IF(Supuestos!$C$9="Uniforme",Supuestos!$D$9+F331*(Supuestos!$E$9-Supuestos!$D$9),IF(Supuestos!$C$9="Lognormal",LOGINV(F331,LN(Supuestos!$D$9)-LN(1+Supuestos!$E$9^2/Supuestos!$D$9^2)/2,SQRT(LN(1+Supuestos!$E$9^2/Supuestos!$D$9^2))),Supuestos!$D$9))))))</f>
        <v/>
      </c>
      <c r="N331" s="32">
        <f>MIN(IF(Supuestos!$H$10="",1E+99,Supuestos!$H$10),MAX(IF(Supuestos!$G$10="",-1E+99,Supuestos!$G$10),IF(Supuestos!$C$10="Normal",NORMINV(G331,Supuestos!$D$10,Supuestos!$E$10),IF(Supuestos!$C$10="Triangular",IF(G331&lt;(Supuestos!$E$10-Supuestos!$D$10)/(Supuestos!$F$10-Supuestos!$D$10),Supuestos!$D$10+SQRT(G331*(Supuestos!$F$10-Supuestos!$D$10)*(Supuestos!$E$10-Supuestos!$D$10)),Supuestos!$F$10-SQRT((1-G331)*(Supuestos!$F$10-Supuestos!$D$10)*(Supuestos!$F$10-Supuestos!$E$10))),IF(Supuestos!$C$10="Uniforme",Supuestos!$D$10+G331*(Supuestos!$E$10-Supuestos!$D$10),IF(Supuestos!$C$10="Lognormal",LOGINV(G331,LN(Supuestos!$D$10)-LN(1+Supuestos!$E$10^2/Supuestos!$D$10^2)/2,SQRT(LN(1+Supuestos!$E$10^2/Supuestos!$D$10^2))),Supuestos!$D$10))))))</f>
        <v/>
      </c>
      <c r="O331" s="31">
        <f>MIN(IF(Supuestos!$H$11="",1E+99,Supuestos!$H$11),MAX(IF(Supuestos!$G$11="",-1E+99,Supuestos!$G$11),IF(Supuestos!$C$11="Normal",NORMINV(H331,Supuestos!$D$11,Supuestos!$E$11),IF(Supuestos!$C$11="Triangular",IF(H331&lt;(Supuestos!$E$11-Supuestos!$D$11)/(Supuestos!$F$11-Supuestos!$D$11),Supuestos!$D$11+SQRT(H331*(Supuestos!$F$11-Supuestos!$D$11)*(Supuestos!$E$11-Supuestos!$D$11)),Supuestos!$F$11-SQRT((1-H331)*(Supuestos!$F$11-Supuestos!$D$11)*(Supuestos!$F$11-Supuestos!$E$11))),IF(Supuestos!$C$11="Uniforme",Supuestos!$D$11+H331*(Supuestos!$E$11-Supuestos!$D$11),IF(Supuestos!$C$11="Lognormal",LOGINV(H331,LN(Supuestos!$D$11)-LN(1+Supuestos!$E$11^2/Supuestos!$D$11^2)/2,SQRT(LN(1+Supuestos!$E$11^2/Supuestos!$D$11^2))),Supuestos!$D$11))))))</f>
        <v/>
      </c>
      <c r="P331" s="33">
        <f>-I331</f>
        <v/>
      </c>
      <c r="Q331" s="33">
        <f>$J331*(1+$K331)^(1-1)*(1-$L331)*(1-$M331)</f>
        <v/>
      </c>
      <c r="R331" s="33">
        <f>$J331*(1+$K331)^(2-1)*(1-$L331)*(1-$M331)</f>
        <v/>
      </c>
      <c r="S331" s="33">
        <f>$J331*(1+$K331)^(3-1)*(1-$L331)*(1-$M331)</f>
        <v/>
      </c>
      <c r="T331" s="33">
        <f>$J331*(1+$K331)^(4-1)*(1-$L331)*(1-$M331)</f>
        <v/>
      </c>
      <c r="U331" s="33">
        <f>$J331*(1+$K331)^(5-1)*(1-$L331)*(1-$M331)+$O331</f>
        <v/>
      </c>
      <c r="V331" s="33">
        <f>P331+NPV($N331,Q331:U331)</f>
        <v/>
      </c>
      <c r="W331" s="32">
        <f>IFERROR(IRR(P331:U331,0.1),"")</f>
        <v/>
      </c>
    </row>
    <row r="332">
      <c r="A332" s="14" t="n">
        <v>328</v>
      </c>
      <c r="B332" s="30">
        <f>RAND()*(1-2E-6)+1E-6</f>
        <v/>
      </c>
      <c r="C332" s="30">
        <f>RAND()*(1-2E-6)+1E-6</f>
        <v/>
      </c>
      <c r="D332" s="30">
        <f>RAND()*(1-2E-6)+1E-6</f>
        <v/>
      </c>
      <c r="E332" s="30">
        <f>RAND()*(1-2E-6)+1E-6</f>
        <v/>
      </c>
      <c r="F332" s="30">
        <f>RAND()*(1-2E-6)+1E-6</f>
        <v/>
      </c>
      <c r="G332" s="30">
        <f>RAND()*(1-2E-6)+1E-6</f>
        <v/>
      </c>
      <c r="H332" s="30">
        <f>RAND()*(1-2E-6)+1E-6</f>
        <v/>
      </c>
      <c r="I332" s="31">
        <f>MIN(IF(Supuestos!$H$5="",1E+99,Supuestos!$H$5),MAX(IF(Supuestos!$G$5="",-1E+99,Supuestos!$G$5),IF(Supuestos!$C$5="Normal",NORMINV(B332,Supuestos!$D$5,Supuestos!$E$5),IF(Supuestos!$C$5="Triangular",IF(B332&lt;(Supuestos!$E$5-Supuestos!$D$5)/(Supuestos!$F$5-Supuestos!$D$5),Supuestos!$D$5+SQRT(B332*(Supuestos!$F$5-Supuestos!$D$5)*(Supuestos!$E$5-Supuestos!$D$5)),Supuestos!$F$5-SQRT((1-B332)*(Supuestos!$F$5-Supuestos!$D$5)*(Supuestos!$F$5-Supuestos!$E$5))),IF(Supuestos!$C$5="Uniforme",Supuestos!$D$5+B332*(Supuestos!$E$5-Supuestos!$D$5),IF(Supuestos!$C$5="Lognormal",LOGINV(B332,LN(Supuestos!$D$5)-LN(1+Supuestos!$E$5^2/Supuestos!$D$5^2)/2,SQRT(LN(1+Supuestos!$E$5^2/Supuestos!$D$5^2))),Supuestos!$D$5))))))</f>
        <v/>
      </c>
      <c r="J332" s="31">
        <f>MIN(IF(Supuestos!$H$6="",1E+99,Supuestos!$H$6),MAX(IF(Supuestos!$G$6="",-1E+99,Supuestos!$G$6),IF(Supuestos!$C$6="Normal",NORMINV(C332,Supuestos!$D$6,Supuestos!$E$6),IF(Supuestos!$C$6="Triangular",IF(C332&lt;(Supuestos!$E$6-Supuestos!$D$6)/(Supuestos!$F$6-Supuestos!$D$6),Supuestos!$D$6+SQRT(C332*(Supuestos!$F$6-Supuestos!$D$6)*(Supuestos!$E$6-Supuestos!$D$6)),Supuestos!$F$6-SQRT((1-C332)*(Supuestos!$F$6-Supuestos!$D$6)*(Supuestos!$F$6-Supuestos!$E$6))),IF(Supuestos!$C$6="Uniforme",Supuestos!$D$6+C332*(Supuestos!$E$6-Supuestos!$D$6),IF(Supuestos!$C$6="Lognormal",LOGINV(C332,LN(Supuestos!$D$6)-LN(1+Supuestos!$E$6^2/Supuestos!$D$6^2)/2,SQRT(LN(1+Supuestos!$E$6^2/Supuestos!$D$6^2))),Supuestos!$D$6))))))</f>
        <v/>
      </c>
      <c r="K332" s="32">
        <f>MIN(IF(Supuestos!$H$7="",1E+99,Supuestos!$H$7),MAX(IF(Supuestos!$G$7="",-1E+99,Supuestos!$G$7),IF(Supuestos!$C$7="Normal",NORMINV(D332,Supuestos!$D$7,Supuestos!$E$7),IF(Supuestos!$C$7="Triangular",IF(D332&lt;(Supuestos!$E$7-Supuestos!$D$7)/(Supuestos!$F$7-Supuestos!$D$7),Supuestos!$D$7+SQRT(D332*(Supuestos!$F$7-Supuestos!$D$7)*(Supuestos!$E$7-Supuestos!$D$7)),Supuestos!$F$7-SQRT((1-D332)*(Supuestos!$F$7-Supuestos!$D$7)*(Supuestos!$F$7-Supuestos!$E$7))),IF(Supuestos!$C$7="Uniforme",Supuestos!$D$7+D332*(Supuestos!$E$7-Supuestos!$D$7),IF(Supuestos!$C$7="Lognormal",LOGINV(D332,LN(Supuestos!$D$7)-LN(1+Supuestos!$E$7^2/Supuestos!$D$7^2)/2,SQRT(LN(1+Supuestos!$E$7^2/Supuestos!$D$7^2))),Supuestos!$D$7))))))</f>
        <v/>
      </c>
      <c r="L332" s="32">
        <f>MIN(IF(Supuestos!$H$8="",1E+99,Supuestos!$H$8),MAX(IF(Supuestos!$G$8="",-1E+99,Supuestos!$G$8),IF(Supuestos!$C$8="Normal",NORMINV(E332,Supuestos!$D$8,Supuestos!$E$8),IF(Supuestos!$C$8="Triangular",IF(E332&lt;(Supuestos!$E$8-Supuestos!$D$8)/(Supuestos!$F$8-Supuestos!$D$8),Supuestos!$D$8+SQRT(E332*(Supuestos!$F$8-Supuestos!$D$8)*(Supuestos!$E$8-Supuestos!$D$8)),Supuestos!$F$8-SQRT((1-E332)*(Supuestos!$F$8-Supuestos!$D$8)*(Supuestos!$F$8-Supuestos!$E$8))),IF(Supuestos!$C$8="Uniforme",Supuestos!$D$8+E332*(Supuestos!$E$8-Supuestos!$D$8),IF(Supuestos!$C$8="Lognormal",LOGINV(E332,LN(Supuestos!$D$8)-LN(1+Supuestos!$E$8^2/Supuestos!$D$8^2)/2,SQRT(LN(1+Supuestos!$E$8^2/Supuestos!$D$8^2))),Supuestos!$D$8))))))</f>
        <v/>
      </c>
      <c r="M332" s="32">
        <f>MIN(IF(Supuestos!$H$9="",1E+99,Supuestos!$H$9),MAX(IF(Supuestos!$G$9="",-1E+99,Supuestos!$G$9),IF(Supuestos!$C$9="Normal",NORMINV(F332,Supuestos!$D$9,Supuestos!$E$9),IF(Supuestos!$C$9="Triangular",IF(F332&lt;(Supuestos!$E$9-Supuestos!$D$9)/(Supuestos!$F$9-Supuestos!$D$9),Supuestos!$D$9+SQRT(F332*(Supuestos!$F$9-Supuestos!$D$9)*(Supuestos!$E$9-Supuestos!$D$9)),Supuestos!$F$9-SQRT((1-F332)*(Supuestos!$F$9-Supuestos!$D$9)*(Supuestos!$F$9-Supuestos!$E$9))),IF(Supuestos!$C$9="Uniforme",Supuestos!$D$9+F332*(Supuestos!$E$9-Supuestos!$D$9),IF(Supuestos!$C$9="Lognormal",LOGINV(F332,LN(Supuestos!$D$9)-LN(1+Supuestos!$E$9^2/Supuestos!$D$9^2)/2,SQRT(LN(1+Supuestos!$E$9^2/Supuestos!$D$9^2))),Supuestos!$D$9))))))</f>
        <v/>
      </c>
      <c r="N332" s="32">
        <f>MIN(IF(Supuestos!$H$10="",1E+99,Supuestos!$H$10),MAX(IF(Supuestos!$G$10="",-1E+99,Supuestos!$G$10),IF(Supuestos!$C$10="Normal",NORMINV(G332,Supuestos!$D$10,Supuestos!$E$10),IF(Supuestos!$C$10="Triangular",IF(G332&lt;(Supuestos!$E$10-Supuestos!$D$10)/(Supuestos!$F$10-Supuestos!$D$10),Supuestos!$D$10+SQRT(G332*(Supuestos!$F$10-Supuestos!$D$10)*(Supuestos!$E$10-Supuestos!$D$10)),Supuestos!$F$10-SQRT((1-G332)*(Supuestos!$F$10-Supuestos!$D$10)*(Supuestos!$F$10-Supuestos!$E$10))),IF(Supuestos!$C$10="Uniforme",Supuestos!$D$10+G332*(Supuestos!$E$10-Supuestos!$D$10),IF(Supuestos!$C$10="Lognormal",LOGINV(G332,LN(Supuestos!$D$10)-LN(1+Supuestos!$E$10^2/Supuestos!$D$10^2)/2,SQRT(LN(1+Supuestos!$E$10^2/Supuestos!$D$10^2))),Supuestos!$D$10))))))</f>
        <v/>
      </c>
      <c r="O332" s="31">
        <f>MIN(IF(Supuestos!$H$11="",1E+99,Supuestos!$H$11),MAX(IF(Supuestos!$G$11="",-1E+99,Supuestos!$G$11),IF(Supuestos!$C$11="Normal",NORMINV(H332,Supuestos!$D$11,Supuestos!$E$11),IF(Supuestos!$C$11="Triangular",IF(H332&lt;(Supuestos!$E$11-Supuestos!$D$11)/(Supuestos!$F$11-Supuestos!$D$11),Supuestos!$D$11+SQRT(H332*(Supuestos!$F$11-Supuestos!$D$11)*(Supuestos!$E$11-Supuestos!$D$11)),Supuestos!$F$11-SQRT((1-H332)*(Supuestos!$F$11-Supuestos!$D$11)*(Supuestos!$F$11-Supuestos!$E$11))),IF(Supuestos!$C$11="Uniforme",Supuestos!$D$11+H332*(Supuestos!$E$11-Supuestos!$D$11),IF(Supuestos!$C$11="Lognormal",LOGINV(H332,LN(Supuestos!$D$11)-LN(1+Supuestos!$E$11^2/Supuestos!$D$11^2)/2,SQRT(LN(1+Supuestos!$E$11^2/Supuestos!$D$11^2))),Supuestos!$D$11))))))</f>
        <v/>
      </c>
      <c r="P332" s="33">
        <f>-I332</f>
        <v/>
      </c>
      <c r="Q332" s="33">
        <f>$J332*(1+$K332)^(1-1)*(1-$L332)*(1-$M332)</f>
        <v/>
      </c>
      <c r="R332" s="33">
        <f>$J332*(1+$K332)^(2-1)*(1-$L332)*(1-$M332)</f>
        <v/>
      </c>
      <c r="S332" s="33">
        <f>$J332*(1+$K332)^(3-1)*(1-$L332)*(1-$M332)</f>
        <v/>
      </c>
      <c r="T332" s="33">
        <f>$J332*(1+$K332)^(4-1)*(1-$L332)*(1-$M332)</f>
        <v/>
      </c>
      <c r="U332" s="33">
        <f>$J332*(1+$K332)^(5-1)*(1-$L332)*(1-$M332)+$O332</f>
        <v/>
      </c>
      <c r="V332" s="33">
        <f>P332+NPV($N332,Q332:U332)</f>
        <v/>
      </c>
      <c r="W332" s="32">
        <f>IFERROR(IRR(P332:U332,0.1),"")</f>
        <v/>
      </c>
    </row>
    <row r="333">
      <c r="A333" s="14" t="n">
        <v>329</v>
      </c>
      <c r="B333" s="30">
        <f>RAND()*(1-2E-6)+1E-6</f>
        <v/>
      </c>
      <c r="C333" s="30">
        <f>RAND()*(1-2E-6)+1E-6</f>
        <v/>
      </c>
      <c r="D333" s="30">
        <f>RAND()*(1-2E-6)+1E-6</f>
        <v/>
      </c>
      <c r="E333" s="30">
        <f>RAND()*(1-2E-6)+1E-6</f>
        <v/>
      </c>
      <c r="F333" s="30">
        <f>RAND()*(1-2E-6)+1E-6</f>
        <v/>
      </c>
      <c r="G333" s="30">
        <f>RAND()*(1-2E-6)+1E-6</f>
        <v/>
      </c>
      <c r="H333" s="30">
        <f>RAND()*(1-2E-6)+1E-6</f>
        <v/>
      </c>
      <c r="I333" s="31">
        <f>MIN(IF(Supuestos!$H$5="",1E+99,Supuestos!$H$5),MAX(IF(Supuestos!$G$5="",-1E+99,Supuestos!$G$5),IF(Supuestos!$C$5="Normal",NORMINV(B333,Supuestos!$D$5,Supuestos!$E$5),IF(Supuestos!$C$5="Triangular",IF(B333&lt;(Supuestos!$E$5-Supuestos!$D$5)/(Supuestos!$F$5-Supuestos!$D$5),Supuestos!$D$5+SQRT(B333*(Supuestos!$F$5-Supuestos!$D$5)*(Supuestos!$E$5-Supuestos!$D$5)),Supuestos!$F$5-SQRT((1-B333)*(Supuestos!$F$5-Supuestos!$D$5)*(Supuestos!$F$5-Supuestos!$E$5))),IF(Supuestos!$C$5="Uniforme",Supuestos!$D$5+B333*(Supuestos!$E$5-Supuestos!$D$5),IF(Supuestos!$C$5="Lognormal",LOGINV(B333,LN(Supuestos!$D$5)-LN(1+Supuestos!$E$5^2/Supuestos!$D$5^2)/2,SQRT(LN(1+Supuestos!$E$5^2/Supuestos!$D$5^2))),Supuestos!$D$5))))))</f>
        <v/>
      </c>
      <c r="J333" s="31">
        <f>MIN(IF(Supuestos!$H$6="",1E+99,Supuestos!$H$6),MAX(IF(Supuestos!$G$6="",-1E+99,Supuestos!$G$6),IF(Supuestos!$C$6="Normal",NORMINV(C333,Supuestos!$D$6,Supuestos!$E$6),IF(Supuestos!$C$6="Triangular",IF(C333&lt;(Supuestos!$E$6-Supuestos!$D$6)/(Supuestos!$F$6-Supuestos!$D$6),Supuestos!$D$6+SQRT(C333*(Supuestos!$F$6-Supuestos!$D$6)*(Supuestos!$E$6-Supuestos!$D$6)),Supuestos!$F$6-SQRT((1-C333)*(Supuestos!$F$6-Supuestos!$D$6)*(Supuestos!$F$6-Supuestos!$E$6))),IF(Supuestos!$C$6="Uniforme",Supuestos!$D$6+C333*(Supuestos!$E$6-Supuestos!$D$6),IF(Supuestos!$C$6="Lognormal",LOGINV(C333,LN(Supuestos!$D$6)-LN(1+Supuestos!$E$6^2/Supuestos!$D$6^2)/2,SQRT(LN(1+Supuestos!$E$6^2/Supuestos!$D$6^2))),Supuestos!$D$6))))))</f>
        <v/>
      </c>
      <c r="K333" s="32">
        <f>MIN(IF(Supuestos!$H$7="",1E+99,Supuestos!$H$7),MAX(IF(Supuestos!$G$7="",-1E+99,Supuestos!$G$7),IF(Supuestos!$C$7="Normal",NORMINV(D333,Supuestos!$D$7,Supuestos!$E$7),IF(Supuestos!$C$7="Triangular",IF(D333&lt;(Supuestos!$E$7-Supuestos!$D$7)/(Supuestos!$F$7-Supuestos!$D$7),Supuestos!$D$7+SQRT(D333*(Supuestos!$F$7-Supuestos!$D$7)*(Supuestos!$E$7-Supuestos!$D$7)),Supuestos!$F$7-SQRT((1-D333)*(Supuestos!$F$7-Supuestos!$D$7)*(Supuestos!$F$7-Supuestos!$E$7))),IF(Supuestos!$C$7="Uniforme",Supuestos!$D$7+D333*(Supuestos!$E$7-Supuestos!$D$7),IF(Supuestos!$C$7="Lognormal",LOGINV(D333,LN(Supuestos!$D$7)-LN(1+Supuestos!$E$7^2/Supuestos!$D$7^2)/2,SQRT(LN(1+Supuestos!$E$7^2/Supuestos!$D$7^2))),Supuestos!$D$7))))))</f>
        <v/>
      </c>
      <c r="L333" s="32">
        <f>MIN(IF(Supuestos!$H$8="",1E+99,Supuestos!$H$8),MAX(IF(Supuestos!$G$8="",-1E+99,Supuestos!$G$8),IF(Supuestos!$C$8="Normal",NORMINV(E333,Supuestos!$D$8,Supuestos!$E$8),IF(Supuestos!$C$8="Triangular",IF(E333&lt;(Supuestos!$E$8-Supuestos!$D$8)/(Supuestos!$F$8-Supuestos!$D$8),Supuestos!$D$8+SQRT(E333*(Supuestos!$F$8-Supuestos!$D$8)*(Supuestos!$E$8-Supuestos!$D$8)),Supuestos!$F$8-SQRT((1-E333)*(Supuestos!$F$8-Supuestos!$D$8)*(Supuestos!$F$8-Supuestos!$E$8))),IF(Supuestos!$C$8="Uniforme",Supuestos!$D$8+E333*(Supuestos!$E$8-Supuestos!$D$8),IF(Supuestos!$C$8="Lognormal",LOGINV(E333,LN(Supuestos!$D$8)-LN(1+Supuestos!$E$8^2/Supuestos!$D$8^2)/2,SQRT(LN(1+Supuestos!$E$8^2/Supuestos!$D$8^2))),Supuestos!$D$8))))))</f>
        <v/>
      </c>
      <c r="M333" s="32">
        <f>MIN(IF(Supuestos!$H$9="",1E+99,Supuestos!$H$9),MAX(IF(Supuestos!$G$9="",-1E+99,Supuestos!$G$9),IF(Supuestos!$C$9="Normal",NORMINV(F333,Supuestos!$D$9,Supuestos!$E$9),IF(Supuestos!$C$9="Triangular",IF(F333&lt;(Supuestos!$E$9-Supuestos!$D$9)/(Supuestos!$F$9-Supuestos!$D$9),Supuestos!$D$9+SQRT(F333*(Supuestos!$F$9-Supuestos!$D$9)*(Supuestos!$E$9-Supuestos!$D$9)),Supuestos!$F$9-SQRT((1-F333)*(Supuestos!$F$9-Supuestos!$D$9)*(Supuestos!$F$9-Supuestos!$E$9))),IF(Supuestos!$C$9="Uniforme",Supuestos!$D$9+F333*(Supuestos!$E$9-Supuestos!$D$9),IF(Supuestos!$C$9="Lognormal",LOGINV(F333,LN(Supuestos!$D$9)-LN(1+Supuestos!$E$9^2/Supuestos!$D$9^2)/2,SQRT(LN(1+Supuestos!$E$9^2/Supuestos!$D$9^2))),Supuestos!$D$9))))))</f>
        <v/>
      </c>
      <c r="N333" s="32">
        <f>MIN(IF(Supuestos!$H$10="",1E+99,Supuestos!$H$10),MAX(IF(Supuestos!$G$10="",-1E+99,Supuestos!$G$10),IF(Supuestos!$C$10="Normal",NORMINV(G333,Supuestos!$D$10,Supuestos!$E$10),IF(Supuestos!$C$10="Triangular",IF(G333&lt;(Supuestos!$E$10-Supuestos!$D$10)/(Supuestos!$F$10-Supuestos!$D$10),Supuestos!$D$10+SQRT(G333*(Supuestos!$F$10-Supuestos!$D$10)*(Supuestos!$E$10-Supuestos!$D$10)),Supuestos!$F$10-SQRT((1-G333)*(Supuestos!$F$10-Supuestos!$D$10)*(Supuestos!$F$10-Supuestos!$E$10))),IF(Supuestos!$C$10="Uniforme",Supuestos!$D$10+G333*(Supuestos!$E$10-Supuestos!$D$10),IF(Supuestos!$C$10="Lognormal",LOGINV(G333,LN(Supuestos!$D$10)-LN(1+Supuestos!$E$10^2/Supuestos!$D$10^2)/2,SQRT(LN(1+Supuestos!$E$10^2/Supuestos!$D$10^2))),Supuestos!$D$10))))))</f>
        <v/>
      </c>
      <c r="O333" s="31">
        <f>MIN(IF(Supuestos!$H$11="",1E+99,Supuestos!$H$11),MAX(IF(Supuestos!$G$11="",-1E+99,Supuestos!$G$11),IF(Supuestos!$C$11="Normal",NORMINV(H333,Supuestos!$D$11,Supuestos!$E$11),IF(Supuestos!$C$11="Triangular",IF(H333&lt;(Supuestos!$E$11-Supuestos!$D$11)/(Supuestos!$F$11-Supuestos!$D$11),Supuestos!$D$11+SQRT(H333*(Supuestos!$F$11-Supuestos!$D$11)*(Supuestos!$E$11-Supuestos!$D$11)),Supuestos!$F$11-SQRT((1-H333)*(Supuestos!$F$11-Supuestos!$D$11)*(Supuestos!$F$11-Supuestos!$E$11))),IF(Supuestos!$C$11="Uniforme",Supuestos!$D$11+H333*(Supuestos!$E$11-Supuestos!$D$11),IF(Supuestos!$C$11="Lognormal",LOGINV(H333,LN(Supuestos!$D$11)-LN(1+Supuestos!$E$11^2/Supuestos!$D$11^2)/2,SQRT(LN(1+Supuestos!$E$11^2/Supuestos!$D$11^2))),Supuestos!$D$11))))))</f>
        <v/>
      </c>
      <c r="P333" s="33">
        <f>-I333</f>
        <v/>
      </c>
      <c r="Q333" s="33">
        <f>$J333*(1+$K333)^(1-1)*(1-$L333)*(1-$M333)</f>
        <v/>
      </c>
      <c r="R333" s="33">
        <f>$J333*(1+$K333)^(2-1)*(1-$L333)*(1-$M333)</f>
        <v/>
      </c>
      <c r="S333" s="33">
        <f>$J333*(1+$K333)^(3-1)*(1-$L333)*(1-$M333)</f>
        <v/>
      </c>
      <c r="T333" s="33">
        <f>$J333*(1+$K333)^(4-1)*(1-$L333)*(1-$M333)</f>
        <v/>
      </c>
      <c r="U333" s="33">
        <f>$J333*(1+$K333)^(5-1)*(1-$L333)*(1-$M333)+$O333</f>
        <v/>
      </c>
      <c r="V333" s="33">
        <f>P333+NPV($N333,Q333:U333)</f>
        <v/>
      </c>
      <c r="W333" s="32">
        <f>IFERROR(IRR(P333:U333,0.1),"")</f>
        <v/>
      </c>
    </row>
    <row r="334">
      <c r="A334" s="14" t="n">
        <v>330</v>
      </c>
      <c r="B334" s="30">
        <f>RAND()*(1-2E-6)+1E-6</f>
        <v/>
      </c>
      <c r="C334" s="30">
        <f>RAND()*(1-2E-6)+1E-6</f>
        <v/>
      </c>
      <c r="D334" s="30">
        <f>RAND()*(1-2E-6)+1E-6</f>
        <v/>
      </c>
      <c r="E334" s="30">
        <f>RAND()*(1-2E-6)+1E-6</f>
        <v/>
      </c>
      <c r="F334" s="30">
        <f>RAND()*(1-2E-6)+1E-6</f>
        <v/>
      </c>
      <c r="G334" s="30">
        <f>RAND()*(1-2E-6)+1E-6</f>
        <v/>
      </c>
      <c r="H334" s="30">
        <f>RAND()*(1-2E-6)+1E-6</f>
        <v/>
      </c>
      <c r="I334" s="31">
        <f>MIN(IF(Supuestos!$H$5="",1E+99,Supuestos!$H$5),MAX(IF(Supuestos!$G$5="",-1E+99,Supuestos!$G$5),IF(Supuestos!$C$5="Normal",NORMINV(B334,Supuestos!$D$5,Supuestos!$E$5),IF(Supuestos!$C$5="Triangular",IF(B334&lt;(Supuestos!$E$5-Supuestos!$D$5)/(Supuestos!$F$5-Supuestos!$D$5),Supuestos!$D$5+SQRT(B334*(Supuestos!$F$5-Supuestos!$D$5)*(Supuestos!$E$5-Supuestos!$D$5)),Supuestos!$F$5-SQRT((1-B334)*(Supuestos!$F$5-Supuestos!$D$5)*(Supuestos!$F$5-Supuestos!$E$5))),IF(Supuestos!$C$5="Uniforme",Supuestos!$D$5+B334*(Supuestos!$E$5-Supuestos!$D$5),IF(Supuestos!$C$5="Lognormal",LOGINV(B334,LN(Supuestos!$D$5)-LN(1+Supuestos!$E$5^2/Supuestos!$D$5^2)/2,SQRT(LN(1+Supuestos!$E$5^2/Supuestos!$D$5^2))),Supuestos!$D$5))))))</f>
        <v/>
      </c>
      <c r="J334" s="31">
        <f>MIN(IF(Supuestos!$H$6="",1E+99,Supuestos!$H$6),MAX(IF(Supuestos!$G$6="",-1E+99,Supuestos!$G$6),IF(Supuestos!$C$6="Normal",NORMINV(C334,Supuestos!$D$6,Supuestos!$E$6),IF(Supuestos!$C$6="Triangular",IF(C334&lt;(Supuestos!$E$6-Supuestos!$D$6)/(Supuestos!$F$6-Supuestos!$D$6),Supuestos!$D$6+SQRT(C334*(Supuestos!$F$6-Supuestos!$D$6)*(Supuestos!$E$6-Supuestos!$D$6)),Supuestos!$F$6-SQRT((1-C334)*(Supuestos!$F$6-Supuestos!$D$6)*(Supuestos!$F$6-Supuestos!$E$6))),IF(Supuestos!$C$6="Uniforme",Supuestos!$D$6+C334*(Supuestos!$E$6-Supuestos!$D$6),IF(Supuestos!$C$6="Lognormal",LOGINV(C334,LN(Supuestos!$D$6)-LN(1+Supuestos!$E$6^2/Supuestos!$D$6^2)/2,SQRT(LN(1+Supuestos!$E$6^2/Supuestos!$D$6^2))),Supuestos!$D$6))))))</f>
        <v/>
      </c>
      <c r="K334" s="32">
        <f>MIN(IF(Supuestos!$H$7="",1E+99,Supuestos!$H$7),MAX(IF(Supuestos!$G$7="",-1E+99,Supuestos!$G$7),IF(Supuestos!$C$7="Normal",NORMINV(D334,Supuestos!$D$7,Supuestos!$E$7),IF(Supuestos!$C$7="Triangular",IF(D334&lt;(Supuestos!$E$7-Supuestos!$D$7)/(Supuestos!$F$7-Supuestos!$D$7),Supuestos!$D$7+SQRT(D334*(Supuestos!$F$7-Supuestos!$D$7)*(Supuestos!$E$7-Supuestos!$D$7)),Supuestos!$F$7-SQRT((1-D334)*(Supuestos!$F$7-Supuestos!$D$7)*(Supuestos!$F$7-Supuestos!$E$7))),IF(Supuestos!$C$7="Uniforme",Supuestos!$D$7+D334*(Supuestos!$E$7-Supuestos!$D$7),IF(Supuestos!$C$7="Lognormal",LOGINV(D334,LN(Supuestos!$D$7)-LN(1+Supuestos!$E$7^2/Supuestos!$D$7^2)/2,SQRT(LN(1+Supuestos!$E$7^2/Supuestos!$D$7^2))),Supuestos!$D$7))))))</f>
        <v/>
      </c>
      <c r="L334" s="32">
        <f>MIN(IF(Supuestos!$H$8="",1E+99,Supuestos!$H$8),MAX(IF(Supuestos!$G$8="",-1E+99,Supuestos!$G$8),IF(Supuestos!$C$8="Normal",NORMINV(E334,Supuestos!$D$8,Supuestos!$E$8),IF(Supuestos!$C$8="Triangular",IF(E334&lt;(Supuestos!$E$8-Supuestos!$D$8)/(Supuestos!$F$8-Supuestos!$D$8),Supuestos!$D$8+SQRT(E334*(Supuestos!$F$8-Supuestos!$D$8)*(Supuestos!$E$8-Supuestos!$D$8)),Supuestos!$F$8-SQRT((1-E334)*(Supuestos!$F$8-Supuestos!$D$8)*(Supuestos!$F$8-Supuestos!$E$8))),IF(Supuestos!$C$8="Uniforme",Supuestos!$D$8+E334*(Supuestos!$E$8-Supuestos!$D$8),IF(Supuestos!$C$8="Lognormal",LOGINV(E334,LN(Supuestos!$D$8)-LN(1+Supuestos!$E$8^2/Supuestos!$D$8^2)/2,SQRT(LN(1+Supuestos!$E$8^2/Supuestos!$D$8^2))),Supuestos!$D$8))))))</f>
        <v/>
      </c>
      <c r="M334" s="32">
        <f>MIN(IF(Supuestos!$H$9="",1E+99,Supuestos!$H$9),MAX(IF(Supuestos!$G$9="",-1E+99,Supuestos!$G$9),IF(Supuestos!$C$9="Normal",NORMINV(F334,Supuestos!$D$9,Supuestos!$E$9),IF(Supuestos!$C$9="Triangular",IF(F334&lt;(Supuestos!$E$9-Supuestos!$D$9)/(Supuestos!$F$9-Supuestos!$D$9),Supuestos!$D$9+SQRT(F334*(Supuestos!$F$9-Supuestos!$D$9)*(Supuestos!$E$9-Supuestos!$D$9)),Supuestos!$F$9-SQRT((1-F334)*(Supuestos!$F$9-Supuestos!$D$9)*(Supuestos!$F$9-Supuestos!$E$9))),IF(Supuestos!$C$9="Uniforme",Supuestos!$D$9+F334*(Supuestos!$E$9-Supuestos!$D$9),IF(Supuestos!$C$9="Lognormal",LOGINV(F334,LN(Supuestos!$D$9)-LN(1+Supuestos!$E$9^2/Supuestos!$D$9^2)/2,SQRT(LN(1+Supuestos!$E$9^2/Supuestos!$D$9^2))),Supuestos!$D$9))))))</f>
        <v/>
      </c>
      <c r="N334" s="32">
        <f>MIN(IF(Supuestos!$H$10="",1E+99,Supuestos!$H$10),MAX(IF(Supuestos!$G$10="",-1E+99,Supuestos!$G$10),IF(Supuestos!$C$10="Normal",NORMINV(G334,Supuestos!$D$10,Supuestos!$E$10),IF(Supuestos!$C$10="Triangular",IF(G334&lt;(Supuestos!$E$10-Supuestos!$D$10)/(Supuestos!$F$10-Supuestos!$D$10),Supuestos!$D$10+SQRT(G334*(Supuestos!$F$10-Supuestos!$D$10)*(Supuestos!$E$10-Supuestos!$D$10)),Supuestos!$F$10-SQRT((1-G334)*(Supuestos!$F$10-Supuestos!$D$10)*(Supuestos!$F$10-Supuestos!$E$10))),IF(Supuestos!$C$10="Uniforme",Supuestos!$D$10+G334*(Supuestos!$E$10-Supuestos!$D$10),IF(Supuestos!$C$10="Lognormal",LOGINV(G334,LN(Supuestos!$D$10)-LN(1+Supuestos!$E$10^2/Supuestos!$D$10^2)/2,SQRT(LN(1+Supuestos!$E$10^2/Supuestos!$D$10^2))),Supuestos!$D$10))))))</f>
        <v/>
      </c>
      <c r="O334" s="31">
        <f>MIN(IF(Supuestos!$H$11="",1E+99,Supuestos!$H$11),MAX(IF(Supuestos!$G$11="",-1E+99,Supuestos!$G$11),IF(Supuestos!$C$11="Normal",NORMINV(H334,Supuestos!$D$11,Supuestos!$E$11),IF(Supuestos!$C$11="Triangular",IF(H334&lt;(Supuestos!$E$11-Supuestos!$D$11)/(Supuestos!$F$11-Supuestos!$D$11),Supuestos!$D$11+SQRT(H334*(Supuestos!$F$11-Supuestos!$D$11)*(Supuestos!$E$11-Supuestos!$D$11)),Supuestos!$F$11-SQRT((1-H334)*(Supuestos!$F$11-Supuestos!$D$11)*(Supuestos!$F$11-Supuestos!$E$11))),IF(Supuestos!$C$11="Uniforme",Supuestos!$D$11+H334*(Supuestos!$E$11-Supuestos!$D$11),IF(Supuestos!$C$11="Lognormal",LOGINV(H334,LN(Supuestos!$D$11)-LN(1+Supuestos!$E$11^2/Supuestos!$D$11^2)/2,SQRT(LN(1+Supuestos!$E$11^2/Supuestos!$D$11^2))),Supuestos!$D$11))))))</f>
        <v/>
      </c>
      <c r="P334" s="33">
        <f>-I334</f>
        <v/>
      </c>
      <c r="Q334" s="33">
        <f>$J334*(1+$K334)^(1-1)*(1-$L334)*(1-$M334)</f>
        <v/>
      </c>
      <c r="R334" s="33">
        <f>$J334*(1+$K334)^(2-1)*(1-$L334)*(1-$M334)</f>
        <v/>
      </c>
      <c r="S334" s="33">
        <f>$J334*(1+$K334)^(3-1)*(1-$L334)*(1-$M334)</f>
        <v/>
      </c>
      <c r="T334" s="33">
        <f>$J334*(1+$K334)^(4-1)*(1-$L334)*(1-$M334)</f>
        <v/>
      </c>
      <c r="U334" s="33">
        <f>$J334*(1+$K334)^(5-1)*(1-$L334)*(1-$M334)+$O334</f>
        <v/>
      </c>
      <c r="V334" s="33">
        <f>P334+NPV($N334,Q334:U334)</f>
        <v/>
      </c>
      <c r="W334" s="32">
        <f>IFERROR(IRR(P334:U334,0.1),"")</f>
        <v/>
      </c>
    </row>
    <row r="335">
      <c r="A335" s="14" t="n">
        <v>331</v>
      </c>
      <c r="B335" s="30">
        <f>RAND()*(1-2E-6)+1E-6</f>
        <v/>
      </c>
      <c r="C335" s="30">
        <f>RAND()*(1-2E-6)+1E-6</f>
        <v/>
      </c>
      <c r="D335" s="30">
        <f>RAND()*(1-2E-6)+1E-6</f>
        <v/>
      </c>
      <c r="E335" s="30">
        <f>RAND()*(1-2E-6)+1E-6</f>
        <v/>
      </c>
      <c r="F335" s="30">
        <f>RAND()*(1-2E-6)+1E-6</f>
        <v/>
      </c>
      <c r="G335" s="30">
        <f>RAND()*(1-2E-6)+1E-6</f>
        <v/>
      </c>
      <c r="H335" s="30">
        <f>RAND()*(1-2E-6)+1E-6</f>
        <v/>
      </c>
      <c r="I335" s="31">
        <f>MIN(IF(Supuestos!$H$5="",1E+99,Supuestos!$H$5),MAX(IF(Supuestos!$G$5="",-1E+99,Supuestos!$G$5),IF(Supuestos!$C$5="Normal",NORMINV(B335,Supuestos!$D$5,Supuestos!$E$5),IF(Supuestos!$C$5="Triangular",IF(B335&lt;(Supuestos!$E$5-Supuestos!$D$5)/(Supuestos!$F$5-Supuestos!$D$5),Supuestos!$D$5+SQRT(B335*(Supuestos!$F$5-Supuestos!$D$5)*(Supuestos!$E$5-Supuestos!$D$5)),Supuestos!$F$5-SQRT((1-B335)*(Supuestos!$F$5-Supuestos!$D$5)*(Supuestos!$F$5-Supuestos!$E$5))),IF(Supuestos!$C$5="Uniforme",Supuestos!$D$5+B335*(Supuestos!$E$5-Supuestos!$D$5),IF(Supuestos!$C$5="Lognormal",LOGINV(B335,LN(Supuestos!$D$5)-LN(1+Supuestos!$E$5^2/Supuestos!$D$5^2)/2,SQRT(LN(1+Supuestos!$E$5^2/Supuestos!$D$5^2))),Supuestos!$D$5))))))</f>
        <v/>
      </c>
      <c r="J335" s="31">
        <f>MIN(IF(Supuestos!$H$6="",1E+99,Supuestos!$H$6),MAX(IF(Supuestos!$G$6="",-1E+99,Supuestos!$G$6),IF(Supuestos!$C$6="Normal",NORMINV(C335,Supuestos!$D$6,Supuestos!$E$6),IF(Supuestos!$C$6="Triangular",IF(C335&lt;(Supuestos!$E$6-Supuestos!$D$6)/(Supuestos!$F$6-Supuestos!$D$6),Supuestos!$D$6+SQRT(C335*(Supuestos!$F$6-Supuestos!$D$6)*(Supuestos!$E$6-Supuestos!$D$6)),Supuestos!$F$6-SQRT((1-C335)*(Supuestos!$F$6-Supuestos!$D$6)*(Supuestos!$F$6-Supuestos!$E$6))),IF(Supuestos!$C$6="Uniforme",Supuestos!$D$6+C335*(Supuestos!$E$6-Supuestos!$D$6),IF(Supuestos!$C$6="Lognormal",LOGINV(C335,LN(Supuestos!$D$6)-LN(1+Supuestos!$E$6^2/Supuestos!$D$6^2)/2,SQRT(LN(1+Supuestos!$E$6^2/Supuestos!$D$6^2))),Supuestos!$D$6))))))</f>
        <v/>
      </c>
      <c r="K335" s="32">
        <f>MIN(IF(Supuestos!$H$7="",1E+99,Supuestos!$H$7),MAX(IF(Supuestos!$G$7="",-1E+99,Supuestos!$G$7),IF(Supuestos!$C$7="Normal",NORMINV(D335,Supuestos!$D$7,Supuestos!$E$7),IF(Supuestos!$C$7="Triangular",IF(D335&lt;(Supuestos!$E$7-Supuestos!$D$7)/(Supuestos!$F$7-Supuestos!$D$7),Supuestos!$D$7+SQRT(D335*(Supuestos!$F$7-Supuestos!$D$7)*(Supuestos!$E$7-Supuestos!$D$7)),Supuestos!$F$7-SQRT((1-D335)*(Supuestos!$F$7-Supuestos!$D$7)*(Supuestos!$F$7-Supuestos!$E$7))),IF(Supuestos!$C$7="Uniforme",Supuestos!$D$7+D335*(Supuestos!$E$7-Supuestos!$D$7),IF(Supuestos!$C$7="Lognormal",LOGINV(D335,LN(Supuestos!$D$7)-LN(1+Supuestos!$E$7^2/Supuestos!$D$7^2)/2,SQRT(LN(1+Supuestos!$E$7^2/Supuestos!$D$7^2))),Supuestos!$D$7))))))</f>
        <v/>
      </c>
      <c r="L335" s="32">
        <f>MIN(IF(Supuestos!$H$8="",1E+99,Supuestos!$H$8),MAX(IF(Supuestos!$G$8="",-1E+99,Supuestos!$G$8),IF(Supuestos!$C$8="Normal",NORMINV(E335,Supuestos!$D$8,Supuestos!$E$8),IF(Supuestos!$C$8="Triangular",IF(E335&lt;(Supuestos!$E$8-Supuestos!$D$8)/(Supuestos!$F$8-Supuestos!$D$8),Supuestos!$D$8+SQRT(E335*(Supuestos!$F$8-Supuestos!$D$8)*(Supuestos!$E$8-Supuestos!$D$8)),Supuestos!$F$8-SQRT((1-E335)*(Supuestos!$F$8-Supuestos!$D$8)*(Supuestos!$F$8-Supuestos!$E$8))),IF(Supuestos!$C$8="Uniforme",Supuestos!$D$8+E335*(Supuestos!$E$8-Supuestos!$D$8),IF(Supuestos!$C$8="Lognormal",LOGINV(E335,LN(Supuestos!$D$8)-LN(1+Supuestos!$E$8^2/Supuestos!$D$8^2)/2,SQRT(LN(1+Supuestos!$E$8^2/Supuestos!$D$8^2))),Supuestos!$D$8))))))</f>
        <v/>
      </c>
      <c r="M335" s="32">
        <f>MIN(IF(Supuestos!$H$9="",1E+99,Supuestos!$H$9),MAX(IF(Supuestos!$G$9="",-1E+99,Supuestos!$G$9),IF(Supuestos!$C$9="Normal",NORMINV(F335,Supuestos!$D$9,Supuestos!$E$9),IF(Supuestos!$C$9="Triangular",IF(F335&lt;(Supuestos!$E$9-Supuestos!$D$9)/(Supuestos!$F$9-Supuestos!$D$9),Supuestos!$D$9+SQRT(F335*(Supuestos!$F$9-Supuestos!$D$9)*(Supuestos!$E$9-Supuestos!$D$9)),Supuestos!$F$9-SQRT((1-F335)*(Supuestos!$F$9-Supuestos!$D$9)*(Supuestos!$F$9-Supuestos!$E$9))),IF(Supuestos!$C$9="Uniforme",Supuestos!$D$9+F335*(Supuestos!$E$9-Supuestos!$D$9),IF(Supuestos!$C$9="Lognormal",LOGINV(F335,LN(Supuestos!$D$9)-LN(1+Supuestos!$E$9^2/Supuestos!$D$9^2)/2,SQRT(LN(1+Supuestos!$E$9^2/Supuestos!$D$9^2))),Supuestos!$D$9))))))</f>
        <v/>
      </c>
      <c r="N335" s="32">
        <f>MIN(IF(Supuestos!$H$10="",1E+99,Supuestos!$H$10),MAX(IF(Supuestos!$G$10="",-1E+99,Supuestos!$G$10),IF(Supuestos!$C$10="Normal",NORMINV(G335,Supuestos!$D$10,Supuestos!$E$10),IF(Supuestos!$C$10="Triangular",IF(G335&lt;(Supuestos!$E$10-Supuestos!$D$10)/(Supuestos!$F$10-Supuestos!$D$10),Supuestos!$D$10+SQRT(G335*(Supuestos!$F$10-Supuestos!$D$10)*(Supuestos!$E$10-Supuestos!$D$10)),Supuestos!$F$10-SQRT((1-G335)*(Supuestos!$F$10-Supuestos!$D$10)*(Supuestos!$F$10-Supuestos!$E$10))),IF(Supuestos!$C$10="Uniforme",Supuestos!$D$10+G335*(Supuestos!$E$10-Supuestos!$D$10),IF(Supuestos!$C$10="Lognormal",LOGINV(G335,LN(Supuestos!$D$10)-LN(1+Supuestos!$E$10^2/Supuestos!$D$10^2)/2,SQRT(LN(1+Supuestos!$E$10^2/Supuestos!$D$10^2))),Supuestos!$D$10))))))</f>
        <v/>
      </c>
      <c r="O335" s="31">
        <f>MIN(IF(Supuestos!$H$11="",1E+99,Supuestos!$H$11),MAX(IF(Supuestos!$G$11="",-1E+99,Supuestos!$G$11),IF(Supuestos!$C$11="Normal",NORMINV(H335,Supuestos!$D$11,Supuestos!$E$11),IF(Supuestos!$C$11="Triangular",IF(H335&lt;(Supuestos!$E$11-Supuestos!$D$11)/(Supuestos!$F$11-Supuestos!$D$11),Supuestos!$D$11+SQRT(H335*(Supuestos!$F$11-Supuestos!$D$11)*(Supuestos!$E$11-Supuestos!$D$11)),Supuestos!$F$11-SQRT((1-H335)*(Supuestos!$F$11-Supuestos!$D$11)*(Supuestos!$F$11-Supuestos!$E$11))),IF(Supuestos!$C$11="Uniforme",Supuestos!$D$11+H335*(Supuestos!$E$11-Supuestos!$D$11),IF(Supuestos!$C$11="Lognormal",LOGINV(H335,LN(Supuestos!$D$11)-LN(1+Supuestos!$E$11^2/Supuestos!$D$11^2)/2,SQRT(LN(1+Supuestos!$E$11^2/Supuestos!$D$11^2))),Supuestos!$D$11))))))</f>
        <v/>
      </c>
      <c r="P335" s="33">
        <f>-I335</f>
        <v/>
      </c>
      <c r="Q335" s="33">
        <f>$J335*(1+$K335)^(1-1)*(1-$L335)*(1-$M335)</f>
        <v/>
      </c>
      <c r="R335" s="33">
        <f>$J335*(1+$K335)^(2-1)*(1-$L335)*(1-$M335)</f>
        <v/>
      </c>
      <c r="S335" s="33">
        <f>$J335*(1+$K335)^(3-1)*(1-$L335)*(1-$M335)</f>
        <v/>
      </c>
      <c r="T335" s="33">
        <f>$J335*(1+$K335)^(4-1)*(1-$L335)*(1-$M335)</f>
        <v/>
      </c>
      <c r="U335" s="33">
        <f>$J335*(1+$K335)^(5-1)*(1-$L335)*(1-$M335)+$O335</f>
        <v/>
      </c>
      <c r="V335" s="33">
        <f>P335+NPV($N335,Q335:U335)</f>
        <v/>
      </c>
      <c r="W335" s="32">
        <f>IFERROR(IRR(P335:U335,0.1),"")</f>
        <v/>
      </c>
    </row>
    <row r="336">
      <c r="A336" s="14" t="n">
        <v>332</v>
      </c>
      <c r="B336" s="30">
        <f>RAND()*(1-2E-6)+1E-6</f>
        <v/>
      </c>
      <c r="C336" s="30">
        <f>RAND()*(1-2E-6)+1E-6</f>
        <v/>
      </c>
      <c r="D336" s="30">
        <f>RAND()*(1-2E-6)+1E-6</f>
        <v/>
      </c>
      <c r="E336" s="30">
        <f>RAND()*(1-2E-6)+1E-6</f>
        <v/>
      </c>
      <c r="F336" s="30">
        <f>RAND()*(1-2E-6)+1E-6</f>
        <v/>
      </c>
      <c r="G336" s="30">
        <f>RAND()*(1-2E-6)+1E-6</f>
        <v/>
      </c>
      <c r="H336" s="30">
        <f>RAND()*(1-2E-6)+1E-6</f>
        <v/>
      </c>
      <c r="I336" s="31">
        <f>MIN(IF(Supuestos!$H$5="",1E+99,Supuestos!$H$5),MAX(IF(Supuestos!$G$5="",-1E+99,Supuestos!$G$5),IF(Supuestos!$C$5="Normal",NORMINV(B336,Supuestos!$D$5,Supuestos!$E$5),IF(Supuestos!$C$5="Triangular",IF(B336&lt;(Supuestos!$E$5-Supuestos!$D$5)/(Supuestos!$F$5-Supuestos!$D$5),Supuestos!$D$5+SQRT(B336*(Supuestos!$F$5-Supuestos!$D$5)*(Supuestos!$E$5-Supuestos!$D$5)),Supuestos!$F$5-SQRT((1-B336)*(Supuestos!$F$5-Supuestos!$D$5)*(Supuestos!$F$5-Supuestos!$E$5))),IF(Supuestos!$C$5="Uniforme",Supuestos!$D$5+B336*(Supuestos!$E$5-Supuestos!$D$5),IF(Supuestos!$C$5="Lognormal",LOGINV(B336,LN(Supuestos!$D$5)-LN(1+Supuestos!$E$5^2/Supuestos!$D$5^2)/2,SQRT(LN(1+Supuestos!$E$5^2/Supuestos!$D$5^2))),Supuestos!$D$5))))))</f>
        <v/>
      </c>
      <c r="J336" s="31">
        <f>MIN(IF(Supuestos!$H$6="",1E+99,Supuestos!$H$6),MAX(IF(Supuestos!$G$6="",-1E+99,Supuestos!$G$6),IF(Supuestos!$C$6="Normal",NORMINV(C336,Supuestos!$D$6,Supuestos!$E$6),IF(Supuestos!$C$6="Triangular",IF(C336&lt;(Supuestos!$E$6-Supuestos!$D$6)/(Supuestos!$F$6-Supuestos!$D$6),Supuestos!$D$6+SQRT(C336*(Supuestos!$F$6-Supuestos!$D$6)*(Supuestos!$E$6-Supuestos!$D$6)),Supuestos!$F$6-SQRT((1-C336)*(Supuestos!$F$6-Supuestos!$D$6)*(Supuestos!$F$6-Supuestos!$E$6))),IF(Supuestos!$C$6="Uniforme",Supuestos!$D$6+C336*(Supuestos!$E$6-Supuestos!$D$6),IF(Supuestos!$C$6="Lognormal",LOGINV(C336,LN(Supuestos!$D$6)-LN(1+Supuestos!$E$6^2/Supuestos!$D$6^2)/2,SQRT(LN(1+Supuestos!$E$6^2/Supuestos!$D$6^2))),Supuestos!$D$6))))))</f>
        <v/>
      </c>
      <c r="K336" s="32">
        <f>MIN(IF(Supuestos!$H$7="",1E+99,Supuestos!$H$7),MAX(IF(Supuestos!$G$7="",-1E+99,Supuestos!$G$7),IF(Supuestos!$C$7="Normal",NORMINV(D336,Supuestos!$D$7,Supuestos!$E$7),IF(Supuestos!$C$7="Triangular",IF(D336&lt;(Supuestos!$E$7-Supuestos!$D$7)/(Supuestos!$F$7-Supuestos!$D$7),Supuestos!$D$7+SQRT(D336*(Supuestos!$F$7-Supuestos!$D$7)*(Supuestos!$E$7-Supuestos!$D$7)),Supuestos!$F$7-SQRT((1-D336)*(Supuestos!$F$7-Supuestos!$D$7)*(Supuestos!$F$7-Supuestos!$E$7))),IF(Supuestos!$C$7="Uniforme",Supuestos!$D$7+D336*(Supuestos!$E$7-Supuestos!$D$7),IF(Supuestos!$C$7="Lognormal",LOGINV(D336,LN(Supuestos!$D$7)-LN(1+Supuestos!$E$7^2/Supuestos!$D$7^2)/2,SQRT(LN(1+Supuestos!$E$7^2/Supuestos!$D$7^2))),Supuestos!$D$7))))))</f>
        <v/>
      </c>
      <c r="L336" s="32">
        <f>MIN(IF(Supuestos!$H$8="",1E+99,Supuestos!$H$8),MAX(IF(Supuestos!$G$8="",-1E+99,Supuestos!$G$8),IF(Supuestos!$C$8="Normal",NORMINV(E336,Supuestos!$D$8,Supuestos!$E$8),IF(Supuestos!$C$8="Triangular",IF(E336&lt;(Supuestos!$E$8-Supuestos!$D$8)/(Supuestos!$F$8-Supuestos!$D$8),Supuestos!$D$8+SQRT(E336*(Supuestos!$F$8-Supuestos!$D$8)*(Supuestos!$E$8-Supuestos!$D$8)),Supuestos!$F$8-SQRT((1-E336)*(Supuestos!$F$8-Supuestos!$D$8)*(Supuestos!$F$8-Supuestos!$E$8))),IF(Supuestos!$C$8="Uniforme",Supuestos!$D$8+E336*(Supuestos!$E$8-Supuestos!$D$8),IF(Supuestos!$C$8="Lognormal",LOGINV(E336,LN(Supuestos!$D$8)-LN(1+Supuestos!$E$8^2/Supuestos!$D$8^2)/2,SQRT(LN(1+Supuestos!$E$8^2/Supuestos!$D$8^2))),Supuestos!$D$8))))))</f>
        <v/>
      </c>
      <c r="M336" s="32">
        <f>MIN(IF(Supuestos!$H$9="",1E+99,Supuestos!$H$9),MAX(IF(Supuestos!$G$9="",-1E+99,Supuestos!$G$9),IF(Supuestos!$C$9="Normal",NORMINV(F336,Supuestos!$D$9,Supuestos!$E$9),IF(Supuestos!$C$9="Triangular",IF(F336&lt;(Supuestos!$E$9-Supuestos!$D$9)/(Supuestos!$F$9-Supuestos!$D$9),Supuestos!$D$9+SQRT(F336*(Supuestos!$F$9-Supuestos!$D$9)*(Supuestos!$E$9-Supuestos!$D$9)),Supuestos!$F$9-SQRT((1-F336)*(Supuestos!$F$9-Supuestos!$D$9)*(Supuestos!$F$9-Supuestos!$E$9))),IF(Supuestos!$C$9="Uniforme",Supuestos!$D$9+F336*(Supuestos!$E$9-Supuestos!$D$9),IF(Supuestos!$C$9="Lognormal",LOGINV(F336,LN(Supuestos!$D$9)-LN(1+Supuestos!$E$9^2/Supuestos!$D$9^2)/2,SQRT(LN(1+Supuestos!$E$9^2/Supuestos!$D$9^2))),Supuestos!$D$9))))))</f>
        <v/>
      </c>
      <c r="N336" s="32">
        <f>MIN(IF(Supuestos!$H$10="",1E+99,Supuestos!$H$10),MAX(IF(Supuestos!$G$10="",-1E+99,Supuestos!$G$10),IF(Supuestos!$C$10="Normal",NORMINV(G336,Supuestos!$D$10,Supuestos!$E$10),IF(Supuestos!$C$10="Triangular",IF(G336&lt;(Supuestos!$E$10-Supuestos!$D$10)/(Supuestos!$F$10-Supuestos!$D$10),Supuestos!$D$10+SQRT(G336*(Supuestos!$F$10-Supuestos!$D$10)*(Supuestos!$E$10-Supuestos!$D$10)),Supuestos!$F$10-SQRT((1-G336)*(Supuestos!$F$10-Supuestos!$D$10)*(Supuestos!$F$10-Supuestos!$E$10))),IF(Supuestos!$C$10="Uniforme",Supuestos!$D$10+G336*(Supuestos!$E$10-Supuestos!$D$10),IF(Supuestos!$C$10="Lognormal",LOGINV(G336,LN(Supuestos!$D$10)-LN(1+Supuestos!$E$10^2/Supuestos!$D$10^2)/2,SQRT(LN(1+Supuestos!$E$10^2/Supuestos!$D$10^2))),Supuestos!$D$10))))))</f>
        <v/>
      </c>
      <c r="O336" s="31">
        <f>MIN(IF(Supuestos!$H$11="",1E+99,Supuestos!$H$11),MAX(IF(Supuestos!$G$11="",-1E+99,Supuestos!$G$11),IF(Supuestos!$C$11="Normal",NORMINV(H336,Supuestos!$D$11,Supuestos!$E$11),IF(Supuestos!$C$11="Triangular",IF(H336&lt;(Supuestos!$E$11-Supuestos!$D$11)/(Supuestos!$F$11-Supuestos!$D$11),Supuestos!$D$11+SQRT(H336*(Supuestos!$F$11-Supuestos!$D$11)*(Supuestos!$E$11-Supuestos!$D$11)),Supuestos!$F$11-SQRT((1-H336)*(Supuestos!$F$11-Supuestos!$D$11)*(Supuestos!$F$11-Supuestos!$E$11))),IF(Supuestos!$C$11="Uniforme",Supuestos!$D$11+H336*(Supuestos!$E$11-Supuestos!$D$11),IF(Supuestos!$C$11="Lognormal",LOGINV(H336,LN(Supuestos!$D$11)-LN(1+Supuestos!$E$11^2/Supuestos!$D$11^2)/2,SQRT(LN(1+Supuestos!$E$11^2/Supuestos!$D$11^2))),Supuestos!$D$11))))))</f>
        <v/>
      </c>
      <c r="P336" s="33">
        <f>-I336</f>
        <v/>
      </c>
      <c r="Q336" s="33">
        <f>$J336*(1+$K336)^(1-1)*(1-$L336)*(1-$M336)</f>
        <v/>
      </c>
      <c r="R336" s="33">
        <f>$J336*(1+$K336)^(2-1)*(1-$L336)*(1-$M336)</f>
        <v/>
      </c>
      <c r="S336" s="33">
        <f>$J336*(1+$K336)^(3-1)*(1-$L336)*(1-$M336)</f>
        <v/>
      </c>
      <c r="T336" s="33">
        <f>$J336*(1+$K336)^(4-1)*(1-$L336)*(1-$M336)</f>
        <v/>
      </c>
      <c r="U336" s="33">
        <f>$J336*(1+$K336)^(5-1)*(1-$L336)*(1-$M336)+$O336</f>
        <v/>
      </c>
      <c r="V336" s="33">
        <f>P336+NPV($N336,Q336:U336)</f>
        <v/>
      </c>
      <c r="W336" s="32">
        <f>IFERROR(IRR(P336:U336,0.1),"")</f>
        <v/>
      </c>
    </row>
    <row r="337">
      <c r="A337" s="14" t="n">
        <v>333</v>
      </c>
      <c r="B337" s="30">
        <f>RAND()*(1-2E-6)+1E-6</f>
        <v/>
      </c>
      <c r="C337" s="30">
        <f>RAND()*(1-2E-6)+1E-6</f>
        <v/>
      </c>
      <c r="D337" s="30">
        <f>RAND()*(1-2E-6)+1E-6</f>
        <v/>
      </c>
      <c r="E337" s="30">
        <f>RAND()*(1-2E-6)+1E-6</f>
        <v/>
      </c>
      <c r="F337" s="30">
        <f>RAND()*(1-2E-6)+1E-6</f>
        <v/>
      </c>
      <c r="G337" s="30">
        <f>RAND()*(1-2E-6)+1E-6</f>
        <v/>
      </c>
      <c r="H337" s="30">
        <f>RAND()*(1-2E-6)+1E-6</f>
        <v/>
      </c>
      <c r="I337" s="31">
        <f>MIN(IF(Supuestos!$H$5="",1E+99,Supuestos!$H$5),MAX(IF(Supuestos!$G$5="",-1E+99,Supuestos!$G$5),IF(Supuestos!$C$5="Normal",NORMINV(B337,Supuestos!$D$5,Supuestos!$E$5),IF(Supuestos!$C$5="Triangular",IF(B337&lt;(Supuestos!$E$5-Supuestos!$D$5)/(Supuestos!$F$5-Supuestos!$D$5),Supuestos!$D$5+SQRT(B337*(Supuestos!$F$5-Supuestos!$D$5)*(Supuestos!$E$5-Supuestos!$D$5)),Supuestos!$F$5-SQRT((1-B337)*(Supuestos!$F$5-Supuestos!$D$5)*(Supuestos!$F$5-Supuestos!$E$5))),IF(Supuestos!$C$5="Uniforme",Supuestos!$D$5+B337*(Supuestos!$E$5-Supuestos!$D$5),IF(Supuestos!$C$5="Lognormal",LOGINV(B337,LN(Supuestos!$D$5)-LN(1+Supuestos!$E$5^2/Supuestos!$D$5^2)/2,SQRT(LN(1+Supuestos!$E$5^2/Supuestos!$D$5^2))),Supuestos!$D$5))))))</f>
        <v/>
      </c>
      <c r="J337" s="31">
        <f>MIN(IF(Supuestos!$H$6="",1E+99,Supuestos!$H$6),MAX(IF(Supuestos!$G$6="",-1E+99,Supuestos!$G$6),IF(Supuestos!$C$6="Normal",NORMINV(C337,Supuestos!$D$6,Supuestos!$E$6),IF(Supuestos!$C$6="Triangular",IF(C337&lt;(Supuestos!$E$6-Supuestos!$D$6)/(Supuestos!$F$6-Supuestos!$D$6),Supuestos!$D$6+SQRT(C337*(Supuestos!$F$6-Supuestos!$D$6)*(Supuestos!$E$6-Supuestos!$D$6)),Supuestos!$F$6-SQRT((1-C337)*(Supuestos!$F$6-Supuestos!$D$6)*(Supuestos!$F$6-Supuestos!$E$6))),IF(Supuestos!$C$6="Uniforme",Supuestos!$D$6+C337*(Supuestos!$E$6-Supuestos!$D$6),IF(Supuestos!$C$6="Lognormal",LOGINV(C337,LN(Supuestos!$D$6)-LN(1+Supuestos!$E$6^2/Supuestos!$D$6^2)/2,SQRT(LN(1+Supuestos!$E$6^2/Supuestos!$D$6^2))),Supuestos!$D$6))))))</f>
        <v/>
      </c>
      <c r="K337" s="32">
        <f>MIN(IF(Supuestos!$H$7="",1E+99,Supuestos!$H$7),MAX(IF(Supuestos!$G$7="",-1E+99,Supuestos!$G$7),IF(Supuestos!$C$7="Normal",NORMINV(D337,Supuestos!$D$7,Supuestos!$E$7),IF(Supuestos!$C$7="Triangular",IF(D337&lt;(Supuestos!$E$7-Supuestos!$D$7)/(Supuestos!$F$7-Supuestos!$D$7),Supuestos!$D$7+SQRT(D337*(Supuestos!$F$7-Supuestos!$D$7)*(Supuestos!$E$7-Supuestos!$D$7)),Supuestos!$F$7-SQRT((1-D337)*(Supuestos!$F$7-Supuestos!$D$7)*(Supuestos!$F$7-Supuestos!$E$7))),IF(Supuestos!$C$7="Uniforme",Supuestos!$D$7+D337*(Supuestos!$E$7-Supuestos!$D$7),IF(Supuestos!$C$7="Lognormal",LOGINV(D337,LN(Supuestos!$D$7)-LN(1+Supuestos!$E$7^2/Supuestos!$D$7^2)/2,SQRT(LN(1+Supuestos!$E$7^2/Supuestos!$D$7^2))),Supuestos!$D$7))))))</f>
        <v/>
      </c>
      <c r="L337" s="32">
        <f>MIN(IF(Supuestos!$H$8="",1E+99,Supuestos!$H$8),MAX(IF(Supuestos!$G$8="",-1E+99,Supuestos!$G$8),IF(Supuestos!$C$8="Normal",NORMINV(E337,Supuestos!$D$8,Supuestos!$E$8),IF(Supuestos!$C$8="Triangular",IF(E337&lt;(Supuestos!$E$8-Supuestos!$D$8)/(Supuestos!$F$8-Supuestos!$D$8),Supuestos!$D$8+SQRT(E337*(Supuestos!$F$8-Supuestos!$D$8)*(Supuestos!$E$8-Supuestos!$D$8)),Supuestos!$F$8-SQRT((1-E337)*(Supuestos!$F$8-Supuestos!$D$8)*(Supuestos!$F$8-Supuestos!$E$8))),IF(Supuestos!$C$8="Uniforme",Supuestos!$D$8+E337*(Supuestos!$E$8-Supuestos!$D$8),IF(Supuestos!$C$8="Lognormal",LOGINV(E337,LN(Supuestos!$D$8)-LN(1+Supuestos!$E$8^2/Supuestos!$D$8^2)/2,SQRT(LN(1+Supuestos!$E$8^2/Supuestos!$D$8^2))),Supuestos!$D$8))))))</f>
        <v/>
      </c>
      <c r="M337" s="32">
        <f>MIN(IF(Supuestos!$H$9="",1E+99,Supuestos!$H$9),MAX(IF(Supuestos!$G$9="",-1E+99,Supuestos!$G$9),IF(Supuestos!$C$9="Normal",NORMINV(F337,Supuestos!$D$9,Supuestos!$E$9),IF(Supuestos!$C$9="Triangular",IF(F337&lt;(Supuestos!$E$9-Supuestos!$D$9)/(Supuestos!$F$9-Supuestos!$D$9),Supuestos!$D$9+SQRT(F337*(Supuestos!$F$9-Supuestos!$D$9)*(Supuestos!$E$9-Supuestos!$D$9)),Supuestos!$F$9-SQRT((1-F337)*(Supuestos!$F$9-Supuestos!$D$9)*(Supuestos!$F$9-Supuestos!$E$9))),IF(Supuestos!$C$9="Uniforme",Supuestos!$D$9+F337*(Supuestos!$E$9-Supuestos!$D$9),IF(Supuestos!$C$9="Lognormal",LOGINV(F337,LN(Supuestos!$D$9)-LN(1+Supuestos!$E$9^2/Supuestos!$D$9^2)/2,SQRT(LN(1+Supuestos!$E$9^2/Supuestos!$D$9^2))),Supuestos!$D$9))))))</f>
        <v/>
      </c>
      <c r="N337" s="32">
        <f>MIN(IF(Supuestos!$H$10="",1E+99,Supuestos!$H$10),MAX(IF(Supuestos!$G$10="",-1E+99,Supuestos!$G$10),IF(Supuestos!$C$10="Normal",NORMINV(G337,Supuestos!$D$10,Supuestos!$E$10),IF(Supuestos!$C$10="Triangular",IF(G337&lt;(Supuestos!$E$10-Supuestos!$D$10)/(Supuestos!$F$10-Supuestos!$D$10),Supuestos!$D$10+SQRT(G337*(Supuestos!$F$10-Supuestos!$D$10)*(Supuestos!$E$10-Supuestos!$D$10)),Supuestos!$F$10-SQRT((1-G337)*(Supuestos!$F$10-Supuestos!$D$10)*(Supuestos!$F$10-Supuestos!$E$10))),IF(Supuestos!$C$10="Uniforme",Supuestos!$D$10+G337*(Supuestos!$E$10-Supuestos!$D$10),IF(Supuestos!$C$10="Lognormal",LOGINV(G337,LN(Supuestos!$D$10)-LN(1+Supuestos!$E$10^2/Supuestos!$D$10^2)/2,SQRT(LN(1+Supuestos!$E$10^2/Supuestos!$D$10^2))),Supuestos!$D$10))))))</f>
        <v/>
      </c>
      <c r="O337" s="31">
        <f>MIN(IF(Supuestos!$H$11="",1E+99,Supuestos!$H$11),MAX(IF(Supuestos!$G$11="",-1E+99,Supuestos!$G$11),IF(Supuestos!$C$11="Normal",NORMINV(H337,Supuestos!$D$11,Supuestos!$E$11),IF(Supuestos!$C$11="Triangular",IF(H337&lt;(Supuestos!$E$11-Supuestos!$D$11)/(Supuestos!$F$11-Supuestos!$D$11),Supuestos!$D$11+SQRT(H337*(Supuestos!$F$11-Supuestos!$D$11)*(Supuestos!$E$11-Supuestos!$D$11)),Supuestos!$F$11-SQRT((1-H337)*(Supuestos!$F$11-Supuestos!$D$11)*(Supuestos!$F$11-Supuestos!$E$11))),IF(Supuestos!$C$11="Uniforme",Supuestos!$D$11+H337*(Supuestos!$E$11-Supuestos!$D$11),IF(Supuestos!$C$11="Lognormal",LOGINV(H337,LN(Supuestos!$D$11)-LN(1+Supuestos!$E$11^2/Supuestos!$D$11^2)/2,SQRT(LN(1+Supuestos!$E$11^2/Supuestos!$D$11^2))),Supuestos!$D$11))))))</f>
        <v/>
      </c>
      <c r="P337" s="33">
        <f>-I337</f>
        <v/>
      </c>
      <c r="Q337" s="33">
        <f>$J337*(1+$K337)^(1-1)*(1-$L337)*(1-$M337)</f>
        <v/>
      </c>
      <c r="R337" s="33">
        <f>$J337*(1+$K337)^(2-1)*(1-$L337)*(1-$M337)</f>
        <v/>
      </c>
      <c r="S337" s="33">
        <f>$J337*(1+$K337)^(3-1)*(1-$L337)*(1-$M337)</f>
        <v/>
      </c>
      <c r="T337" s="33">
        <f>$J337*(1+$K337)^(4-1)*(1-$L337)*(1-$M337)</f>
        <v/>
      </c>
      <c r="U337" s="33">
        <f>$J337*(1+$K337)^(5-1)*(1-$L337)*(1-$M337)+$O337</f>
        <v/>
      </c>
      <c r="V337" s="33">
        <f>P337+NPV($N337,Q337:U337)</f>
        <v/>
      </c>
      <c r="W337" s="32">
        <f>IFERROR(IRR(P337:U337,0.1),"")</f>
        <v/>
      </c>
    </row>
    <row r="338">
      <c r="A338" s="14" t="n">
        <v>334</v>
      </c>
      <c r="B338" s="30">
        <f>RAND()*(1-2E-6)+1E-6</f>
        <v/>
      </c>
      <c r="C338" s="30">
        <f>RAND()*(1-2E-6)+1E-6</f>
        <v/>
      </c>
      <c r="D338" s="30">
        <f>RAND()*(1-2E-6)+1E-6</f>
        <v/>
      </c>
      <c r="E338" s="30">
        <f>RAND()*(1-2E-6)+1E-6</f>
        <v/>
      </c>
      <c r="F338" s="30">
        <f>RAND()*(1-2E-6)+1E-6</f>
        <v/>
      </c>
      <c r="G338" s="30">
        <f>RAND()*(1-2E-6)+1E-6</f>
        <v/>
      </c>
      <c r="H338" s="30">
        <f>RAND()*(1-2E-6)+1E-6</f>
        <v/>
      </c>
      <c r="I338" s="31">
        <f>MIN(IF(Supuestos!$H$5="",1E+99,Supuestos!$H$5),MAX(IF(Supuestos!$G$5="",-1E+99,Supuestos!$G$5),IF(Supuestos!$C$5="Normal",NORMINV(B338,Supuestos!$D$5,Supuestos!$E$5),IF(Supuestos!$C$5="Triangular",IF(B338&lt;(Supuestos!$E$5-Supuestos!$D$5)/(Supuestos!$F$5-Supuestos!$D$5),Supuestos!$D$5+SQRT(B338*(Supuestos!$F$5-Supuestos!$D$5)*(Supuestos!$E$5-Supuestos!$D$5)),Supuestos!$F$5-SQRT((1-B338)*(Supuestos!$F$5-Supuestos!$D$5)*(Supuestos!$F$5-Supuestos!$E$5))),IF(Supuestos!$C$5="Uniforme",Supuestos!$D$5+B338*(Supuestos!$E$5-Supuestos!$D$5),IF(Supuestos!$C$5="Lognormal",LOGINV(B338,LN(Supuestos!$D$5)-LN(1+Supuestos!$E$5^2/Supuestos!$D$5^2)/2,SQRT(LN(1+Supuestos!$E$5^2/Supuestos!$D$5^2))),Supuestos!$D$5))))))</f>
        <v/>
      </c>
      <c r="J338" s="31">
        <f>MIN(IF(Supuestos!$H$6="",1E+99,Supuestos!$H$6),MAX(IF(Supuestos!$G$6="",-1E+99,Supuestos!$G$6),IF(Supuestos!$C$6="Normal",NORMINV(C338,Supuestos!$D$6,Supuestos!$E$6),IF(Supuestos!$C$6="Triangular",IF(C338&lt;(Supuestos!$E$6-Supuestos!$D$6)/(Supuestos!$F$6-Supuestos!$D$6),Supuestos!$D$6+SQRT(C338*(Supuestos!$F$6-Supuestos!$D$6)*(Supuestos!$E$6-Supuestos!$D$6)),Supuestos!$F$6-SQRT((1-C338)*(Supuestos!$F$6-Supuestos!$D$6)*(Supuestos!$F$6-Supuestos!$E$6))),IF(Supuestos!$C$6="Uniforme",Supuestos!$D$6+C338*(Supuestos!$E$6-Supuestos!$D$6),IF(Supuestos!$C$6="Lognormal",LOGINV(C338,LN(Supuestos!$D$6)-LN(1+Supuestos!$E$6^2/Supuestos!$D$6^2)/2,SQRT(LN(1+Supuestos!$E$6^2/Supuestos!$D$6^2))),Supuestos!$D$6))))))</f>
        <v/>
      </c>
      <c r="K338" s="32">
        <f>MIN(IF(Supuestos!$H$7="",1E+99,Supuestos!$H$7),MAX(IF(Supuestos!$G$7="",-1E+99,Supuestos!$G$7),IF(Supuestos!$C$7="Normal",NORMINV(D338,Supuestos!$D$7,Supuestos!$E$7),IF(Supuestos!$C$7="Triangular",IF(D338&lt;(Supuestos!$E$7-Supuestos!$D$7)/(Supuestos!$F$7-Supuestos!$D$7),Supuestos!$D$7+SQRT(D338*(Supuestos!$F$7-Supuestos!$D$7)*(Supuestos!$E$7-Supuestos!$D$7)),Supuestos!$F$7-SQRT((1-D338)*(Supuestos!$F$7-Supuestos!$D$7)*(Supuestos!$F$7-Supuestos!$E$7))),IF(Supuestos!$C$7="Uniforme",Supuestos!$D$7+D338*(Supuestos!$E$7-Supuestos!$D$7),IF(Supuestos!$C$7="Lognormal",LOGINV(D338,LN(Supuestos!$D$7)-LN(1+Supuestos!$E$7^2/Supuestos!$D$7^2)/2,SQRT(LN(1+Supuestos!$E$7^2/Supuestos!$D$7^2))),Supuestos!$D$7))))))</f>
        <v/>
      </c>
      <c r="L338" s="32">
        <f>MIN(IF(Supuestos!$H$8="",1E+99,Supuestos!$H$8),MAX(IF(Supuestos!$G$8="",-1E+99,Supuestos!$G$8),IF(Supuestos!$C$8="Normal",NORMINV(E338,Supuestos!$D$8,Supuestos!$E$8),IF(Supuestos!$C$8="Triangular",IF(E338&lt;(Supuestos!$E$8-Supuestos!$D$8)/(Supuestos!$F$8-Supuestos!$D$8),Supuestos!$D$8+SQRT(E338*(Supuestos!$F$8-Supuestos!$D$8)*(Supuestos!$E$8-Supuestos!$D$8)),Supuestos!$F$8-SQRT((1-E338)*(Supuestos!$F$8-Supuestos!$D$8)*(Supuestos!$F$8-Supuestos!$E$8))),IF(Supuestos!$C$8="Uniforme",Supuestos!$D$8+E338*(Supuestos!$E$8-Supuestos!$D$8),IF(Supuestos!$C$8="Lognormal",LOGINV(E338,LN(Supuestos!$D$8)-LN(1+Supuestos!$E$8^2/Supuestos!$D$8^2)/2,SQRT(LN(1+Supuestos!$E$8^2/Supuestos!$D$8^2))),Supuestos!$D$8))))))</f>
        <v/>
      </c>
      <c r="M338" s="32">
        <f>MIN(IF(Supuestos!$H$9="",1E+99,Supuestos!$H$9),MAX(IF(Supuestos!$G$9="",-1E+99,Supuestos!$G$9),IF(Supuestos!$C$9="Normal",NORMINV(F338,Supuestos!$D$9,Supuestos!$E$9),IF(Supuestos!$C$9="Triangular",IF(F338&lt;(Supuestos!$E$9-Supuestos!$D$9)/(Supuestos!$F$9-Supuestos!$D$9),Supuestos!$D$9+SQRT(F338*(Supuestos!$F$9-Supuestos!$D$9)*(Supuestos!$E$9-Supuestos!$D$9)),Supuestos!$F$9-SQRT((1-F338)*(Supuestos!$F$9-Supuestos!$D$9)*(Supuestos!$F$9-Supuestos!$E$9))),IF(Supuestos!$C$9="Uniforme",Supuestos!$D$9+F338*(Supuestos!$E$9-Supuestos!$D$9),IF(Supuestos!$C$9="Lognormal",LOGINV(F338,LN(Supuestos!$D$9)-LN(1+Supuestos!$E$9^2/Supuestos!$D$9^2)/2,SQRT(LN(1+Supuestos!$E$9^2/Supuestos!$D$9^2))),Supuestos!$D$9))))))</f>
        <v/>
      </c>
      <c r="N338" s="32">
        <f>MIN(IF(Supuestos!$H$10="",1E+99,Supuestos!$H$10),MAX(IF(Supuestos!$G$10="",-1E+99,Supuestos!$G$10),IF(Supuestos!$C$10="Normal",NORMINV(G338,Supuestos!$D$10,Supuestos!$E$10),IF(Supuestos!$C$10="Triangular",IF(G338&lt;(Supuestos!$E$10-Supuestos!$D$10)/(Supuestos!$F$10-Supuestos!$D$10),Supuestos!$D$10+SQRT(G338*(Supuestos!$F$10-Supuestos!$D$10)*(Supuestos!$E$10-Supuestos!$D$10)),Supuestos!$F$10-SQRT((1-G338)*(Supuestos!$F$10-Supuestos!$D$10)*(Supuestos!$F$10-Supuestos!$E$10))),IF(Supuestos!$C$10="Uniforme",Supuestos!$D$10+G338*(Supuestos!$E$10-Supuestos!$D$10),IF(Supuestos!$C$10="Lognormal",LOGINV(G338,LN(Supuestos!$D$10)-LN(1+Supuestos!$E$10^2/Supuestos!$D$10^2)/2,SQRT(LN(1+Supuestos!$E$10^2/Supuestos!$D$10^2))),Supuestos!$D$10))))))</f>
        <v/>
      </c>
      <c r="O338" s="31">
        <f>MIN(IF(Supuestos!$H$11="",1E+99,Supuestos!$H$11),MAX(IF(Supuestos!$G$11="",-1E+99,Supuestos!$G$11),IF(Supuestos!$C$11="Normal",NORMINV(H338,Supuestos!$D$11,Supuestos!$E$11),IF(Supuestos!$C$11="Triangular",IF(H338&lt;(Supuestos!$E$11-Supuestos!$D$11)/(Supuestos!$F$11-Supuestos!$D$11),Supuestos!$D$11+SQRT(H338*(Supuestos!$F$11-Supuestos!$D$11)*(Supuestos!$E$11-Supuestos!$D$11)),Supuestos!$F$11-SQRT((1-H338)*(Supuestos!$F$11-Supuestos!$D$11)*(Supuestos!$F$11-Supuestos!$E$11))),IF(Supuestos!$C$11="Uniforme",Supuestos!$D$11+H338*(Supuestos!$E$11-Supuestos!$D$11),IF(Supuestos!$C$11="Lognormal",LOGINV(H338,LN(Supuestos!$D$11)-LN(1+Supuestos!$E$11^2/Supuestos!$D$11^2)/2,SQRT(LN(1+Supuestos!$E$11^2/Supuestos!$D$11^2))),Supuestos!$D$11))))))</f>
        <v/>
      </c>
      <c r="P338" s="33">
        <f>-I338</f>
        <v/>
      </c>
      <c r="Q338" s="33">
        <f>$J338*(1+$K338)^(1-1)*(1-$L338)*(1-$M338)</f>
        <v/>
      </c>
      <c r="R338" s="33">
        <f>$J338*(1+$K338)^(2-1)*(1-$L338)*(1-$M338)</f>
        <v/>
      </c>
      <c r="S338" s="33">
        <f>$J338*(1+$K338)^(3-1)*(1-$L338)*(1-$M338)</f>
        <v/>
      </c>
      <c r="T338" s="33">
        <f>$J338*(1+$K338)^(4-1)*(1-$L338)*(1-$M338)</f>
        <v/>
      </c>
      <c r="U338" s="33">
        <f>$J338*(1+$K338)^(5-1)*(1-$L338)*(1-$M338)+$O338</f>
        <v/>
      </c>
      <c r="V338" s="33">
        <f>P338+NPV($N338,Q338:U338)</f>
        <v/>
      </c>
      <c r="W338" s="32">
        <f>IFERROR(IRR(P338:U338,0.1),"")</f>
        <v/>
      </c>
    </row>
    <row r="339">
      <c r="A339" s="14" t="n">
        <v>335</v>
      </c>
      <c r="B339" s="30">
        <f>RAND()*(1-2E-6)+1E-6</f>
        <v/>
      </c>
      <c r="C339" s="30">
        <f>RAND()*(1-2E-6)+1E-6</f>
        <v/>
      </c>
      <c r="D339" s="30">
        <f>RAND()*(1-2E-6)+1E-6</f>
        <v/>
      </c>
      <c r="E339" s="30">
        <f>RAND()*(1-2E-6)+1E-6</f>
        <v/>
      </c>
      <c r="F339" s="30">
        <f>RAND()*(1-2E-6)+1E-6</f>
        <v/>
      </c>
      <c r="G339" s="30">
        <f>RAND()*(1-2E-6)+1E-6</f>
        <v/>
      </c>
      <c r="H339" s="30">
        <f>RAND()*(1-2E-6)+1E-6</f>
        <v/>
      </c>
      <c r="I339" s="31">
        <f>MIN(IF(Supuestos!$H$5="",1E+99,Supuestos!$H$5),MAX(IF(Supuestos!$G$5="",-1E+99,Supuestos!$G$5),IF(Supuestos!$C$5="Normal",NORMINV(B339,Supuestos!$D$5,Supuestos!$E$5),IF(Supuestos!$C$5="Triangular",IF(B339&lt;(Supuestos!$E$5-Supuestos!$D$5)/(Supuestos!$F$5-Supuestos!$D$5),Supuestos!$D$5+SQRT(B339*(Supuestos!$F$5-Supuestos!$D$5)*(Supuestos!$E$5-Supuestos!$D$5)),Supuestos!$F$5-SQRT((1-B339)*(Supuestos!$F$5-Supuestos!$D$5)*(Supuestos!$F$5-Supuestos!$E$5))),IF(Supuestos!$C$5="Uniforme",Supuestos!$D$5+B339*(Supuestos!$E$5-Supuestos!$D$5),IF(Supuestos!$C$5="Lognormal",LOGINV(B339,LN(Supuestos!$D$5)-LN(1+Supuestos!$E$5^2/Supuestos!$D$5^2)/2,SQRT(LN(1+Supuestos!$E$5^2/Supuestos!$D$5^2))),Supuestos!$D$5))))))</f>
        <v/>
      </c>
      <c r="J339" s="31">
        <f>MIN(IF(Supuestos!$H$6="",1E+99,Supuestos!$H$6),MAX(IF(Supuestos!$G$6="",-1E+99,Supuestos!$G$6),IF(Supuestos!$C$6="Normal",NORMINV(C339,Supuestos!$D$6,Supuestos!$E$6),IF(Supuestos!$C$6="Triangular",IF(C339&lt;(Supuestos!$E$6-Supuestos!$D$6)/(Supuestos!$F$6-Supuestos!$D$6),Supuestos!$D$6+SQRT(C339*(Supuestos!$F$6-Supuestos!$D$6)*(Supuestos!$E$6-Supuestos!$D$6)),Supuestos!$F$6-SQRT((1-C339)*(Supuestos!$F$6-Supuestos!$D$6)*(Supuestos!$F$6-Supuestos!$E$6))),IF(Supuestos!$C$6="Uniforme",Supuestos!$D$6+C339*(Supuestos!$E$6-Supuestos!$D$6),IF(Supuestos!$C$6="Lognormal",LOGINV(C339,LN(Supuestos!$D$6)-LN(1+Supuestos!$E$6^2/Supuestos!$D$6^2)/2,SQRT(LN(1+Supuestos!$E$6^2/Supuestos!$D$6^2))),Supuestos!$D$6))))))</f>
        <v/>
      </c>
      <c r="K339" s="32">
        <f>MIN(IF(Supuestos!$H$7="",1E+99,Supuestos!$H$7),MAX(IF(Supuestos!$G$7="",-1E+99,Supuestos!$G$7),IF(Supuestos!$C$7="Normal",NORMINV(D339,Supuestos!$D$7,Supuestos!$E$7),IF(Supuestos!$C$7="Triangular",IF(D339&lt;(Supuestos!$E$7-Supuestos!$D$7)/(Supuestos!$F$7-Supuestos!$D$7),Supuestos!$D$7+SQRT(D339*(Supuestos!$F$7-Supuestos!$D$7)*(Supuestos!$E$7-Supuestos!$D$7)),Supuestos!$F$7-SQRT((1-D339)*(Supuestos!$F$7-Supuestos!$D$7)*(Supuestos!$F$7-Supuestos!$E$7))),IF(Supuestos!$C$7="Uniforme",Supuestos!$D$7+D339*(Supuestos!$E$7-Supuestos!$D$7),IF(Supuestos!$C$7="Lognormal",LOGINV(D339,LN(Supuestos!$D$7)-LN(1+Supuestos!$E$7^2/Supuestos!$D$7^2)/2,SQRT(LN(1+Supuestos!$E$7^2/Supuestos!$D$7^2))),Supuestos!$D$7))))))</f>
        <v/>
      </c>
      <c r="L339" s="32">
        <f>MIN(IF(Supuestos!$H$8="",1E+99,Supuestos!$H$8),MAX(IF(Supuestos!$G$8="",-1E+99,Supuestos!$G$8),IF(Supuestos!$C$8="Normal",NORMINV(E339,Supuestos!$D$8,Supuestos!$E$8),IF(Supuestos!$C$8="Triangular",IF(E339&lt;(Supuestos!$E$8-Supuestos!$D$8)/(Supuestos!$F$8-Supuestos!$D$8),Supuestos!$D$8+SQRT(E339*(Supuestos!$F$8-Supuestos!$D$8)*(Supuestos!$E$8-Supuestos!$D$8)),Supuestos!$F$8-SQRT((1-E339)*(Supuestos!$F$8-Supuestos!$D$8)*(Supuestos!$F$8-Supuestos!$E$8))),IF(Supuestos!$C$8="Uniforme",Supuestos!$D$8+E339*(Supuestos!$E$8-Supuestos!$D$8),IF(Supuestos!$C$8="Lognormal",LOGINV(E339,LN(Supuestos!$D$8)-LN(1+Supuestos!$E$8^2/Supuestos!$D$8^2)/2,SQRT(LN(1+Supuestos!$E$8^2/Supuestos!$D$8^2))),Supuestos!$D$8))))))</f>
        <v/>
      </c>
      <c r="M339" s="32">
        <f>MIN(IF(Supuestos!$H$9="",1E+99,Supuestos!$H$9),MAX(IF(Supuestos!$G$9="",-1E+99,Supuestos!$G$9),IF(Supuestos!$C$9="Normal",NORMINV(F339,Supuestos!$D$9,Supuestos!$E$9),IF(Supuestos!$C$9="Triangular",IF(F339&lt;(Supuestos!$E$9-Supuestos!$D$9)/(Supuestos!$F$9-Supuestos!$D$9),Supuestos!$D$9+SQRT(F339*(Supuestos!$F$9-Supuestos!$D$9)*(Supuestos!$E$9-Supuestos!$D$9)),Supuestos!$F$9-SQRT((1-F339)*(Supuestos!$F$9-Supuestos!$D$9)*(Supuestos!$F$9-Supuestos!$E$9))),IF(Supuestos!$C$9="Uniforme",Supuestos!$D$9+F339*(Supuestos!$E$9-Supuestos!$D$9),IF(Supuestos!$C$9="Lognormal",LOGINV(F339,LN(Supuestos!$D$9)-LN(1+Supuestos!$E$9^2/Supuestos!$D$9^2)/2,SQRT(LN(1+Supuestos!$E$9^2/Supuestos!$D$9^2))),Supuestos!$D$9))))))</f>
        <v/>
      </c>
      <c r="N339" s="32">
        <f>MIN(IF(Supuestos!$H$10="",1E+99,Supuestos!$H$10),MAX(IF(Supuestos!$G$10="",-1E+99,Supuestos!$G$10),IF(Supuestos!$C$10="Normal",NORMINV(G339,Supuestos!$D$10,Supuestos!$E$10),IF(Supuestos!$C$10="Triangular",IF(G339&lt;(Supuestos!$E$10-Supuestos!$D$10)/(Supuestos!$F$10-Supuestos!$D$10),Supuestos!$D$10+SQRT(G339*(Supuestos!$F$10-Supuestos!$D$10)*(Supuestos!$E$10-Supuestos!$D$10)),Supuestos!$F$10-SQRT((1-G339)*(Supuestos!$F$10-Supuestos!$D$10)*(Supuestos!$F$10-Supuestos!$E$10))),IF(Supuestos!$C$10="Uniforme",Supuestos!$D$10+G339*(Supuestos!$E$10-Supuestos!$D$10),IF(Supuestos!$C$10="Lognormal",LOGINV(G339,LN(Supuestos!$D$10)-LN(1+Supuestos!$E$10^2/Supuestos!$D$10^2)/2,SQRT(LN(1+Supuestos!$E$10^2/Supuestos!$D$10^2))),Supuestos!$D$10))))))</f>
        <v/>
      </c>
      <c r="O339" s="31">
        <f>MIN(IF(Supuestos!$H$11="",1E+99,Supuestos!$H$11),MAX(IF(Supuestos!$G$11="",-1E+99,Supuestos!$G$11),IF(Supuestos!$C$11="Normal",NORMINV(H339,Supuestos!$D$11,Supuestos!$E$11),IF(Supuestos!$C$11="Triangular",IF(H339&lt;(Supuestos!$E$11-Supuestos!$D$11)/(Supuestos!$F$11-Supuestos!$D$11),Supuestos!$D$11+SQRT(H339*(Supuestos!$F$11-Supuestos!$D$11)*(Supuestos!$E$11-Supuestos!$D$11)),Supuestos!$F$11-SQRT((1-H339)*(Supuestos!$F$11-Supuestos!$D$11)*(Supuestos!$F$11-Supuestos!$E$11))),IF(Supuestos!$C$11="Uniforme",Supuestos!$D$11+H339*(Supuestos!$E$11-Supuestos!$D$11),IF(Supuestos!$C$11="Lognormal",LOGINV(H339,LN(Supuestos!$D$11)-LN(1+Supuestos!$E$11^2/Supuestos!$D$11^2)/2,SQRT(LN(1+Supuestos!$E$11^2/Supuestos!$D$11^2))),Supuestos!$D$11))))))</f>
        <v/>
      </c>
      <c r="P339" s="33">
        <f>-I339</f>
        <v/>
      </c>
      <c r="Q339" s="33">
        <f>$J339*(1+$K339)^(1-1)*(1-$L339)*(1-$M339)</f>
        <v/>
      </c>
      <c r="R339" s="33">
        <f>$J339*(1+$K339)^(2-1)*(1-$L339)*(1-$M339)</f>
        <v/>
      </c>
      <c r="S339" s="33">
        <f>$J339*(1+$K339)^(3-1)*(1-$L339)*(1-$M339)</f>
        <v/>
      </c>
      <c r="T339" s="33">
        <f>$J339*(1+$K339)^(4-1)*(1-$L339)*(1-$M339)</f>
        <v/>
      </c>
      <c r="U339" s="33">
        <f>$J339*(1+$K339)^(5-1)*(1-$L339)*(1-$M339)+$O339</f>
        <v/>
      </c>
      <c r="V339" s="33">
        <f>P339+NPV($N339,Q339:U339)</f>
        <v/>
      </c>
      <c r="W339" s="32">
        <f>IFERROR(IRR(P339:U339,0.1),"")</f>
        <v/>
      </c>
    </row>
    <row r="340">
      <c r="A340" s="14" t="n">
        <v>336</v>
      </c>
      <c r="B340" s="30">
        <f>RAND()*(1-2E-6)+1E-6</f>
        <v/>
      </c>
      <c r="C340" s="30">
        <f>RAND()*(1-2E-6)+1E-6</f>
        <v/>
      </c>
      <c r="D340" s="30">
        <f>RAND()*(1-2E-6)+1E-6</f>
        <v/>
      </c>
      <c r="E340" s="30">
        <f>RAND()*(1-2E-6)+1E-6</f>
        <v/>
      </c>
      <c r="F340" s="30">
        <f>RAND()*(1-2E-6)+1E-6</f>
        <v/>
      </c>
      <c r="G340" s="30">
        <f>RAND()*(1-2E-6)+1E-6</f>
        <v/>
      </c>
      <c r="H340" s="30">
        <f>RAND()*(1-2E-6)+1E-6</f>
        <v/>
      </c>
      <c r="I340" s="31">
        <f>MIN(IF(Supuestos!$H$5="",1E+99,Supuestos!$H$5),MAX(IF(Supuestos!$G$5="",-1E+99,Supuestos!$G$5),IF(Supuestos!$C$5="Normal",NORMINV(B340,Supuestos!$D$5,Supuestos!$E$5),IF(Supuestos!$C$5="Triangular",IF(B340&lt;(Supuestos!$E$5-Supuestos!$D$5)/(Supuestos!$F$5-Supuestos!$D$5),Supuestos!$D$5+SQRT(B340*(Supuestos!$F$5-Supuestos!$D$5)*(Supuestos!$E$5-Supuestos!$D$5)),Supuestos!$F$5-SQRT((1-B340)*(Supuestos!$F$5-Supuestos!$D$5)*(Supuestos!$F$5-Supuestos!$E$5))),IF(Supuestos!$C$5="Uniforme",Supuestos!$D$5+B340*(Supuestos!$E$5-Supuestos!$D$5),IF(Supuestos!$C$5="Lognormal",LOGINV(B340,LN(Supuestos!$D$5)-LN(1+Supuestos!$E$5^2/Supuestos!$D$5^2)/2,SQRT(LN(1+Supuestos!$E$5^2/Supuestos!$D$5^2))),Supuestos!$D$5))))))</f>
        <v/>
      </c>
      <c r="J340" s="31">
        <f>MIN(IF(Supuestos!$H$6="",1E+99,Supuestos!$H$6),MAX(IF(Supuestos!$G$6="",-1E+99,Supuestos!$G$6),IF(Supuestos!$C$6="Normal",NORMINV(C340,Supuestos!$D$6,Supuestos!$E$6),IF(Supuestos!$C$6="Triangular",IF(C340&lt;(Supuestos!$E$6-Supuestos!$D$6)/(Supuestos!$F$6-Supuestos!$D$6),Supuestos!$D$6+SQRT(C340*(Supuestos!$F$6-Supuestos!$D$6)*(Supuestos!$E$6-Supuestos!$D$6)),Supuestos!$F$6-SQRT((1-C340)*(Supuestos!$F$6-Supuestos!$D$6)*(Supuestos!$F$6-Supuestos!$E$6))),IF(Supuestos!$C$6="Uniforme",Supuestos!$D$6+C340*(Supuestos!$E$6-Supuestos!$D$6),IF(Supuestos!$C$6="Lognormal",LOGINV(C340,LN(Supuestos!$D$6)-LN(1+Supuestos!$E$6^2/Supuestos!$D$6^2)/2,SQRT(LN(1+Supuestos!$E$6^2/Supuestos!$D$6^2))),Supuestos!$D$6))))))</f>
        <v/>
      </c>
      <c r="K340" s="32">
        <f>MIN(IF(Supuestos!$H$7="",1E+99,Supuestos!$H$7),MAX(IF(Supuestos!$G$7="",-1E+99,Supuestos!$G$7),IF(Supuestos!$C$7="Normal",NORMINV(D340,Supuestos!$D$7,Supuestos!$E$7),IF(Supuestos!$C$7="Triangular",IF(D340&lt;(Supuestos!$E$7-Supuestos!$D$7)/(Supuestos!$F$7-Supuestos!$D$7),Supuestos!$D$7+SQRT(D340*(Supuestos!$F$7-Supuestos!$D$7)*(Supuestos!$E$7-Supuestos!$D$7)),Supuestos!$F$7-SQRT((1-D340)*(Supuestos!$F$7-Supuestos!$D$7)*(Supuestos!$F$7-Supuestos!$E$7))),IF(Supuestos!$C$7="Uniforme",Supuestos!$D$7+D340*(Supuestos!$E$7-Supuestos!$D$7),IF(Supuestos!$C$7="Lognormal",LOGINV(D340,LN(Supuestos!$D$7)-LN(1+Supuestos!$E$7^2/Supuestos!$D$7^2)/2,SQRT(LN(1+Supuestos!$E$7^2/Supuestos!$D$7^2))),Supuestos!$D$7))))))</f>
        <v/>
      </c>
      <c r="L340" s="32">
        <f>MIN(IF(Supuestos!$H$8="",1E+99,Supuestos!$H$8),MAX(IF(Supuestos!$G$8="",-1E+99,Supuestos!$G$8),IF(Supuestos!$C$8="Normal",NORMINV(E340,Supuestos!$D$8,Supuestos!$E$8),IF(Supuestos!$C$8="Triangular",IF(E340&lt;(Supuestos!$E$8-Supuestos!$D$8)/(Supuestos!$F$8-Supuestos!$D$8),Supuestos!$D$8+SQRT(E340*(Supuestos!$F$8-Supuestos!$D$8)*(Supuestos!$E$8-Supuestos!$D$8)),Supuestos!$F$8-SQRT((1-E340)*(Supuestos!$F$8-Supuestos!$D$8)*(Supuestos!$F$8-Supuestos!$E$8))),IF(Supuestos!$C$8="Uniforme",Supuestos!$D$8+E340*(Supuestos!$E$8-Supuestos!$D$8),IF(Supuestos!$C$8="Lognormal",LOGINV(E340,LN(Supuestos!$D$8)-LN(1+Supuestos!$E$8^2/Supuestos!$D$8^2)/2,SQRT(LN(1+Supuestos!$E$8^2/Supuestos!$D$8^2))),Supuestos!$D$8))))))</f>
        <v/>
      </c>
      <c r="M340" s="32">
        <f>MIN(IF(Supuestos!$H$9="",1E+99,Supuestos!$H$9),MAX(IF(Supuestos!$G$9="",-1E+99,Supuestos!$G$9),IF(Supuestos!$C$9="Normal",NORMINV(F340,Supuestos!$D$9,Supuestos!$E$9),IF(Supuestos!$C$9="Triangular",IF(F340&lt;(Supuestos!$E$9-Supuestos!$D$9)/(Supuestos!$F$9-Supuestos!$D$9),Supuestos!$D$9+SQRT(F340*(Supuestos!$F$9-Supuestos!$D$9)*(Supuestos!$E$9-Supuestos!$D$9)),Supuestos!$F$9-SQRT((1-F340)*(Supuestos!$F$9-Supuestos!$D$9)*(Supuestos!$F$9-Supuestos!$E$9))),IF(Supuestos!$C$9="Uniforme",Supuestos!$D$9+F340*(Supuestos!$E$9-Supuestos!$D$9),IF(Supuestos!$C$9="Lognormal",LOGINV(F340,LN(Supuestos!$D$9)-LN(1+Supuestos!$E$9^2/Supuestos!$D$9^2)/2,SQRT(LN(1+Supuestos!$E$9^2/Supuestos!$D$9^2))),Supuestos!$D$9))))))</f>
        <v/>
      </c>
      <c r="N340" s="32">
        <f>MIN(IF(Supuestos!$H$10="",1E+99,Supuestos!$H$10),MAX(IF(Supuestos!$G$10="",-1E+99,Supuestos!$G$10),IF(Supuestos!$C$10="Normal",NORMINV(G340,Supuestos!$D$10,Supuestos!$E$10),IF(Supuestos!$C$10="Triangular",IF(G340&lt;(Supuestos!$E$10-Supuestos!$D$10)/(Supuestos!$F$10-Supuestos!$D$10),Supuestos!$D$10+SQRT(G340*(Supuestos!$F$10-Supuestos!$D$10)*(Supuestos!$E$10-Supuestos!$D$10)),Supuestos!$F$10-SQRT((1-G340)*(Supuestos!$F$10-Supuestos!$D$10)*(Supuestos!$F$10-Supuestos!$E$10))),IF(Supuestos!$C$10="Uniforme",Supuestos!$D$10+G340*(Supuestos!$E$10-Supuestos!$D$10),IF(Supuestos!$C$10="Lognormal",LOGINV(G340,LN(Supuestos!$D$10)-LN(1+Supuestos!$E$10^2/Supuestos!$D$10^2)/2,SQRT(LN(1+Supuestos!$E$10^2/Supuestos!$D$10^2))),Supuestos!$D$10))))))</f>
        <v/>
      </c>
      <c r="O340" s="31">
        <f>MIN(IF(Supuestos!$H$11="",1E+99,Supuestos!$H$11),MAX(IF(Supuestos!$G$11="",-1E+99,Supuestos!$G$11),IF(Supuestos!$C$11="Normal",NORMINV(H340,Supuestos!$D$11,Supuestos!$E$11),IF(Supuestos!$C$11="Triangular",IF(H340&lt;(Supuestos!$E$11-Supuestos!$D$11)/(Supuestos!$F$11-Supuestos!$D$11),Supuestos!$D$11+SQRT(H340*(Supuestos!$F$11-Supuestos!$D$11)*(Supuestos!$E$11-Supuestos!$D$11)),Supuestos!$F$11-SQRT((1-H340)*(Supuestos!$F$11-Supuestos!$D$11)*(Supuestos!$F$11-Supuestos!$E$11))),IF(Supuestos!$C$11="Uniforme",Supuestos!$D$11+H340*(Supuestos!$E$11-Supuestos!$D$11),IF(Supuestos!$C$11="Lognormal",LOGINV(H340,LN(Supuestos!$D$11)-LN(1+Supuestos!$E$11^2/Supuestos!$D$11^2)/2,SQRT(LN(1+Supuestos!$E$11^2/Supuestos!$D$11^2))),Supuestos!$D$11))))))</f>
        <v/>
      </c>
      <c r="P340" s="33">
        <f>-I340</f>
        <v/>
      </c>
      <c r="Q340" s="33">
        <f>$J340*(1+$K340)^(1-1)*(1-$L340)*(1-$M340)</f>
        <v/>
      </c>
      <c r="R340" s="33">
        <f>$J340*(1+$K340)^(2-1)*(1-$L340)*(1-$M340)</f>
        <v/>
      </c>
      <c r="S340" s="33">
        <f>$J340*(1+$K340)^(3-1)*(1-$L340)*(1-$M340)</f>
        <v/>
      </c>
      <c r="T340" s="33">
        <f>$J340*(1+$K340)^(4-1)*(1-$L340)*(1-$M340)</f>
        <v/>
      </c>
      <c r="U340" s="33">
        <f>$J340*(1+$K340)^(5-1)*(1-$L340)*(1-$M340)+$O340</f>
        <v/>
      </c>
      <c r="V340" s="33">
        <f>P340+NPV($N340,Q340:U340)</f>
        <v/>
      </c>
      <c r="W340" s="32">
        <f>IFERROR(IRR(P340:U340,0.1),"")</f>
        <v/>
      </c>
    </row>
    <row r="341">
      <c r="A341" s="14" t="n">
        <v>337</v>
      </c>
      <c r="B341" s="30">
        <f>RAND()*(1-2E-6)+1E-6</f>
        <v/>
      </c>
      <c r="C341" s="30">
        <f>RAND()*(1-2E-6)+1E-6</f>
        <v/>
      </c>
      <c r="D341" s="30">
        <f>RAND()*(1-2E-6)+1E-6</f>
        <v/>
      </c>
      <c r="E341" s="30">
        <f>RAND()*(1-2E-6)+1E-6</f>
        <v/>
      </c>
      <c r="F341" s="30">
        <f>RAND()*(1-2E-6)+1E-6</f>
        <v/>
      </c>
      <c r="G341" s="30">
        <f>RAND()*(1-2E-6)+1E-6</f>
        <v/>
      </c>
      <c r="H341" s="30">
        <f>RAND()*(1-2E-6)+1E-6</f>
        <v/>
      </c>
      <c r="I341" s="31">
        <f>MIN(IF(Supuestos!$H$5="",1E+99,Supuestos!$H$5),MAX(IF(Supuestos!$G$5="",-1E+99,Supuestos!$G$5),IF(Supuestos!$C$5="Normal",NORMINV(B341,Supuestos!$D$5,Supuestos!$E$5),IF(Supuestos!$C$5="Triangular",IF(B341&lt;(Supuestos!$E$5-Supuestos!$D$5)/(Supuestos!$F$5-Supuestos!$D$5),Supuestos!$D$5+SQRT(B341*(Supuestos!$F$5-Supuestos!$D$5)*(Supuestos!$E$5-Supuestos!$D$5)),Supuestos!$F$5-SQRT((1-B341)*(Supuestos!$F$5-Supuestos!$D$5)*(Supuestos!$F$5-Supuestos!$E$5))),IF(Supuestos!$C$5="Uniforme",Supuestos!$D$5+B341*(Supuestos!$E$5-Supuestos!$D$5),IF(Supuestos!$C$5="Lognormal",LOGINV(B341,LN(Supuestos!$D$5)-LN(1+Supuestos!$E$5^2/Supuestos!$D$5^2)/2,SQRT(LN(1+Supuestos!$E$5^2/Supuestos!$D$5^2))),Supuestos!$D$5))))))</f>
        <v/>
      </c>
      <c r="J341" s="31">
        <f>MIN(IF(Supuestos!$H$6="",1E+99,Supuestos!$H$6),MAX(IF(Supuestos!$G$6="",-1E+99,Supuestos!$G$6),IF(Supuestos!$C$6="Normal",NORMINV(C341,Supuestos!$D$6,Supuestos!$E$6),IF(Supuestos!$C$6="Triangular",IF(C341&lt;(Supuestos!$E$6-Supuestos!$D$6)/(Supuestos!$F$6-Supuestos!$D$6),Supuestos!$D$6+SQRT(C341*(Supuestos!$F$6-Supuestos!$D$6)*(Supuestos!$E$6-Supuestos!$D$6)),Supuestos!$F$6-SQRT((1-C341)*(Supuestos!$F$6-Supuestos!$D$6)*(Supuestos!$F$6-Supuestos!$E$6))),IF(Supuestos!$C$6="Uniforme",Supuestos!$D$6+C341*(Supuestos!$E$6-Supuestos!$D$6),IF(Supuestos!$C$6="Lognormal",LOGINV(C341,LN(Supuestos!$D$6)-LN(1+Supuestos!$E$6^2/Supuestos!$D$6^2)/2,SQRT(LN(1+Supuestos!$E$6^2/Supuestos!$D$6^2))),Supuestos!$D$6))))))</f>
        <v/>
      </c>
      <c r="K341" s="32">
        <f>MIN(IF(Supuestos!$H$7="",1E+99,Supuestos!$H$7),MAX(IF(Supuestos!$G$7="",-1E+99,Supuestos!$G$7),IF(Supuestos!$C$7="Normal",NORMINV(D341,Supuestos!$D$7,Supuestos!$E$7),IF(Supuestos!$C$7="Triangular",IF(D341&lt;(Supuestos!$E$7-Supuestos!$D$7)/(Supuestos!$F$7-Supuestos!$D$7),Supuestos!$D$7+SQRT(D341*(Supuestos!$F$7-Supuestos!$D$7)*(Supuestos!$E$7-Supuestos!$D$7)),Supuestos!$F$7-SQRT((1-D341)*(Supuestos!$F$7-Supuestos!$D$7)*(Supuestos!$F$7-Supuestos!$E$7))),IF(Supuestos!$C$7="Uniforme",Supuestos!$D$7+D341*(Supuestos!$E$7-Supuestos!$D$7),IF(Supuestos!$C$7="Lognormal",LOGINV(D341,LN(Supuestos!$D$7)-LN(1+Supuestos!$E$7^2/Supuestos!$D$7^2)/2,SQRT(LN(1+Supuestos!$E$7^2/Supuestos!$D$7^2))),Supuestos!$D$7))))))</f>
        <v/>
      </c>
      <c r="L341" s="32">
        <f>MIN(IF(Supuestos!$H$8="",1E+99,Supuestos!$H$8),MAX(IF(Supuestos!$G$8="",-1E+99,Supuestos!$G$8),IF(Supuestos!$C$8="Normal",NORMINV(E341,Supuestos!$D$8,Supuestos!$E$8),IF(Supuestos!$C$8="Triangular",IF(E341&lt;(Supuestos!$E$8-Supuestos!$D$8)/(Supuestos!$F$8-Supuestos!$D$8),Supuestos!$D$8+SQRT(E341*(Supuestos!$F$8-Supuestos!$D$8)*(Supuestos!$E$8-Supuestos!$D$8)),Supuestos!$F$8-SQRT((1-E341)*(Supuestos!$F$8-Supuestos!$D$8)*(Supuestos!$F$8-Supuestos!$E$8))),IF(Supuestos!$C$8="Uniforme",Supuestos!$D$8+E341*(Supuestos!$E$8-Supuestos!$D$8),IF(Supuestos!$C$8="Lognormal",LOGINV(E341,LN(Supuestos!$D$8)-LN(1+Supuestos!$E$8^2/Supuestos!$D$8^2)/2,SQRT(LN(1+Supuestos!$E$8^2/Supuestos!$D$8^2))),Supuestos!$D$8))))))</f>
        <v/>
      </c>
      <c r="M341" s="32">
        <f>MIN(IF(Supuestos!$H$9="",1E+99,Supuestos!$H$9),MAX(IF(Supuestos!$G$9="",-1E+99,Supuestos!$G$9),IF(Supuestos!$C$9="Normal",NORMINV(F341,Supuestos!$D$9,Supuestos!$E$9),IF(Supuestos!$C$9="Triangular",IF(F341&lt;(Supuestos!$E$9-Supuestos!$D$9)/(Supuestos!$F$9-Supuestos!$D$9),Supuestos!$D$9+SQRT(F341*(Supuestos!$F$9-Supuestos!$D$9)*(Supuestos!$E$9-Supuestos!$D$9)),Supuestos!$F$9-SQRT((1-F341)*(Supuestos!$F$9-Supuestos!$D$9)*(Supuestos!$F$9-Supuestos!$E$9))),IF(Supuestos!$C$9="Uniforme",Supuestos!$D$9+F341*(Supuestos!$E$9-Supuestos!$D$9),IF(Supuestos!$C$9="Lognormal",LOGINV(F341,LN(Supuestos!$D$9)-LN(1+Supuestos!$E$9^2/Supuestos!$D$9^2)/2,SQRT(LN(1+Supuestos!$E$9^2/Supuestos!$D$9^2))),Supuestos!$D$9))))))</f>
        <v/>
      </c>
      <c r="N341" s="32">
        <f>MIN(IF(Supuestos!$H$10="",1E+99,Supuestos!$H$10),MAX(IF(Supuestos!$G$10="",-1E+99,Supuestos!$G$10),IF(Supuestos!$C$10="Normal",NORMINV(G341,Supuestos!$D$10,Supuestos!$E$10),IF(Supuestos!$C$10="Triangular",IF(G341&lt;(Supuestos!$E$10-Supuestos!$D$10)/(Supuestos!$F$10-Supuestos!$D$10),Supuestos!$D$10+SQRT(G341*(Supuestos!$F$10-Supuestos!$D$10)*(Supuestos!$E$10-Supuestos!$D$10)),Supuestos!$F$10-SQRT((1-G341)*(Supuestos!$F$10-Supuestos!$D$10)*(Supuestos!$F$10-Supuestos!$E$10))),IF(Supuestos!$C$10="Uniforme",Supuestos!$D$10+G341*(Supuestos!$E$10-Supuestos!$D$10),IF(Supuestos!$C$10="Lognormal",LOGINV(G341,LN(Supuestos!$D$10)-LN(1+Supuestos!$E$10^2/Supuestos!$D$10^2)/2,SQRT(LN(1+Supuestos!$E$10^2/Supuestos!$D$10^2))),Supuestos!$D$10))))))</f>
        <v/>
      </c>
      <c r="O341" s="31">
        <f>MIN(IF(Supuestos!$H$11="",1E+99,Supuestos!$H$11),MAX(IF(Supuestos!$G$11="",-1E+99,Supuestos!$G$11),IF(Supuestos!$C$11="Normal",NORMINV(H341,Supuestos!$D$11,Supuestos!$E$11),IF(Supuestos!$C$11="Triangular",IF(H341&lt;(Supuestos!$E$11-Supuestos!$D$11)/(Supuestos!$F$11-Supuestos!$D$11),Supuestos!$D$11+SQRT(H341*(Supuestos!$F$11-Supuestos!$D$11)*(Supuestos!$E$11-Supuestos!$D$11)),Supuestos!$F$11-SQRT((1-H341)*(Supuestos!$F$11-Supuestos!$D$11)*(Supuestos!$F$11-Supuestos!$E$11))),IF(Supuestos!$C$11="Uniforme",Supuestos!$D$11+H341*(Supuestos!$E$11-Supuestos!$D$11),IF(Supuestos!$C$11="Lognormal",LOGINV(H341,LN(Supuestos!$D$11)-LN(1+Supuestos!$E$11^2/Supuestos!$D$11^2)/2,SQRT(LN(1+Supuestos!$E$11^2/Supuestos!$D$11^2))),Supuestos!$D$11))))))</f>
        <v/>
      </c>
      <c r="P341" s="33">
        <f>-I341</f>
        <v/>
      </c>
      <c r="Q341" s="33">
        <f>$J341*(1+$K341)^(1-1)*(1-$L341)*(1-$M341)</f>
        <v/>
      </c>
      <c r="R341" s="33">
        <f>$J341*(1+$K341)^(2-1)*(1-$L341)*(1-$M341)</f>
        <v/>
      </c>
      <c r="S341" s="33">
        <f>$J341*(1+$K341)^(3-1)*(1-$L341)*(1-$M341)</f>
        <v/>
      </c>
      <c r="T341" s="33">
        <f>$J341*(1+$K341)^(4-1)*(1-$L341)*(1-$M341)</f>
        <v/>
      </c>
      <c r="U341" s="33">
        <f>$J341*(1+$K341)^(5-1)*(1-$L341)*(1-$M341)+$O341</f>
        <v/>
      </c>
      <c r="V341" s="33">
        <f>P341+NPV($N341,Q341:U341)</f>
        <v/>
      </c>
      <c r="W341" s="32">
        <f>IFERROR(IRR(P341:U341,0.1),"")</f>
        <v/>
      </c>
    </row>
    <row r="342">
      <c r="A342" s="14" t="n">
        <v>338</v>
      </c>
      <c r="B342" s="30">
        <f>RAND()*(1-2E-6)+1E-6</f>
        <v/>
      </c>
      <c r="C342" s="30">
        <f>RAND()*(1-2E-6)+1E-6</f>
        <v/>
      </c>
      <c r="D342" s="30">
        <f>RAND()*(1-2E-6)+1E-6</f>
        <v/>
      </c>
      <c r="E342" s="30">
        <f>RAND()*(1-2E-6)+1E-6</f>
        <v/>
      </c>
      <c r="F342" s="30">
        <f>RAND()*(1-2E-6)+1E-6</f>
        <v/>
      </c>
      <c r="G342" s="30">
        <f>RAND()*(1-2E-6)+1E-6</f>
        <v/>
      </c>
      <c r="H342" s="30">
        <f>RAND()*(1-2E-6)+1E-6</f>
        <v/>
      </c>
      <c r="I342" s="31">
        <f>MIN(IF(Supuestos!$H$5="",1E+99,Supuestos!$H$5),MAX(IF(Supuestos!$G$5="",-1E+99,Supuestos!$G$5),IF(Supuestos!$C$5="Normal",NORMINV(B342,Supuestos!$D$5,Supuestos!$E$5),IF(Supuestos!$C$5="Triangular",IF(B342&lt;(Supuestos!$E$5-Supuestos!$D$5)/(Supuestos!$F$5-Supuestos!$D$5),Supuestos!$D$5+SQRT(B342*(Supuestos!$F$5-Supuestos!$D$5)*(Supuestos!$E$5-Supuestos!$D$5)),Supuestos!$F$5-SQRT((1-B342)*(Supuestos!$F$5-Supuestos!$D$5)*(Supuestos!$F$5-Supuestos!$E$5))),IF(Supuestos!$C$5="Uniforme",Supuestos!$D$5+B342*(Supuestos!$E$5-Supuestos!$D$5),IF(Supuestos!$C$5="Lognormal",LOGINV(B342,LN(Supuestos!$D$5)-LN(1+Supuestos!$E$5^2/Supuestos!$D$5^2)/2,SQRT(LN(1+Supuestos!$E$5^2/Supuestos!$D$5^2))),Supuestos!$D$5))))))</f>
        <v/>
      </c>
      <c r="J342" s="31">
        <f>MIN(IF(Supuestos!$H$6="",1E+99,Supuestos!$H$6),MAX(IF(Supuestos!$G$6="",-1E+99,Supuestos!$G$6),IF(Supuestos!$C$6="Normal",NORMINV(C342,Supuestos!$D$6,Supuestos!$E$6),IF(Supuestos!$C$6="Triangular",IF(C342&lt;(Supuestos!$E$6-Supuestos!$D$6)/(Supuestos!$F$6-Supuestos!$D$6),Supuestos!$D$6+SQRT(C342*(Supuestos!$F$6-Supuestos!$D$6)*(Supuestos!$E$6-Supuestos!$D$6)),Supuestos!$F$6-SQRT((1-C342)*(Supuestos!$F$6-Supuestos!$D$6)*(Supuestos!$F$6-Supuestos!$E$6))),IF(Supuestos!$C$6="Uniforme",Supuestos!$D$6+C342*(Supuestos!$E$6-Supuestos!$D$6),IF(Supuestos!$C$6="Lognormal",LOGINV(C342,LN(Supuestos!$D$6)-LN(1+Supuestos!$E$6^2/Supuestos!$D$6^2)/2,SQRT(LN(1+Supuestos!$E$6^2/Supuestos!$D$6^2))),Supuestos!$D$6))))))</f>
        <v/>
      </c>
      <c r="K342" s="32">
        <f>MIN(IF(Supuestos!$H$7="",1E+99,Supuestos!$H$7),MAX(IF(Supuestos!$G$7="",-1E+99,Supuestos!$G$7),IF(Supuestos!$C$7="Normal",NORMINV(D342,Supuestos!$D$7,Supuestos!$E$7),IF(Supuestos!$C$7="Triangular",IF(D342&lt;(Supuestos!$E$7-Supuestos!$D$7)/(Supuestos!$F$7-Supuestos!$D$7),Supuestos!$D$7+SQRT(D342*(Supuestos!$F$7-Supuestos!$D$7)*(Supuestos!$E$7-Supuestos!$D$7)),Supuestos!$F$7-SQRT((1-D342)*(Supuestos!$F$7-Supuestos!$D$7)*(Supuestos!$F$7-Supuestos!$E$7))),IF(Supuestos!$C$7="Uniforme",Supuestos!$D$7+D342*(Supuestos!$E$7-Supuestos!$D$7),IF(Supuestos!$C$7="Lognormal",LOGINV(D342,LN(Supuestos!$D$7)-LN(1+Supuestos!$E$7^2/Supuestos!$D$7^2)/2,SQRT(LN(1+Supuestos!$E$7^2/Supuestos!$D$7^2))),Supuestos!$D$7))))))</f>
        <v/>
      </c>
      <c r="L342" s="32">
        <f>MIN(IF(Supuestos!$H$8="",1E+99,Supuestos!$H$8),MAX(IF(Supuestos!$G$8="",-1E+99,Supuestos!$G$8),IF(Supuestos!$C$8="Normal",NORMINV(E342,Supuestos!$D$8,Supuestos!$E$8),IF(Supuestos!$C$8="Triangular",IF(E342&lt;(Supuestos!$E$8-Supuestos!$D$8)/(Supuestos!$F$8-Supuestos!$D$8),Supuestos!$D$8+SQRT(E342*(Supuestos!$F$8-Supuestos!$D$8)*(Supuestos!$E$8-Supuestos!$D$8)),Supuestos!$F$8-SQRT((1-E342)*(Supuestos!$F$8-Supuestos!$D$8)*(Supuestos!$F$8-Supuestos!$E$8))),IF(Supuestos!$C$8="Uniforme",Supuestos!$D$8+E342*(Supuestos!$E$8-Supuestos!$D$8),IF(Supuestos!$C$8="Lognormal",LOGINV(E342,LN(Supuestos!$D$8)-LN(1+Supuestos!$E$8^2/Supuestos!$D$8^2)/2,SQRT(LN(1+Supuestos!$E$8^2/Supuestos!$D$8^2))),Supuestos!$D$8))))))</f>
        <v/>
      </c>
      <c r="M342" s="32">
        <f>MIN(IF(Supuestos!$H$9="",1E+99,Supuestos!$H$9),MAX(IF(Supuestos!$G$9="",-1E+99,Supuestos!$G$9),IF(Supuestos!$C$9="Normal",NORMINV(F342,Supuestos!$D$9,Supuestos!$E$9),IF(Supuestos!$C$9="Triangular",IF(F342&lt;(Supuestos!$E$9-Supuestos!$D$9)/(Supuestos!$F$9-Supuestos!$D$9),Supuestos!$D$9+SQRT(F342*(Supuestos!$F$9-Supuestos!$D$9)*(Supuestos!$E$9-Supuestos!$D$9)),Supuestos!$F$9-SQRT((1-F342)*(Supuestos!$F$9-Supuestos!$D$9)*(Supuestos!$F$9-Supuestos!$E$9))),IF(Supuestos!$C$9="Uniforme",Supuestos!$D$9+F342*(Supuestos!$E$9-Supuestos!$D$9),IF(Supuestos!$C$9="Lognormal",LOGINV(F342,LN(Supuestos!$D$9)-LN(1+Supuestos!$E$9^2/Supuestos!$D$9^2)/2,SQRT(LN(1+Supuestos!$E$9^2/Supuestos!$D$9^2))),Supuestos!$D$9))))))</f>
        <v/>
      </c>
      <c r="N342" s="32">
        <f>MIN(IF(Supuestos!$H$10="",1E+99,Supuestos!$H$10),MAX(IF(Supuestos!$G$10="",-1E+99,Supuestos!$G$10),IF(Supuestos!$C$10="Normal",NORMINV(G342,Supuestos!$D$10,Supuestos!$E$10),IF(Supuestos!$C$10="Triangular",IF(G342&lt;(Supuestos!$E$10-Supuestos!$D$10)/(Supuestos!$F$10-Supuestos!$D$10),Supuestos!$D$10+SQRT(G342*(Supuestos!$F$10-Supuestos!$D$10)*(Supuestos!$E$10-Supuestos!$D$10)),Supuestos!$F$10-SQRT((1-G342)*(Supuestos!$F$10-Supuestos!$D$10)*(Supuestos!$F$10-Supuestos!$E$10))),IF(Supuestos!$C$10="Uniforme",Supuestos!$D$10+G342*(Supuestos!$E$10-Supuestos!$D$10),IF(Supuestos!$C$10="Lognormal",LOGINV(G342,LN(Supuestos!$D$10)-LN(1+Supuestos!$E$10^2/Supuestos!$D$10^2)/2,SQRT(LN(1+Supuestos!$E$10^2/Supuestos!$D$10^2))),Supuestos!$D$10))))))</f>
        <v/>
      </c>
      <c r="O342" s="31">
        <f>MIN(IF(Supuestos!$H$11="",1E+99,Supuestos!$H$11),MAX(IF(Supuestos!$G$11="",-1E+99,Supuestos!$G$11),IF(Supuestos!$C$11="Normal",NORMINV(H342,Supuestos!$D$11,Supuestos!$E$11),IF(Supuestos!$C$11="Triangular",IF(H342&lt;(Supuestos!$E$11-Supuestos!$D$11)/(Supuestos!$F$11-Supuestos!$D$11),Supuestos!$D$11+SQRT(H342*(Supuestos!$F$11-Supuestos!$D$11)*(Supuestos!$E$11-Supuestos!$D$11)),Supuestos!$F$11-SQRT((1-H342)*(Supuestos!$F$11-Supuestos!$D$11)*(Supuestos!$F$11-Supuestos!$E$11))),IF(Supuestos!$C$11="Uniforme",Supuestos!$D$11+H342*(Supuestos!$E$11-Supuestos!$D$11),IF(Supuestos!$C$11="Lognormal",LOGINV(H342,LN(Supuestos!$D$11)-LN(1+Supuestos!$E$11^2/Supuestos!$D$11^2)/2,SQRT(LN(1+Supuestos!$E$11^2/Supuestos!$D$11^2))),Supuestos!$D$11))))))</f>
        <v/>
      </c>
      <c r="P342" s="33">
        <f>-I342</f>
        <v/>
      </c>
      <c r="Q342" s="33">
        <f>$J342*(1+$K342)^(1-1)*(1-$L342)*(1-$M342)</f>
        <v/>
      </c>
      <c r="R342" s="33">
        <f>$J342*(1+$K342)^(2-1)*(1-$L342)*(1-$M342)</f>
        <v/>
      </c>
      <c r="S342" s="33">
        <f>$J342*(1+$K342)^(3-1)*(1-$L342)*(1-$M342)</f>
        <v/>
      </c>
      <c r="T342" s="33">
        <f>$J342*(1+$K342)^(4-1)*(1-$L342)*(1-$M342)</f>
        <v/>
      </c>
      <c r="U342" s="33">
        <f>$J342*(1+$K342)^(5-1)*(1-$L342)*(1-$M342)+$O342</f>
        <v/>
      </c>
      <c r="V342" s="33">
        <f>P342+NPV($N342,Q342:U342)</f>
        <v/>
      </c>
      <c r="W342" s="32">
        <f>IFERROR(IRR(P342:U342,0.1),"")</f>
        <v/>
      </c>
    </row>
    <row r="343">
      <c r="A343" s="14" t="n">
        <v>339</v>
      </c>
      <c r="B343" s="30">
        <f>RAND()*(1-2E-6)+1E-6</f>
        <v/>
      </c>
      <c r="C343" s="30">
        <f>RAND()*(1-2E-6)+1E-6</f>
        <v/>
      </c>
      <c r="D343" s="30">
        <f>RAND()*(1-2E-6)+1E-6</f>
        <v/>
      </c>
      <c r="E343" s="30">
        <f>RAND()*(1-2E-6)+1E-6</f>
        <v/>
      </c>
      <c r="F343" s="30">
        <f>RAND()*(1-2E-6)+1E-6</f>
        <v/>
      </c>
      <c r="G343" s="30">
        <f>RAND()*(1-2E-6)+1E-6</f>
        <v/>
      </c>
      <c r="H343" s="30">
        <f>RAND()*(1-2E-6)+1E-6</f>
        <v/>
      </c>
      <c r="I343" s="31">
        <f>MIN(IF(Supuestos!$H$5="",1E+99,Supuestos!$H$5),MAX(IF(Supuestos!$G$5="",-1E+99,Supuestos!$G$5),IF(Supuestos!$C$5="Normal",NORMINV(B343,Supuestos!$D$5,Supuestos!$E$5),IF(Supuestos!$C$5="Triangular",IF(B343&lt;(Supuestos!$E$5-Supuestos!$D$5)/(Supuestos!$F$5-Supuestos!$D$5),Supuestos!$D$5+SQRT(B343*(Supuestos!$F$5-Supuestos!$D$5)*(Supuestos!$E$5-Supuestos!$D$5)),Supuestos!$F$5-SQRT((1-B343)*(Supuestos!$F$5-Supuestos!$D$5)*(Supuestos!$F$5-Supuestos!$E$5))),IF(Supuestos!$C$5="Uniforme",Supuestos!$D$5+B343*(Supuestos!$E$5-Supuestos!$D$5),IF(Supuestos!$C$5="Lognormal",LOGINV(B343,LN(Supuestos!$D$5)-LN(1+Supuestos!$E$5^2/Supuestos!$D$5^2)/2,SQRT(LN(1+Supuestos!$E$5^2/Supuestos!$D$5^2))),Supuestos!$D$5))))))</f>
        <v/>
      </c>
      <c r="J343" s="31">
        <f>MIN(IF(Supuestos!$H$6="",1E+99,Supuestos!$H$6),MAX(IF(Supuestos!$G$6="",-1E+99,Supuestos!$G$6),IF(Supuestos!$C$6="Normal",NORMINV(C343,Supuestos!$D$6,Supuestos!$E$6),IF(Supuestos!$C$6="Triangular",IF(C343&lt;(Supuestos!$E$6-Supuestos!$D$6)/(Supuestos!$F$6-Supuestos!$D$6),Supuestos!$D$6+SQRT(C343*(Supuestos!$F$6-Supuestos!$D$6)*(Supuestos!$E$6-Supuestos!$D$6)),Supuestos!$F$6-SQRT((1-C343)*(Supuestos!$F$6-Supuestos!$D$6)*(Supuestos!$F$6-Supuestos!$E$6))),IF(Supuestos!$C$6="Uniforme",Supuestos!$D$6+C343*(Supuestos!$E$6-Supuestos!$D$6),IF(Supuestos!$C$6="Lognormal",LOGINV(C343,LN(Supuestos!$D$6)-LN(1+Supuestos!$E$6^2/Supuestos!$D$6^2)/2,SQRT(LN(1+Supuestos!$E$6^2/Supuestos!$D$6^2))),Supuestos!$D$6))))))</f>
        <v/>
      </c>
      <c r="K343" s="32">
        <f>MIN(IF(Supuestos!$H$7="",1E+99,Supuestos!$H$7),MAX(IF(Supuestos!$G$7="",-1E+99,Supuestos!$G$7),IF(Supuestos!$C$7="Normal",NORMINV(D343,Supuestos!$D$7,Supuestos!$E$7),IF(Supuestos!$C$7="Triangular",IF(D343&lt;(Supuestos!$E$7-Supuestos!$D$7)/(Supuestos!$F$7-Supuestos!$D$7),Supuestos!$D$7+SQRT(D343*(Supuestos!$F$7-Supuestos!$D$7)*(Supuestos!$E$7-Supuestos!$D$7)),Supuestos!$F$7-SQRT((1-D343)*(Supuestos!$F$7-Supuestos!$D$7)*(Supuestos!$F$7-Supuestos!$E$7))),IF(Supuestos!$C$7="Uniforme",Supuestos!$D$7+D343*(Supuestos!$E$7-Supuestos!$D$7),IF(Supuestos!$C$7="Lognormal",LOGINV(D343,LN(Supuestos!$D$7)-LN(1+Supuestos!$E$7^2/Supuestos!$D$7^2)/2,SQRT(LN(1+Supuestos!$E$7^2/Supuestos!$D$7^2))),Supuestos!$D$7))))))</f>
        <v/>
      </c>
      <c r="L343" s="32">
        <f>MIN(IF(Supuestos!$H$8="",1E+99,Supuestos!$H$8),MAX(IF(Supuestos!$G$8="",-1E+99,Supuestos!$G$8),IF(Supuestos!$C$8="Normal",NORMINV(E343,Supuestos!$D$8,Supuestos!$E$8),IF(Supuestos!$C$8="Triangular",IF(E343&lt;(Supuestos!$E$8-Supuestos!$D$8)/(Supuestos!$F$8-Supuestos!$D$8),Supuestos!$D$8+SQRT(E343*(Supuestos!$F$8-Supuestos!$D$8)*(Supuestos!$E$8-Supuestos!$D$8)),Supuestos!$F$8-SQRT((1-E343)*(Supuestos!$F$8-Supuestos!$D$8)*(Supuestos!$F$8-Supuestos!$E$8))),IF(Supuestos!$C$8="Uniforme",Supuestos!$D$8+E343*(Supuestos!$E$8-Supuestos!$D$8),IF(Supuestos!$C$8="Lognormal",LOGINV(E343,LN(Supuestos!$D$8)-LN(1+Supuestos!$E$8^2/Supuestos!$D$8^2)/2,SQRT(LN(1+Supuestos!$E$8^2/Supuestos!$D$8^2))),Supuestos!$D$8))))))</f>
        <v/>
      </c>
      <c r="M343" s="32">
        <f>MIN(IF(Supuestos!$H$9="",1E+99,Supuestos!$H$9),MAX(IF(Supuestos!$G$9="",-1E+99,Supuestos!$G$9),IF(Supuestos!$C$9="Normal",NORMINV(F343,Supuestos!$D$9,Supuestos!$E$9),IF(Supuestos!$C$9="Triangular",IF(F343&lt;(Supuestos!$E$9-Supuestos!$D$9)/(Supuestos!$F$9-Supuestos!$D$9),Supuestos!$D$9+SQRT(F343*(Supuestos!$F$9-Supuestos!$D$9)*(Supuestos!$E$9-Supuestos!$D$9)),Supuestos!$F$9-SQRT((1-F343)*(Supuestos!$F$9-Supuestos!$D$9)*(Supuestos!$F$9-Supuestos!$E$9))),IF(Supuestos!$C$9="Uniforme",Supuestos!$D$9+F343*(Supuestos!$E$9-Supuestos!$D$9),IF(Supuestos!$C$9="Lognormal",LOGINV(F343,LN(Supuestos!$D$9)-LN(1+Supuestos!$E$9^2/Supuestos!$D$9^2)/2,SQRT(LN(1+Supuestos!$E$9^2/Supuestos!$D$9^2))),Supuestos!$D$9))))))</f>
        <v/>
      </c>
      <c r="N343" s="32">
        <f>MIN(IF(Supuestos!$H$10="",1E+99,Supuestos!$H$10),MAX(IF(Supuestos!$G$10="",-1E+99,Supuestos!$G$10),IF(Supuestos!$C$10="Normal",NORMINV(G343,Supuestos!$D$10,Supuestos!$E$10),IF(Supuestos!$C$10="Triangular",IF(G343&lt;(Supuestos!$E$10-Supuestos!$D$10)/(Supuestos!$F$10-Supuestos!$D$10),Supuestos!$D$10+SQRT(G343*(Supuestos!$F$10-Supuestos!$D$10)*(Supuestos!$E$10-Supuestos!$D$10)),Supuestos!$F$10-SQRT((1-G343)*(Supuestos!$F$10-Supuestos!$D$10)*(Supuestos!$F$10-Supuestos!$E$10))),IF(Supuestos!$C$10="Uniforme",Supuestos!$D$10+G343*(Supuestos!$E$10-Supuestos!$D$10),IF(Supuestos!$C$10="Lognormal",LOGINV(G343,LN(Supuestos!$D$10)-LN(1+Supuestos!$E$10^2/Supuestos!$D$10^2)/2,SQRT(LN(1+Supuestos!$E$10^2/Supuestos!$D$10^2))),Supuestos!$D$10))))))</f>
        <v/>
      </c>
      <c r="O343" s="31">
        <f>MIN(IF(Supuestos!$H$11="",1E+99,Supuestos!$H$11),MAX(IF(Supuestos!$G$11="",-1E+99,Supuestos!$G$11),IF(Supuestos!$C$11="Normal",NORMINV(H343,Supuestos!$D$11,Supuestos!$E$11),IF(Supuestos!$C$11="Triangular",IF(H343&lt;(Supuestos!$E$11-Supuestos!$D$11)/(Supuestos!$F$11-Supuestos!$D$11),Supuestos!$D$11+SQRT(H343*(Supuestos!$F$11-Supuestos!$D$11)*(Supuestos!$E$11-Supuestos!$D$11)),Supuestos!$F$11-SQRT((1-H343)*(Supuestos!$F$11-Supuestos!$D$11)*(Supuestos!$F$11-Supuestos!$E$11))),IF(Supuestos!$C$11="Uniforme",Supuestos!$D$11+H343*(Supuestos!$E$11-Supuestos!$D$11),IF(Supuestos!$C$11="Lognormal",LOGINV(H343,LN(Supuestos!$D$11)-LN(1+Supuestos!$E$11^2/Supuestos!$D$11^2)/2,SQRT(LN(1+Supuestos!$E$11^2/Supuestos!$D$11^2))),Supuestos!$D$11))))))</f>
        <v/>
      </c>
      <c r="P343" s="33">
        <f>-I343</f>
        <v/>
      </c>
      <c r="Q343" s="33">
        <f>$J343*(1+$K343)^(1-1)*(1-$L343)*(1-$M343)</f>
        <v/>
      </c>
      <c r="R343" s="33">
        <f>$J343*(1+$K343)^(2-1)*(1-$L343)*(1-$M343)</f>
        <v/>
      </c>
      <c r="S343" s="33">
        <f>$J343*(1+$K343)^(3-1)*(1-$L343)*(1-$M343)</f>
        <v/>
      </c>
      <c r="T343" s="33">
        <f>$J343*(1+$K343)^(4-1)*(1-$L343)*(1-$M343)</f>
        <v/>
      </c>
      <c r="U343" s="33">
        <f>$J343*(1+$K343)^(5-1)*(1-$L343)*(1-$M343)+$O343</f>
        <v/>
      </c>
      <c r="V343" s="33">
        <f>P343+NPV($N343,Q343:U343)</f>
        <v/>
      </c>
      <c r="W343" s="32">
        <f>IFERROR(IRR(P343:U343,0.1),"")</f>
        <v/>
      </c>
    </row>
    <row r="344">
      <c r="A344" s="14" t="n">
        <v>340</v>
      </c>
      <c r="B344" s="30">
        <f>RAND()*(1-2E-6)+1E-6</f>
        <v/>
      </c>
      <c r="C344" s="30">
        <f>RAND()*(1-2E-6)+1E-6</f>
        <v/>
      </c>
      <c r="D344" s="30">
        <f>RAND()*(1-2E-6)+1E-6</f>
        <v/>
      </c>
      <c r="E344" s="30">
        <f>RAND()*(1-2E-6)+1E-6</f>
        <v/>
      </c>
      <c r="F344" s="30">
        <f>RAND()*(1-2E-6)+1E-6</f>
        <v/>
      </c>
      <c r="G344" s="30">
        <f>RAND()*(1-2E-6)+1E-6</f>
        <v/>
      </c>
      <c r="H344" s="30">
        <f>RAND()*(1-2E-6)+1E-6</f>
        <v/>
      </c>
      <c r="I344" s="31">
        <f>MIN(IF(Supuestos!$H$5="",1E+99,Supuestos!$H$5),MAX(IF(Supuestos!$G$5="",-1E+99,Supuestos!$G$5),IF(Supuestos!$C$5="Normal",NORMINV(B344,Supuestos!$D$5,Supuestos!$E$5),IF(Supuestos!$C$5="Triangular",IF(B344&lt;(Supuestos!$E$5-Supuestos!$D$5)/(Supuestos!$F$5-Supuestos!$D$5),Supuestos!$D$5+SQRT(B344*(Supuestos!$F$5-Supuestos!$D$5)*(Supuestos!$E$5-Supuestos!$D$5)),Supuestos!$F$5-SQRT((1-B344)*(Supuestos!$F$5-Supuestos!$D$5)*(Supuestos!$F$5-Supuestos!$E$5))),IF(Supuestos!$C$5="Uniforme",Supuestos!$D$5+B344*(Supuestos!$E$5-Supuestos!$D$5),IF(Supuestos!$C$5="Lognormal",LOGINV(B344,LN(Supuestos!$D$5)-LN(1+Supuestos!$E$5^2/Supuestos!$D$5^2)/2,SQRT(LN(1+Supuestos!$E$5^2/Supuestos!$D$5^2))),Supuestos!$D$5))))))</f>
        <v/>
      </c>
      <c r="J344" s="31">
        <f>MIN(IF(Supuestos!$H$6="",1E+99,Supuestos!$H$6),MAX(IF(Supuestos!$G$6="",-1E+99,Supuestos!$G$6),IF(Supuestos!$C$6="Normal",NORMINV(C344,Supuestos!$D$6,Supuestos!$E$6),IF(Supuestos!$C$6="Triangular",IF(C344&lt;(Supuestos!$E$6-Supuestos!$D$6)/(Supuestos!$F$6-Supuestos!$D$6),Supuestos!$D$6+SQRT(C344*(Supuestos!$F$6-Supuestos!$D$6)*(Supuestos!$E$6-Supuestos!$D$6)),Supuestos!$F$6-SQRT((1-C344)*(Supuestos!$F$6-Supuestos!$D$6)*(Supuestos!$F$6-Supuestos!$E$6))),IF(Supuestos!$C$6="Uniforme",Supuestos!$D$6+C344*(Supuestos!$E$6-Supuestos!$D$6),IF(Supuestos!$C$6="Lognormal",LOGINV(C344,LN(Supuestos!$D$6)-LN(1+Supuestos!$E$6^2/Supuestos!$D$6^2)/2,SQRT(LN(1+Supuestos!$E$6^2/Supuestos!$D$6^2))),Supuestos!$D$6))))))</f>
        <v/>
      </c>
      <c r="K344" s="32">
        <f>MIN(IF(Supuestos!$H$7="",1E+99,Supuestos!$H$7),MAX(IF(Supuestos!$G$7="",-1E+99,Supuestos!$G$7),IF(Supuestos!$C$7="Normal",NORMINV(D344,Supuestos!$D$7,Supuestos!$E$7),IF(Supuestos!$C$7="Triangular",IF(D344&lt;(Supuestos!$E$7-Supuestos!$D$7)/(Supuestos!$F$7-Supuestos!$D$7),Supuestos!$D$7+SQRT(D344*(Supuestos!$F$7-Supuestos!$D$7)*(Supuestos!$E$7-Supuestos!$D$7)),Supuestos!$F$7-SQRT((1-D344)*(Supuestos!$F$7-Supuestos!$D$7)*(Supuestos!$F$7-Supuestos!$E$7))),IF(Supuestos!$C$7="Uniforme",Supuestos!$D$7+D344*(Supuestos!$E$7-Supuestos!$D$7),IF(Supuestos!$C$7="Lognormal",LOGINV(D344,LN(Supuestos!$D$7)-LN(1+Supuestos!$E$7^2/Supuestos!$D$7^2)/2,SQRT(LN(1+Supuestos!$E$7^2/Supuestos!$D$7^2))),Supuestos!$D$7))))))</f>
        <v/>
      </c>
      <c r="L344" s="32">
        <f>MIN(IF(Supuestos!$H$8="",1E+99,Supuestos!$H$8),MAX(IF(Supuestos!$G$8="",-1E+99,Supuestos!$G$8),IF(Supuestos!$C$8="Normal",NORMINV(E344,Supuestos!$D$8,Supuestos!$E$8),IF(Supuestos!$C$8="Triangular",IF(E344&lt;(Supuestos!$E$8-Supuestos!$D$8)/(Supuestos!$F$8-Supuestos!$D$8),Supuestos!$D$8+SQRT(E344*(Supuestos!$F$8-Supuestos!$D$8)*(Supuestos!$E$8-Supuestos!$D$8)),Supuestos!$F$8-SQRT((1-E344)*(Supuestos!$F$8-Supuestos!$D$8)*(Supuestos!$F$8-Supuestos!$E$8))),IF(Supuestos!$C$8="Uniforme",Supuestos!$D$8+E344*(Supuestos!$E$8-Supuestos!$D$8),IF(Supuestos!$C$8="Lognormal",LOGINV(E344,LN(Supuestos!$D$8)-LN(1+Supuestos!$E$8^2/Supuestos!$D$8^2)/2,SQRT(LN(1+Supuestos!$E$8^2/Supuestos!$D$8^2))),Supuestos!$D$8))))))</f>
        <v/>
      </c>
      <c r="M344" s="32">
        <f>MIN(IF(Supuestos!$H$9="",1E+99,Supuestos!$H$9),MAX(IF(Supuestos!$G$9="",-1E+99,Supuestos!$G$9),IF(Supuestos!$C$9="Normal",NORMINV(F344,Supuestos!$D$9,Supuestos!$E$9),IF(Supuestos!$C$9="Triangular",IF(F344&lt;(Supuestos!$E$9-Supuestos!$D$9)/(Supuestos!$F$9-Supuestos!$D$9),Supuestos!$D$9+SQRT(F344*(Supuestos!$F$9-Supuestos!$D$9)*(Supuestos!$E$9-Supuestos!$D$9)),Supuestos!$F$9-SQRT((1-F344)*(Supuestos!$F$9-Supuestos!$D$9)*(Supuestos!$F$9-Supuestos!$E$9))),IF(Supuestos!$C$9="Uniforme",Supuestos!$D$9+F344*(Supuestos!$E$9-Supuestos!$D$9),IF(Supuestos!$C$9="Lognormal",LOGINV(F344,LN(Supuestos!$D$9)-LN(1+Supuestos!$E$9^2/Supuestos!$D$9^2)/2,SQRT(LN(1+Supuestos!$E$9^2/Supuestos!$D$9^2))),Supuestos!$D$9))))))</f>
        <v/>
      </c>
      <c r="N344" s="32">
        <f>MIN(IF(Supuestos!$H$10="",1E+99,Supuestos!$H$10),MAX(IF(Supuestos!$G$10="",-1E+99,Supuestos!$G$10),IF(Supuestos!$C$10="Normal",NORMINV(G344,Supuestos!$D$10,Supuestos!$E$10),IF(Supuestos!$C$10="Triangular",IF(G344&lt;(Supuestos!$E$10-Supuestos!$D$10)/(Supuestos!$F$10-Supuestos!$D$10),Supuestos!$D$10+SQRT(G344*(Supuestos!$F$10-Supuestos!$D$10)*(Supuestos!$E$10-Supuestos!$D$10)),Supuestos!$F$10-SQRT((1-G344)*(Supuestos!$F$10-Supuestos!$D$10)*(Supuestos!$F$10-Supuestos!$E$10))),IF(Supuestos!$C$10="Uniforme",Supuestos!$D$10+G344*(Supuestos!$E$10-Supuestos!$D$10),IF(Supuestos!$C$10="Lognormal",LOGINV(G344,LN(Supuestos!$D$10)-LN(1+Supuestos!$E$10^2/Supuestos!$D$10^2)/2,SQRT(LN(1+Supuestos!$E$10^2/Supuestos!$D$10^2))),Supuestos!$D$10))))))</f>
        <v/>
      </c>
      <c r="O344" s="31">
        <f>MIN(IF(Supuestos!$H$11="",1E+99,Supuestos!$H$11),MAX(IF(Supuestos!$G$11="",-1E+99,Supuestos!$G$11),IF(Supuestos!$C$11="Normal",NORMINV(H344,Supuestos!$D$11,Supuestos!$E$11),IF(Supuestos!$C$11="Triangular",IF(H344&lt;(Supuestos!$E$11-Supuestos!$D$11)/(Supuestos!$F$11-Supuestos!$D$11),Supuestos!$D$11+SQRT(H344*(Supuestos!$F$11-Supuestos!$D$11)*(Supuestos!$E$11-Supuestos!$D$11)),Supuestos!$F$11-SQRT((1-H344)*(Supuestos!$F$11-Supuestos!$D$11)*(Supuestos!$F$11-Supuestos!$E$11))),IF(Supuestos!$C$11="Uniforme",Supuestos!$D$11+H344*(Supuestos!$E$11-Supuestos!$D$11),IF(Supuestos!$C$11="Lognormal",LOGINV(H344,LN(Supuestos!$D$11)-LN(1+Supuestos!$E$11^2/Supuestos!$D$11^2)/2,SQRT(LN(1+Supuestos!$E$11^2/Supuestos!$D$11^2))),Supuestos!$D$11))))))</f>
        <v/>
      </c>
      <c r="P344" s="33">
        <f>-I344</f>
        <v/>
      </c>
      <c r="Q344" s="33">
        <f>$J344*(1+$K344)^(1-1)*(1-$L344)*(1-$M344)</f>
        <v/>
      </c>
      <c r="R344" s="33">
        <f>$J344*(1+$K344)^(2-1)*(1-$L344)*(1-$M344)</f>
        <v/>
      </c>
      <c r="S344" s="33">
        <f>$J344*(1+$K344)^(3-1)*(1-$L344)*(1-$M344)</f>
        <v/>
      </c>
      <c r="T344" s="33">
        <f>$J344*(1+$K344)^(4-1)*(1-$L344)*(1-$M344)</f>
        <v/>
      </c>
      <c r="U344" s="33">
        <f>$J344*(1+$K344)^(5-1)*(1-$L344)*(1-$M344)+$O344</f>
        <v/>
      </c>
      <c r="V344" s="33">
        <f>P344+NPV($N344,Q344:U344)</f>
        <v/>
      </c>
      <c r="W344" s="32">
        <f>IFERROR(IRR(P344:U344,0.1),"")</f>
        <v/>
      </c>
    </row>
    <row r="345">
      <c r="A345" s="14" t="n">
        <v>341</v>
      </c>
      <c r="B345" s="30">
        <f>RAND()*(1-2E-6)+1E-6</f>
        <v/>
      </c>
      <c r="C345" s="30">
        <f>RAND()*(1-2E-6)+1E-6</f>
        <v/>
      </c>
      <c r="D345" s="30">
        <f>RAND()*(1-2E-6)+1E-6</f>
        <v/>
      </c>
      <c r="E345" s="30">
        <f>RAND()*(1-2E-6)+1E-6</f>
        <v/>
      </c>
      <c r="F345" s="30">
        <f>RAND()*(1-2E-6)+1E-6</f>
        <v/>
      </c>
      <c r="G345" s="30">
        <f>RAND()*(1-2E-6)+1E-6</f>
        <v/>
      </c>
      <c r="H345" s="30">
        <f>RAND()*(1-2E-6)+1E-6</f>
        <v/>
      </c>
      <c r="I345" s="31">
        <f>MIN(IF(Supuestos!$H$5="",1E+99,Supuestos!$H$5),MAX(IF(Supuestos!$G$5="",-1E+99,Supuestos!$G$5),IF(Supuestos!$C$5="Normal",NORMINV(B345,Supuestos!$D$5,Supuestos!$E$5),IF(Supuestos!$C$5="Triangular",IF(B345&lt;(Supuestos!$E$5-Supuestos!$D$5)/(Supuestos!$F$5-Supuestos!$D$5),Supuestos!$D$5+SQRT(B345*(Supuestos!$F$5-Supuestos!$D$5)*(Supuestos!$E$5-Supuestos!$D$5)),Supuestos!$F$5-SQRT((1-B345)*(Supuestos!$F$5-Supuestos!$D$5)*(Supuestos!$F$5-Supuestos!$E$5))),IF(Supuestos!$C$5="Uniforme",Supuestos!$D$5+B345*(Supuestos!$E$5-Supuestos!$D$5),IF(Supuestos!$C$5="Lognormal",LOGINV(B345,LN(Supuestos!$D$5)-LN(1+Supuestos!$E$5^2/Supuestos!$D$5^2)/2,SQRT(LN(1+Supuestos!$E$5^2/Supuestos!$D$5^2))),Supuestos!$D$5))))))</f>
        <v/>
      </c>
      <c r="J345" s="31">
        <f>MIN(IF(Supuestos!$H$6="",1E+99,Supuestos!$H$6),MAX(IF(Supuestos!$G$6="",-1E+99,Supuestos!$G$6),IF(Supuestos!$C$6="Normal",NORMINV(C345,Supuestos!$D$6,Supuestos!$E$6),IF(Supuestos!$C$6="Triangular",IF(C345&lt;(Supuestos!$E$6-Supuestos!$D$6)/(Supuestos!$F$6-Supuestos!$D$6),Supuestos!$D$6+SQRT(C345*(Supuestos!$F$6-Supuestos!$D$6)*(Supuestos!$E$6-Supuestos!$D$6)),Supuestos!$F$6-SQRT((1-C345)*(Supuestos!$F$6-Supuestos!$D$6)*(Supuestos!$F$6-Supuestos!$E$6))),IF(Supuestos!$C$6="Uniforme",Supuestos!$D$6+C345*(Supuestos!$E$6-Supuestos!$D$6),IF(Supuestos!$C$6="Lognormal",LOGINV(C345,LN(Supuestos!$D$6)-LN(1+Supuestos!$E$6^2/Supuestos!$D$6^2)/2,SQRT(LN(1+Supuestos!$E$6^2/Supuestos!$D$6^2))),Supuestos!$D$6))))))</f>
        <v/>
      </c>
      <c r="K345" s="32">
        <f>MIN(IF(Supuestos!$H$7="",1E+99,Supuestos!$H$7),MAX(IF(Supuestos!$G$7="",-1E+99,Supuestos!$G$7),IF(Supuestos!$C$7="Normal",NORMINV(D345,Supuestos!$D$7,Supuestos!$E$7),IF(Supuestos!$C$7="Triangular",IF(D345&lt;(Supuestos!$E$7-Supuestos!$D$7)/(Supuestos!$F$7-Supuestos!$D$7),Supuestos!$D$7+SQRT(D345*(Supuestos!$F$7-Supuestos!$D$7)*(Supuestos!$E$7-Supuestos!$D$7)),Supuestos!$F$7-SQRT((1-D345)*(Supuestos!$F$7-Supuestos!$D$7)*(Supuestos!$F$7-Supuestos!$E$7))),IF(Supuestos!$C$7="Uniforme",Supuestos!$D$7+D345*(Supuestos!$E$7-Supuestos!$D$7),IF(Supuestos!$C$7="Lognormal",LOGINV(D345,LN(Supuestos!$D$7)-LN(1+Supuestos!$E$7^2/Supuestos!$D$7^2)/2,SQRT(LN(1+Supuestos!$E$7^2/Supuestos!$D$7^2))),Supuestos!$D$7))))))</f>
        <v/>
      </c>
      <c r="L345" s="32">
        <f>MIN(IF(Supuestos!$H$8="",1E+99,Supuestos!$H$8),MAX(IF(Supuestos!$G$8="",-1E+99,Supuestos!$G$8),IF(Supuestos!$C$8="Normal",NORMINV(E345,Supuestos!$D$8,Supuestos!$E$8),IF(Supuestos!$C$8="Triangular",IF(E345&lt;(Supuestos!$E$8-Supuestos!$D$8)/(Supuestos!$F$8-Supuestos!$D$8),Supuestos!$D$8+SQRT(E345*(Supuestos!$F$8-Supuestos!$D$8)*(Supuestos!$E$8-Supuestos!$D$8)),Supuestos!$F$8-SQRT((1-E345)*(Supuestos!$F$8-Supuestos!$D$8)*(Supuestos!$F$8-Supuestos!$E$8))),IF(Supuestos!$C$8="Uniforme",Supuestos!$D$8+E345*(Supuestos!$E$8-Supuestos!$D$8),IF(Supuestos!$C$8="Lognormal",LOGINV(E345,LN(Supuestos!$D$8)-LN(1+Supuestos!$E$8^2/Supuestos!$D$8^2)/2,SQRT(LN(1+Supuestos!$E$8^2/Supuestos!$D$8^2))),Supuestos!$D$8))))))</f>
        <v/>
      </c>
      <c r="M345" s="32">
        <f>MIN(IF(Supuestos!$H$9="",1E+99,Supuestos!$H$9),MAX(IF(Supuestos!$G$9="",-1E+99,Supuestos!$G$9),IF(Supuestos!$C$9="Normal",NORMINV(F345,Supuestos!$D$9,Supuestos!$E$9),IF(Supuestos!$C$9="Triangular",IF(F345&lt;(Supuestos!$E$9-Supuestos!$D$9)/(Supuestos!$F$9-Supuestos!$D$9),Supuestos!$D$9+SQRT(F345*(Supuestos!$F$9-Supuestos!$D$9)*(Supuestos!$E$9-Supuestos!$D$9)),Supuestos!$F$9-SQRT((1-F345)*(Supuestos!$F$9-Supuestos!$D$9)*(Supuestos!$F$9-Supuestos!$E$9))),IF(Supuestos!$C$9="Uniforme",Supuestos!$D$9+F345*(Supuestos!$E$9-Supuestos!$D$9),IF(Supuestos!$C$9="Lognormal",LOGINV(F345,LN(Supuestos!$D$9)-LN(1+Supuestos!$E$9^2/Supuestos!$D$9^2)/2,SQRT(LN(1+Supuestos!$E$9^2/Supuestos!$D$9^2))),Supuestos!$D$9))))))</f>
        <v/>
      </c>
      <c r="N345" s="32">
        <f>MIN(IF(Supuestos!$H$10="",1E+99,Supuestos!$H$10),MAX(IF(Supuestos!$G$10="",-1E+99,Supuestos!$G$10),IF(Supuestos!$C$10="Normal",NORMINV(G345,Supuestos!$D$10,Supuestos!$E$10),IF(Supuestos!$C$10="Triangular",IF(G345&lt;(Supuestos!$E$10-Supuestos!$D$10)/(Supuestos!$F$10-Supuestos!$D$10),Supuestos!$D$10+SQRT(G345*(Supuestos!$F$10-Supuestos!$D$10)*(Supuestos!$E$10-Supuestos!$D$10)),Supuestos!$F$10-SQRT((1-G345)*(Supuestos!$F$10-Supuestos!$D$10)*(Supuestos!$F$10-Supuestos!$E$10))),IF(Supuestos!$C$10="Uniforme",Supuestos!$D$10+G345*(Supuestos!$E$10-Supuestos!$D$10),IF(Supuestos!$C$10="Lognormal",LOGINV(G345,LN(Supuestos!$D$10)-LN(1+Supuestos!$E$10^2/Supuestos!$D$10^2)/2,SQRT(LN(1+Supuestos!$E$10^2/Supuestos!$D$10^2))),Supuestos!$D$10))))))</f>
        <v/>
      </c>
      <c r="O345" s="31">
        <f>MIN(IF(Supuestos!$H$11="",1E+99,Supuestos!$H$11),MAX(IF(Supuestos!$G$11="",-1E+99,Supuestos!$G$11),IF(Supuestos!$C$11="Normal",NORMINV(H345,Supuestos!$D$11,Supuestos!$E$11),IF(Supuestos!$C$11="Triangular",IF(H345&lt;(Supuestos!$E$11-Supuestos!$D$11)/(Supuestos!$F$11-Supuestos!$D$11),Supuestos!$D$11+SQRT(H345*(Supuestos!$F$11-Supuestos!$D$11)*(Supuestos!$E$11-Supuestos!$D$11)),Supuestos!$F$11-SQRT((1-H345)*(Supuestos!$F$11-Supuestos!$D$11)*(Supuestos!$F$11-Supuestos!$E$11))),IF(Supuestos!$C$11="Uniforme",Supuestos!$D$11+H345*(Supuestos!$E$11-Supuestos!$D$11),IF(Supuestos!$C$11="Lognormal",LOGINV(H345,LN(Supuestos!$D$11)-LN(1+Supuestos!$E$11^2/Supuestos!$D$11^2)/2,SQRT(LN(1+Supuestos!$E$11^2/Supuestos!$D$11^2))),Supuestos!$D$11))))))</f>
        <v/>
      </c>
      <c r="P345" s="33">
        <f>-I345</f>
        <v/>
      </c>
      <c r="Q345" s="33">
        <f>$J345*(1+$K345)^(1-1)*(1-$L345)*(1-$M345)</f>
        <v/>
      </c>
      <c r="R345" s="33">
        <f>$J345*(1+$K345)^(2-1)*(1-$L345)*(1-$M345)</f>
        <v/>
      </c>
      <c r="S345" s="33">
        <f>$J345*(1+$K345)^(3-1)*(1-$L345)*(1-$M345)</f>
        <v/>
      </c>
      <c r="T345" s="33">
        <f>$J345*(1+$K345)^(4-1)*(1-$L345)*(1-$M345)</f>
        <v/>
      </c>
      <c r="U345" s="33">
        <f>$J345*(1+$K345)^(5-1)*(1-$L345)*(1-$M345)+$O345</f>
        <v/>
      </c>
      <c r="V345" s="33">
        <f>P345+NPV($N345,Q345:U345)</f>
        <v/>
      </c>
      <c r="W345" s="32">
        <f>IFERROR(IRR(P345:U345,0.1),"")</f>
        <v/>
      </c>
    </row>
    <row r="346">
      <c r="A346" s="14" t="n">
        <v>342</v>
      </c>
      <c r="B346" s="30">
        <f>RAND()*(1-2E-6)+1E-6</f>
        <v/>
      </c>
      <c r="C346" s="30">
        <f>RAND()*(1-2E-6)+1E-6</f>
        <v/>
      </c>
      <c r="D346" s="30">
        <f>RAND()*(1-2E-6)+1E-6</f>
        <v/>
      </c>
      <c r="E346" s="30">
        <f>RAND()*(1-2E-6)+1E-6</f>
        <v/>
      </c>
      <c r="F346" s="30">
        <f>RAND()*(1-2E-6)+1E-6</f>
        <v/>
      </c>
      <c r="G346" s="30">
        <f>RAND()*(1-2E-6)+1E-6</f>
        <v/>
      </c>
      <c r="H346" s="30">
        <f>RAND()*(1-2E-6)+1E-6</f>
        <v/>
      </c>
      <c r="I346" s="31">
        <f>MIN(IF(Supuestos!$H$5="",1E+99,Supuestos!$H$5),MAX(IF(Supuestos!$G$5="",-1E+99,Supuestos!$G$5),IF(Supuestos!$C$5="Normal",NORMINV(B346,Supuestos!$D$5,Supuestos!$E$5),IF(Supuestos!$C$5="Triangular",IF(B346&lt;(Supuestos!$E$5-Supuestos!$D$5)/(Supuestos!$F$5-Supuestos!$D$5),Supuestos!$D$5+SQRT(B346*(Supuestos!$F$5-Supuestos!$D$5)*(Supuestos!$E$5-Supuestos!$D$5)),Supuestos!$F$5-SQRT((1-B346)*(Supuestos!$F$5-Supuestos!$D$5)*(Supuestos!$F$5-Supuestos!$E$5))),IF(Supuestos!$C$5="Uniforme",Supuestos!$D$5+B346*(Supuestos!$E$5-Supuestos!$D$5),IF(Supuestos!$C$5="Lognormal",LOGINV(B346,LN(Supuestos!$D$5)-LN(1+Supuestos!$E$5^2/Supuestos!$D$5^2)/2,SQRT(LN(1+Supuestos!$E$5^2/Supuestos!$D$5^2))),Supuestos!$D$5))))))</f>
        <v/>
      </c>
      <c r="J346" s="31">
        <f>MIN(IF(Supuestos!$H$6="",1E+99,Supuestos!$H$6),MAX(IF(Supuestos!$G$6="",-1E+99,Supuestos!$G$6),IF(Supuestos!$C$6="Normal",NORMINV(C346,Supuestos!$D$6,Supuestos!$E$6),IF(Supuestos!$C$6="Triangular",IF(C346&lt;(Supuestos!$E$6-Supuestos!$D$6)/(Supuestos!$F$6-Supuestos!$D$6),Supuestos!$D$6+SQRT(C346*(Supuestos!$F$6-Supuestos!$D$6)*(Supuestos!$E$6-Supuestos!$D$6)),Supuestos!$F$6-SQRT((1-C346)*(Supuestos!$F$6-Supuestos!$D$6)*(Supuestos!$F$6-Supuestos!$E$6))),IF(Supuestos!$C$6="Uniforme",Supuestos!$D$6+C346*(Supuestos!$E$6-Supuestos!$D$6),IF(Supuestos!$C$6="Lognormal",LOGINV(C346,LN(Supuestos!$D$6)-LN(1+Supuestos!$E$6^2/Supuestos!$D$6^2)/2,SQRT(LN(1+Supuestos!$E$6^2/Supuestos!$D$6^2))),Supuestos!$D$6))))))</f>
        <v/>
      </c>
      <c r="K346" s="32">
        <f>MIN(IF(Supuestos!$H$7="",1E+99,Supuestos!$H$7),MAX(IF(Supuestos!$G$7="",-1E+99,Supuestos!$G$7),IF(Supuestos!$C$7="Normal",NORMINV(D346,Supuestos!$D$7,Supuestos!$E$7),IF(Supuestos!$C$7="Triangular",IF(D346&lt;(Supuestos!$E$7-Supuestos!$D$7)/(Supuestos!$F$7-Supuestos!$D$7),Supuestos!$D$7+SQRT(D346*(Supuestos!$F$7-Supuestos!$D$7)*(Supuestos!$E$7-Supuestos!$D$7)),Supuestos!$F$7-SQRT((1-D346)*(Supuestos!$F$7-Supuestos!$D$7)*(Supuestos!$F$7-Supuestos!$E$7))),IF(Supuestos!$C$7="Uniforme",Supuestos!$D$7+D346*(Supuestos!$E$7-Supuestos!$D$7),IF(Supuestos!$C$7="Lognormal",LOGINV(D346,LN(Supuestos!$D$7)-LN(1+Supuestos!$E$7^2/Supuestos!$D$7^2)/2,SQRT(LN(1+Supuestos!$E$7^2/Supuestos!$D$7^2))),Supuestos!$D$7))))))</f>
        <v/>
      </c>
      <c r="L346" s="32">
        <f>MIN(IF(Supuestos!$H$8="",1E+99,Supuestos!$H$8),MAX(IF(Supuestos!$G$8="",-1E+99,Supuestos!$G$8),IF(Supuestos!$C$8="Normal",NORMINV(E346,Supuestos!$D$8,Supuestos!$E$8),IF(Supuestos!$C$8="Triangular",IF(E346&lt;(Supuestos!$E$8-Supuestos!$D$8)/(Supuestos!$F$8-Supuestos!$D$8),Supuestos!$D$8+SQRT(E346*(Supuestos!$F$8-Supuestos!$D$8)*(Supuestos!$E$8-Supuestos!$D$8)),Supuestos!$F$8-SQRT((1-E346)*(Supuestos!$F$8-Supuestos!$D$8)*(Supuestos!$F$8-Supuestos!$E$8))),IF(Supuestos!$C$8="Uniforme",Supuestos!$D$8+E346*(Supuestos!$E$8-Supuestos!$D$8),IF(Supuestos!$C$8="Lognormal",LOGINV(E346,LN(Supuestos!$D$8)-LN(1+Supuestos!$E$8^2/Supuestos!$D$8^2)/2,SQRT(LN(1+Supuestos!$E$8^2/Supuestos!$D$8^2))),Supuestos!$D$8))))))</f>
        <v/>
      </c>
      <c r="M346" s="32">
        <f>MIN(IF(Supuestos!$H$9="",1E+99,Supuestos!$H$9),MAX(IF(Supuestos!$G$9="",-1E+99,Supuestos!$G$9),IF(Supuestos!$C$9="Normal",NORMINV(F346,Supuestos!$D$9,Supuestos!$E$9),IF(Supuestos!$C$9="Triangular",IF(F346&lt;(Supuestos!$E$9-Supuestos!$D$9)/(Supuestos!$F$9-Supuestos!$D$9),Supuestos!$D$9+SQRT(F346*(Supuestos!$F$9-Supuestos!$D$9)*(Supuestos!$E$9-Supuestos!$D$9)),Supuestos!$F$9-SQRT((1-F346)*(Supuestos!$F$9-Supuestos!$D$9)*(Supuestos!$F$9-Supuestos!$E$9))),IF(Supuestos!$C$9="Uniforme",Supuestos!$D$9+F346*(Supuestos!$E$9-Supuestos!$D$9),IF(Supuestos!$C$9="Lognormal",LOGINV(F346,LN(Supuestos!$D$9)-LN(1+Supuestos!$E$9^2/Supuestos!$D$9^2)/2,SQRT(LN(1+Supuestos!$E$9^2/Supuestos!$D$9^2))),Supuestos!$D$9))))))</f>
        <v/>
      </c>
      <c r="N346" s="32">
        <f>MIN(IF(Supuestos!$H$10="",1E+99,Supuestos!$H$10),MAX(IF(Supuestos!$G$10="",-1E+99,Supuestos!$G$10),IF(Supuestos!$C$10="Normal",NORMINV(G346,Supuestos!$D$10,Supuestos!$E$10),IF(Supuestos!$C$10="Triangular",IF(G346&lt;(Supuestos!$E$10-Supuestos!$D$10)/(Supuestos!$F$10-Supuestos!$D$10),Supuestos!$D$10+SQRT(G346*(Supuestos!$F$10-Supuestos!$D$10)*(Supuestos!$E$10-Supuestos!$D$10)),Supuestos!$F$10-SQRT((1-G346)*(Supuestos!$F$10-Supuestos!$D$10)*(Supuestos!$F$10-Supuestos!$E$10))),IF(Supuestos!$C$10="Uniforme",Supuestos!$D$10+G346*(Supuestos!$E$10-Supuestos!$D$10),IF(Supuestos!$C$10="Lognormal",LOGINV(G346,LN(Supuestos!$D$10)-LN(1+Supuestos!$E$10^2/Supuestos!$D$10^2)/2,SQRT(LN(1+Supuestos!$E$10^2/Supuestos!$D$10^2))),Supuestos!$D$10))))))</f>
        <v/>
      </c>
      <c r="O346" s="31">
        <f>MIN(IF(Supuestos!$H$11="",1E+99,Supuestos!$H$11),MAX(IF(Supuestos!$G$11="",-1E+99,Supuestos!$G$11),IF(Supuestos!$C$11="Normal",NORMINV(H346,Supuestos!$D$11,Supuestos!$E$11),IF(Supuestos!$C$11="Triangular",IF(H346&lt;(Supuestos!$E$11-Supuestos!$D$11)/(Supuestos!$F$11-Supuestos!$D$11),Supuestos!$D$11+SQRT(H346*(Supuestos!$F$11-Supuestos!$D$11)*(Supuestos!$E$11-Supuestos!$D$11)),Supuestos!$F$11-SQRT((1-H346)*(Supuestos!$F$11-Supuestos!$D$11)*(Supuestos!$F$11-Supuestos!$E$11))),IF(Supuestos!$C$11="Uniforme",Supuestos!$D$11+H346*(Supuestos!$E$11-Supuestos!$D$11),IF(Supuestos!$C$11="Lognormal",LOGINV(H346,LN(Supuestos!$D$11)-LN(1+Supuestos!$E$11^2/Supuestos!$D$11^2)/2,SQRT(LN(1+Supuestos!$E$11^2/Supuestos!$D$11^2))),Supuestos!$D$11))))))</f>
        <v/>
      </c>
      <c r="P346" s="33">
        <f>-I346</f>
        <v/>
      </c>
      <c r="Q346" s="33">
        <f>$J346*(1+$K346)^(1-1)*(1-$L346)*(1-$M346)</f>
        <v/>
      </c>
      <c r="R346" s="33">
        <f>$J346*(1+$K346)^(2-1)*(1-$L346)*(1-$M346)</f>
        <v/>
      </c>
      <c r="S346" s="33">
        <f>$J346*(1+$K346)^(3-1)*(1-$L346)*(1-$M346)</f>
        <v/>
      </c>
      <c r="T346" s="33">
        <f>$J346*(1+$K346)^(4-1)*(1-$L346)*(1-$M346)</f>
        <v/>
      </c>
      <c r="U346" s="33">
        <f>$J346*(1+$K346)^(5-1)*(1-$L346)*(1-$M346)+$O346</f>
        <v/>
      </c>
      <c r="V346" s="33">
        <f>P346+NPV($N346,Q346:U346)</f>
        <v/>
      </c>
      <c r="W346" s="32">
        <f>IFERROR(IRR(P346:U346,0.1),"")</f>
        <v/>
      </c>
    </row>
    <row r="347">
      <c r="A347" s="14" t="n">
        <v>343</v>
      </c>
      <c r="B347" s="30">
        <f>RAND()*(1-2E-6)+1E-6</f>
        <v/>
      </c>
      <c r="C347" s="30">
        <f>RAND()*(1-2E-6)+1E-6</f>
        <v/>
      </c>
      <c r="D347" s="30">
        <f>RAND()*(1-2E-6)+1E-6</f>
        <v/>
      </c>
      <c r="E347" s="30">
        <f>RAND()*(1-2E-6)+1E-6</f>
        <v/>
      </c>
      <c r="F347" s="30">
        <f>RAND()*(1-2E-6)+1E-6</f>
        <v/>
      </c>
      <c r="G347" s="30">
        <f>RAND()*(1-2E-6)+1E-6</f>
        <v/>
      </c>
      <c r="H347" s="30">
        <f>RAND()*(1-2E-6)+1E-6</f>
        <v/>
      </c>
      <c r="I347" s="31">
        <f>MIN(IF(Supuestos!$H$5="",1E+99,Supuestos!$H$5),MAX(IF(Supuestos!$G$5="",-1E+99,Supuestos!$G$5),IF(Supuestos!$C$5="Normal",NORMINV(B347,Supuestos!$D$5,Supuestos!$E$5),IF(Supuestos!$C$5="Triangular",IF(B347&lt;(Supuestos!$E$5-Supuestos!$D$5)/(Supuestos!$F$5-Supuestos!$D$5),Supuestos!$D$5+SQRT(B347*(Supuestos!$F$5-Supuestos!$D$5)*(Supuestos!$E$5-Supuestos!$D$5)),Supuestos!$F$5-SQRT((1-B347)*(Supuestos!$F$5-Supuestos!$D$5)*(Supuestos!$F$5-Supuestos!$E$5))),IF(Supuestos!$C$5="Uniforme",Supuestos!$D$5+B347*(Supuestos!$E$5-Supuestos!$D$5),IF(Supuestos!$C$5="Lognormal",LOGINV(B347,LN(Supuestos!$D$5)-LN(1+Supuestos!$E$5^2/Supuestos!$D$5^2)/2,SQRT(LN(1+Supuestos!$E$5^2/Supuestos!$D$5^2))),Supuestos!$D$5))))))</f>
        <v/>
      </c>
      <c r="J347" s="31">
        <f>MIN(IF(Supuestos!$H$6="",1E+99,Supuestos!$H$6),MAX(IF(Supuestos!$G$6="",-1E+99,Supuestos!$G$6),IF(Supuestos!$C$6="Normal",NORMINV(C347,Supuestos!$D$6,Supuestos!$E$6),IF(Supuestos!$C$6="Triangular",IF(C347&lt;(Supuestos!$E$6-Supuestos!$D$6)/(Supuestos!$F$6-Supuestos!$D$6),Supuestos!$D$6+SQRT(C347*(Supuestos!$F$6-Supuestos!$D$6)*(Supuestos!$E$6-Supuestos!$D$6)),Supuestos!$F$6-SQRT((1-C347)*(Supuestos!$F$6-Supuestos!$D$6)*(Supuestos!$F$6-Supuestos!$E$6))),IF(Supuestos!$C$6="Uniforme",Supuestos!$D$6+C347*(Supuestos!$E$6-Supuestos!$D$6),IF(Supuestos!$C$6="Lognormal",LOGINV(C347,LN(Supuestos!$D$6)-LN(1+Supuestos!$E$6^2/Supuestos!$D$6^2)/2,SQRT(LN(1+Supuestos!$E$6^2/Supuestos!$D$6^2))),Supuestos!$D$6))))))</f>
        <v/>
      </c>
      <c r="K347" s="32">
        <f>MIN(IF(Supuestos!$H$7="",1E+99,Supuestos!$H$7),MAX(IF(Supuestos!$G$7="",-1E+99,Supuestos!$G$7),IF(Supuestos!$C$7="Normal",NORMINV(D347,Supuestos!$D$7,Supuestos!$E$7),IF(Supuestos!$C$7="Triangular",IF(D347&lt;(Supuestos!$E$7-Supuestos!$D$7)/(Supuestos!$F$7-Supuestos!$D$7),Supuestos!$D$7+SQRT(D347*(Supuestos!$F$7-Supuestos!$D$7)*(Supuestos!$E$7-Supuestos!$D$7)),Supuestos!$F$7-SQRT((1-D347)*(Supuestos!$F$7-Supuestos!$D$7)*(Supuestos!$F$7-Supuestos!$E$7))),IF(Supuestos!$C$7="Uniforme",Supuestos!$D$7+D347*(Supuestos!$E$7-Supuestos!$D$7),IF(Supuestos!$C$7="Lognormal",LOGINV(D347,LN(Supuestos!$D$7)-LN(1+Supuestos!$E$7^2/Supuestos!$D$7^2)/2,SQRT(LN(1+Supuestos!$E$7^2/Supuestos!$D$7^2))),Supuestos!$D$7))))))</f>
        <v/>
      </c>
      <c r="L347" s="32">
        <f>MIN(IF(Supuestos!$H$8="",1E+99,Supuestos!$H$8),MAX(IF(Supuestos!$G$8="",-1E+99,Supuestos!$G$8),IF(Supuestos!$C$8="Normal",NORMINV(E347,Supuestos!$D$8,Supuestos!$E$8),IF(Supuestos!$C$8="Triangular",IF(E347&lt;(Supuestos!$E$8-Supuestos!$D$8)/(Supuestos!$F$8-Supuestos!$D$8),Supuestos!$D$8+SQRT(E347*(Supuestos!$F$8-Supuestos!$D$8)*(Supuestos!$E$8-Supuestos!$D$8)),Supuestos!$F$8-SQRT((1-E347)*(Supuestos!$F$8-Supuestos!$D$8)*(Supuestos!$F$8-Supuestos!$E$8))),IF(Supuestos!$C$8="Uniforme",Supuestos!$D$8+E347*(Supuestos!$E$8-Supuestos!$D$8),IF(Supuestos!$C$8="Lognormal",LOGINV(E347,LN(Supuestos!$D$8)-LN(1+Supuestos!$E$8^2/Supuestos!$D$8^2)/2,SQRT(LN(1+Supuestos!$E$8^2/Supuestos!$D$8^2))),Supuestos!$D$8))))))</f>
        <v/>
      </c>
      <c r="M347" s="32">
        <f>MIN(IF(Supuestos!$H$9="",1E+99,Supuestos!$H$9),MAX(IF(Supuestos!$G$9="",-1E+99,Supuestos!$G$9),IF(Supuestos!$C$9="Normal",NORMINV(F347,Supuestos!$D$9,Supuestos!$E$9),IF(Supuestos!$C$9="Triangular",IF(F347&lt;(Supuestos!$E$9-Supuestos!$D$9)/(Supuestos!$F$9-Supuestos!$D$9),Supuestos!$D$9+SQRT(F347*(Supuestos!$F$9-Supuestos!$D$9)*(Supuestos!$E$9-Supuestos!$D$9)),Supuestos!$F$9-SQRT((1-F347)*(Supuestos!$F$9-Supuestos!$D$9)*(Supuestos!$F$9-Supuestos!$E$9))),IF(Supuestos!$C$9="Uniforme",Supuestos!$D$9+F347*(Supuestos!$E$9-Supuestos!$D$9),IF(Supuestos!$C$9="Lognormal",LOGINV(F347,LN(Supuestos!$D$9)-LN(1+Supuestos!$E$9^2/Supuestos!$D$9^2)/2,SQRT(LN(1+Supuestos!$E$9^2/Supuestos!$D$9^2))),Supuestos!$D$9))))))</f>
        <v/>
      </c>
      <c r="N347" s="32">
        <f>MIN(IF(Supuestos!$H$10="",1E+99,Supuestos!$H$10),MAX(IF(Supuestos!$G$10="",-1E+99,Supuestos!$G$10),IF(Supuestos!$C$10="Normal",NORMINV(G347,Supuestos!$D$10,Supuestos!$E$10),IF(Supuestos!$C$10="Triangular",IF(G347&lt;(Supuestos!$E$10-Supuestos!$D$10)/(Supuestos!$F$10-Supuestos!$D$10),Supuestos!$D$10+SQRT(G347*(Supuestos!$F$10-Supuestos!$D$10)*(Supuestos!$E$10-Supuestos!$D$10)),Supuestos!$F$10-SQRT((1-G347)*(Supuestos!$F$10-Supuestos!$D$10)*(Supuestos!$F$10-Supuestos!$E$10))),IF(Supuestos!$C$10="Uniforme",Supuestos!$D$10+G347*(Supuestos!$E$10-Supuestos!$D$10),IF(Supuestos!$C$10="Lognormal",LOGINV(G347,LN(Supuestos!$D$10)-LN(1+Supuestos!$E$10^2/Supuestos!$D$10^2)/2,SQRT(LN(1+Supuestos!$E$10^2/Supuestos!$D$10^2))),Supuestos!$D$10))))))</f>
        <v/>
      </c>
      <c r="O347" s="31">
        <f>MIN(IF(Supuestos!$H$11="",1E+99,Supuestos!$H$11),MAX(IF(Supuestos!$G$11="",-1E+99,Supuestos!$G$11),IF(Supuestos!$C$11="Normal",NORMINV(H347,Supuestos!$D$11,Supuestos!$E$11),IF(Supuestos!$C$11="Triangular",IF(H347&lt;(Supuestos!$E$11-Supuestos!$D$11)/(Supuestos!$F$11-Supuestos!$D$11),Supuestos!$D$11+SQRT(H347*(Supuestos!$F$11-Supuestos!$D$11)*(Supuestos!$E$11-Supuestos!$D$11)),Supuestos!$F$11-SQRT((1-H347)*(Supuestos!$F$11-Supuestos!$D$11)*(Supuestos!$F$11-Supuestos!$E$11))),IF(Supuestos!$C$11="Uniforme",Supuestos!$D$11+H347*(Supuestos!$E$11-Supuestos!$D$11),IF(Supuestos!$C$11="Lognormal",LOGINV(H347,LN(Supuestos!$D$11)-LN(1+Supuestos!$E$11^2/Supuestos!$D$11^2)/2,SQRT(LN(1+Supuestos!$E$11^2/Supuestos!$D$11^2))),Supuestos!$D$11))))))</f>
        <v/>
      </c>
      <c r="P347" s="33">
        <f>-I347</f>
        <v/>
      </c>
      <c r="Q347" s="33">
        <f>$J347*(1+$K347)^(1-1)*(1-$L347)*(1-$M347)</f>
        <v/>
      </c>
      <c r="R347" s="33">
        <f>$J347*(1+$K347)^(2-1)*(1-$L347)*(1-$M347)</f>
        <v/>
      </c>
      <c r="S347" s="33">
        <f>$J347*(1+$K347)^(3-1)*(1-$L347)*(1-$M347)</f>
        <v/>
      </c>
      <c r="T347" s="33">
        <f>$J347*(1+$K347)^(4-1)*(1-$L347)*(1-$M347)</f>
        <v/>
      </c>
      <c r="U347" s="33">
        <f>$J347*(1+$K347)^(5-1)*(1-$L347)*(1-$M347)+$O347</f>
        <v/>
      </c>
      <c r="V347" s="33">
        <f>P347+NPV($N347,Q347:U347)</f>
        <v/>
      </c>
      <c r="W347" s="32">
        <f>IFERROR(IRR(P347:U347,0.1),"")</f>
        <v/>
      </c>
    </row>
    <row r="348">
      <c r="A348" s="14" t="n">
        <v>344</v>
      </c>
      <c r="B348" s="30">
        <f>RAND()*(1-2E-6)+1E-6</f>
        <v/>
      </c>
      <c r="C348" s="30">
        <f>RAND()*(1-2E-6)+1E-6</f>
        <v/>
      </c>
      <c r="D348" s="30">
        <f>RAND()*(1-2E-6)+1E-6</f>
        <v/>
      </c>
      <c r="E348" s="30">
        <f>RAND()*(1-2E-6)+1E-6</f>
        <v/>
      </c>
      <c r="F348" s="30">
        <f>RAND()*(1-2E-6)+1E-6</f>
        <v/>
      </c>
      <c r="G348" s="30">
        <f>RAND()*(1-2E-6)+1E-6</f>
        <v/>
      </c>
      <c r="H348" s="30">
        <f>RAND()*(1-2E-6)+1E-6</f>
        <v/>
      </c>
      <c r="I348" s="31">
        <f>MIN(IF(Supuestos!$H$5="",1E+99,Supuestos!$H$5),MAX(IF(Supuestos!$G$5="",-1E+99,Supuestos!$G$5),IF(Supuestos!$C$5="Normal",NORMINV(B348,Supuestos!$D$5,Supuestos!$E$5),IF(Supuestos!$C$5="Triangular",IF(B348&lt;(Supuestos!$E$5-Supuestos!$D$5)/(Supuestos!$F$5-Supuestos!$D$5),Supuestos!$D$5+SQRT(B348*(Supuestos!$F$5-Supuestos!$D$5)*(Supuestos!$E$5-Supuestos!$D$5)),Supuestos!$F$5-SQRT((1-B348)*(Supuestos!$F$5-Supuestos!$D$5)*(Supuestos!$F$5-Supuestos!$E$5))),IF(Supuestos!$C$5="Uniforme",Supuestos!$D$5+B348*(Supuestos!$E$5-Supuestos!$D$5),IF(Supuestos!$C$5="Lognormal",LOGINV(B348,LN(Supuestos!$D$5)-LN(1+Supuestos!$E$5^2/Supuestos!$D$5^2)/2,SQRT(LN(1+Supuestos!$E$5^2/Supuestos!$D$5^2))),Supuestos!$D$5))))))</f>
        <v/>
      </c>
      <c r="J348" s="31">
        <f>MIN(IF(Supuestos!$H$6="",1E+99,Supuestos!$H$6),MAX(IF(Supuestos!$G$6="",-1E+99,Supuestos!$G$6),IF(Supuestos!$C$6="Normal",NORMINV(C348,Supuestos!$D$6,Supuestos!$E$6),IF(Supuestos!$C$6="Triangular",IF(C348&lt;(Supuestos!$E$6-Supuestos!$D$6)/(Supuestos!$F$6-Supuestos!$D$6),Supuestos!$D$6+SQRT(C348*(Supuestos!$F$6-Supuestos!$D$6)*(Supuestos!$E$6-Supuestos!$D$6)),Supuestos!$F$6-SQRT((1-C348)*(Supuestos!$F$6-Supuestos!$D$6)*(Supuestos!$F$6-Supuestos!$E$6))),IF(Supuestos!$C$6="Uniforme",Supuestos!$D$6+C348*(Supuestos!$E$6-Supuestos!$D$6),IF(Supuestos!$C$6="Lognormal",LOGINV(C348,LN(Supuestos!$D$6)-LN(1+Supuestos!$E$6^2/Supuestos!$D$6^2)/2,SQRT(LN(1+Supuestos!$E$6^2/Supuestos!$D$6^2))),Supuestos!$D$6))))))</f>
        <v/>
      </c>
      <c r="K348" s="32">
        <f>MIN(IF(Supuestos!$H$7="",1E+99,Supuestos!$H$7),MAX(IF(Supuestos!$G$7="",-1E+99,Supuestos!$G$7),IF(Supuestos!$C$7="Normal",NORMINV(D348,Supuestos!$D$7,Supuestos!$E$7),IF(Supuestos!$C$7="Triangular",IF(D348&lt;(Supuestos!$E$7-Supuestos!$D$7)/(Supuestos!$F$7-Supuestos!$D$7),Supuestos!$D$7+SQRT(D348*(Supuestos!$F$7-Supuestos!$D$7)*(Supuestos!$E$7-Supuestos!$D$7)),Supuestos!$F$7-SQRT((1-D348)*(Supuestos!$F$7-Supuestos!$D$7)*(Supuestos!$F$7-Supuestos!$E$7))),IF(Supuestos!$C$7="Uniforme",Supuestos!$D$7+D348*(Supuestos!$E$7-Supuestos!$D$7),IF(Supuestos!$C$7="Lognormal",LOGINV(D348,LN(Supuestos!$D$7)-LN(1+Supuestos!$E$7^2/Supuestos!$D$7^2)/2,SQRT(LN(1+Supuestos!$E$7^2/Supuestos!$D$7^2))),Supuestos!$D$7))))))</f>
        <v/>
      </c>
      <c r="L348" s="32">
        <f>MIN(IF(Supuestos!$H$8="",1E+99,Supuestos!$H$8),MAX(IF(Supuestos!$G$8="",-1E+99,Supuestos!$G$8),IF(Supuestos!$C$8="Normal",NORMINV(E348,Supuestos!$D$8,Supuestos!$E$8),IF(Supuestos!$C$8="Triangular",IF(E348&lt;(Supuestos!$E$8-Supuestos!$D$8)/(Supuestos!$F$8-Supuestos!$D$8),Supuestos!$D$8+SQRT(E348*(Supuestos!$F$8-Supuestos!$D$8)*(Supuestos!$E$8-Supuestos!$D$8)),Supuestos!$F$8-SQRT((1-E348)*(Supuestos!$F$8-Supuestos!$D$8)*(Supuestos!$F$8-Supuestos!$E$8))),IF(Supuestos!$C$8="Uniforme",Supuestos!$D$8+E348*(Supuestos!$E$8-Supuestos!$D$8),IF(Supuestos!$C$8="Lognormal",LOGINV(E348,LN(Supuestos!$D$8)-LN(1+Supuestos!$E$8^2/Supuestos!$D$8^2)/2,SQRT(LN(1+Supuestos!$E$8^2/Supuestos!$D$8^2))),Supuestos!$D$8))))))</f>
        <v/>
      </c>
      <c r="M348" s="32">
        <f>MIN(IF(Supuestos!$H$9="",1E+99,Supuestos!$H$9),MAX(IF(Supuestos!$G$9="",-1E+99,Supuestos!$G$9),IF(Supuestos!$C$9="Normal",NORMINV(F348,Supuestos!$D$9,Supuestos!$E$9),IF(Supuestos!$C$9="Triangular",IF(F348&lt;(Supuestos!$E$9-Supuestos!$D$9)/(Supuestos!$F$9-Supuestos!$D$9),Supuestos!$D$9+SQRT(F348*(Supuestos!$F$9-Supuestos!$D$9)*(Supuestos!$E$9-Supuestos!$D$9)),Supuestos!$F$9-SQRT((1-F348)*(Supuestos!$F$9-Supuestos!$D$9)*(Supuestos!$F$9-Supuestos!$E$9))),IF(Supuestos!$C$9="Uniforme",Supuestos!$D$9+F348*(Supuestos!$E$9-Supuestos!$D$9),IF(Supuestos!$C$9="Lognormal",LOGINV(F348,LN(Supuestos!$D$9)-LN(1+Supuestos!$E$9^2/Supuestos!$D$9^2)/2,SQRT(LN(1+Supuestos!$E$9^2/Supuestos!$D$9^2))),Supuestos!$D$9))))))</f>
        <v/>
      </c>
      <c r="N348" s="32">
        <f>MIN(IF(Supuestos!$H$10="",1E+99,Supuestos!$H$10),MAX(IF(Supuestos!$G$10="",-1E+99,Supuestos!$G$10),IF(Supuestos!$C$10="Normal",NORMINV(G348,Supuestos!$D$10,Supuestos!$E$10),IF(Supuestos!$C$10="Triangular",IF(G348&lt;(Supuestos!$E$10-Supuestos!$D$10)/(Supuestos!$F$10-Supuestos!$D$10),Supuestos!$D$10+SQRT(G348*(Supuestos!$F$10-Supuestos!$D$10)*(Supuestos!$E$10-Supuestos!$D$10)),Supuestos!$F$10-SQRT((1-G348)*(Supuestos!$F$10-Supuestos!$D$10)*(Supuestos!$F$10-Supuestos!$E$10))),IF(Supuestos!$C$10="Uniforme",Supuestos!$D$10+G348*(Supuestos!$E$10-Supuestos!$D$10),IF(Supuestos!$C$10="Lognormal",LOGINV(G348,LN(Supuestos!$D$10)-LN(1+Supuestos!$E$10^2/Supuestos!$D$10^2)/2,SQRT(LN(1+Supuestos!$E$10^2/Supuestos!$D$10^2))),Supuestos!$D$10))))))</f>
        <v/>
      </c>
      <c r="O348" s="31">
        <f>MIN(IF(Supuestos!$H$11="",1E+99,Supuestos!$H$11),MAX(IF(Supuestos!$G$11="",-1E+99,Supuestos!$G$11),IF(Supuestos!$C$11="Normal",NORMINV(H348,Supuestos!$D$11,Supuestos!$E$11),IF(Supuestos!$C$11="Triangular",IF(H348&lt;(Supuestos!$E$11-Supuestos!$D$11)/(Supuestos!$F$11-Supuestos!$D$11),Supuestos!$D$11+SQRT(H348*(Supuestos!$F$11-Supuestos!$D$11)*(Supuestos!$E$11-Supuestos!$D$11)),Supuestos!$F$11-SQRT((1-H348)*(Supuestos!$F$11-Supuestos!$D$11)*(Supuestos!$F$11-Supuestos!$E$11))),IF(Supuestos!$C$11="Uniforme",Supuestos!$D$11+H348*(Supuestos!$E$11-Supuestos!$D$11),IF(Supuestos!$C$11="Lognormal",LOGINV(H348,LN(Supuestos!$D$11)-LN(1+Supuestos!$E$11^2/Supuestos!$D$11^2)/2,SQRT(LN(1+Supuestos!$E$11^2/Supuestos!$D$11^2))),Supuestos!$D$11))))))</f>
        <v/>
      </c>
      <c r="P348" s="33">
        <f>-I348</f>
        <v/>
      </c>
      <c r="Q348" s="33">
        <f>$J348*(1+$K348)^(1-1)*(1-$L348)*(1-$M348)</f>
        <v/>
      </c>
      <c r="R348" s="33">
        <f>$J348*(1+$K348)^(2-1)*(1-$L348)*(1-$M348)</f>
        <v/>
      </c>
      <c r="S348" s="33">
        <f>$J348*(1+$K348)^(3-1)*(1-$L348)*(1-$M348)</f>
        <v/>
      </c>
      <c r="T348" s="33">
        <f>$J348*(1+$K348)^(4-1)*(1-$L348)*(1-$M348)</f>
        <v/>
      </c>
      <c r="U348" s="33">
        <f>$J348*(1+$K348)^(5-1)*(1-$L348)*(1-$M348)+$O348</f>
        <v/>
      </c>
      <c r="V348" s="33">
        <f>P348+NPV($N348,Q348:U348)</f>
        <v/>
      </c>
      <c r="W348" s="32">
        <f>IFERROR(IRR(P348:U348,0.1),"")</f>
        <v/>
      </c>
    </row>
    <row r="349">
      <c r="A349" s="14" t="n">
        <v>345</v>
      </c>
      <c r="B349" s="30">
        <f>RAND()*(1-2E-6)+1E-6</f>
        <v/>
      </c>
      <c r="C349" s="30">
        <f>RAND()*(1-2E-6)+1E-6</f>
        <v/>
      </c>
      <c r="D349" s="30">
        <f>RAND()*(1-2E-6)+1E-6</f>
        <v/>
      </c>
      <c r="E349" s="30">
        <f>RAND()*(1-2E-6)+1E-6</f>
        <v/>
      </c>
      <c r="F349" s="30">
        <f>RAND()*(1-2E-6)+1E-6</f>
        <v/>
      </c>
      <c r="G349" s="30">
        <f>RAND()*(1-2E-6)+1E-6</f>
        <v/>
      </c>
      <c r="H349" s="30">
        <f>RAND()*(1-2E-6)+1E-6</f>
        <v/>
      </c>
      <c r="I349" s="31">
        <f>MIN(IF(Supuestos!$H$5="",1E+99,Supuestos!$H$5),MAX(IF(Supuestos!$G$5="",-1E+99,Supuestos!$G$5),IF(Supuestos!$C$5="Normal",NORMINV(B349,Supuestos!$D$5,Supuestos!$E$5),IF(Supuestos!$C$5="Triangular",IF(B349&lt;(Supuestos!$E$5-Supuestos!$D$5)/(Supuestos!$F$5-Supuestos!$D$5),Supuestos!$D$5+SQRT(B349*(Supuestos!$F$5-Supuestos!$D$5)*(Supuestos!$E$5-Supuestos!$D$5)),Supuestos!$F$5-SQRT((1-B349)*(Supuestos!$F$5-Supuestos!$D$5)*(Supuestos!$F$5-Supuestos!$E$5))),IF(Supuestos!$C$5="Uniforme",Supuestos!$D$5+B349*(Supuestos!$E$5-Supuestos!$D$5),IF(Supuestos!$C$5="Lognormal",LOGINV(B349,LN(Supuestos!$D$5)-LN(1+Supuestos!$E$5^2/Supuestos!$D$5^2)/2,SQRT(LN(1+Supuestos!$E$5^2/Supuestos!$D$5^2))),Supuestos!$D$5))))))</f>
        <v/>
      </c>
      <c r="J349" s="31">
        <f>MIN(IF(Supuestos!$H$6="",1E+99,Supuestos!$H$6),MAX(IF(Supuestos!$G$6="",-1E+99,Supuestos!$G$6),IF(Supuestos!$C$6="Normal",NORMINV(C349,Supuestos!$D$6,Supuestos!$E$6),IF(Supuestos!$C$6="Triangular",IF(C349&lt;(Supuestos!$E$6-Supuestos!$D$6)/(Supuestos!$F$6-Supuestos!$D$6),Supuestos!$D$6+SQRT(C349*(Supuestos!$F$6-Supuestos!$D$6)*(Supuestos!$E$6-Supuestos!$D$6)),Supuestos!$F$6-SQRT((1-C349)*(Supuestos!$F$6-Supuestos!$D$6)*(Supuestos!$F$6-Supuestos!$E$6))),IF(Supuestos!$C$6="Uniforme",Supuestos!$D$6+C349*(Supuestos!$E$6-Supuestos!$D$6),IF(Supuestos!$C$6="Lognormal",LOGINV(C349,LN(Supuestos!$D$6)-LN(1+Supuestos!$E$6^2/Supuestos!$D$6^2)/2,SQRT(LN(1+Supuestos!$E$6^2/Supuestos!$D$6^2))),Supuestos!$D$6))))))</f>
        <v/>
      </c>
      <c r="K349" s="32">
        <f>MIN(IF(Supuestos!$H$7="",1E+99,Supuestos!$H$7),MAX(IF(Supuestos!$G$7="",-1E+99,Supuestos!$G$7),IF(Supuestos!$C$7="Normal",NORMINV(D349,Supuestos!$D$7,Supuestos!$E$7),IF(Supuestos!$C$7="Triangular",IF(D349&lt;(Supuestos!$E$7-Supuestos!$D$7)/(Supuestos!$F$7-Supuestos!$D$7),Supuestos!$D$7+SQRT(D349*(Supuestos!$F$7-Supuestos!$D$7)*(Supuestos!$E$7-Supuestos!$D$7)),Supuestos!$F$7-SQRT((1-D349)*(Supuestos!$F$7-Supuestos!$D$7)*(Supuestos!$F$7-Supuestos!$E$7))),IF(Supuestos!$C$7="Uniforme",Supuestos!$D$7+D349*(Supuestos!$E$7-Supuestos!$D$7),IF(Supuestos!$C$7="Lognormal",LOGINV(D349,LN(Supuestos!$D$7)-LN(1+Supuestos!$E$7^2/Supuestos!$D$7^2)/2,SQRT(LN(1+Supuestos!$E$7^2/Supuestos!$D$7^2))),Supuestos!$D$7))))))</f>
        <v/>
      </c>
      <c r="L349" s="32">
        <f>MIN(IF(Supuestos!$H$8="",1E+99,Supuestos!$H$8),MAX(IF(Supuestos!$G$8="",-1E+99,Supuestos!$G$8),IF(Supuestos!$C$8="Normal",NORMINV(E349,Supuestos!$D$8,Supuestos!$E$8),IF(Supuestos!$C$8="Triangular",IF(E349&lt;(Supuestos!$E$8-Supuestos!$D$8)/(Supuestos!$F$8-Supuestos!$D$8),Supuestos!$D$8+SQRT(E349*(Supuestos!$F$8-Supuestos!$D$8)*(Supuestos!$E$8-Supuestos!$D$8)),Supuestos!$F$8-SQRT((1-E349)*(Supuestos!$F$8-Supuestos!$D$8)*(Supuestos!$F$8-Supuestos!$E$8))),IF(Supuestos!$C$8="Uniforme",Supuestos!$D$8+E349*(Supuestos!$E$8-Supuestos!$D$8),IF(Supuestos!$C$8="Lognormal",LOGINV(E349,LN(Supuestos!$D$8)-LN(1+Supuestos!$E$8^2/Supuestos!$D$8^2)/2,SQRT(LN(1+Supuestos!$E$8^2/Supuestos!$D$8^2))),Supuestos!$D$8))))))</f>
        <v/>
      </c>
      <c r="M349" s="32">
        <f>MIN(IF(Supuestos!$H$9="",1E+99,Supuestos!$H$9),MAX(IF(Supuestos!$G$9="",-1E+99,Supuestos!$G$9),IF(Supuestos!$C$9="Normal",NORMINV(F349,Supuestos!$D$9,Supuestos!$E$9),IF(Supuestos!$C$9="Triangular",IF(F349&lt;(Supuestos!$E$9-Supuestos!$D$9)/(Supuestos!$F$9-Supuestos!$D$9),Supuestos!$D$9+SQRT(F349*(Supuestos!$F$9-Supuestos!$D$9)*(Supuestos!$E$9-Supuestos!$D$9)),Supuestos!$F$9-SQRT((1-F349)*(Supuestos!$F$9-Supuestos!$D$9)*(Supuestos!$F$9-Supuestos!$E$9))),IF(Supuestos!$C$9="Uniforme",Supuestos!$D$9+F349*(Supuestos!$E$9-Supuestos!$D$9),IF(Supuestos!$C$9="Lognormal",LOGINV(F349,LN(Supuestos!$D$9)-LN(1+Supuestos!$E$9^2/Supuestos!$D$9^2)/2,SQRT(LN(1+Supuestos!$E$9^2/Supuestos!$D$9^2))),Supuestos!$D$9))))))</f>
        <v/>
      </c>
      <c r="N349" s="32">
        <f>MIN(IF(Supuestos!$H$10="",1E+99,Supuestos!$H$10),MAX(IF(Supuestos!$G$10="",-1E+99,Supuestos!$G$10),IF(Supuestos!$C$10="Normal",NORMINV(G349,Supuestos!$D$10,Supuestos!$E$10),IF(Supuestos!$C$10="Triangular",IF(G349&lt;(Supuestos!$E$10-Supuestos!$D$10)/(Supuestos!$F$10-Supuestos!$D$10),Supuestos!$D$10+SQRT(G349*(Supuestos!$F$10-Supuestos!$D$10)*(Supuestos!$E$10-Supuestos!$D$10)),Supuestos!$F$10-SQRT((1-G349)*(Supuestos!$F$10-Supuestos!$D$10)*(Supuestos!$F$10-Supuestos!$E$10))),IF(Supuestos!$C$10="Uniforme",Supuestos!$D$10+G349*(Supuestos!$E$10-Supuestos!$D$10),IF(Supuestos!$C$10="Lognormal",LOGINV(G349,LN(Supuestos!$D$10)-LN(1+Supuestos!$E$10^2/Supuestos!$D$10^2)/2,SQRT(LN(1+Supuestos!$E$10^2/Supuestos!$D$10^2))),Supuestos!$D$10))))))</f>
        <v/>
      </c>
      <c r="O349" s="31">
        <f>MIN(IF(Supuestos!$H$11="",1E+99,Supuestos!$H$11),MAX(IF(Supuestos!$G$11="",-1E+99,Supuestos!$G$11),IF(Supuestos!$C$11="Normal",NORMINV(H349,Supuestos!$D$11,Supuestos!$E$11),IF(Supuestos!$C$11="Triangular",IF(H349&lt;(Supuestos!$E$11-Supuestos!$D$11)/(Supuestos!$F$11-Supuestos!$D$11),Supuestos!$D$11+SQRT(H349*(Supuestos!$F$11-Supuestos!$D$11)*(Supuestos!$E$11-Supuestos!$D$11)),Supuestos!$F$11-SQRT((1-H349)*(Supuestos!$F$11-Supuestos!$D$11)*(Supuestos!$F$11-Supuestos!$E$11))),IF(Supuestos!$C$11="Uniforme",Supuestos!$D$11+H349*(Supuestos!$E$11-Supuestos!$D$11),IF(Supuestos!$C$11="Lognormal",LOGINV(H349,LN(Supuestos!$D$11)-LN(1+Supuestos!$E$11^2/Supuestos!$D$11^2)/2,SQRT(LN(1+Supuestos!$E$11^2/Supuestos!$D$11^2))),Supuestos!$D$11))))))</f>
        <v/>
      </c>
      <c r="P349" s="33">
        <f>-I349</f>
        <v/>
      </c>
      <c r="Q349" s="33">
        <f>$J349*(1+$K349)^(1-1)*(1-$L349)*(1-$M349)</f>
        <v/>
      </c>
      <c r="R349" s="33">
        <f>$J349*(1+$K349)^(2-1)*(1-$L349)*(1-$M349)</f>
        <v/>
      </c>
      <c r="S349" s="33">
        <f>$J349*(1+$K349)^(3-1)*(1-$L349)*(1-$M349)</f>
        <v/>
      </c>
      <c r="T349" s="33">
        <f>$J349*(1+$K349)^(4-1)*(1-$L349)*(1-$M349)</f>
        <v/>
      </c>
      <c r="U349" s="33">
        <f>$J349*(1+$K349)^(5-1)*(1-$L349)*(1-$M349)+$O349</f>
        <v/>
      </c>
      <c r="V349" s="33">
        <f>P349+NPV($N349,Q349:U349)</f>
        <v/>
      </c>
      <c r="W349" s="32">
        <f>IFERROR(IRR(P349:U349,0.1),"")</f>
        <v/>
      </c>
    </row>
    <row r="350">
      <c r="A350" s="14" t="n">
        <v>346</v>
      </c>
      <c r="B350" s="30">
        <f>RAND()*(1-2E-6)+1E-6</f>
        <v/>
      </c>
      <c r="C350" s="30">
        <f>RAND()*(1-2E-6)+1E-6</f>
        <v/>
      </c>
      <c r="D350" s="30">
        <f>RAND()*(1-2E-6)+1E-6</f>
        <v/>
      </c>
      <c r="E350" s="30">
        <f>RAND()*(1-2E-6)+1E-6</f>
        <v/>
      </c>
      <c r="F350" s="30">
        <f>RAND()*(1-2E-6)+1E-6</f>
        <v/>
      </c>
      <c r="G350" s="30">
        <f>RAND()*(1-2E-6)+1E-6</f>
        <v/>
      </c>
      <c r="H350" s="30">
        <f>RAND()*(1-2E-6)+1E-6</f>
        <v/>
      </c>
      <c r="I350" s="31">
        <f>MIN(IF(Supuestos!$H$5="",1E+99,Supuestos!$H$5),MAX(IF(Supuestos!$G$5="",-1E+99,Supuestos!$G$5),IF(Supuestos!$C$5="Normal",NORMINV(B350,Supuestos!$D$5,Supuestos!$E$5),IF(Supuestos!$C$5="Triangular",IF(B350&lt;(Supuestos!$E$5-Supuestos!$D$5)/(Supuestos!$F$5-Supuestos!$D$5),Supuestos!$D$5+SQRT(B350*(Supuestos!$F$5-Supuestos!$D$5)*(Supuestos!$E$5-Supuestos!$D$5)),Supuestos!$F$5-SQRT((1-B350)*(Supuestos!$F$5-Supuestos!$D$5)*(Supuestos!$F$5-Supuestos!$E$5))),IF(Supuestos!$C$5="Uniforme",Supuestos!$D$5+B350*(Supuestos!$E$5-Supuestos!$D$5),IF(Supuestos!$C$5="Lognormal",LOGINV(B350,LN(Supuestos!$D$5)-LN(1+Supuestos!$E$5^2/Supuestos!$D$5^2)/2,SQRT(LN(1+Supuestos!$E$5^2/Supuestos!$D$5^2))),Supuestos!$D$5))))))</f>
        <v/>
      </c>
      <c r="J350" s="31">
        <f>MIN(IF(Supuestos!$H$6="",1E+99,Supuestos!$H$6),MAX(IF(Supuestos!$G$6="",-1E+99,Supuestos!$G$6),IF(Supuestos!$C$6="Normal",NORMINV(C350,Supuestos!$D$6,Supuestos!$E$6),IF(Supuestos!$C$6="Triangular",IF(C350&lt;(Supuestos!$E$6-Supuestos!$D$6)/(Supuestos!$F$6-Supuestos!$D$6),Supuestos!$D$6+SQRT(C350*(Supuestos!$F$6-Supuestos!$D$6)*(Supuestos!$E$6-Supuestos!$D$6)),Supuestos!$F$6-SQRT((1-C350)*(Supuestos!$F$6-Supuestos!$D$6)*(Supuestos!$F$6-Supuestos!$E$6))),IF(Supuestos!$C$6="Uniforme",Supuestos!$D$6+C350*(Supuestos!$E$6-Supuestos!$D$6),IF(Supuestos!$C$6="Lognormal",LOGINV(C350,LN(Supuestos!$D$6)-LN(1+Supuestos!$E$6^2/Supuestos!$D$6^2)/2,SQRT(LN(1+Supuestos!$E$6^2/Supuestos!$D$6^2))),Supuestos!$D$6))))))</f>
        <v/>
      </c>
      <c r="K350" s="32">
        <f>MIN(IF(Supuestos!$H$7="",1E+99,Supuestos!$H$7),MAX(IF(Supuestos!$G$7="",-1E+99,Supuestos!$G$7),IF(Supuestos!$C$7="Normal",NORMINV(D350,Supuestos!$D$7,Supuestos!$E$7),IF(Supuestos!$C$7="Triangular",IF(D350&lt;(Supuestos!$E$7-Supuestos!$D$7)/(Supuestos!$F$7-Supuestos!$D$7),Supuestos!$D$7+SQRT(D350*(Supuestos!$F$7-Supuestos!$D$7)*(Supuestos!$E$7-Supuestos!$D$7)),Supuestos!$F$7-SQRT((1-D350)*(Supuestos!$F$7-Supuestos!$D$7)*(Supuestos!$F$7-Supuestos!$E$7))),IF(Supuestos!$C$7="Uniforme",Supuestos!$D$7+D350*(Supuestos!$E$7-Supuestos!$D$7),IF(Supuestos!$C$7="Lognormal",LOGINV(D350,LN(Supuestos!$D$7)-LN(1+Supuestos!$E$7^2/Supuestos!$D$7^2)/2,SQRT(LN(1+Supuestos!$E$7^2/Supuestos!$D$7^2))),Supuestos!$D$7))))))</f>
        <v/>
      </c>
      <c r="L350" s="32">
        <f>MIN(IF(Supuestos!$H$8="",1E+99,Supuestos!$H$8),MAX(IF(Supuestos!$G$8="",-1E+99,Supuestos!$G$8),IF(Supuestos!$C$8="Normal",NORMINV(E350,Supuestos!$D$8,Supuestos!$E$8),IF(Supuestos!$C$8="Triangular",IF(E350&lt;(Supuestos!$E$8-Supuestos!$D$8)/(Supuestos!$F$8-Supuestos!$D$8),Supuestos!$D$8+SQRT(E350*(Supuestos!$F$8-Supuestos!$D$8)*(Supuestos!$E$8-Supuestos!$D$8)),Supuestos!$F$8-SQRT((1-E350)*(Supuestos!$F$8-Supuestos!$D$8)*(Supuestos!$F$8-Supuestos!$E$8))),IF(Supuestos!$C$8="Uniforme",Supuestos!$D$8+E350*(Supuestos!$E$8-Supuestos!$D$8),IF(Supuestos!$C$8="Lognormal",LOGINV(E350,LN(Supuestos!$D$8)-LN(1+Supuestos!$E$8^2/Supuestos!$D$8^2)/2,SQRT(LN(1+Supuestos!$E$8^2/Supuestos!$D$8^2))),Supuestos!$D$8))))))</f>
        <v/>
      </c>
      <c r="M350" s="32">
        <f>MIN(IF(Supuestos!$H$9="",1E+99,Supuestos!$H$9),MAX(IF(Supuestos!$G$9="",-1E+99,Supuestos!$G$9),IF(Supuestos!$C$9="Normal",NORMINV(F350,Supuestos!$D$9,Supuestos!$E$9),IF(Supuestos!$C$9="Triangular",IF(F350&lt;(Supuestos!$E$9-Supuestos!$D$9)/(Supuestos!$F$9-Supuestos!$D$9),Supuestos!$D$9+SQRT(F350*(Supuestos!$F$9-Supuestos!$D$9)*(Supuestos!$E$9-Supuestos!$D$9)),Supuestos!$F$9-SQRT((1-F350)*(Supuestos!$F$9-Supuestos!$D$9)*(Supuestos!$F$9-Supuestos!$E$9))),IF(Supuestos!$C$9="Uniforme",Supuestos!$D$9+F350*(Supuestos!$E$9-Supuestos!$D$9),IF(Supuestos!$C$9="Lognormal",LOGINV(F350,LN(Supuestos!$D$9)-LN(1+Supuestos!$E$9^2/Supuestos!$D$9^2)/2,SQRT(LN(1+Supuestos!$E$9^2/Supuestos!$D$9^2))),Supuestos!$D$9))))))</f>
        <v/>
      </c>
      <c r="N350" s="32">
        <f>MIN(IF(Supuestos!$H$10="",1E+99,Supuestos!$H$10),MAX(IF(Supuestos!$G$10="",-1E+99,Supuestos!$G$10),IF(Supuestos!$C$10="Normal",NORMINV(G350,Supuestos!$D$10,Supuestos!$E$10),IF(Supuestos!$C$10="Triangular",IF(G350&lt;(Supuestos!$E$10-Supuestos!$D$10)/(Supuestos!$F$10-Supuestos!$D$10),Supuestos!$D$10+SQRT(G350*(Supuestos!$F$10-Supuestos!$D$10)*(Supuestos!$E$10-Supuestos!$D$10)),Supuestos!$F$10-SQRT((1-G350)*(Supuestos!$F$10-Supuestos!$D$10)*(Supuestos!$F$10-Supuestos!$E$10))),IF(Supuestos!$C$10="Uniforme",Supuestos!$D$10+G350*(Supuestos!$E$10-Supuestos!$D$10),IF(Supuestos!$C$10="Lognormal",LOGINV(G350,LN(Supuestos!$D$10)-LN(1+Supuestos!$E$10^2/Supuestos!$D$10^2)/2,SQRT(LN(1+Supuestos!$E$10^2/Supuestos!$D$10^2))),Supuestos!$D$10))))))</f>
        <v/>
      </c>
      <c r="O350" s="31">
        <f>MIN(IF(Supuestos!$H$11="",1E+99,Supuestos!$H$11),MAX(IF(Supuestos!$G$11="",-1E+99,Supuestos!$G$11),IF(Supuestos!$C$11="Normal",NORMINV(H350,Supuestos!$D$11,Supuestos!$E$11),IF(Supuestos!$C$11="Triangular",IF(H350&lt;(Supuestos!$E$11-Supuestos!$D$11)/(Supuestos!$F$11-Supuestos!$D$11),Supuestos!$D$11+SQRT(H350*(Supuestos!$F$11-Supuestos!$D$11)*(Supuestos!$E$11-Supuestos!$D$11)),Supuestos!$F$11-SQRT((1-H350)*(Supuestos!$F$11-Supuestos!$D$11)*(Supuestos!$F$11-Supuestos!$E$11))),IF(Supuestos!$C$11="Uniforme",Supuestos!$D$11+H350*(Supuestos!$E$11-Supuestos!$D$11),IF(Supuestos!$C$11="Lognormal",LOGINV(H350,LN(Supuestos!$D$11)-LN(1+Supuestos!$E$11^2/Supuestos!$D$11^2)/2,SQRT(LN(1+Supuestos!$E$11^2/Supuestos!$D$11^2))),Supuestos!$D$11))))))</f>
        <v/>
      </c>
      <c r="P350" s="33">
        <f>-I350</f>
        <v/>
      </c>
      <c r="Q350" s="33">
        <f>$J350*(1+$K350)^(1-1)*(1-$L350)*(1-$M350)</f>
        <v/>
      </c>
      <c r="R350" s="33">
        <f>$J350*(1+$K350)^(2-1)*(1-$L350)*(1-$M350)</f>
        <v/>
      </c>
      <c r="S350" s="33">
        <f>$J350*(1+$K350)^(3-1)*(1-$L350)*(1-$M350)</f>
        <v/>
      </c>
      <c r="T350" s="33">
        <f>$J350*(1+$K350)^(4-1)*(1-$L350)*(1-$M350)</f>
        <v/>
      </c>
      <c r="U350" s="33">
        <f>$J350*(1+$K350)^(5-1)*(1-$L350)*(1-$M350)+$O350</f>
        <v/>
      </c>
      <c r="V350" s="33">
        <f>P350+NPV($N350,Q350:U350)</f>
        <v/>
      </c>
      <c r="W350" s="32">
        <f>IFERROR(IRR(P350:U350,0.1),"")</f>
        <v/>
      </c>
    </row>
    <row r="351">
      <c r="A351" s="14" t="n">
        <v>347</v>
      </c>
      <c r="B351" s="30">
        <f>RAND()*(1-2E-6)+1E-6</f>
        <v/>
      </c>
      <c r="C351" s="30">
        <f>RAND()*(1-2E-6)+1E-6</f>
        <v/>
      </c>
      <c r="D351" s="30">
        <f>RAND()*(1-2E-6)+1E-6</f>
        <v/>
      </c>
      <c r="E351" s="30">
        <f>RAND()*(1-2E-6)+1E-6</f>
        <v/>
      </c>
      <c r="F351" s="30">
        <f>RAND()*(1-2E-6)+1E-6</f>
        <v/>
      </c>
      <c r="G351" s="30">
        <f>RAND()*(1-2E-6)+1E-6</f>
        <v/>
      </c>
      <c r="H351" s="30">
        <f>RAND()*(1-2E-6)+1E-6</f>
        <v/>
      </c>
      <c r="I351" s="31">
        <f>MIN(IF(Supuestos!$H$5="",1E+99,Supuestos!$H$5),MAX(IF(Supuestos!$G$5="",-1E+99,Supuestos!$G$5),IF(Supuestos!$C$5="Normal",NORMINV(B351,Supuestos!$D$5,Supuestos!$E$5),IF(Supuestos!$C$5="Triangular",IF(B351&lt;(Supuestos!$E$5-Supuestos!$D$5)/(Supuestos!$F$5-Supuestos!$D$5),Supuestos!$D$5+SQRT(B351*(Supuestos!$F$5-Supuestos!$D$5)*(Supuestos!$E$5-Supuestos!$D$5)),Supuestos!$F$5-SQRT((1-B351)*(Supuestos!$F$5-Supuestos!$D$5)*(Supuestos!$F$5-Supuestos!$E$5))),IF(Supuestos!$C$5="Uniforme",Supuestos!$D$5+B351*(Supuestos!$E$5-Supuestos!$D$5),IF(Supuestos!$C$5="Lognormal",LOGINV(B351,LN(Supuestos!$D$5)-LN(1+Supuestos!$E$5^2/Supuestos!$D$5^2)/2,SQRT(LN(1+Supuestos!$E$5^2/Supuestos!$D$5^2))),Supuestos!$D$5))))))</f>
        <v/>
      </c>
      <c r="J351" s="31">
        <f>MIN(IF(Supuestos!$H$6="",1E+99,Supuestos!$H$6),MAX(IF(Supuestos!$G$6="",-1E+99,Supuestos!$G$6),IF(Supuestos!$C$6="Normal",NORMINV(C351,Supuestos!$D$6,Supuestos!$E$6),IF(Supuestos!$C$6="Triangular",IF(C351&lt;(Supuestos!$E$6-Supuestos!$D$6)/(Supuestos!$F$6-Supuestos!$D$6),Supuestos!$D$6+SQRT(C351*(Supuestos!$F$6-Supuestos!$D$6)*(Supuestos!$E$6-Supuestos!$D$6)),Supuestos!$F$6-SQRT((1-C351)*(Supuestos!$F$6-Supuestos!$D$6)*(Supuestos!$F$6-Supuestos!$E$6))),IF(Supuestos!$C$6="Uniforme",Supuestos!$D$6+C351*(Supuestos!$E$6-Supuestos!$D$6),IF(Supuestos!$C$6="Lognormal",LOGINV(C351,LN(Supuestos!$D$6)-LN(1+Supuestos!$E$6^2/Supuestos!$D$6^2)/2,SQRT(LN(1+Supuestos!$E$6^2/Supuestos!$D$6^2))),Supuestos!$D$6))))))</f>
        <v/>
      </c>
      <c r="K351" s="32">
        <f>MIN(IF(Supuestos!$H$7="",1E+99,Supuestos!$H$7),MAX(IF(Supuestos!$G$7="",-1E+99,Supuestos!$G$7),IF(Supuestos!$C$7="Normal",NORMINV(D351,Supuestos!$D$7,Supuestos!$E$7),IF(Supuestos!$C$7="Triangular",IF(D351&lt;(Supuestos!$E$7-Supuestos!$D$7)/(Supuestos!$F$7-Supuestos!$D$7),Supuestos!$D$7+SQRT(D351*(Supuestos!$F$7-Supuestos!$D$7)*(Supuestos!$E$7-Supuestos!$D$7)),Supuestos!$F$7-SQRT((1-D351)*(Supuestos!$F$7-Supuestos!$D$7)*(Supuestos!$F$7-Supuestos!$E$7))),IF(Supuestos!$C$7="Uniforme",Supuestos!$D$7+D351*(Supuestos!$E$7-Supuestos!$D$7),IF(Supuestos!$C$7="Lognormal",LOGINV(D351,LN(Supuestos!$D$7)-LN(1+Supuestos!$E$7^2/Supuestos!$D$7^2)/2,SQRT(LN(1+Supuestos!$E$7^2/Supuestos!$D$7^2))),Supuestos!$D$7))))))</f>
        <v/>
      </c>
      <c r="L351" s="32">
        <f>MIN(IF(Supuestos!$H$8="",1E+99,Supuestos!$H$8),MAX(IF(Supuestos!$G$8="",-1E+99,Supuestos!$G$8),IF(Supuestos!$C$8="Normal",NORMINV(E351,Supuestos!$D$8,Supuestos!$E$8),IF(Supuestos!$C$8="Triangular",IF(E351&lt;(Supuestos!$E$8-Supuestos!$D$8)/(Supuestos!$F$8-Supuestos!$D$8),Supuestos!$D$8+SQRT(E351*(Supuestos!$F$8-Supuestos!$D$8)*(Supuestos!$E$8-Supuestos!$D$8)),Supuestos!$F$8-SQRT((1-E351)*(Supuestos!$F$8-Supuestos!$D$8)*(Supuestos!$F$8-Supuestos!$E$8))),IF(Supuestos!$C$8="Uniforme",Supuestos!$D$8+E351*(Supuestos!$E$8-Supuestos!$D$8),IF(Supuestos!$C$8="Lognormal",LOGINV(E351,LN(Supuestos!$D$8)-LN(1+Supuestos!$E$8^2/Supuestos!$D$8^2)/2,SQRT(LN(1+Supuestos!$E$8^2/Supuestos!$D$8^2))),Supuestos!$D$8))))))</f>
        <v/>
      </c>
      <c r="M351" s="32">
        <f>MIN(IF(Supuestos!$H$9="",1E+99,Supuestos!$H$9),MAX(IF(Supuestos!$G$9="",-1E+99,Supuestos!$G$9),IF(Supuestos!$C$9="Normal",NORMINV(F351,Supuestos!$D$9,Supuestos!$E$9),IF(Supuestos!$C$9="Triangular",IF(F351&lt;(Supuestos!$E$9-Supuestos!$D$9)/(Supuestos!$F$9-Supuestos!$D$9),Supuestos!$D$9+SQRT(F351*(Supuestos!$F$9-Supuestos!$D$9)*(Supuestos!$E$9-Supuestos!$D$9)),Supuestos!$F$9-SQRT((1-F351)*(Supuestos!$F$9-Supuestos!$D$9)*(Supuestos!$F$9-Supuestos!$E$9))),IF(Supuestos!$C$9="Uniforme",Supuestos!$D$9+F351*(Supuestos!$E$9-Supuestos!$D$9),IF(Supuestos!$C$9="Lognormal",LOGINV(F351,LN(Supuestos!$D$9)-LN(1+Supuestos!$E$9^2/Supuestos!$D$9^2)/2,SQRT(LN(1+Supuestos!$E$9^2/Supuestos!$D$9^2))),Supuestos!$D$9))))))</f>
        <v/>
      </c>
      <c r="N351" s="32">
        <f>MIN(IF(Supuestos!$H$10="",1E+99,Supuestos!$H$10),MAX(IF(Supuestos!$G$10="",-1E+99,Supuestos!$G$10),IF(Supuestos!$C$10="Normal",NORMINV(G351,Supuestos!$D$10,Supuestos!$E$10),IF(Supuestos!$C$10="Triangular",IF(G351&lt;(Supuestos!$E$10-Supuestos!$D$10)/(Supuestos!$F$10-Supuestos!$D$10),Supuestos!$D$10+SQRT(G351*(Supuestos!$F$10-Supuestos!$D$10)*(Supuestos!$E$10-Supuestos!$D$10)),Supuestos!$F$10-SQRT((1-G351)*(Supuestos!$F$10-Supuestos!$D$10)*(Supuestos!$F$10-Supuestos!$E$10))),IF(Supuestos!$C$10="Uniforme",Supuestos!$D$10+G351*(Supuestos!$E$10-Supuestos!$D$10),IF(Supuestos!$C$10="Lognormal",LOGINV(G351,LN(Supuestos!$D$10)-LN(1+Supuestos!$E$10^2/Supuestos!$D$10^2)/2,SQRT(LN(1+Supuestos!$E$10^2/Supuestos!$D$10^2))),Supuestos!$D$10))))))</f>
        <v/>
      </c>
      <c r="O351" s="31">
        <f>MIN(IF(Supuestos!$H$11="",1E+99,Supuestos!$H$11),MAX(IF(Supuestos!$G$11="",-1E+99,Supuestos!$G$11),IF(Supuestos!$C$11="Normal",NORMINV(H351,Supuestos!$D$11,Supuestos!$E$11),IF(Supuestos!$C$11="Triangular",IF(H351&lt;(Supuestos!$E$11-Supuestos!$D$11)/(Supuestos!$F$11-Supuestos!$D$11),Supuestos!$D$11+SQRT(H351*(Supuestos!$F$11-Supuestos!$D$11)*(Supuestos!$E$11-Supuestos!$D$11)),Supuestos!$F$11-SQRT((1-H351)*(Supuestos!$F$11-Supuestos!$D$11)*(Supuestos!$F$11-Supuestos!$E$11))),IF(Supuestos!$C$11="Uniforme",Supuestos!$D$11+H351*(Supuestos!$E$11-Supuestos!$D$11),IF(Supuestos!$C$11="Lognormal",LOGINV(H351,LN(Supuestos!$D$11)-LN(1+Supuestos!$E$11^2/Supuestos!$D$11^2)/2,SQRT(LN(1+Supuestos!$E$11^2/Supuestos!$D$11^2))),Supuestos!$D$11))))))</f>
        <v/>
      </c>
      <c r="P351" s="33">
        <f>-I351</f>
        <v/>
      </c>
      <c r="Q351" s="33">
        <f>$J351*(1+$K351)^(1-1)*(1-$L351)*(1-$M351)</f>
        <v/>
      </c>
      <c r="R351" s="33">
        <f>$J351*(1+$K351)^(2-1)*(1-$L351)*(1-$M351)</f>
        <v/>
      </c>
      <c r="S351" s="33">
        <f>$J351*(1+$K351)^(3-1)*(1-$L351)*(1-$M351)</f>
        <v/>
      </c>
      <c r="T351" s="33">
        <f>$J351*(1+$K351)^(4-1)*(1-$L351)*(1-$M351)</f>
        <v/>
      </c>
      <c r="U351" s="33">
        <f>$J351*(1+$K351)^(5-1)*(1-$L351)*(1-$M351)+$O351</f>
        <v/>
      </c>
      <c r="V351" s="33">
        <f>P351+NPV($N351,Q351:U351)</f>
        <v/>
      </c>
      <c r="W351" s="32">
        <f>IFERROR(IRR(P351:U351,0.1),"")</f>
        <v/>
      </c>
    </row>
    <row r="352">
      <c r="A352" s="14" t="n">
        <v>348</v>
      </c>
      <c r="B352" s="30">
        <f>RAND()*(1-2E-6)+1E-6</f>
        <v/>
      </c>
      <c r="C352" s="30">
        <f>RAND()*(1-2E-6)+1E-6</f>
        <v/>
      </c>
      <c r="D352" s="30">
        <f>RAND()*(1-2E-6)+1E-6</f>
        <v/>
      </c>
      <c r="E352" s="30">
        <f>RAND()*(1-2E-6)+1E-6</f>
        <v/>
      </c>
      <c r="F352" s="30">
        <f>RAND()*(1-2E-6)+1E-6</f>
        <v/>
      </c>
      <c r="G352" s="30">
        <f>RAND()*(1-2E-6)+1E-6</f>
        <v/>
      </c>
      <c r="H352" s="30">
        <f>RAND()*(1-2E-6)+1E-6</f>
        <v/>
      </c>
      <c r="I352" s="31">
        <f>MIN(IF(Supuestos!$H$5="",1E+99,Supuestos!$H$5),MAX(IF(Supuestos!$G$5="",-1E+99,Supuestos!$G$5),IF(Supuestos!$C$5="Normal",NORMINV(B352,Supuestos!$D$5,Supuestos!$E$5),IF(Supuestos!$C$5="Triangular",IF(B352&lt;(Supuestos!$E$5-Supuestos!$D$5)/(Supuestos!$F$5-Supuestos!$D$5),Supuestos!$D$5+SQRT(B352*(Supuestos!$F$5-Supuestos!$D$5)*(Supuestos!$E$5-Supuestos!$D$5)),Supuestos!$F$5-SQRT((1-B352)*(Supuestos!$F$5-Supuestos!$D$5)*(Supuestos!$F$5-Supuestos!$E$5))),IF(Supuestos!$C$5="Uniforme",Supuestos!$D$5+B352*(Supuestos!$E$5-Supuestos!$D$5),IF(Supuestos!$C$5="Lognormal",LOGINV(B352,LN(Supuestos!$D$5)-LN(1+Supuestos!$E$5^2/Supuestos!$D$5^2)/2,SQRT(LN(1+Supuestos!$E$5^2/Supuestos!$D$5^2))),Supuestos!$D$5))))))</f>
        <v/>
      </c>
      <c r="J352" s="31">
        <f>MIN(IF(Supuestos!$H$6="",1E+99,Supuestos!$H$6),MAX(IF(Supuestos!$G$6="",-1E+99,Supuestos!$G$6),IF(Supuestos!$C$6="Normal",NORMINV(C352,Supuestos!$D$6,Supuestos!$E$6),IF(Supuestos!$C$6="Triangular",IF(C352&lt;(Supuestos!$E$6-Supuestos!$D$6)/(Supuestos!$F$6-Supuestos!$D$6),Supuestos!$D$6+SQRT(C352*(Supuestos!$F$6-Supuestos!$D$6)*(Supuestos!$E$6-Supuestos!$D$6)),Supuestos!$F$6-SQRT((1-C352)*(Supuestos!$F$6-Supuestos!$D$6)*(Supuestos!$F$6-Supuestos!$E$6))),IF(Supuestos!$C$6="Uniforme",Supuestos!$D$6+C352*(Supuestos!$E$6-Supuestos!$D$6),IF(Supuestos!$C$6="Lognormal",LOGINV(C352,LN(Supuestos!$D$6)-LN(1+Supuestos!$E$6^2/Supuestos!$D$6^2)/2,SQRT(LN(1+Supuestos!$E$6^2/Supuestos!$D$6^2))),Supuestos!$D$6))))))</f>
        <v/>
      </c>
      <c r="K352" s="32">
        <f>MIN(IF(Supuestos!$H$7="",1E+99,Supuestos!$H$7),MAX(IF(Supuestos!$G$7="",-1E+99,Supuestos!$G$7),IF(Supuestos!$C$7="Normal",NORMINV(D352,Supuestos!$D$7,Supuestos!$E$7),IF(Supuestos!$C$7="Triangular",IF(D352&lt;(Supuestos!$E$7-Supuestos!$D$7)/(Supuestos!$F$7-Supuestos!$D$7),Supuestos!$D$7+SQRT(D352*(Supuestos!$F$7-Supuestos!$D$7)*(Supuestos!$E$7-Supuestos!$D$7)),Supuestos!$F$7-SQRT((1-D352)*(Supuestos!$F$7-Supuestos!$D$7)*(Supuestos!$F$7-Supuestos!$E$7))),IF(Supuestos!$C$7="Uniforme",Supuestos!$D$7+D352*(Supuestos!$E$7-Supuestos!$D$7),IF(Supuestos!$C$7="Lognormal",LOGINV(D352,LN(Supuestos!$D$7)-LN(1+Supuestos!$E$7^2/Supuestos!$D$7^2)/2,SQRT(LN(1+Supuestos!$E$7^2/Supuestos!$D$7^2))),Supuestos!$D$7))))))</f>
        <v/>
      </c>
      <c r="L352" s="32">
        <f>MIN(IF(Supuestos!$H$8="",1E+99,Supuestos!$H$8),MAX(IF(Supuestos!$G$8="",-1E+99,Supuestos!$G$8),IF(Supuestos!$C$8="Normal",NORMINV(E352,Supuestos!$D$8,Supuestos!$E$8),IF(Supuestos!$C$8="Triangular",IF(E352&lt;(Supuestos!$E$8-Supuestos!$D$8)/(Supuestos!$F$8-Supuestos!$D$8),Supuestos!$D$8+SQRT(E352*(Supuestos!$F$8-Supuestos!$D$8)*(Supuestos!$E$8-Supuestos!$D$8)),Supuestos!$F$8-SQRT((1-E352)*(Supuestos!$F$8-Supuestos!$D$8)*(Supuestos!$F$8-Supuestos!$E$8))),IF(Supuestos!$C$8="Uniforme",Supuestos!$D$8+E352*(Supuestos!$E$8-Supuestos!$D$8),IF(Supuestos!$C$8="Lognormal",LOGINV(E352,LN(Supuestos!$D$8)-LN(1+Supuestos!$E$8^2/Supuestos!$D$8^2)/2,SQRT(LN(1+Supuestos!$E$8^2/Supuestos!$D$8^2))),Supuestos!$D$8))))))</f>
        <v/>
      </c>
      <c r="M352" s="32">
        <f>MIN(IF(Supuestos!$H$9="",1E+99,Supuestos!$H$9),MAX(IF(Supuestos!$G$9="",-1E+99,Supuestos!$G$9),IF(Supuestos!$C$9="Normal",NORMINV(F352,Supuestos!$D$9,Supuestos!$E$9),IF(Supuestos!$C$9="Triangular",IF(F352&lt;(Supuestos!$E$9-Supuestos!$D$9)/(Supuestos!$F$9-Supuestos!$D$9),Supuestos!$D$9+SQRT(F352*(Supuestos!$F$9-Supuestos!$D$9)*(Supuestos!$E$9-Supuestos!$D$9)),Supuestos!$F$9-SQRT((1-F352)*(Supuestos!$F$9-Supuestos!$D$9)*(Supuestos!$F$9-Supuestos!$E$9))),IF(Supuestos!$C$9="Uniforme",Supuestos!$D$9+F352*(Supuestos!$E$9-Supuestos!$D$9),IF(Supuestos!$C$9="Lognormal",LOGINV(F352,LN(Supuestos!$D$9)-LN(1+Supuestos!$E$9^2/Supuestos!$D$9^2)/2,SQRT(LN(1+Supuestos!$E$9^2/Supuestos!$D$9^2))),Supuestos!$D$9))))))</f>
        <v/>
      </c>
      <c r="N352" s="32">
        <f>MIN(IF(Supuestos!$H$10="",1E+99,Supuestos!$H$10),MAX(IF(Supuestos!$G$10="",-1E+99,Supuestos!$G$10),IF(Supuestos!$C$10="Normal",NORMINV(G352,Supuestos!$D$10,Supuestos!$E$10),IF(Supuestos!$C$10="Triangular",IF(G352&lt;(Supuestos!$E$10-Supuestos!$D$10)/(Supuestos!$F$10-Supuestos!$D$10),Supuestos!$D$10+SQRT(G352*(Supuestos!$F$10-Supuestos!$D$10)*(Supuestos!$E$10-Supuestos!$D$10)),Supuestos!$F$10-SQRT((1-G352)*(Supuestos!$F$10-Supuestos!$D$10)*(Supuestos!$F$10-Supuestos!$E$10))),IF(Supuestos!$C$10="Uniforme",Supuestos!$D$10+G352*(Supuestos!$E$10-Supuestos!$D$10),IF(Supuestos!$C$10="Lognormal",LOGINV(G352,LN(Supuestos!$D$10)-LN(1+Supuestos!$E$10^2/Supuestos!$D$10^2)/2,SQRT(LN(1+Supuestos!$E$10^2/Supuestos!$D$10^2))),Supuestos!$D$10))))))</f>
        <v/>
      </c>
      <c r="O352" s="31">
        <f>MIN(IF(Supuestos!$H$11="",1E+99,Supuestos!$H$11),MAX(IF(Supuestos!$G$11="",-1E+99,Supuestos!$G$11),IF(Supuestos!$C$11="Normal",NORMINV(H352,Supuestos!$D$11,Supuestos!$E$11),IF(Supuestos!$C$11="Triangular",IF(H352&lt;(Supuestos!$E$11-Supuestos!$D$11)/(Supuestos!$F$11-Supuestos!$D$11),Supuestos!$D$11+SQRT(H352*(Supuestos!$F$11-Supuestos!$D$11)*(Supuestos!$E$11-Supuestos!$D$11)),Supuestos!$F$11-SQRT((1-H352)*(Supuestos!$F$11-Supuestos!$D$11)*(Supuestos!$F$11-Supuestos!$E$11))),IF(Supuestos!$C$11="Uniforme",Supuestos!$D$11+H352*(Supuestos!$E$11-Supuestos!$D$11),IF(Supuestos!$C$11="Lognormal",LOGINV(H352,LN(Supuestos!$D$11)-LN(1+Supuestos!$E$11^2/Supuestos!$D$11^2)/2,SQRT(LN(1+Supuestos!$E$11^2/Supuestos!$D$11^2))),Supuestos!$D$11))))))</f>
        <v/>
      </c>
      <c r="P352" s="33">
        <f>-I352</f>
        <v/>
      </c>
      <c r="Q352" s="33">
        <f>$J352*(1+$K352)^(1-1)*(1-$L352)*(1-$M352)</f>
        <v/>
      </c>
      <c r="R352" s="33">
        <f>$J352*(1+$K352)^(2-1)*(1-$L352)*(1-$M352)</f>
        <v/>
      </c>
      <c r="S352" s="33">
        <f>$J352*(1+$K352)^(3-1)*(1-$L352)*(1-$M352)</f>
        <v/>
      </c>
      <c r="T352" s="33">
        <f>$J352*(1+$K352)^(4-1)*(1-$L352)*(1-$M352)</f>
        <v/>
      </c>
      <c r="U352" s="33">
        <f>$J352*(1+$K352)^(5-1)*(1-$L352)*(1-$M352)+$O352</f>
        <v/>
      </c>
      <c r="V352" s="33">
        <f>P352+NPV($N352,Q352:U352)</f>
        <v/>
      </c>
      <c r="W352" s="32">
        <f>IFERROR(IRR(P352:U352,0.1),"")</f>
        <v/>
      </c>
    </row>
    <row r="353">
      <c r="A353" s="14" t="n">
        <v>349</v>
      </c>
      <c r="B353" s="30">
        <f>RAND()*(1-2E-6)+1E-6</f>
        <v/>
      </c>
      <c r="C353" s="30">
        <f>RAND()*(1-2E-6)+1E-6</f>
        <v/>
      </c>
      <c r="D353" s="30">
        <f>RAND()*(1-2E-6)+1E-6</f>
        <v/>
      </c>
      <c r="E353" s="30">
        <f>RAND()*(1-2E-6)+1E-6</f>
        <v/>
      </c>
      <c r="F353" s="30">
        <f>RAND()*(1-2E-6)+1E-6</f>
        <v/>
      </c>
      <c r="G353" s="30">
        <f>RAND()*(1-2E-6)+1E-6</f>
        <v/>
      </c>
      <c r="H353" s="30">
        <f>RAND()*(1-2E-6)+1E-6</f>
        <v/>
      </c>
      <c r="I353" s="31">
        <f>MIN(IF(Supuestos!$H$5="",1E+99,Supuestos!$H$5),MAX(IF(Supuestos!$G$5="",-1E+99,Supuestos!$G$5),IF(Supuestos!$C$5="Normal",NORMINV(B353,Supuestos!$D$5,Supuestos!$E$5),IF(Supuestos!$C$5="Triangular",IF(B353&lt;(Supuestos!$E$5-Supuestos!$D$5)/(Supuestos!$F$5-Supuestos!$D$5),Supuestos!$D$5+SQRT(B353*(Supuestos!$F$5-Supuestos!$D$5)*(Supuestos!$E$5-Supuestos!$D$5)),Supuestos!$F$5-SQRT((1-B353)*(Supuestos!$F$5-Supuestos!$D$5)*(Supuestos!$F$5-Supuestos!$E$5))),IF(Supuestos!$C$5="Uniforme",Supuestos!$D$5+B353*(Supuestos!$E$5-Supuestos!$D$5),IF(Supuestos!$C$5="Lognormal",LOGINV(B353,LN(Supuestos!$D$5)-LN(1+Supuestos!$E$5^2/Supuestos!$D$5^2)/2,SQRT(LN(1+Supuestos!$E$5^2/Supuestos!$D$5^2))),Supuestos!$D$5))))))</f>
        <v/>
      </c>
      <c r="J353" s="31">
        <f>MIN(IF(Supuestos!$H$6="",1E+99,Supuestos!$H$6),MAX(IF(Supuestos!$G$6="",-1E+99,Supuestos!$G$6),IF(Supuestos!$C$6="Normal",NORMINV(C353,Supuestos!$D$6,Supuestos!$E$6),IF(Supuestos!$C$6="Triangular",IF(C353&lt;(Supuestos!$E$6-Supuestos!$D$6)/(Supuestos!$F$6-Supuestos!$D$6),Supuestos!$D$6+SQRT(C353*(Supuestos!$F$6-Supuestos!$D$6)*(Supuestos!$E$6-Supuestos!$D$6)),Supuestos!$F$6-SQRT((1-C353)*(Supuestos!$F$6-Supuestos!$D$6)*(Supuestos!$F$6-Supuestos!$E$6))),IF(Supuestos!$C$6="Uniforme",Supuestos!$D$6+C353*(Supuestos!$E$6-Supuestos!$D$6),IF(Supuestos!$C$6="Lognormal",LOGINV(C353,LN(Supuestos!$D$6)-LN(1+Supuestos!$E$6^2/Supuestos!$D$6^2)/2,SQRT(LN(1+Supuestos!$E$6^2/Supuestos!$D$6^2))),Supuestos!$D$6))))))</f>
        <v/>
      </c>
      <c r="K353" s="32">
        <f>MIN(IF(Supuestos!$H$7="",1E+99,Supuestos!$H$7),MAX(IF(Supuestos!$G$7="",-1E+99,Supuestos!$G$7),IF(Supuestos!$C$7="Normal",NORMINV(D353,Supuestos!$D$7,Supuestos!$E$7),IF(Supuestos!$C$7="Triangular",IF(D353&lt;(Supuestos!$E$7-Supuestos!$D$7)/(Supuestos!$F$7-Supuestos!$D$7),Supuestos!$D$7+SQRT(D353*(Supuestos!$F$7-Supuestos!$D$7)*(Supuestos!$E$7-Supuestos!$D$7)),Supuestos!$F$7-SQRT((1-D353)*(Supuestos!$F$7-Supuestos!$D$7)*(Supuestos!$F$7-Supuestos!$E$7))),IF(Supuestos!$C$7="Uniforme",Supuestos!$D$7+D353*(Supuestos!$E$7-Supuestos!$D$7),IF(Supuestos!$C$7="Lognormal",LOGINV(D353,LN(Supuestos!$D$7)-LN(1+Supuestos!$E$7^2/Supuestos!$D$7^2)/2,SQRT(LN(1+Supuestos!$E$7^2/Supuestos!$D$7^2))),Supuestos!$D$7))))))</f>
        <v/>
      </c>
      <c r="L353" s="32">
        <f>MIN(IF(Supuestos!$H$8="",1E+99,Supuestos!$H$8),MAX(IF(Supuestos!$G$8="",-1E+99,Supuestos!$G$8),IF(Supuestos!$C$8="Normal",NORMINV(E353,Supuestos!$D$8,Supuestos!$E$8),IF(Supuestos!$C$8="Triangular",IF(E353&lt;(Supuestos!$E$8-Supuestos!$D$8)/(Supuestos!$F$8-Supuestos!$D$8),Supuestos!$D$8+SQRT(E353*(Supuestos!$F$8-Supuestos!$D$8)*(Supuestos!$E$8-Supuestos!$D$8)),Supuestos!$F$8-SQRT((1-E353)*(Supuestos!$F$8-Supuestos!$D$8)*(Supuestos!$F$8-Supuestos!$E$8))),IF(Supuestos!$C$8="Uniforme",Supuestos!$D$8+E353*(Supuestos!$E$8-Supuestos!$D$8),IF(Supuestos!$C$8="Lognormal",LOGINV(E353,LN(Supuestos!$D$8)-LN(1+Supuestos!$E$8^2/Supuestos!$D$8^2)/2,SQRT(LN(1+Supuestos!$E$8^2/Supuestos!$D$8^2))),Supuestos!$D$8))))))</f>
        <v/>
      </c>
      <c r="M353" s="32">
        <f>MIN(IF(Supuestos!$H$9="",1E+99,Supuestos!$H$9),MAX(IF(Supuestos!$G$9="",-1E+99,Supuestos!$G$9),IF(Supuestos!$C$9="Normal",NORMINV(F353,Supuestos!$D$9,Supuestos!$E$9),IF(Supuestos!$C$9="Triangular",IF(F353&lt;(Supuestos!$E$9-Supuestos!$D$9)/(Supuestos!$F$9-Supuestos!$D$9),Supuestos!$D$9+SQRT(F353*(Supuestos!$F$9-Supuestos!$D$9)*(Supuestos!$E$9-Supuestos!$D$9)),Supuestos!$F$9-SQRT((1-F353)*(Supuestos!$F$9-Supuestos!$D$9)*(Supuestos!$F$9-Supuestos!$E$9))),IF(Supuestos!$C$9="Uniforme",Supuestos!$D$9+F353*(Supuestos!$E$9-Supuestos!$D$9),IF(Supuestos!$C$9="Lognormal",LOGINV(F353,LN(Supuestos!$D$9)-LN(1+Supuestos!$E$9^2/Supuestos!$D$9^2)/2,SQRT(LN(1+Supuestos!$E$9^2/Supuestos!$D$9^2))),Supuestos!$D$9))))))</f>
        <v/>
      </c>
      <c r="N353" s="32">
        <f>MIN(IF(Supuestos!$H$10="",1E+99,Supuestos!$H$10),MAX(IF(Supuestos!$G$10="",-1E+99,Supuestos!$G$10),IF(Supuestos!$C$10="Normal",NORMINV(G353,Supuestos!$D$10,Supuestos!$E$10),IF(Supuestos!$C$10="Triangular",IF(G353&lt;(Supuestos!$E$10-Supuestos!$D$10)/(Supuestos!$F$10-Supuestos!$D$10),Supuestos!$D$10+SQRT(G353*(Supuestos!$F$10-Supuestos!$D$10)*(Supuestos!$E$10-Supuestos!$D$10)),Supuestos!$F$10-SQRT((1-G353)*(Supuestos!$F$10-Supuestos!$D$10)*(Supuestos!$F$10-Supuestos!$E$10))),IF(Supuestos!$C$10="Uniforme",Supuestos!$D$10+G353*(Supuestos!$E$10-Supuestos!$D$10),IF(Supuestos!$C$10="Lognormal",LOGINV(G353,LN(Supuestos!$D$10)-LN(1+Supuestos!$E$10^2/Supuestos!$D$10^2)/2,SQRT(LN(1+Supuestos!$E$10^2/Supuestos!$D$10^2))),Supuestos!$D$10))))))</f>
        <v/>
      </c>
      <c r="O353" s="31">
        <f>MIN(IF(Supuestos!$H$11="",1E+99,Supuestos!$H$11),MAX(IF(Supuestos!$G$11="",-1E+99,Supuestos!$G$11),IF(Supuestos!$C$11="Normal",NORMINV(H353,Supuestos!$D$11,Supuestos!$E$11),IF(Supuestos!$C$11="Triangular",IF(H353&lt;(Supuestos!$E$11-Supuestos!$D$11)/(Supuestos!$F$11-Supuestos!$D$11),Supuestos!$D$11+SQRT(H353*(Supuestos!$F$11-Supuestos!$D$11)*(Supuestos!$E$11-Supuestos!$D$11)),Supuestos!$F$11-SQRT((1-H353)*(Supuestos!$F$11-Supuestos!$D$11)*(Supuestos!$F$11-Supuestos!$E$11))),IF(Supuestos!$C$11="Uniforme",Supuestos!$D$11+H353*(Supuestos!$E$11-Supuestos!$D$11),IF(Supuestos!$C$11="Lognormal",LOGINV(H353,LN(Supuestos!$D$11)-LN(1+Supuestos!$E$11^2/Supuestos!$D$11^2)/2,SQRT(LN(1+Supuestos!$E$11^2/Supuestos!$D$11^2))),Supuestos!$D$11))))))</f>
        <v/>
      </c>
      <c r="P353" s="33">
        <f>-I353</f>
        <v/>
      </c>
      <c r="Q353" s="33">
        <f>$J353*(1+$K353)^(1-1)*(1-$L353)*(1-$M353)</f>
        <v/>
      </c>
      <c r="R353" s="33">
        <f>$J353*(1+$K353)^(2-1)*(1-$L353)*(1-$M353)</f>
        <v/>
      </c>
      <c r="S353" s="33">
        <f>$J353*(1+$K353)^(3-1)*(1-$L353)*(1-$M353)</f>
        <v/>
      </c>
      <c r="T353" s="33">
        <f>$J353*(1+$K353)^(4-1)*(1-$L353)*(1-$M353)</f>
        <v/>
      </c>
      <c r="U353" s="33">
        <f>$J353*(1+$K353)^(5-1)*(1-$L353)*(1-$M353)+$O353</f>
        <v/>
      </c>
      <c r="V353" s="33">
        <f>P353+NPV($N353,Q353:U353)</f>
        <v/>
      </c>
      <c r="W353" s="32">
        <f>IFERROR(IRR(P353:U353,0.1),"")</f>
        <v/>
      </c>
    </row>
    <row r="354">
      <c r="A354" s="14" t="n">
        <v>350</v>
      </c>
      <c r="B354" s="30">
        <f>RAND()*(1-2E-6)+1E-6</f>
        <v/>
      </c>
      <c r="C354" s="30">
        <f>RAND()*(1-2E-6)+1E-6</f>
        <v/>
      </c>
      <c r="D354" s="30">
        <f>RAND()*(1-2E-6)+1E-6</f>
        <v/>
      </c>
      <c r="E354" s="30">
        <f>RAND()*(1-2E-6)+1E-6</f>
        <v/>
      </c>
      <c r="F354" s="30">
        <f>RAND()*(1-2E-6)+1E-6</f>
        <v/>
      </c>
      <c r="G354" s="30">
        <f>RAND()*(1-2E-6)+1E-6</f>
        <v/>
      </c>
      <c r="H354" s="30">
        <f>RAND()*(1-2E-6)+1E-6</f>
        <v/>
      </c>
      <c r="I354" s="31">
        <f>MIN(IF(Supuestos!$H$5="",1E+99,Supuestos!$H$5),MAX(IF(Supuestos!$G$5="",-1E+99,Supuestos!$G$5),IF(Supuestos!$C$5="Normal",NORMINV(B354,Supuestos!$D$5,Supuestos!$E$5),IF(Supuestos!$C$5="Triangular",IF(B354&lt;(Supuestos!$E$5-Supuestos!$D$5)/(Supuestos!$F$5-Supuestos!$D$5),Supuestos!$D$5+SQRT(B354*(Supuestos!$F$5-Supuestos!$D$5)*(Supuestos!$E$5-Supuestos!$D$5)),Supuestos!$F$5-SQRT((1-B354)*(Supuestos!$F$5-Supuestos!$D$5)*(Supuestos!$F$5-Supuestos!$E$5))),IF(Supuestos!$C$5="Uniforme",Supuestos!$D$5+B354*(Supuestos!$E$5-Supuestos!$D$5),IF(Supuestos!$C$5="Lognormal",LOGINV(B354,LN(Supuestos!$D$5)-LN(1+Supuestos!$E$5^2/Supuestos!$D$5^2)/2,SQRT(LN(1+Supuestos!$E$5^2/Supuestos!$D$5^2))),Supuestos!$D$5))))))</f>
        <v/>
      </c>
      <c r="J354" s="31">
        <f>MIN(IF(Supuestos!$H$6="",1E+99,Supuestos!$H$6),MAX(IF(Supuestos!$G$6="",-1E+99,Supuestos!$G$6),IF(Supuestos!$C$6="Normal",NORMINV(C354,Supuestos!$D$6,Supuestos!$E$6),IF(Supuestos!$C$6="Triangular",IF(C354&lt;(Supuestos!$E$6-Supuestos!$D$6)/(Supuestos!$F$6-Supuestos!$D$6),Supuestos!$D$6+SQRT(C354*(Supuestos!$F$6-Supuestos!$D$6)*(Supuestos!$E$6-Supuestos!$D$6)),Supuestos!$F$6-SQRT((1-C354)*(Supuestos!$F$6-Supuestos!$D$6)*(Supuestos!$F$6-Supuestos!$E$6))),IF(Supuestos!$C$6="Uniforme",Supuestos!$D$6+C354*(Supuestos!$E$6-Supuestos!$D$6),IF(Supuestos!$C$6="Lognormal",LOGINV(C354,LN(Supuestos!$D$6)-LN(1+Supuestos!$E$6^2/Supuestos!$D$6^2)/2,SQRT(LN(1+Supuestos!$E$6^2/Supuestos!$D$6^2))),Supuestos!$D$6))))))</f>
        <v/>
      </c>
      <c r="K354" s="32">
        <f>MIN(IF(Supuestos!$H$7="",1E+99,Supuestos!$H$7),MAX(IF(Supuestos!$G$7="",-1E+99,Supuestos!$G$7),IF(Supuestos!$C$7="Normal",NORMINV(D354,Supuestos!$D$7,Supuestos!$E$7),IF(Supuestos!$C$7="Triangular",IF(D354&lt;(Supuestos!$E$7-Supuestos!$D$7)/(Supuestos!$F$7-Supuestos!$D$7),Supuestos!$D$7+SQRT(D354*(Supuestos!$F$7-Supuestos!$D$7)*(Supuestos!$E$7-Supuestos!$D$7)),Supuestos!$F$7-SQRT((1-D354)*(Supuestos!$F$7-Supuestos!$D$7)*(Supuestos!$F$7-Supuestos!$E$7))),IF(Supuestos!$C$7="Uniforme",Supuestos!$D$7+D354*(Supuestos!$E$7-Supuestos!$D$7),IF(Supuestos!$C$7="Lognormal",LOGINV(D354,LN(Supuestos!$D$7)-LN(1+Supuestos!$E$7^2/Supuestos!$D$7^2)/2,SQRT(LN(1+Supuestos!$E$7^2/Supuestos!$D$7^2))),Supuestos!$D$7))))))</f>
        <v/>
      </c>
      <c r="L354" s="32">
        <f>MIN(IF(Supuestos!$H$8="",1E+99,Supuestos!$H$8),MAX(IF(Supuestos!$G$8="",-1E+99,Supuestos!$G$8),IF(Supuestos!$C$8="Normal",NORMINV(E354,Supuestos!$D$8,Supuestos!$E$8),IF(Supuestos!$C$8="Triangular",IF(E354&lt;(Supuestos!$E$8-Supuestos!$D$8)/(Supuestos!$F$8-Supuestos!$D$8),Supuestos!$D$8+SQRT(E354*(Supuestos!$F$8-Supuestos!$D$8)*(Supuestos!$E$8-Supuestos!$D$8)),Supuestos!$F$8-SQRT((1-E354)*(Supuestos!$F$8-Supuestos!$D$8)*(Supuestos!$F$8-Supuestos!$E$8))),IF(Supuestos!$C$8="Uniforme",Supuestos!$D$8+E354*(Supuestos!$E$8-Supuestos!$D$8),IF(Supuestos!$C$8="Lognormal",LOGINV(E354,LN(Supuestos!$D$8)-LN(1+Supuestos!$E$8^2/Supuestos!$D$8^2)/2,SQRT(LN(1+Supuestos!$E$8^2/Supuestos!$D$8^2))),Supuestos!$D$8))))))</f>
        <v/>
      </c>
      <c r="M354" s="32">
        <f>MIN(IF(Supuestos!$H$9="",1E+99,Supuestos!$H$9),MAX(IF(Supuestos!$G$9="",-1E+99,Supuestos!$G$9),IF(Supuestos!$C$9="Normal",NORMINV(F354,Supuestos!$D$9,Supuestos!$E$9),IF(Supuestos!$C$9="Triangular",IF(F354&lt;(Supuestos!$E$9-Supuestos!$D$9)/(Supuestos!$F$9-Supuestos!$D$9),Supuestos!$D$9+SQRT(F354*(Supuestos!$F$9-Supuestos!$D$9)*(Supuestos!$E$9-Supuestos!$D$9)),Supuestos!$F$9-SQRT((1-F354)*(Supuestos!$F$9-Supuestos!$D$9)*(Supuestos!$F$9-Supuestos!$E$9))),IF(Supuestos!$C$9="Uniforme",Supuestos!$D$9+F354*(Supuestos!$E$9-Supuestos!$D$9),IF(Supuestos!$C$9="Lognormal",LOGINV(F354,LN(Supuestos!$D$9)-LN(1+Supuestos!$E$9^2/Supuestos!$D$9^2)/2,SQRT(LN(1+Supuestos!$E$9^2/Supuestos!$D$9^2))),Supuestos!$D$9))))))</f>
        <v/>
      </c>
      <c r="N354" s="32">
        <f>MIN(IF(Supuestos!$H$10="",1E+99,Supuestos!$H$10),MAX(IF(Supuestos!$G$10="",-1E+99,Supuestos!$G$10),IF(Supuestos!$C$10="Normal",NORMINV(G354,Supuestos!$D$10,Supuestos!$E$10),IF(Supuestos!$C$10="Triangular",IF(G354&lt;(Supuestos!$E$10-Supuestos!$D$10)/(Supuestos!$F$10-Supuestos!$D$10),Supuestos!$D$10+SQRT(G354*(Supuestos!$F$10-Supuestos!$D$10)*(Supuestos!$E$10-Supuestos!$D$10)),Supuestos!$F$10-SQRT((1-G354)*(Supuestos!$F$10-Supuestos!$D$10)*(Supuestos!$F$10-Supuestos!$E$10))),IF(Supuestos!$C$10="Uniforme",Supuestos!$D$10+G354*(Supuestos!$E$10-Supuestos!$D$10),IF(Supuestos!$C$10="Lognormal",LOGINV(G354,LN(Supuestos!$D$10)-LN(1+Supuestos!$E$10^2/Supuestos!$D$10^2)/2,SQRT(LN(1+Supuestos!$E$10^2/Supuestos!$D$10^2))),Supuestos!$D$10))))))</f>
        <v/>
      </c>
      <c r="O354" s="31">
        <f>MIN(IF(Supuestos!$H$11="",1E+99,Supuestos!$H$11),MAX(IF(Supuestos!$G$11="",-1E+99,Supuestos!$G$11),IF(Supuestos!$C$11="Normal",NORMINV(H354,Supuestos!$D$11,Supuestos!$E$11),IF(Supuestos!$C$11="Triangular",IF(H354&lt;(Supuestos!$E$11-Supuestos!$D$11)/(Supuestos!$F$11-Supuestos!$D$11),Supuestos!$D$11+SQRT(H354*(Supuestos!$F$11-Supuestos!$D$11)*(Supuestos!$E$11-Supuestos!$D$11)),Supuestos!$F$11-SQRT((1-H354)*(Supuestos!$F$11-Supuestos!$D$11)*(Supuestos!$F$11-Supuestos!$E$11))),IF(Supuestos!$C$11="Uniforme",Supuestos!$D$11+H354*(Supuestos!$E$11-Supuestos!$D$11),IF(Supuestos!$C$11="Lognormal",LOGINV(H354,LN(Supuestos!$D$11)-LN(1+Supuestos!$E$11^2/Supuestos!$D$11^2)/2,SQRT(LN(1+Supuestos!$E$11^2/Supuestos!$D$11^2))),Supuestos!$D$11))))))</f>
        <v/>
      </c>
      <c r="P354" s="33">
        <f>-I354</f>
        <v/>
      </c>
      <c r="Q354" s="33">
        <f>$J354*(1+$K354)^(1-1)*(1-$L354)*(1-$M354)</f>
        <v/>
      </c>
      <c r="R354" s="33">
        <f>$J354*(1+$K354)^(2-1)*(1-$L354)*(1-$M354)</f>
        <v/>
      </c>
      <c r="S354" s="33">
        <f>$J354*(1+$K354)^(3-1)*(1-$L354)*(1-$M354)</f>
        <v/>
      </c>
      <c r="T354" s="33">
        <f>$J354*(1+$K354)^(4-1)*(1-$L354)*(1-$M354)</f>
        <v/>
      </c>
      <c r="U354" s="33">
        <f>$J354*(1+$K354)^(5-1)*(1-$L354)*(1-$M354)+$O354</f>
        <v/>
      </c>
      <c r="V354" s="33">
        <f>P354+NPV($N354,Q354:U354)</f>
        <v/>
      </c>
      <c r="W354" s="32">
        <f>IFERROR(IRR(P354:U354,0.1),"")</f>
        <v/>
      </c>
    </row>
    <row r="355">
      <c r="A355" s="14" t="n">
        <v>351</v>
      </c>
      <c r="B355" s="30">
        <f>RAND()*(1-2E-6)+1E-6</f>
        <v/>
      </c>
      <c r="C355" s="30">
        <f>RAND()*(1-2E-6)+1E-6</f>
        <v/>
      </c>
      <c r="D355" s="30">
        <f>RAND()*(1-2E-6)+1E-6</f>
        <v/>
      </c>
      <c r="E355" s="30">
        <f>RAND()*(1-2E-6)+1E-6</f>
        <v/>
      </c>
      <c r="F355" s="30">
        <f>RAND()*(1-2E-6)+1E-6</f>
        <v/>
      </c>
      <c r="G355" s="30">
        <f>RAND()*(1-2E-6)+1E-6</f>
        <v/>
      </c>
      <c r="H355" s="30">
        <f>RAND()*(1-2E-6)+1E-6</f>
        <v/>
      </c>
      <c r="I355" s="31">
        <f>MIN(IF(Supuestos!$H$5="",1E+99,Supuestos!$H$5),MAX(IF(Supuestos!$G$5="",-1E+99,Supuestos!$G$5),IF(Supuestos!$C$5="Normal",NORMINV(B355,Supuestos!$D$5,Supuestos!$E$5),IF(Supuestos!$C$5="Triangular",IF(B355&lt;(Supuestos!$E$5-Supuestos!$D$5)/(Supuestos!$F$5-Supuestos!$D$5),Supuestos!$D$5+SQRT(B355*(Supuestos!$F$5-Supuestos!$D$5)*(Supuestos!$E$5-Supuestos!$D$5)),Supuestos!$F$5-SQRT((1-B355)*(Supuestos!$F$5-Supuestos!$D$5)*(Supuestos!$F$5-Supuestos!$E$5))),IF(Supuestos!$C$5="Uniforme",Supuestos!$D$5+B355*(Supuestos!$E$5-Supuestos!$D$5),IF(Supuestos!$C$5="Lognormal",LOGINV(B355,LN(Supuestos!$D$5)-LN(1+Supuestos!$E$5^2/Supuestos!$D$5^2)/2,SQRT(LN(1+Supuestos!$E$5^2/Supuestos!$D$5^2))),Supuestos!$D$5))))))</f>
        <v/>
      </c>
      <c r="J355" s="31">
        <f>MIN(IF(Supuestos!$H$6="",1E+99,Supuestos!$H$6),MAX(IF(Supuestos!$G$6="",-1E+99,Supuestos!$G$6),IF(Supuestos!$C$6="Normal",NORMINV(C355,Supuestos!$D$6,Supuestos!$E$6),IF(Supuestos!$C$6="Triangular",IF(C355&lt;(Supuestos!$E$6-Supuestos!$D$6)/(Supuestos!$F$6-Supuestos!$D$6),Supuestos!$D$6+SQRT(C355*(Supuestos!$F$6-Supuestos!$D$6)*(Supuestos!$E$6-Supuestos!$D$6)),Supuestos!$F$6-SQRT((1-C355)*(Supuestos!$F$6-Supuestos!$D$6)*(Supuestos!$F$6-Supuestos!$E$6))),IF(Supuestos!$C$6="Uniforme",Supuestos!$D$6+C355*(Supuestos!$E$6-Supuestos!$D$6),IF(Supuestos!$C$6="Lognormal",LOGINV(C355,LN(Supuestos!$D$6)-LN(1+Supuestos!$E$6^2/Supuestos!$D$6^2)/2,SQRT(LN(1+Supuestos!$E$6^2/Supuestos!$D$6^2))),Supuestos!$D$6))))))</f>
        <v/>
      </c>
      <c r="K355" s="32">
        <f>MIN(IF(Supuestos!$H$7="",1E+99,Supuestos!$H$7),MAX(IF(Supuestos!$G$7="",-1E+99,Supuestos!$G$7),IF(Supuestos!$C$7="Normal",NORMINV(D355,Supuestos!$D$7,Supuestos!$E$7),IF(Supuestos!$C$7="Triangular",IF(D355&lt;(Supuestos!$E$7-Supuestos!$D$7)/(Supuestos!$F$7-Supuestos!$D$7),Supuestos!$D$7+SQRT(D355*(Supuestos!$F$7-Supuestos!$D$7)*(Supuestos!$E$7-Supuestos!$D$7)),Supuestos!$F$7-SQRT((1-D355)*(Supuestos!$F$7-Supuestos!$D$7)*(Supuestos!$F$7-Supuestos!$E$7))),IF(Supuestos!$C$7="Uniforme",Supuestos!$D$7+D355*(Supuestos!$E$7-Supuestos!$D$7),IF(Supuestos!$C$7="Lognormal",LOGINV(D355,LN(Supuestos!$D$7)-LN(1+Supuestos!$E$7^2/Supuestos!$D$7^2)/2,SQRT(LN(1+Supuestos!$E$7^2/Supuestos!$D$7^2))),Supuestos!$D$7))))))</f>
        <v/>
      </c>
      <c r="L355" s="32">
        <f>MIN(IF(Supuestos!$H$8="",1E+99,Supuestos!$H$8),MAX(IF(Supuestos!$G$8="",-1E+99,Supuestos!$G$8),IF(Supuestos!$C$8="Normal",NORMINV(E355,Supuestos!$D$8,Supuestos!$E$8),IF(Supuestos!$C$8="Triangular",IF(E355&lt;(Supuestos!$E$8-Supuestos!$D$8)/(Supuestos!$F$8-Supuestos!$D$8),Supuestos!$D$8+SQRT(E355*(Supuestos!$F$8-Supuestos!$D$8)*(Supuestos!$E$8-Supuestos!$D$8)),Supuestos!$F$8-SQRT((1-E355)*(Supuestos!$F$8-Supuestos!$D$8)*(Supuestos!$F$8-Supuestos!$E$8))),IF(Supuestos!$C$8="Uniforme",Supuestos!$D$8+E355*(Supuestos!$E$8-Supuestos!$D$8),IF(Supuestos!$C$8="Lognormal",LOGINV(E355,LN(Supuestos!$D$8)-LN(1+Supuestos!$E$8^2/Supuestos!$D$8^2)/2,SQRT(LN(1+Supuestos!$E$8^2/Supuestos!$D$8^2))),Supuestos!$D$8))))))</f>
        <v/>
      </c>
      <c r="M355" s="32">
        <f>MIN(IF(Supuestos!$H$9="",1E+99,Supuestos!$H$9),MAX(IF(Supuestos!$G$9="",-1E+99,Supuestos!$G$9),IF(Supuestos!$C$9="Normal",NORMINV(F355,Supuestos!$D$9,Supuestos!$E$9),IF(Supuestos!$C$9="Triangular",IF(F355&lt;(Supuestos!$E$9-Supuestos!$D$9)/(Supuestos!$F$9-Supuestos!$D$9),Supuestos!$D$9+SQRT(F355*(Supuestos!$F$9-Supuestos!$D$9)*(Supuestos!$E$9-Supuestos!$D$9)),Supuestos!$F$9-SQRT((1-F355)*(Supuestos!$F$9-Supuestos!$D$9)*(Supuestos!$F$9-Supuestos!$E$9))),IF(Supuestos!$C$9="Uniforme",Supuestos!$D$9+F355*(Supuestos!$E$9-Supuestos!$D$9),IF(Supuestos!$C$9="Lognormal",LOGINV(F355,LN(Supuestos!$D$9)-LN(1+Supuestos!$E$9^2/Supuestos!$D$9^2)/2,SQRT(LN(1+Supuestos!$E$9^2/Supuestos!$D$9^2))),Supuestos!$D$9))))))</f>
        <v/>
      </c>
      <c r="N355" s="32">
        <f>MIN(IF(Supuestos!$H$10="",1E+99,Supuestos!$H$10),MAX(IF(Supuestos!$G$10="",-1E+99,Supuestos!$G$10),IF(Supuestos!$C$10="Normal",NORMINV(G355,Supuestos!$D$10,Supuestos!$E$10),IF(Supuestos!$C$10="Triangular",IF(G355&lt;(Supuestos!$E$10-Supuestos!$D$10)/(Supuestos!$F$10-Supuestos!$D$10),Supuestos!$D$10+SQRT(G355*(Supuestos!$F$10-Supuestos!$D$10)*(Supuestos!$E$10-Supuestos!$D$10)),Supuestos!$F$10-SQRT((1-G355)*(Supuestos!$F$10-Supuestos!$D$10)*(Supuestos!$F$10-Supuestos!$E$10))),IF(Supuestos!$C$10="Uniforme",Supuestos!$D$10+G355*(Supuestos!$E$10-Supuestos!$D$10),IF(Supuestos!$C$10="Lognormal",LOGINV(G355,LN(Supuestos!$D$10)-LN(1+Supuestos!$E$10^2/Supuestos!$D$10^2)/2,SQRT(LN(1+Supuestos!$E$10^2/Supuestos!$D$10^2))),Supuestos!$D$10))))))</f>
        <v/>
      </c>
      <c r="O355" s="31">
        <f>MIN(IF(Supuestos!$H$11="",1E+99,Supuestos!$H$11),MAX(IF(Supuestos!$G$11="",-1E+99,Supuestos!$G$11),IF(Supuestos!$C$11="Normal",NORMINV(H355,Supuestos!$D$11,Supuestos!$E$11),IF(Supuestos!$C$11="Triangular",IF(H355&lt;(Supuestos!$E$11-Supuestos!$D$11)/(Supuestos!$F$11-Supuestos!$D$11),Supuestos!$D$11+SQRT(H355*(Supuestos!$F$11-Supuestos!$D$11)*(Supuestos!$E$11-Supuestos!$D$11)),Supuestos!$F$11-SQRT((1-H355)*(Supuestos!$F$11-Supuestos!$D$11)*(Supuestos!$F$11-Supuestos!$E$11))),IF(Supuestos!$C$11="Uniforme",Supuestos!$D$11+H355*(Supuestos!$E$11-Supuestos!$D$11),IF(Supuestos!$C$11="Lognormal",LOGINV(H355,LN(Supuestos!$D$11)-LN(1+Supuestos!$E$11^2/Supuestos!$D$11^2)/2,SQRT(LN(1+Supuestos!$E$11^2/Supuestos!$D$11^2))),Supuestos!$D$11))))))</f>
        <v/>
      </c>
      <c r="P355" s="33">
        <f>-I355</f>
        <v/>
      </c>
      <c r="Q355" s="33">
        <f>$J355*(1+$K355)^(1-1)*(1-$L355)*(1-$M355)</f>
        <v/>
      </c>
      <c r="R355" s="33">
        <f>$J355*(1+$K355)^(2-1)*(1-$L355)*(1-$M355)</f>
        <v/>
      </c>
      <c r="S355" s="33">
        <f>$J355*(1+$K355)^(3-1)*(1-$L355)*(1-$M355)</f>
        <v/>
      </c>
      <c r="T355" s="33">
        <f>$J355*(1+$K355)^(4-1)*(1-$L355)*(1-$M355)</f>
        <v/>
      </c>
      <c r="U355" s="33">
        <f>$J355*(1+$K355)^(5-1)*(1-$L355)*(1-$M355)+$O355</f>
        <v/>
      </c>
      <c r="V355" s="33">
        <f>P355+NPV($N355,Q355:U355)</f>
        <v/>
      </c>
      <c r="W355" s="32">
        <f>IFERROR(IRR(P355:U355,0.1),"")</f>
        <v/>
      </c>
    </row>
    <row r="356">
      <c r="A356" s="14" t="n">
        <v>352</v>
      </c>
      <c r="B356" s="30">
        <f>RAND()*(1-2E-6)+1E-6</f>
        <v/>
      </c>
      <c r="C356" s="30">
        <f>RAND()*(1-2E-6)+1E-6</f>
        <v/>
      </c>
      <c r="D356" s="30">
        <f>RAND()*(1-2E-6)+1E-6</f>
        <v/>
      </c>
      <c r="E356" s="30">
        <f>RAND()*(1-2E-6)+1E-6</f>
        <v/>
      </c>
      <c r="F356" s="30">
        <f>RAND()*(1-2E-6)+1E-6</f>
        <v/>
      </c>
      <c r="G356" s="30">
        <f>RAND()*(1-2E-6)+1E-6</f>
        <v/>
      </c>
      <c r="H356" s="30">
        <f>RAND()*(1-2E-6)+1E-6</f>
        <v/>
      </c>
      <c r="I356" s="31">
        <f>MIN(IF(Supuestos!$H$5="",1E+99,Supuestos!$H$5),MAX(IF(Supuestos!$G$5="",-1E+99,Supuestos!$G$5),IF(Supuestos!$C$5="Normal",NORMINV(B356,Supuestos!$D$5,Supuestos!$E$5),IF(Supuestos!$C$5="Triangular",IF(B356&lt;(Supuestos!$E$5-Supuestos!$D$5)/(Supuestos!$F$5-Supuestos!$D$5),Supuestos!$D$5+SQRT(B356*(Supuestos!$F$5-Supuestos!$D$5)*(Supuestos!$E$5-Supuestos!$D$5)),Supuestos!$F$5-SQRT((1-B356)*(Supuestos!$F$5-Supuestos!$D$5)*(Supuestos!$F$5-Supuestos!$E$5))),IF(Supuestos!$C$5="Uniforme",Supuestos!$D$5+B356*(Supuestos!$E$5-Supuestos!$D$5),IF(Supuestos!$C$5="Lognormal",LOGINV(B356,LN(Supuestos!$D$5)-LN(1+Supuestos!$E$5^2/Supuestos!$D$5^2)/2,SQRT(LN(1+Supuestos!$E$5^2/Supuestos!$D$5^2))),Supuestos!$D$5))))))</f>
        <v/>
      </c>
      <c r="J356" s="31">
        <f>MIN(IF(Supuestos!$H$6="",1E+99,Supuestos!$H$6),MAX(IF(Supuestos!$G$6="",-1E+99,Supuestos!$G$6),IF(Supuestos!$C$6="Normal",NORMINV(C356,Supuestos!$D$6,Supuestos!$E$6),IF(Supuestos!$C$6="Triangular",IF(C356&lt;(Supuestos!$E$6-Supuestos!$D$6)/(Supuestos!$F$6-Supuestos!$D$6),Supuestos!$D$6+SQRT(C356*(Supuestos!$F$6-Supuestos!$D$6)*(Supuestos!$E$6-Supuestos!$D$6)),Supuestos!$F$6-SQRT((1-C356)*(Supuestos!$F$6-Supuestos!$D$6)*(Supuestos!$F$6-Supuestos!$E$6))),IF(Supuestos!$C$6="Uniforme",Supuestos!$D$6+C356*(Supuestos!$E$6-Supuestos!$D$6),IF(Supuestos!$C$6="Lognormal",LOGINV(C356,LN(Supuestos!$D$6)-LN(1+Supuestos!$E$6^2/Supuestos!$D$6^2)/2,SQRT(LN(1+Supuestos!$E$6^2/Supuestos!$D$6^2))),Supuestos!$D$6))))))</f>
        <v/>
      </c>
      <c r="K356" s="32">
        <f>MIN(IF(Supuestos!$H$7="",1E+99,Supuestos!$H$7),MAX(IF(Supuestos!$G$7="",-1E+99,Supuestos!$G$7),IF(Supuestos!$C$7="Normal",NORMINV(D356,Supuestos!$D$7,Supuestos!$E$7),IF(Supuestos!$C$7="Triangular",IF(D356&lt;(Supuestos!$E$7-Supuestos!$D$7)/(Supuestos!$F$7-Supuestos!$D$7),Supuestos!$D$7+SQRT(D356*(Supuestos!$F$7-Supuestos!$D$7)*(Supuestos!$E$7-Supuestos!$D$7)),Supuestos!$F$7-SQRT((1-D356)*(Supuestos!$F$7-Supuestos!$D$7)*(Supuestos!$F$7-Supuestos!$E$7))),IF(Supuestos!$C$7="Uniforme",Supuestos!$D$7+D356*(Supuestos!$E$7-Supuestos!$D$7),IF(Supuestos!$C$7="Lognormal",LOGINV(D356,LN(Supuestos!$D$7)-LN(1+Supuestos!$E$7^2/Supuestos!$D$7^2)/2,SQRT(LN(1+Supuestos!$E$7^2/Supuestos!$D$7^2))),Supuestos!$D$7))))))</f>
        <v/>
      </c>
      <c r="L356" s="32">
        <f>MIN(IF(Supuestos!$H$8="",1E+99,Supuestos!$H$8),MAX(IF(Supuestos!$G$8="",-1E+99,Supuestos!$G$8),IF(Supuestos!$C$8="Normal",NORMINV(E356,Supuestos!$D$8,Supuestos!$E$8),IF(Supuestos!$C$8="Triangular",IF(E356&lt;(Supuestos!$E$8-Supuestos!$D$8)/(Supuestos!$F$8-Supuestos!$D$8),Supuestos!$D$8+SQRT(E356*(Supuestos!$F$8-Supuestos!$D$8)*(Supuestos!$E$8-Supuestos!$D$8)),Supuestos!$F$8-SQRT((1-E356)*(Supuestos!$F$8-Supuestos!$D$8)*(Supuestos!$F$8-Supuestos!$E$8))),IF(Supuestos!$C$8="Uniforme",Supuestos!$D$8+E356*(Supuestos!$E$8-Supuestos!$D$8),IF(Supuestos!$C$8="Lognormal",LOGINV(E356,LN(Supuestos!$D$8)-LN(1+Supuestos!$E$8^2/Supuestos!$D$8^2)/2,SQRT(LN(1+Supuestos!$E$8^2/Supuestos!$D$8^2))),Supuestos!$D$8))))))</f>
        <v/>
      </c>
      <c r="M356" s="32">
        <f>MIN(IF(Supuestos!$H$9="",1E+99,Supuestos!$H$9),MAX(IF(Supuestos!$G$9="",-1E+99,Supuestos!$G$9),IF(Supuestos!$C$9="Normal",NORMINV(F356,Supuestos!$D$9,Supuestos!$E$9),IF(Supuestos!$C$9="Triangular",IF(F356&lt;(Supuestos!$E$9-Supuestos!$D$9)/(Supuestos!$F$9-Supuestos!$D$9),Supuestos!$D$9+SQRT(F356*(Supuestos!$F$9-Supuestos!$D$9)*(Supuestos!$E$9-Supuestos!$D$9)),Supuestos!$F$9-SQRT((1-F356)*(Supuestos!$F$9-Supuestos!$D$9)*(Supuestos!$F$9-Supuestos!$E$9))),IF(Supuestos!$C$9="Uniforme",Supuestos!$D$9+F356*(Supuestos!$E$9-Supuestos!$D$9),IF(Supuestos!$C$9="Lognormal",LOGINV(F356,LN(Supuestos!$D$9)-LN(1+Supuestos!$E$9^2/Supuestos!$D$9^2)/2,SQRT(LN(1+Supuestos!$E$9^2/Supuestos!$D$9^2))),Supuestos!$D$9))))))</f>
        <v/>
      </c>
      <c r="N356" s="32">
        <f>MIN(IF(Supuestos!$H$10="",1E+99,Supuestos!$H$10),MAX(IF(Supuestos!$G$10="",-1E+99,Supuestos!$G$10),IF(Supuestos!$C$10="Normal",NORMINV(G356,Supuestos!$D$10,Supuestos!$E$10),IF(Supuestos!$C$10="Triangular",IF(G356&lt;(Supuestos!$E$10-Supuestos!$D$10)/(Supuestos!$F$10-Supuestos!$D$10),Supuestos!$D$10+SQRT(G356*(Supuestos!$F$10-Supuestos!$D$10)*(Supuestos!$E$10-Supuestos!$D$10)),Supuestos!$F$10-SQRT((1-G356)*(Supuestos!$F$10-Supuestos!$D$10)*(Supuestos!$F$10-Supuestos!$E$10))),IF(Supuestos!$C$10="Uniforme",Supuestos!$D$10+G356*(Supuestos!$E$10-Supuestos!$D$10),IF(Supuestos!$C$10="Lognormal",LOGINV(G356,LN(Supuestos!$D$10)-LN(1+Supuestos!$E$10^2/Supuestos!$D$10^2)/2,SQRT(LN(1+Supuestos!$E$10^2/Supuestos!$D$10^2))),Supuestos!$D$10))))))</f>
        <v/>
      </c>
      <c r="O356" s="31">
        <f>MIN(IF(Supuestos!$H$11="",1E+99,Supuestos!$H$11),MAX(IF(Supuestos!$G$11="",-1E+99,Supuestos!$G$11),IF(Supuestos!$C$11="Normal",NORMINV(H356,Supuestos!$D$11,Supuestos!$E$11),IF(Supuestos!$C$11="Triangular",IF(H356&lt;(Supuestos!$E$11-Supuestos!$D$11)/(Supuestos!$F$11-Supuestos!$D$11),Supuestos!$D$11+SQRT(H356*(Supuestos!$F$11-Supuestos!$D$11)*(Supuestos!$E$11-Supuestos!$D$11)),Supuestos!$F$11-SQRT((1-H356)*(Supuestos!$F$11-Supuestos!$D$11)*(Supuestos!$F$11-Supuestos!$E$11))),IF(Supuestos!$C$11="Uniforme",Supuestos!$D$11+H356*(Supuestos!$E$11-Supuestos!$D$11),IF(Supuestos!$C$11="Lognormal",LOGINV(H356,LN(Supuestos!$D$11)-LN(1+Supuestos!$E$11^2/Supuestos!$D$11^2)/2,SQRT(LN(1+Supuestos!$E$11^2/Supuestos!$D$11^2))),Supuestos!$D$11))))))</f>
        <v/>
      </c>
      <c r="P356" s="33">
        <f>-I356</f>
        <v/>
      </c>
      <c r="Q356" s="33">
        <f>$J356*(1+$K356)^(1-1)*(1-$L356)*(1-$M356)</f>
        <v/>
      </c>
      <c r="R356" s="33">
        <f>$J356*(1+$K356)^(2-1)*(1-$L356)*(1-$M356)</f>
        <v/>
      </c>
      <c r="S356" s="33">
        <f>$J356*(1+$K356)^(3-1)*(1-$L356)*(1-$M356)</f>
        <v/>
      </c>
      <c r="T356" s="33">
        <f>$J356*(1+$K356)^(4-1)*(1-$L356)*(1-$M356)</f>
        <v/>
      </c>
      <c r="U356" s="33">
        <f>$J356*(1+$K356)^(5-1)*(1-$L356)*(1-$M356)+$O356</f>
        <v/>
      </c>
      <c r="V356" s="33">
        <f>P356+NPV($N356,Q356:U356)</f>
        <v/>
      </c>
      <c r="W356" s="32">
        <f>IFERROR(IRR(P356:U356,0.1),"")</f>
        <v/>
      </c>
    </row>
    <row r="357">
      <c r="A357" s="14" t="n">
        <v>353</v>
      </c>
      <c r="B357" s="30">
        <f>RAND()*(1-2E-6)+1E-6</f>
        <v/>
      </c>
      <c r="C357" s="30">
        <f>RAND()*(1-2E-6)+1E-6</f>
        <v/>
      </c>
      <c r="D357" s="30">
        <f>RAND()*(1-2E-6)+1E-6</f>
        <v/>
      </c>
      <c r="E357" s="30">
        <f>RAND()*(1-2E-6)+1E-6</f>
        <v/>
      </c>
      <c r="F357" s="30">
        <f>RAND()*(1-2E-6)+1E-6</f>
        <v/>
      </c>
      <c r="G357" s="30">
        <f>RAND()*(1-2E-6)+1E-6</f>
        <v/>
      </c>
      <c r="H357" s="30">
        <f>RAND()*(1-2E-6)+1E-6</f>
        <v/>
      </c>
      <c r="I357" s="31">
        <f>MIN(IF(Supuestos!$H$5="",1E+99,Supuestos!$H$5),MAX(IF(Supuestos!$G$5="",-1E+99,Supuestos!$G$5),IF(Supuestos!$C$5="Normal",NORMINV(B357,Supuestos!$D$5,Supuestos!$E$5),IF(Supuestos!$C$5="Triangular",IF(B357&lt;(Supuestos!$E$5-Supuestos!$D$5)/(Supuestos!$F$5-Supuestos!$D$5),Supuestos!$D$5+SQRT(B357*(Supuestos!$F$5-Supuestos!$D$5)*(Supuestos!$E$5-Supuestos!$D$5)),Supuestos!$F$5-SQRT((1-B357)*(Supuestos!$F$5-Supuestos!$D$5)*(Supuestos!$F$5-Supuestos!$E$5))),IF(Supuestos!$C$5="Uniforme",Supuestos!$D$5+B357*(Supuestos!$E$5-Supuestos!$D$5),IF(Supuestos!$C$5="Lognormal",LOGINV(B357,LN(Supuestos!$D$5)-LN(1+Supuestos!$E$5^2/Supuestos!$D$5^2)/2,SQRT(LN(1+Supuestos!$E$5^2/Supuestos!$D$5^2))),Supuestos!$D$5))))))</f>
        <v/>
      </c>
      <c r="J357" s="31">
        <f>MIN(IF(Supuestos!$H$6="",1E+99,Supuestos!$H$6),MAX(IF(Supuestos!$G$6="",-1E+99,Supuestos!$G$6),IF(Supuestos!$C$6="Normal",NORMINV(C357,Supuestos!$D$6,Supuestos!$E$6),IF(Supuestos!$C$6="Triangular",IF(C357&lt;(Supuestos!$E$6-Supuestos!$D$6)/(Supuestos!$F$6-Supuestos!$D$6),Supuestos!$D$6+SQRT(C357*(Supuestos!$F$6-Supuestos!$D$6)*(Supuestos!$E$6-Supuestos!$D$6)),Supuestos!$F$6-SQRT((1-C357)*(Supuestos!$F$6-Supuestos!$D$6)*(Supuestos!$F$6-Supuestos!$E$6))),IF(Supuestos!$C$6="Uniforme",Supuestos!$D$6+C357*(Supuestos!$E$6-Supuestos!$D$6),IF(Supuestos!$C$6="Lognormal",LOGINV(C357,LN(Supuestos!$D$6)-LN(1+Supuestos!$E$6^2/Supuestos!$D$6^2)/2,SQRT(LN(1+Supuestos!$E$6^2/Supuestos!$D$6^2))),Supuestos!$D$6))))))</f>
        <v/>
      </c>
      <c r="K357" s="32">
        <f>MIN(IF(Supuestos!$H$7="",1E+99,Supuestos!$H$7),MAX(IF(Supuestos!$G$7="",-1E+99,Supuestos!$G$7),IF(Supuestos!$C$7="Normal",NORMINV(D357,Supuestos!$D$7,Supuestos!$E$7),IF(Supuestos!$C$7="Triangular",IF(D357&lt;(Supuestos!$E$7-Supuestos!$D$7)/(Supuestos!$F$7-Supuestos!$D$7),Supuestos!$D$7+SQRT(D357*(Supuestos!$F$7-Supuestos!$D$7)*(Supuestos!$E$7-Supuestos!$D$7)),Supuestos!$F$7-SQRT((1-D357)*(Supuestos!$F$7-Supuestos!$D$7)*(Supuestos!$F$7-Supuestos!$E$7))),IF(Supuestos!$C$7="Uniforme",Supuestos!$D$7+D357*(Supuestos!$E$7-Supuestos!$D$7),IF(Supuestos!$C$7="Lognormal",LOGINV(D357,LN(Supuestos!$D$7)-LN(1+Supuestos!$E$7^2/Supuestos!$D$7^2)/2,SQRT(LN(1+Supuestos!$E$7^2/Supuestos!$D$7^2))),Supuestos!$D$7))))))</f>
        <v/>
      </c>
      <c r="L357" s="32">
        <f>MIN(IF(Supuestos!$H$8="",1E+99,Supuestos!$H$8),MAX(IF(Supuestos!$G$8="",-1E+99,Supuestos!$G$8),IF(Supuestos!$C$8="Normal",NORMINV(E357,Supuestos!$D$8,Supuestos!$E$8),IF(Supuestos!$C$8="Triangular",IF(E357&lt;(Supuestos!$E$8-Supuestos!$D$8)/(Supuestos!$F$8-Supuestos!$D$8),Supuestos!$D$8+SQRT(E357*(Supuestos!$F$8-Supuestos!$D$8)*(Supuestos!$E$8-Supuestos!$D$8)),Supuestos!$F$8-SQRT((1-E357)*(Supuestos!$F$8-Supuestos!$D$8)*(Supuestos!$F$8-Supuestos!$E$8))),IF(Supuestos!$C$8="Uniforme",Supuestos!$D$8+E357*(Supuestos!$E$8-Supuestos!$D$8),IF(Supuestos!$C$8="Lognormal",LOGINV(E357,LN(Supuestos!$D$8)-LN(1+Supuestos!$E$8^2/Supuestos!$D$8^2)/2,SQRT(LN(1+Supuestos!$E$8^2/Supuestos!$D$8^2))),Supuestos!$D$8))))))</f>
        <v/>
      </c>
      <c r="M357" s="32">
        <f>MIN(IF(Supuestos!$H$9="",1E+99,Supuestos!$H$9),MAX(IF(Supuestos!$G$9="",-1E+99,Supuestos!$G$9),IF(Supuestos!$C$9="Normal",NORMINV(F357,Supuestos!$D$9,Supuestos!$E$9),IF(Supuestos!$C$9="Triangular",IF(F357&lt;(Supuestos!$E$9-Supuestos!$D$9)/(Supuestos!$F$9-Supuestos!$D$9),Supuestos!$D$9+SQRT(F357*(Supuestos!$F$9-Supuestos!$D$9)*(Supuestos!$E$9-Supuestos!$D$9)),Supuestos!$F$9-SQRT((1-F357)*(Supuestos!$F$9-Supuestos!$D$9)*(Supuestos!$F$9-Supuestos!$E$9))),IF(Supuestos!$C$9="Uniforme",Supuestos!$D$9+F357*(Supuestos!$E$9-Supuestos!$D$9),IF(Supuestos!$C$9="Lognormal",LOGINV(F357,LN(Supuestos!$D$9)-LN(1+Supuestos!$E$9^2/Supuestos!$D$9^2)/2,SQRT(LN(1+Supuestos!$E$9^2/Supuestos!$D$9^2))),Supuestos!$D$9))))))</f>
        <v/>
      </c>
      <c r="N357" s="32">
        <f>MIN(IF(Supuestos!$H$10="",1E+99,Supuestos!$H$10),MAX(IF(Supuestos!$G$10="",-1E+99,Supuestos!$G$10),IF(Supuestos!$C$10="Normal",NORMINV(G357,Supuestos!$D$10,Supuestos!$E$10),IF(Supuestos!$C$10="Triangular",IF(G357&lt;(Supuestos!$E$10-Supuestos!$D$10)/(Supuestos!$F$10-Supuestos!$D$10),Supuestos!$D$10+SQRT(G357*(Supuestos!$F$10-Supuestos!$D$10)*(Supuestos!$E$10-Supuestos!$D$10)),Supuestos!$F$10-SQRT((1-G357)*(Supuestos!$F$10-Supuestos!$D$10)*(Supuestos!$F$10-Supuestos!$E$10))),IF(Supuestos!$C$10="Uniforme",Supuestos!$D$10+G357*(Supuestos!$E$10-Supuestos!$D$10),IF(Supuestos!$C$10="Lognormal",LOGINV(G357,LN(Supuestos!$D$10)-LN(1+Supuestos!$E$10^2/Supuestos!$D$10^2)/2,SQRT(LN(1+Supuestos!$E$10^2/Supuestos!$D$10^2))),Supuestos!$D$10))))))</f>
        <v/>
      </c>
      <c r="O357" s="31">
        <f>MIN(IF(Supuestos!$H$11="",1E+99,Supuestos!$H$11),MAX(IF(Supuestos!$G$11="",-1E+99,Supuestos!$G$11),IF(Supuestos!$C$11="Normal",NORMINV(H357,Supuestos!$D$11,Supuestos!$E$11),IF(Supuestos!$C$11="Triangular",IF(H357&lt;(Supuestos!$E$11-Supuestos!$D$11)/(Supuestos!$F$11-Supuestos!$D$11),Supuestos!$D$11+SQRT(H357*(Supuestos!$F$11-Supuestos!$D$11)*(Supuestos!$E$11-Supuestos!$D$11)),Supuestos!$F$11-SQRT((1-H357)*(Supuestos!$F$11-Supuestos!$D$11)*(Supuestos!$F$11-Supuestos!$E$11))),IF(Supuestos!$C$11="Uniforme",Supuestos!$D$11+H357*(Supuestos!$E$11-Supuestos!$D$11),IF(Supuestos!$C$11="Lognormal",LOGINV(H357,LN(Supuestos!$D$11)-LN(1+Supuestos!$E$11^2/Supuestos!$D$11^2)/2,SQRT(LN(1+Supuestos!$E$11^2/Supuestos!$D$11^2))),Supuestos!$D$11))))))</f>
        <v/>
      </c>
      <c r="P357" s="33">
        <f>-I357</f>
        <v/>
      </c>
      <c r="Q357" s="33">
        <f>$J357*(1+$K357)^(1-1)*(1-$L357)*(1-$M357)</f>
        <v/>
      </c>
      <c r="R357" s="33">
        <f>$J357*(1+$K357)^(2-1)*(1-$L357)*(1-$M357)</f>
        <v/>
      </c>
      <c r="S357" s="33">
        <f>$J357*(1+$K357)^(3-1)*(1-$L357)*(1-$M357)</f>
        <v/>
      </c>
      <c r="T357" s="33">
        <f>$J357*(1+$K357)^(4-1)*(1-$L357)*(1-$M357)</f>
        <v/>
      </c>
      <c r="U357" s="33">
        <f>$J357*(1+$K357)^(5-1)*(1-$L357)*(1-$M357)+$O357</f>
        <v/>
      </c>
      <c r="V357" s="33">
        <f>P357+NPV($N357,Q357:U357)</f>
        <v/>
      </c>
      <c r="W357" s="32">
        <f>IFERROR(IRR(P357:U357,0.1),"")</f>
        <v/>
      </c>
    </row>
    <row r="358">
      <c r="A358" s="14" t="n">
        <v>354</v>
      </c>
      <c r="B358" s="30">
        <f>RAND()*(1-2E-6)+1E-6</f>
        <v/>
      </c>
      <c r="C358" s="30">
        <f>RAND()*(1-2E-6)+1E-6</f>
        <v/>
      </c>
      <c r="D358" s="30">
        <f>RAND()*(1-2E-6)+1E-6</f>
        <v/>
      </c>
      <c r="E358" s="30">
        <f>RAND()*(1-2E-6)+1E-6</f>
        <v/>
      </c>
      <c r="F358" s="30">
        <f>RAND()*(1-2E-6)+1E-6</f>
        <v/>
      </c>
      <c r="G358" s="30">
        <f>RAND()*(1-2E-6)+1E-6</f>
        <v/>
      </c>
      <c r="H358" s="30">
        <f>RAND()*(1-2E-6)+1E-6</f>
        <v/>
      </c>
      <c r="I358" s="31">
        <f>MIN(IF(Supuestos!$H$5="",1E+99,Supuestos!$H$5),MAX(IF(Supuestos!$G$5="",-1E+99,Supuestos!$G$5),IF(Supuestos!$C$5="Normal",NORMINV(B358,Supuestos!$D$5,Supuestos!$E$5),IF(Supuestos!$C$5="Triangular",IF(B358&lt;(Supuestos!$E$5-Supuestos!$D$5)/(Supuestos!$F$5-Supuestos!$D$5),Supuestos!$D$5+SQRT(B358*(Supuestos!$F$5-Supuestos!$D$5)*(Supuestos!$E$5-Supuestos!$D$5)),Supuestos!$F$5-SQRT((1-B358)*(Supuestos!$F$5-Supuestos!$D$5)*(Supuestos!$F$5-Supuestos!$E$5))),IF(Supuestos!$C$5="Uniforme",Supuestos!$D$5+B358*(Supuestos!$E$5-Supuestos!$D$5),IF(Supuestos!$C$5="Lognormal",LOGINV(B358,LN(Supuestos!$D$5)-LN(1+Supuestos!$E$5^2/Supuestos!$D$5^2)/2,SQRT(LN(1+Supuestos!$E$5^2/Supuestos!$D$5^2))),Supuestos!$D$5))))))</f>
        <v/>
      </c>
      <c r="J358" s="31">
        <f>MIN(IF(Supuestos!$H$6="",1E+99,Supuestos!$H$6),MAX(IF(Supuestos!$G$6="",-1E+99,Supuestos!$G$6),IF(Supuestos!$C$6="Normal",NORMINV(C358,Supuestos!$D$6,Supuestos!$E$6),IF(Supuestos!$C$6="Triangular",IF(C358&lt;(Supuestos!$E$6-Supuestos!$D$6)/(Supuestos!$F$6-Supuestos!$D$6),Supuestos!$D$6+SQRT(C358*(Supuestos!$F$6-Supuestos!$D$6)*(Supuestos!$E$6-Supuestos!$D$6)),Supuestos!$F$6-SQRT((1-C358)*(Supuestos!$F$6-Supuestos!$D$6)*(Supuestos!$F$6-Supuestos!$E$6))),IF(Supuestos!$C$6="Uniforme",Supuestos!$D$6+C358*(Supuestos!$E$6-Supuestos!$D$6),IF(Supuestos!$C$6="Lognormal",LOGINV(C358,LN(Supuestos!$D$6)-LN(1+Supuestos!$E$6^2/Supuestos!$D$6^2)/2,SQRT(LN(1+Supuestos!$E$6^2/Supuestos!$D$6^2))),Supuestos!$D$6))))))</f>
        <v/>
      </c>
      <c r="K358" s="32">
        <f>MIN(IF(Supuestos!$H$7="",1E+99,Supuestos!$H$7),MAX(IF(Supuestos!$G$7="",-1E+99,Supuestos!$G$7),IF(Supuestos!$C$7="Normal",NORMINV(D358,Supuestos!$D$7,Supuestos!$E$7),IF(Supuestos!$C$7="Triangular",IF(D358&lt;(Supuestos!$E$7-Supuestos!$D$7)/(Supuestos!$F$7-Supuestos!$D$7),Supuestos!$D$7+SQRT(D358*(Supuestos!$F$7-Supuestos!$D$7)*(Supuestos!$E$7-Supuestos!$D$7)),Supuestos!$F$7-SQRT((1-D358)*(Supuestos!$F$7-Supuestos!$D$7)*(Supuestos!$F$7-Supuestos!$E$7))),IF(Supuestos!$C$7="Uniforme",Supuestos!$D$7+D358*(Supuestos!$E$7-Supuestos!$D$7),IF(Supuestos!$C$7="Lognormal",LOGINV(D358,LN(Supuestos!$D$7)-LN(1+Supuestos!$E$7^2/Supuestos!$D$7^2)/2,SQRT(LN(1+Supuestos!$E$7^2/Supuestos!$D$7^2))),Supuestos!$D$7))))))</f>
        <v/>
      </c>
      <c r="L358" s="32">
        <f>MIN(IF(Supuestos!$H$8="",1E+99,Supuestos!$H$8),MAX(IF(Supuestos!$G$8="",-1E+99,Supuestos!$G$8),IF(Supuestos!$C$8="Normal",NORMINV(E358,Supuestos!$D$8,Supuestos!$E$8),IF(Supuestos!$C$8="Triangular",IF(E358&lt;(Supuestos!$E$8-Supuestos!$D$8)/(Supuestos!$F$8-Supuestos!$D$8),Supuestos!$D$8+SQRT(E358*(Supuestos!$F$8-Supuestos!$D$8)*(Supuestos!$E$8-Supuestos!$D$8)),Supuestos!$F$8-SQRT((1-E358)*(Supuestos!$F$8-Supuestos!$D$8)*(Supuestos!$F$8-Supuestos!$E$8))),IF(Supuestos!$C$8="Uniforme",Supuestos!$D$8+E358*(Supuestos!$E$8-Supuestos!$D$8),IF(Supuestos!$C$8="Lognormal",LOGINV(E358,LN(Supuestos!$D$8)-LN(1+Supuestos!$E$8^2/Supuestos!$D$8^2)/2,SQRT(LN(1+Supuestos!$E$8^2/Supuestos!$D$8^2))),Supuestos!$D$8))))))</f>
        <v/>
      </c>
      <c r="M358" s="32">
        <f>MIN(IF(Supuestos!$H$9="",1E+99,Supuestos!$H$9),MAX(IF(Supuestos!$G$9="",-1E+99,Supuestos!$G$9),IF(Supuestos!$C$9="Normal",NORMINV(F358,Supuestos!$D$9,Supuestos!$E$9),IF(Supuestos!$C$9="Triangular",IF(F358&lt;(Supuestos!$E$9-Supuestos!$D$9)/(Supuestos!$F$9-Supuestos!$D$9),Supuestos!$D$9+SQRT(F358*(Supuestos!$F$9-Supuestos!$D$9)*(Supuestos!$E$9-Supuestos!$D$9)),Supuestos!$F$9-SQRT((1-F358)*(Supuestos!$F$9-Supuestos!$D$9)*(Supuestos!$F$9-Supuestos!$E$9))),IF(Supuestos!$C$9="Uniforme",Supuestos!$D$9+F358*(Supuestos!$E$9-Supuestos!$D$9),IF(Supuestos!$C$9="Lognormal",LOGINV(F358,LN(Supuestos!$D$9)-LN(1+Supuestos!$E$9^2/Supuestos!$D$9^2)/2,SQRT(LN(1+Supuestos!$E$9^2/Supuestos!$D$9^2))),Supuestos!$D$9))))))</f>
        <v/>
      </c>
      <c r="N358" s="32">
        <f>MIN(IF(Supuestos!$H$10="",1E+99,Supuestos!$H$10),MAX(IF(Supuestos!$G$10="",-1E+99,Supuestos!$G$10),IF(Supuestos!$C$10="Normal",NORMINV(G358,Supuestos!$D$10,Supuestos!$E$10),IF(Supuestos!$C$10="Triangular",IF(G358&lt;(Supuestos!$E$10-Supuestos!$D$10)/(Supuestos!$F$10-Supuestos!$D$10),Supuestos!$D$10+SQRT(G358*(Supuestos!$F$10-Supuestos!$D$10)*(Supuestos!$E$10-Supuestos!$D$10)),Supuestos!$F$10-SQRT((1-G358)*(Supuestos!$F$10-Supuestos!$D$10)*(Supuestos!$F$10-Supuestos!$E$10))),IF(Supuestos!$C$10="Uniforme",Supuestos!$D$10+G358*(Supuestos!$E$10-Supuestos!$D$10),IF(Supuestos!$C$10="Lognormal",LOGINV(G358,LN(Supuestos!$D$10)-LN(1+Supuestos!$E$10^2/Supuestos!$D$10^2)/2,SQRT(LN(1+Supuestos!$E$10^2/Supuestos!$D$10^2))),Supuestos!$D$10))))))</f>
        <v/>
      </c>
      <c r="O358" s="31">
        <f>MIN(IF(Supuestos!$H$11="",1E+99,Supuestos!$H$11),MAX(IF(Supuestos!$G$11="",-1E+99,Supuestos!$G$11),IF(Supuestos!$C$11="Normal",NORMINV(H358,Supuestos!$D$11,Supuestos!$E$11),IF(Supuestos!$C$11="Triangular",IF(H358&lt;(Supuestos!$E$11-Supuestos!$D$11)/(Supuestos!$F$11-Supuestos!$D$11),Supuestos!$D$11+SQRT(H358*(Supuestos!$F$11-Supuestos!$D$11)*(Supuestos!$E$11-Supuestos!$D$11)),Supuestos!$F$11-SQRT((1-H358)*(Supuestos!$F$11-Supuestos!$D$11)*(Supuestos!$F$11-Supuestos!$E$11))),IF(Supuestos!$C$11="Uniforme",Supuestos!$D$11+H358*(Supuestos!$E$11-Supuestos!$D$11),IF(Supuestos!$C$11="Lognormal",LOGINV(H358,LN(Supuestos!$D$11)-LN(1+Supuestos!$E$11^2/Supuestos!$D$11^2)/2,SQRT(LN(1+Supuestos!$E$11^2/Supuestos!$D$11^2))),Supuestos!$D$11))))))</f>
        <v/>
      </c>
      <c r="P358" s="33">
        <f>-I358</f>
        <v/>
      </c>
      <c r="Q358" s="33">
        <f>$J358*(1+$K358)^(1-1)*(1-$L358)*(1-$M358)</f>
        <v/>
      </c>
      <c r="R358" s="33">
        <f>$J358*(1+$K358)^(2-1)*(1-$L358)*(1-$M358)</f>
        <v/>
      </c>
      <c r="S358" s="33">
        <f>$J358*(1+$K358)^(3-1)*(1-$L358)*(1-$M358)</f>
        <v/>
      </c>
      <c r="T358" s="33">
        <f>$J358*(1+$K358)^(4-1)*(1-$L358)*(1-$M358)</f>
        <v/>
      </c>
      <c r="U358" s="33">
        <f>$J358*(1+$K358)^(5-1)*(1-$L358)*(1-$M358)+$O358</f>
        <v/>
      </c>
      <c r="V358" s="33">
        <f>P358+NPV($N358,Q358:U358)</f>
        <v/>
      </c>
      <c r="W358" s="32">
        <f>IFERROR(IRR(P358:U358,0.1),"")</f>
        <v/>
      </c>
    </row>
    <row r="359">
      <c r="A359" s="14" t="n">
        <v>355</v>
      </c>
      <c r="B359" s="30">
        <f>RAND()*(1-2E-6)+1E-6</f>
        <v/>
      </c>
      <c r="C359" s="30">
        <f>RAND()*(1-2E-6)+1E-6</f>
        <v/>
      </c>
      <c r="D359" s="30">
        <f>RAND()*(1-2E-6)+1E-6</f>
        <v/>
      </c>
      <c r="E359" s="30">
        <f>RAND()*(1-2E-6)+1E-6</f>
        <v/>
      </c>
      <c r="F359" s="30">
        <f>RAND()*(1-2E-6)+1E-6</f>
        <v/>
      </c>
      <c r="G359" s="30">
        <f>RAND()*(1-2E-6)+1E-6</f>
        <v/>
      </c>
      <c r="H359" s="30">
        <f>RAND()*(1-2E-6)+1E-6</f>
        <v/>
      </c>
      <c r="I359" s="31">
        <f>MIN(IF(Supuestos!$H$5="",1E+99,Supuestos!$H$5),MAX(IF(Supuestos!$G$5="",-1E+99,Supuestos!$G$5),IF(Supuestos!$C$5="Normal",NORMINV(B359,Supuestos!$D$5,Supuestos!$E$5),IF(Supuestos!$C$5="Triangular",IF(B359&lt;(Supuestos!$E$5-Supuestos!$D$5)/(Supuestos!$F$5-Supuestos!$D$5),Supuestos!$D$5+SQRT(B359*(Supuestos!$F$5-Supuestos!$D$5)*(Supuestos!$E$5-Supuestos!$D$5)),Supuestos!$F$5-SQRT((1-B359)*(Supuestos!$F$5-Supuestos!$D$5)*(Supuestos!$F$5-Supuestos!$E$5))),IF(Supuestos!$C$5="Uniforme",Supuestos!$D$5+B359*(Supuestos!$E$5-Supuestos!$D$5),IF(Supuestos!$C$5="Lognormal",LOGINV(B359,LN(Supuestos!$D$5)-LN(1+Supuestos!$E$5^2/Supuestos!$D$5^2)/2,SQRT(LN(1+Supuestos!$E$5^2/Supuestos!$D$5^2))),Supuestos!$D$5))))))</f>
        <v/>
      </c>
      <c r="J359" s="31">
        <f>MIN(IF(Supuestos!$H$6="",1E+99,Supuestos!$H$6),MAX(IF(Supuestos!$G$6="",-1E+99,Supuestos!$G$6),IF(Supuestos!$C$6="Normal",NORMINV(C359,Supuestos!$D$6,Supuestos!$E$6),IF(Supuestos!$C$6="Triangular",IF(C359&lt;(Supuestos!$E$6-Supuestos!$D$6)/(Supuestos!$F$6-Supuestos!$D$6),Supuestos!$D$6+SQRT(C359*(Supuestos!$F$6-Supuestos!$D$6)*(Supuestos!$E$6-Supuestos!$D$6)),Supuestos!$F$6-SQRT((1-C359)*(Supuestos!$F$6-Supuestos!$D$6)*(Supuestos!$F$6-Supuestos!$E$6))),IF(Supuestos!$C$6="Uniforme",Supuestos!$D$6+C359*(Supuestos!$E$6-Supuestos!$D$6),IF(Supuestos!$C$6="Lognormal",LOGINV(C359,LN(Supuestos!$D$6)-LN(1+Supuestos!$E$6^2/Supuestos!$D$6^2)/2,SQRT(LN(1+Supuestos!$E$6^2/Supuestos!$D$6^2))),Supuestos!$D$6))))))</f>
        <v/>
      </c>
      <c r="K359" s="32">
        <f>MIN(IF(Supuestos!$H$7="",1E+99,Supuestos!$H$7),MAX(IF(Supuestos!$G$7="",-1E+99,Supuestos!$G$7),IF(Supuestos!$C$7="Normal",NORMINV(D359,Supuestos!$D$7,Supuestos!$E$7),IF(Supuestos!$C$7="Triangular",IF(D359&lt;(Supuestos!$E$7-Supuestos!$D$7)/(Supuestos!$F$7-Supuestos!$D$7),Supuestos!$D$7+SQRT(D359*(Supuestos!$F$7-Supuestos!$D$7)*(Supuestos!$E$7-Supuestos!$D$7)),Supuestos!$F$7-SQRT((1-D359)*(Supuestos!$F$7-Supuestos!$D$7)*(Supuestos!$F$7-Supuestos!$E$7))),IF(Supuestos!$C$7="Uniforme",Supuestos!$D$7+D359*(Supuestos!$E$7-Supuestos!$D$7),IF(Supuestos!$C$7="Lognormal",LOGINV(D359,LN(Supuestos!$D$7)-LN(1+Supuestos!$E$7^2/Supuestos!$D$7^2)/2,SQRT(LN(1+Supuestos!$E$7^2/Supuestos!$D$7^2))),Supuestos!$D$7))))))</f>
        <v/>
      </c>
      <c r="L359" s="32">
        <f>MIN(IF(Supuestos!$H$8="",1E+99,Supuestos!$H$8),MAX(IF(Supuestos!$G$8="",-1E+99,Supuestos!$G$8),IF(Supuestos!$C$8="Normal",NORMINV(E359,Supuestos!$D$8,Supuestos!$E$8),IF(Supuestos!$C$8="Triangular",IF(E359&lt;(Supuestos!$E$8-Supuestos!$D$8)/(Supuestos!$F$8-Supuestos!$D$8),Supuestos!$D$8+SQRT(E359*(Supuestos!$F$8-Supuestos!$D$8)*(Supuestos!$E$8-Supuestos!$D$8)),Supuestos!$F$8-SQRT((1-E359)*(Supuestos!$F$8-Supuestos!$D$8)*(Supuestos!$F$8-Supuestos!$E$8))),IF(Supuestos!$C$8="Uniforme",Supuestos!$D$8+E359*(Supuestos!$E$8-Supuestos!$D$8),IF(Supuestos!$C$8="Lognormal",LOGINV(E359,LN(Supuestos!$D$8)-LN(1+Supuestos!$E$8^2/Supuestos!$D$8^2)/2,SQRT(LN(1+Supuestos!$E$8^2/Supuestos!$D$8^2))),Supuestos!$D$8))))))</f>
        <v/>
      </c>
      <c r="M359" s="32">
        <f>MIN(IF(Supuestos!$H$9="",1E+99,Supuestos!$H$9),MAX(IF(Supuestos!$G$9="",-1E+99,Supuestos!$G$9),IF(Supuestos!$C$9="Normal",NORMINV(F359,Supuestos!$D$9,Supuestos!$E$9),IF(Supuestos!$C$9="Triangular",IF(F359&lt;(Supuestos!$E$9-Supuestos!$D$9)/(Supuestos!$F$9-Supuestos!$D$9),Supuestos!$D$9+SQRT(F359*(Supuestos!$F$9-Supuestos!$D$9)*(Supuestos!$E$9-Supuestos!$D$9)),Supuestos!$F$9-SQRT((1-F359)*(Supuestos!$F$9-Supuestos!$D$9)*(Supuestos!$F$9-Supuestos!$E$9))),IF(Supuestos!$C$9="Uniforme",Supuestos!$D$9+F359*(Supuestos!$E$9-Supuestos!$D$9),IF(Supuestos!$C$9="Lognormal",LOGINV(F359,LN(Supuestos!$D$9)-LN(1+Supuestos!$E$9^2/Supuestos!$D$9^2)/2,SQRT(LN(1+Supuestos!$E$9^2/Supuestos!$D$9^2))),Supuestos!$D$9))))))</f>
        <v/>
      </c>
      <c r="N359" s="32">
        <f>MIN(IF(Supuestos!$H$10="",1E+99,Supuestos!$H$10),MAX(IF(Supuestos!$G$10="",-1E+99,Supuestos!$G$10),IF(Supuestos!$C$10="Normal",NORMINV(G359,Supuestos!$D$10,Supuestos!$E$10),IF(Supuestos!$C$10="Triangular",IF(G359&lt;(Supuestos!$E$10-Supuestos!$D$10)/(Supuestos!$F$10-Supuestos!$D$10),Supuestos!$D$10+SQRT(G359*(Supuestos!$F$10-Supuestos!$D$10)*(Supuestos!$E$10-Supuestos!$D$10)),Supuestos!$F$10-SQRT((1-G359)*(Supuestos!$F$10-Supuestos!$D$10)*(Supuestos!$F$10-Supuestos!$E$10))),IF(Supuestos!$C$10="Uniforme",Supuestos!$D$10+G359*(Supuestos!$E$10-Supuestos!$D$10),IF(Supuestos!$C$10="Lognormal",LOGINV(G359,LN(Supuestos!$D$10)-LN(1+Supuestos!$E$10^2/Supuestos!$D$10^2)/2,SQRT(LN(1+Supuestos!$E$10^2/Supuestos!$D$10^2))),Supuestos!$D$10))))))</f>
        <v/>
      </c>
      <c r="O359" s="31">
        <f>MIN(IF(Supuestos!$H$11="",1E+99,Supuestos!$H$11),MAX(IF(Supuestos!$G$11="",-1E+99,Supuestos!$G$11),IF(Supuestos!$C$11="Normal",NORMINV(H359,Supuestos!$D$11,Supuestos!$E$11),IF(Supuestos!$C$11="Triangular",IF(H359&lt;(Supuestos!$E$11-Supuestos!$D$11)/(Supuestos!$F$11-Supuestos!$D$11),Supuestos!$D$11+SQRT(H359*(Supuestos!$F$11-Supuestos!$D$11)*(Supuestos!$E$11-Supuestos!$D$11)),Supuestos!$F$11-SQRT((1-H359)*(Supuestos!$F$11-Supuestos!$D$11)*(Supuestos!$F$11-Supuestos!$E$11))),IF(Supuestos!$C$11="Uniforme",Supuestos!$D$11+H359*(Supuestos!$E$11-Supuestos!$D$11),IF(Supuestos!$C$11="Lognormal",LOGINV(H359,LN(Supuestos!$D$11)-LN(1+Supuestos!$E$11^2/Supuestos!$D$11^2)/2,SQRT(LN(1+Supuestos!$E$11^2/Supuestos!$D$11^2))),Supuestos!$D$11))))))</f>
        <v/>
      </c>
      <c r="P359" s="33">
        <f>-I359</f>
        <v/>
      </c>
      <c r="Q359" s="33">
        <f>$J359*(1+$K359)^(1-1)*(1-$L359)*(1-$M359)</f>
        <v/>
      </c>
      <c r="R359" s="33">
        <f>$J359*(1+$K359)^(2-1)*(1-$L359)*(1-$M359)</f>
        <v/>
      </c>
      <c r="S359" s="33">
        <f>$J359*(1+$K359)^(3-1)*(1-$L359)*(1-$M359)</f>
        <v/>
      </c>
      <c r="T359" s="33">
        <f>$J359*(1+$K359)^(4-1)*(1-$L359)*(1-$M359)</f>
        <v/>
      </c>
      <c r="U359" s="33">
        <f>$J359*(1+$K359)^(5-1)*(1-$L359)*(1-$M359)+$O359</f>
        <v/>
      </c>
      <c r="V359" s="33">
        <f>P359+NPV($N359,Q359:U359)</f>
        <v/>
      </c>
      <c r="W359" s="32">
        <f>IFERROR(IRR(P359:U359,0.1),"")</f>
        <v/>
      </c>
    </row>
    <row r="360">
      <c r="A360" s="14" t="n">
        <v>356</v>
      </c>
      <c r="B360" s="30">
        <f>RAND()*(1-2E-6)+1E-6</f>
        <v/>
      </c>
      <c r="C360" s="30">
        <f>RAND()*(1-2E-6)+1E-6</f>
        <v/>
      </c>
      <c r="D360" s="30">
        <f>RAND()*(1-2E-6)+1E-6</f>
        <v/>
      </c>
      <c r="E360" s="30">
        <f>RAND()*(1-2E-6)+1E-6</f>
        <v/>
      </c>
      <c r="F360" s="30">
        <f>RAND()*(1-2E-6)+1E-6</f>
        <v/>
      </c>
      <c r="G360" s="30">
        <f>RAND()*(1-2E-6)+1E-6</f>
        <v/>
      </c>
      <c r="H360" s="30">
        <f>RAND()*(1-2E-6)+1E-6</f>
        <v/>
      </c>
      <c r="I360" s="31">
        <f>MIN(IF(Supuestos!$H$5="",1E+99,Supuestos!$H$5),MAX(IF(Supuestos!$G$5="",-1E+99,Supuestos!$G$5),IF(Supuestos!$C$5="Normal",NORMINV(B360,Supuestos!$D$5,Supuestos!$E$5),IF(Supuestos!$C$5="Triangular",IF(B360&lt;(Supuestos!$E$5-Supuestos!$D$5)/(Supuestos!$F$5-Supuestos!$D$5),Supuestos!$D$5+SQRT(B360*(Supuestos!$F$5-Supuestos!$D$5)*(Supuestos!$E$5-Supuestos!$D$5)),Supuestos!$F$5-SQRT((1-B360)*(Supuestos!$F$5-Supuestos!$D$5)*(Supuestos!$F$5-Supuestos!$E$5))),IF(Supuestos!$C$5="Uniforme",Supuestos!$D$5+B360*(Supuestos!$E$5-Supuestos!$D$5),IF(Supuestos!$C$5="Lognormal",LOGINV(B360,LN(Supuestos!$D$5)-LN(1+Supuestos!$E$5^2/Supuestos!$D$5^2)/2,SQRT(LN(1+Supuestos!$E$5^2/Supuestos!$D$5^2))),Supuestos!$D$5))))))</f>
        <v/>
      </c>
      <c r="J360" s="31">
        <f>MIN(IF(Supuestos!$H$6="",1E+99,Supuestos!$H$6),MAX(IF(Supuestos!$G$6="",-1E+99,Supuestos!$G$6),IF(Supuestos!$C$6="Normal",NORMINV(C360,Supuestos!$D$6,Supuestos!$E$6),IF(Supuestos!$C$6="Triangular",IF(C360&lt;(Supuestos!$E$6-Supuestos!$D$6)/(Supuestos!$F$6-Supuestos!$D$6),Supuestos!$D$6+SQRT(C360*(Supuestos!$F$6-Supuestos!$D$6)*(Supuestos!$E$6-Supuestos!$D$6)),Supuestos!$F$6-SQRT((1-C360)*(Supuestos!$F$6-Supuestos!$D$6)*(Supuestos!$F$6-Supuestos!$E$6))),IF(Supuestos!$C$6="Uniforme",Supuestos!$D$6+C360*(Supuestos!$E$6-Supuestos!$D$6),IF(Supuestos!$C$6="Lognormal",LOGINV(C360,LN(Supuestos!$D$6)-LN(1+Supuestos!$E$6^2/Supuestos!$D$6^2)/2,SQRT(LN(1+Supuestos!$E$6^2/Supuestos!$D$6^2))),Supuestos!$D$6))))))</f>
        <v/>
      </c>
      <c r="K360" s="32">
        <f>MIN(IF(Supuestos!$H$7="",1E+99,Supuestos!$H$7),MAX(IF(Supuestos!$G$7="",-1E+99,Supuestos!$G$7),IF(Supuestos!$C$7="Normal",NORMINV(D360,Supuestos!$D$7,Supuestos!$E$7),IF(Supuestos!$C$7="Triangular",IF(D360&lt;(Supuestos!$E$7-Supuestos!$D$7)/(Supuestos!$F$7-Supuestos!$D$7),Supuestos!$D$7+SQRT(D360*(Supuestos!$F$7-Supuestos!$D$7)*(Supuestos!$E$7-Supuestos!$D$7)),Supuestos!$F$7-SQRT((1-D360)*(Supuestos!$F$7-Supuestos!$D$7)*(Supuestos!$F$7-Supuestos!$E$7))),IF(Supuestos!$C$7="Uniforme",Supuestos!$D$7+D360*(Supuestos!$E$7-Supuestos!$D$7),IF(Supuestos!$C$7="Lognormal",LOGINV(D360,LN(Supuestos!$D$7)-LN(1+Supuestos!$E$7^2/Supuestos!$D$7^2)/2,SQRT(LN(1+Supuestos!$E$7^2/Supuestos!$D$7^2))),Supuestos!$D$7))))))</f>
        <v/>
      </c>
      <c r="L360" s="32">
        <f>MIN(IF(Supuestos!$H$8="",1E+99,Supuestos!$H$8),MAX(IF(Supuestos!$G$8="",-1E+99,Supuestos!$G$8),IF(Supuestos!$C$8="Normal",NORMINV(E360,Supuestos!$D$8,Supuestos!$E$8),IF(Supuestos!$C$8="Triangular",IF(E360&lt;(Supuestos!$E$8-Supuestos!$D$8)/(Supuestos!$F$8-Supuestos!$D$8),Supuestos!$D$8+SQRT(E360*(Supuestos!$F$8-Supuestos!$D$8)*(Supuestos!$E$8-Supuestos!$D$8)),Supuestos!$F$8-SQRT((1-E360)*(Supuestos!$F$8-Supuestos!$D$8)*(Supuestos!$F$8-Supuestos!$E$8))),IF(Supuestos!$C$8="Uniforme",Supuestos!$D$8+E360*(Supuestos!$E$8-Supuestos!$D$8),IF(Supuestos!$C$8="Lognormal",LOGINV(E360,LN(Supuestos!$D$8)-LN(1+Supuestos!$E$8^2/Supuestos!$D$8^2)/2,SQRT(LN(1+Supuestos!$E$8^2/Supuestos!$D$8^2))),Supuestos!$D$8))))))</f>
        <v/>
      </c>
      <c r="M360" s="32">
        <f>MIN(IF(Supuestos!$H$9="",1E+99,Supuestos!$H$9),MAX(IF(Supuestos!$G$9="",-1E+99,Supuestos!$G$9),IF(Supuestos!$C$9="Normal",NORMINV(F360,Supuestos!$D$9,Supuestos!$E$9),IF(Supuestos!$C$9="Triangular",IF(F360&lt;(Supuestos!$E$9-Supuestos!$D$9)/(Supuestos!$F$9-Supuestos!$D$9),Supuestos!$D$9+SQRT(F360*(Supuestos!$F$9-Supuestos!$D$9)*(Supuestos!$E$9-Supuestos!$D$9)),Supuestos!$F$9-SQRT((1-F360)*(Supuestos!$F$9-Supuestos!$D$9)*(Supuestos!$F$9-Supuestos!$E$9))),IF(Supuestos!$C$9="Uniforme",Supuestos!$D$9+F360*(Supuestos!$E$9-Supuestos!$D$9),IF(Supuestos!$C$9="Lognormal",LOGINV(F360,LN(Supuestos!$D$9)-LN(1+Supuestos!$E$9^2/Supuestos!$D$9^2)/2,SQRT(LN(1+Supuestos!$E$9^2/Supuestos!$D$9^2))),Supuestos!$D$9))))))</f>
        <v/>
      </c>
      <c r="N360" s="32">
        <f>MIN(IF(Supuestos!$H$10="",1E+99,Supuestos!$H$10),MAX(IF(Supuestos!$G$10="",-1E+99,Supuestos!$G$10),IF(Supuestos!$C$10="Normal",NORMINV(G360,Supuestos!$D$10,Supuestos!$E$10),IF(Supuestos!$C$10="Triangular",IF(G360&lt;(Supuestos!$E$10-Supuestos!$D$10)/(Supuestos!$F$10-Supuestos!$D$10),Supuestos!$D$10+SQRT(G360*(Supuestos!$F$10-Supuestos!$D$10)*(Supuestos!$E$10-Supuestos!$D$10)),Supuestos!$F$10-SQRT((1-G360)*(Supuestos!$F$10-Supuestos!$D$10)*(Supuestos!$F$10-Supuestos!$E$10))),IF(Supuestos!$C$10="Uniforme",Supuestos!$D$10+G360*(Supuestos!$E$10-Supuestos!$D$10),IF(Supuestos!$C$10="Lognormal",LOGINV(G360,LN(Supuestos!$D$10)-LN(1+Supuestos!$E$10^2/Supuestos!$D$10^2)/2,SQRT(LN(1+Supuestos!$E$10^2/Supuestos!$D$10^2))),Supuestos!$D$10))))))</f>
        <v/>
      </c>
      <c r="O360" s="31">
        <f>MIN(IF(Supuestos!$H$11="",1E+99,Supuestos!$H$11),MAX(IF(Supuestos!$G$11="",-1E+99,Supuestos!$G$11),IF(Supuestos!$C$11="Normal",NORMINV(H360,Supuestos!$D$11,Supuestos!$E$11),IF(Supuestos!$C$11="Triangular",IF(H360&lt;(Supuestos!$E$11-Supuestos!$D$11)/(Supuestos!$F$11-Supuestos!$D$11),Supuestos!$D$11+SQRT(H360*(Supuestos!$F$11-Supuestos!$D$11)*(Supuestos!$E$11-Supuestos!$D$11)),Supuestos!$F$11-SQRT((1-H360)*(Supuestos!$F$11-Supuestos!$D$11)*(Supuestos!$F$11-Supuestos!$E$11))),IF(Supuestos!$C$11="Uniforme",Supuestos!$D$11+H360*(Supuestos!$E$11-Supuestos!$D$11),IF(Supuestos!$C$11="Lognormal",LOGINV(H360,LN(Supuestos!$D$11)-LN(1+Supuestos!$E$11^2/Supuestos!$D$11^2)/2,SQRT(LN(1+Supuestos!$E$11^2/Supuestos!$D$11^2))),Supuestos!$D$11))))))</f>
        <v/>
      </c>
      <c r="P360" s="33">
        <f>-I360</f>
        <v/>
      </c>
      <c r="Q360" s="33">
        <f>$J360*(1+$K360)^(1-1)*(1-$L360)*(1-$M360)</f>
        <v/>
      </c>
      <c r="R360" s="33">
        <f>$J360*(1+$K360)^(2-1)*(1-$L360)*(1-$M360)</f>
        <v/>
      </c>
      <c r="S360" s="33">
        <f>$J360*(1+$K360)^(3-1)*(1-$L360)*(1-$M360)</f>
        <v/>
      </c>
      <c r="T360" s="33">
        <f>$J360*(1+$K360)^(4-1)*(1-$L360)*(1-$M360)</f>
        <v/>
      </c>
      <c r="U360" s="33">
        <f>$J360*(1+$K360)^(5-1)*(1-$L360)*(1-$M360)+$O360</f>
        <v/>
      </c>
      <c r="V360" s="33">
        <f>P360+NPV($N360,Q360:U360)</f>
        <v/>
      </c>
      <c r="W360" s="32">
        <f>IFERROR(IRR(P360:U360,0.1),"")</f>
        <v/>
      </c>
    </row>
    <row r="361">
      <c r="A361" s="14" t="n">
        <v>357</v>
      </c>
      <c r="B361" s="30">
        <f>RAND()*(1-2E-6)+1E-6</f>
        <v/>
      </c>
      <c r="C361" s="30">
        <f>RAND()*(1-2E-6)+1E-6</f>
        <v/>
      </c>
      <c r="D361" s="30">
        <f>RAND()*(1-2E-6)+1E-6</f>
        <v/>
      </c>
      <c r="E361" s="30">
        <f>RAND()*(1-2E-6)+1E-6</f>
        <v/>
      </c>
      <c r="F361" s="30">
        <f>RAND()*(1-2E-6)+1E-6</f>
        <v/>
      </c>
      <c r="G361" s="30">
        <f>RAND()*(1-2E-6)+1E-6</f>
        <v/>
      </c>
      <c r="H361" s="30">
        <f>RAND()*(1-2E-6)+1E-6</f>
        <v/>
      </c>
      <c r="I361" s="31">
        <f>MIN(IF(Supuestos!$H$5="",1E+99,Supuestos!$H$5),MAX(IF(Supuestos!$G$5="",-1E+99,Supuestos!$G$5),IF(Supuestos!$C$5="Normal",NORMINV(B361,Supuestos!$D$5,Supuestos!$E$5),IF(Supuestos!$C$5="Triangular",IF(B361&lt;(Supuestos!$E$5-Supuestos!$D$5)/(Supuestos!$F$5-Supuestos!$D$5),Supuestos!$D$5+SQRT(B361*(Supuestos!$F$5-Supuestos!$D$5)*(Supuestos!$E$5-Supuestos!$D$5)),Supuestos!$F$5-SQRT((1-B361)*(Supuestos!$F$5-Supuestos!$D$5)*(Supuestos!$F$5-Supuestos!$E$5))),IF(Supuestos!$C$5="Uniforme",Supuestos!$D$5+B361*(Supuestos!$E$5-Supuestos!$D$5),IF(Supuestos!$C$5="Lognormal",LOGINV(B361,LN(Supuestos!$D$5)-LN(1+Supuestos!$E$5^2/Supuestos!$D$5^2)/2,SQRT(LN(1+Supuestos!$E$5^2/Supuestos!$D$5^2))),Supuestos!$D$5))))))</f>
        <v/>
      </c>
      <c r="J361" s="31">
        <f>MIN(IF(Supuestos!$H$6="",1E+99,Supuestos!$H$6),MAX(IF(Supuestos!$G$6="",-1E+99,Supuestos!$G$6),IF(Supuestos!$C$6="Normal",NORMINV(C361,Supuestos!$D$6,Supuestos!$E$6),IF(Supuestos!$C$6="Triangular",IF(C361&lt;(Supuestos!$E$6-Supuestos!$D$6)/(Supuestos!$F$6-Supuestos!$D$6),Supuestos!$D$6+SQRT(C361*(Supuestos!$F$6-Supuestos!$D$6)*(Supuestos!$E$6-Supuestos!$D$6)),Supuestos!$F$6-SQRT((1-C361)*(Supuestos!$F$6-Supuestos!$D$6)*(Supuestos!$F$6-Supuestos!$E$6))),IF(Supuestos!$C$6="Uniforme",Supuestos!$D$6+C361*(Supuestos!$E$6-Supuestos!$D$6),IF(Supuestos!$C$6="Lognormal",LOGINV(C361,LN(Supuestos!$D$6)-LN(1+Supuestos!$E$6^2/Supuestos!$D$6^2)/2,SQRT(LN(1+Supuestos!$E$6^2/Supuestos!$D$6^2))),Supuestos!$D$6))))))</f>
        <v/>
      </c>
      <c r="K361" s="32">
        <f>MIN(IF(Supuestos!$H$7="",1E+99,Supuestos!$H$7),MAX(IF(Supuestos!$G$7="",-1E+99,Supuestos!$G$7),IF(Supuestos!$C$7="Normal",NORMINV(D361,Supuestos!$D$7,Supuestos!$E$7),IF(Supuestos!$C$7="Triangular",IF(D361&lt;(Supuestos!$E$7-Supuestos!$D$7)/(Supuestos!$F$7-Supuestos!$D$7),Supuestos!$D$7+SQRT(D361*(Supuestos!$F$7-Supuestos!$D$7)*(Supuestos!$E$7-Supuestos!$D$7)),Supuestos!$F$7-SQRT((1-D361)*(Supuestos!$F$7-Supuestos!$D$7)*(Supuestos!$F$7-Supuestos!$E$7))),IF(Supuestos!$C$7="Uniforme",Supuestos!$D$7+D361*(Supuestos!$E$7-Supuestos!$D$7),IF(Supuestos!$C$7="Lognormal",LOGINV(D361,LN(Supuestos!$D$7)-LN(1+Supuestos!$E$7^2/Supuestos!$D$7^2)/2,SQRT(LN(1+Supuestos!$E$7^2/Supuestos!$D$7^2))),Supuestos!$D$7))))))</f>
        <v/>
      </c>
      <c r="L361" s="32">
        <f>MIN(IF(Supuestos!$H$8="",1E+99,Supuestos!$H$8),MAX(IF(Supuestos!$G$8="",-1E+99,Supuestos!$G$8),IF(Supuestos!$C$8="Normal",NORMINV(E361,Supuestos!$D$8,Supuestos!$E$8),IF(Supuestos!$C$8="Triangular",IF(E361&lt;(Supuestos!$E$8-Supuestos!$D$8)/(Supuestos!$F$8-Supuestos!$D$8),Supuestos!$D$8+SQRT(E361*(Supuestos!$F$8-Supuestos!$D$8)*(Supuestos!$E$8-Supuestos!$D$8)),Supuestos!$F$8-SQRT((1-E361)*(Supuestos!$F$8-Supuestos!$D$8)*(Supuestos!$F$8-Supuestos!$E$8))),IF(Supuestos!$C$8="Uniforme",Supuestos!$D$8+E361*(Supuestos!$E$8-Supuestos!$D$8),IF(Supuestos!$C$8="Lognormal",LOGINV(E361,LN(Supuestos!$D$8)-LN(1+Supuestos!$E$8^2/Supuestos!$D$8^2)/2,SQRT(LN(1+Supuestos!$E$8^2/Supuestos!$D$8^2))),Supuestos!$D$8))))))</f>
        <v/>
      </c>
      <c r="M361" s="32">
        <f>MIN(IF(Supuestos!$H$9="",1E+99,Supuestos!$H$9),MAX(IF(Supuestos!$G$9="",-1E+99,Supuestos!$G$9),IF(Supuestos!$C$9="Normal",NORMINV(F361,Supuestos!$D$9,Supuestos!$E$9),IF(Supuestos!$C$9="Triangular",IF(F361&lt;(Supuestos!$E$9-Supuestos!$D$9)/(Supuestos!$F$9-Supuestos!$D$9),Supuestos!$D$9+SQRT(F361*(Supuestos!$F$9-Supuestos!$D$9)*(Supuestos!$E$9-Supuestos!$D$9)),Supuestos!$F$9-SQRT((1-F361)*(Supuestos!$F$9-Supuestos!$D$9)*(Supuestos!$F$9-Supuestos!$E$9))),IF(Supuestos!$C$9="Uniforme",Supuestos!$D$9+F361*(Supuestos!$E$9-Supuestos!$D$9),IF(Supuestos!$C$9="Lognormal",LOGINV(F361,LN(Supuestos!$D$9)-LN(1+Supuestos!$E$9^2/Supuestos!$D$9^2)/2,SQRT(LN(1+Supuestos!$E$9^2/Supuestos!$D$9^2))),Supuestos!$D$9))))))</f>
        <v/>
      </c>
      <c r="N361" s="32">
        <f>MIN(IF(Supuestos!$H$10="",1E+99,Supuestos!$H$10),MAX(IF(Supuestos!$G$10="",-1E+99,Supuestos!$G$10),IF(Supuestos!$C$10="Normal",NORMINV(G361,Supuestos!$D$10,Supuestos!$E$10),IF(Supuestos!$C$10="Triangular",IF(G361&lt;(Supuestos!$E$10-Supuestos!$D$10)/(Supuestos!$F$10-Supuestos!$D$10),Supuestos!$D$10+SQRT(G361*(Supuestos!$F$10-Supuestos!$D$10)*(Supuestos!$E$10-Supuestos!$D$10)),Supuestos!$F$10-SQRT((1-G361)*(Supuestos!$F$10-Supuestos!$D$10)*(Supuestos!$F$10-Supuestos!$E$10))),IF(Supuestos!$C$10="Uniforme",Supuestos!$D$10+G361*(Supuestos!$E$10-Supuestos!$D$10),IF(Supuestos!$C$10="Lognormal",LOGINV(G361,LN(Supuestos!$D$10)-LN(1+Supuestos!$E$10^2/Supuestos!$D$10^2)/2,SQRT(LN(1+Supuestos!$E$10^2/Supuestos!$D$10^2))),Supuestos!$D$10))))))</f>
        <v/>
      </c>
      <c r="O361" s="31">
        <f>MIN(IF(Supuestos!$H$11="",1E+99,Supuestos!$H$11),MAX(IF(Supuestos!$G$11="",-1E+99,Supuestos!$G$11),IF(Supuestos!$C$11="Normal",NORMINV(H361,Supuestos!$D$11,Supuestos!$E$11),IF(Supuestos!$C$11="Triangular",IF(H361&lt;(Supuestos!$E$11-Supuestos!$D$11)/(Supuestos!$F$11-Supuestos!$D$11),Supuestos!$D$11+SQRT(H361*(Supuestos!$F$11-Supuestos!$D$11)*(Supuestos!$E$11-Supuestos!$D$11)),Supuestos!$F$11-SQRT((1-H361)*(Supuestos!$F$11-Supuestos!$D$11)*(Supuestos!$F$11-Supuestos!$E$11))),IF(Supuestos!$C$11="Uniforme",Supuestos!$D$11+H361*(Supuestos!$E$11-Supuestos!$D$11),IF(Supuestos!$C$11="Lognormal",LOGINV(H361,LN(Supuestos!$D$11)-LN(1+Supuestos!$E$11^2/Supuestos!$D$11^2)/2,SQRT(LN(1+Supuestos!$E$11^2/Supuestos!$D$11^2))),Supuestos!$D$11))))))</f>
        <v/>
      </c>
      <c r="P361" s="33">
        <f>-I361</f>
        <v/>
      </c>
      <c r="Q361" s="33">
        <f>$J361*(1+$K361)^(1-1)*(1-$L361)*(1-$M361)</f>
        <v/>
      </c>
      <c r="R361" s="33">
        <f>$J361*(1+$K361)^(2-1)*(1-$L361)*(1-$M361)</f>
        <v/>
      </c>
      <c r="S361" s="33">
        <f>$J361*(1+$K361)^(3-1)*(1-$L361)*(1-$M361)</f>
        <v/>
      </c>
      <c r="T361" s="33">
        <f>$J361*(1+$K361)^(4-1)*(1-$L361)*(1-$M361)</f>
        <v/>
      </c>
      <c r="U361" s="33">
        <f>$J361*(1+$K361)^(5-1)*(1-$L361)*(1-$M361)+$O361</f>
        <v/>
      </c>
      <c r="V361" s="33">
        <f>P361+NPV($N361,Q361:U361)</f>
        <v/>
      </c>
      <c r="W361" s="32">
        <f>IFERROR(IRR(P361:U361,0.1),"")</f>
        <v/>
      </c>
    </row>
    <row r="362">
      <c r="A362" s="14" t="n">
        <v>358</v>
      </c>
      <c r="B362" s="30">
        <f>RAND()*(1-2E-6)+1E-6</f>
        <v/>
      </c>
      <c r="C362" s="30">
        <f>RAND()*(1-2E-6)+1E-6</f>
        <v/>
      </c>
      <c r="D362" s="30">
        <f>RAND()*(1-2E-6)+1E-6</f>
        <v/>
      </c>
      <c r="E362" s="30">
        <f>RAND()*(1-2E-6)+1E-6</f>
        <v/>
      </c>
      <c r="F362" s="30">
        <f>RAND()*(1-2E-6)+1E-6</f>
        <v/>
      </c>
      <c r="G362" s="30">
        <f>RAND()*(1-2E-6)+1E-6</f>
        <v/>
      </c>
      <c r="H362" s="30">
        <f>RAND()*(1-2E-6)+1E-6</f>
        <v/>
      </c>
      <c r="I362" s="31">
        <f>MIN(IF(Supuestos!$H$5="",1E+99,Supuestos!$H$5),MAX(IF(Supuestos!$G$5="",-1E+99,Supuestos!$G$5),IF(Supuestos!$C$5="Normal",NORMINV(B362,Supuestos!$D$5,Supuestos!$E$5),IF(Supuestos!$C$5="Triangular",IF(B362&lt;(Supuestos!$E$5-Supuestos!$D$5)/(Supuestos!$F$5-Supuestos!$D$5),Supuestos!$D$5+SQRT(B362*(Supuestos!$F$5-Supuestos!$D$5)*(Supuestos!$E$5-Supuestos!$D$5)),Supuestos!$F$5-SQRT((1-B362)*(Supuestos!$F$5-Supuestos!$D$5)*(Supuestos!$F$5-Supuestos!$E$5))),IF(Supuestos!$C$5="Uniforme",Supuestos!$D$5+B362*(Supuestos!$E$5-Supuestos!$D$5),IF(Supuestos!$C$5="Lognormal",LOGINV(B362,LN(Supuestos!$D$5)-LN(1+Supuestos!$E$5^2/Supuestos!$D$5^2)/2,SQRT(LN(1+Supuestos!$E$5^2/Supuestos!$D$5^2))),Supuestos!$D$5))))))</f>
        <v/>
      </c>
      <c r="J362" s="31">
        <f>MIN(IF(Supuestos!$H$6="",1E+99,Supuestos!$H$6),MAX(IF(Supuestos!$G$6="",-1E+99,Supuestos!$G$6),IF(Supuestos!$C$6="Normal",NORMINV(C362,Supuestos!$D$6,Supuestos!$E$6),IF(Supuestos!$C$6="Triangular",IF(C362&lt;(Supuestos!$E$6-Supuestos!$D$6)/(Supuestos!$F$6-Supuestos!$D$6),Supuestos!$D$6+SQRT(C362*(Supuestos!$F$6-Supuestos!$D$6)*(Supuestos!$E$6-Supuestos!$D$6)),Supuestos!$F$6-SQRT((1-C362)*(Supuestos!$F$6-Supuestos!$D$6)*(Supuestos!$F$6-Supuestos!$E$6))),IF(Supuestos!$C$6="Uniforme",Supuestos!$D$6+C362*(Supuestos!$E$6-Supuestos!$D$6),IF(Supuestos!$C$6="Lognormal",LOGINV(C362,LN(Supuestos!$D$6)-LN(1+Supuestos!$E$6^2/Supuestos!$D$6^2)/2,SQRT(LN(1+Supuestos!$E$6^2/Supuestos!$D$6^2))),Supuestos!$D$6))))))</f>
        <v/>
      </c>
      <c r="K362" s="32">
        <f>MIN(IF(Supuestos!$H$7="",1E+99,Supuestos!$H$7),MAX(IF(Supuestos!$G$7="",-1E+99,Supuestos!$G$7),IF(Supuestos!$C$7="Normal",NORMINV(D362,Supuestos!$D$7,Supuestos!$E$7),IF(Supuestos!$C$7="Triangular",IF(D362&lt;(Supuestos!$E$7-Supuestos!$D$7)/(Supuestos!$F$7-Supuestos!$D$7),Supuestos!$D$7+SQRT(D362*(Supuestos!$F$7-Supuestos!$D$7)*(Supuestos!$E$7-Supuestos!$D$7)),Supuestos!$F$7-SQRT((1-D362)*(Supuestos!$F$7-Supuestos!$D$7)*(Supuestos!$F$7-Supuestos!$E$7))),IF(Supuestos!$C$7="Uniforme",Supuestos!$D$7+D362*(Supuestos!$E$7-Supuestos!$D$7),IF(Supuestos!$C$7="Lognormal",LOGINV(D362,LN(Supuestos!$D$7)-LN(1+Supuestos!$E$7^2/Supuestos!$D$7^2)/2,SQRT(LN(1+Supuestos!$E$7^2/Supuestos!$D$7^2))),Supuestos!$D$7))))))</f>
        <v/>
      </c>
      <c r="L362" s="32">
        <f>MIN(IF(Supuestos!$H$8="",1E+99,Supuestos!$H$8),MAX(IF(Supuestos!$G$8="",-1E+99,Supuestos!$G$8),IF(Supuestos!$C$8="Normal",NORMINV(E362,Supuestos!$D$8,Supuestos!$E$8),IF(Supuestos!$C$8="Triangular",IF(E362&lt;(Supuestos!$E$8-Supuestos!$D$8)/(Supuestos!$F$8-Supuestos!$D$8),Supuestos!$D$8+SQRT(E362*(Supuestos!$F$8-Supuestos!$D$8)*(Supuestos!$E$8-Supuestos!$D$8)),Supuestos!$F$8-SQRT((1-E362)*(Supuestos!$F$8-Supuestos!$D$8)*(Supuestos!$F$8-Supuestos!$E$8))),IF(Supuestos!$C$8="Uniforme",Supuestos!$D$8+E362*(Supuestos!$E$8-Supuestos!$D$8),IF(Supuestos!$C$8="Lognormal",LOGINV(E362,LN(Supuestos!$D$8)-LN(1+Supuestos!$E$8^2/Supuestos!$D$8^2)/2,SQRT(LN(1+Supuestos!$E$8^2/Supuestos!$D$8^2))),Supuestos!$D$8))))))</f>
        <v/>
      </c>
      <c r="M362" s="32">
        <f>MIN(IF(Supuestos!$H$9="",1E+99,Supuestos!$H$9),MAX(IF(Supuestos!$G$9="",-1E+99,Supuestos!$G$9),IF(Supuestos!$C$9="Normal",NORMINV(F362,Supuestos!$D$9,Supuestos!$E$9),IF(Supuestos!$C$9="Triangular",IF(F362&lt;(Supuestos!$E$9-Supuestos!$D$9)/(Supuestos!$F$9-Supuestos!$D$9),Supuestos!$D$9+SQRT(F362*(Supuestos!$F$9-Supuestos!$D$9)*(Supuestos!$E$9-Supuestos!$D$9)),Supuestos!$F$9-SQRT((1-F362)*(Supuestos!$F$9-Supuestos!$D$9)*(Supuestos!$F$9-Supuestos!$E$9))),IF(Supuestos!$C$9="Uniforme",Supuestos!$D$9+F362*(Supuestos!$E$9-Supuestos!$D$9),IF(Supuestos!$C$9="Lognormal",LOGINV(F362,LN(Supuestos!$D$9)-LN(1+Supuestos!$E$9^2/Supuestos!$D$9^2)/2,SQRT(LN(1+Supuestos!$E$9^2/Supuestos!$D$9^2))),Supuestos!$D$9))))))</f>
        <v/>
      </c>
      <c r="N362" s="32">
        <f>MIN(IF(Supuestos!$H$10="",1E+99,Supuestos!$H$10),MAX(IF(Supuestos!$G$10="",-1E+99,Supuestos!$G$10),IF(Supuestos!$C$10="Normal",NORMINV(G362,Supuestos!$D$10,Supuestos!$E$10),IF(Supuestos!$C$10="Triangular",IF(G362&lt;(Supuestos!$E$10-Supuestos!$D$10)/(Supuestos!$F$10-Supuestos!$D$10),Supuestos!$D$10+SQRT(G362*(Supuestos!$F$10-Supuestos!$D$10)*(Supuestos!$E$10-Supuestos!$D$10)),Supuestos!$F$10-SQRT((1-G362)*(Supuestos!$F$10-Supuestos!$D$10)*(Supuestos!$F$10-Supuestos!$E$10))),IF(Supuestos!$C$10="Uniforme",Supuestos!$D$10+G362*(Supuestos!$E$10-Supuestos!$D$10),IF(Supuestos!$C$10="Lognormal",LOGINV(G362,LN(Supuestos!$D$10)-LN(1+Supuestos!$E$10^2/Supuestos!$D$10^2)/2,SQRT(LN(1+Supuestos!$E$10^2/Supuestos!$D$10^2))),Supuestos!$D$10))))))</f>
        <v/>
      </c>
      <c r="O362" s="31">
        <f>MIN(IF(Supuestos!$H$11="",1E+99,Supuestos!$H$11),MAX(IF(Supuestos!$G$11="",-1E+99,Supuestos!$G$11),IF(Supuestos!$C$11="Normal",NORMINV(H362,Supuestos!$D$11,Supuestos!$E$11),IF(Supuestos!$C$11="Triangular",IF(H362&lt;(Supuestos!$E$11-Supuestos!$D$11)/(Supuestos!$F$11-Supuestos!$D$11),Supuestos!$D$11+SQRT(H362*(Supuestos!$F$11-Supuestos!$D$11)*(Supuestos!$E$11-Supuestos!$D$11)),Supuestos!$F$11-SQRT((1-H362)*(Supuestos!$F$11-Supuestos!$D$11)*(Supuestos!$F$11-Supuestos!$E$11))),IF(Supuestos!$C$11="Uniforme",Supuestos!$D$11+H362*(Supuestos!$E$11-Supuestos!$D$11),IF(Supuestos!$C$11="Lognormal",LOGINV(H362,LN(Supuestos!$D$11)-LN(1+Supuestos!$E$11^2/Supuestos!$D$11^2)/2,SQRT(LN(1+Supuestos!$E$11^2/Supuestos!$D$11^2))),Supuestos!$D$11))))))</f>
        <v/>
      </c>
      <c r="P362" s="33">
        <f>-I362</f>
        <v/>
      </c>
      <c r="Q362" s="33">
        <f>$J362*(1+$K362)^(1-1)*(1-$L362)*(1-$M362)</f>
        <v/>
      </c>
      <c r="R362" s="33">
        <f>$J362*(1+$K362)^(2-1)*(1-$L362)*(1-$M362)</f>
        <v/>
      </c>
      <c r="S362" s="33">
        <f>$J362*(1+$K362)^(3-1)*(1-$L362)*(1-$M362)</f>
        <v/>
      </c>
      <c r="T362" s="33">
        <f>$J362*(1+$K362)^(4-1)*(1-$L362)*(1-$M362)</f>
        <v/>
      </c>
      <c r="U362" s="33">
        <f>$J362*(1+$K362)^(5-1)*(1-$L362)*(1-$M362)+$O362</f>
        <v/>
      </c>
      <c r="V362" s="33">
        <f>P362+NPV($N362,Q362:U362)</f>
        <v/>
      </c>
      <c r="W362" s="32">
        <f>IFERROR(IRR(P362:U362,0.1),"")</f>
        <v/>
      </c>
    </row>
    <row r="363">
      <c r="A363" s="14" t="n">
        <v>359</v>
      </c>
      <c r="B363" s="30">
        <f>RAND()*(1-2E-6)+1E-6</f>
        <v/>
      </c>
      <c r="C363" s="30">
        <f>RAND()*(1-2E-6)+1E-6</f>
        <v/>
      </c>
      <c r="D363" s="30">
        <f>RAND()*(1-2E-6)+1E-6</f>
        <v/>
      </c>
      <c r="E363" s="30">
        <f>RAND()*(1-2E-6)+1E-6</f>
        <v/>
      </c>
      <c r="F363" s="30">
        <f>RAND()*(1-2E-6)+1E-6</f>
        <v/>
      </c>
      <c r="G363" s="30">
        <f>RAND()*(1-2E-6)+1E-6</f>
        <v/>
      </c>
      <c r="H363" s="30">
        <f>RAND()*(1-2E-6)+1E-6</f>
        <v/>
      </c>
      <c r="I363" s="31">
        <f>MIN(IF(Supuestos!$H$5="",1E+99,Supuestos!$H$5),MAX(IF(Supuestos!$G$5="",-1E+99,Supuestos!$G$5),IF(Supuestos!$C$5="Normal",NORMINV(B363,Supuestos!$D$5,Supuestos!$E$5),IF(Supuestos!$C$5="Triangular",IF(B363&lt;(Supuestos!$E$5-Supuestos!$D$5)/(Supuestos!$F$5-Supuestos!$D$5),Supuestos!$D$5+SQRT(B363*(Supuestos!$F$5-Supuestos!$D$5)*(Supuestos!$E$5-Supuestos!$D$5)),Supuestos!$F$5-SQRT((1-B363)*(Supuestos!$F$5-Supuestos!$D$5)*(Supuestos!$F$5-Supuestos!$E$5))),IF(Supuestos!$C$5="Uniforme",Supuestos!$D$5+B363*(Supuestos!$E$5-Supuestos!$D$5),IF(Supuestos!$C$5="Lognormal",LOGINV(B363,LN(Supuestos!$D$5)-LN(1+Supuestos!$E$5^2/Supuestos!$D$5^2)/2,SQRT(LN(1+Supuestos!$E$5^2/Supuestos!$D$5^2))),Supuestos!$D$5))))))</f>
        <v/>
      </c>
      <c r="J363" s="31">
        <f>MIN(IF(Supuestos!$H$6="",1E+99,Supuestos!$H$6),MAX(IF(Supuestos!$G$6="",-1E+99,Supuestos!$G$6),IF(Supuestos!$C$6="Normal",NORMINV(C363,Supuestos!$D$6,Supuestos!$E$6),IF(Supuestos!$C$6="Triangular",IF(C363&lt;(Supuestos!$E$6-Supuestos!$D$6)/(Supuestos!$F$6-Supuestos!$D$6),Supuestos!$D$6+SQRT(C363*(Supuestos!$F$6-Supuestos!$D$6)*(Supuestos!$E$6-Supuestos!$D$6)),Supuestos!$F$6-SQRT((1-C363)*(Supuestos!$F$6-Supuestos!$D$6)*(Supuestos!$F$6-Supuestos!$E$6))),IF(Supuestos!$C$6="Uniforme",Supuestos!$D$6+C363*(Supuestos!$E$6-Supuestos!$D$6),IF(Supuestos!$C$6="Lognormal",LOGINV(C363,LN(Supuestos!$D$6)-LN(1+Supuestos!$E$6^2/Supuestos!$D$6^2)/2,SQRT(LN(1+Supuestos!$E$6^2/Supuestos!$D$6^2))),Supuestos!$D$6))))))</f>
        <v/>
      </c>
      <c r="K363" s="32">
        <f>MIN(IF(Supuestos!$H$7="",1E+99,Supuestos!$H$7),MAX(IF(Supuestos!$G$7="",-1E+99,Supuestos!$G$7),IF(Supuestos!$C$7="Normal",NORMINV(D363,Supuestos!$D$7,Supuestos!$E$7),IF(Supuestos!$C$7="Triangular",IF(D363&lt;(Supuestos!$E$7-Supuestos!$D$7)/(Supuestos!$F$7-Supuestos!$D$7),Supuestos!$D$7+SQRT(D363*(Supuestos!$F$7-Supuestos!$D$7)*(Supuestos!$E$7-Supuestos!$D$7)),Supuestos!$F$7-SQRT((1-D363)*(Supuestos!$F$7-Supuestos!$D$7)*(Supuestos!$F$7-Supuestos!$E$7))),IF(Supuestos!$C$7="Uniforme",Supuestos!$D$7+D363*(Supuestos!$E$7-Supuestos!$D$7),IF(Supuestos!$C$7="Lognormal",LOGINV(D363,LN(Supuestos!$D$7)-LN(1+Supuestos!$E$7^2/Supuestos!$D$7^2)/2,SQRT(LN(1+Supuestos!$E$7^2/Supuestos!$D$7^2))),Supuestos!$D$7))))))</f>
        <v/>
      </c>
      <c r="L363" s="32">
        <f>MIN(IF(Supuestos!$H$8="",1E+99,Supuestos!$H$8),MAX(IF(Supuestos!$G$8="",-1E+99,Supuestos!$G$8),IF(Supuestos!$C$8="Normal",NORMINV(E363,Supuestos!$D$8,Supuestos!$E$8),IF(Supuestos!$C$8="Triangular",IF(E363&lt;(Supuestos!$E$8-Supuestos!$D$8)/(Supuestos!$F$8-Supuestos!$D$8),Supuestos!$D$8+SQRT(E363*(Supuestos!$F$8-Supuestos!$D$8)*(Supuestos!$E$8-Supuestos!$D$8)),Supuestos!$F$8-SQRT((1-E363)*(Supuestos!$F$8-Supuestos!$D$8)*(Supuestos!$F$8-Supuestos!$E$8))),IF(Supuestos!$C$8="Uniforme",Supuestos!$D$8+E363*(Supuestos!$E$8-Supuestos!$D$8),IF(Supuestos!$C$8="Lognormal",LOGINV(E363,LN(Supuestos!$D$8)-LN(1+Supuestos!$E$8^2/Supuestos!$D$8^2)/2,SQRT(LN(1+Supuestos!$E$8^2/Supuestos!$D$8^2))),Supuestos!$D$8))))))</f>
        <v/>
      </c>
      <c r="M363" s="32">
        <f>MIN(IF(Supuestos!$H$9="",1E+99,Supuestos!$H$9),MAX(IF(Supuestos!$G$9="",-1E+99,Supuestos!$G$9),IF(Supuestos!$C$9="Normal",NORMINV(F363,Supuestos!$D$9,Supuestos!$E$9),IF(Supuestos!$C$9="Triangular",IF(F363&lt;(Supuestos!$E$9-Supuestos!$D$9)/(Supuestos!$F$9-Supuestos!$D$9),Supuestos!$D$9+SQRT(F363*(Supuestos!$F$9-Supuestos!$D$9)*(Supuestos!$E$9-Supuestos!$D$9)),Supuestos!$F$9-SQRT((1-F363)*(Supuestos!$F$9-Supuestos!$D$9)*(Supuestos!$F$9-Supuestos!$E$9))),IF(Supuestos!$C$9="Uniforme",Supuestos!$D$9+F363*(Supuestos!$E$9-Supuestos!$D$9),IF(Supuestos!$C$9="Lognormal",LOGINV(F363,LN(Supuestos!$D$9)-LN(1+Supuestos!$E$9^2/Supuestos!$D$9^2)/2,SQRT(LN(1+Supuestos!$E$9^2/Supuestos!$D$9^2))),Supuestos!$D$9))))))</f>
        <v/>
      </c>
      <c r="N363" s="32">
        <f>MIN(IF(Supuestos!$H$10="",1E+99,Supuestos!$H$10),MAX(IF(Supuestos!$G$10="",-1E+99,Supuestos!$G$10),IF(Supuestos!$C$10="Normal",NORMINV(G363,Supuestos!$D$10,Supuestos!$E$10),IF(Supuestos!$C$10="Triangular",IF(G363&lt;(Supuestos!$E$10-Supuestos!$D$10)/(Supuestos!$F$10-Supuestos!$D$10),Supuestos!$D$10+SQRT(G363*(Supuestos!$F$10-Supuestos!$D$10)*(Supuestos!$E$10-Supuestos!$D$10)),Supuestos!$F$10-SQRT((1-G363)*(Supuestos!$F$10-Supuestos!$D$10)*(Supuestos!$F$10-Supuestos!$E$10))),IF(Supuestos!$C$10="Uniforme",Supuestos!$D$10+G363*(Supuestos!$E$10-Supuestos!$D$10),IF(Supuestos!$C$10="Lognormal",LOGINV(G363,LN(Supuestos!$D$10)-LN(1+Supuestos!$E$10^2/Supuestos!$D$10^2)/2,SQRT(LN(1+Supuestos!$E$10^2/Supuestos!$D$10^2))),Supuestos!$D$10))))))</f>
        <v/>
      </c>
      <c r="O363" s="31">
        <f>MIN(IF(Supuestos!$H$11="",1E+99,Supuestos!$H$11),MAX(IF(Supuestos!$G$11="",-1E+99,Supuestos!$G$11),IF(Supuestos!$C$11="Normal",NORMINV(H363,Supuestos!$D$11,Supuestos!$E$11),IF(Supuestos!$C$11="Triangular",IF(H363&lt;(Supuestos!$E$11-Supuestos!$D$11)/(Supuestos!$F$11-Supuestos!$D$11),Supuestos!$D$11+SQRT(H363*(Supuestos!$F$11-Supuestos!$D$11)*(Supuestos!$E$11-Supuestos!$D$11)),Supuestos!$F$11-SQRT((1-H363)*(Supuestos!$F$11-Supuestos!$D$11)*(Supuestos!$F$11-Supuestos!$E$11))),IF(Supuestos!$C$11="Uniforme",Supuestos!$D$11+H363*(Supuestos!$E$11-Supuestos!$D$11),IF(Supuestos!$C$11="Lognormal",LOGINV(H363,LN(Supuestos!$D$11)-LN(1+Supuestos!$E$11^2/Supuestos!$D$11^2)/2,SQRT(LN(1+Supuestos!$E$11^2/Supuestos!$D$11^2))),Supuestos!$D$11))))))</f>
        <v/>
      </c>
      <c r="P363" s="33">
        <f>-I363</f>
        <v/>
      </c>
      <c r="Q363" s="33">
        <f>$J363*(1+$K363)^(1-1)*(1-$L363)*(1-$M363)</f>
        <v/>
      </c>
      <c r="R363" s="33">
        <f>$J363*(1+$K363)^(2-1)*(1-$L363)*(1-$M363)</f>
        <v/>
      </c>
      <c r="S363" s="33">
        <f>$J363*(1+$K363)^(3-1)*(1-$L363)*(1-$M363)</f>
        <v/>
      </c>
      <c r="T363" s="33">
        <f>$J363*(1+$K363)^(4-1)*(1-$L363)*(1-$M363)</f>
        <v/>
      </c>
      <c r="U363" s="33">
        <f>$J363*(1+$K363)^(5-1)*(1-$L363)*(1-$M363)+$O363</f>
        <v/>
      </c>
      <c r="V363" s="33">
        <f>P363+NPV($N363,Q363:U363)</f>
        <v/>
      </c>
      <c r="W363" s="32">
        <f>IFERROR(IRR(P363:U363,0.1),"")</f>
        <v/>
      </c>
    </row>
    <row r="364">
      <c r="A364" s="14" t="n">
        <v>360</v>
      </c>
      <c r="B364" s="30">
        <f>RAND()*(1-2E-6)+1E-6</f>
        <v/>
      </c>
      <c r="C364" s="30">
        <f>RAND()*(1-2E-6)+1E-6</f>
        <v/>
      </c>
      <c r="D364" s="30">
        <f>RAND()*(1-2E-6)+1E-6</f>
        <v/>
      </c>
      <c r="E364" s="30">
        <f>RAND()*(1-2E-6)+1E-6</f>
        <v/>
      </c>
      <c r="F364" s="30">
        <f>RAND()*(1-2E-6)+1E-6</f>
        <v/>
      </c>
      <c r="G364" s="30">
        <f>RAND()*(1-2E-6)+1E-6</f>
        <v/>
      </c>
      <c r="H364" s="30">
        <f>RAND()*(1-2E-6)+1E-6</f>
        <v/>
      </c>
      <c r="I364" s="31">
        <f>MIN(IF(Supuestos!$H$5="",1E+99,Supuestos!$H$5),MAX(IF(Supuestos!$G$5="",-1E+99,Supuestos!$G$5),IF(Supuestos!$C$5="Normal",NORMINV(B364,Supuestos!$D$5,Supuestos!$E$5),IF(Supuestos!$C$5="Triangular",IF(B364&lt;(Supuestos!$E$5-Supuestos!$D$5)/(Supuestos!$F$5-Supuestos!$D$5),Supuestos!$D$5+SQRT(B364*(Supuestos!$F$5-Supuestos!$D$5)*(Supuestos!$E$5-Supuestos!$D$5)),Supuestos!$F$5-SQRT((1-B364)*(Supuestos!$F$5-Supuestos!$D$5)*(Supuestos!$F$5-Supuestos!$E$5))),IF(Supuestos!$C$5="Uniforme",Supuestos!$D$5+B364*(Supuestos!$E$5-Supuestos!$D$5),IF(Supuestos!$C$5="Lognormal",LOGINV(B364,LN(Supuestos!$D$5)-LN(1+Supuestos!$E$5^2/Supuestos!$D$5^2)/2,SQRT(LN(1+Supuestos!$E$5^2/Supuestos!$D$5^2))),Supuestos!$D$5))))))</f>
        <v/>
      </c>
      <c r="J364" s="31">
        <f>MIN(IF(Supuestos!$H$6="",1E+99,Supuestos!$H$6),MAX(IF(Supuestos!$G$6="",-1E+99,Supuestos!$G$6),IF(Supuestos!$C$6="Normal",NORMINV(C364,Supuestos!$D$6,Supuestos!$E$6),IF(Supuestos!$C$6="Triangular",IF(C364&lt;(Supuestos!$E$6-Supuestos!$D$6)/(Supuestos!$F$6-Supuestos!$D$6),Supuestos!$D$6+SQRT(C364*(Supuestos!$F$6-Supuestos!$D$6)*(Supuestos!$E$6-Supuestos!$D$6)),Supuestos!$F$6-SQRT((1-C364)*(Supuestos!$F$6-Supuestos!$D$6)*(Supuestos!$F$6-Supuestos!$E$6))),IF(Supuestos!$C$6="Uniforme",Supuestos!$D$6+C364*(Supuestos!$E$6-Supuestos!$D$6),IF(Supuestos!$C$6="Lognormal",LOGINV(C364,LN(Supuestos!$D$6)-LN(1+Supuestos!$E$6^2/Supuestos!$D$6^2)/2,SQRT(LN(1+Supuestos!$E$6^2/Supuestos!$D$6^2))),Supuestos!$D$6))))))</f>
        <v/>
      </c>
      <c r="K364" s="32">
        <f>MIN(IF(Supuestos!$H$7="",1E+99,Supuestos!$H$7),MAX(IF(Supuestos!$G$7="",-1E+99,Supuestos!$G$7),IF(Supuestos!$C$7="Normal",NORMINV(D364,Supuestos!$D$7,Supuestos!$E$7),IF(Supuestos!$C$7="Triangular",IF(D364&lt;(Supuestos!$E$7-Supuestos!$D$7)/(Supuestos!$F$7-Supuestos!$D$7),Supuestos!$D$7+SQRT(D364*(Supuestos!$F$7-Supuestos!$D$7)*(Supuestos!$E$7-Supuestos!$D$7)),Supuestos!$F$7-SQRT((1-D364)*(Supuestos!$F$7-Supuestos!$D$7)*(Supuestos!$F$7-Supuestos!$E$7))),IF(Supuestos!$C$7="Uniforme",Supuestos!$D$7+D364*(Supuestos!$E$7-Supuestos!$D$7),IF(Supuestos!$C$7="Lognormal",LOGINV(D364,LN(Supuestos!$D$7)-LN(1+Supuestos!$E$7^2/Supuestos!$D$7^2)/2,SQRT(LN(1+Supuestos!$E$7^2/Supuestos!$D$7^2))),Supuestos!$D$7))))))</f>
        <v/>
      </c>
      <c r="L364" s="32">
        <f>MIN(IF(Supuestos!$H$8="",1E+99,Supuestos!$H$8),MAX(IF(Supuestos!$G$8="",-1E+99,Supuestos!$G$8),IF(Supuestos!$C$8="Normal",NORMINV(E364,Supuestos!$D$8,Supuestos!$E$8),IF(Supuestos!$C$8="Triangular",IF(E364&lt;(Supuestos!$E$8-Supuestos!$D$8)/(Supuestos!$F$8-Supuestos!$D$8),Supuestos!$D$8+SQRT(E364*(Supuestos!$F$8-Supuestos!$D$8)*(Supuestos!$E$8-Supuestos!$D$8)),Supuestos!$F$8-SQRT((1-E364)*(Supuestos!$F$8-Supuestos!$D$8)*(Supuestos!$F$8-Supuestos!$E$8))),IF(Supuestos!$C$8="Uniforme",Supuestos!$D$8+E364*(Supuestos!$E$8-Supuestos!$D$8),IF(Supuestos!$C$8="Lognormal",LOGINV(E364,LN(Supuestos!$D$8)-LN(1+Supuestos!$E$8^2/Supuestos!$D$8^2)/2,SQRT(LN(1+Supuestos!$E$8^2/Supuestos!$D$8^2))),Supuestos!$D$8))))))</f>
        <v/>
      </c>
      <c r="M364" s="32">
        <f>MIN(IF(Supuestos!$H$9="",1E+99,Supuestos!$H$9),MAX(IF(Supuestos!$G$9="",-1E+99,Supuestos!$G$9),IF(Supuestos!$C$9="Normal",NORMINV(F364,Supuestos!$D$9,Supuestos!$E$9),IF(Supuestos!$C$9="Triangular",IF(F364&lt;(Supuestos!$E$9-Supuestos!$D$9)/(Supuestos!$F$9-Supuestos!$D$9),Supuestos!$D$9+SQRT(F364*(Supuestos!$F$9-Supuestos!$D$9)*(Supuestos!$E$9-Supuestos!$D$9)),Supuestos!$F$9-SQRT((1-F364)*(Supuestos!$F$9-Supuestos!$D$9)*(Supuestos!$F$9-Supuestos!$E$9))),IF(Supuestos!$C$9="Uniforme",Supuestos!$D$9+F364*(Supuestos!$E$9-Supuestos!$D$9),IF(Supuestos!$C$9="Lognormal",LOGINV(F364,LN(Supuestos!$D$9)-LN(1+Supuestos!$E$9^2/Supuestos!$D$9^2)/2,SQRT(LN(1+Supuestos!$E$9^2/Supuestos!$D$9^2))),Supuestos!$D$9))))))</f>
        <v/>
      </c>
      <c r="N364" s="32">
        <f>MIN(IF(Supuestos!$H$10="",1E+99,Supuestos!$H$10),MAX(IF(Supuestos!$G$10="",-1E+99,Supuestos!$G$10),IF(Supuestos!$C$10="Normal",NORMINV(G364,Supuestos!$D$10,Supuestos!$E$10),IF(Supuestos!$C$10="Triangular",IF(G364&lt;(Supuestos!$E$10-Supuestos!$D$10)/(Supuestos!$F$10-Supuestos!$D$10),Supuestos!$D$10+SQRT(G364*(Supuestos!$F$10-Supuestos!$D$10)*(Supuestos!$E$10-Supuestos!$D$10)),Supuestos!$F$10-SQRT((1-G364)*(Supuestos!$F$10-Supuestos!$D$10)*(Supuestos!$F$10-Supuestos!$E$10))),IF(Supuestos!$C$10="Uniforme",Supuestos!$D$10+G364*(Supuestos!$E$10-Supuestos!$D$10),IF(Supuestos!$C$10="Lognormal",LOGINV(G364,LN(Supuestos!$D$10)-LN(1+Supuestos!$E$10^2/Supuestos!$D$10^2)/2,SQRT(LN(1+Supuestos!$E$10^2/Supuestos!$D$10^2))),Supuestos!$D$10))))))</f>
        <v/>
      </c>
      <c r="O364" s="31">
        <f>MIN(IF(Supuestos!$H$11="",1E+99,Supuestos!$H$11),MAX(IF(Supuestos!$G$11="",-1E+99,Supuestos!$G$11),IF(Supuestos!$C$11="Normal",NORMINV(H364,Supuestos!$D$11,Supuestos!$E$11),IF(Supuestos!$C$11="Triangular",IF(H364&lt;(Supuestos!$E$11-Supuestos!$D$11)/(Supuestos!$F$11-Supuestos!$D$11),Supuestos!$D$11+SQRT(H364*(Supuestos!$F$11-Supuestos!$D$11)*(Supuestos!$E$11-Supuestos!$D$11)),Supuestos!$F$11-SQRT((1-H364)*(Supuestos!$F$11-Supuestos!$D$11)*(Supuestos!$F$11-Supuestos!$E$11))),IF(Supuestos!$C$11="Uniforme",Supuestos!$D$11+H364*(Supuestos!$E$11-Supuestos!$D$11),IF(Supuestos!$C$11="Lognormal",LOGINV(H364,LN(Supuestos!$D$11)-LN(1+Supuestos!$E$11^2/Supuestos!$D$11^2)/2,SQRT(LN(1+Supuestos!$E$11^2/Supuestos!$D$11^2))),Supuestos!$D$11))))))</f>
        <v/>
      </c>
      <c r="P364" s="33">
        <f>-I364</f>
        <v/>
      </c>
      <c r="Q364" s="33">
        <f>$J364*(1+$K364)^(1-1)*(1-$L364)*(1-$M364)</f>
        <v/>
      </c>
      <c r="R364" s="33">
        <f>$J364*(1+$K364)^(2-1)*(1-$L364)*(1-$M364)</f>
        <v/>
      </c>
      <c r="S364" s="33">
        <f>$J364*(1+$K364)^(3-1)*(1-$L364)*(1-$M364)</f>
        <v/>
      </c>
      <c r="T364" s="33">
        <f>$J364*(1+$K364)^(4-1)*(1-$L364)*(1-$M364)</f>
        <v/>
      </c>
      <c r="U364" s="33">
        <f>$J364*(1+$K364)^(5-1)*(1-$L364)*(1-$M364)+$O364</f>
        <v/>
      </c>
      <c r="V364" s="33">
        <f>P364+NPV($N364,Q364:U364)</f>
        <v/>
      </c>
      <c r="W364" s="32">
        <f>IFERROR(IRR(P364:U364,0.1),"")</f>
        <v/>
      </c>
    </row>
    <row r="365">
      <c r="A365" s="14" t="n">
        <v>361</v>
      </c>
      <c r="B365" s="30">
        <f>RAND()*(1-2E-6)+1E-6</f>
        <v/>
      </c>
      <c r="C365" s="30">
        <f>RAND()*(1-2E-6)+1E-6</f>
        <v/>
      </c>
      <c r="D365" s="30">
        <f>RAND()*(1-2E-6)+1E-6</f>
        <v/>
      </c>
      <c r="E365" s="30">
        <f>RAND()*(1-2E-6)+1E-6</f>
        <v/>
      </c>
      <c r="F365" s="30">
        <f>RAND()*(1-2E-6)+1E-6</f>
        <v/>
      </c>
      <c r="G365" s="30">
        <f>RAND()*(1-2E-6)+1E-6</f>
        <v/>
      </c>
      <c r="H365" s="30">
        <f>RAND()*(1-2E-6)+1E-6</f>
        <v/>
      </c>
      <c r="I365" s="31">
        <f>MIN(IF(Supuestos!$H$5="",1E+99,Supuestos!$H$5),MAX(IF(Supuestos!$G$5="",-1E+99,Supuestos!$G$5),IF(Supuestos!$C$5="Normal",NORMINV(B365,Supuestos!$D$5,Supuestos!$E$5),IF(Supuestos!$C$5="Triangular",IF(B365&lt;(Supuestos!$E$5-Supuestos!$D$5)/(Supuestos!$F$5-Supuestos!$D$5),Supuestos!$D$5+SQRT(B365*(Supuestos!$F$5-Supuestos!$D$5)*(Supuestos!$E$5-Supuestos!$D$5)),Supuestos!$F$5-SQRT((1-B365)*(Supuestos!$F$5-Supuestos!$D$5)*(Supuestos!$F$5-Supuestos!$E$5))),IF(Supuestos!$C$5="Uniforme",Supuestos!$D$5+B365*(Supuestos!$E$5-Supuestos!$D$5),IF(Supuestos!$C$5="Lognormal",LOGINV(B365,LN(Supuestos!$D$5)-LN(1+Supuestos!$E$5^2/Supuestos!$D$5^2)/2,SQRT(LN(1+Supuestos!$E$5^2/Supuestos!$D$5^2))),Supuestos!$D$5))))))</f>
        <v/>
      </c>
      <c r="J365" s="31">
        <f>MIN(IF(Supuestos!$H$6="",1E+99,Supuestos!$H$6),MAX(IF(Supuestos!$G$6="",-1E+99,Supuestos!$G$6),IF(Supuestos!$C$6="Normal",NORMINV(C365,Supuestos!$D$6,Supuestos!$E$6),IF(Supuestos!$C$6="Triangular",IF(C365&lt;(Supuestos!$E$6-Supuestos!$D$6)/(Supuestos!$F$6-Supuestos!$D$6),Supuestos!$D$6+SQRT(C365*(Supuestos!$F$6-Supuestos!$D$6)*(Supuestos!$E$6-Supuestos!$D$6)),Supuestos!$F$6-SQRT((1-C365)*(Supuestos!$F$6-Supuestos!$D$6)*(Supuestos!$F$6-Supuestos!$E$6))),IF(Supuestos!$C$6="Uniforme",Supuestos!$D$6+C365*(Supuestos!$E$6-Supuestos!$D$6),IF(Supuestos!$C$6="Lognormal",LOGINV(C365,LN(Supuestos!$D$6)-LN(1+Supuestos!$E$6^2/Supuestos!$D$6^2)/2,SQRT(LN(1+Supuestos!$E$6^2/Supuestos!$D$6^2))),Supuestos!$D$6))))))</f>
        <v/>
      </c>
      <c r="K365" s="32">
        <f>MIN(IF(Supuestos!$H$7="",1E+99,Supuestos!$H$7),MAX(IF(Supuestos!$G$7="",-1E+99,Supuestos!$G$7),IF(Supuestos!$C$7="Normal",NORMINV(D365,Supuestos!$D$7,Supuestos!$E$7),IF(Supuestos!$C$7="Triangular",IF(D365&lt;(Supuestos!$E$7-Supuestos!$D$7)/(Supuestos!$F$7-Supuestos!$D$7),Supuestos!$D$7+SQRT(D365*(Supuestos!$F$7-Supuestos!$D$7)*(Supuestos!$E$7-Supuestos!$D$7)),Supuestos!$F$7-SQRT((1-D365)*(Supuestos!$F$7-Supuestos!$D$7)*(Supuestos!$F$7-Supuestos!$E$7))),IF(Supuestos!$C$7="Uniforme",Supuestos!$D$7+D365*(Supuestos!$E$7-Supuestos!$D$7),IF(Supuestos!$C$7="Lognormal",LOGINV(D365,LN(Supuestos!$D$7)-LN(1+Supuestos!$E$7^2/Supuestos!$D$7^2)/2,SQRT(LN(1+Supuestos!$E$7^2/Supuestos!$D$7^2))),Supuestos!$D$7))))))</f>
        <v/>
      </c>
      <c r="L365" s="32">
        <f>MIN(IF(Supuestos!$H$8="",1E+99,Supuestos!$H$8),MAX(IF(Supuestos!$G$8="",-1E+99,Supuestos!$G$8),IF(Supuestos!$C$8="Normal",NORMINV(E365,Supuestos!$D$8,Supuestos!$E$8),IF(Supuestos!$C$8="Triangular",IF(E365&lt;(Supuestos!$E$8-Supuestos!$D$8)/(Supuestos!$F$8-Supuestos!$D$8),Supuestos!$D$8+SQRT(E365*(Supuestos!$F$8-Supuestos!$D$8)*(Supuestos!$E$8-Supuestos!$D$8)),Supuestos!$F$8-SQRT((1-E365)*(Supuestos!$F$8-Supuestos!$D$8)*(Supuestos!$F$8-Supuestos!$E$8))),IF(Supuestos!$C$8="Uniforme",Supuestos!$D$8+E365*(Supuestos!$E$8-Supuestos!$D$8),IF(Supuestos!$C$8="Lognormal",LOGINV(E365,LN(Supuestos!$D$8)-LN(1+Supuestos!$E$8^2/Supuestos!$D$8^2)/2,SQRT(LN(1+Supuestos!$E$8^2/Supuestos!$D$8^2))),Supuestos!$D$8))))))</f>
        <v/>
      </c>
      <c r="M365" s="32">
        <f>MIN(IF(Supuestos!$H$9="",1E+99,Supuestos!$H$9),MAX(IF(Supuestos!$G$9="",-1E+99,Supuestos!$G$9),IF(Supuestos!$C$9="Normal",NORMINV(F365,Supuestos!$D$9,Supuestos!$E$9),IF(Supuestos!$C$9="Triangular",IF(F365&lt;(Supuestos!$E$9-Supuestos!$D$9)/(Supuestos!$F$9-Supuestos!$D$9),Supuestos!$D$9+SQRT(F365*(Supuestos!$F$9-Supuestos!$D$9)*(Supuestos!$E$9-Supuestos!$D$9)),Supuestos!$F$9-SQRT((1-F365)*(Supuestos!$F$9-Supuestos!$D$9)*(Supuestos!$F$9-Supuestos!$E$9))),IF(Supuestos!$C$9="Uniforme",Supuestos!$D$9+F365*(Supuestos!$E$9-Supuestos!$D$9),IF(Supuestos!$C$9="Lognormal",LOGINV(F365,LN(Supuestos!$D$9)-LN(1+Supuestos!$E$9^2/Supuestos!$D$9^2)/2,SQRT(LN(1+Supuestos!$E$9^2/Supuestos!$D$9^2))),Supuestos!$D$9))))))</f>
        <v/>
      </c>
      <c r="N365" s="32">
        <f>MIN(IF(Supuestos!$H$10="",1E+99,Supuestos!$H$10),MAX(IF(Supuestos!$G$10="",-1E+99,Supuestos!$G$10),IF(Supuestos!$C$10="Normal",NORMINV(G365,Supuestos!$D$10,Supuestos!$E$10),IF(Supuestos!$C$10="Triangular",IF(G365&lt;(Supuestos!$E$10-Supuestos!$D$10)/(Supuestos!$F$10-Supuestos!$D$10),Supuestos!$D$10+SQRT(G365*(Supuestos!$F$10-Supuestos!$D$10)*(Supuestos!$E$10-Supuestos!$D$10)),Supuestos!$F$10-SQRT((1-G365)*(Supuestos!$F$10-Supuestos!$D$10)*(Supuestos!$F$10-Supuestos!$E$10))),IF(Supuestos!$C$10="Uniforme",Supuestos!$D$10+G365*(Supuestos!$E$10-Supuestos!$D$10),IF(Supuestos!$C$10="Lognormal",LOGINV(G365,LN(Supuestos!$D$10)-LN(1+Supuestos!$E$10^2/Supuestos!$D$10^2)/2,SQRT(LN(1+Supuestos!$E$10^2/Supuestos!$D$10^2))),Supuestos!$D$10))))))</f>
        <v/>
      </c>
      <c r="O365" s="31">
        <f>MIN(IF(Supuestos!$H$11="",1E+99,Supuestos!$H$11),MAX(IF(Supuestos!$G$11="",-1E+99,Supuestos!$G$11),IF(Supuestos!$C$11="Normal",NORMINV(H365,Supuestos!$D$11,Supuestos!$E$11),IF(Supuestos!$C$11="Triangular",IF(H365&lt;(Supuestos!$E$11-Supuestos!$D$11)/(Supuestos!$F$11-Supuestos!$D$11),Supuestos!$D$11+SQRT(H365*(Supuestos!$F$11-Supuestos!$D$11)*(Supuestos!$E$11-Supuestos!$D$11)),Supuestos!$F$11-SQRT((1-H365)*(Supuestos!$F$11-Supuestos!$D$11)*(Supuestos!$F$11-Supuestos!$E$11))),IF(Supuestos!$C$11="Uniforme",Supuestos!$D$11+H365*(Supuestos!$E$11-Supuestos!$D$11),IF(Supuestos!$C$11="Lognormal",LOGINV(H365,LN(Supuestos!$D$11)-LN(1+Supuestos!$E$11^2/Supuestos!$D$11^2)/2,SQRT(LN(1+Supuestos!$E$11^2/Supuestos!$D$11^2))),Supuestos!$D$11))))))</f>
        <v/>
      </c>
      <c r="P365" s="33">
        <f>-I365</f>
        <v/>
      </c>
      <c r="Q365" s="33">
        <f>$J365*(1+$K365)^(1-1)*(1-$L365)*(1-$M365)</f>
        <v/>
      </c>
      <c r="R365" s="33">
        <f>$J365*(1+$K365)^(2-1)*(1-$L365)*(1-$M365)</f>
        <v/>
      </c>
      <c r="S365" s="33">
        <f>$J365*(1+$K365)^(3-1)*(1-$L365)*(1-$M365)</f>
        <v/>
      </c>
      <c r="T365" s="33">
        <f>$J365*(1+$K365)^(4-1)*(1-$L365)*(1-$M365)</f>
        <v/>
      </c>
      <c r="U365" s="33">
        <f>$J365*(1+$K365)^(5-1)*(1-$L365)*(1-$M365)+$O365</f>
        <v/>
      </c>
      <c r="V365" s="33">
        <f>P365+NPV($N365,Q365:U365)</f>
        <v/>
      </c>
      <c r="W365" s="32">
        <f>IFERROR(IRR(P365:U365,0.1),"")</f>
        <v/>
      </c>
    </row>
    <row r="366">
      <c r="A366" s="14" t="n">
        <v>362</v>
      </c>
      <c r="B366" s="30">
        <f>RAND()*(1-2E-6)+1E-6</f>
        <v/>
      </c>
      <c r="C366" s="30">
        <f>RAND()*(1-2E-6)+1E-6</f>
        <v/>
      </c>
      <c r="D366" s="30">
        <f>RAND()*(1-2E-6)+1E-6</f>
        <v/>
      </c>
      <c r="E366" s="30">
        <f>RAND()*(1-2E-6)+1E-6</f>
        <v/>
      </c>
      <c r="F366" s="30">
        <f>RAND()*(1-2E-6)+1E-6</f>
        <v/>
      </c>
      <c r="G366" s="30">
        <f>RAND()*(1-2E-6)+1E-6</f>
        <v/>
      </c>
      <c r="H366" s="30">
        <f>RAND()*(1-2E-6)+1E-6</f>
        <v/>
      </c>
      <c r="I366" s="31">
        <f>MIN(IF(Supuestos!$H$5="",1E+99,Supuestos!$H$5),MAX(IF(Supuestos!$G$5="",-1E+99,Supuestos!$G$5),IF(Supuestos!$C$5="Normal",NORMINV(B366,Supuestos!$D$5,Supuestos!$E$5),IF(Supuestos!$C$5="Triangular",IF(B366&lt;(Supuestos!$E$5-Supuestos!$D$5)/(Supuestos!$F$5-Supuestos!$D$5),Supuestos!$D$5+SQRT(B366*(Supuestos!$F$5-Supuestos!$D$5)*(Supuestos!$E$5-Supuestos!$D$5)),Supuestos!$F$5-SQRT((1-B366)*(Supuestos!$F$5-Supuestos!$D$5)*(Supuestos!$F$5-Supuestos!$E$5))),IF(Supuestos!$C$5="Uniforme",Supuestos!$D$5+B366*(Supuestos!$E$5-Supuestos!$D$5),IF(Supuestos!$C$5="Lognormal",LOGINV(B366,LN(Supuestos!$D$5)-LN(1+Supuestos!$E$5^2/Supuestos!$D$5^2)/2,SQRT(LN(1+Supuestos!$E$5^2/Supuestos!$D$5^2))),Supuestos!$D$5))))))</f>
        <v/>
      </c>
      <c r="J366" s="31">
        <f>MIN(IF(Supuestos!$H$6="",1E+99,Supuestos!$H$6),MAX(IF(Supuestos!$G$6="",-1E+99,Supuestos!$G$6),IF(Supuestos!$C$6="Normal",NORMINV(C366,Supuestos!$D$6,Supuestos!$E$6),IF(Supuestos!$C$6="Triangular",IF(C366&lt;(Supuestos!$E$6-Supuestos!$D$6)/(Supuestos!$F$6-Supuestos!$D$6),Supuestos!$D$6+SQRT(C366*(Supuestos!$F$6-Supuestos!$D$6)*(Supuestos!$E$6-Supuestos!$D$6)),Supuestos!$F$6-SQRT((1-C366)*(Supuestos!$F$6-Supuestos!$D$6)*(Supuestos!$F$6-Supuestos!$E$6))),IF(Supuestos!$C$6="Uniforme",Supuestos!$D$6+C366*(Supuestos!$E$6-Supuestos!$D$6),IF(Supuestos!$C$6="Lognormal",LOGINV(C366,LN(Supuestos!$D$6)-LN(1+Supuestos!$E$6^2/Supuestos!$D$6^2)/2,SQRT(LN(1+Supuestos!$E$6^2/Supuestos!$D$6^2))),Supuestos!$D$6))))))</f>
        <v/>
      </c>
      <c r="K366" s="32">
        <f>MIN(IF(Supuestos!$H$7="",1E+99,Supuestos!$H$7),MAX(IF(Supuestos!$G$7="",-1E+99,Supuestos!$G$7),IF(Supuestos!$C$7="Normal",NORMINV(D366,Supuestos!$D$7,Supuestos!$E$7),IF(Supuestos!$C$7="Triangular",IF(D366&lt;(Supuestos!$E$7-Supuestos!$D$7)/(Supuestos!$F$7-Supuestos!$D$7),Supuestos!$D$7+SQRT(D366*(Supuestos!$F$7-Supuestos!$D$7)*(Supuestos!$E$7-Supuestos!$D$7)),Supuestos!$F$7-SQRT((1-D366)*(Supuestos!$F$7-Supuestos!$D$7)*(Supuestos!$F$7-Supuestos!$E$7))),IF(Supuestos!$C$7="Uniforme",Supuestos!$D$7+D366*(Supuestos!$E$7-Supuestos!$D$7),IF(Supuestos!$C$7="Lognormal",LOGINV(D366,LN(Supuestos!$D$7)-LN(1+Supuestos!$E$7^2/Supuestos!$D$7^2)/2,SQRT(LN(1+Supuestos!$E$7^2/Supuestos!$D$7^2))),Supuestos!$D$7))))))</f>
        <v/>
      </c>
      <c r="L366" s="32">
        <f>MIN(IF(Supuestos!$H$8="",1E+99,Supuestos!$H$8),MAX(IF(Supuestos!$G$8="",-1E+99,Supuestos!$G$8),IF(Supuestos!$C$8="Normal",NORMINV(E366,Supuestos!$D$8,Supuestos!$E$8),IF(Supuestos!$C$8="Triangular",IF(E366&lt;(Supuestos!$E$8-Supuestos!$D$8)/(Supuestos!$F$8-Supuestos!$D$8),Supuestos!$D$8+SQRT(E366*(Supuestos!$F$8-Supuestos!$D$8)*(Supuestos!$E$8-Supuestos!$D$8)),Supuestos!$F$8-SQRT((1-E366)*(Supuestos!$F$8-Supuestos!$D$8)*(Supuestos!$F$8-Supuestos!$E$8))),IF(Supuestos!$C$8="Uniforme",Supuestos!$D$8+E366*(Supuestos!$E$8-Supuestos!$D$8),IF(Supuestos!$C$8="Lognormal",LOGINV(E366,LN(Supuestos!$D$8)-LN(1+Supuestos!$E$8^2/Supuestos!$D$8^2)/2,SQRT(LN(1+Supuestos!$E$8^2/Supuestos!$D$8^2))),Supuestos!$D$8))))))</f>
        <v/>
      </c>
      <c r="M366" s="32">
        <f>MIN(IF(Supuestos!$H$9="",1E+99,Supuestos!$H$9),MAX(IF(Supuestos!$G$9="",-1E+99,Supuestos!$G$9),IF(Supuestos!$C$9="Normal",NORMINV(F366,Supuestos!$D$9,Supuestos!$E$9),IF(Supuestos!$C$9="Triangular",IF(F366&lt;(Supuestos!$E$9-Supuestos!$D$9)/(Supuestos!$F$9-Supuestos!$D$9),Supuestos!$D$9+SQRT(F366*(Supuestos!$F$9-Supuestos!$D$9)*(Supuestos!$E$9-Supuestos!$D$9)),Supuestos!$F$9-SQRT((1-F366)*(Supuestos!$F$9-Supuestos!$D$9)*(Supuestos!$F$9-Supuestos!$E$9))),IF(Supuestos!$C$9="Uniforme",Supuestos!$D$9+F366*(Supuestos!$E$9-Supuestos!$D$9),IF(Supuestos!$C$9="Lognormal",LOGINV(F366,LN(Supuestos!$D$9)-LN(1+Supuestos!$E$9^2/Supuestos!$D$9^2)/2,SQRT(LN(1+Supuestos!$E$9^2/Supuestos!$D$9^2))),Supuestos!$D$9))))))</f>
        <v/>
      </c>
      <c r="N366" s="32">
        <f>MIN(IF(Supuestos!$H$10="",1E+99,Supuestos!$H$10),MAX(IF(Supuestos!$G$10="",-1E+99,Supuestos!$G$10),IF(Supuestos!$C$10="Normal",NORMINV(G366,Supuestos!$D$10,Supuestos!$E$10),IF(Supuestos!$C$10="Triangular",IF(G366&lt;(Supuestos!$E$10-Supuestos!$D$10)/(Supuestos!$F$10-Supuestos!$D$10),Supuestos!$D$10+SQRT(G366*(Supuestos!$F$10-Supuestos!$D$10)*(Supuestos!$E$10-Supuestos!$D$10)),Supuestos!$F$10-SQRT((1-G366)*(Supuestos!$F$10-Supuestos!$D$10)*(Supuestos!$F$10-Supuestos!$E$10))),IF(Supuestos!$C$10="Uniforme",Supuestos!$D$10+G366*(Supuestos!$E$10-Supuestos!$D$10),IF(Supuestos!$C$10="Lognormal",LOGINV(G366,LN(Supuestos!$D$10)-LN(1+Supuestos!$E$10^2/Supuestos!$D$10^2)/2,SQRT(LN(1+Supuestos!$E$10^2/Supuestos!$D$10^2))),Supuestos!$D$10))))))</f>
        <v/>
      </c>
      <c r="O366" s="31">
        <f>MIN(IF(Supuestos!$H$11="",1E+99,Supuestos!$H$11),MAX(IF(Supuestos!$G$11="",-1E+99,Supuestos!$G$11),IF(Supuestos!$C$11="Normal",NORMINV(H366,Supuestos!$D$11,Supuestos!$E$11),IF(Supuestos!$C$11="Triangular",IF(H366&lt;(Supuestos!$E$11-Supuestos!$D$11)/(Supuestos!$F$11-Supuestos!$D$11),Supuestos!$D$11+SQRT(H366*(Supuestos!$F$11-Supuestos!$D$11)*(Supuestos!$E$11-Supuestos!$D$11)),Supuestos!$F$11-SQRT((1-H366)*(Supuestos!$F$11-Supuestos!$D$11)*(Supuestos!$F$11-Supuestos!$E$11))),IF(Supuestos!$C$11="Uniforme",Supuestos!$D$11+H366*(Supuestos!$E$11-Supuestos!$D$11),IF(Supuestos!$C$11="Lognormal",LOGINV(H366,LN(Supuestos!$D$11)-LN(1+Supuestos!$E$11^2/Supuestos!$D$11^2)/2,SQRT(LN(1+Supuestos!$E$11^2/Supuestos!$D$11^2))),Supuestos!$D$11))))))</f>
        <v/>
      </c>
      <c r="P366" s="33">
        <f>-I366</f>
        <v/>
      </c>
      <c r="Q366" s="33">
        <f>$J366*(1+$K366)^(1-1)*(1-$L366)*(1-$M366)</f>
        <v/>
      </c>
      <c r="R366" s="33">
        <f>$J366*(1+$K366)^(2-1)*(1-$L366)*(1-$M366)</f>
        <v/>
      </c>
      <c r="S366" s="33">
        <f>$J366*(1+$K366)^(3-1)*(1-$L366)*(1-$M366)</f>
        <v/>
      </c>
      <c r="T366" s="33">
        <f>$J366*(1+$K366)^(4-1)*(1-$L366)*(1-$M366)</f>
        <v/>
      </c>
      <c r="U366" s="33">
        <f>$J366*(1+$K366)^(5-1)*(1-$L366)*(1-$M366)+$O366</f>
        <v/>
      </c>
      <c r="V366" s="33">
        <f>P366+NPV($N366,Q366:U366)</f>
        <v/>
      </c>
      <c r="W366" s="32">
        <f>IFERROR(IRR(P366:U366,0.1),"")</f>
        <v/>
      </c>
    </row>
    <row r="367">
      <c r="A367" s="14" t="n">
        <v>363</v>
      </c>
      <c r="B367" s="30">
        <f>RAND()*(1-2E-6)+1E-6</f>
        <v/>
      </c>
      <c r="C367" s="30">
        <f>RAND()*(1-2E-6)+1E-6</f>
        <v/>
      </c>
      <c r="D367" s="30">
        <f>RAND()*(1-2E-6)+1E-6</f>
        <v/>
      </c>
      <c r="E367" s="30">
        <f>RAND()*(1-2E-6)+1E-6</f>
        <v/>
      </c>
      <c r="F367" s="30">
        <f>RAND()*(1-2E-6)+1E-6</f>
        <v/>
      </c>
      <c r="G367" s="30">
        <f>RAND()*(1-2E-6)+1E-6</f>
        <v/>
      </c>
      <c r="H367" s="30">
        <f>RAND()*(1-2E-6)+1E-6</f>
        <v/>
      </c>
      <c r="I367" s="31">
        <f>MIN(IF(Supuestos!$H$5="",1E+99,Supuestos!$H$5),MAX(IF(Supuestos!$G$5="",-1E+99,Supuestos!$G$5),IF(Supuestos!$C$5="Normal",NORMINV(B367,Supuestos!$D$5,Supuestos!$E$5),IF(Supuestos!$C$5="Triangular",IF(B367&lt;(Supuestos!$E$5-Supuestos!$D$5)/(Supuestos!$F$5-Supuestos!$D$5),Supuestos!$D$5+SQRT(B367*(Supuestos!$F$5-Supuestos!$D$5)*(Supuestos!$E$5-Supuestos!$D$5)),Supuestos!$F$5-SQRT((1-B367)*(Supuestos!$F$5-Supuestos!$D$5)*(Supuestos!$F$5-Supuestos!$E$5))),IF(Supuestos!$C$5="Uniforme",Supuestos!$D$5+B367*(Supuestos!$E$5-Supuestos!$D$5),IF(Supuestos!$C$5="Lognormal",LOGINV(B367,LN(Supuestos!$D$5)-LN(1+Supuestos!$E$5^2/Supuestos!$D$5^2)/2,SQRT(LN(1+Supuestos!$E$5^2/Supuestos!$D$5^2))),Supuestos!$D$5))))))</f>
        <v/>
      </c>
      <c r="J367" s="31">
        <f>MIN(IF(Supuestos!$H$6="",1E+99,Supuestos!$H$6),MAX(IF(Supuestos!$G$6="",-1E+99,Supuestos!$G$6),IF(Supuestos!$C$6="Normal",NORMINV(C367,Supuestos!$D$6,Supuestos!$E$6),IF(Supuestos!$C$6="Triangular",IF(C367&lt;(Supuestos!$E$6-Supuestos!$D$6)/(Supuestos!$F$6-Supuestos!$D$6),Supuestos!$D$6+SQRT(C367*(Supuestos!$F$6-Supuestos!$D$6)*(Supuestos!$E$6-Supuestos!$D$6)),Supuestos!$F$6-SQRT((1-C367)*(Supuestos!$F$6-Supuestos!$D$6)*(Supuestos!$F$6-Supuestos!$E$6))),IF(Supuestos!$C$6="Uniforme",Supuestos!$D$6+C367*(Supuestos!$E$6-Supuestos!$D$6),IF(Supuestos!$C$6="Lognormal",LOGINV(C367,LN(Supuestos!$D$6)-LN(1+Supuestos!$E$6^2/Supuestos!$D$6^2)/2,SQRT(LN(1+Supuestos!$E$6^2/Supuestos!$D$6^2))),Supuestos!$D$6))))))</f>
        <v/>
      </c>
      <c r="K367" s="32">
        <f>MIN(IF(Supuestos!$H$7="",1E+99,Supuestos!$H$7),MAX(IF(Supuestos!$G$7="",-1E+99,Supuestos!$G$7),IF(Supuestos!$C$7="Normal",NORMINV(D367,Supuestos!$D$7,Supuestos!$E$7),IF(Supuestos!$C$7="Triangular",IF(D367&lt;(Supuestos!$E$7-Supuestos!$D$7)/(Supuestos!$F$7-Supuestos!$D$7),Supuestos!$D$7+SQRT(D367*(Supuestos!$F$7-Supuestos!$D$7)*(Supuestos!$E$7-Supuestos!$D$7)),Supuestos!$F$7-SQRT((1-D367)*(Supuestos!$F$7-Supuestos!$D$7)*(Supuestos!$F$7-Supuestos!$E$7))),IF(Supuestos!$C$7="Uniforme",Supuestos!$D$7+D367*(Supuestos!$E$7-Supuestos!$D$7),IF(Supuestos!$C$7="Lognormal",LOGINV(D367,LN(Supuestos!$D$7)-LN(1+Supuestos!$E$7^2/Supuestos!$D$7^2)/2,SQRT(LN(1+Supuestos!$E$7^2/Supuestos!$D$7^2))),Supuestos!$D$7))))))</f>
        <v/>
      </c>
      <c r="L367" s="32">
        <f>MIN(IF(Supuestos!$H$8="",1E+99,Supuestos!$H$8),MAX(IF(Supuestos!$G$8="",-1E+99,Supuestos!$G$8),IF(Supuestos!$C$8="Normal",NORMINV(E367,Supuestos!$D$8,Supuestos!$E$8),IF(Supuestos!$C$8="Triangular",IF(E367&lt;(Supuestos!$E$8-Supuestos!$D$8)/(Supuestos!$F$8-Supuestos!$D$8),Supuestos!$D$8+SQRT(E367*(Supuestos!$F$8-Supuestos!$D$8)*(Supuestos!$E$8-Supuestos!$D$8)),Supuestos!$F$8-SQRT((1-E367)*(Supuestos!$F$8-Supuestos!$D$8)*(Supuestos!$F$8-Supuestos!$E$8))),IF(Supuestos!$C$8="Uniforme",Supuestos!$D$8+E367*(Supuestos!$E$8-Supuestos!$D$8),IF(Supuestos!$C$8="Lognormal",LOGINV(E367,LN(Supuestos!$D$8)-LN(1+Supuestos!$E$8^2/Supuestos!$D$8^2)/2,SQRT(LN(1+Supuestos!$E$8^2/Supuestos!$D$8^2))),Supuestos!$D$8))))))</f>
        <v/>
      </c>
      <c r="M367" s="32">
        <f>MIN(IF(Supuestos!$H$9="",1E+99,Supuestos!$H$9),MAX(IF(Supuestos!$G$9="",-1E+99,Supuestos!$G$9),IF(Supuestos!$C$9="Normal",NORMINV(F367,Supuestos!$D$9,Supuestos!$E$9),IF(Supuestos!$C$9="Triangular",IF(F367&lt;(Supuestos!$E$9-Supuestos!$D$9)/(Supuestos!$F$9-Supuestos!$D$9),Supuestos!$D$9+SQRT(F367*(Supuestos!$F$9-Supuestos!$D$9)*(Supuestos!$E$9-Supuestos!$D$9)),Supuestos!$F$9-SQRT((1-F367)*(Supuestos!$F$9-Supuestos!$D$9)*(Supuestos!$F$9-Supuestos!$E$9))),IF(Supuestos!$C$9="Uniforme",Supuestos!$D$9+F367*(Supuestos!$E$9-Supuestos!$D$9),IF(Supuestos!$C$9="Lognormal",LOGINV(F367,LN(Supuestos!$D$9)-LN(1+Supuestos!$E$9^2/Supuestos!$D$9^2)/2,SQRT(LN(1+Supuestos!$E$9^2/Supuestos!$D$9^2))),Supuestos!$D$9))))))</f>
        <v/>
      </c>
      <c r="N367" s="32">
        <f>MIN(IF(Supuestos!$H$10="",1E+99,Supuestos!$H$10),MAX(IF(Supuestos!$G$10="",-1E+99,Supuestos!$G$10),IF(Supuestos!$C$10="Normal",NORMINV(G367,Supuestos!$D$10,Supuestos!$E$10),IF(Supuestos!$C$10="Triangular",IF(G367&lt;(Supuestos!$E$10-Supuestos!$D$10)/(Supuestos!$F$10-Supuestos!$D$10),Supuestos!$D$10+SQRT(G367*(Supuestos!$F$10-Supuestos!$D$10)*(Supuestos!$E$10-Supuestos!$D$10)),Supuestos!$F$10-SQRT((1-G367)*(Supuestos!$F$10-Supuestos!$D$10)*(Supuestos!$F$10-Supuestos!$E$10))),IF(Supuestos!$C$10="Uniforme",Supuestos!$D$10+G367*(Supuestos!$E$10-Supuestos!$D$10),IF(Supuestos!$C$10="Lognormal",LOGINV(G367,LN(Supuestos!$D$10)-LN(1+Supuestos!$E$10^2/Supuestos!$D$10^2)/2,SQRT(LN(1+Supuestos!$E$10^2/Supuestos!$D$10^2))),Supuestos!$D$10))))))</f>
        <v/>
      </c>
      <c r="O367" s="31">
        <f>MIN(IF(Supuestos!$H$11="",1E+99,Supuestos!$H$11),MAX(IF(Supuestos!$G$11="",-1E+99,Supuestos!$G$11),IF(Supuestos!$C$11="Normal",NORMINV(H367,Supuestos!$D$11,Supuestos!$E$11),IF(Supuestos!$C$11="Triangular",IF(H367&lt;(Supuestos!$E$11-Supuestos!$D$11)/(Supuestos!$F$11-Supuestos!$D$11),Supuestos!$D$11+SQRT(H367*(Supuestos!$F$11-Supuestos!$D$11)*(Supuestos!$E$11-Supuestos!$D$11)),Supuestos!$F$11-SQRT((1-H367)*(Supuestos!$F$11-Supuestos!$D$11)*(Supuestos!$F$11-Supuestos!$E$11))),IF(Supuestos!$C$11="Uniforme",Supuestos!$D$11+H367*(Supuestos!$E$11-Supuestos!$D$11),IF(Supuestos!$C$11="Lognormal",LOGINV(H367,LN(Supuestos!$D$11)-LN(1+Supuestos!$E$11^2/Supuestos!$D$11^2)/2,SQRT(LN(1+Supuestos!$E$11^2/Supuestos!$D$11^2))),Supuestos!$D$11))))))</f>
        <v/>
      </c>
      <c r="P367" s="33">
        <f>-I367</f>
        <v/>
      </c>
      <c r="Q367" s="33">
        <f>$J367*(1+$K367)^(1-1)*(1-$L367)*(1-$M367)</f>
        <v/>
      </c>
      <c r="R367" s="33">
        <f>$J367*(1+$K367)^(2-1)*(1-$L367)*(1-$M367)</f>
        <v/>
      </c>
      <c r="S367" s="33">
        <f>$J367*(1+$K367)^(3-1)*(1-$L367)*(1-$M367)</f>
        <v/>
      </c>
      <c r="T367" s="33">
        <f>$J367*(1+$K367)^(4-1)*(1-$L367)*(1-$M367)</f>
        <v/>
      </c>
      <c r="U367" s="33">
        <f>$J367*(1+$K367)^(5-1)*(1-$L367)*(1-$M367)+$O367</f>
        <v/>
      </c>
      <c r="V367" s="33">
        <f>P367+NPV($N367,Q367:U367)</f>
        <v/>
      </c>
      <c r="W367" s="32">
        <f>IFERROR(IRR(P367:U367,0.1),"")</f>
        <v/>
      </c>
    </row>
    <row r="368">
      <c r="A368" s="14" t="n">
        <v>364</v>
      </c>
      <c r="B368" s="30">
        <f>RAND()*(1-2E-6)+1E-6</f>
        <v/>
      </c>
      <c r="C368" s="30">
        <f>RAND()*(1-2E-6)+1E-6</f>
        <v/>
      </c>
      <c r="D368" s="30">
        <f>RAND()*(1-2E-6)+1E-6</f>
        <v/>
      </c>
      <c r="E368" s="30">
        <f>RAND()*(1-2E-6)+1E-6</f>
        <v/>
      </c>
      <c r="F368" s="30">
        <f>RAND()*(1-2E-6)+1E-6</f>
        <v/>
      </c>
      <c r="G368" s="30">
        <f>RAND()*(1-2E-6)+1E-6</f>
        <v/>
      </c>
      <c r="H368" s="30">
        <f>RAND()*(1-2E-6)+1E-6</f>
        <v/>
      </c>
      <c r="I368" s="31">
        <f>MIN(IF(Supuestos!$H$5="",1E+99,Supuestos!$H$5),MAX(IF(Supuestos!$G$5="",-1E+99,Supuestos!$G$5),IF(Supuestos!$C$5="Normal",NORMINV(B368,Supuestos!$D$5,Supuestos!$E$5),IF(Supuestos!$C$5="Triangular",IF(B368&lt;(Supuestos!$E$5-Supuestos!$D$5)/(Supuestos!$F$5-Supuestos!$D$5),Supuestos!$D$5+SQRT(B368*(Supuestos!$F$5-Supuestos!$D$5)*(Supuestos!$E$5-Supuestos!$D$5)),Supuestos!$F$5-SQRT((1-B368)*(Supuestos!$F$5-Supuestos!$D$5)*(Supuestos!$F$5-Supuestos!$E$5))),IF(Supuestos!$C$5="Uniforme",Supuestos!$D$5+B368*(Supuestos!$E$5-Supuestos!$D$5),IF(Supuestos!$C$5="Lognormal",LOGINV(B368,LN(Supuestos!$D$5)-LN(1+Supuestos!$E$5^2/Supuestos!$D$5^2)/2,SQRT(LN(1+Supuestos!$E$5^2/Supuestos!$D$5^2))),Supuestos!$D$5))))))</f>
        <v/>
      </c>
      <c r="J368" s="31">
        <f>MIN(IF(Supuestos!$H$6="",1E+99,Supuestos!$H$6),MAX(IF(Supuestos!$G$6="",-1E+99,Supuestos!$G$6),IF(Supuestos!$C$6="Normal",NORMINV(C368,Supuestos!$D$6,Supuestos!$E$6),IF(Supuestos!$C$6="Triangular",IF(C368&lt;(Supuestos!$E$6-Supuestos!$D$6)/(Supuestos!$F$6-Supuestos!$D$6),Supuestos!$D$6+SQRT(C368*(Supuestos!$F$6-Supuestos!$D$6)*(Supuestos!$E$6-Supuestos!$D$6)),Supuestos!$F$6-SQRT((1-C368)*(Supuestos!$F$6-Supuestos!$D$6)*(Supuestos!$F$6-Supuestos!$E$6))),IF(Supuestos!$C$6="Uniforme",Supuestos!$D$6+C368*(Supuestos!$E$6-Supuestos!$D$6),IF(Supuestos!$C$6="Lognormal",LOGINV(C368,LN(Supuestos!$D$6)-LN(1+Supuestos!$E$6^2/Supuestos!$D$6^2)/2,SQRT(LN(1+Supuestos!$E$6^2/Supuestos!$D$6^2))),Supuestos!$D$6))))))</f>
        <v/>
      </c>
      <c r="K368" s="32">
        <f>MIN(IF(Supuestos!$H$7="",1E+99,Supuestos!$H$7),MAX(IF(Supuestos!$G$7="",-1E+99,Supuestos!$G$7),IF(Supuestos!$C$7="Normal",NORMINV(D368,Supuestos!$D$7,Supuestos!$E$7),IF(Supuestos!$C$7="Triangular",IF(D368&lt;(Supuestos!$E$7-Supuestos!$D$7)/(Supuestos!$F$7-Supuestos!$D$7),Supuestos!$D$7+SQRT(D368*(Supuestos!$F$7-Supuestos!$D$7)*(Supuestos!$E$7-Supuestos!$D$7)),Supuestos!$F$7-SQRT((1-D368)*(Supuestos!$F$7-Supuestos!$D$7)*(Supuestos!$F$7-Supuestos!$E$7))),IF(Supuestos!$C$7="Uniforme",Supuestos!$D$7+D368*(Supuestos!$E$7-Supuestos!$D$7),IF(Supuestos!$C$7="Lognormal",LOGINV(D368,LN(Supuestos!$D$7)-LN(1+Supuestos!$E$7^2/Supuestos!$D$7^2)/2,SQRT(LN(1+Supuestos!$E$7^2/Supuestos!$D$7^2))),Supuestos!$D$7))))))</f>
        <v/>
      </c>
      <c r="L368" s="32">
        <f>MIN(IF(Supuestos!$H$8="",1E+99,Supuestos!$H$8),MAX(IF(Supuestos!$G$8="",-1E+99,Supuestos!$G$8),IF(Supuestos!$C$8="Normal",NORMINV(E368,Supuestos!$D$8,Supuestos!$E$8),IF(Supuestos!$C$8="Triangular",IF(E368&lt;(Supuestos!$E$8-Supuestos!$D$8)/(Supuestos!$F$8-Supuestos!$D$8),Supuestos!$D$8+SQRT(E368*(Supuestos!$F$8-Supuestos!$D$8)*(Supuestos!$E$8-Supuestos!$D$8)),Supuestos!$F$8-SQRT((1-E368)*(Supuestos!$F$8-Supuestos!$D$8)*(Supuestos!$F$8-Supuestos!$E$8))),IF(Supuestos!$C$8="Uniforme",Supuestos!$D$8+E368*(Supuestos!$E$8-Supuestos!$D$8),IF(Supuestos!$C$8="Lognormal",LOGINV(E368,LN(Supuestos!$D$8)-LN(1+Supuestos!$E$8^2/Supuestos!$D$8^2)/2,SQRT(LN(1+Supuestos!$E$8^2/Supuestos!$D$8^2))),Supuestos!$D$8))))))</f>
        <v/>
      </c>
      <c r="M368" s="32">
        <f>MIN(IF(Supuestos!$H$9="",1E+99,Supuestos!$H$9),MAX(IF(Supuestos!$G$9="",-1E+99,Supuestos!$G$9),IF(Supuestos!$C$9="Normal",NORMINV(F368,Supuestos!$D$9,Supuestos!$E$9),IF(Supuestos!$C$9="Triangular",IF(F368&lt;(Supuestos!$E$9-Supuestos!$D$9)/(Supuestos!$F$9-Supuestos!$D$9),Supuestos!$D$9+SQRT(F368*(Supuestos!$F$9-Supuestos!$D$9)*(Supuestos!$E$9-Supuestos!$D$9)),Supuestos!$F$9-SQRT((1-F368)*(Supuestos!$F$9-Supuestos!$D$9)*(Supuestos!$F$9-Supuestos!$E$9))),IF(Supuestos!$C$9="Uniforme",Supuestos!$D$9+F368*(Supuestos!$E$9-Supuestos!$D$9),IF(Supuestos!$C$9="Lognormal",LOGINV(F368,LN(Supuestos!$D$9)-LN(1+Supuestos!$E$9^2/Supuestos!$D$9^2)/2,SQRT(LN(1+Supuestos!$E$9^2/Supuestos!$D$9^2))),Supuestos!$D$9))))))</f>
        <v/>
      </c>
      <c r="N368" s="32">
        <f>MIN(IF(Supuestos!$H$10="",1E+99,Supuestos!$H$10),MAX(IF(Supuestos!$G$10="",-1E+99,Supuestos!$G$10),IF(Supuestos!$C$10="Normal",NORMINV(G368,Supuestos!$D$10,Supuestos!$E$10),IF(Supuestos!$C$10="Triangular",IF(G368&lt;(Supuestos!$E$10-Supuestos!$D$10)/(Supuestos!$F$10-Supuestos!$D$10),Supuestos!$D$10+SQRT(G368*(Supuestos!$F$10-Supuestos!$D$10)*(Supuestos!$E$10-Supuestos!$D$10)),Supuestos!$F$10-SQRT((1-G368)*(Supuestos!$F$10-Supuestos!$D$10)*(Supuestos!$F$10-Supuestos!$E$10))),IF(Supuestos!$C$10="Uniforme",Supuestos!$D$10+G368*(Supuestos!$E$10-Supuestos!$D$10),IF(Supuestos!$C$10="Lognormal",LOGINV(G368,LN(Supuestos!$D$10)-LN(1+Supuestos!$E$10^2/Supuestos!$D$10^2)/2,SQRT(LN(1+Supuestos!$E$10^2/Supuestos!$D$10^2))),Supuestos!$D$10))))))</f>
        <v/>
      </c>
      <c r="O368" s="31">
        <f>MIN(IF(Supuestos!$H$11="",1E+99,Supuestos!$H$11),MAX(IF(Supuestos!$G$11="",-1E+99,Supuestos!$G$11),IF(Supuestos!$C$11="Normal",NORMINV(H368,Supuestos!$D$11,Supuestos!$E$11),IF(Supuestos!$C$11="Triangular",IF(H368&lt;(Supuestos!$E$11-Supuestos!$D$11)/(Supuestos!$F$11-Supuestos!$D$11),Supuestos!$D$11+SQRT(H368*(Supuestos!$F$11-Supuestos!$D$11)*(Supuestos!$E$11-Supuestos!$D$11)),Supuestos!$F$11-SQRT((1-H368)*(Supuestos!$F$11-Supuestos!$D$11)*(Supuestos!$F$11-Supuestos!$E$11))),IF(Supuestos!$C$11="Uniforme",Supuestos!$D$11+H368*(Supuestos!$E$11-Supuestos!$D$11),IF(Supuestos!$C$11="Lognormal",LOGINV(H368,LN(Supuestos!$D$11)-LN(1+Supuestos!$E$11^2/Supuestos!$D$11^2)/2,SQRT(LN(1+Supuestos!$E$11^2/Supuestos!$D$11^2))),Supuestos!$D$11))))))</f>
        <v/>
      </c>
      <c r="P368" s="33">
        <f>-I368</f>
        <v/>
      </c>
      <c r="Q368" s="33">
        <f>$J368*(1+$K368)^(1-1)*(1-$L368)*(1-$M368)</f>
        <v/>
      </c>
      <c r="R368" s="33">
        <f>$J368*(1+$K368)^(2-1)*(1-$L368)*(1-$M368)</f>
        <v/>
      </c>
      <c r="S368" s="33">
        <f>$J368*(1+$K368)^(3-1)*(1-$L368)*(1-$M368)</f>
        <v/>
      </c>
      <c r="T368" s="33">
        <f>$J368*(1+$K368)^(4-1)*(1-$L368)*(1-$M368)</f>
        <v/>
      </c>
      <c r="U368" s="33">
        <f>$J368*(1+$K368)^(5-1)*(1-$L368)*(1-$M368)+$O368</f>
        <v/>
      </c>
      <c r="V368" s="33">
        <f>P368+NPV($N368,Q368:U368)</f>
        <v/>
      </c>
      <c r="W368" s="32">
        <f>IFERROR(IRR(P368:U368,0.1),"")</f>
        <v/>
      </c>
    </row>
    <row r="369">
      <c r="A369" s="14" t="n">
        <v>365</v>
      </c>
      <c r="B369" s="30">
        <f>RAND()*(1-2E-6)+1E-6</f>
        <v/>
      </c>
      <c r="C369" s="30">
        <f>RAND()*(1-2E-6)+1E-6</f>
        <v/>
      </c>
      <c r="D369" s="30">
        <f>RAND()*(1-2E-6)+1E-6</f>
        <v/>
      </c>
      <c r="E369" s="30">
        <f>RAND()*(1-2E-6)+1E-6</f>
        <v/>
      </c>
      <c r="F369" s="30">
        <f>RAND()*(1-2E-6)+1E-6</f>
        <v/>
      </c>
      <c r="G369" s="30">
        <f>RAND()*(1-2E-6)+1E-6</f>
        <v/>
      </c>
      <c r="H369" s="30">
        <f>RAND()*(1-2E-6)+1E-6</f>
        <v/>
      </c>
      <c r="I369" s="31">
        <f>MIN(IF(Supuestos!$H$5="",1E+99,Supuestos!$H$5),MAX(IF(Supuestos!$G$5="",-1E+99,Supuestos!$G$5),IF(Supuestos!$C$5="Normal",NORMINV(B369,Supuestos!$D$5,Supuestos!$E$5),IF(Supuestos!$C$5="Triangular",IF(B369&lt;(Supuestos!$E$5-Supuestos!$D$5)/(Supuestos!$F$5-Supuestos!$D$5),Supuestos!$D$5+SQRT(B369*(Supuestos!$F$5-Supuestos!$D$5)*(Supuestos!$E$5-Supuestos!$D$5)),Supuestos!$F$5-SQRT((1-B369)*(Supuestos!$F$5-Supuestos!$D$5)*(Supuestos!$F$5-Supuestos!$E$5))),IF(Supuestos!$C$5="Uniforme",Supuestos!$D$5+B369*(Supuestos!$E$5-Supuestos!$D$5),IF(Supuestos!$C$5="Lognormal",LOGINV(B369,LN(Supuestos!$D$5)-LN(1+Supuestos!$E$5^2/Supuestos!$D$5^2)/2,SQRT(LN(1+Supuestos!$E$5^2/Supuestos!$D$5^2))),Supuestos!$D$5))))))</f>
        <v/>
      </c>
      <c r="J369" s="31">
        <f>MIN(IF(Supuestos!$H$6="",1E+99,Supuestos!$H$6),MAX(IF(Supuestos!$G$6="",-1E+99,Supuestos!$G$6),IF(Supuestos!$C$6="Normal",NORMINV(C369,Supuestos!$D$6,Supuestos!$E$6),IF(Supuestos!$C$6="Triangular",IF(C369&lt;(Supuestos!$E$6-Supuestos!$D$6)/(Supuestos!$F$6-Supuestos!$D$6),Supuestos!$D$6+SQRT(C369*(Supuestos!$F$6-Supuestos!$D$6)*(Supuestos!$E$6-Supuestos!$D$6)),Supuestos!$F$6-SQRT((1-C369)*(Supuestos!$F$6-Supuestos!$D$6)*(Supuestos!$F$6-Supuestos!$E$6))),IF(Supuestos!$C$6="Uniforme",Supuestos!$D$6+C369*(Supuestos!$E$6-Supuestos!$D$6),IF(Supuestos!$C$6="Lognormal",LOGINV(C369,LN(Supuestos!$D$6)-LN(1+Supuestos!$E$6^2/Supuestos!$D$6^2)/2,SQRT(LN(1+Supuestos!$E$6^2/Supuestos!$D$6^2))),Supuestos!$D$6))))))</f>
        <v/>
      </c>
      <c r="K369" s="32">
        <f>MIN(IF(Supuestos!$H$7="",1E+99,Supuestos!$H$7),MAX(IF(Supuestos!$G$7="",-1E+99,Supuestos!$G$7),IF(Supuestos!$C$7="Normal",NORMINV(D369,Supuestos!$D$7,Supuestos!$E$7),IF(Supuestos!$C$7="Triangular",IF(D369&lt;(Supuestos!$E$7-Supuestos!$D$7)/(Supuestos!$F$7-Supuestos!$D$7),Supuestos!$D$7+SQRT(D369*(Supuestos!$F$7-Supuestos!$D$7)*(Supuestos!$E$7-Supuestos!$D$7)),Supuestos!$F$7-SQRT((1-D369)*(Supuestos!$F$7-Supuestos!$D$7)*(Supuestos!$F$7-Supuestos!$E$7))),IF(Supuestos!$C$7="Uniforme",Supuestos!$D$7+D369*(Supuestos!$E$7-Supuestos!$D$7),IF(Supuestos!$C$7="Lognormal",LOGINV(D369,LN(Supuestos!$D$7)-LN(1+Supuestos!$E$7^2/Supuestos!$D$7^2)/2,SQRT(LN(1+Supuestos!$E$7^2/Supuestos!$D$7^2))),Supuestos!$D$7))))))</f>
        <v/>
      </c>
      <c r="L369" s="32">
        <f>MIN(IF(Supuestos!$H$8="",1E+99,Supuestos!$H$8),MAX(IF(Supuestos!$G$8="",-1E+99,Supuestos!$G$8),IF(Supuestos!$C$8="Normal",NORMINV(E369,Supuestos!$D$8,Supuestos!$E$8),IF(Supuestos!$C$8="Triangular",IF(E369&lt;(Supuestos!$E$8-Supuestos!$D$8)/(Supuestos!$F$8-Supuestos!$D$8),Supuestos!$D$8+SQRT(E369*(Supuestos!$F$8-Supuestos!$D$8)*(Supuestos!$E$8-Supuestos!$D$8)),Supuestos!$F$8-SQRT((1-E369)*(Supuestos!$F$8-Supuestos!$D$8)*(Supuestos!$F$8-Supuestos!$E$8))),IF(Supuestos!$C$8="Uniforme",Supuestos!$D$8+E369*(Supuestos!$E$8-Supuestos!$D$8),IF(Supuestos!$C$8="Lognormal",LOGINV(E369,LN(Supuestos!$D$8)-LN(1+Supuestos!$E$8^2/Supuestos!$D$8^2)/2,SQRT(LN(1+Supuestos!$E$8^2/Supuestos!$D$8^2))),Supuestos!$D$8))))))</f>
        <v/>
      </c>
      <c r="M369" s="32">
        <f>MIN(IF(Supuestos!$H$9="",1E+99,Supuestos!$H$9),MAX(IF(Supuestos!$G$9="",-1E+99,Supuestos!$G$9),IF(Supuestos!$C$9="Normal",NORMINV(F369,Supuestos!$D$9,Supuestos!$E$9),IF(Supuestos!$C$9="Triangular",IF(F369&lt;(Supuestos!$E$9-Supuestos!$D$9)/(Supuestos!$F$9-Supuestos!$D$9),Supuestos!$D$9+SQRT(F369*(Supuestos!$F$9-Supuestos!$D$9)*(Supuestos!$E$9-Supuestos!$D$9)),Supuestos!$F$9-SQRT((1-F369)*(Supuestos!$F$9-Supuestos!$D$9)*(Supuestos!$F$9-Supuestos!$E$9))),IF(Supuestos!$C$9="Uniforme",Supuestos!$D$9+F369*(Supuestos!$E$9-Supuestos!$D$9),IF(Supuestos!$C$9="Lognormal",LOGINV(F369,LN(Supuestos!$D$9)-LN(1+Supuestos!$E$9^2/Supuestos!$D$9^2)/2,SQRT(LN(1+Supuestos!$E$9^2/Supuestos!$D$9^2))),Supuestos!$D$9))))))</f>
        <v/>
      </c>
      <c r="N369" s="32">
        <f>MIN(IF(Supuestos!$H$10="",1E+99,Supuestos!$H$10),MAX(IF(Supuestos!$G$10="",-1E+99,Supuestos!$G$10),IF(Supuestos!$C$10="Normal",NORMINV(G369,Supuestos!$D$10,Supuestos!$E$10),IF(Supuestos!$C$10="Triangular",IF(G369&lt;(Supuestos!$E$10-Supuestos!$D$10)/(Supuestos!$F$10-Supuestos!$D$10),Supuestos!$D$10+SQRT(G369*(Supuestos!$F$10-Supuestos!$D$10)*(Supuestos!$E$10-Supuestos!$D$10)),Supuestos!$F$10-SQRT((1-G369)*(Supuestos!$F$10-Supuestos!$D$10)*(Supuestos!$F$10-Supuestos!$E$10))),IF(Supuestos!$C$10="Uniforme",Supuestos!$D$10+G369*(Supuestos!$E$10-Supuestos!$D$10),IF(Supuestos!$C$10="Lognormal",LOGINV(G369,LN(Supuestos!$D$10)-LN(1+Supuestos!$E$10^2/Supuestos!$D$10^2)/2,SQRT(LN(1+Supuestos!$E$10^2/Supuestos!$D$10^2))),Supuestos!$D$10))))))</f>
        <v/>
      </c>
      <c r="O369" s="31">
        <f>MIN(IF(Supuestos!$H$11="",1E+99,Supuestos!$H$11),MAX(IF(Supuestos!$G$11="",-1E+99,Supuestos!$G$11),IF(Supuestos!$C$11="Normal",NORMINV(H369,Supuestos!$D$11,Supuestos!$E$11),IF(Supuestos!$C$11="Triangular",IF(H369&lt;(Supuestos!$E$11-Supuestos!$D$11)/(Supuestos!$F$11-Supuestos!$D$11),Supuestos!$D$11+SQRT(H369*(Supuestos!$F$11-Supuestos!$D$11)*(Supuestos!$E$11-Supuestos!$D$11)),Supuestos!$F$11-SQRT((1-H369)*(Supuestos!$F$11-Supuestos!$D$11)*(Supuestos!$F$11-Supuestos!$E$11))),IF(Supuestos!$C$11="Uniforme",Supuestos!$D$11+H369*(Supuestos!$E$11-Supuestos!$D$11),IF(Supuestos!$C$11="Lognormal",LOGINV(H369,LN(Supuestos!$D$11)-LN(1+Supuestos!$E$11^2/Supuestos!$D$11^2)/2,SQRT(LN(1+Supuestos!$E$11^2/Supuestos!$D$11^2))),Supuestos!$D$11))))))</f>
        <v/>
      </c>
      <c r="P369" s="33">
        <f>-I369</f>
        <v/>
      </c>
      <c r="Q369" s="33">
        <f>$J369*(1+$K369)^(1-1)*(1-$L369)*(1-$M369)</f>
        <v/>
      </c>
      <c r="R369" s="33">
        <f>$J369*(1+$K369)^(2-1)*(1-$L369)*(1-$M369)</f>
        <v/>
      </c>
      <c r="S369" s="33">
        <f>$J369*(1+$K369)^(3-1)*(1-$L369)*(1-$M369)</f>
        <v/>
      </c>
      <c r="T369" s="33">
        <f>$J369*(1+$K369)^(4-1)*(1-$L369)*(1-$M369)</f>
        <v/>
      </c>
      <c r="U369" s="33">
        <f>$J369*(1+$K369)^(5-1)*(1-$L369)*(1-$M369)+$O369</f>
        <v/>
      </c>
      <c r="V369" s="33">
        <f>P369+NPV($N369,Q369:U369)</f>
        <v/>
      </c>
      <c r="W369" s="32">
        <f>IFERROR(IRR(P369:U369,0.1),"")</f>
        <v/>
      </c>
    </row>
    <row r="370">
      <c r="A370" s="14" t="n">
        <v>366</v>
      </c>
      <c r="B370" s="30">
        <f>RAND()*(1-2E-6)+1E-6</f>
        <v/>
      </c>
      <c r="C370" s="30">
        <f>RAND()*(1-2E-6)+1E-6</f>
        <v/>
      </c>
      <c r="D370" s="30">
        <f>RAND()*(1-2E-6)+1E-6</f>
        <v/>
      </c>
      <c r="E370" s="30">
        <f>RAND()*(1-2E-6)+1E-6</f>
        <v/>
      </c>
      <c r="F370" s="30">
        <f>RAND()*(1-2E-6)+1E-6</f>
        <v/>
      </c>
      <c r="G370" s="30">
        <f>RAND()*(1-2E-6)+1E-6</f>
        <v/>
      </c>
      <c r="H370" s="30">
        <f>RAND()*(1-2E-6)+1E-6</f>
        <v/>
      </c>
      <c r="I370" s="31">
        <f>MIN(IF(Supuestos!$H$5="",1E+99,Supuestos!$H$5),MAX(IF(Supuestos!$G$5="",-1E+99,Supuestos!$G$5),IF(Supuestos!$C$5="Normal",NORMINV(B370,Supuestos!$D$5,Supuestos!$E$5),IF(Supuestos!$C$5="Triangular",IF(B370&lt;(Supuestos!$E$5-Supuestos!$D$5)/(Supuestos!$F$5-Supuestos!$D$5),Supuestos!$D$5+SQRT(B370*(Supuestos!$F$5-Supuestos!$D$5)*(Supuestos!$E$5-Supuestos!$D$5)),Supuestos!$F$5-SQRT((1-B370)*(Supuestos!$F$5-Supuestos!$D$5)*(Supuestos!$F$5-Supuestos!$E$5))),IF(Supuestos!$C$5="Uniforme",Supuestos!$D$5+B370*(Supuestos!$E$5-Supuestos!$D$5),IF(Supuestos!$C$5="Lognormal",LOGINV(B370,LN(Supuestos!$D$5)-LN(1+Supuestos!$E$5^2/Supuestos!$D$5^2)/2,SQRT(LN(1+Supuestos!$E$5^2/Supuestos!$D$5^2))),Supuestos!$D$5))))))</f>
        <v/>
      </c>
      <c r="J370" s="31">
        <f>MIN(IF(Supuestos!$H$6="",1E+99,Supuestos!$H$6),MAX(IF(Supuestos!$G$6="",-1E+99,Supuestos!$G$6),IF(Supuestos!$C$6="Normal",NORMINV(C370,Supuestos!$D$6,Supuestos!$E$6),IF(Supuestos!$C$6="Triangular",IF(C370&lt;(Supuestos!$E$6-Supuestos!$D$6)/(Supuestos!$F$6-Supuestos!$D$6),Supuestos!$D$6+SQRT(C370*(Supuestos!$F$6-Supuestos!$D$6)*(Supuestos!$E$6-Supuestos!$D$6)),Supuestos!$F$6-SQRT((1-C370)*(Supuestos!$F$6-Supuestos!$D$6)*(Supuestos!$F$6-Supuestos!$E$6))),IF(Supuestos!$C$6="Uniforme",Supuestos!$D$6+C370*(Supuestos!$E$6-Supuestos!$D$6),IF(Supuestos!$C$6="Lognormal",LOGINV(C370,LN(Supuestos!$D$6)-LN(1+Supuestos!$E$6^2/Supuestos!$D$6^2)/2,SQRT(LN(1+Supuestos!$E$6^2/Supuestos!$D$6^2))),Supuestos!$D$6))))))</f>
        <v/>
      </c>
      <c r="K370" s="32">
        <f>MIN(IF(Supuestos!$H$7="",1E+99,Supuestos!$H$7),MAX(IF(Supuestos!$G$7="",-1E+99,Supuestos!$G$7),IF(Supuestos!$C$7="Normal",NORMINV(D370,Supuestos!$D$7,Supuestos!$E$7),IF(Supuestos!$C$7="Triangular",IF(D370&lt;(Supuestos!$E$7-Supuestos!$D$7)/(Supuestos!$F$7-Supuestos!$D$7),Supuestos!$D$7+SQRT(D370*(Supuestos!$F$7-Supuestos!$D$7)*(Supuestos!$E$7-Supuestos!$D$7)),Supuestos!$F$7-SQRT((1-D370)*(Supuestos!$F$7-Supuestos!$D$7)*(Supuestos!$F$7-Supuestos!$E$7))),IF(Supuestos!$C$7="Uniforme",Supuestos!$D$7+D370*(Supuestos!$E$7-Supuestos!$D$7),IF(Supuestos!$C$7="Lognormal",LOGINV(D370,LN(Supuestos!$D$7)-LN(1+Supuestos!$E$7^2/Supuestos!$D$7^2)/2,SQRT(LN(1+Supuestos!$E$7^2/Supuestos!$D$7^2))),Supuestos!$D$7))))))</f>
        <v/>
      </c>
      <c r="L370" s="32">
        <f>MIN(IF(Supuestos!$H$8="",1E+99,Supuestos!$H$8),MAX(IF(Supuestos!$G$8="",-1E+99,Supuestos!$G$8),IF(Supuestos!$C$8="Normal",NORMINV(E370,Supuestos!$D$8,Supuestos!$E$8),IF(Supuestos!$C$8="Triangular",IF(E370&lt;(Supuestos!$E$8-Supuestos!$D$8)/(Supuestos!$F$8-Supuestos!$D$8),Supuestos!$D$8+SQRT(E370*(Supuestos!$F$8-Supuestos!$D$8)*(Supuestos!$E$8-Supuestos!$D$8)),Supuestos!$F$8-SQRT((1-E370)*(Supuestos!$F$8-Supuestos!$D$8)*(Supuestos!$F$8-Supuestos!$E$8))),IF(Supuestos!$C$8="Uniforme",Supuestos!$D$8+E370*(Supuestos!$E$8-Supuestos!$D$8),IF(Supuestos!$C$8="Lognormal",LOGINV(E370,LN(Supuestos!$D$8)-LN(1+Supuestos!$E$8^2/Supuestos!$D$8^2)/2,SQRT(LN(1+Supuestos!$E$8^2/Supuestos!$D$8^2))),Supuestos!$D$8))))))</f>
        <v/>
      </c>
      <c r="M370" s="32">
        <f>MIN(IF(Supuestos!$H$9="",1E+99,Supuestos!$H$9),MAX(IF(Supuestos!$G$9="",-1E+99,Supuestos!$G$9),IF(Supuestos!$C$9="Normal",NORMINV(F370,Supuestos!$D$9,Supuestos!$E$9),IF(Supuestos!$C$9="Triangular",IF(F370&lt;(Supuestos!$E$9-Supuestos!$D$9)/(Supuestos!$F$9-Supuestos!$D$9),Supuestos!$D$9+SQRT(F370*(Supuestos!$F$9-Supuestos!$D$9)*(Supuestos!$E$9-Supuestos!$D$9)),Supuestos!$F$9-SQRT((1-F370)*(Supuestos!$F$9-Supuestos!$D$9)*(Supuestos!$F$9-Supuestos!$E$9))),IF(Supuestos!$C$9="Uniforme",Supuestos!$D$9+F370*(Supuestos!$E$9-Supuestos!$D$9),IF(Supuestos!$C$9="Lognormal",LOGINV(F370,LN(Supuestos!$D$9)-LN(1+Supuestos!$E$9^2/Supuestos!$D$9^2)/2,SQRT(LN(1+Supuestos!$E$9^2/Supuestos!$D$9^2))),Supuestos!$D$9))))))</f>
        <v/>
      </c>
      <c r="N370" s="32">
        <f>MIN(IF(Supuestos!$H$10="",1E+99,Supuestos!$H$10),MAX(IF(Supuestos!$G$10="",-1E+99,Supuestos!$G$10),IF(Supuestos!$C$10="Normal",NORMINV(G370,Supuestos!$D$10,Supuestos!$E$10),IF(Supuestos!$C$10="Triangular",IF(G370&lt;(Supuestos!$E$10-Supuestos!$D$10)/(Supuestos!$F$10-Supuestos!$D$10),Supuestos!$D$10+SQRT(G370*(Supuestos!$F$10-Supuestos!$D$10)*(Supuestos!$E$10-Supuestos!$D$10)),Supuestos!$F$10-SQRT((1-G370)*(Supuestos!$F$10-Supuestos!$D$10)*(Supuestos!$F$10-Supuestos!$E$10))),IF(Supuestos!$C$10="Uniforme",Supuestos!$D$10+G370*(Supuestos!$E$10-Supuestos!$D$10),IF(Supuestos!$C$10="Lognormal",LOGINV(G370,LN(Supuestos!$D$10)-LN(1+Supuestos!$E$10^2/Supuestos!$D$10^2)/2,SQRT(LN(1+Supuestos!$E$10^2/Supuestos!$D$10^2))),Supuestos!$D$10))))))</f>
        <v/>
      </c>
      <c r="O370" s="31">
        <f>MIN(IF(Supuestos!$H$11="",1E+99,Supuestos!$H$11),MAX(IF(Supuestos!$G$11="",-1E+99,Supuestos!$G$11),IF(Supuestos!$C$11="Normal",NORMINV(H370,Supuestos!$D$11,Supuestos!$E$11),IF(Supuestos!$C$11="Triangular",IF(H370&lt;(Supuestos!$E$11-Supuestos!$D$11)/(Supuestos!$F$11-Supuestos!$D$11),Supuestos!$D$11+SQRT(H370*(Supuestos!$F$11-Supuestos!$D$11)*(Supuestos!$E$11-Supuestos!$D$11)),Supuestos!$F$11-SQRT((1-H370)*(Supuestos!$F$11-Supuestos!$D$11)*(Supuestos!$F$11-Supuestos!$E$11))),IF(Supuestos!$C$11="Uniforme",Supuestos!$D$11+H370*(Supuestos!$E$11-Supuestos!$D$11),IF(Supuestos!$C$11="Lognormal",LOGINV(H370,LN(Supuestos!$D$11)-LN(1+Supuestos!$E$11^2/Supuestos!$D$11^2)/2,SQRT(LN(1+Supuestos!$E$11^2/Supuestos!$D$11^2))),Supuestos!$D$11))))))</f>
        <v/>
      </c>
      <c r="P370" s="33">
        <f>-I370</f>
        <v/>
      </c>
      <c r="Q370" s="33">
        <f>$J370*(1+$K370)^(1-1)*(1-$L370)*(1-$M370)</f>
        <v/>
      </c>
      <c r="R370" s="33">
        <f>$J370*(1+$K370)^(2-1)*(1-$L370)*(1-$M370)</f>
        <v/>
      </c>
      <c r="S370" s="33">
        <f>$J370*(1+$K370)^(3-1)*(1-$L370)*(1-$M370)</f>
        <v/>
      </c>
      <c r="T370" s="33">
        <f>$J370*(1+$K370)^(4-1)*(1-$L370)*(1-$M370)</f>
        <v/>
      </c>
      <c r="U370" s="33">
        <f>$J370*(1+$K370)^(5-1)*(1-$L370)*(1-$M370)+$O370</f>
        <v/>
      </c>
      <c r="V370" s="33">
        <f>P370+NPV($N370,Q370:U370)</f>
        <v/>
      </c>
      <c r="W370" s="32">
        <f>IFERROR(IRR(P370:U370,0.1),"")</f>
        <v/>
      </c>
    </row>
    <row r="371">
      <c r="A371" s="14" t="n">
        <v>367</v>
      </c>
      <c r="B371" s="30">
        <f>RAND()*(1-2E-6)+1E-6</f>
        <v/>
      </c>
      <c r="C371" s="30">
        <f>RAND()*(1-2E-6)+1E-6</f>
        <v/>
      </c>
      <c r="D371" s="30">
        <f>RAND()*(1-2E-6)+1E-6</f>
        <v/>
      </c>
      <c r="E371" s="30">
        <f>RAND()*(1-2E-6)+1E-6</f>
        <v/>
      </c>
      <c r="F371" s="30">
        <f>RAND()*(1-2E-6)+1E-6</f>
        <v/>
      </c>
      <c r="G371" s="30">
        <f>RAND()*(1-2E-6)+1E-6</f>
        <v/>
      </c>
      <c r="H371" s="30">
        <f>RAND()*(1-2E-6)+1E-6</f>
        <v/>
      </c>
      <c r="I371" s="31">
        <f>MIN(IF(Supuestos!$H$5="",1E+99,Supuestos!$H$5),MAX(IF(Supuestos!$G$5="",-1E+99,Supuestos!$G$5),IF(Supuestos!$C$5="Normal",NORMINV(B371,Supuestos!$D$5,Supuestos!$E$5),IF(Supuestos!$C$5="Triangular",IF(B371&lt;(Supuestos!$E$5-Supuestos!$D$5)/(Supuestos!$F$5-Supuestos!$D$5),Supuestos!$D$5+SQRT(B371*(Supuestos!$F$5-Supuestos!$D$5)*(Supuestos!$E$5-Supuestos!$D$5)),Supuestos!$F$5-SQRT((1-B371)*(Supuestos!$F$5-Supuestos!$D$5)*(Supuestos!$F$5-Supuestos!$E$5))),IF(Supuestos!$C$5="Uniforme",Supuestos!$D$5+B371*(Supuestos!$E$5-Supuestos!$D$5),IF(Supuestos!$C$5="Lognormal",LOGINV(B371,LN(Supuestos!$D$5)-LN(1+Supuestos!$E$5^2/Supuestos!$D$5^2)/2,SQRT(LN(1+Supuestos!$E$5^2/Supuestos!$D$5^2))),Supuestos!$D$5))))))</f>
        <v/>
      </c>
      <c r="J371" s="31">
        <f>MIN(IF(Supuestos!$H$6="",1E+99,Supuestos!$H$6),MAX(IF(Supuestos!$G$6="",-1E+99,Supuestos!$G$6),IF(Supuestos!$C$6="Normal",NORMINV(C371,Supuestos!$D$6,Supuestos!$E$6),IF(Supuestos!$C$6="Triangular",IF(C371&lt;(Supuestos!$E$6-Supuestos!$D$6)/(Supuestos!$F$6-Supuestos!$D$6),Supuestos!$D$6+SQRT(C371*(Supuestos!$F$6-Supuestos!$D$6)*(Supuestos!$E$6-Supuestos!$D$6)),Supuestos!$F$6-SQRT((1-C371)*(Supuestos!$F$6-Supuestos!$D$6)*(Supuestos!$F$6-Supuestos!$E$6))),IF(Supuestos!$C$6="Uniforme",Supuestos!$D$6+C371*(Supuestos!$E$6-Supuestos!$D$6),IF(Supuestos!$C$6="Lognormal",LOGINV(C371,LN(Supuestos!$D$6)-LN(1+Supuestos!$E$6^2/Supuestos!$D$6^2)/2,SQRT(LN(1+Supuestos!$E$6^2/Supuestos!$D$6^2))),Supuestos!$D$6))))))</f>
        <v/>
      </c>
      <c r="K371" s="32">
        <f>MIN(IF(Supuestos!$H$7="",1E+99,Supuestos!$H$7),MAX(IF(Supuestos!$G$7="",-1E+99,Supuestos!$G$7),IF(Supuestos!$C$7="Normal",NORMINV(D371,Supuestos!$D$7,Supuestos!$E$7),IF(Supuestos!$C$7="Triangular",IF(D371&lt;(Supuestos!$E$7-Supuestos!$D$7)/(Supuestos!$F$7-Supuestos!$D$7),Supuestos!$D$7+SQRT(D371*(Supuestos!$F$7-Supuestos!$D$7)*(Supuestos!$E$7-Supuestos!$D$7)),Supuestos!$F$7-SQRT((1-D371)*(Supuestos!$F$7-Supuestos!$D$7)*(Supuestos!$F$7-Supuestos!$E$7))),IF(Supuestos!$C$7="Uniforme",Supuestos!$D$7+D371*(Supuestos!$E$7-Supuestos!$D$7),IF(Supuestos!$C$7="Lognormal",LOGINV(D371,LN(Supuestos!$D$7)-LN(1+Supuestos!$E$7^2/Supuestos!$D$7^2)/2,SQRT(LN(1+Supuestos!$E$7^2/Supuestos!$D$7^2))),Supuestos!$D$7))))))</f>
        <v/>
      </c>
      <c r="L371" s="32">
        <f>MIN(IF(Supuestos!$H$8="",1E+99,Supuestos!$H$8),MAX(IF(Supuestos!$G$8="",-1E+99,Supuestos!$G$8),IF(Supuestos!$C$8="Normal",NORMINV(E371,Supuestos!$D$8,Supuestos!$E$8),IF(Supuestos!$C$8="Triangular",IF(E371&lt;(Supuestos!$E$8-Supuestos!$D$8)/(Supuestos!$F$8-Supuestos!$D$8),Supuestos!$D$8+SQRT(E371*(Supuestos!$F$8-Supuestos!$D$8)*(Supuestos!$E$8-Supuestos!$D$8)),Supuestos!$F$8-SQRT((1-E371)*(Supuestos!$F$8-Supuestos!$D$8)*(Supuestos!$F$8-Supuestos!$E$8))),IF(Supuestos!$C$8="Uniforme",Supuestos!$D$8+E371*(Supuestos!$E$8-Supuestos!$D$8),IF(Supuestos!$C$8="Lognormal",LOGINV(E371,LN(Supuestos!$D$8)-LN(1+Supuestos!$E$8^2/Supuestos!$D$8^2)/2,SQRT(LN(1+Supuestos!$E$8^2/Supuestos!$D$8^2))),Supuestos!$D$8))))))</f>
        <v/>
      </c>
      <c r="M371" s="32">
        <f>MIN(IF(Supuestos!$H$9="",1E+99,Supuestos!$H$9),MAX(IF(Supuestos!$G$9="",-1E+99,Supuestos!$G$9),IF(Supuestos!$C$9="Normal",NORMINV(F371,Supuestos!$D$9,Supuestos!$E$9),IF(Supuestos!$C$9="Triangular",IF(F371&lt;(Supuestos!$E$9-Supuestos!$D$9)/(Supuestos!$F$9-Supuestos!$D$9),Supuestos!$D$9+SQRT(F371*(Supuestos!$F$9-Supuestos!$D$9)*(Supuestos!$E$9-Supuestos!$D$9)),Supuestos!$F$9-SQRT((1-F371)*(Supuestos!$F$9-Supuestos!$D$9)*(Supuestos!$F$9-Supuestos!$E$9))),IF(Supuestos!$C$9="Uniforme",Supuestos!$D$9+F371*(Supuestos!$E$9-Supuestos!$D$9),IF(Supuestos!$C$9="Lognormal",LOGINV(F371,LN(Supuestos!$D$9)-LN(1+Supuestos!$E$9^2/Supuestos!$D$9^2)/2,SQRT(LN(1+Supuestos!$E$9^2/Supuestos!$D$9^2))),Supuestos!$D$9))))))</f>
        <v/>
      </c>
      <c r="N371" s="32">
        <f>MIN(IF(Supuestos!$H$10="",1E+99,Supuestos!$H$10),MAX(IF(Supuestos!$G$10="",-1E+99,Supuestos!$G$10),IF(Supuestos!$C$10="Normal",NORMINV(G371,Supuestos!$D$10,Supuestos!$E$10),IF(Supuestos!$C$10="Triangular",IF(G371&lt;(Supuestos!$E$10-Supuestos!$D$10)/(Supuestos!$F$10-Supuestos!$D$10),Supuestos!$D$10+SQRT(G371*(Supuestos!$F$10-Supuestos!$D$10)*(Supuestos!$E$10-Supuestos!$D$10)),Supuestos!$F$10-SQRT((1-G371)*(Supuestos!$F$10-Supuestos!$D$10)*(Supuestos!$F$10-Supuestos!$E$10))),IF(Supuestos!$C$10="Uniforme",Supuestos!$D$10+G371*(Supuestos!$E$10-Supuestos!$D$10),IF(Supuestos!$C$10="Lognormal",LOGINV(G371,LN(Supuestos!$D$10)-LN(1+Supuestos!$E$10^2/Supuestos!$D$10^2)/2,SQRT(LN(1+Supuestos!$E$10^2/Supuestos!$D$10^2))),Supuestos!$D$10))))))</f>
        <v/>
      </c>
      <c r="O371" s="31">
        <f>MIN(IF(Supuestos!$H$11="",1E+99,Supuestos!$H$11),MAX(IF(Supuestos!$G$11="",-1E+99,Supuestos!$G$11),IF(Supuestos!$C$11="Normal",NORMINV(H371,Supuestos!$D$11,Supuestos!$E$11),IF(Supuestos!$C$11="Triangular",IF(H371&lt;(Supuestos!$E$11-Supuestos!$D$11)/(Supuestos!$F$11-Supuestos!$D$11),Supuestos!$D$11+SQRT(H371*(Supuestos!$F$11-Supuestos!$D$11)*(Supuestos!$E$11-Supuestos!$D$11)),Supuestos!$F$11-SQRT((1-H371)*(Supuestos!$F$11-Supuestos!$D$11)*(Supuestos!$F$11-Supuestos!$E$11))),IF(Supuestos!$C$11="Uniforme",Supuestos!$D$11+H371*(Supuestos!$E$11-Supuestos!$D$11),IF(Supuestos!$C$11="Lognormal",LOGINV(H371,LN(Supuestos!$D$11)-LN(1+Supuestos!$E$11^2/Supuestos!$D$11^2)/2,SQRT(LN(1+Supuestos!$E$11^2/Supuestos!$D$11^2))),Supuestos!$D$11))))))</f>
        <v/>
      </c>
      <c r="P371" s="33">
        <f>-I371</f>
        <v/>
      </c>
      <c r="Q371" s="33">
        <f>$J371*(1+$K371)^(1-1)*(1-$L371)*(1-$M371)</f>
        <v/>
      </c>
      <c r="R371" s="33">
        <f>$J371*(1+$K371)^(2-1)*(1-$L371)*(1-$M371)</f>
        <v/>
      </c>
      <c r="S371" s="33">
        <f>$J371*(1+$K371)^(3-1)*(1-$L371)*(1-$M371)</f>
        <v/>
      </c>
      <c r="T371" s="33">
        <f>$J371*(1+$K371)^(4-1)*(1-$L371)*(1-$M371)</f>
        <v/>
      </c>
      <c r="U371" s="33">
        <f>$J371*(1+$K371)^(5-1)*(1-$L371)*(1-$M371)+$O371</f>
        <v/>
      </c>
      <c r="V371" s="33">
        <f>P371+NPV($N371,Q371:U371)</f>
        <v/>
      </c>
      <c r="W371" s="32">
        <f>IFERROR(IRR(P371:U371,0.1),"")</f>
        <v/>
      </c>
    </row>
    <row r="372">
      <c r="A372" s="14" t="n">
        <v>368</v>
      </c>
      <c r="B372" s="30">
        <f>RAND()*(1-2E-6)+1E-6</f>
        <v/>
      </c>
      <c r="C372" s="30">
        <f>RAND()*(1-2E-6)+1E-6</f>
        <v/>
      </c>
      <c r="D372" s="30">
        <f>RAND()*(1-2E-6)+1E-6</f>
        <v/>
      </c>
      <c r="E372" s="30">
        <f>RAND()*(1-2E-6)+1E-6</f>
        <v/>
      </c>
      <c r="F372" s="30">
        <f>RAND()*(1-2E-6)+1E-6</f>
        <v/>
      </c>
      <c r="G372" s="30">
        <f>RAND()*(1-2E-6)+1E-6</f>
        <v/>
      </c>
      <c r="H372" s="30">
        <f>RAND()*(1-2E-6)+1E-6</f>
        <v/>
      </c>
      <c r="I372" s="31">
        <f>MIN(IF(Supuestos!$H$5="",1E+99,Supuestos!$H$5),MAX(IF(Supuestos!$G$5="",-1E+99,Supuestos!$G$5),IF(Supuestos!$C$5="Normal",NORMINV(B372,Supuestos!$D$5,Supuestos!$E$5),IF(Supuestos!$C$5="Triangular",IF(B372&lt;(Supuestos!$E$5-Supuestos!$D$5)/(Supuestos!$F$5-Supuestos!$D$5),Supuestos!$D$5+SQRT(B372*(Supuestos!$F$5-Supuestos!$D$5)*(Supuestos!$E$5-Supuestos!$D$5)),Supuestos!$F$5-SQRT((1-B372)*(Supuestos!$F$5-Supuestos!$D$5)*(Supuestos!$F$5-Supuestos!$E$5))),IF(Supuestos!$C$5="Uniforme",Supuestos!$D$5+B372*(Supuestos!$E$5-Supuestos!$D$5),IF(Supuestos!$C$5="Lognormal",LOGINV(B372,LN(Supuestos!$D$5)-LN(1+Supuestos!$E$5^2/Supuestos!$D$5^2)/2,SQRT(LN(1+Supuestos!$E$5^2/Supuestos!$D$5^2))),Supuestos!$D$5))))))</f>
        <v/>
      </c>
      <c r="J372" s="31">
        <f>MIN(IF(Supuestos!$H$6="",1E+99,Supuestos!$H$6),MAX(IF(Supuestos!$G$6="",-1E+99,Supuestos!$G$6),IF(Supuestos!$C$6="Normal",NORMINV(C372,Supuestos!$D$6,Supuestos!$E$6),IF(Supuestos!$C$6="Triangular",IF(C372&lt;(Supuestos!$E$6-Supuestos!$D$6)/(Supuestos!$F$6-Supuestos!$D$6),Supuestos!$D$6+SQRT(C372*(Supuestos!$F$6-Supuestos!$D$6)*(Supuestos!$E$6-Supuestos!$D$6)),Supuestos!$F$6-SQRT((1-C372)*(Supuestos!$F$6-Supuestos!$D$6)*(Supuestos!$F$6-Supuestos!$E$6))),IF(Supuestos!$C$6="Uniforme",Supuestos!$D$6+C372*(Supuestos!$E$6-Supuestos!$D$6),IF(Supuestos!$C$6="Lognormal",LOGINV(C372,LN(Supuestos!$D$6)-LN(1+Supuestos!$E$6^2/Supuestos!$D$6^2)/2,SQRT(LN(1+Supuestos!$E$6^2/Supuestos!$D$6^2))),Supuestos!$D$6))))))</f>
        <v/>
      </c>
      <c r="K372" s="32">
        <f>MIN(IF(Supuestos!$H$7="",1E+99,Supuestos!$H$7),MAX(IF(Supuestos!$G$7="",-1E+99,Supuestos!$G$7),IF(Supuestos!$C$7="Normal",NORMINV(D372,Supuestos!$D$7,Supuestos!$E$7),IF(Supuestos!$C$7="Triangular",IF(D372&lt;(Supuestos!$E$7-Supuestos!$D$7)/(Supuestos!$F$7-Supuestos!$D$7),Supuestos!$D$7+SQRT(D372*(Supuestos!$F$7-Supuestos!$D$7)*(Supuestos!$E$7-Supuestos!$D$7)),Supuestos!$F$7-SQRT((1-D372)*(Supuestos!$F$7-Supuestos!$D$7)*(Supuestos!$F$7-Supuestos!$E$7))),IF(Supuestos!$C$7="Uniforme",Supuestos!$D$7+D372*(Supuestos!$E$7-Supuestos!$D$7),IF(Supuestos!$C$7="Lognormal",LOGINV(D372,LN(Supuestos!$D$7)-LN(1+Supuestos!$E$7^2/Supuestos!$D$7^2)/2,SQRT(LN(1+Supuestos!$E$7^2/Supuestos!$D$7^2))),Supuestos!$D$7))))))</f>
        <v/>
      </c>
      <c r="L372" s="32">
        <f>MIN(IF(Supuestos!$H$8="",1E+99,Supuestos!$H$8),MAX(IF(Supuestos!$G$8="",-1E+99,Supuestos!$G$8),IF(Supuestos!$C$8="Normal",NORMINV(E372,Supuestos!$D$8,Supuestos!$E$8),IF(Supuestos!$C$8="Triangular",IF(E372&lt;(Supuestos!$E$8-Supuestos!$D$8)/(Supuestos!$F$8-Supuestos!$D$8),Supuestos!$D$8+SQRT(E372*(Supuestos!$F$8-Supuestos!$D$8)*(Supuestos!$E$8-Supuestos!$D$8)),Supuestos!$F$8-SQRT((1-E372)*(Supuestos!$F$8-Supuestos!$D$8)*(Supuestos!$F$8-Supuestos!$E$8))),IF(Supuestos!$C$8="Uniforme",Supuestos!$D$8+E372*(Supuestos!$E$8-Supuestos!$D$8),IF(Supuestos!$C$8="Lognormal",LOGINV(E372,LN(Supuestos!$D$8)-LN(1+Supuestos!$E$8^2/Supuestos!$D$8^2)/2,SQRT(LN(1+Supuestos!$E$8^2/Supuestos!$D$8^2))),Supuestos!$D$8))))))</f>
        <v/>
      </c>
      <c r="M372" s="32">
        <f>MIN(IF(Supuestos!$H$9="",1E+99,Supuestos!$H$9),MAX(IF(Supuestos!$G$9="",-1E+99,Supuestos!$G$9),IF(Supuestos!$C$9="Normal",NORMINV(F372,Supuestos!$D$9,Supuestos!$E$9),IF(Supuestos!$C$9="Triangular",IF(F372&lt;(Supuestos!$E$9-Supuestos!$D$9)/(Supuestos!$F$9-Supuestos!$D$9),Supuestos!$D$9+SQRT(F372*(Supuestos!$F$9-Supuestos!$D$9)*(Supuestos!$E$9-Supuestos!$D$9)),Supuestos!$F$9-SQRT((1-F372)*(Supuestos!$F$9-Supuestos!$D$9)*(Supuestos!$F$9-Supuestos!$E$9))),IF(Supuestos!$C$9="Uniforme",Supuestos!$D$9+F372*(Supuestos!$E$9-Supuestos!$D$9),IF(Supuestos!$C$9="Lognormal",LOGINV(F372,LN(Supuestos!$D$9)-LN(1+Supuestos!$E$9^2/Supuestos!$D$9^2)/2,SQRT(LN(1+Supuestos!$E$9^2/Supuestos!$D$9^2))),Supuestos!$D$9))))))</f>
        <v/>
      </c>
      <c r="N372" s="32">
        <f>MIN(IF(Supuestos!$H$10="",1E+99,Supuestos!$H$10),MAX(IF(Supuestos!$G$10="",-1E+99,Supuestos!$G$10),IF(Supuestos!$C$10="Normal",NORMINV(G372,Supuestos!$D$10,Supuestos!$E$10),IF(Supuestos!$C$10="Triangular",IF(G372&lt;(Supuestos!$E$10-Supuestos!$D$10)/(Supuestos!$F$10-Supuestos!$D$10),Supuestos!$D$10+SQRT(G372*(Supuestos!$F$10-Supuestos!$D$10)*(Supuestos!$E$10-Supuestos!$D$10)),Supuestos!$F$10-SQRT((1-G372)*(Supuestos!$F$10-Supuestos!$D$10)*(Supuestos!$F$10-Supuestos!$E$10))),IF(Supuestos!$C$10="Uniforme",Supuestos!$D$10+G372*(Supuestos!$E$10-Supuestos!$D$10),IF(Supuestos!$C$10="Lognormal",LOGINV(G372,LN(Supuestos!$D$10)-LN(1+Supuestos!$E$10^2/Supuestos!$D$10^2)/2,SQRT(LN(1+Supuestos!$E$10^2/Supuestos!$D$10^2))),Supuestos!$D$10))))))</f>
        <v/>
      </c>
      <c r="O372" s="31">
        <f>MIN(IF(Supuestos!$H$11="",1E+99,Supuestos!$H$11),MAX(IF(Supuestos!$G$11="",-1E+99,Supuestos!$G$11),IF(Supuestos!$C$11="Normal",NORMINV(H372,Supuestos!$D$11,Supuestos!$E$11),IF(Supuestos!$C$11="Triangular",IF(H372&lt;(Supuestos!$E$11-Supuestos!$D$11)/(Supuestos!$F$11-Supuestos!$D$11),Supuestos!$D$11+SQRT(H372*(Supuestos!$F$11-Supuestos!$D$11)*(Supuestos!$E$11-Supuestos!$D$11)),Supuestos!$F$11-SQRT((1-H372)*(Supuestos!$F$11-Supuestos!$D$11)*(Supuestos!$F$11-Supuestos!$E$11))),IF(Supuestos!$C$11="Uniforme",Supuestos!$D$11+H372*(Supuestos!$E$11-Supuestos!$D$11),IF(Supuestos!$C$11="Lognormal",LOGINV(H372,LN(Supuestos!$D$11)-LN(1+Supuestos!$E$11^2/Supuestos!$D$11^2)/2,SQRT(LN(1+Supuestos!$E$11^2/Supuestos!$D$11^2))),Supuestos!$D$11))))))</f>
        <v/>
      </c>
      <c r="P372" s="33">
        <f>-I372</f>
        <v/>
      </c>
      <c r="Q372" s="33">
        <f>$J372*(1+$K372)^(1-1)*(1-$L372)*(1-$M372)</f>
        <v/>
      </c>
      <c r="R372" s="33">
        <f>$J372*(1+$K372)^(2-1)*(1-$L372)*(1-$M372)</f>
        <v/>
      </c>
      <c r="S372" s="33">
        <f>$J372*(1+$K372)^(3-1)*(1-$L372)*(1-$M372)</f>
        <v/>
      </c>
      <c r="T372" s="33">
        <f>$J372*(1+$K372)^(4-1)*(1-$L372)*(1-$M372)</f>
        <v/>
      </c>
      <c r="U372" s="33">
        <f>$J372*(1+$K372)^(5-1)*(1-$L372)*(1-$M372)+$O372</f>
        <v/>
      </c>
      <c r="V372" s="33">
        <f>P372+NPV($N372,Q372:U372)</f>
        <v/>
      </c>
      <c r="W372" s="32">
        <f>IFERROR(IRR(P372:U372,0.1),"")</f>
        <v/>
      </c>
    </row>
    <row r="373">
      <c r="A373" s="14" t="n">
        <v>369</v>
      </c>
      <c r="B373" s="30">
        <f>RAND()*(1-2E-6)+1E-6</f>
        <v/>
      </c>
      <c r="C373" s="30">
        <f>RAND()*(1-2E-6)+1E-6</f>
        <v/>
      </c>
      <c r="D373" s="30">
        <f>RAND()*(1-2E-6)+1E-6</f>
        <v/>
      </c>
      <c r="E373" s="30">
        <f>RAND()*(1-2E-6)+1E-6</f>
        <v/>
      </c>
      <c r="F373" s="30">
        <f>RAND()*(1-2E-6)+1E-6</f>
        <v/>
      </c>
      <c r="G373" s="30">
        <f>RAND()*(1-2E-6)+1E-6</f>
        <v/>
      </c>
      <c r="H373" s="30">
        <f>RAND()*(1-2E-6)+1E-6</f>
        <v/>
      </c>
      <c r="I373" s="31">
        <f>MIN(IF(Supuestos!$H$5="",1E+99,Supuestos!$H$5),MAX(IF(Supuestos!$G$5="",-1E+99,Supuestos!$G$5),IF(Supuestos!$C$5="Normal",NORMINV(B373,Supuestos!$D$5,Supuestos!$E$5),IF(Supuestos!$C$5="Triangular",IF(B373&lt;(Supuestos!$E$5-Supuestos!$D$5)/(Supuestos!$F$5-Supuestos!$D$5),Supuestos!$D$5+SQRT(B373*(Supuestos!$F$5-Supuestos!$D$5)*(Supuestos!$E$5-Supuestos!$D$5)),Supuestos!$F$5-SQRT((1-B373)*(Supuestos!$F$5-Supuestos!$D$5)*(Supuestos!$F$5-Supuestos!$E$5))),IF(Supuestos!$C$5="Uniforme",Supuestos!$D$5+B373*(Supuestos!$E$5-Supuestos!$D$5),IF(Supuestos!$C$5="Lognormal",LOGINV(B373,LN(Supuestos!$D$5)-LN(1+Supuestos!$E$5^2/Supuestos!$D$5^2)/2,SQRT(LN(1+Supuestos!$E$5^2/Supuestos!$D$5^2))),Supuestos!$D$5))))))</f>
        <v/>
      </c>
      <c r="J373" s="31">
        <f>MIN(IF(Supuestos!$H$6="",1E+99,Supuestos!$H$6),MAX(IF(Supuestos!$G$6="",-1E+99,Supuestos!$G$6),IF(Supuestos!$C$6="Normal",NORMINV(C373,Supuestos!$D$6,Supuestos!$E$6),IF(Supuestos!$C$6="Triangular",IF(C373&lt;(Supuestos!$E$6-Supuestos!$D$6)/(Supuestos!$F$6-Supuestos!$D$6),Supuestos!$D$6+SQRT(C373*(Supuestos!$F$6-Supuestos!$D$6)*(Supuestos!$E$6-Supuestos!$D$6)),Supuestos!$F$6-SQRT((1-C373)*(Supuestos!$F$6-Supuestos!$D$6)*(Supuestos!$F$6-Supuestos!$E$6))),IF(Supuestos!$C$6="Uniforme",Supuestos!$D$6+C373*(Supuestos!$E$6-Supuestos!$D$6),IF(Supuestos!$C$6="Lognormal",LOGINV(C373,LN(Supuestos!$D$6)-LN(1+Supuestos!$E$6^2/Supuestos!$D$6^2)/2,SQRT(LN(1+Supuestos!$E$6^2/Supuestos!$D$6^2))),Supuestos!$D$6))))))</f>
        <v/>
      </c>
      <c r="K373" s="32">
        <f>MIN(IF(Supuestos!$H$7="",1E+99,Supuestos!$H$7),MAX(IF(Supuestos!$G$7="",-1E+99,Supuestos!$G$7),IF(Supuestos!$C$7="Normal",NORMINV(D373,Supuestos!$D$7,Supuestos!$E$7),IF(Supuestos!$C$7="Triangular",IF(D373&lt;(Supuestos!$E$7-Supuestos!$D$7)/(Supuestos!$F$7-Supuestos!$D$7),Supuestos!$D$7+SQRT(D373*(Supuestos!$F$7-Supuestos!$D$7)*(Supuestos!$E$7-Supuestos!$D$7)),Supuestos!$F$7-SQRT((1-D373)*(Supuestos!$F$7-Supuestos!$D$7)*(Supuestos!$F$7-Supuestos!$E$7))),IF(Supuestos!$C$7="Uniforme",Supuestos!$D$7+D373*(Supuestos!$E$7-Supuestos!$D$7),IF(Supuestos!$C$7="Lognormal",LOGINV(D373,LN(Supuestos!$D$7)-LN(1+Supuestos!$E$7^2/Supuestos!$D$7^2)/2,SQRT(LN(1+Supuestos!$E$7^2/Supuestos!$D$7^2))),Supuestos!$D$7))))))</f>
        <v/>
      </c>
      <c r="L373" s="32">
        <f>MIN(IF(Supuestos!$H$8="",1E+99,Supuestos!$H$8),MAX(IF(Supuestos!$G$8="",-1E+99,Supuestos!$G$8),IF(Supuestos!$C$8="Normal",NORMINV(E373,Supuestos!$D$8,Supuestos!$E$8),IF(Supuestos!$C$8="Triangular",IF(E373&lt;(Supuestos!$E$8-Supuestos!$D$8)/(Supuestos!$F$8-Supuestos!$D$8),Supuestos!$D$8+SQRT(E373*(Supuestos!$F$8-Supuestos!$D$8)*(Supuestos!$E$8-Supuestos!$D$8)),Supuestos!$F$8-SQRT((1-E373)*(Supuestos!$F$8-Supuestos!$D$8)*(Supuestos!$F$8-Supuestos!$E$8))),IF(Supuestos!$C$8="Uniforme",Supuestos!$D$8+E373*(Supuestos!$E$8-Supuestos!$D$8),IF(Supuestos!$C$8="Lognormal",LOGINV(E373,LN(Supuestos!$D$8)-LN(1+Supuestos!$E$8^2/Supuestos!$D$8^2)/2,SQRT(LN(1+Supuestos!$E$8^2/Supuestos!$D$8^2))),Supuestos!$D$8))))))</f>
        <v/>
      </c>
      <c r="M373" s="32">
        <f>MIN(IF(Supuestos!$H$9="",1E+99,Supuestos!$H$9),MAX(IF(Supuestos!$G$9="",-1E+99,Supuestos!$G$9),IF(Supuestos!$C$9="Normal",NORMINV(F373,Supuestos!$D$9,Supuestos!$E$9),IF(Supuestos!$C$9="Triangular",IF(F373&lt;(Supuestos!$E$9-Supuestos!$D$9)/(Supuestos!$F$9-Supuestos!$D$9),Supuestos!$D$9+SQRT(F373*(Supuestos!$F$9-Supuestos!$D$9)*(Supuestos!$E$9-Supuestos!$D$9)),Supuestos!$F$9-SQRT((1-F373)*(Supuestos!$F$9-Supuestos!$D$9)*(Supuestos!$F$9-Supuestos!$E$9))),IF(Supuestos!$C$9="Uniforme",Supuestos!$D$9+F373*(Supuestos!$E$9-Supuestos!$D$9),IF(Supuestos!$C$9="Lognormal",LOGINV(F373,LN(Supuestos!$D$9)-LN(1+Supuestos!$E$9^2/Supuestos!$D$9^2)/2,SQRT(LN(1+Supuestos!$E$9^2/Supuestos!$D$9^2))),Supuestos!$D$9))))))</f>
        <v/>
      </c>
      <c r="N373" s="32">
        <f>MIN(IF(Supuestos!$H$10="",1E+99,Supuestos!$H$10),MAX(IF(Supuestos!$G$10="",-1E+99,Supuestos!$G$10),IF(Supuestos!$C$10="Normal",NORMINV(G373,Supuestos!$D$10,Supuestos!$E$10),IF(Supuestos!$C$10="Triangular",IF(G373&lt;(Supuestos!$E$10-Supuestos!$D$10)/(Supuestos!$F$10-Supuestos!$D$10),Supuestos!$D$10+SQRT(G373*(Supuestos!$F$10-Supuestos!$D$10)*(Supuestos!$E$10-Supuestos!$D$10)),Supuestos!$F$10-SQRT((1-G373)*(Supuestos!$F$10-Supuestos!$D$10)*(Supuestos!$F$10-Supuestos!$E$10))),IF(Supuestos!$C$10="Uniforme",Supuestos!$D$10+G373*(Supuestos!$E$10-Supuestos!$D$10),IF(Supuestos!$C$10="Lognormal",LOGINV(G373,LN(Supuestos!$D$10)-LN(1+Supuestos!$E$10^2/Supuestos!$D$10^2)/2,SQRT(LN(1+Supuestos!$E$10^2/Supuestos!$D$10^2))),Supuestos!$D$10))))))</f>
        <v/>
      </c>
      <c r="O373" s="31">
        <f>MIN(IF(Supuestos!$H$11="",1E+99,Supuestos!$H$11),MAX(IF(Supuestos!$G$11="",-1E+99,Supuestos!$G$11),IF(Supuestos!$C$11="Normal",NORMINV(H373,Supuestos!$D$11,Supuestos!$E$11),IF(Supuestos!$C$11="Triangular",IF(H373&lt;(Supuestos!$E$11-Supuestos!$D$11)/(Supuestos!$F$11-Supuestos!$D$11),Supuestos!$D$11+SQRT(H373*(Supuestos!$F$11-Supuestos!$D$11)*(Supuestos!$E$11-Supuestos!$D$11)),Supuestos!$F$11-SQRT((1-H373)*(Supuestos!$F$11-Supuestos!$D$11)*(Supuestos!$F$11-Supuestos!$E$11))),IF(Supuestos!$C$11="Uniforme",Supuestos!$D$11+H373*(Supuestos!$E$11-Supuestos!$D$11),IF(Supuestos!$C$11="Lognormal",LOGINV(H373,LN(Supuestos!$D$11)-LN(1+Supuestos!$E$11^2/Supuestos!$D$11^2)/2,SQRT(LN(1+Supuestos!$E$11^2/Supuestos!$D$11^2))),Supuestos!$D$11))))))</f>
        <v/>
      </c>
      <c r="P373" s="33">
        <f>-I373</f>
        <v/>
      </c>
      <c r="Q373" s="33">
        <f>$J373*(1+$K373)^(1-1)*(1-$L373)*(1-$M373)</f>
        <v/>
      </c>
      <c r="R373" s="33">
        <f>$J373*(1+$K373)^(2-1)*(1-$L373)*(1-$M373)</f>
        <v/>
      </c>
      <c r="S373" s="33">
        <f>$J373*(1+$K373)^(3-1)*(1-$L373)*(1-$M373)</f>
        <v/>
      </c>
      <c r="T373" s="33">
        <f>$J373*(1+$K373)^(4-1)*(1-$L373)*(1-$M373)</f>
        <v/>
      </c>
      <c r="U373" s="33">
        <f>$J373*(1+$K373)^(5-1)*(1-$L373)*(1-$M373)+$O373</f>
        <v/>
      </c>
      <c r="V373" s="33">
        <f>P373+NPV($N373,Q373:U373)</f>
        <v/>
      </c>
      <c r="W373" s="32">
        <f>IFERROR(IRR(P373:U373,0.1),"")</f>
        <v/>
      </c>
    </row>
    <row r="374">
      <c r="A374" s="14" t="n">
        <v>370</v>
      </c>
      <c r="B374" s="30">
        <f>RAND()*(1-2E-6)+1E-6</f>
        <v/>
      </c>
      <c r="C374" s="30">
        <f>RAND()*(1-2E-6)+1E-6</f>
        <v/>
      </c>
      <c r="D374" s="30">
        <f>RAND()*(1-2E-6)+1E-6</f>
        <v/>
      </c>
      <c r="E374" s="30">
        <f>RAND()*(1-2E-6)+1E-6</f>
        <v/>
      </c>
      <c r="F374" s="30">
        <f>RAND()*(1-2E-6)+1E-6</f>
        <v/>
      </c>
      <c r="G374" s="30">
        <f>RAND()*(1-2E-6)+1E-6</f>
        <v/>
      </c>
      <c r="H374" s="30">
        <f>RAND()*(1-2E-6)+1E-6</f>
        <v/>
      </c>
      <c r="I374" s="31">
        <f>MIN(IF(Supuestos!$H$5="",1E+99,Supuestos!$H$5),MAX(IF(Supuestos!$G$5="",-1E+99,Supuestos!$G$5),IF(Supuestos!$C$5="Normal",NORMINV(B374,Supuestos!$D$5,Supuestos!$E$5),IF(Supuestos!$C$5="Triangular",IF(B374&lt;(Supuestos!$E$5-Supuestos!$D$5)/(Supuestos!$F$5-Supuestos!$D$5),Supuestos!$D$5+SQRT(B374*(Supuestos!$F$5-Supuestos!$D$5)*(Supuestos!$E$5-Supuestos!$D$5)),Supuestos!$F$5-SQRT((1-B374)*(Supuestos!$F$5-Supuestos!$D$5)*(Supuestos!$F$5-Supuestos!$E$5))),IF(Supuestos!$C$5="Uniforme",Supuestos!$D$5+B374*(Supuestos!$E$5-Supuestos!$D$5),IF(Supuestos!$C$5="Lognormal",LOGINV(B374,LN(Supuestos!$D$5)-LN(1+Supuestos!$E$5^2/Supuestos!$D$5^2)/2,SQRT(LN(1+Supuestos!$E$5^2/Supuestos!$D$5^2))),Supuestos!$D$5))))))</f>
        <v/>
      </c>
      <c r="J374" s="31">
        <f>MIN(IF(Supuestos!$H$6="",1E+99,Supuestos!$H$6),MAX(IF(Supuestos!$G$6="",-1E+99,Supuestos!$G$6),IF(Supuestos!$C$6="Normal",NORMINV(C374,Supuestos!$D$6,Supuestos!$E$6),IF(Supuestos!$C$6="Triangular",IF(C374&lt;(Supuestos!$E$6-Supuestos!$D$6)/(Supuestos!$F$6-Supuestos!$D$6),Supuestos!$D$6+SQRT(C374*(Supuestos!$F$6-Supuestos!$D$6)*(Supuestos!$E$6-Supuestos!$D$6)),Supuestos!$F$6-SQRT((1-C374)*(Supuestos!$F$6-Supuestos!$D$6)*(Supuestos!$F$6-Supuestos!$E$6))),IF(Supuestos!$C$6="Uniforme",Supuestos!$D$6+C374*(Supuestos!$E$6-Supuestos!$D$6),IF(Supuestos!$C$6="Lognormal",LOGINV(C374,LN(Supuestos!$D$6)-LN(1+Supuestos!$E$6^2/Supuestos!$D$6^2)/2,SQRT(LN(1+Supuestos!$E$6^2/Supuestos!$D$6^2))),Supuestos!$D$6))))))</f>
        <v/>
      </c>
      <c r="K374" s="32">
        <f>MIN(IF(Supuestos!$H$7="",1E+99,Supuestos!$H$7),MAX(IF(Supuestos!$G$7="",-1E+99,Supuestos!$G$7),IF(Supuestos!$C$7="Normal",NORMINV(D374,Supuestos!$D$7,Supuestos!$E$7),IF(Supuestos!$C$7="Triangular",IF(D374&lt;(Supuestos!$E$7-Supuestos!$D$7)/(Supuestos!$F$7-Supuestos!$D$7),Supuestos!$D$7+SQRT(D374*(Supuestos!$F$7-Supuestos!$D$7)*(Supuestos!$E$7-Supuestos!$D$7)),Supuestos!$F$7-SQRT((1-D374)*(Supuestos!$F$7-Supuestos!$D$7)*(Supuestos!$F$7-Supuestos!$E$7))),IF(Supuestos!$C$7="Uniforme",Supuestos!$D$7+D374*(Supuestos!$E$7-Supuestos!$D$7),IF(Supuestos!$C$7="Lognormal",LOGINV(D374,LN(Supuestos!$D$7)-LN(1+Supuestos!$E$7^2/Supuestos!$D$7^2)/2,SQRT(LN(1+Supuestos!$E$7^2/Supuestos!$D$7^2))),Supuestos!$D$7))))))</f>
        <v/>
      </c>
      <c r="L374" s="32">
        <f>MIN(IF(Supuestos!$H$8="",1E+99,Supuestos!$H$8),MAX(IF(Supuestos!$G$8="",-1E+99,Supuestos!$G$8),IF(Supuestos!$C$8="Normal",NORMINV(E374,Supuestos!$D$8,Supuestos!$E$8),IF(Supuestos!$C$8="Triangular",IF(E374&lt;(Supuestos!$E$8-Supuestos!$D$8)/(Supuestos!$F$8-Supuestos!$D$8),Supuestos!$D$8+SQRT(E374*(Supuestos!$F$8-Supuestos!$D$8)*(Supuestos!$E$8-Supuestos!$D$8)),Supuestos!$F$8-SQRT((1-E374)*(Supuestos!$F$8-Supuestos!$D$8)*(Supuestos!$F$8-Supuestos!$E$8))),IF(Supuestos!$C$8="Uniforme",Supuestos!$D$8+E374*(Supuestos!$E$8-Supuestos!$D$8),IF(Supuestos!$C$8="Lognormal",LOGINV(E374,LN(Supuestos!$D$8)-LN(1+Supuestos!$E$8^2/Supuestos!$D$8^2)/2,SQRT(LN(1+Supuestos!$E$8^2/Supuestos!$D$8^2))),Supuestos!$D$8))))))</f>
        <v/>
      </c>
      <c r="M374" s="32">
        <f>MIN(IF(Supuestos!$H$9="",1E+99,Supuestos!$H$9),MAX(IF(Supuestos!$G$9="",-1E+99,Supuestos!$G$9),IF(Supuestos!$C$9="Normal",NORMINV(F374,Supuestos!$D$9,Supuestos!$E$9),IF(Supuestos!$C$9="Triangular",IF(F374&lt;(Supuestos!$E$9-Supuestos!$D$9)/(Supuestos!$F$9-Supuestos!$D$9),Supuestos!$D$9+SQRT(F374*(Supuestos!$F$9-Supuestos!$D$9)*(Supuestos!$E$9-Supuestos!$D$9)),Supuestos!$F$9-SQRT((1-F374)*(Supuestos!$F$9-Supuestos!$D$9)*(Supuestos!$F$9-Supuestos!$E$9))),IF(Supuestos!$C$9="Uniforme",Supuestos!$D$9+F374*(Supuestos!$E$9-Supuestos!$D$9),IF(Supuestos!$C$9="Lognormal",LOGINV(F374,LN(Supuestos!$D$9)-LN(1+Supuestos!$E$9^2/Supuestos!$D$9^2)/2,SQRT(LN(1+Supuestos!$E$9^2/Supuestos!$D$9^2))),Supuestos!$D$9))))))</f>
        <v/>
      </c>
      <c r="N374" s="32">
        <f>MIN(IF(Supuestos!$H$10="",1E+99,Supuestos!$H$10),MAX(IF(Supuestos!$G$10="",-1E+99,Supuestos!$G$10),IF(Supuestos!$C$10="Normal",NORMINV(G374,Supuestos!$D$10,Supuestos!$E$10),IF(Supuestos!$C$10="Triangular",IF(G374&lt;(Supuestos!$E$10-Supuestos!$D$10)/(Supuestos!$F$10-Supuestos!$D$10),Supuestos!$D$10+SQRT(G374*(Supuestos!$F$10-Supuestos!$D$10)*(Supuestos!$E$10-Supuestos!$D$10)),Supuestos!$F$10-SQRT((1-G374)*(Supuestos!$F$10-Supuestos!$D$10)*(Supuestos!$F$10-Supuestos!$E$10))),IF(Supuestos!$C$10="Uniforme",Supuestos!$D$10+G374*(Supuestos!$E$10-Supuestos!$D$10),IF(Supuestos!$C$10="Lognormal",LOGINV(G374,LN(Supuestos!$D$10)-LN(1+Supuestos!$E$10^2/Supuestos!$D$10^2)/2,SQRT(LN(1+Supuestos!$E$10^2/Supuestos!$D$10^2))),Supuestos!$D$10))))))</f>
        <v/>
      </c>
      <c r="O374" s="31">
        <f>MIN(IF(Supuestos!$H$11="",1E+99,Supuestos!$H$11),MAX(IF(Supuestos!$G$11="",-1E+99,Supuestos!$G$11),IF(Supuestos!$C$11="Normal",NORMINV(H374,Supuestos!$D$11,Supuestos!$E$11),IF(Supuestos!$C$11="Triangular",IF(H374&lt;(Supuestos!$E$11-Supuestos!$D$11)/(Supuestos!$F$11-Supuestos!$D$11),Supuestos!$D$11+SQRT(H374*(Supuestos!$F$11-Supuestos!$D$11)*(Supuestos!$E$11-Supuestos!$D$11)),Supuestos!$F$11-SQRT((1-H374)*(Supuestos!$F$11-Supuestos!$D$11)*(Supuestos!$F$11-Supuestos!$E$11))),IF(Supuestos!$C$11="Uniforme",Supuestos!$D$11+H374*(Supuestos!$E$11-Supuestos!$D$11),IF(Supuestos!$C$11="Lognormal",LOGINV(H374,LN(Supuestos!$D$11)-LN(1+Supuestos!$E$11^2/Supuestos!$D$11^2)/2,SQRT(LN(1+Supuestos!$E$11^2/Supuestos!$D$11^2))),Supuestos!$D$11))))))</f>
        <v/>
      </c>
      <c r="P374" s="33">
        <f>-I374</f>
        <v/>
      </c>
      <c r="Q374" s="33">
        <f>$J374*(1+$K374)^(1-1)*(1-$L374)*(1-$M374)</f>
        <v/>
      </c>
      <c r="R374" s="33">
        <f>$J374*(1+$K374)^(2-1)*(1-$L374)*(1-$M374)</f>
        <v/>
      </c>
      <c r="S374" s="33">
        <f>$J374*(1+$K374)^(3-1)*(1-$L374)*(1-$M374)</f>
        <v/>
      </c>
      <c r="T374" s="33">
        <f>$J374*(1+$K374)^(4-1)*(1-$L374)*(1-$M374)</f>
        <v/>
      </c>
      <c r="U374" s="33">
        <f>$J374*(1+$K374)^(5-1)*(1-$L374)*(1-$M374)+$O374</f>
        <v/>
      </c>
      <c r="V374" s="33">
        <f>P374+NPV($N374,Q374:U374)</f>
        <v/>
      </c>
      <c r="W374" s="32">
        <f>IFERROR(IRR(P374:U374,0.1),"")</f>
        <v/>
      </c>
    </row>
    <row r="375">
      <c r="A375" s="14" t="n">
        <v>371</v>
      </c>
      <c r="B375" s="30">
        <f>RAND()*(1-2E-6)+1E-6</f>
        <v/>
      </c>
      <c r="C375" s="30">
        <f>RAND()*(1-2E-6)+1E-6</f>
        <v/>
      </c>
      <c r="D375" s="30">
        <f>RAND()*(1-2E-6)+1E-6</f>
        <v/>
      </c>
      <c r="E375" s="30">
        <f>RAND()*(1-2E-6)+1E-6</f>
        <v/>
      </c>
      <c r="F375" s="30">
        <f>RAND()*(1-2E-6)+1E-6</f>
        <v/>
      </c>
      <c r="G375" s="30">
        <f>RAND()*(1-2E-6)+1E-6</f>
        <v/>
      </c>
      <c r="H375" s="30">
        <f>RAND()*(1-2E-6)+1E-6</f>
        <v/>
      </c>
      <c r="I375" s="31">
        <f>MIN(IF(Supuestos!$H$5="",1E+99,Supuestos!$H$5),MAX(IF(Supuestos!$G$5="",-1E+99,Supuestos!$G$5),IF(Supuestos!$C$5="Normal",NORMINV(B375,Supuestos!$D$5,Supuestos!$E$5),IF(Supuestos!$C$5="Triangular",IF(B375&lt;(Supuestos!$E$5-Supuestos!$D$5)/(Supuestos!$F$5-Supuestos!$D$5),Supuestos!$D$5+SQRT(B375*(Supuestos!$F$5-Supuestos!$D$5)*(Supuestos!$E$5-Supuestos!$D$5)),Supuestos!$F$5-SQRT((1-B375)*(Supuestos!$F$5-Supuestos!$D$5)*(Supuestos!$F$5-Supuestos!$E$5))),IF(Supuestos!$C$5="Uniforme",Supuestos!$D$5+B375*(Supuestos!$E$5-Supuestos!$D$5),IF(Supuestos!$C$5="Lognormal",LOGINV(B375,LN(Supuestos!$D$5)-LN(1+Supuestos!$E$5^2/Supuestos!$D$5^2)/2,SQRT(LN(1+Supuestos!$E$5^2/Supuestos!$D$5^2))),Supuestos!$D$5))))))</f>
        <v/>
      </c>
      <c r="J375" s="31">
        <f>MIN(IF(Supuestos!$H$6="",1E+99,Supuestos!$H$6),MAX(IF(Supuestos!$G$6="",-1E+99,Supuestos!$G$6),IF(Supuestos!$C$6="Normal",NORMINV(C375,Supuestos!$D$6,Supuestos!$E$6),IF(Supuestos!$C$6="Triangular",IF(C375&lt;(Supuestos!$E$6-Supuestos!$D$6)/(Supuestos!$F$6-Supuestos!$D$6),Supuestos!$D$6+SQRT(C375*(Supuestos!$F$6-Supuestos!$D$6)*(Supuestos!$E$6-Supuestos!$D$6)),Supuestos!$F$6-SQRT((1-C375)*(Supuestos!$F$6-Supuestos!$D$6)*(Supuestos!$F$6-Supuestos!$E$6))),IF(Supuestos!$C$6="Uniforme",Supuestos!$D$6+C375*(Supuestos!$E$6-Supuestos!$D$6),IF(Supuestos!$C$6="Lognormal",LOGINV(C375,LN(Supuestos!$D$6)-LN(1+Supuestos!$E$6^2/Supuestos!$D$6^2)/2,SQRT(LN(1+Supuestos!$E$6^2/Supuestos!$D$6^2))),Supuestos!$D$6))))))</f>
        <v/>
      </c>
      <c r="K375" s="32">
        <f>MIN(IF(Supuestos!$H$7="",1E+99,Supuestos!$H$7),MAX(IF(Supuestos!$G$7="",-1E+99,Supuestos!$G$7),IF(Supuestos!$C$7="Normal",NORMINV(D375,Supuestos!$D$7,Supuestos!$E$7),IF(Supuestos!$C$7="Triangular",IF(D375&lt;(Supuestos!$E$7-Supuestos!$D$7)/(Supuestos!$F$7-Supuestos!$D$7),Supuestos!$D$7+SQRT(D375*(Supuestos!$F$7-Supuestos!$D$7)*(Supuestos!$E$7-Supuestos!$D$7)),Supuestos!$F$7-SQRT((1-D375)*(Supuestos!$F$7-Supuestos!$D$7)*(Supuestos!$F$7-Supuestos!$E$7))),IF(Supuestos!$C$7="Uniforme",Supuestos!$D$7+D375*(Supuestos!$E$7-Supuestos!$D$7),IF(Supuestos!$C$7="Lognormal",LOGINV(D375,LN(Supuestos!$D$7)-LN(1+Supuestos!$E$7^2/Supuestos!$D$7^2)/2,SQRT(LN(1+Supuestos!$E$7^2/Supuestos!$D$7^2))),Supuestos!$D$7))))))</f>
        <v/>
      </c>
      <c r="L375" s="32">
        <f>MIN(IF(Supuestos!$H$8="",1E+99,Supuestos!$H$8),MAX(IF(Supuestos!$G$8="",-1E+99,Supuestos!$G$8),IF(Supuestos!$C$8="Normal",NORMINV(E375,Supuestos!$D$8,Supuestos!$E$8),IF(Supuestos!$C$8="Triangular",IF(E375&lt;(Supuestos!$E$8-Supuestos!$D$8)/(Supuestos!$F$8-Supuestos!$D$8),Supuestos!$D$8+SQRT(E375*(Supuestos!$F$8-Supuestos!$D$8)*(Supuestos!$E$8-Supuestos!$D$8)),Supuestos!$F$8-SQRT((1-E375)*(Supuestos!$F$8-Supuestos!$D$8)*(Supuestos!$F$8-Supuestos!$E$8))),IF(Supuestos!$C$8="Uniforme",Supuestos!$D$8+E375*(Supuestos!$E$8-Supuestos!$D$8),IF(Supuestos!$C$8="Lognormal",LOGINV(E375,LN(Supuestos!$D$8)-LN(1+Supuestos!$E$8^2/Supuestos!$D$8^2)/2,SQRT(LN(1+Supuestos!$E$8^2/Supuestos!$D$8^2))),Supuestos!$D$8))))))</f>
        <v/>
      </c>
      <c r="M375" s="32">
        <f>MIN(IF(Supuestos!$H$9="",1E+99,Supuestos!$H$9),MAX(IF(Supuestos!$G$9="",-1E+99,Supuestos!$G$9),IF(Supuestos!$C$9="Normal",NORMINV(F375,Supuestos!$D$9,Supuestos!$E$9),IF(Supuestos!$C$9="Triangular",IF(F375&lt;(Supuestos!$E$9-Supuestos!$D$9)/(Supuestos!$F$9-Supuestos!$D$9),Supuestos!$D$9+SQRT(F375*(Supuestos!$F$9-Supuestos!$D$9)*(Supuestos!$E$9-Supuestos!$D$9)),Supuestos!$F$9-SQRT((1-F375)*(Supuestos!$F$9-Supuestos!$D$9)*(Supuestos!$F$9-Supuestos!$E$9))),IF(Supuestos!$C$9="Uniforme",Supuestos!$D$9+F375*(Supuestos!$E$9-Supuestos!$D$9),IF(Supuestos!$C$9="Lognormal",LOGINV(F375,LN(Supuestos!$D$9)-LN(1+Supuestos!$E$9^2/Supuestos!$D$9^2)/2,SQRT(LN(1+Supuestos!$E$9^2/Supuestos!$D$9^2))),Supuestos!$D$9))))))</f>
        <v/>
      </c>
      <c r="N375" s="32">
        <f>MIN(IF(Supuestos!$H$10="",1E+99,Supuestos!$H$10),MAX(IF(Supuestos!$G$10="",-1E+99,Supuestos!$G$10),IF(Supuestos!$C$10="Normal",NORMINV(G375,Supuestos!$D$10,Supuestos!$E$10),IF(Supuestos!$C$10="Triangular",IF(G375&lt;(Supuestos!$E$10-Supuestos!$D$10)/(Supuestos!$F$10-Supuestos!$D$10),Supuestos!$D$10+SQRT(G375*(Supuestos!$F$10-Supuestos!$D$10)*(Supuestos!$E$10-Supuestos!$D$10)),Supuestos!$F$10-SQRT((1-G375)*(Supuestos!$F$10-Supuestos!$D$10)*(Supuestos!$F$10-Supuestos!$E$10))),IF(Supuestos!$C$10="Uniforme",Supuestos!$D$10+G375*(Supuestos!$E$10-Supuestos!$D$10),IF(Supuestos!$C$10="Lognormal",LOGINV(G375,LN(Supuestos!$D$10)-LN(1+Supuestos!$E$10^2/Supuestos!$D$10^2)/2,SQRT(LN(1+Supuestos!$E$10^2/Supuestos!$D$10^2))),Supuestos!$D$10))))))</f>
        <v/>
      </c>
      <c r="O375" s="31">
        <f>MIN(IF(Supuestos!$H$11="",1E+99,Supuestos!$H$11),MAX(IF(Supuestos!$G$11="",-1E+99,Supuestos!$G$11),IF(Supuestos!$C$11="Normal",NORMINV(H375,Supuestos!$D$11,Supuestos!$E$11),IF(Supuestos!$C$11="Triangular",IF(H375&lt;(Supuestos!$E$11-Supuestos!$D$11)/(Supuestos!$F$11-Supuestos!$D$11),Supuestos!$D$11+SQRT(H375*(Supuestos!$F$11-Supuestos!$D$11)*(Supuestos!$E$11-Supuestos!$D$11)),Supuestos!$F$11-SQRT((1-H375)*(Supuestos!$F$11-Supuestos!$D$11)*(Supuestos!$F$11-Supuestos!$E$11))),IF(Supuestos!$C$11="Uniforme",Supuestos!$D$11+H375*(Supuestos!$E$11-Supuestos!$D$11),IF(Supuestos!$C$11="Lognormal",LOGINV(H375,LN(Supuestos!$D$11)-LN(1+Supuestos!$E$11^2/Supuestos!$D$11^2)/2,SQRT(LN(1+Supuestos!$E$11^2/Supuestos!$D$11^2))),Supuestos!$D$11))))))</f>
        <v/>
      </c>
      <c r="P375" s="33">
        <f>-I375</f>
        <v/>
      </c>
      <c r="Q375" s="33">
        <f>$J375*(1+$K375)^(1-1)*(1-$L375)*(1-$M375)</f>
        <v/>
      </c>
      <c r="R375" s="33">
        <f>$J375*(1+$K375)^(2-1)*(1-$L375)*(1-$M375)</f>
        <v/>
      </c>
      <c r="S375" s="33">
        <f>$J375*(1+$K375)^(3-1)*(1-$L375)*(1-$M375)</f>
        <v/>
      </c>
      <c r="T375" s="33">
        <f>$J375*(1+$K375)^(4-1)*(1-$L375)*(1-$M375)</f>
        <v/>
      </c>
      <c r="U375" s="33">
        <f>$J375*(1+$K375)^(5-1)*(1-$L375)*(1-$M375)+$O375</f>
        <v/>
      </c>
      <c r="V375" s="33">
        <f>P375+NPV($N375,Q375:U375)</f>
        <v/>
      </c>
      <c r="W375" s="32">
        <f>IFERROR(IRR(P375:U375,0.1),"")</f>
        <v/>
      </c>
    </row>
    <row r="376">
      <c r="A376" s="14" t="n">
        <v>372</v>
      </c>
      <c r="B376" s="30">
        <f>RAND()*(1-2E-6)+1E-6</f>
        <v/>
      </c>
      <c r="C376" s="30">
        <f>RAND()*(1-2E-6)+1E-6</f>
        <v/>
      </c>
      <c r="D376" s="30">
        <f>RAND()*(1-2E-6)+1E-6</f>
        <v/>
      </c>
      <c r="E376" s="30">
        <f>RAND()*(1-2E-6)+1E-6</f>
        <v/>
      </c>
      <c r="F376" s="30">
        <f>RAND()*(1-2E-6)+1E-6</f>
        <v/>
      </c>
      <c r="G376" s="30">
        <f>RAND()*(1-2E-6)+1E-6</f>
        <v/>
      </c>
      <c r="H376" s="30">
        <f>RAND()*(1-2E-6)+1E-6</f>
        <v/>
      </c>
      <c r="I376" s="31">
        <f>MIN(IF(Supuestos!$H$5="",1E+99,Supuestos!$H$5),MAX(IF(Supuestos!$G$5="",-1E+99,Supuestos!$G$5),IF(Supuestos!$C$5="Normal",NORMINV(B376,Supuestos!$D$5,Supuestos!$E$5),IF(Supuestos!$C$5="Triangular",IF(B376&lt;(Supuestos!$E$5-Supuestos!$D$5)/(Supuestos!$F$5-Supuestos!$D$5),Supuestos!$D$5+SQRT(B376*(Supuestos!$F$5-Supuestos!$D$5)*(Supuestos!$E$5-Supuestos!$D$5)),Supuestos!$F$5-SQRT((1-B376)*(Supuestos!$F$5-Supuestos!$D$5)*(Supuestos!$F$5-Supuestos!$E$5))),IF(Supuestos!$C$5="Uniforme",Supuestos!$D$5+B376*(Supuestos!$E$5-Supuestos!$D$5),IF(Supuestos!$C$5="Lognormal",LOGINV(B376,LN(Supuestos!$D$5)-LN(1+Supuestos!$E$5^2/Supuestos!$D$5^2)/2,SQRT(LN(1+Supuestos!$E$5^2/Supuestos!$D$5^2))),Supuestos!$D$5))))))</f>
        <v/>
      </c>
      <c r="J376" s="31">
        <f>MIN(IF(Supuestos!$H$6="",1E+99,Supuestos!$H$6),MAX(IF(Supuestos!$G$6="",-1E+99,Supuestos!$G$6),IF(Supuestos!$C$6="Normal",NORMINV(C376,Supuestos!$D$6,Supuestos!$E$6),IF(Supuestos!$C$6="Triangular",IF(C376&lt;(Supuestos!$E$6-Supuestos!$D$6)/(Supuestos!$F$6-Supuestos!$D$6),Supuestos!$D$6+SQRT(C376*(Supuestos!$F$6-Supuestos!$D$6)*(Supuestos!$E$6-Supuestos!$D$6)),Supuestos!$F$6-SQRT((1-C376)*(Supuestos!$F$6-Supuestos!$D$6)*(Supuestos!$F$6-Supuestos!$E$6))),IF(Supuestos!$C$6="Uniforme",Supuestos!$D$6+C376*(Supuestos!$E$6-Supuestos!$D$6),IF(Supuestos!$C$6="Lognormal",LOGINV(C376,LN(Supuestos!$D$6)-LN(1+Supuestos!$E$6^2/Supuestos!$D$6^2)/2,SQRT(LN(1+Supuestos!$E$6^2/Supuestos!$D$6^2))),Supuestos!$D$6))))))</f>
        <v/>
      </c>
      <c r="K376" s="32">
        <f>MIN(IF(Supuestos!$H$7="",1E+99,Supuestos!$H$7),MAX(IF(Supuestos!$G$7="",-1E+99,Supuestos!$G$7),IF(Supuestos!$C$7="Normal",NORMINV(D376,Supuestos!$D$7,Supuestos!$E$7),IF(Supuestos!$C$7="Triangular",IF(D376&lt;(Supuestos!$E$7-Supuestos!$D$7)/(Supuestos!$F$7-Supuestos!$D$7),Supuestos!$D$7+SQRT(D376*(Supuestos!$F$7-Supuestos!$D$7)*(Supuestos!$E$7-Supuestos!$D$7)),Supuestos!$F$7-SQRT((1-D376)*(Supuestos!$F$7-Supuestos!$D$7)*(Supuestos!$F$7-Supuestos!$E$7))),IF(Supuestos!$C$7="Uniforme",Supuestos!$D$7+D376*(Supuestos!$E$7-Supuestos!$D$7),IF(Supuestos!$C$7="Lognormal",LOGINV(D376,LN(Supuestos!$D$7)-LN(1+Supuestos!$E$7^2/Supuestos!$D$7^2)/2,SQRT(LN(1+Supuestos!$E$7^2/Supuestos!$D$7^2))),Supuestos!$D$7))))))</f>
        <v/>
      </c>
      <c r="L376" s="32">
        <f>MIN(IF(Supuestos!$H$8="",1E+99,Supuestos!$H$8),MAX(IF(Supuestos!$G$8="",-1E+99,Supuestos!$G$8),IF(Supuestos!$C$8="Normal",NORMINV(E376,Supuestos!$D$8,Supuestos!$E$8),IF(Supuestos!$C$8="Triangular",IF(E376&lt;(Supuestos!$E$8-Supuestos!$D$8)/(Supuestos!$F$8-Supuestos!$D$8),Supuestos!$D$8+SQRT(E376*(Supuestos!$F$8-Supuestos!$D$8)*(Supuestos!$E$8-Supuestos!$D$8)),Supuestos!$F$8-SQRT((1-E376)*(Supuestos!$F$8-Supuestos!$D$8)*(Supuestos!$F$8-Supuestos!$E$8))),IF(Supuestos!$C$8="Uniforme",Supuestos!$D$8+E376*(Supuestos!$E$8-Supuestos!$D$8),IF(Supuestos!$C$8="Lognormal",LOGINV(E376,LN(Supuestos!$D$8)-LN(1+Supuestos!$E$8^2/Supuestos!$D$8^2)/2,SQRT(LN(1+Supuestos!$E$8^2/Supuestos!$D$8^2))),Supuestos!$D$8))))))</f>
        <v/>
      </c>
      <c r="M376" s="32">
        <f>MIN(IF(Supuestos!$H$9="",1E+99,Supuestos!$H$9),MAX(IF(Supuestos!$G$9="",-1E+99,Supuestos!$G$9),IF(Supuestos!$C$9="Normal",NORMINV(F376,Supuestos!$D$9,Supuestos!$E$9),IF(Supuestos!$C$9="Triangular",IF(F376&lt;(Supuestos!$E$9-Supuestos!$D$9)/(Supuestos!$F$9-Supuestos!$D$9),Supuestos!$D$9+SQRT(F376*(Supuestos!$F$9-Supuestos!$D$9)*(Supuestos!$E$9-Supuestos!$D$9)),Supuestos!$F$9-SQRT((1-F376)*(Supuestos!$F$9-Supuestos!$D$9)*(Supuestos!$F$9-Supuestos!$E$9))),IF(Supuestos!$C$9="Uniforme",Supuestos!$D$9+F376*(Supuestos!$E$9-Supuestos!$D$9),IF(Supuestos!$C$9="Lognormal",LOGINV(F376,LN(Supuestos!$D$9)-LN(1+Supuestos!$E$9^2/Supuestos!$D$9^2)/2,SQRT(LN(1+Supuestos!$E$9^2/Supuestos!$D$9^2))),Supuestos!$D$9))))))</f>
        <v/>
      </c>
      <c r="N376" s="32">
        <f>MIN(IF(Supuestos!$H$10="",1E+99,Supuestos!$H$10),MAX(IF(Supuestos!$G$10="",-1E+99,Supuestos!$G$10),IF(Supuestos!$C$10="Normal",NORMINV(G376,Supuestos!$D$10,Supuestos!$E$10),IF(Supuestos!$C$10="Triangular",IF(G376&lt;(Supuestos!$E$10-Supuestos!$D$10)/(Supuestos!$F$10-Supuestos!$D$10),Supuestos!$D$10+SQRT(G376*(Supuestos!$F$10-Supuestos!$D$10)*(Supuestos!$E$10-Supuestos!$D$10)),Supuestos!$F$10-SQRT((1-G376)*(Supuestos!$F$10-Supuestos!$D$10)*(Supuestos!$F$10-Supuestos!$E$10))),IF(Supuestos!$C$10="Uniforme",Supuestos!$D$10+G376*(Supuestos!$E$10-Supuestos!$D$10),IF(Supuestos!$C$10="Lognormal",LOGINV(G376,LN(Supuestos!$D$10)-LN(1+Supuestos!$E$10^2/Supuestos!$D$10^2)/2,SQRT(LN(1+Supuestos!$E$10^2/Supuestos!$D$10^2))),Supuestos!$D$10))))))</f>
        <v/>
      </c>
      <c r="O376" s="31">
        <f>MIN(IF(Supuestos!$H$11="",1E+99,Supuestos!$H$11),MAX(IF(Supuestos!$G$11="",-1E+99,Supuestos!$G$11),IF(Supuestos!$C$11="Normal",NORMINV(H376,Supuestos!$D$11,Supuestos!$E$11),IF(Supuestos!$C$11="Triangular",IF(H376&lt;(Supuestos!$E$11-Supuestos!$D$11)/(Supuestos!$F$11-Supuestos!$D$11),Supuestos!$D$11+SQRT(H376*(Supuestos!$F$11-Supuestos!$D$11)*(Supuestos!$E$11-Supuestos!$D$11)),Supuestos!$F$11-SQRT((1-H376)*(Supuestos!$F$11-Supuestos!$D$11)*(Supuestos!$F$11-Supuestos!$E$11))),IF(Supuestos!$C$11="Uniforme",Supuestos!$D$11+H376*(Supuestos!$E$11-Supuestos!$D$11),IF(Supuestos!$C$11="Lognormal",LOGINV(H376,LN(Supuestos!$D$11)-LN(1+Supuestos!$E$11^2/Supuestos!$D$11^2)/2,SQRT(LN(1+Supuestos!$E$11^2/Supuestos!$D$11^2))),Supuestos!$D$11))))))</f>
        <v/>
      </c>
      <c r="P376" s="33">
        <f>-I376</f>
        <v/>
      </c>
      <c r="Q376" s="33">
        <f>$J376*(1+$K376)^(1-1)*(1-$L376)*(1-$M376)</f>
        <v/>
      </c>
      <c r="R376" s="33">
        <f>$J376*(1+$K376)^(2-1)*(1-$L376)*(1-$M376)</f>
        <v/>
      </c>
      <c r="S376" s="33">
        <f>$J376*(1+$K376)^(3-1)*(1-$L376)*(1-$M376)</f>
        <v/>
      </c>
      <c r="T376" s="33">
        <f>$J376*(1+$K376)^(4-1)*(1-$L376)*(1-$M376)</f>
        <v/>
      </c>
      <c r="U376" s="33">
        <f>$J376*(1+$K376)^(5-1)*(1-$L376)*(1-$M376)+$O376</f>
        <v/>
      </c>
      <c r="V376" s="33">
        <f>P376+NPV($N376,Q376:U376)</f>
        <v/>
      </c>
      <c r="W376" s="32">
        <f>IFERROR(IRR(P376:U376,0.1),"")</f>
        <v/>
      </c>
    </row>
    <row r="377">
      <c r="A377" s="14" t="n">
        <v>373</v>
      </c>
      <c r="B377" s="30">
        <f>RAND()*(1-2E-6)+1E-6</f>
        <v/>
      </c>
      <c r="C377" s="30">
        <f>RAND()*(1-2E-6)+1E-6</f>
        <v/>
      </c>
      <c r="D377" s="30">
        <f>RAND()*(1-2E-6)+1E-6</f>
        <v/>
      </c>
      <c r="E377" s="30">
        <f>RAND()*(1-2E-6)+1E-6</f>
        <v/>
      </c>
      <c r="F377" s="30">
        <f>RAND()*(1-2E-6)+1E-6</f>
        <v/>
      </c>
      <c r="G377" s="30">
        <f>RAND()*(1-2E-6)+1E-6</f>
        <v/>
      </c>
      <c r="H377" s="30">
        <f>RAND()*(1-2E-6)+1E-6</f>
        <v/>
      </c>
      <c r="I377" s="31">
        <f>MIN(IF(Supuestos!$H$5="",1E+99,Supuestos!$H$5),MAX(IF(Supuestos!$G$5="",-1E+99,Supuestos!$G$5),IF(Supuestos!$C$5="Normal",NORMINV(B377,Supuestos!$D$5,Supuestos!$E$5),IF(Supuestos!$C$5="Triangular",IF(B377&lt;(Supuestos!$E$5-Supuestos!$D$5)/(Supuestos!$F$5-Supuestos!$D$5),Supuestos!$D$5+SQRT(B377*(Supuestos!$F$5-Supuestos!$D$5)*(Supuestos!$E$5-Supuestos!$D$5)),Supuestos!$F$5-SQRT((1-B377)*(Supuestos!$F$5-Supuestos!$D$5)*(Supuestos!$F$5-Supuestos!$E$5))),IF(Supuestos!$C$5="Uniforme",Supuestos!$D$5+B377*(Supuestos!$E$5-Supuestos!$D$5),IF(Supuestos!$C$5="Lognormal",LOGINV(B377,LN(Supuestos!$D$5)-LN(1+Supuestos!$E$5^2/Supuestos!$D$5^2)/2,SQRT(LN(1+Supuestos!$E$5^2/Supuestos!$D$5^2))),Supuestos!$D$5))))))</f>
        <v/>
      </c>
      <c r="J377" s="31">
        <f>MIN(IF(Supuestos!$H$6="",1E+99,Supuestos!$H$6),MAX(IF(Supuestos!$G$6="",-1E+99,Supuestos!$G$6),IF(Supuestos!$C$6="Normal",NORMINV(C377,Supuestos!$D$6,Supuestos!$E$6),IF(Supuestos!$C$6="Triangular",IF(C377&lt;(Supuestos!$E$6-Supuestos!$D$6)/(Supuestos!$F$6-Supuestos!$D$6),Supuestos!$D$6+SQRT(C377*(Supuestos!$F$6-Supuestos!$D$6)*(Supuestos!$E$6-Supuestos!$D$6)),Supuestos!$F$6-SQRT((1-C377)*(Supuestos!$F$6-Supuestos!$D$6)*(Supuestos!$F$6-Supuestos!$E$6))),IF(Supuestos!$C$6="Uniforme",Supuestos!$D$6+C377*(Supuestos!$E$6-Supuestos!$D$6),IF(Supuestos!$C$6="Lognormal",LOGINV(C377,LN(Supuestos!$D$6)-LN(1+Supuestos!$E$6^2/Supuestos!$D$6^2)/2,SQRT(LN(1+Supuestos!$E$6^2/Supuestos!$D$6^2))),Supuestos!$D$6))))))</f>
        <v/>
      </c>
      <c r="K377" s="32">
        <f>MIN(IF(Supuestos!$H$7="",1E+99,Supuestos!$H$7),MAX(IF(Supuestos!$G$7="",-1E+99,Supuestos!$G$7),IF(Supuestos!$C$7="Normal",NORMINV(D377,Supuestos!$D$7,Supuestos!$E$7),IF(Supuestos!$C$7="Triangular",IF(D377&lt;(Supuestos!$E$7-Supuestos!$D$7)/(Supuestos!$F$7-Supuestos!$D$7),Supuestos!$D$7+SQRT(D377*(Supuestos!$F$7-Supuestos!$D$7)*(Supuestos!$E$7-Supuestos!$D$7)),Supuestos!$F$7-SQRT((1-D377)*(Supuestos!$F$7-Supuestos!$D$7)*(Supuestos!$F$7-Supuestos!$E$7))),IF(Supuestos!$C$7="Uniforme",Supuestos!$D$7+D377*(Supuestos!$E$7-Supuestos!$D$7),IF(Supuestos!$C$7="Lognormal",LOGINV(D377,LN(Supuestos!$D$7)-LN(1+Supuestos!$E$7^2/Supuestos!$D$7^2)/2,SQRT(LN(1+Supuestos!$E$7^2/Supuestos!$D$7^2))),Supuestos!$D$7))))))</f>
        <v/>
      </c>
      <c r="L377" s="32">
        <f>MIN(IF(Supuestos!$H$8="",1E+99,Supuestos!$H$8),MAX(IF(Supuestos!$G$8="",-1E+99,Supuestos!$G$8),IF(Supuestos!$C$8="Normal",NORMINV(E377,Supuestos!$D$8,Supuestos!$E$8),IF(Supuestos!$C$8="Triangular",IF(E377&lt;(Supuestos!$E$8-Supuestos!$D$8)/(Supuestos!$F$8-Supuestos!$D$8),Supuestos!$D$8+SQRT(E377*(Supuestos!$F$8-Supuestos!$D$8)*(Supuestos!$E$8-Supuestos!$D$8)),Supuestos!$F$8-SQRT((1-E377)*(Supuestos!$F$8-Supuestos!$D$8)*(Supuestos!$F$8-Supuestos!$E$8))),IF(Supuestos!$C$8="Uniforme",Supuestos!$D$8+E377*(Supuestos!$E$8-Supuestos!$D$8),IF(Supuestos!$C$8="Lognormal",LOGINV(E377,LN(Supuestos!$D$8)-LN(1+Supuestos!$E$8^2/Supuestos!$D$8^2)/2,SQRT(LN(1+Supuestos!$E$8^2/Supuestos!$D$8^2))),Supuestos!$D$8))))))</f>
        <v/>
      </c>
      <c r="M377" s="32">
        <f>MIN(IF(Supuestos!$H$9="",1E+99,Supuestos!$H$9),MAX(IF(Supuestos!$G$9="",-1E+99,Supuestos!$G$9),IF(Supuestos!$C$9="Normal",NORMINV(F377,Supuestos!$D$9,Supuestos!$E$9),IF(Supuestos!$C$9="Triangular",IF(F377&lt;(Supuestos!$E$9-Supuestos!$D$9)/(Supuestos!$F$9-Supuestos!$D$9),Supuestos!$D$9+SQRT(F377*(Supuestos!$F$9-Supuestos!$D$9)*(Supuestos!$E$9-Supuestos!$D$9)),Supuestos!$F$9-SQRT((1-F377)*(Supuestos!$F$9-Supuestos!$D$9)*(Supuestos!$F$9-Supuestos!$E$9))),IF(Supuestos!$C$9="Uniforme",Supuestos!$D$9+F377*(Supuestos!$E$9-Supuestos!$D$9),IF(Supuestos!$C$9="Lognormal",LOGINV(F377,LN(Supuestos!$D$9)-LN(1+Supuestos!$E$9^2/Supuestos!$D$9^2)/2,SQRT(LN(1+Supuestos!$E$9^2/Supuestos!$D$9^2))),Supuestos!$D$9))))))</f>
        <v/>
      </c>
      <c r="N377" s="32">
        <f>MIN(IF(Supuestos!$H$10="",1E+99,Supuestos!$H$10),MAX(IF(Supuestos!$G$10="",-1E+99,Supuestos!$G$10),IF(Supuestos!$C$10="Normal",NORMINV(G377,Supuestos!$D$10,Supuestos!$E$10),IF(Supuestos!$C$10="Triangular",IF(G377&lt;(Supuestos!$E$10-Supuestos!$D$10)/(Supuestos!$F$10-Supuestos!$D$10),Supuestos!$D$10+SQRT(G377*(Supuestos!$F$10-Supuestos!$D$10)*(Supuestos!$E$10-Supuestos!$D$10)),Supuestos!$F$10-SQRT((1-G377)*(Supuestos!$F$10-Supuestos!$D$10)*(Supuestos!$F$10-Supuestos!$E$10))),IF(Supuestos!$C$10="Uniforme",Supuestos!$D$10+G377*(Supuestos!$E$10-Supuestos!$D$10),IF(Supuestos!$C$10="Lognormal",LOGINV(G377,LN(Supuestos!$D$10)-LN(1+Supuestos!$E$10^2/Supuestos!$D$10^2)/2,SQRT(LN(1+Supuestos!$E$10^2/Supuestos!$D$10^2))),Supuestos!$D$10))))))</f>
        <v/>
      </c>
      <c r="O377" s="31">
        <f>MIN(IF(Supuestos!$H$11="",1E+99,Supuestos!$H$11),MAX(IF(Supuestos!$G$11="",-1E+99,Supuestos!$G$11),IF(Supuestos!$C$11="Normal",NORMINV(H377,Supuestos!$D$11,Supuestos!$E$11),IF(Supuestos!$C$11="Triangular",IF(H377&lt;(Supuestos!$E$11-Supuestos!$D$11)/(Supuestos!$F$11-Supuestos!$D$11),Supuestos!$D$11+SQRT(H377*(Supuestos!$F$11-Supuestos!$D$11)*(Supuestos!$E$11-Supuestos!$D$11)),Supuestos!$F$11-SQRT((1-H377)*(Supuestos!$F$11-Supuestos!$D$11)*(Supuestos!$F$11-Supuestos!$E$11))),IF(Supuestos!$C$11="Uniforme",Supuestos!$D$11+H377*(Supuestos!$E$11-Supuestos!$D$11),IF(Supuestos!$C$11="Lognormal",LOGINV(H377,LN(Supuestos!$D$11)-LN(1+Supuestos!$E$11^2/Supuestos!$D$11^2)/2,SQRT(LN(1+Supuestos!$E$11^2/Supuestos!$D$11^2))),Supuestos!$D$11))))))</f>
        <v/>
      </c>
      <c r="P377" s="33">
        <f>-I377</f>
        <v/>
      </c>
      <c r="Q377" s="33">
        <f>$J377*(1+$K377)^(1-1)*(1-$L377)*(1-$M377)</f>
        <v/>
      </c>
      <c r="R377" s="33">
        <f>$J377*(1+$K377)^(2-1)*(1-$L377)*(1-$M377)</f>
        <v/>
      </c>
      <c r="S377" s="33">
        <f>$J377*(1+$K377)^(3-1)*(1-$L377)*(1-$M377)</f>
        <v/>
      </c>
      <c r="T377" s="33">
        <f>$J377*(1+$K377)^(4-1)*(1-$L377)*(1-$M377)</f>
        <v/>
      </c>
      <c r="U377" s="33">
        <f>$J377*(1+$K377)^(5-1)*(1-$L377)*(1-$M377)+$O377</f>
        <v/>
      </c>
      <c r="V377" s="33">
        <f>P377+NPV($N377,Q377:U377)</f>
        <v/>
      </c>
      <c r="W377" s="32">
        <f>IFERROR(IRR(P377:U377,0.1),"")</f>
        <v/>
      </c>
    </row>
    <row r="378">
      <c r="A378" s="14" t="n">
        <v>374</v>
      </c>
      <c r="B378" s="30">
        <f>RAND()*(1-2E-6)+1E-6</f>
        <v/>
      </c>
      <c r="C378" s="30">
        <f>RAND()*(1-2E-6)+1E-6</f>
        <v/>
      </c>
      <c r="D378" s="30">
        <f>RAND()*(1-2E-6)+1E-6</f>
        <v/>
      </c>
      <c r="E378" s="30">
        <f>RAND()*(1-2E-6)+1E-6</f>
        <v/>
      </c>
      <c r="F378" s="30">
        <f>RAND()*(1-2E-6)+1E-6</f>
        <v/>
      </c>
      <c r="G378" s="30">
        <f>RAND()*(1-2E-6)+1E-6</f>
        <v/>
      </c>
      <c r="H378" s="30">
        <f>RAND()*(1-2E-6)+1E-6</f>
        <v/>
      </c>
      <c r="I378" s="31">
        <f>MIN(IF(Supuestos!$H$5="",1E+99,Supuestos!$H$5),MAX(IF(Supuestos!$G$5="",-1E+99,Supuestos!$G$5),IF(Supuestos!$C$5="Normal",NORMINV(B378,Supuestos!$D$5,Supuestos!$E$5),IF(Supuestos!$C$5="Triangular",IF(B378&lt;(Supuestos!$E$5-Supuestos!$D$5)/(Supuestos!$F$5-Supuestos!$D$5),Supuestos!$D$5+SQRT(B378*(Supuestos!$F$5-Supuestos!$D$5)*(Supuestos!$E$5-Supuestos!$D$5)),Supuestos!$F$5-SQRT((1-B378)*(Supuestos!$F$5-Supuestos!$D$5)*(Supuestos!$F$5-Supuestos!$E$5))),IF(Supuestos!$C$5="Uniforme",Supuestos!$D$5+B378*(Supuestos!$E$5-Supuestos!$D$5),IF(Supuestos!$C$5="Lognormal",LOGINV(B378,LN(Supuestos!$D$5)-LN(1+Supuestos!$E$5^2/Supuestos!$D$5^2)/2,SQRT(LN(1+Supuestos!$E$5^2/Supuestos!$D$5^2))),Supuestos!$D$5))))))</f>
        <v/>
      </c>
      <c r="J378" s="31">
        <f>MIN(IF(Supuestos!$H$6="",1E+99,Supuestos!$H$6),MAX(IF(Supuestos!$G$6="",-1E+99,Supuestos!$G$6),IF(Supuestos!$C$6="Normal",NORMINV(C378,Supuestos!$D$6,Supuestos!$E$6),IF(Supuestos!$C$6="Triangular",IF(C378&lt;(Supuestos!$E$6-Supuestos!$D$6)/(Supuestos!$F$6-Supuestos!$D$6),Supuestos!$D$6+SQRT(C378*(Supuestos!$F$6-Supuestos!$D$6)*(Supuestos!$E$6-Supuestos!$D$6)),Supuestos!$F$6-SQRT((1-C378)*(Supuestos!$F$6-Supuestos!$D$6)*(Supuestos!$F$6-Supuestos!$E$6))),IF(Supuestos!$C$6="Uniforme",Supuestos!$D$6+C378*(Supuestos!$E$6-Supuestos!$D$6),IF(Supuestos!$C$6="Lognormal",LOGINV(C378,LN(Supuestos!$D$6)-LN(1+Supuestos!$E$6^2/Supuestos!$D$6^2)/2,SQRT(LN(1+Supuestos!$E$6^2/Supuestos!$D$6^2))),Supuestos!$D$6))))))</f>
        <v/>
      </c>
      <c r="K378" s="32">
        <f>MIN(IF(Supuestos!$H$7="",1E+99,Supuestos!$H$7),MAX(IF(Supuestos!$G$7="",-1E+99,Supuestos!$G$7),IF(Supuestos!$C$7="Normal",NORMINV(D378,Supuestos!$D$7,Supuestos!$E$7),IF(Supuestos!$C$7="Triangular",IF(D378&lt;(Supuestos!$E$7-Supuestos!$D$7)/(Supuestos!$F$7-Supuestos!$D$7),Supuestos!$D$7+SQRT(D378*(Supuestos!$F$7-Supuestos!$D$7)*(Supuestos!$E$7-Supuestos!$D$7)),Supuestos!$F$7-SQRT((1-D378)*(Supuestos!$F$7-Supuestos!$D$7)*(Supuestos!$F$7-Supuestos!$E$7))),IF(Supuestos!$C$7="Uniforme",Supuestos!$D$7+D378*(Supuestos!$E$7-Supuestos!$D$7),IF(Supuestos!$C$7="Lognormal",LOGINV(D378,LN(Supuestos!$D$7)-LN(1+Supuestos!$E$7^2/Supuestos!$D$7^2)/2,SQRT(LN(1+Supuestos!$E$7^2/Supuestos!$D$7^2))),Supuestos!$D$7))))))</f>
        <v/>
      </c>
      <c r="L378" s="32">
        <f>MIN(IF(Supuestos!$H$8="",1E+99,Supuestos!$H$8),MAX(IF(Supuestos!$G$8="",-1E+99,Supuestos!$G$8),IF(Supuestos!$C$8="Normal",NORMINV(E378,Supuestos!$D$8,Supuestos!$E$8),IF(Supuestos!$C$8="Triangular",IF(E378&lt;(Supuestos!$E$8-Supuestos!$D$8)/(Supuestos!$F$8-Supuestos!$D$8),Supuestos!$D$8+SQRT(E378*(Supuestos!$F$8-Supuestos!$D$8)*(Supuestos!$E$8-Supuestos!$D$8)),Supuestos!$F$8-SQRT((1-E378)*(Supuestos!$F$8-Supuestos!$D$8)*(Supuestos!$F$8-Supuestos!$E$8))),IF(Supuestos!$C$8="Uniforme",Supuestos!$D$8+E378*(Supuestos!$E$8-Supuestos!$D$8),IF(Supuestos!$C$8="Lognormal",LOGINV(E378,LN(Supuestos!$D$8)-LN(1+Supuestos!$E$8^2/Supuestos!$D$8^2)/2,SQRT(LN(1+Supuestos!$E$8^2/Supuestos!$D$8^2))),Supuestos!$D$8))))))</f>
        <v/>
      </c>
      <c r="M378" s="32">
        <f>MIN(IF(Supuestos!$H$9="",1E+99,Supuestos!$H$9),MAX(IF(Supuestos!$G$9="",-1E+99,Supuestos!$G$9),IF(Supuestos!$C$9="Normal",NORMINV(F378,Supuestos!$D$9,Supuestos!$E$9),IF(Supuestos!$C$9="Triangular",IF(F378&lt;(Supuestos!$E$9-Supuestos!$D$9)/(Supuestos!$F$9-Supuestos!$D$9),Supuestos!$D$9+SQRT(F378*(Supuestos!$F$9-Supuestos!$D$9)*(Supuestos!$E$9-Supuestos!$D$9)),Supuestos!$F$9-SQRT((1-F378)*(Supuestos!$F$9-Supuestos!$D$9)*(Supuestos!$F$9-Supuestos!$E$9))),IF(Supuestos!$C$9="Uniforme",Supuestos!$D$9+F378*(Supuestos!$E$9-Supuestos!$D$9),IF(Supuestos!$C$9="Lognormal",LOGINV(F378,LN(Supuestos!$D$9)-LN(1+Supuestos!$E$9^2/Supuestos!$D$9^2)/2,SQRT(LN(1+Supuestos!$E$9^2/Supuestos!$D$9^2))),Supuestos!$D$9))))))</f>
        <v/>
      </c>
      <c r="N378" s="32">
        <f>MIN(IF(Supuestos!$H$10="",1E+99,Supuestos!$H$10),MAX(IF(Supuestos!$G$10="",-1E+99,Supuestos!$G$10),IF(Supuestos!$C$10="Normal",NORMINV(G378,Supuestos!$D$10,Supuestos!$E$10),IF(Supuestos!$C$10="Triangular",IF(G378&lt;(Supuestos!$E$10-Supuestos!$D$10)/(Supuestos!$F$10-Supuestos!$D$10),Supuestos!$D$10+SQRT(G378*(Supuestos!$F$10-Supuestos!$D$10)*(Supuestos!$E$10-Supuestos!$D$10)),Supuestos!$F$10-SQRT((1-G378)*(Supuestos!$F$10-Supuestos!$D$10)*(Supuestos!$F$10-Supuestos!$E$10))),IF(Supuestos!$C$10="Uniforme",Supuestos!$D$10+G378*(Supuestos!$E$10-Supuestos!$D$10),IF(Supuestos!$C$10="Lognormal",LOGINV(G378,LN(Supuestos!$D$10)-LN(1+Supuestos!$E$10^2/Supuestos!$D$10^2)/2,SQRT(LN(1+Supuestos!$E$10^2/Supuestos!$D$10^2))),Supuestos!$D$10))))))</f>
        <v/>
      </c>
      <c r="O378" s="31">
        <f>MIN(IF(Supuestos!$H$11="",1E+99,Supuestos!$H$11),MAX(IF(Supuestos!$G$11="",-1E+99,Supuestos!$G$11),IF(Supuestos!$C$11="Normal",NORMINV(H378,Supuestos!$D$11,Supuestos!$E$11),IF(Supuestos!$C$11="Triangular",IF(H378&lt;(Supuestos!$E$11-Supuestos!$D$11)/(Supuestos!$F$11-Supuestos!$D$11),Supuestos!$D$11+SQRT(H378*(Supuestos!$F$11-Supuestos!$D$11)*(Supuestos!$E$11-Supuestos!$D$11)),Supuestos!$F$11-SQRT((1-H378)*(Supuestos!$F$11-Supuestos!$D$11)*(Supuestos!$F$11-Supuestos!$E$11))),IF(Supuestos!$C$11="Uniforme",Supuestos!$D$11+H378*(Supuestos!$E$11-Supuestos!$D$11),IF(Supuestos!$C$11="Lognormal",LOGINV(H378,LN(Supuestos!$D$11)-LN(1+Supuestos!$E$11^2/Supuestos!$D$11^2)/2,SQRT(LN(1+Supuestos!$E$11^2/Supuestos!$D$11^2))),Supuestos!$D$11))))))</f>
        <v/>
      </c>
      <c r="P378" s="33">
        <f>-I378</f>
        <v/>
      </c>
      <c r="Q378" s="33">
        <f>$J378*(1+$K378)^(1-1)*(1-$L378)*(1-$M378)</f>
        <v/>
      </c>
      <c r="R378" s="33">
        <f>$J378*(1+$K378)^(2-1)*(1-$L378)*(1-$M378)</f>
        <v/>
      </c>
      <c r="S378" s="33">
        <f>$J378*(1+$K378)^(3-1)*(1-$L378)*(1-$M378)</f>
        <v/>
      </c>
      <c r="T378" s="33">
        <f>$J378*(1+$K378)^(4-1)*(1-$L378)*(1-$M378)</f>
        <v/>
      </c>
      <c r="U378" s="33">
        <f>$J378*(1+$K378)^(5-1)*(1-$L378)*(1-$M378)+$O378</f>
        <v/>
      </c>
      <c r="V378" s="33">
        <f>P378+NPV($N378,Q378:U378)</f>
        <v/>
      </c>
      <c r="W378" s="32">
        <f>IFERROR(IRR(P378:U378,0.1),"")</f>
        <v/>
      </c>
    </row>
    <row r="379">
      <c r="A379" s="14" t="n">
        <v>375</v>
      </c>
      <c r="B379" s="30">
        <f>RAND()*(1-2E-6)+1E-6</f>
        <v/>
      </c>
      <c r="C379" s="30">
        <f>RAND()*(1-2E-6)+1E-6</f>
        <v/>
      </c>
      <c r="D379" s="30">
        <f>RAND()*(1-2E-6)+1E-6</f>
        <v/>
      </c>
      <c r="E379" s="30">
        <f>RAND()*(1-2E-6)+1E-6</f>
        <v/>
      </c>
      <c r="F379" s="30">
        <f>RAND()*(1-2E-6)+1E-6</f>
        <v/>
      </c>
      <c r="G379" s="30">
        <f>RAND()*(1-2E-6)+1E-6</f>
        <v/>
      </c>
      <c r="H379" s="30">
        <f>RAND()*(1-2E-6)+1E-6</f>
        <v/>
      </c>
      <c r="I379" s="31">
        <f>MIN(IF(Supuestos!$H$5="",1E+99,Supuestos!$H$5),MAX(IF(Supuestos!$G$5="",-1E+99,Supuestos!$G$5),IF(Supuestos!$C$5="Normal",NORMINV(B379,Supuestos!$D$5,Supuestos!$E$5),IF(Supuestos!$C$5="Triangular",IF(B379&lt;(Supuestos!$E$5-Supuestos!$D$5)/(Supuestos!$F$5-Supuestos!$D$5),Supuestos!$D$5+SQRT(B379*(Supuestos!$F$5-Supuestos!$D$5)*(Supuestos!$E$5-Supuestos!$D$5)),Supuestos!$F$5-SQRT((1-B379)*(Supuestos!$F$5-Supuestos!$D$5)*(Supuestos!$F$5-Supuestos!$E$5))),IF(Supuestos!$C$5="Uniforme",Supuestos!$D$5+B379*(Supuestos!$E$5-Supuestos!$D$5),IF(Supuestos!$C$5="Lognormal",LOGINV(B379,LN(Supuestos!$D$5)-LN(1+Supuestos!$E$5^2/Supuestos!$D$5^2)/2,SQRT(LN(1+Supuestos!$E$5^2/Supuestos!$D$5^2))),Supuestos!$D$5))))))</f>
        <v/>
      </c>
      <c r="J379" s="31">
        <f>MIN(IF(Supuestos!$H$6="",1E+99,Supuestos!$H$6),MAX(IF(Supuestos!$G$6="",-1E+99,Supuestos!$G$6),IF(Supuestos!$C$6="Normal",NORMINV(C379,Supuestos!$D$6,Supuestos!$E$6),IF(Supuestos!$C$6="Triangular",IF(C379&lt;(Supuestos!$E$6-Supuestos!$D$6)/(Supuestos!$F$6-Supuestos!$D$6),Supuestos!$D$6+SQRT(C379*(Supuestos!$F$6-Supuestos!$D$6)*(Supuestos!$E$6-Supuestos!$D$6)),Supuestos!$F$6-SQRT((1-C379)*(Supuestos!$F$6-Supuestos!$D$6)*(Supuestos!$F$6-Supuestos!$E$6))),IF(Supuestos!$C$6="Uniforme",Supuestos!$D$6+C379*(Supuestos!$E$6-Supuestos!$D$6),IF(Supuestos!$C$6="Lognormal",LOGINV(C379,LN(Supuestos!$D$6)-LN(1+Supuestos!$E$6^2/Supuestos!$D$6^2)/2,SQRT(LN(1+Supuestos!$E$6^2/Supuestos!$D$6^2))),Supuestos!$D$6))))))</f>
        <v/>
      </c>
      <c r="K379" s="32">
        <f>MIN(IF(Supuestos!$H$7="",1E+99,Supuestos!$H$7),MAX(IF(Supuestos!$G$7="",-1E+99,Supuestos!$G$7),IF(Supuestos!$C$7="Normal",NORMINV(D379,Supuestos!$D$7,Supuestos!$E$7),IF(Supuestos!$C$7="Triangular",IF(D379&lt;(Supuestos!$E$7-Supuestos!$D$7)/(Supuestos!$F$7-Supuestos!$D$7),Supuestos!$D$7+SQRT(D379*(Supuestos!$F$7-Supuestos!$D$7)*(Supuestos!$E$7-Supuestos!$D$7)),Supuestos!$F$7-SQRT((1-D379)*(Supuestos!$F$7-Supuestos!$D$7)*(Supuestos!$F$7-Supuestos!$E$7))),IF(Supuestos!$C$7="Uniforme",Supuestos!$D$7+D379*(Supuestos!$E$7-Supuestos!$D$7),IF(Supuestos!$C$7="Lognormal",LOGINV(D379,LN(Supuestos!$D$7)-LN(1+Supuestos!$E$7^2/Supuestos!$D$7^2)/2,SQRT(LN(1+Supuestos!$E$7^2/Supuestos!$D$7^2))),Supuestos!$D$7))))))</f>
        <v/>
      </c>
      <c r="L379" s="32">
        <f>MIN(IF(Supuestos!$H$8="",1E+99,Supuestos!$H$8),MAX(IF(Supuestos!$G$8="",-1E+99,Supuestos!$G$8),IF(Supuestos!$C$8="Normal",NORMINV(E379,Supuestos!$D$8,Supuestos!$E$8),IF(Supuestos!$C$8="Triangular",IF(E379&lt;(Supuestos!$E$8-Supuestos!$D$8)/(Supuestos!$F$8-Supuestos!$D$8),Supuestos!$D$8+SQRT(E379*(Supuestos!$F$8-Supuestos!$D$8)*(Supuestos!$E$8-Supuestos!$D$8)),Supuestos!$F$8-SQRT((1-E379)*(Supuestos!$F$8-Supuestos!$D$8)*(Supuestos!$F$8-Supuestos!$E$8))),IF(Supuestos!$C$8="Uniforme",Supuestos!$D$8+E379*(Supuestos!$E$8-Supuestos!$D$8),IF(Supuestos!$C$8="Lognormal",LOGINV(E379,LN(Supuestos!$D$8)-LN(1+Supuestos!$E$8^2/Supuestos!$D$8^2)/2,SQRT(LN(1+Supuestos!$E$8^2/Supuestos!$D$8^2))),Supuestos!$D$8))))))</f>
        <v/>
      </c>
      <c r="M379" s="32">
        <f>MIN(IF(Supuestos!$H$9="",1E+99,Supuestos!$H$9),MAX(IF(Supuestos!$G$9="",-1E+99,Supuestos!$G$9),IF(Supuestos!$C$9="Normal",NORMINV(F379,Supuestos!$D$9,Supuestos!$E$9),IF(Supuestos!$C$9="Triangular",IF(F379&lt;(Supuestos!$E$9-Supuestos!$D$9)/(Supuestos!$F$9-Supuestos!$D$9),Supuestos!$D$9+SQRT(F379*(Supuestos!$F$9-Supuestos!$D$9)*(Supuestos!$E$9-Supuestos!$D$9)),Supuestos!$F$9-SQRT((1-F379)*(Supuestos!$F$9-Supuestos!$D$9)*(Supuestos!$F$9-Supuestos!$E$9))),IF(Supuestos!$C$9="Uniforme",Supuestos!$D$9+F379*(Supuestos!$E$9-Supuestos!$D$9),IF(Supuestos!$C$9="Lognormal",LOGINV(F379,LN(Supuestos!$D$9)-LN(1+Supuestos!$E$9^2/Supuestos!$D$9^2)/2,SQRT(LN(1+Supuestos!$E$9^2/Supuestos!$D$9^2))),Supuestos!$D$9))))))</f>
        <v/>
      </c>
      <c r="N379" s="32">
        <f>MIN(IF(Supuestos!$H$10="",1E+99,Supuestos!$H$10),MAX(IF(Supuestos!$G$10="",-1E+99,Supuestos!$G$10),IF(Supuestos!$C$10="Normal",NORMINV(G379,Supuestos!$D$10,Supuestos!$E$10),IF(Supuestos!$C$10="Triangular",IF(G379&lt;(Supuestos!$E$10-Supuestos!$D$10)/(Supuestos!$F$10-Supuestos!$D$10),Supuestos!$D$10+SQRT(G379*(Supuestos!$F$10-Supuestos!$D$10)*(Supuestos!$E$10-Supuestos!$D$10)),Supuestos!$F$10-SQRT((1-G379)*(Supuestos!$F$10-Supuestos!$D$10)*(Supuestos!$F$10-Supuestos!$E$10))),IF(Supuestos!$C$10="Uniforme",Supuestos!$D$10+G379*(Supuestos!$E$10-Supuestos!$D$10),IF(Supuestos!$C$10="Lognormal",LOGINV(G379,LN(Supuestos!$D$10)-LN(1+Supuestos!$E$10^2/Supuestos!$D$10^2)/2,SQRT(LN(1+Supuestos!$E$10^2/Supuestos!$D$10^2))),Supuestos!$D$10))))))</f>
        <v/>
      </c>
      <c r="O379" s="31">
        <f>MIN(IF(Supuestos!$H$11="",1E+99,Supuestos!$H$11),MAX(IF(Supuestos!$G$11="",-1E+99,Supuestos!$G$11),IF(Supuestos!$C$11="Normal",NORMINV(H379,Supuestos!$D$11,Supuestos!$E$11),IF(Supuestos!$C$11="Triangular",IF(H379&lt;(Supuestos!$E$11-Supuestos!$D$11)/(Supuestos!$F$11-Supuestos!$D$11),Supuestos!$D$11+SQRT(H379*(Supuestos!$F$11-Supuestos!$D$11)*(Supuestos!$E$11-Supuestos!$D$11)),Supuestos!$F$11-SQRT((1-H379)*(Supuestos!$F$11-Supuestos!$D$11)*(Supuestos!$F$11-Supuestos!$E$11))),IF(Supuestos!$C$11="Uniforme",Supuestos!$D$11+H379*(Supuestos!$E$11-Supuestos!$D$11),IF(Supuestos!$C$11="Lognormal",LOGINV(H379,LN(Supuestos!$D$11)-LN(1+Supuestos!$E$11^2/Supuestos!$D$11^2)/2,SQRT(LN(1+Supuestos!$E$11^2/Supuestos!$D$11^2))),Supuestos!$D$11))))))</f>
        <v/>
      </c>
      <c r="P379" s="33">
        <f>-I379</f>
        <v/>
      </c>
      <c r="Q379" s="33">
        <f>$J379*(1+$K379)^(1-1)*(1-$L379)*(1-$M379)</f>
        <v/>
      </c>
      <c r="R379" s="33">
        <f>$J379*(1+$K379)^(2-1)*(1-$L379)*(1-$M379)</f>
        <v/>
      </c>
      <c r="S379" s="33">
        <f>$J379*(1+$K379)^(3-1)*(1-$L379)*(1-$M379)</f>
        <v/>
      </c>
      <c r="T379" s="33">
        <f>$J379*(1+$K379)^(4-1)*(1-$L379)*(1-$M379)</f>
        <v/>
      </c>
      <c r="U379" s="33">
        <f>$J379*(1+$K379)^(5-1)*(1-$L379)*(1-$M379)+$O379</f>
        <v/>
      </c>
      <c r="V379" s="33">
        <f>P379+NPV($N379,Q379:U379)</f>
        <v/>
      </c>
      <c r="W379" s="32">
        <f>IFERROR(IRR(P379:U379,0.1),"")</f>
        <v/>
      </c>
    </row>
    <row r="380">
      <c r="A380" s="14" t="n">
        <v>376</v>
      </c>
      <c r="B380" s="30">
        <f>RAND()*(1-2E-6)+1E-6</f>
        <v/>
      </c>
      <c r="C380" s="30">
        <f>RAND()*(1-2E-6)+1E-6</f>
        <v/>
      </c>
      <c r="D380" s="30">
        <f>RAND()*(1-2E-6)+1E-6</f>
        <v/>
      </c>
      <c r="E380" s="30">
        <f>RAND()*(1-2E-6)+1E-6</f>
        <v/>
      </c>
      <c r="F380" s="30">
        <f>RAND()*(1-2E-6)+1E-6</f>
        <v/>
      </c>
      <c r="G380" s="30">
        <f>RAND()*(1-2E-6)+1E-6</f>
        <v/>
      </c>
      <c r="H380" s="30">
        <f>RAND()*(1-2E-6)+1E-6</f>
        <v/>
      </c>
      <c r="I380" s="31">
        <f>MIN(IF(Supuestos!$H$5="",1E+99,Supuestos!$H$5),MAX(IF(Supuestos!$G$5="",-1E+99,Supuestos!$G$5),IF(Supuestos!$C$5="Normal",NORMINV(B380,Supuestos!$D$5,Supuestos!$E$5),IF(Supuestos!$C$5="Triangular",IF(B380&lt;(Supuestos!$E$5-Supuestos!$D$5)/(Supuestos!$F$5-Supuestos!$D$5),Supuestos!$D$5+SQRT(B380*(Supuestos!$F$5-Supuestos!$D$5)*(Supuestos!$E$5-Supuestos!$D$5)),Supuestos!$F$5-SQRT((1-B380)*(Supuestos!$F$5-Supuestos!$D$5)*(Supuestos!$F$5-Supuestos!$E$5))),IF(Supuestos!$C$5="Uniforme",Supuestos!$D$5+B380*(Supuestos!$E$5-Supuestos!$D$5),IF(Supuestos!$C$5="Lognormal",LOGINV(B380,LN(Supuestos!$D$5)-LN(1+Supuestos!$E$5^2/Supuestos!$D$5^2)/2,SQRT(LN(1+Supuestos!$E$5^2/Supuestos!$D$5^2))),Supuestos!$D$5))))))</f>
        <v/>
      </c>
      <c r="J380" s="31">
        <f>MIN(IF(Supuestos!$H$6="",1E+99,Supuestos!$H$6),MAX(IF(Supuestos!$G$6="",-1E+99,Supuestos!$G$6),IF(Supuestos!$C$6="Normal",NORMINV(C380,Supuestos!$D$6,Supuestos!$E$6),IF(Supuestos!$C$6="Triangular",IF(C380&lt;(Supuestos!$E$6-Supuestos!$D$6)/(Supuestos!$F$6-Supuestos!$D$6),Supuestos!$D$6+SQRT(C380*(Supuestos!$F$6-Supuestos!$D$6)*(Supuestos!$E$6-Supuestos!$D$6)),Supuestos!$F$6-SQRT((1-C380)*(Supuestos!$F$6-Supuestos!$D$6)*(Supuestos!$F$6-Supuestos!$E$6))),IF(Supuestos!$C$6="Uniforme",Supuestos!$D$6+C380*(Supuestos!$E$6-Supuestos!$D$6),IF(Supuestos!$C$6="Lognormal",LOGINV(C380,LN(Supuestos!$D$6)-LN(1+Supuestos!$E$6^2/Supuestos!$D$6^2)/2,SQRT(LN(1+Supuestos!$E$6^2/Supuestos!$D$6^2))),Supuestos!$D$6))))))</f>
        <v/>
      </c>
      <c r="K380" s="32">
        <f>MIN(IF(Supuestos!$H$7="",1E+99,Supuestos!$H$7),MAX(IF(Supuestos!$G$7="",-1E+99,Supuestos!$G$7),IF(Supuestos!$C$7="Normal",NORMINV(D380,Supuestos!$D$7,Supuestos!$E$7),IF(Supuestos!$C$7="Triangular",IF(D380&lt;(Supuestos!$E$7-Supuestos!$D$7)/(Supuestos!$F$7-Supuestos!$D$7),Supuestos!$D$7+SQRT(D380*(Supuestos!$F$7-Supuestos!$D$7)*(Supuestos!$E$7-Supuestos!$D$7)),Supuestos!$F$7-SQRT((1-D380)*(Supuestos!$F$7-Supuestos!$D$7)*(Supuestos!$F$7-Supuestos!$E$7))),IF(Supuestos!$C$7="Uniforme",Supuestos!$D$7+D380*(Supuestos!$E$7-Supuestos!$D$7),IF(Supuestos!$C$7="Lognormal",LOGINV(D380,LN(Supuestos!$D$7)-LN(1+Supuestos!$E$7^2/Supuestos!$D$7^2)/2,SQRT(LN(1+Supuestos!$E$7^2/Supuestos!$D$7^2))),Supuestos!$D$7))))))</f>
        <v/>
      </c>
      <c r="L380" s="32">
        <f>MIN(IF(Supuestos!$H$8="",1E+99,Supuestos!$H$8),MAX(IF(Supuestos!$G$8="",-1E+99,Supuestos!$G$8),IF(Supuestos!$C$8="Normal",NORMINV(E380,Supuestos!$D$8,Supuestos!$E$8),IF(Supuestos!$C$8="Triangular",IF(E380&lt;(Supuestos!$E$8-Supuestos!$D$8)/(Supuestos!$F$8-Supuestos!$D$8),Supuestos!$D$8+SQRT(E380*(Supuestos!$F$8-Supuestos!$D$8)*(Supuestos!$E$8-Supuestos!$D$8)),Supuestos!$F$8-SQRT((1-E380)*(Supuestos!$F$8-Supuestos!$D$8)*(Supuestos!$F$8-Supuestos!$E$8))),IF(Supuestos!$C$8="Uniforme",Supuestos!$D$8+E380*(Supuestos!$E$8-Supuestos!$D$8),IF(Supuestos!$C$8="Lognormal",LOGINV(E380,LN(Supuestos!$D$8)-LN(1+Supuestos!$E$8^2/Supuestos!$D$8^2)/2,SQRT(LN(1+Supuestos!$E$8^2/Supuestos!$D$8^2))),Supuestos!$D$8))))))</f>
        <v/>
      </c>
      <c r="M380" s="32">
        <f>MIN(IF(Supuestos!$H$9="",1E+99,Supuestos!$H$9),MAX(IF(Supuestos!$G$9="",-1E+99,Supuestos!$G$9),IF(Supuestos!$C$9="Normal",NORMINV(F380,Supuestos!$D$9,Supuestos!$E$9),IF(Supuestos!$C$9="Triangular",IF(F380&lt;(Supuestos!$E$9-Supuestos!$D$9)/(Supuestos!$F$9-Supuestos!$D$9),Supuestos!$D$9+SQRT(F380*(Supuestos!$F$9-Supuestos!$D$9)*(Supuestos!$E$9-Supuestos!$D$9)),Supuestos!$F$9-SQRT((1-F380)*(Supuestos!$F$9-Supuestos!$D$9)*(Supuestos!$F$9-Supuestos!$E$9))),IF(Supuestos!$C$9="Uniforme",Supuestos!$D$9+F380*(Supuestos!$E$9-Supuestos!$D$9),IF(Supuestos!$C$9="Lognormal",LOGINV(F380,LN(Supuestos!$D$9)-LN(1+Supuestos!$E$9^2/Supuestos!$D$9^2)/2,SQRT(LN(1+Supuestos!$E$9^2/Supuestos!$D$9^2))),Supuestos!$D$9))))))</f>
        <v/>
      </c>
      <c r="N380" s="32">
        <f>MIN(IF(Supuestos!$H$10="",1E+99,Supuestos!$H$10),MAX(IF(Supuestos!$G$10="",-1E+99,Supuestos!$G$10),IF(Supuestos!$C$10="Normal",NORMINV(G380,Supuestos!$D$10,Supuestos!$E$10),IF(Supuestos!$C$10="Triangular",IF(G380&lt;(Supuestos!$E$10-Supuestos!$D$10)/(Supuestos!$F$10-Supuestos!$D$10),Supuestos!$D$10+SQRT(G380*(Supuestos!$F$10-Supuestos!$D$10)*(Supuestos!$E$10-Supuestos!$D$10)),Supuestos!$F$10-SQRT((1-G380)*(Supuestos!$F$10-Supuestos!$D$10)*(Supuestos!$F$10-Supuestos!$E$10))),IF(Supuestos!$C$10="Uniforme",Supuestos!$D$10+G380*(Supuestos!$E$10-Supuestos!$D$10),IF(Supuestos!$C$10="Lognormal",LOGINV(G380,LN(Supuestos!$D$10)-LN(1+Supuestos!$E$10^2/Supuestos!$D$10^2)/2,SQRT(LN(1+Supuestos!$E$10^2/Supuestos!$D$10^2))),Supuestos!$D$10))))))</f>
        <v/>
      </c>
      <c r="O380" s="31">
        <f>MIN(IF(Supuestos!$H$11="",1E+99,Supuestos!$H$11),MAX(IF(Supuestos!$G$11="",-1E+99,Supuestos!$G$11),IF(Supuestos!$C$11="Normal",NORMINV(H380,Supuestos!$D$11,Supuestos!$E$11),IF(Supuestos!$C$11="Triangular",IF(H380&lt;(Supuestos!$E$11-Supuestos!$D$11)/(Supuestos!$F$11-Supuestos!$D$11),Supuestos!$D$11+SQRT(H380*(Supuestos!$F$11-Supuestos!$D$11)*(Supuestos!$E$11-Supuestos!$D$11)),Supuestos!$F$11-SQRT((1-H380)*(Supuestos!$F$11-Supuestos!$D$11)*(Supuestos!$F$11-Supuestos!$E$11))),IF(Supuestos!$C$11="Uniforme",Supuestos!$D$11+H380*(Supuestos!$E$11-Supuestos!$D$11),IF(Supuestos!$C$11="Lognormal",LOGINV(H380,LN(Supuestos!$D$11)-LN(1+Supuestos!$E$11^2/Supuestos!$D$11^2)/2,SQRT(LN(1+Supuestos!$E$11^2/Supuestos!$D$11^2))),Supuestos!$D$11))))))</f>
        <v/>
      </c>
      <c r="P380" s="33">
        <f>-I380</f>
        <v/>
      </c>
      <c r="Q380" s="33">
        <f>$J380*(1+$K380)^(1-1)*(1-$L380)*(1-$M380)</f>
        <v/>
      </c>
      <c r="R380" s="33">
        <f>$J380*(1+$K380)^(2-1)*(1-$L380)*(1-$M380)</f>
        <v/>
      </c>
      <c r="S380" s="33">
        <f>$J380*(1+$K380)^(3-1)*(1-$L380)*(1-$M380)</f>
        <v/>
      </c>
      <c r="T380" s="33">
        <f>$J380*(1+$K380)^(4-1)*(1-$L380)*(1-$M380)</f>
        <v/>
      </c>
      <c r="U380" s="33">
        <f>$J380*(1+$K380)^(5-1)*(1-$L380)*(1-$M380)+$O380</f>
        <v/>
      </c>
      <c r="V380" s="33">
        <f>P380+NPV($N380,Q380:U380)</f>
        <v/>
      </c>
      <c r="W380" s="32">
        <f>IFERROR(IRR(P380:U380,0.1),"")</f>
        <v/>
      </c>
    </row>
    <row r="381">
      <c r="A381" s="14" t="n">
        <v>377</v>
      </c>
      <c r="B381" s="30">
        <f>RAND()*(1-2E-6)+1E-6</f>
        <v/>
      </c>
      <c r="C381" s="30">
        <f>RAND()*(1-2E-6)+1E-6</f>
        <v/>
      </c>
      <c r="D381" s="30">
        <f>RAND()*(1-2E-6)+1E-6</f>
        <v/>
      </c>
      <c r="E381" s="30">
        <f>RAND()*(1-2E-6)+1E-6</f>
        <v/>
      </c>
      <c r="F381" s="30">
        <f>RAND()*(1-2E-6)+1E-6</f>
        <v/>
      </c>
      <c r="G381" s="30">
        <f>RAND()*(1-2E-6)+1E-6</f>
        <v/>
      </c>
      <c r="H381" s="30">
        <f>RAND()*(1-2E-6)+1E-6</f>
        <v/>
      </c>
      <c r="I381" s="31">
        <f>MIN(IF(Supuestos!$H$5="",1E+99,Supuestos!$H$5),MAX(IF(Supuestos!$G$5="",-1E+99,Supuestos!$G$5),IF(Supuestos!$C$5="Normal",NORMINV(B381,Supuestos!$D$5,Supuestos!$E$5),IF(Supuestos!$C$5="Triangular",IF(B381&lt;(Supuestos!$E$5-Supuestos!$D$5)/(Supuestos!$F$5-Supuestos!$D$5),Supuestos!$D$5+SQRT(B381*(Supuestos!$F$5-Supuestos!$D$5)*(Supuestos!$E$5-Supuestos!$D$5)),Supuestos!$F$5-SQRT((1-B381)*(Supuestos!$F$5-Supuestos!$D$5)*(Supuestos!$F$5-Supuestos!$E$5))),IF(Supuestos!$C$5="Uniforme",Supuestos!$D$5+B381*(Supuestos!$E$5-Supuestos!$D$5),IF(Supuestos!$C$5="Lognormal",LOGINV(B381,LN(Supuestos!$D$5)-LN(1+Supuestos!$E$5^2/Supuestos!$D$5^2)/2,SQRT(LN(1+Supuestos!$E$5^2/Supuestos!$D$5^2))),Supuestos!$D$5))))))</f>
        <v/>
      </c>
      <c r="J381" s="31">
        <f>MIN(IF(Supuestos!$H$6="",1E+99,Supuestos!$H$6),MAX(IF(Supuestos!$G$6="",-1E+99,Supuestos!$G$6),IF(Supuestos!$C$6="Normal",NORMINV(C381,Supuestos!$D$6,Supuestos!$E$6),IF(Supuestos!$C$6="Triangular",IF(C381&lt;(Supuestos!$E$6-Supuestos!$D$6)/(Supuestos!$F$6-Supuestos!$D$6),Supuestos!$D$6+SQRT(C381*(Supuestos!$F$6-Supuestos!$D$6)*(Supuestos!$E$6-Supuestos!$D$6)),Supuestos!$F$6-SQRT((1-C381)*(Supuestos!$F$6-Supuestos!$D$6)*(Supuestos!$F$6-Supuestos!$E$6))),IF(Supuestos!$C$6="Uniforme",Supuestos!$D$6+C381*(Supuestos!$E$6-Supuestos!$D$6),IF(Supuestos!$C$6="Lognormal",LOGINV(C381,LN(Supuestos!$D$6)-LN(1+Supuestos!$E$6^2/Supuestos!$D$6^2)/2,SQRT(LN(1+Supuestos!$E$6^2/Supuestos!$D$6^2))),Supuestos!$D$6))))))</f>
        <v/>
      </c>
      <c r="K381" s="32">
        <f>MIN(IF(Supuestos!$H$7="",1E+99,Supuestos!$H$7),MAX(IF(Supuestos!$G$7="",-1E+99,Supuestos!$G$7),IF(Supuestos!$C$7="Normal",NORMINV(D381,Supuestos!$D$7,Supuestos!$E$7),IF(Supuestos!$C$7="Triangular",IF(D381&lt;(Supuestos!$E$7-Supuestos!$D$7)/(Supuestos!$F$7-Supuestos!$D$7),Supuestos!$D$7+SQRT(D381*(Supuestos!$F$7-Supuestos!$D$7)*(Supuestos!$E$7-Supuestos!$D$7)),Supuestos!$F$7-SQRT((1-D381)*(Supuestos!$F$7-Supuestos!$D$7)*(Supuestos!$F$7-Supuestos!$E$7))),IF(Supuestos!$C$7="Uniforme",Supuestos!$D$7+D381*(Supuestos!$E$7-Supuestos!$D$7),IF(Supuestos!$C$7="Lognormal",LOGINV(D381,LN(Supuestos!$D$7)-LN(1+Supuestos!$E$7^2/Supuestos!$D$7^2)/2,SQRT(LN(1+Supuestos!$E$7^2/Supuestos!$D$7^2))),Supuestos!$D$7))))))</f>
        <v/>
      </c>
      <c r="L381" s="32">
        <f>MIN(IF(Supuestos!$H$8="",1E+99,Supuestos!$H$8),MAX(IF(Supuestos!$G$8="",-1E+99,Supuestos!$G$8),IF(Supuestos!$C$8="Normal",NORMINV(E381,Supuestos!$D$8,Supuestos!$E$8),IF(Supuestos!$C$8="Triangular",IF(E381&lt;(Supuestos!$E$8-Supuestos!$D$8)/(Supuestos!$F$8-Supuestos!$D$8),Supuestos!$D$8+SQRT(E381*(Supuestos!$F$8-Supuestos!$D$8)*(Supuestos!$E$8-Supuestos!$D$8)),Supuestos!$F$8-SQRT((1-E381)*(Supuestos!$F$8-Supuestos!$D$8)*(Supuestos!$F$8-Supuestos!$E$8))),IF(Supuestos!$C$8="Uniforme",Supuestos!$D$8+E381*(Supuestos!$E$8-Supuestos!$D$8),IF(Supuestos!$C$8="Lognormal",LOGINV(E381,LN(Supuestos!$D$8)-LN(1+Supuestos!$E$8^2/Supuestos!$D$8^2)/2,SQRT(LN(1+Supuestos!$E$8^2/Supuestos!$D$8^2))),Supuestos!$D$8))))))</f>
        <v/>
      </c>
      <c r="M381" s="32">
        <f>MIN(IF(Supuestos!$H$9="",1E+99,Supuestos!$H$9),MAX(IF(Supuestos!$G$9="",-1E+99,Supuestos!$G$9),IF(Supuestos!$C$9="Normal",NORMINV(F381,Supuestos!$D$9,Supuestos!$E$9),IF(Supuestos!$C$9="Triangular",IF(F381&lt;(Supuestos!$E$9-Supuestos!$D$9)/(Supuestos!$F$9-Supuestos!$D$9),Supuestos!$D$9+SQRT(F381*(Supuestos!$F$9-Supuestos!$D$9)*(Supuestos!$E$9-Supuestos!$D$9)),Supuestos!$F$9-SQRT((1-F381)*(Supuestos!$F$9-Supuestos!$D$9)*(Supuestos!$F$9-Supuestos!$E$9))),IF(Supuestos!$C$9="Uniforme",Supuestos!$D$9+F381*(Supuestos!$E$9-Supuestos!$D$9),IF(Supuestos!$C$9="Lognormal",LOGINV(F381,LN(Supuestos!$D$9)-LN(1+Supuestos!$E$9^2/Supuestos!$D$9^2)/2,SQRT(LN(1+Supuestos!$E$9^2/Supuestos!$D$9^2))),Supuestos!$D$9))))))</f>
        <v/>
      </c>
      <c r="N381" s="32">
        <f>MIN(IF(Supuestos!$H$10="",1E+99,Supuestos!$H$10),MAX(IF(Supuestos!$G$10="",-1E+99,Supuestos!$G$10),IF(Supuestos!$C$10="Normal",NORMINV(G381,Supuestos!$D$10,Supuestos!$E$10),IF(Supuestos!$C$10="Triangular",IF(G381&lt;(Supuestos!$E$10-Supuestos!$D$10)/(Supuestos!$F$10-Supuestos!$D$10),Supuestos!$D$10+SQRT(G381*(Supuestos!$F$10-Supuestos!$D$10)*(Supuestos!$E$10-Supuestos!$D$10)),Supuestos!$F$10-SQRT((1-G381)*(Supuestos!$F$10-Supuestos!$D$10)*(Supuestos!$F$10-Supuestos!$E$10))),IF(Supuestos!$C$10="Uniforme",Supuestos!$D$10+G381*(Supuestos!$E$10-Supuestos!$D$10),IF(Supuestos!$C$10="Lognormal",LOGINV(G381,LN(Supuestos!$D$10)-LN(1+Supuestos!$E$10^2/Supuestos!$D$10^2)/2,SQRT(LN(1+Supuestos!$E$10^2/Supuestos!$D$10^2))),Supuestos!$D$10))))))</f>
        <v/>
      </c>
      <c r="O381" s="31">
        <f>MIN(IF(Supuestos!$H$11="",1E+99,Supuestos!$H$11),MAX(IF(Supuestos!$G$11="",-1E+99,Supuestos!$G$11),IF(Supuestos!$C$11="Normal",NORMINV(H381,Supuestos!$D$11,Supuestos!$E$11),IF(Supuestos!$C$11="Triangular",IF(H381&lt;(Supuestos!$E$11-Supuestos!$D$11)/(Supuestos!$F$11-Supuestos!$D$11),Supuestos!$D$11+SQRT(H381*(Supuestos!$F$11-Supuestos!$D$11)*(Supuestos!$E$11-Supuestos!$D$11)),Supuestos!$F$11-SQRT((1-H381)*(Supuestos!$F$11-Supuestos!$D$11)*(Supuestos!$F$11-Supuestos!$E$11))),IF(Supuestos!$C$11="Uniforme",Supuestos!$D$11+H381*(Supuestos!$E$11-Supuestos!$D$11),IF(Supuestos!$C$11="Lognormal",LOGINV(H381,LN(Supuestos!$D$11)-LN(1+Supuestos!$E$11^2/Supuestos!$D$11^2)/2,SQRT(LN(1+Supuestos!$E$11^2/Supuestos!$D$11^2))),Supuestos!$D$11))))))</f>
        <v/>
      </c>
      <c r="P381" s="33">
        <f>-I381</f>
        <v/>
      </c>
      <c r="Q381" s="33">
        <f>$J381*(1+$K381)^(1-1)*(1-$L381)*(1-$M381)</f>
        <v/>
      </c>
      <c r="R381" s="33">
        <f>$J381*(1+$K381)^(2-1)*(1-$L381)*(1-$M381)</f>
        <v/>
      </c>
      <c r="S381" s="33">
        <f>$J381*(1+$K381)^(3-1)*(1-$L381)*(1-$M381)</f>
        <v/>
      </c>
      <c r="T381" s="33">
        <f>$J381*(1+$K381)^(4-1)*(1-$L381)*(1-$M381)</f>
        <v/>
      </c>
      <c r="U381" s="33">
        <f>$J381*(1+$K381)^(5-1)*(1-$L381)*(1-$M381)+$O381</f>
        <v/>
      </c>
      <c r="V381" s="33">
        <f>P381+NPV($N381,Q381:U381)</f>
        <v/>
      </c>
      <c r="W381" s="32">
        <f>IFERROR(IRR(P381:U381,0.1),"")</f>
        <v/>
      </c>
    </row>
    <row r="382">
      <c r="A382" s="14" t="n">
        <v>378</v>
      </c>
      <c r="B382" s="30">
        <f>RAND()*(1-2E-6)+1E-6</f>
        <v/>
      </c>
      <c r="C382" s="30">
        <f>RAND()*(1-2E-6)+1E-6</f>
        <v/>
      </c>
      <c r="D382" s="30">
        <f>RAND()*(1-2E-6)+1E-6</f>
        <v/>
      </c>
      <c r="E382" s="30">
        <f>RAND()*(1-2E-6)+1E-6</f>
        <v/>
      </c>
      <c r="F382" s="30">
        <f>RAND()*(1-2E-6)+1E-6</f>
        <v/>
      </c>
      <c r="G382" s="30">
        <f>RAND()*(1-2E-6)+1E-6</f>
        <v/>
      </c>
      <c r="H382" s="30">
        <f>RAND()*(1-2E-6)+1E-6</f>
        <v/>
      </c>
      <c r="I382" s="31">
        <f>MIN(IF(Supuestos!$H$5="",1E+99,Supuestos!$H$5),MAX(IF(Supuestos!$G$5="",-1E+99,Supuestos!$G$5),IF(Supuestos!$C$5="Normal",NORMINV(B382,Supuestos!$D$5,Supuestos!$E$5),IF(Supuestos!$C$5="Triangular",IF(B382&lt;(Supuestos!$E$5-Supuestos!$D$5)/(Supuestos!$F$5-Supuestos!$D$5),Supuestos!$D$5+SQRT(B382*(Supuestos!$F$5-Supuestos!$D$5)*(Supuestos!$E$5-Supuestos!$D$5)),Supuestos!$F$5-SQRT((1-B382)*(Supuestos!$F$5-Supuestos!$D$5)*(Supuestos!$F$5-Supuestos!$E$5))),IF(Supuestos!$C$5="Uniforme",Supuestos!$D$5+B382*(Supuestos!$E$5-Supuestos!$D$5),IF(Supuestos!$C$5="Lognormal",LOGINV(B382,LN(Supuestos!$D$5)-LN(1+Supuestos!$E$5^2/Supuestos!$D$5^2)/2,SQRT(LN(1+Supuestos!$E$5^2/Supuestos!$D$5^2))),Supuestos!$D$5))))))</f>
        <v/>
      </c>
      <c r="J382" s="31">
        <f>MIN(IF(Supuestos!$H$6="",1E+99,Supuestos!$H$6),MAX(IF(Supuestos!$G$6="",-1E+99,Supuestos!$G$6),IF(Supuestos!$C$6="Normal",NORMINV(C382,Supuestos!$D$6,Supuestos!$E$6),IF(Supuestos!$C$6="Triangular",IF(C382&lt;(Supuestos!$E$6-Supuestos!$D$6)/(Supuestos!$F$6-Supuestos!$D$6),Supuestos!$D$6+SQRT(C382*(Supuestos!$F$6-Supuestos!$D$6)*(Supuestos!$E$6-Supuestos!$D$6)),Supuestos!$F$6-SQRT((1-C382)*(Supuestos!$F$6-Supuestos!$D$6)*(Supuestos!$F$6-Supuestos!$E$6))),IF(Supuestos!$C$6="Uniforme",Supuestos!$D$6+C382*(Supuestos!$E$6-Supuestos!$D$6),IF(Supuestos!$C$6="Lognormal",LOGINV(C382,LN(Supuestos!$D$6)-LN(1+Supuestos!$E$6^2/Supuestos!$D$6^2)/2,SQRT(LN(1+Supuestos!$E$6^2/Supuestos!$D$6^2))),Supuestos!$D$6))))))</f>
        <v/>
      </c>
      <c r="K382" s="32">
        <f>MIN(IF(Supuestos!$H$7="",1E+99,Supuestos!$H$7),MAX(IF(Supuestos!$G$7="",-1E+99,Supuestos!$G$7),IF(Supuestos!$C$7="Normal",NORMINV(D382,Supuestos!$D$7,Supuestos!$E$7),IF(Supuestos!$C$7="Triangular",IF(D382&lt;(Supuestos!$E$7-Supuestos!$D$7)/(Supuestos!$F$7-Supuestos!$D$7),Supuestos!$D$7+SQRT(D382*(Supuestos!$F$7-Supuestos!$D$7)*(Supuestos!$E$7-Supuestos!$D$7)),Supuestos!$F$7-SQRT((1-D382)*(Supuestos!$F$7-Supuestos!$D$7)*(Supuestos!$F$7-Supuestos!$E$7))),IF(Supuestos!$C$7="Uniforme",Supuestos!$D$7+D382*(Supuestos!$E$7-Supuestos!$D$7),IF(Supuestos!$C$7="Lognormal",LOGINV(D382,LN(Supuestos!$D$7)-LN(1+Supuestos!$E$7^2/Supuestos!$D$7^2)/2,SQRT(LN(1+Supuestos!$E$7^2/Supuestos!$D$7^2))),Supuestos!$D$7))))))</f>
        <v/>
      </c>
      <c r="L382" s="32">
        <f>MIN(IF(Supuestos!$H$8="",1E+99,Supuestos!$H$8),MAX(IF(Supuestos!$G$8="",-1E+99,Supuestos!$G$8),IF(Supuestos!$C$8="Normal",NORMINV(E382,Supuestos!$D$8,Supuestos!$E$8),IF(Supuestos!$C$8="Triangular",IF(E382&lt;(Supuestos!$E$8-Supuestos!$D$8)/(Supuestos!$F$8-Supuestos!$D$8),Supuestos!$D$8+SQRT(E382*(Supuestos!$F$8-Supuestos!$D$8)*(Supuestos!$E$8-Supuestos!$D$8)),Supuestos!$F$8-SQRT((1-E382)*(Supuestos!$F$8-Supuestos!$D$8)*(Supuestos!$F$8-Supuestos!$E$8))),IF(Supuestos!$C$8="Uniforme",Supuestos!$D$8+E382*(Supuestos!$E$8-Supuestos!$D$8),IF(Supuestos!$C$8="Lognormal",LOGINV(E382,LN(Supuestos!$D$8)-LN(1+Supuestos!$E$8^2/Supuestos!$D$8^2)/2,SQRT(LN(1+Supuestos!$E$8^2/Supuestos!$D$8^2))),Supuestos!$D$8))))))</f>
        <v/>
      </c>
      <c r="M382" s="32">
        <f>MIN(IF(Supuestos!$H$9="",1E+99,Supuestos!$H$9),MAX(IF(Supuestos!$G$9="",-1E+99,Supuestos!$G$9),IF(Supuestos!$C$9="Normal",NORMINV(F382,Supuestos!$D$9,Supuestos!$E$9),IF(Supuestos!$C$9="Triangular",IF(F382&lt;(Supuestos!$E$9-Supuestos!$D$9)/(Supuestos!$F$9-Supuestos!$D$9),Supuestos!$D$9+SQRT(F382*(Supuestos!$F$9-Supuestos!$D$9)*(Supuestos!$E$9-Supuestos!$D$9)),Supuestos!$F$9-SQRT((1-F382)*(Supuestos!$F$9-Supuestos!$D$9)*(Supuestos!$F$9-Supuestos!$E$9))),IF(Supuestos!$C$9="Uniforme",Supuestos!$D$9+F382*(Supuestos!$E$9-Supuestos!$D$9),IF(Supuestos!$C$9="Lognormal",LOGINV(F382,LN(Supuestos!$D$9)-LN(1+Supuestos!$E$9^2/Supuestos!$D$9^2)/2,SQRT(LN(1+Supuestos!$E$9^2/Supuestos!$D$9^2))),Supuestos!$D$9))))))</f>
        <v/>
      </c>
      <c r="N382" s="32">
        <f>MIN(IF(Supuestos!$H$10="",1E+99,Supuestos!$H$10),MAX(IF(Supuestos!$G$10="",-1E+99,Supuestos!$G$10),IF(Supuestos!$C$10="Normal",NORMINV(G382,Supuestos!$D$10,Supuestos!$E$10),IF(Supuestos!$C$10="Triangular",IF(G382&lt;(Supuestos!$E$10-Supuestos!$D$10)/(Supuestos!$F$10-Supuestos!$D$10),Supuestos!$D$10+SQRT(G382*(Supuestos!$F$10-Supuestos!$D$10)*(Supuestos!$E$10-Supuestos!$D$10)),Supuestos!$F$10-SQRT((1-G382)*(Supuestos!$F$10-Supuestos!$D$10)*(Supuestos!$F$10-Supuestos!$E$10))),IF(Supuestos!$C$10="Uniforme",Supuestos!$D$10+G382*(Supuestos!$E$10-Supuestos!$D$10),IF(Supuestos!$C$10="Lognormal",LOGINV(G382,LN(Supuestos!$D$10)-LN(1+Supuestos!$E$10^2/Supuestos!$D$10^2)/2,SQRT(LN(1+Supuestos!$E$10^2/Supuestos!$D$10^2))),Supuestos!$D$10))))))</f>
        <v/>
      </c>
      <c r="O382" s="31">
        <f>MIN(IF(Supuestos!$H$11="",1E+99,Supuestos!$H$11),MAX(IF(Supuestos!$G$11="",-1E+99,Supuestos!$G$11),IF(Supuestos!$C$11="Normal",NORMINV(H382,Supuestos!$D$11,Supuestos!$E$11),IF(Supuestos!$C$11="Triangular",IF(H382&lt;(Supuestos!$E$11-Supuestos!$D$11)/(Supuestos!$F$11-Supuestos!$D$11),Supuestos!$D$11+SQRT(H382*(Supuestos!$F$11-Supuestos!$D$11)*(Supuestos!$E$11-Supuestos!$D$11)),Supuestos!$F$11-SQRT((1-H382)*(Supuestos!$F$11-Supuestos!$D$11)*(Supuestos!$F$11-Supuestos!$E$11))),IF(Supuestos!$C$11="Uniforme",Supuestos!$D$11+H382*(Supuestos!$E$11-Supuestos!$D$11),IF(Supuestos!$C$11="Lognormal",LOGINV(H382,LN(Supuestos!$D$11)-LN(1+Supuestos!$E$11^2/Supuestos!$D$11^2)/2,SQRT(LN(1+Supuestos!$E$11^2/Supuestos!$D$11^2))),Supuestos!$D$11))))))</f>
        <v/>
      </c>
      <c r="P382" s="33">
        <f>-I382</f>
        <v/>
      </c>
      <c r="Q382" s="33">
        <f>$J382*(1+$K382)^(1-1)*(1-$L382)*(1-$M382)</f>
        <v/>
      </c>
      <c r="R382" s="33">
        <f>$J382*(1+$K382)^(2-1)*(1-$L382)*(1-$M382)</f>
        <v/>
      </c>
      <c r="S382" s="33">
        <f>$J382*(1+$K382)^(3-1)*(1-$L382)*(1-$M382)</f>
        <v/>
      </c>
      <c r="T382" s="33">
        <f>$J382*(1+$K382)^(4-1)*(1-$L382)*(1-$M382)</f>
        <v/>
      </c>
      <c r="U382" s="33">
        <f>$J382*(1+$K382)^(5-1)*(1-$L382)*(1-$M382)+$O382</f>
        <v/>
      </c>
      <c r="V382" s="33">
        <f>P382+NPV($N382,Q382:U382)</f>
        <v/>
      </c>
      <c r="W382" s="32">
        <f>IFERROR(IRR(P382:U382,0.1),"")</f>
        <v/>
      </c>
    </row>
    <row r="383">
      <c r="A383" s="14" t="n">
        <v>379</v>
      </c>
      <c r="B383" s="30">
        <f>RAND()*(1-2E-6)+1E-6</f>
        <v/>
      </c>
      <c r="C383" s="30">
        <f>RAND()*(1-2E-6)+1E-6</f>
        <v/>
      </c>
      <c r="D383" s="30">
        <f>RAND()*(1-2E-6)+1E-6</f>
        <v/>
      </c>
      <c r="E383" s="30">
        <f>RAND()*(1-2E-6)+1E-6</f>
        <v/>
      </c>
      <c r="F383" s="30">
        <f>RAND()*(1-2E-6)+1E-6</f>
        <v/>
      </c>
      <c r="G383" s="30">
        <f>RAND()*(1-2E-6)+1E-6</f>
        <v/>
      </c>
      <c r="H383" s="30">
        <f>RAND()*(1-2E-6)+1E-6</f>
        <v/>
      </c>
      <c r="I383" s="31">
        <f>MIN(IF(Supuestos!$H$5="",1E+99,Supuestos!$H$5),MAX(IF(Supuestos!$G$5="",-1E+99,Supuestos!$G$5),IF(Supuestos!$C$5="Normal",NORMINV(B383,Supuestos!$D$5,Supuestos!$E$5),IF(Supuestos!$C$5="Triangular",IF(B383&lt;(Supuestos!$E$5-Supuestos!$D$5)/(Supuestos!$F$5-Supuestos!$D$5),Supuestos!$D$5+SQRT(B383*(Supuestos!$F$5-Supuestos!$D$5)*(Supuestos!$E$5-Supuestos!$D$5)),Supuestos!$F$5-SQRT((1-B383)*(Supuestos!$F$5-Supuestos!$D$5)*(Supuestos!$F$5-Supuestos!$E$5))),IF(Supuestos!$C$5="Uniforme",Supuestos!$D$5+B383*(Supuestos!$E$5-Supuestos!$D$5),IF(Supuestos!$C$5="Lognormal",LOGINV(B383,LN(Supuestos!$D$5)-LN(1+Supuestos!$E$5^2/Supuestos!$D$5^2)/2,SQRT(LN(1+Supuestos!$E$5^2/Supuestos!$D$5^2))),Supuestos!$D$5))))))</f>
        <v/>
      </c>
      <c r="J383" s="31">
        <f>MIN(IF(Supuestos!$H$6="",1E+99,Supuestos!$H$6),MAX(IF(Supuestos!$G$6="",-1E+99,Supuestos!$G$6),IF(Supuestos!$C$6="Normal",NORMINV(C383,Supuestos!$D$6,Supuestos!$E$6),IF(Supuestos!$C$6="Triangular",IF(C383&lt;(Supuestos!$E$6-Supuestos!$D$6)/(Supuestos!$F$6-Supuestos!$D$6),Supuestos!$D$6+SQRT(C383*(Supuestos!$F$6-Supuestos!$D$6)*(Supuestos!$E$6-Supuestos!$D$6)),Supuestos!$F$6-SQRT((1-C383)*(Supuestos!$F$6-Supuestos!$D$6)*(Supuestos!$F$6-Supuestos!$E$6))),IF(Supuestos!$C$6="Uniforme",Supuestos!$D$6+C383*(Supuestos!$E$6-Supuestos!$D$6),IF(Supuestos!$C$6="Lognormal",LOGINV(C383,LN(Supuestos!$D$6)-LN(1+Supuestos!$E$6^2/Supuestos!$D$6^2)/2,SQRT(LN(1+Supuestos!$E$6^2/Supuestos!$D$6^2))),Supuestos!$D$6))))))</f>
        <v/>
      </c>
      <c r="K383" s="32">
        <f>MIN(IF(Supuestos!$H$7="",1E+99,Supuestos!$H$7),MAX(IF(Supuestos!$G$7="",-1E+99,Supuestos!$G$7),IF(Supuestos!$C$7="Normal",NORMINV(D383,Supuestos!$D$7,Supuestos!$E$7),IF(Supuestos!$C$7="Triangular",IF(D383&lt;(Supuestos!$E$7-Supuestos!$D$7)/(Supuestos!$F$7-Supuestos!$D$7),Supuestos!$D$7+SQRT(D383*(Supuestos!$F$7-Supuestos!$D$7)*(Supuestos!$E$7-Supuestos!$D$7)),Supuestos!$F$7-SQRT((1-D383)*(Supuestos!$F$7-Supuestos!$D$7)*(Supuestos!$F$7-Supuestos!$E$7))),IF(Supuestos!$C$7="Uniforme",Supuestos!$D$7+D383*(Supuestos!$E$7-Supuestos!$D$7),IF(Supuestos!$C$7="Lognormal",LOGINV(D383,LN(Supuestos!$D$7)-LN(1+Supuestos!$E$7^2/Supuestos!$D$7^2)/2,SQRT(LN(1+Supuestos!$E$7^2/Supuestos!$D$7^2))),Supuestos!$D$7))))))</f>
        <v/>
      </c>
      <c r="L383" s="32">
        <f>MIN(IF(Supuestos!$H$8="",1E+99,Supuestos!$H$8),MAX(IF(Supuestos!$G$8="",-1E+99,Supuestos!$G$8),IF(Supuestos!$C$8="Normal",NORMINV(E383,Supuestos!$D$8,Supuestos!$E$8),IF(Supuestos!$C$8="Triangular",IF(E383&lt;(Supuestos!$E$8-Supuestos!$D$8)/(Supuestos!$F$8-Supuestos!$D$8),Supuestos!$D$8+SQRT(E383*(Supuestos!$F$8-Supuestos!$D$8)*(Supuestos!$E$8-Supuestos!$D$8)),Supuestos!$F$8-SQRT((1-E383)*(Supuestos!$F$8-Supuestos!$D$8)*(Supuestos!$F$8-Supuestos!$E$8))),IF(Supuestos!$C$8="Uniforme",Supuestos!$D$8+E383*(Supuestos!$E$8-Supuestos!$D$8),IF(Supuestos!$C$8="Lognormal",LOGINV(E383,LN(Supuestos!$D$8)-LN(1+Supuestos!$E$8^2/Supuestos!$D$8^2)/2,SQRT(LN(1+Supuestos!$E$8^2/Supuestos!$D$8^2))),Supuestos!$D$8))))))</f>
        <v/>
      </c>
      <c r="M383" s="32">
        <f>MIN(IF(Supuestos!$H$9="",1E+99,Supuestos!$H$9),MAX(IF(Supuestos!$G$9="",-1E+99,Supuestos!$G$9),IF(Supuestos!$C$9="Normal",NORMINV(F383,Supuestos!$D$9,Supuestos!$E$9),IF(Supuestos!$C$9="Triangular",IF(F383&lt;(Supuestos!$E$9-Supuestos!$D$9)/(Supuestos!$F$9-Supuestos!$D$9),Supuestos!$D$9+SQRT(F383*(Supuestos!$F$9-Supuestos!$D$9)*(Supuestos!$E$9-Supuestos!$D$9)),Supuestos!$F$9-SQRT((1-F383)*(Supuestos!$F$9-Supuestos!$D$9)*(Supuestos!$F$9-Supuestos!$E$9))),IF(Supuestos!$C$9="Uniforme",Supuestos!$D$9+F383*(Supuestos!$E$9-Supuestos!$D$9),IF(Supuestos!$C$9="Lognormal",LOGINV(F383,LN(Supuestos!$D$9)-LN(1+Supuestos!$E$9^2/Supuestos!$D$9^2)/2,SQRT(LN(1+Supuestos!$E$9^2/Supuestos!$D$9^2))),Supuestos!$D$9))))))</f>
        <v/>
      </c>
      <c r="N383" s="32">
        <f>MIN(IF(Supuestos!$H$10="",1E+99,Supuestos!$H$10),MAX(IF(Supuestos!$G$10="",-1E+99,Supuestos!$G$10),IF(Supuestos!$C$10="Normal",NORMINV(G383,Supuestos!$D$10,Supuestos!$E$10),IF(Supuestos!$C$10="Triangular",IF(G383&lt;(Supuestos!$E$10-Supuestos!$D$10)/(Supuestos!$F$10-Supuestos!$D$10),Supuestos!$D$10+SQRT(G383*(Supuestos!$F$10-Supuestos!$D$10)*(Supuestos!$E$10-Supuestos!$D$10)),Supuestos!$F$10-SQRT((1-G383)*(Supuestos!$F$10-Supuestos!$D$10)*(Supuestos!$F$10-Supuestos!$E$10))),IF(Supuestos!$C$10="Uniforme",Supuestos!$D$10+G383*(Supuestos!$E$10-Supuestos!$D$10),IF(Supuestos!$C$10="Lognormal",LOGINV(G383,LN(Supuestos!$D$10)-LN(1+Supuestos!$E$10^2/Supuestos!$D$10^2)/2,SQRT(LN(1+Supuestos!$E$10^2/Supuestos!$D$10^2))),Supuestos!$D$10))))))</f>
        <v/>
      </c>
      <c r="O383" s="31">
        <f>MIN(IF(Supuestos!$H$11="",1E+99,Supuestos!$H$11),MAX(IF(Supuestos!$G$11="",-1E+99,Supuestos!$G$11),IF(Supuestos!$C$11="Normal",NORMINV(H383,Supuestos!$D$11,Supuestos!$E$11),IF(Supuestos!$C$11="Triangular",IF(H383&lt;(Supuestos!$E$11-Supuestos!$D$11)/(Supuestos!$F$11-Supuestos!$D$11),Supuestos!$D$11+SQRT(H383*(Supuestos!$F$11-Supuestos!$D$11)*(Supuestos!$E$11-Supuestos!$D$11)),Supuestos!$F$11-SQRT((1-H383)*(Supuestos!$F$11-Supuestos!$D$11)*(Supuestos!$F$11-Supuestos!$E$11))),IF(Supuestos!$C$11="Uniforme",Supuestos!$D$11+H383*(Supuestos!$E$11-Supuestos!$D$11),IF(Supuestos!$C$11="Lognormal",LOGINV(H383,LN(Supuestos!$D$11)-LN(1+Supuestos!$E$11^2/Supuestos!$D$11^2)/2,SQRT(LN(1+Supuestos!$E$11^2/Supuestos!$D$11^2))),Supuestos!$D$11))))))</f>
        <v/>
      </c>
      <c r="P383" s="33">
        <f>-I383</f>
        <v/>
      </c>
      <c r="Q383" s="33">
        <f>$J383*(1+$K383)^(1-1)*(1-$L383)*(1-$M383)</f>
        <v/>
      </c>
      <c r="R383" s="33">
        <f>$J383*(1+$K383)^(2-1)*(1-$L383)*(1-$M383)</f>
        <v/>
      </c>
      <c r="S383" s="33">
        <f>$J383*(1+$K383)^(3-1)*(1-$L383)*(1-$M383)</f>
        <v/>
      </c>
      <c r="T383" s="33">
        <f>$J383*(1+$K383)^(4-1)*(1-$L383)*(1-$M383)</f>
        <v/>
      </c>
      <c r="U383" s="33">
        <f>$J383*(1+$K383)^(5-1)*(1-$L383)*(1-$M383)+$O383</f>
        <v/>
      </c>
      <c r="V383" s="33">
        <f>P383+NPV($N383,Q383:U383)</f>
        <v/>
      </c>
      <c r="W383" s="32">
        <f>IFERROR(IRR(P383:U383,0.1),"")</f>
        <v/>
      </c>
    </row>
    <row r="384">
      <c r="A384" s="14" t="n">
        <v>380</v>
      </c>
      <c r="B384" s="30">
        <f>RAND()*(1-2E-6)+1E-6</f>
        <v/>
      </c>
      <c r="C384" s="30">
        <f>RAND()*(1-2E-6)+1E-6</f>
        <v/>
      </c>
      <c r="D384" s="30">
        <f>RAND()*(1-2E-6)+1E-6</f>
        <v/>
      </c>
      <c r="E384" s="30">
        <f>RAND()*(1-2E-6)+1E-6</f>
        <v/>
      </c>
      <c r="F384" s="30">
        <f>RAND()*(1-2E-6)+1E-6</f>
        <v/>
      </c>
      <c r="G384" s="30">
        <f>RAND()*(1-2E-6)+1E-6</f>
        <v/>
      </c>
      <c r="H384" s="30">
        <f>RAND()*(1-2E-6)+1E-6</f>
        <v/>
      </c>
      <c r="I384" s="31">
        <f>MIN(IF(Supuestos!$H$5="",1E+99,Supuestos!$H$5),MAX(IF(Supuestos!$G$5="",-1E+99,Supuestos!$G$5),IF(Supuestos!$C$5="Normal",NORMINV(B384,Supuestos!$D$5,Supuestos!$E$5),IF(Supuestos!$C$5="Triangular",IF(B384&lt;(Supuestos!$E$5-Supuestos!$D$5)/(Supuestos!$F$5-Supuestos!$D$5),Supuestos!$D$5+SQRT(B384*(Supuestos!$F$5-Supuestos!$D$5)*(Supuestos!$E$5-Supuestos!$D$5)),Supuestos!$F$5-SQRT((1-B384)*(Supuestos!$F$5-Supuestos!$D$5)*(Supuestos!$F$5-Supuestos!$E$5))),IF(Supuestos!$C$5="Uniforme",Supuestos!$D$5+B384*(Supuestos!$E$5-Supuestos!$D$5),IF(Supuestos!$C$5="Lognormal",LOGINV(B384,LN(Supuestos!$D$5)-LN(1+Supuestos!$E$5^2/Supuestos!$D$5^2)/2,SQRT(LN(1+Supuestos!$E$5^2/Supuestos!$D$5^2))),Supuestos!$D$5))))))</f>
        <v/>
      </c>
      <c r="J384" s="31">
        <f>MIN(IF(Supuestos!$H$6="",1E+99,Supuestos!$H$6),MAX(IF(Supuestos!$G$6="",-1E+99,Supuestos!$G$6),IF(Supuestos!$C$6="Normal",NORMINV(C384,Supuestos!$D$6,Supuestos!$E$6),IF(Supuestos!$C$6="Triangular",IF(C384&lt;(Supuestos!$E$6-Supuestos!$D$6)/(Supuestos!$F$6-Supuestos!$D$6),Supuestos!$D$6+SQRT(C384*(Supuestos!$F$6-Supuestos!$D$6)*(Supuestos!$E$6-Supuestos!$D$6)),Supuestos!$F$6-SQRT((1-C384)*(Supuestos!$F$6-Supuestos!$D$6)*(Supuestos!$F$6-Supuestos!$E$6))),IF(Supuestos!$C$6="Uniforme",Supuestos!$D$6+C384*(Supuestos!$E$6-Supuestos!$D$6),IF(Supuestos!$C$6="Lognormal",LOGINV(C384,LN(Supuestos!$D$6)-LN(1+Supuestos!$E$6^2/Supuestos!$D$6^2)/2,SQRT(LN(1+Supuestos!$E$6^2/Supuestos!$D$6^2))),Supuestos!$D$6))))))</f>
        <v/>
      </c>
      <c r="K384" s="32">
        <f>MIN(IF(Supuestos!$H$7="",1E+99,Supuestos!$H$7),MAX(IF(Supuestos!$G$7="",-1E+99,Supuestos!$G$7),IF(Supuestos!$C$7="Normal",NORMINV(D384,Supuestos!$D$7,Supuestos!$E$7),IF(Supuestos!$C$7="Triangular",IF(D384&lt;(Supuestos!$E$7-Supuestos!$D$7)/(Supuestos!$F$7-Supuestos!$D$7),Supuestos!$D$7+SQRT(D384*(Supuestos!$F$7-Supuestos!$D$7)*(Supuestos!$E$7-Supuestos!$D$7)),Supuestos!$F$7-SQRT((1-D384)*(Supuestos!$F$7-Supuestos!$D$7)*(Supuestos!$F$7-Supuestos!$E$7))),IF(Supuestos!$C$7="Uniforme",Supuestos!$D$7+D384*(Supuestos!$E$7-Supuestos!$D$7),IF(Supuestos!$C$7="Lognormal",LOGINV(D384,LN(Supuestos!$D$7)-LN(1+Supuestos!$E$7^2/Supuestos!$D$7^2)/2,SQRT(LN(1+Supuestos!$E$7^2/Supuestos!$D$7^2))),Supuestos!$D$7))))))</f>
        <v/>
      </c>
      <c r="L384" s="32">
        <f>MIN(IF(Supuestos!$H$8="",1E+99,Supuestos!$H$8),MAX(IF(Supuestos!$G$8="",-1E+99,Supuestos!$G$8),IF(Supuestos!$C$8="Normal",NORMINV(E384,Supuestos!$D$8,Supuestos!$E$8),IF(Supuestos!$C$8="Triangular",IF(E384&lt;(Supuestos!$E$8-Supuestos!$D$8)/(Supuestos!$F$8-Supuestos!$D$8),Supuestos!$D$8+SQRT(E384*(Supuestos!$F$8-Supuestos!$D$8)*(Supuestos!$E$8-Supuestos!$D$8)),Supuestos!$F$8-SQRT((1-E384)*(Supuestos!$F$8-Supuestos!$D$8)*(Supuestos!$F$8-Supuestos!$E$8))),IF(Supuestos!$C$8="Uniforme",Supuestos!$D$8+E384*(Supuestos!$E$8-Supuestos!$D$8),IF(Supuestos!$C$8="Lognormal",LOGINV(E384,LN(Supuestos!$D$8)-LN(1+Supuestos!$E$8^2/Supuestos!$D$8^2)/2,SQRT(LN(1+Supuestos!$E$8^2/Supuestos!$D$8^2))),Supuestos!$D$8))))))</f>
        <v/>
      </c>
      <c r="M384" s="32">
        <f>MIN(IF(Supuestos!$H$9="",1E+99,Supuestos!$H$9),MAX(IF(Supuestos!$G$9="",-1E+99,Supuestos!$G$9),IF(Supuestos!$C$9="Normal",NORMINV(F384,Supuestos!$D$9,Supuestos!$E$9),IF(Supuestos!$C$9="Triangular",IF(F384&lt;(Supuestos!$E$9-Supuestos!$D$9)/(Supuestos!$F$9-Supuestos!$D$9),Supuestos!$D$9+SQRT(F384*(Supuestos!$F$9-Supuestos!$D$9)*(Supuestos!$E$9-Supuestos!$D$9)),Supuestos!$F$9-SQRT((1-F384)*(Supuestos!$F$9-Supuestos!$D$9)*(Supuestos!$F$9-Supuestos!$E$9))),IF(Supuestos!$C$9="Uniforme",Supuestos!$D$9+F384*(Supuestos!$E$9-Supuestos!$D$9),IF(Supuestos!$C$9="Lognormal",LOGINV(F384,LN(Supuestos!$D$9)-LN(1+Supuestos!$E$9^2/Supuestos!$D$9^2)/2,SQRT(LN(1+Supuestos!$E$9^2/Supuestos!$D$9^2))),Supuestos!$D$9))))))</f>
        <v/>
      </c>
      <c r="N384" s="32">
        <f>MIN(IF(Supuestos!$H$10="",1E+99,Supuestos!$H$10),MAX(IF(Supuestos!$G$10="",-1E+99,Supuestos!$G$10),IF(Supuestos!$C$10="Normal",NORMINV(G384,Supuestos!$D$10,Supuestos!$E$10),IF(Supuestos!$C$10="Triangular",IF(G384&lt;(Supuestos!$E$10-Supuestos!$D$10)/(Supuestos!$F$10-Supuestos!$D$10),Supuestos!$D$10+SQRT(G384*(Supuestos!$F$10-Supuestos!$D$10)*(Supuestos!$E$10-Supuestos!$D$10)),Supuestos!$F$10-SQRT((1-G384)*(Supuestos!$F$10-Supuestos!$D$10)*(Supuestos!$F$10-Supuestos!$E$10))),IF(Supuestos!$C$10="Uniforme",Supuestos!$D$10+G384*(Supuestos!$E$10-Supuestos!$D$10),IF(Supuestos!$C$10="Lognormal",LOGINV(G384,LN(Supuestos!$D$10)-LN(1+Supuestos!$E$10^2/Supuestos!$D$10^2)/2,SQRT(LN(1+Supuestos!$E$10^2/Supuestos!$D$10^2))),Supuestos!$D$10))))))</f>
        <v/>
      </c>
      <c r="O384" s="31">
        <f>MIN(IF(Supuestos!$H$11="",1E+99,Supuestos!$H$11),MAX(IF(Supuestos!$G$11="",-1E+99,Supuestos!$G$11),IF(Supuestos!$C$11="Normal",NORMINV(H384,Supuestos!$D$11,Supuestos!$E$11),IF(Supuestos!$C$11="Triangular",IF(H384&lt;(Supuestos!$E$11-Supuestos!$D$11)/(Supuestos!$F$11-Supuestos!$D$11),Supuestos!$D$11+SQRT(H384*(Supuestos!$F$11-Supuestos!$D$11)*(Supuestos!$E$11-Supuestos!$D$11)),Supuestos!$F$11-SQRT((1-H384)*(Supuestos!$F$11-Supuestos!$D$11)*(Supuestos!$F$11-Supuestos!$E$11))),IF(Supuestos!$C$11="Uniforme",Supuestos!$D$11+H384*(Supuestos!$E$11-Supuestos!$D$11),IF(Supuestos!$C$11="Lognormal",LOGINV(H384,LN(Supuestos!$D$11)-LN(1+Supuestos!$E$11^2/Supuestos!$D$11^2)/2,SQRT(LN(1+Supuestos!$E$11^2/Supuestos!$D$11^2))),Supuestos!$D$11))))))</f>
        <v/>
      </c>
      <c r="P384" s="33">
        <f>-I384</f>
        <v/>
      </c>
      <c r="Q384" s="33">
        <f>$J384*(1+$K384)^(1-1)*(1-$L384)*(1-$M384)</f>
        <v/>
      </c>
      <c r="R384" s="33">
        <f>$J384*(1+$K384)^(2-1)*(1-$L384)*(1-$M384)</f>
        <v/>
      </c>
      <c r="S384" s="33">
        <f>$J384*(1+$K384)^(3-1)*(1-$L384)*(1-$M384)</f>
        <v/>
      </c>
      <c r="T384" s="33">
        <f>$J384*(1+$K384)^(4-1)*(1-$L384)*(1-$M384)</f>
        <v/>
      </c>
      <c r="U384" s="33">
        <f>$J384*(1+$K384)^(5-1)*(1-$L384)*(1-$M384)+$O384</f>
        <v/>
      </c>
      <c r="V384" s="33">
        <f>P384+NPV($N384,Q384:U384)</f>
        <v/>
      </c>
      <c r="W384" s="32">
        <f>IFERROR(IRR(P384:U384,0.1),"")</f>
        <v/>
      </c>
    </row>
    <row r="385">
      <c r="A385" s="14" t="n">
        <v>381</v>
      </c>
      <c r="B385" s="30">
        <f>RAND()*(1-2E-6)+1E-6</f>
        <v/>
      </c>
      <c r="C385" s="30">
        <f>RAND()*(1-2E-6)+1E-6</f>
        <v/>
      </c>
      <c r="D385" s="30">
        <f>RAND()*(1-2E-6)+1E-6</f>
        <v/>
      </c>
      <c r="E385" s="30">
        <f>RAND()*(1-2E-6)+1E-6</f>
        <v/>
      </c>
      <c r="F385" s="30">
        <f>RAND()*(1-2E-6)+1E-6</f>
        <v/>
      </c>
      <c r="G385" s="30">
        <f>RAND()*(1-2E-6)+1E-6</f>
        <v/>
      </c>
      <c r="H385" s="30">
        <f>RAND()*(1-2E-6)+1E-6</f>
        <v/>
      </c>
      <c r="I385" s="31">
        <f>MIN(IF(Supuestos!$H$5="",1E+99,Supuestos!$H$5),MAX(IF(Supuestos!$G$5="",-1E+99,Supuestos!$G$5),IF(Supuestos!$C$5="Normal",NORMINV(B385,Supuestos!$D$5,Supuestos!$E$5),IF(Supuestos!$C$5="Triangular",IF(B385&lt;(Supuestos!$E$5-Supuestos!$D$5)/(Supuestos!$F$5-Supuestos!$D$5),Supuestos!$D$5+SQRT(B385*(Supuestos!$F$5-Supuestos!$D$5)*(Supuestos!$E$5-Supuestos!$D$5)),Supuestos!$F$5-SQRT((1-B385)*(Supuestos!$F$5-Supuestos!$D$5)*(Supuestos!$F$5-Supuestos!$E$5))),IF(Supuestos!$C$5="Uniforme",Supuestos!$D$5+B385*(Supuestos!$E$5-Supuestos!$D$5),IF(Supuestos!$C$5="Lognormal",LOGINV(B385,LN(Supuestos!$D$5)-LN(1+Supuestos!$E$5^2/Supuestos!$D$5^2)/2,SQRT(LN(1+Supuestos!$E$5^2/Supuestos!$D$5^2))),Supuestos!$D$5))))))</f>
        <v/>
      </c>
      <c r="J385" s="31">
        <f>MIN(IF(Supuestos!$H$6="",1E+99,Supuestos!$H$6),MAX(IF(Supuestos!$G$6="",-1E+99,Supuestos!$G$6),IF(Supuestos!$C$6="Normal",NORMINV(C385,Supuestos!$D$6,Supuestos!$E$6),IF(Supuestos!$C$6="Triangular",IF(C385&lt;(Supuestos!$E$6-Supuestos!$D$6)/(Supuestos!$F$6-Supuestos!$D$6),Supuestos!$D$6+SQRT(C385*(Supuestos!$F$6-Supuestos!$D$6)*(Supuestos!$E$6-Supuestos!$D$6)),Supuestos!$F$6-SQRT((1-C385)*(Supuestos!$F$6-Supuestos!$D$6)*(Supuestos!$F$6-Supuestos!$E$6))),IF(Supuestos!$C$6="Uniforme",Supuestos!$D$6+C385*(Supuestos!$E$6-Supuestos!$D$6),IF(Supuestos!$C$6="Lognormal",LOGINV(C385,LN(Supuestos!$D$6)-LN(1+Supuestos!$E$6^2/Supuestos!$D$6^2)/2,SQRT(LN(1+Supuestos!$E$6^2/Supuestos!$D$6^2))),Supuestos!$D$6))))))</f>
        <v/>
      </c>
      <c r="K385" s="32">
        <f>MIN(IF(Supuestos!$H$7="",1E+99,Supuestos!$H$7),MAX(IF(Supuestos!$G$7="",-1E+99,Supuestos!$G$7),IF(Supuestos!$C$7="Normal",NORMINV(D385,Supuestos!$D$7,Supuestos!$E$7),IF(Supuestos!$C$7="Triangular",IF(D385&lt;(Supuestos!$E$7-Supuestos!$D$7)/(Supuestos!$F$7-Supuestos!$D$7),Supuestos!$D$7+SQRT(D385*(Supuestos!$F$7-Supuestos!$D$7)*(Supuestos!$E$7-Supuestos!$D$7)),Supuestos!$F$7-SQRT((1-D385)*(Supuestos!$F$7-Supuestos!$D$7)*(Supuestos!$F$7-Supuestos!$E$7))),IF(Supuestos!$C$7="Uniforme",Supuestos!$D$7+D385*(Supuestos!$E$7-Supuestos!$D$7),IF(Supuestos!$C$7="Lognormal",LOGINV(D385,LN(Supuestos!$D$7)-LN(1+Supuestos!$E$7^2/Supuestos!$D$7^2)/2,SQRT(LN(1+Supuestos!$E$7^2/Supuestos!$D$7^2))),Supuestos!$D$7))))))</f>
        <v/>
      </c>
      <c r="L385" s="32">
        <f>MIN(IF(Supuestos!$H$8="",1E+99,Supuestos!$H$8),MAX(IF(Supuestos!$G$8="",-1E+99,Supuestos!$G$8),IF(Supuestos!$C$8="Normal",NORMINV(E385,Supuestos!$D$8,Supuestos!$E$8),IF(Supuestos!$C$8="Triangular",IF(E385&lt;(Supuestos!$E$8-Supuestos!$D$8)/(Supuestos!$F$8-Supuestos!$D$8),Supuestos!$D$8+SQRT(E385*(Supuestos!$F$8-Supuestos!$D$8)*(Supuestos!$E$8-Supuestos!$D$8)),Supuestos!$F$8-SQRT((1-E385)*(Supuestos!$F$8-Supuestos!$D$8)*(Supuestos!$F$8-Supuestos!$E$8))),IF(Supuestos!$C$8="Uniforme",Supuestos!$D$8+E385*(Supuestos!$E$8-Supuestos!$D$8),IF(Supuestos!$C$8="Lognormal",LOGINV(E385,LN(Supuestos!$D$8)-LN(1+Supuestos!$E$8^2/Supuestos!$D$8^2)/2,SQRT(LN(1+Supuestos!$E$8^2/Supuestos!$D$8^2))),Supuestos!$D$8))))))</f>
        <v/>
      </c>
      <c r="M385" s="32">
        <f>MIN(IF(Supuestos!$H$9="",1E+99,Supuestos!$H$9),MAX(IF(Supuestos!$G$9="",-1E+99,Supuestos!$G$9),IF(Supuestos!$C$9="Normal",NORMINV(F385,Supuestos!$D$9,Supuestos!$E$9),IF(Supuestos!$C$9="Triangular",IF(F385&lt;(Supuestos!$E$9-Supuestos!$D$9)/(Supuestos!$F$9-Supuestos!$D$9),Supuestos!$D$9+SQRT(F385*(Supuestos!$F$9-Supuestos!$D$9)*(Supuestos!$E$9-Supuestos!$D$9)),Supuestos!$F$9-SQRT((1-F385)*(Supuestos!$F$9-Supuestos!$D$9)*(Supuestos!$F$9-Supuestos!$E$9))),IF(Supuestos!$C$9="Uniforme",Supuestos!$D$9+F385*(Supuestos!$E$9-Supuestos!$D$9),IF(Supuestos!$C$9="Lognormal",LOGINV(F385,LN(Supuestos!$D$9)-LN(1+Supuestos!$E$9^2/Supuestos!$D$9^2)/2,SQRT(LN(1+Supuestos!$E$9^2/Supuestos!$D$9^2))),Supuestos!$D$9))))))</f>
        <v/>
      </c>
      <c r="N385" s="32">
        <f>MIN(IF(Supuestos!$H$10="",1E+99,Supuestos!$H$10),MAX(IF(Supuestos!$G$10="",-1E+99,Supuestos!$G$10),IF(Supuestos!$C$10="Normal",NORMINV(G385,Supuestos!$D$10,Supuestos!$E$10),IF(Supuestos!$C$10="Triangular",IF(G385&lt;(Supuestos!$E$10-Supuestos!$D$10)/(Supuestos!$F$10-Supuestos!$D$10),Supuestos!$D$10+SQRT(G385*(Supuestos!$F$10-Supuestos!$D$10)*(Supuestos!$E$10-Supuestos!$D$10)),Supuestos!$F$10-SQRT((1-G385)*(Supuestos!$F$10-Supuestos!$D$10)*(Supuestos!$F$10-Supuestos!$E$10))),IF(Supuestos!$C$10="Uniforme",Supuestos!$D$10+G385*(Supuestos!$E$10-Supuestos!$D$10),IF(Supuestos!$C$10="Lognormal",LOGINV(G385,LN(Supuestos!$D$10)-LN(1+Supuestos!$E$10^2/Supuestos!$D$10^2)/2,SQRT(LN(1+Supuestos!$E$10^2/Supuestos!$D$10^2))),Supuestos!$D$10))))))</f>
        <v/>
      </c>
      <c r="O385" s="31">
        <f>MIN(IF(Supuestos!$H$11="",1E+99,Supuestos!$H$11),MAX(IF(Supuestos!$G$11="",-1E+99,Supuestos!$G$11),IF(Supuestos!$C$11="Normal",NORMINV(H385,Supuestos!$D$11,Supuestos!$E$11),IF(Supuestos!$C$11="Triangular",IF(H385&lt;(Supuestos!$E$11-Supuestos!$D$11)/(Supuestos!$F$11-Supuestos!$D$11),Supuestos!$D$11+SQRT(H385*(Supuestos!$F$11-Supuestos!$D$11)*(Supuestos!$E$11-Supuestos!$D$11)),Supuestos!$F$11-SQRT((1-H385)*(Supuestos!$F$11-Supuestos!$D$11)*(Supuestos!$F$11-Supuestos!$E$11))),IF(Supuestos!$C$11="Uniforme",Supuestos!$D$11+H385*(Supuestos!$E$11-Supuestos!$D$11),IF(Supuestos!$C$11="Lognormal",LOGINV(H385,LN(Supuestos!$D$11)-LN(1+Supuestos!$E$11^2/Supuestos!$D$11^2)/2,SQRT(LN(1+Supuestos!$E$11^2/Supuestos!$D$11^2))),Supuestos!$D$11))))))</f>
        <v/>
      </c>
      <c r="P385" s="33">
        <f>-I385</f>
        <v/>
      </c>
      <c r="Q385" s="33">
        <f>$J385*(1+$K385)^(1-1)*(1-$L385)*(1-$M385)</f>
        <v/>
      </c>
      <c r="R385" s="33">
        <f>$J385*(1+$K385)^(2-1)*(1-$L385)*(1-$M385)</f>
        <v/>
      </c>
      <c r="S385" s="33">
        <f>$J385*(1+$K385)^(3-1)*(1-$L385)*(1-$M385)</f>
        <v/>
      </c>
      <c r="T385" s="33">
        <f>$J385*(1+$K385)^(4-1)*(1-$L385)*(1-$M385)</f>
        <v/>
      </c>
      <c r="U385" s="33">
        <f>$J385*(1+$K385)^(5-1)*(1-$L385)*(1-$M385)+$O385</f>
        <v/>
      </c>
      <c r="V385" s="33">
        <f>P385+NPV($N385,Q385:U385)</f>
        <v/>
      </c>
      <c r="W385" s="32">
        <f>IFERROR(IRR(P385:U385,0.1),"")</f>
        <v/>
      </c>
    </row>
    <row r="386">
      <c r="A386" s="14" t="n">
        <v>382</v>
      </c>
      <c r="B386" s="30">
        <f>RAND()*(1-2E-6)+1E-6</f>
        <v/>
      </c>
      <c r="C386" s="30">
        <f>RAND()*(1-2E-6)+1E-6</f>
        <v/>
      </c>
      <c r="D386" s="30">
        <f>RAND()*(1-2E-6)+1E-6</f>
        <v/>
      </c>
      <c r="E386" s="30">
        <f>RAND()*(1-2E-6)+1E-6</f>
        <v/>
      </c>
      <c r="F386" s="30">
        <f>RAND()*(1-2E-6)+1E-6</f>
        <v/>
      </c>
      <c r="G386" s="30">
        <f>RAND()*(1-2E-6)+1E-6</f>
        <v/>
      </c>
      <c r="H386" s="30">
        <f>RAND()*(1-2E-6)+1E-6</f>
        <v/>
      </c>
      <c r="I386" s="31">
        <f>MIN(IF(Supuestos!$H$5="",1E+99,Supuestos!$H$5),MAX(IF(Supuestos!$G$5="",-1E+99,Supuestos!$G$5),IF(Supuestos!$C$5="Normal",NORMINV(B386,Supuestos!$D$5,Supuestos!$E$5),IF(Supuestos!$C$5="Triangular",IF(B386&lt;(Supuestos!$E$5-Supuestos!$D$5)/(Supuestos!$F$5-Supuestos!$D$5),Supuestos!$D$5+SQRT(B386*(Supuestos!$F$5-Supuestos!$D$5)*(Supuestos!$E$5-Supuestos!$D$5)),Supuestos!$F$5-SQRT((1-B386)*(Supuestos!$F$5-Supuestos!$D$5)*(Supuestos!$F$5-Supuestos!$E$5))),IF(Supuestos!$C$5="Uniforme",Supuestos!$D$5+B386*(Supuestos!$E$5-Supuestos!$D$5),IF(Supuestos!$C$5="Lognormal",LOGINV(B386,LN(Supuestos!$D$5)-LN(1+Supuestos!$E$5^2/Supuestos!$D$5^2)/2,SQRT(LN(1+Supuestos!$E$5^2/Supuestos!$D$5^2))),Supuestos!$D$5))))))</f>
        <v/>
      </c>
      <c r="J386" s="31">
        <f>MIN(IF(Supuestos!$H$6="",1E+99,Supuestos!$H$6),MAX(IF(Supuestos!$G$6="",-1E+99,Supuestos!$G$6),IF(Supuestos!$C$6="Normal",NORMINV(C386,Supuestos!$D$6,Supuestos!$E$6),IF(Supuestos!$C$6="Triangular",IF(C386&lt;(Supuestos!$E$6-Supuestos!$D$6)/(Supuestos!$F$6-Supuestos!$D$6),Supuestos!$D$6+SQRT(C386*(Supuestos!$F$6-Supuestos!$D$6)*(Supuestos!$E$6-Supuestos!$D$6)),Supuestos!$F$6-SQRT((1-C386)*(Supuestos!$F$6-Supuestos!$D$6)*(Supuestos!$F$6-Supuestos!$E$6))),IF(Supuestos!$C$6="Uniforme",Supuestos!$D$6+C386*(Supuestos!$E$6-Supuestos!$D$6),IF(Supuestos!$C$6="Lognormal",LOGINV(C386,LN(Supuestos!$D$6)-LN(1+Supuestos!$E$6^2/Supuestos!$D$6^2)/2,SQRT(LN(1+Supuestos!$E$6^2/Supuestos!$D$6^2))),Supuestos!$D$6))))))</f>
        <v/>
      </c>
      <c r="K386" s="32">
        <f>MIN(IF(Supuestos!$H$7="",1E+99,Supuestos!$H$7),MAX(IF(Supuestos!$G$7="",-1E+99,Supuestos!$G$7),IF(Supuestos!$C$7="Normal",NORMINV(D386,Supuestos!$D$7,Supuestos!$E$7),IF(Supuestos!$C$7="Triangular",IF(D386&lt;(Supuestos!$E$7-Supuestos!$D$7)/(Supuestos!$F$7-Supuestos!$D$7),Supuestos!$D$7+SQRT(D386*(Supuestos!$F$7-Supuestos!$D$7)*(Supuestos!$E$7-Supuestos!$D$7)),Supuestos!$F$7-SQRT((1-D386)*(Supuestos!$F$7-Supuestos!$D$7)*(Supuestos!$F$7-Supuestos!$E$7))),IF(Supuestos!$C$7="Uniforme",Supuestos!$D$7+D386*(Supuestos!$E$7-Supuestos!$D$7),IF(Supuestos!$C$7="Lognormal",LOGINV(D386,LN(Supuestos!$D$7)-LN(1+Supuestos!$E$7^2/Supuestos!$D$7^2)/2,SQRT(LN(1+Supuestos!$E$7^2/Supuestos!$D$7^2))),Supuestos!$D$7))))))</f>
        <v/>
      </c>
      <c r="L386" s="32">
        <f>MIN(IF(Supuestos!$H$8="",1E+99,Supuestos!$H$8),MAX(IF(Supuestos!$G$8="",-1E+99,Supuestos!$G$8),IF(Supuestos!$C$8="Normal",NORMINV(E386,Supuestos!$D$8,Supuestos!$E$8),IF(Supuestos!$C$8="Triangular",IF(E386&lt;(Supuestos!$E$8-Supuestos!$D$8)/(Supuestos!$F$8-Supuestos!$D$8),Supuestos!$D$8+SQRT(E386*(Supuestos!$F$8-Supuestos!$D$8)*(Supuestos!$E$8-Supuestos!$D$8)),Supuestos!$F$8-SQRT((1-E386)*(Supuestos!$F$8-Supuestos!$D$8)*(Supuestos!$F$8-Supuestos!$E$8))),IF(Supuestos!$C$8="Uniforme",Supuestos!$D$8+E386*(Supuestos!$E$8-Supuestos!$D$8),IF(Supuestos!$C$8="Lognormal",LOGINV(E386,LN(Supuestos!$D$8)-LN(1+Supuestos!$E$8^2/Supuestos!$D$8^2)/2,SQRT(LN(1+Supuestos!$E$8^2/Supuestos!$D$8^2))),Supuestos!$D$8))))))</f>
        <v/>
      </c>
      <c r="M386" s="32">
        <f>MIN(IF(Supuestos!$H$9="",1E+99,Supuestos!$H$9),MAX(IF(Supuestos!$G$9="",-1E+99,Supuestos!$G$9),IF(Supuestos!$C$9="Normal",NORMINV(F386,Supuestos!$D$9,Supuestos!$E$9),IF(Supuestos!$C$9="Triangular",IF(F386&lt;(Supuestos!$E$9-Supuestos!$D$9)/(Supuestos!$F$9-Supuestos!$D$9),Supuestos!$D$9+SQRT(F386*(Supuestos!$F$9-Supuestos!$D$9)*(Supuestos!$E$9-Supuestos!$D$9)),Supuestos!$F$9-SQRT((1-F386)*(Supuestos!$F$9-Supuestos!$D$9)*(Supuestos!$F$9-Supuestos!$E$9))),IF(Supuestos!$C$9="Uniforme",Supuestos!$D$9+F386*(Supuestos!$E$9-Supuestos!$D$9),IF(Supuestos!$C$9="Lognormal",LOGINV(F386,LN(Supuestos!$D$9)-LN(1+Supuestos!$E$9^2/Supuestos!$D$9^2)/2,SQRT(LN(1+Supuestos!$E$9^2/Supuestos!$D$9^2))),Supuestos!$D$9))))))</f>
        <v/>
      </c>
      <c r="N386" s="32">
        <f>MIN(IF(Supuestos!$H$10="",1E+99,Supuestos!$H$10),MAX(IF(Supuestos!$G$10="",-1E+99,Supuestos!$G$10),IF(Supuestos!$C$10="Normal",NORMINV(G386,Supuestos!$D$10,Supuestos!$E$10),IF(Supuestos!$C$10="Triangular",IF(G386&lt;(Supuestos!$E$10-Supuestos!$D$10)/(Supuestos!$F$10-Supuestos!$D$10),Supuestos!$D$10+SQRT(G386*(Supuestos!$F$10-Supuestos!$D$10)*(Supuestos!$E$10-Supuestos!$D$10)),Supuestos!$F$10-SQRT((1-G386)*(Supuestos!$F$10-Supuestos!$D$10)*(Supuestos!$F$10-Supuestos!$E$10))),IF(Supuestos!$C$10="Uniforme",Supuestos!$D$10+G386*(Supuestos!$E$10-Supuestos!$D$10),IF(Supuestos!$C$10="Lognormal",LOGINV(G386,LN(Supuestos!$D$10)-LN(1+Supuestos!$E$10^2/Supuestos!$D$10^2)/2,SQRT(LN(1+Supuestos!$E$10^2/Supuestos!$D$10^2))),Supuestos!$D$10))))))</f>
        <v/>
      </c>
      <c r="O386" s="31">
        <f>MIN(IF(Supuestos!$H$11="",1E+99,Supuestos!$H$11),MAX(IF(Supuestos!$G$11="",-1E+99,Supuestos!$G$11),IF(Supuestos!$C$11="Normal",NORMINV(H386,Supuestos!$D$11,Supuestos!$E$11),IF(Supuestos!$C$11="Triangular",IF(H386&lt;(Supuestos!$E$11-Supuestos!$D$11)/(Supuestos!$F$11-Supuestos!$D$11),Supuestos!$D$11+SQRT(H386*(Supuestos!$F$11-Supuestos!$D$11)*(Supuestos!$E$11-Supuestos!$D$11)),Supuestos!$F$11-SQRT((1-H386)*(Supuestos!$F$11-Supuestos!$D$11)*(Supuestos!$F$11-Supuestos!$E$11))),IF(Supuestos!$C$11="Uniforme",Supuestos!$D$11+H386*(Supuestos!$E$11-Supuestos!$D$11),IF(Supuestos!$C$11="Lognormal",LOGINV(H386,LN(Supuestos!$D$11)-LN(1+Supuestos!$E$11^2/Supuestos!$D$11^2)/2,SQRT(LN(1+Supuestos!$E$11^2/Supuestos!$D$11^2))),Supuestos!$D$11))))))</f>
        <v/>
      </c>
      <c r="P386" s="33">
        <f>-I386</f>
        <v/>
      </c>
      <c r="Q386" s="33">
        <f>$J386*(1+$K386)^(1-1)*(1-$L386)*(1-$M386)</f>
        <v/>
      </c>
      <c r="R386" s="33">
        <f>$J386*(1+$K386)^(2-1)*(1-$L386)*(1-$M386)</f>
        <v/>
      </c>
      <c r="S386" s="33">
        <f>$J386*(1+$K386)^(3-1)*(1-$L386)*(1-$M386)</f>
        <v/>
      </c>
      <c r="T386" s="33">
        <f>$J386*(1+$K386)^(4-1)*(1-$L386)*(1-$M386)</f>
        <v/>
      </c>
      <c r="U386" s="33">
        <f>$J386*(1+$K386)^(5-1)*(1-$L386)*(1-$M386)+$O386</f>
        <v/>
      </c>
      <c r="V386" s="33">
        <f>P386+NPV($N386,Q386:U386)</f>
        <v/>
      </c>
      <c r="W386" s="32">
        <f>IFERROR(IRR(P386:U386,0.1),"")</f>
        <v/>
      </c>
    </row>
    <row r="387">
      <c r="A387" s="14" t="n">
        <v>383</v>
      </c>
      <c r="B387" s="30">
        <f>RAND()*(1-2E-6)+1E-6</f>
        <v/>
      </c>
      <c r="C387" s="30">
        <f>RAND()*(1-2E-6)+1E-6</f>
        <v/>
      </c>
      <c r="D387" s="30">
        <f>RAND()*(1-2E-6)+1E-6</f>
        <v/>
      </c>
      <c r="E387" s="30">
        <f>RAND()*(1-2E-6)+1E-6</f>
        <v/>
      </c>
      <c r="F387" s="30">
        <f>RAND()*(1-2E-6)+1E-6</f>
        <v/>
      </c>
      <c r="G387" s="30">
        <f>RAND()*(1-2E-6)+1E-6</f>
        <v/>
      </c>
      <c r="H387" s="30">
        <f>RAND()*(1-2E-6)+1E-6</f>
        <v/>
      </c>
      <c r="I387" s="31">
        <f>MIN(IF(Supuestos!$H$5="",1E+99,Supuestos!$H$5),MAX(IF(Supuestos!$G$5="",-1E+99,Supuestos!$G$5),IF(Supuestos!$C$5="Normal",NORMINV(B387,Supuestos!$D$5,Supuestos!$E$5),IF(Supuestos!$C$5="Triangular",IF(B387&lt;(Supuestos!$E$5-Supuestos!$D$5)/(Supuestos!$F$5-Supuestos!$D$5),Supuestos!$D$5+SQRT(B387*(Supuestos!$F$5-Supuestos!$D$5)*(Supuestos!$E$5-Supuestos!$D$5)),Supuestos!$F$5-SQRT((1-B387)*(Supuestos!$F$5-Supuestos!$D$5)*(Supuestos!$F$5-Supuestos!$E$5))),IF(Supuestos!$C$5="Uniforme",Supuestos!$D$5+B387*(Supuestos!$E$5-Supuestos!$D$5),IF(Supuestos!$C$5="Lognormal",LOGINV(B387,LN(Supuestos!$D$5)-LN(1+Supuestos!$E$5^2/Supuestos!$D$5^2)/2,SQRT(LN(1+Supuestos!$E$5^2/Supuestos!$D$5^2))),Supuestos!$D$5))))))</f>
        <v/>
      </c>
      <c r="J387" s="31">
        <f>MIN(IF(Supuestos!$H$6="",1E+99,Supuestos!$H$6),MAX(IF(Supuestos!$G$6="",-1E+99,Supuestos!$G$6),IF(Supuestos!$C$6="Normal",NORMINV(C387,Supuestos!$D$6,Supuestos!$E$6),IF(Supuestos!$C$6="Triangular",IF(C387&lt;(Supuestos!$E$6-Supuestos!$D$6)/(Supuestos!$F$6-Supuestos!$D$6),Supuestos!$D$6+SQRT(C387*(Supuestos!$F$6-Supuestos!$D$6)*(Supuestos!$E$6-Supuestos!$D$6)),Supuestos!$F$6-SQRT((1-C387)*(Supuestos!$F$6-Supuestos!$D$6)*(Supuestos!$F$6-Supuestos!$E$6))),IF(Supuestos!$C$6="Uniforme",Supuestos!$D$6+C387*(Supuestos!$E$6-Supuestos!$D$6),IF(Supuestos!$C$6="Lognormal",LOGINV(C387,LN(Supuestos!$D$6)-LN(1+Supuestos!$E$6^2/Supuestos!$D$6^2)/2,SQRT(LN(1+Supuestos!$E$6^2/Supuestos!$D$6^2))),Supuestos!$D$6))))))</f>
        <v/>
      </c>
      <c r="K387" s="32">
        <f>MIN(IF(Supuestos!$H$7="",1E+99,Supuestos!$H$7),MAX(IF(Supuestos!$G$7="",-1E+99,Supuestos!$G$7),IF(Supuestos!$C$7="Normal",NORMINV(D387,Supuestos!$D$7,Supuestos!$E$7),IF(Supuestos!$C$7="Triangular",IF(D387&lt;(Supuestos!$E$7-Supuestos!$D$7)/(Supuestos!$F$7-Supuestos!$D$7),Supuestos!$D$7+SQRT(D387*(Supuestos!$F$7-Supuestos!$D$7)*(Supuestos!$E$7-Supuestos!$D$7)),Supuestos!$F$7-SQRT((1-D387)*(Supuestos!$F$7-Supuestos!$D$7)*(Supuestos!$F$7-Supuestos!$E$7))),IF(Supuestos!$C$7="Uniforme",Supuestos!$D$7+D387*(Supuestos!$E$7-Supuestos!$D$7),IF(Supuestos!$C$7="Lognormal",LOGINV(D387,LN(Supuestos!$D$7)-LN(1+Supuestos!$E$7^2/Supuestos!$D$7^2)/2,SQRT(LN(1+Supuestos!$E$7^2/Supuestos!$D$7^2))),Supuestos!$D$7))))))</f>
        <v/>
      </c>
      <c r="L387" s="32">
        <f>MIN(IF(Supuestos!$H$8="",1E+99,Supuestos!$H$8),MAX(IF(Supuestos!$G$8="",-1E+99,Supuestos!$G$8),IF(Supuestos!$C$8="Normal",NORMINV(E387,Supuestos!$D$8,Supuestos!$E$8),IF(Supuestos!$C$8="Triangular",IF(E387&lt;(Supuestos!$E$8-Supuestos!$D$8)/(Supuestos!$F$8-Supuestos!$D$8),Supuestos!$D$8+SQRT(E387*(Supuestos!$F$8-Supuestos!$D$8)*(Supuestos!$E$8-Supuestos!$D$8)),Supuestos!$F$8-SQRT((1-E387)*(Supuestos!$F$8-Supuestos!$D$8)*(Supuestos!$F$8-Supuestos!$E$8))),IF(Supuestos!$C$8="Uniforme",Supuestos!$D$8+E387*(Supuestos!$E$8-Supuestos!$D$8),IF(Supuestos!$C$8="Lognormal",LOGINV(E387,LN(Supuestos!$D$8)-LN(1+Supuestos!$E$8^2/Supuestos!$D$8^2)/2,SQRT(LN(1+Supuestos!$E$8^2/Supuestos!$D$8^2))),Supuestos!$D$8))))))</f>
        <v/>
      </c>
      <c r="M387" s="32">
        <f>MIN(IF(Supuestos!$H$9="",1E+99,Supuestos!$H$9),MAX(IF(Supuestos!$G$9="",-1E+99,Supuestos!$G$9),IF(Supuestos!$C$9="Normal",NORMINV(F387,Supuestos!$D$9,Supuestos!$E$9),IF(Supuestos!$C$9="Triangular",IF(F387&lt;(Supuestos!$E$9-Supuestos!$D$9)/(Supuestos!$F$9-Supuestos!$D$9),Supuestos!$D$9+SQRT(F387*(Supuestos!$F$9-Supuestos!$D$9)*(Supuestos!$E$9-Supuestos!$D$9)),Supuestos!$F$9-SQRT((1-F387)*(Supuestos!$F$9-Supuestos!$D$9)*(Supuestos!$F$9-Supuestos!$E$9))),IF(Supuestos!$C$9="Uniforme",Supuestos!$D$9+F387*(Supuestos!$E$9-Supuestos!$D$9),IF(Supuestos!$C$9="Lognormal",LOGINV(F387,LN(Supuestos!$D$9)-LN(1+Supuestos!$E$9^2/Supuestos!$D$9^2)/2,SQRT(LN(1+Supuestos!$E$9^2/Supuestos!$D$9^2))),Supuestos!$D$9))))))</f>
        <v/>
      </c>
      <c r="N387" s="32">
        <f>MIN(IF(Supuestos!$H$10="",1E+99,Supuestos!$H$10),MAX(IF(Supuestos!$G$10="",-1E+99,Supuestos!$G$10),IF(Supuestos!$C$10="Normal",NORMINV(G387,Supuestos!$D$10,Supuestos!$E$10),IF(Supuestos!$C$10="Triangular",IF(G387&lt;(Supuestos!$E$10-Supuestos!$D$10)/(Supuestos!$F$10-Supuestos!$D$10),Supuestos!$D$10+SQRT(G387*(Supuestos!$F$10-Supuestos!$D$10)*(Supuestos!$E$10-Supuestos!$D$10)),Supuestos!$F$10-SQRT((1-G387)*(Supuestos!$F$10-Supuestos!$D$10)*(Supuestos!$F$10-Supuestos!$E$10))),IF(Supuestos!$C$10="Uniforme",Supuestos!$D$10+G387*(Supuestos!$E$10-Supuestos!$D$10),IF(Supuestos!$C$10="Lognormal",LOGINV(G387,LN(Supuestos!$D$10)-LN(1+Supuestos!$E$10^2/Supuestos!$D$10^2)/2,SQRT(LN(1+Supuestos!$E$10^2/Supuestos!$D$10^2))),Supuestos!$D$10))))))</f>
        <v/>
      </c>
      <c r="O387" s="31">
        <f>MIN(IF(Supuestos!$H$11="",1E+99,Supuestos!$H$11),MAX(IF(Supuestos!$G$11="",-1E+99,Supuestos!$G$11),IF(Supuestos!$C$11="Normal",NORMINV(H387,Supuestos!$D$11,Supuestos!$E$11),IF(Supuestos!$C$11="Triangular",IF(H387&lt;(Supuestos!$E$11-Supuestos!$D$11)/(Supuestos!$F$11-Supuestos!$D$11),Supuestos!$D$11+SQRT(H387*(Supuestos!$F$11-Supuestos!$D$11)*(Supuestos!$E$11-Supuestos!$D$11)),Supuestos!$F$11-SQRT((1-H387)*(Supuestos!$F$11-Supuestos!$D$11)*(Supuestos!$F$11-Supuestos!$E$11))),IF(Supuestos!$C$11="Uniforme",Supuestos!$D$11+H387*(Supuestos!$E$11-Supuestos!$D$11),IF(Supuestos!$C$11="Lognormal",LOGINV(H387,LN(Supuestos!$D$11)-LN(1+Supuestos!$E$11^2/Supuestos!$D$11^2)/2,SQRT(LN(1+Supuestos!$E$11^2/Supuestos!$D$11^2))),Supuestos!$D$11))))))</f>
        <v/>
      </c>
      <c r="P387" s="33">
        <f>-I387</f>
        <v/>
      </c>
      <c r="Q387" s="33">
        <f>$J387*(1+$K387)^(1-1)*(1-$L387)*(1-$M387)</f>
        <v/>
      </c>
      <c r="R387" s="33">
        <f>$J387*(1+$K387)^(2-1)*(1-$L387)*(1-$M387)</f>
        <v/>
      </c>
      <c r="S387" s="33">
        <f>$J387*(1+$K387)^(3-1)*(1-$L387)*(1-$M387)</f>
        <v/>
      </c>
      <c r="T387" s="33">
        <f>$J387*(1+$K387)^(4-1)*(1-$L387)*(1-$M387)</f>
        <v/>
      </c>
      <c r="U387" s="33">
        <f>$J387*(1+$K387)^(5-1)*(1-$L387)*(1-$M387)+$O387</f>
        <v/>
      </c>
      <c r="V387" s="33">
        <f>P387+NPV($N387,Q387:U387)</f>
        <v/>
      </c>
      <c r="W387" s="32">
        <f>IFERROR(IRR(P387:U387,0.1),"")</f>
        <v/>
      </c>
    </row>
    <row r="388">
      <c r="A388" s="14" t="n">
        <v>384</v>
      </c>
      <c r="B388" s="30">
        <f>RAND()*(1-2E-6)+1E-6</f>
        <v/>
      </c>
      <c r="C388" s="30">
        <f>RAND()*(1-2E-6)+1E-6</f>
        <v/>
      </c>
      <c r="D388" s="30">
        <f>RAND()*(1-2E-6)+1E-6</f>
        <v/>
      </c>
      <c r="E388" s="30">
        <f>RAND()*(1-2E-6)+1E-6</f>
        <v/>
      </c>
      <c r="F388" s="30">
        <f>RAND()*(1-2E-6)+1E-6</f>
        <v/>
      </c>
      <c r="G388" s="30">
        <f>RAND()*(1-2E-6)+1E-6</f>
        <v/>
      </c>
      <c r="H388" s="30">
        <f>RAND()*(1-2E-6)+1E-6</f>
        <v/>
      </c>
      <c r="I388" s="31">
        <f>MIN(IF(Supuestos!$H$5="",1E+99,Supuestos!$H$5),MAX(IF(Supuestos!$G$5="",-1E+99,Supuestos!$G$5),IF(Supuestos!$C$5="Normal",NORMINV(B388,Supuestos!$D$5,Supuestos!$E$5),IF(Supuestos!$C$5="Triangular",IF(B388&lt;(Supuestos!$E$5-Supuestos!$D$5)/(Supuestos!$F$5-Supuestos!$D$5),Supuestos!$D$5+SQRT(B388*(Supuestos!$F$5-Supuestos!$D$5)*(Supuestos!$E$5-Supuestos!$D$5)),Supuestos!$F$5-SQRT((1-B388)*(Supuestos!$F$5-Supuestos!$D$5)*(Supuestos!$F$5-Supuestos!$E$5))),IF(Supuestos!$C$5="Uniforme",Supuestos!$D$5+B388*(Supuestos!$E$5-Supuestos!$D$5),IF(Supuestos!$C$5="Lognormal",LOGINV(B388,LN(Supuestos!$D$5)-LN(1+Supuestos!$E$5^2/Supuestos!$D$5^2)/2,SQRT(LN(1+Supuestos!$E$5^2/Supuestos!$D$5^2))),Supuestos!$D$5))))))</f>
        <v/>
      </c>
      <c r="J388" s="31">
        <f>MIN(IF(Supuestos!$H$6="",1E+99,Supuestos!$H$6),MAX(IF(Supuestos!$G$6="",-1E+99,Supuestos!$G$6),IF(Supuestos!$C$6="Normal",NORMINV(C388,Supuestos!$D$6,Supuestos!$E$6),IF(Supuestos!$C$6="Triangular",IF(C388&lt;(Supuestos!$E$6-Supuestos!$D$6)/(Supuestos!$F$6-Supuestos!$D$6),Supuestos!$D$6+SQRT(C388*(Supuestos!$F$6-Supuestos!$D$6)*(Supuestos!$E$6-Supuestos!$D$6)),Supuestos!$F$6-SQRT((1-C388)*(Supuestos!$F$6-Supuestos!$D$6)*(Supuestos!$F$6-Supuestos!$E$6))),IF(Supuestos!$C$6="Uniforme",Supuestos!$D$6+C388*(Supuestos!$E$6-Supuestos!$D$6),IF(Supuestos!$C$6="Lognormal",LOGINV(C388,LN(Supuestos!$D$6)-LN(1+Supuestos!$E$6^2/Supuestos!$D$6^2)/2,SQRT(LN(1+Supuestos!$E$6^2/Supuestos!$D$6^2))),Supuestos!$D$6))))))</f>
        <v/>
      </c>
      <c r="K388" s="32">
        <f>MIN(IF(Supuestos!$H$7="",1E+99,Supuestos!$H$7),MAX(IF(Supuestos!$G$7="",-1E+99,Supuestos!$G$7),IF(Supuestos!$C$7="Normal",NORMINV(D388,Supuestos!$D$7,Supuestos!$E$7),IF(Supuestos!$C$7="Triangular",IF(D388&lt;(Supuestos!$E$7-Supuestos!$D$7)/(Supuestos!$F$7-Supuestos!$D$7),Supuestos!$D$7+SQRT(D388*(Supuestos!$F$7-Supuestos!$D$7)*(Supuestos!$E$7-Supuestos!$D$7)),Supuestos!$F$7-SQRT((1-D388)*(Supuestos!$F$7-Supuestos!$D$7)*(Supuestos!$F$7-Supuestos!$E$7))),IF(Supuestos!$C$7="Uniforme",Supuestos!$D$7+D388*(Supuestos!$E$7-Supuestos!$D$7),IF(Supuestos!$C$7="Lognormal",LOGINV(D388,LN(Supuestos!$D$7)-LN(1+Supuestos!$E$7^2/Supuestos!$D$7^2)/2,SQRT(LN(1+Supuestos!$E$7^2/Supuestos!$D$7^2))),Supuestos!$D$7))))))</f>
        <v/>
      </c>
      <c r="L388" s="32">
        <f>MIN(IF(Supuestos!$H$8="",1E+99,Supuestos!$H$8),MAX(IF(Supuestos!$G$8="",-1E+99,Supuestos!$G$8),IF(Supuestos!$C$8="Normal",NORMINV(E388,Supuestos!$D$8,Supuestos!$E$8),IF(Supuestos!$C$8="Triangular",IF(E388&lt;(Supuestos!$E$8-Supuestos!$D$8)/(Supuestos!$F$8-Supuestos!$D$8),Supuestos!$D$8+SQRT(E388*(Supuestos!$F$8-Supuestos!$D$8)*(Supuestos!$E$8-Supuestos!$D$8)),Supuestos!$F$8-SQRT((1-E388)*(Supuestos!$F$8-Supuestos!$D$8)*(Supuestos!$F$8-Supuestos!$E$8))),IF(Supuestos!$C$8="Uniforme",Supuestos!$D$8+E388*(Supuestos!$E$8-Supuestos!$D$8),IF(Supuestos!$C$8="Lognormal",LOGINV(E388,LN(Supuestos!$D$8)-LN(1+Supuestos!$E$8^2/Supuestos!$D$8^2)/2,SQRT(LN(1+Supuestos!$E$8^2/Supuestos!$D$8^2))),Supuestos!$D$8))))))</f>
        <v/>
      </c>
      <c r="M388" s="32">
        <f>MIN(IF(Supuestos!$H$9="",1E+99,Supuestos!$H$9),MAX(IF(Supuestos!$G$9="",-1E+99,Supuestos!$G$9),IF(Supuestos!$C$9="Normal",NORMINV(F388,Supuestos!$D$9,Supuestos!$E$9),IF(Supuestos!$C$9="Triangular",IF(F388&lt;(Supuestos!$E$9-Supuestos!$D$9)/(Supuestos!$F$9-Supuestos!$D$9),Supuestos!$D$9+SQRT(F388*(Supuestos!$F$9-Supuestos!$D$9)*(Supuestos!$E$9-Supuestos!$D$9)),Supuestos!$F$9-SQRT((1-F388)*(Supuestos!$F$9-Supuestos!$D$9)*(Supuestos!$F$9-Supuestos!$E$9))),IF(Supuestos!$C$9="Uniforme",Supuestos!$D$9+F388*(Supuestos!$E$9-Supuestos!$D$9),IF(Supuestos!$C$9="Lognormal",LOGINV(F388,LN(Supuestos!$D$9)-LN(1+Supuestos!$E$9^2/Supuestos!$D$9^2)/2,SQRT(LN(1+Supuestos!$E$9^2/Supuestos!$D$9^2))),Supuestos!$D$9))))))</f>
        <v/>
      </c>
      <c r="N388" s="32">
        <f>MIN(IF(Supuestos!$H$10="",1E+99,Supuestos!$H$10),MAX(IF(Supuestos!$G$10="",-1E+99,Supuestos!$G$10),IF(Supuestos!$C$10="Normal",NORMINV(G388,Supuestos!$D$10,Supuestos!$E$10),IF(Supuestos!$C$10="Triangular",IF(G388&lt;(Supuestos!$E$10-Supuestos!$D$10)/(Supuestos!$F$10-Supuestos!$D$10),Supuestos!$D$10+SQRT(G388*(Supuestos!$F$10-Supuestos!$D$10)*(Supuestos!$E$10-Supuestos!$D$10)),Supuestos!$F$10-SQRT((1-G388)*(Supuestos!$F$10-Supuestos!$D$10)*(Supuestos!$F$10-Supuestos!$E$10))),IF(Supuestos!$C$10="Uniforme",Supuestos!$D$10+G388*(Supuestos!$E$10-Supuestos!$D$10),IF(Supuestos!$C$10="Lognormal",LOGINV(G388,LN(Supuestos!$D$10)-LN(1+Supuestos!$E$10^2/Supuestos!$D$10^2)/2,SQRT(LN(1+Supuestos!$E$10^2/Supuestos!$D$10^2))),Supuestos!$D$10))))))</f>
        <v/>
      </c>
      <c r="O388" s="31">
        <f>MIN(IF(Supuestos!$H$11="",1E+99,Supuestos!$H$11),MAX(IF(Supuestos!$G$11="",-1E+99,Supuestos!$G$11),IF(Supuestos!$C$11="Normal",NORMINV(H388,Supuestos!$D$11,Supuestos!$E$11),IF(Supuestos!$C$11="Triangular",IF(H388&lt;(Supuestos!$E$11-Supuestos!$D$11)/(Supuestos!$F$11-Supuestos!$D$11),Supuestos!$D$11+SQRT(H388*(Supuestos!$F$11-Supuestos!$D$11)*(Supuestos!$E$11-Supuestos!$D$11)),Supuestos!$F$11-SQRT((1-H388)*(Supuestos!$F$11-Supuestos!$D$11)*(Supuestos!$F$11-Supuestos!$E$11))),IF(Supuestos!$C$11="Uniforme",Supuestos!$D$11+H388*(Supuestos!$E$11-Supuestos!$D$11),IF(Supuestos!$C$11="Lognormal",LOGINV(H388,LN(Supuestos!$D$11)-LN(1+Supuestos!$E$11^2/Supuestos!$D$11^2)/2,SQRT(LN(1+Supuestos!$E$11^2/Supuestos!$D$11^2))),Supuestos!$D$11))))))</f>
        <v/>
      </c>
      <c r="P388" s="33">
        <f>-I388</f>
        <v/>
      </c>
      <c r="Q388" s="33">
        <f>$J388*(1+$K388)^(1-1)*(1-$L388)*(1-$M388)</f>
        <v/>
      </c>
      <c r="R388" s="33">
        <f>$J388*(1+$K388)^(2-1)*(1-$L388)*(1-$M388)</f>
        <v/>
      </c>
      <c r="S388" s="33">
        <f>$J388*(1+$K388)^(3-1)*(1-$L388)*(1-$M388)</f>
        <v/>
      </c>
      <c r="T388" s="33">
        <f>$J388*(1+$K388)^(4-1)*(1-$L388)*(1-$M388)</f>
        <v/>
      </c>
      <c r="U388" s="33">
        <f>$J388*(1+$K388)^(5-1)*(1-$L388)*(1-$M388)+$O388</f>
        <v/>
      </c>
      <c r="V388" s="33">
        <f>P388+NPV($N388,Q388:U388)</f>
        <v/>
      </c>
      <c r="W388" s="32">
        <f>IFERROR(IRR(P388:U388,0.1),"")</f>
        <v/>
      </c>
    </row>
    <row r="389">
      <c r="A389" s="14" t="n">
        <v>385</v>
      </c>
      <c r="B389" s="30">
        <f>RAND()*(1-2E-6)+1E-6</f>
        <v/>
      </c>
      <c r="C389" s="30">
        <f>RAND()*(1-2E-6)+1E-6</f>
        <v/>
      </c>
      <c r="D389" s="30">
        <f>RAND()*(1-2E-6)+1E-6</f>
        <v/>
      </c>
      <c r="E389" s="30">
        <f>RAND()*(1-2E-6)+1E-6</f>
        <v/>
      </c>
      <c r="F389" s="30">
        <f>RAND()*(1-2E-6)+1E-6</f>
        <v/>
      </c>
      <c r="G389" s="30">
        <f>RAND()*(1-2E-6)+1E-6</f>
        <v/>
      </c>
      <c r="H389" s="30">
        <f>RAND()*(1-2E-6)+1E-6</f>
        <v/>
      </c>
      <c r="I389" s="31">
        <f>MIN(IF(Supuestos!$H$5="",1E+99,Supuestos!$H$5),MAX(IF(Supuestos!$G$5="",-1E+99,Supuestos!$G$5),IF(Supuestos!$C$5="Normal",NORMINV(B389,Supuestos!$D$5,Supuestos!$E$5),IF(Supuestos!$C$5="Triangular",IF(B389&lt;(Supuestos!$E$5-Supuestos!$D$5)/(Supuestos!$F$5-Supuestos!$D$5),Supuestos!$D$5+SQRT(B389*(Supuestos!$F$5-Supuestos!$D$5)*(Supuestos!$E$5-Supuestos!$D$5)),Supuestos!$F$5-SQRT((1-B389)*(Supuestos!$F$5-Supuestos!$D$5)*(Supuestos!$F$5-Supuestos!$E$5))),IF(Supuestos!$C$5="Uniforme",Supuestos!$D$5+B389*(Supuestos!$E$5-Supuestos!$D$5),IF(Supuestos!$C$5="Lognormal",LOGINV(B389,LN(Supuestos!$D$5)-LN(1+Supuestos!$E$5^2/Supuestos!$D$5^2)/2,SQRT(LN(1+Supuestos!$E$5^2/Supuestos!$D$5^2))),Supuestos!$D$5))))))</f>
        <v/>
      </c>
      <c r="J389" s="31">
        <f>MIN(IF(Supuestos!$H$6="",1E+99,Supuestos!$H$6),MAX(IF(Supuestos!$G$6="",-1E+99,Supuestos!$G$6),IF(Supuestos!$C$6="Normal",NORMINV(C389,Supuestos!$D$6,Supuestos!$E$6),IF(Supuestos!$C$6="Triangular",IF(C389&lt;(Supuestos!$E$6-Supuestos!$D$6)/(Supuestos!$F$6-Supuestos!$D$6),Supuestos!$D$6+SQRT(C389*(Supuestos!$F$6-Supuestos!$D$6)*(Supuestos!$E$6-Supuestos!$D$6)),Supuestos!$F$6-SQRT((1-C389)*(Supuestos!$F$6-Supuestos!$D$6)*(Supuestos!$F$6-Supuestos!$E$6))),IF(Supuestos!$C$6="Uniforme",Supuestos!$D$6+C389*(Supuestos!$E$6-Supuestos!$D$6),IF(Supuestos!$C$6="Lognormal",LOGINV(C389,LN(Supuestos!$D$6)-LN(1+Supuestos!$E$6^2/Supuestos!$D$6^2)/2,SQRT(LN(1+Supuestos!$E$6^2/Supuestos!$D$6^2))),Supuestos!$D$6))))))</f>
        <v/>
      </c>
      <c r="K389" s="32">
        <f>MIN(IF(Supuestos!$H$7="",1E+99,Supuestos!$H$7),MAX(IF(Supuestos!$G$7="",-1E+99,Supuestos!$G$7),IF(Supuestos!$C$7="Normal",NORMINV(D389,Supuestos!$D$7,Supuestos!$E$7),IF(Supuestos!$C$7="Triangular",IF(D389&lt;(Supuestos!$E$7-Supuestos!$D$7)/(Supuestos!$F$7-Supuestos!$D$7),Supuestos!$D$7+SQRT(D389*(Supuestos!$F$7-Supuestos!$D$7)*(Supuestos!$E$7-Supuestos!$D$7)),Supuestos!$F$7-SQRT((1-D389)*(Supuestos!$F$7-Supuestos!$D$7)*(Supuestos!$F$7-Supuestos!$E$7))),IF(Supuestos!$C$7="Uniforme",Supuestos!$D$7+D389*(Supuestos!$E$7-Supuestos!$D$7),IF(Supuestos!$C$7="Lognormal",LOGINV(D389,LN(Supuestos!$D$7)-LN(1+Supuestos!$E$7^2/Supuestos!$D$7^2)/2,SQRT(LN(1+Supuestos!$E$7^2/Supuestos!$D$7^2))),Supuestos!$D$7))))))</f>
        <v/>
      </c>
      <c r="L389" s="32">
        <f>MIN(IF(Supuestos!$H$8="",1E+99,Supuestos!$H$8),MAX(IF(Supuestos!$G$8="",-1E+99,Supuestos!$G$8),IF(Supuestos!$C$8="Normal",NORMINV(E389,Supuestos!$D$8,Supuestos!$E$8),IF(Supuestos!$C$8="Triangular",IF(E389&lt;(Supuestos!$E$8-Supuestos!$D$8)/(Supuestos!$F$8-Supuestos!$D$8),Supuestos!$D$8+SQRT(E389*(Supuestos!$F$8-Supuestos!$D$8)*(Supuestos!$E$8-Supuestos!$D$8)),Supuestos!$F$8-SQRT((1-E389)*(Supuestos!$F$8-Supuestos!$D$8)*(Supuestos!$F$8-Supuestos!$E$8))),IF(Supuestos!$C$8="Uniforme",Supuestos!$D$8+E389*(Supuestos!$E$8-Supuestos!$D$8),IF(Supuestos!$C$8="Lognormal",LOGINV(E389,LN(Supuestos!$D$8)-LN(1+Supuestos!$E$8^2/Supuestos!$D$8^2)/2,SQRT(LN(1+Supuestos!$E$8^2/Supuestos!$D$8^2))),Supuestos!$D$8))))))</f>
        <v/>
      </c>
      <c r="M389" s="32">
        <f>MIN(IF(Supuestos!$H$9="",1E+99,Supuestos!$H$9),MAX(IF(Supuestos!$G$9="",-1E+99,Supuestos!$G$9),IF(Supuestos!$C$9="Normal",NORMINV(F389,Supuestos!$D$9,Supuestos!$E$9),IF(Supuestos!$C$9="Triangular",IF(F389&lt;(Supuestos!$E$9-Supuestos!$D$9)/(Supuestos!$F$9-Supuestos!$D$9),Supuestos!$D$9+SQRT(F389*(Supuestos!$F$9-Supuestos!$D$9)*(Supuestos!$E$9-Supuestos!$D$9)),Supuestos!$F$9-SQRT((1-F389)*(Supuestos!$F$9-Supuestos!$D$9)*(Supuestos!$F$9-Supuestos!$E$9))),IF(Supuestos!$C$9="Uniforme",Supuestos!$D$9+F389*(Supuestos!$E$9-Supuestos!$D$9),IF(Supuestos!$C$9="Lognormal",LOGINV(F389,LN(Supuestos!$D$9)-LN(1+Supuestos!$E$9^2/Supuestos!$D$9^2)/2,SQRT(LN(1+Supuestos!$E$9^2/Supuestos!$D$9^2))),Supuestos!$D$9))))))</f>
        <v/>
      </c>
      <c r="N389" s="32">
        <f>MIN(IF(Supuestos!$H$10="",1E+99,Supuestos!$H$10),MAX(IF(Supuestos!$G$10="",-1E+99,Supuestos!$G$10),IF(Supuestos!$C$10="Normal",NORMINV(G389,Supuestos!$D$10,Supuestos!$E$10),IF(Supuestos!$C$10="Triangular",IF(G389&lt;(Supuestos!$E$10-Supuestos!$D$10)/(Supuestos!$F$10-Supuestos!$D$10),Supuestos!$D$10+SQRT(G389*(Supuestos!$F$10-Supuestos!$D$10)*(Supuestos!$E$10-Supuestos!$D$10)),Supuestos!$F$10-SQRT((1-G389)*(Supuestos!$F$10-Supuestos!$D$10)*(Supuestos!$F$10-Supuestos!$E$10))),IF(Supuestos!$C$10="Uniforme",Supuestos!$D$10+G389*(Supuestos!$E$10-Supuestos!$D$10),IF(Supuestos!$C$10="Lognormal",LOGINV(G389,LN(Supuestos!$D$10)-LN(1+Supuestos!$E$10^2/Supuestos!$D$10^2)/2,SQRT(LN(1+Supuestos!$E$10^2/Supuestos!$D$10^2))),Supuestos!$D$10))))))</f>
        <v/>
      </c>
      <c r="O389" s="31">
        <f>MIN(IF(Supuestos!$H$11="",1E+99,Supuestos!$H$11),MAX(IF(Supuestos!$G$11="",-1E+99,Supuestos!$G$11),IF(Supuestos!$C$11="Normal",NORMINV(H389,Supuestos!$D$11,Supuestos!$E$11),IF(Supuestos!$C$11="Triangular",IF(H389&lt;(Supuestos!$E$11-Supuestos!$D$11)/(Supuestos!$F$11-Supuestos!$D$11),Supuestos!$D$11+SQRT(H389*(Supuestos!$F$11-Supuestos!$D$11)*(Supuestos!$E$11-Supuestos!$D$11)),Supuestos!$F$11-SQRT((1-H389)*(Supuestos!$F$11-Supuestos!$D$11)*(Supuestos!$F$11-Supuestos!$E$11))),IF(Supuestos!$C$11="Uniforme",Supuestos!$D$11+H389*(Supuestos!$E$11-Supuestos!$D$11),IF(Supuestos!$C$11="Lognormal",LOGINV(H389,LN(Supuestos!$D$11)-LN(1+Supuestos!$E$11^2/Supuestos!$D$11^2)/2,SQRT(LN(1+Supuestos!$E$11^2/Supuestos!$D$11^2))),Supuestos!$D$11))))))</f>
        <v/>
      </c>
      <c r="P389" s="33">
        <f>-I389</f>
        <v/>
      </c>
      <c r="Q389" s="33">
        <f>$J389*(1+$K389)^(1-1)*(1-$L389)*(1-$M389)</f>
        <v/>
      </c>
      <c r="R389" s="33">
        <f>$J389*(1+$K389)^(2-1)*(1-$L389)*(1-$M389)</f>
        <v/>
      </c>
      <c r="S389" s="33">
        <f>$J389*(1+$K389)^(3-1)*(1-$L389)*(1-$M389)</f>
        <v/>
      </c>
      <c r="T389" s="33">
        <f>$J389*(1+$K389)^(4-1)*(1-$L389)*(1-$M389)</f>
        <v/>
      </c>
      <c r="U389" s="33">
        <f>$J389*(1+$K389)^(5-1)*(1-$L389)*(1-$M389)+$O389</f>
        <v/>
      </c>
      <c r="V389" s="33">
        <f>P389+NPV($N389,Q389:U389)</f>
        <v/>
      </c>
      <c r="W389" s="32">
        <f>IFERROR(IRR(P389:U389,0.1),"")</f>
        <v/>
      </c>
    </row>
    <row r="390">
      <c r="A390" s="14" t="n">
        <v>386</v>
      </c>
      <c r="B390" s="30">
        <f>RAND()*(1-2E-6)+1E-6</f>
        <v/>
      </c>
      <c r="C390" s="30">
        <f>RAND()*(1-2E-6)+1E-6</f>
        <v/>
      </c>
      <c r="D390" s="30">
        <f>RAND()*(1-2E-6)+1E-6</f>
        <v/>
      </c>
      <c r="E390" s="30">
        <f>RAND()*(1-2E-6)+1E-6</f>
        <v/>
      </c>
      <c r="F390" s="30">
        <f>RAND()*(1-2E-6)+1E-6</f>
        <v/>
      </c>
      <c r="G390" s="30">
        <f>RAND()*(1-2E-6)+1E-6</f>
        <v/>
      </c>
      <c r="H390" s="30">
        <f>RAND()*(1-2E-6)+1E-6</f>
        <v/>
      </c>
      <c r="I390" s="31">
        <f>MIN(IF(Supuestos!$H$5="",1E+99,Supuestos!$H$5),MAX(IF(Supuestos!$G$5="",-1E+99,Supuestos!$G$5),IF(Supuestos!$C$5="Normal",NORMINV(B390,Supuestos!$D$5,Supuestos!$E$5),IF(Supuestos!$C$5="Triangular",IF(B390&lt;(Supuestos!$E$5-Supuestos!$D$5)/(Supuestos!$F$5-Supuestos!$D$5),Supuestos!$D$5+SQRT(B390*(Supuestos!$F$5-Supuestos!$D$5)*(Supuestos!$E$5-Supuestos!$D$5)),Supuestos!$F$5-SQRT((1-B390)*(Supuestos!$F$5-Supuestos!$D$5)*(Supuestos!$F$5-Supuestos!$E$5))),IF(Supuestos!$C$5="Uniforme",Supuestos!$D$5+B390*(Supuestos!$E$5-Supuestos!$D$5),IF(Supuestos!$C$5="Lognormal",LOGINV(B390,LN(Supuestos!$D$5)-LN(1+Supuestos!$E$5^2/Supuestos!$D$5^2)/2,SQRT(LN(1+Supuestos!$E$5^2/Supuestos!$D$5^2))),Supuestos!$D$5))))))</f>
        <v/>
      </c>
      <c r="J390" s="31">
        <f>MIN(IF(Supuestos!$H$6="",1E+99,Supuestos!$H$6),MAX(IF(Supuestos!$G$6="",-1E+99,Supuestos!$G$6),IF(Supuestos!$C$6="Normal",NORMINV(C390,Supuestos!$D$6,Supuestos!$E$6),IF(Supuestos!$C$6="Triangular",IF(C390&lt;(Supuestos!$E$6-Supuestos!$D$6)/(Supuestos!$F$6-Supuestos!$D$6),Supuestos!$D$6+SQRT(C390*(Supuestos!$F$6-Supuestos!$D$6)*(Supuestos!$E$6-Supuestos!$D$6)),Supuestos!$F$6-SQRT((1-C390)*(Supuestos!$F$6-Supuestos!$D$6)*(Supuestos!$F$6-Supuestos!$E$6))),IF(Supuestos!$C$6="Uniforme",Supuestos!$D$6+C390*(Supuestos!$E$6-Supuestos!$D$6),IF(Supuestos!$C$6="Lognormal",LOGINV(C390,LN(Supuestos!$D$6)-LN(1+Supuestos!$E$6^2/Supuestos!$D$6^2)/2,SQRT(LN(1+Supuestos!$E$6^2/Supuestos!$D$6^2))),Supuestos!$D$6))))))</f>
        <v/>
      </c>
      <c r="K390" s="32">
        <f>MIN(IF(Supuestos!$H$7="",1E+99,Supuestos!$H$7),MAX(IF(Supuestos!$G$7="",-1E+99,Supuestos!$G$7),IF(Supuestos!$C$7="Normal",NORMINV(D390,Supuestos!$D$7,Supuestos!$E$7),IF(Supuestos!$C$7="Triangular",IF(D390&lt;(Supuestos!$E$7-Supuestos!$D$7)/(Supuestos!$F$7-Supuestos!$D$7),Supuestos!$D$7+SQRT(D390*(Supuestos!$F$7-Supuestos!$D$7)*(Supuestos!$E$7-Supuestos!$D$7)),Supuestos!$F$7-SQRT((1-D390)*(Supuestos!$F$7-Supuestos!$D$7)*(Supuestos!$F$7-Supuestos!$E$7))),IF(Supuestos!$C$7="Uniforme",Supuestos!$D$7+D390*(Supuestos!$E$7-Supuestos!$D$7),IF(Supuestos!$C$7="Lognormal",LOGINV(D390,LN(Supuestos!$D$7)-LN(1+Supuestos!$E$7^2/Supuestos!$D$7^2)/2,SQRT(LN(1+Supuestos!$E$7^2/Supuestos!$D$7^2))),Supuestos!$D$7))))))</f>
        <v/>
      </c>
      <c r="L390" s="32">
        <f>MIN(IF(Supuestos!$H$8="",1E+99,Supuestos!$H$8),MAX(IF(Supuestos!$G$8="",-1E+99,Supuestos!$G$8),IF(Supuestos!$C$8="Normal",NORMINV(E390,Supuestos!$D$8,Supuestos!$E$8),IF(Supuestos!$C$8="Triangular",IF(E390&lt;(Supuestos!$E$8-Supuestos!$D$8)/(Supuestos!$F$8-Supuestos!$D$8),Supuestos!$D$8+SQRT(E390*(Supuestos!$F$8-Supuestos!$D$8)*(Supuestos!$E$8-Supuestos!$D$8)),Supuestos!$F$8-SQRT((1-E390)*(Supuestos!$F$8-Supuestos!$D$8)*(Supuestos!$F$8-Supuestos!$E$8))),IF(Supuestos!$C$8="Uniforme",Supuestos!$D$8+E390*(Supuestos!$E$8-Supuestos!$D$8),IF(Supuestos!$C$8="Lognormal",LOGINV(E390,LN(Supuestos!$D$8)-LN(1+Supuestos!$E$8^2/Supuestos!$D$8^2)/2,SQRT(LN(1+Supuestos!$E$8^2/Supuestos!$D$8^2))),Supuestos!$D$8))))))</f>
        <v/>
      </c>
      <c r="M390" s="32">
        <f>MIN(IF(Supuestos!$H$9="",1E+99,Supuestos!$H$9),MAX(IF(Supuestos!$G$9="",-1E+99,Supuestos!$G$9),IF(Supuestos!$C$9="Normal",NORMINV(F390,Supuestos!$D$9,Supuestos!$E$9),IF(Supuestos!$C$9="Triangular",IF(F390&lt;(Supuestos!$E$9-Supuestos!$D$9)/(Supuestos!$F$9-Supuestos!$D$9),Supuestos!$D$9+SQRT(F390*(Supuestos!$F$9-Supuestos!$D$9)*(Supuestos!$E$9-Supuestos!$D$9)),Supuestos!$F$9-SQRT((1-F390)*(Supuestos!$F$9-Supuestos!$D$9)*(Supuestos!$F$9-Supuestos!$E$9))),IF(Supuestos!$C$9="Uniforme",Supuestos!$D$9+F390*(Supuestos!$E$9-Supuestos!$D$9),IF(Supuestos!$C$9="Lognormal",LOGINV(F390,LN(Supuestos!$D$9)-LN(1+Supuestos!$E$9^2/Supuestos!$D$9^2)/2,SQRT(LN(1+Supuestos!$E$9^2/Supuestos!$D$9^2))),Supuestos!$D$9))))))</f>
        <v/>
      </c>
      <c r="N390" s="32">
        <f>MIN(IF(Supuestos!$H$10="",1E+99,Supuestos!$H$10),MAX(IF(Supuestos!$G$10="",-1E+99,Supuestos!$G$10),IF(Supuestos!$C$10="Normal",NORMINV(G390,Supuestos!$D$10,Supuestos!$E$10),IF(Supuestos!$C$10="Triangular",IF(G390&lt;(Supuestos!$E$10-Supuestos!$D$10)/(Supuestos!$F$10-Supuestos!$D$10),Supuestos!$D$10+SQRT(G390*(Supuestos!$F$10-Supuestos!$D$10)*(Supuestos!$E$10-Supuestos!$D$10)),Supuestos!$F$10-SQRT((1-G390)*(Supuestos!$F$10-Supuestos!$D$10)*(Supuestos!$F$10-Supuestos!$E$10))),IF(Supuestos!$C$10="Uniforme",Supuestos!$D$10+G390*(Supuestos!$E$10-Supuestos!$D$10),IF(Supuestos!$C$10="Lognormal",LOGINV(G390,LN(Supuestos!$D$10)-LN(1+Supuestos!$E$10^2/Supuestos!$D$10^2)/2,SQRT(LN(1+Supuestos!$E$10^2/Supuestos!$D$10^2))),Supuestos!$D$10))))))</f>
        <v/>
      </c>
      <c r="O390" s="31">
        <f>MIN(IF(Supuestos!$H$11="",1E+99,Supuestos!$H$11),MAX(IF(Supuestos!$G$11="",-1E+99,Supuestos!$G$11),IF(Supuestos!$C$11="Normal",NORMINV(H390,Supuestos!$D$11,Supuestos!$E$11),IF(Supuestos!$C$11="Triangular",IF(H390&lt;(Supuestos!$E$11-Supuestos!$D$11)/(Supuestos!$F$11-Supuestos!$D$11),Supuestos!$D$11+SQRT(H390*(Supuestos!$F$11-Supuestos!$D$11)*(Supuestos!$E$11-Supuestos!$D$11)),Supuestos!$F$11-SQRT((1-H390)*(Supuestos!$F$11-Supuestos!$D$11)*(Supuestos!$F$11-Supuestos!$E$11))),IF(Supuestos!$C$11="Uniforme",Supuestos!$D$11+H390*(Supuestos!$E$11-Supuestos!$D$11),IF(Supuestos!$C$11="Lognormal",LOGINV(H390,LN(Supuestos!$D$11)-LN(1+Supuestos!$E$11^2/Supuestos!$D$11^2)/2,SQRT(LN(1+Supuestos!$E$11^2/Supuestos!$D$11^2))),Supuestos!$D$11))))))</f>
        <v/>
      </c>
      <c r="P390" s="33">
        <f>-I390</f>
        <v/>
      </c>
      <c r="Q390" s="33">
        <f>$J390*(1+$K390)^(1-1)*(1-$L390)*(1-$M390)</f>
        <v/>
      </c>
      <c r="R390" s="33">
        <f>$J390*(1+$K390)^(2-1)*(1-$L390)*(1-$M390)</f>
        <v/>
      </c>
      <c r="S390" s="33">
        <f>$J390*(1+$K390)^(3-1)*(1-$L390)*(1-$M390)</f>
        <v/>
      </c>
      <c r="T390" s="33">
        <f>$J390*(1+$K390)^(4-1)*(1-$L390)*(1-$M390)</f>
        <v/>
      </c>
      <c r="U390" s="33">
        <f>$J390*(1+$K390)^(5-1)*(1-$L390)*(1-$M390)+$O390</f>
        <v/>
      </c>
      <c r="V390" s="33">
        <f>P390+NPV($N390,Q390:U390)</f>
        <v/>
      </c>
      <c r="W390" s="32">
        <f>IFERROR(IRR(P390:U390,0.1),"")</f>
        <v/>
      </c>
    </row>
    <row r="391">
      <c r="A391" s="14" t="n">
        <v>387</v>
      </c>
      <c r="B391" s="30">
        <f>RAND()*(1-2E-6)+1E-6</f>
        <v/>
      </c>
      <c r="C391" s="30">
        <f>RAND()*(1-2E-6)+1E-6</f>
        <v/>
      </c>
      <c r="D391" s="30">
        <f>RAND()*(1-2E-6)+1E-6</f>
        <v/>
      </c>
      <c r="E391" s="30">
        <f>RAND()*(1-2E-6)+1E-6</f>
        <v/>
      </c>
      <c r="F391" s="30">
        <f>RAND()*(1-2E-6)+1E-6</f>
        <v/>
      </c>
      <c r="G391" s="30">
        <f>RAND()*(1-2E-6)+1E-6</f>
        <v/>
      </c>
      <c r="H391" s="30">
        <f>RAND()*(1-2E-6)+1E-6</f>
        <v/>
      </c>
      <c r="I391" s="31">
        <f>MIN(IF(Supuestos!$H$5="",1E+99,Supuestos!$H$5),MAX(IF(Supuestos!$G$5="",-1E+99,Supuestos!$G$5),IF(Supuestos!$C$5="Normal",NORMINV(B391,Supuestos!$D$5,Supuestos!$E$5),IF(Supuestos!$C$5="Triangular",IF(B391&lt;(Supuestos!$E$5-Supuestos!$D$5)/(Supuestos!$F$5-Supuestos!$D$5),Supuestos!$D$5+SQRT(B391*(Supuestos!$F$5-Supuestos!$D$5)*(Supuestos!$E$5-Supuestos!$D$5)),Supuestos!$F$5-SQRT((1-B391)*(Supuestos!$F$5-Supuestos!$D$5)*(Supuestos!$F$5-Supuestos!$E$5))),IF(Supuestos!$C$5="Uniforme",Supuestos!$D$5+B391*(Supuestos!$E$5-Supuestos!$D$5),IF(Supuestos!$C$5="Lognormal",LOGINV(B391,LN(Supuestos!$D$5)-LN(1+Supuestos!$E$5^2/Supuestos!$D$5^2)/2,SQRT(LN(1+Supuestos!$E$5^2/Supuestos!$D$5^2))),Supuestos!$D$5))))))</f>
        <v/>
      </c>
      <c r="J391" s="31">
        <f>MIN(IF(Supuestos!$H$6="",1E+99,Supuestos!$H$6),MAX(IF(Supuestos!$G$6="",-1E+99,Supuestos!$G$6),IF(Supuestos!$C$6="Normal",NORMINV(C391,Supuestos!$D$6,Supuestos!$E$6),IF(Supuestos!$C$6="Triangular",IF(C391&lt;(Supuestos!$E$6-Supuestos!$D$6)/(Supuestos!$F$6-Supuestos!$D$6),Supuestos!$D$6+SQRT(C391*(Supuestos!$F$6-Supuestos!$D$6)*(Supuestos!$E$6-Supuestos!$D$6)),Supuestos!$F$6-SQRT((1-C391)*(Supuestos!$F$6-Supuestos!$D$6)*(Supuestos!$F$6-Supuestos!$E$6))),IF(Supuestos!$C$6="Uniforme",Supuestos!$D$6+C391*(Supuestos!$E$6-Supuestos!$D$6),IF(Supuestos!$C$6="Lognormal",LOGINV(C391,LN(Supuestos!$D$6)-LN(1+Supuestos!$E$6^2/Supuestos!$D$6^2)/2,SQRT(LN(1+Supuestos!$E$6^2/Supuestos!$D$6^2))),Supuestos!$D$6))))))</f>
        <v/>
      </c>
      <c r="K391" s="32">
        <f>MIN(IF(Supuestos!$H$7="",1E+99,Supuestos!$H$7),MAX(IF(Supuestos!$G$7="",-1E+99,Supuestos!$G$7),IF(Supuestos!$C$7="Normal",NORMINV(D391,Supuestos!$D$7,Supuestos!$E$7),IF(Supuestos!$C$7="Triangular",IF(D391&lt;(Supuestos!$E$7-Supuestos!$D$7)/(Supuestos!$F$7-Supuestos!$D$7),Supuestos!$D$7+SQRT(D391*(Supuestos!$F$7-Supuestos!$D$7)*(Supuestos!$E$7-Supuestos!$D$7)),Supuestos!$F$7-SQRT((1-D391)*(Supuestos!$F$7-Supuestos!$D$7)*(Supuestos!$F$7-Supuestos!$E$7))),IF(Supuestos!$C$7="Uniforme",Supuestos!$D$7+D391*(Supuestos!$E$7-Supuestos!$D$7),IF(Supuestos!$C$7="Lognormal",LOGINV(D391,LN(Supuestos!$D$7)-LN(1+Supuestos!$E$7^2/Supuestos!$D$7^2)/2,SQRT(LN(1+Supuestos!$E$7^2/Supuestos!$D$7^2))),Supuestos!$D$7))))))</f>
        <v/>
      </c>
      <c r="L391" s="32">
        <f>MIN(IF(Supuestos!$H$8="",1E+99,Supuestos!$H$8),MAX(IF(Supuestos!$G$8="",-1E+99,Supuestos!$G$8),IF(Supuestos!$C$8="Normal",NORMINV(E391,Supuestos!$D$8,Supuestos!$E$8),IF(Supuestos!$C$8="Triangular",IF(E391&lt;(Supuestos!$E$8-Supuestos!$D$8)/(Supuestos!$F$8-Supuestos!$D$8),Supuestos!$D$8+SQRT(E391*(Supuestos!$F$8-Supuestos!$D$8)*(Supuestos!$E$8-Supuestos!$D$8)),Supuestos!$F$8-SQRT((1-E391)*(Supuestos!$F$8-Supuestos!$D$8)*(Supuestos!$F$8-Supuestos!$E$8))),IF(Supuestos!$C$8="Uniforme",Supuestos!$D$8+E391*(Supuestos!$E$8-Supuestos!$D$8),IF(Supuestos!$C$8="Lognormal",LOGINV(E391,LN(Supuestos!$D$8)-LN(1+Supuestos!$E$8^2/Supuestos!$D$8^2)/2,SQRT(LN(1+Supuestos!$E$8^2/Supuestos!$D$8^2))),Supuestos!$D$8))))))</f>
        <v/>
      </c>
      <c r="M391" s="32">
        <f>MIN(IF(Supuestos!$H$9="",1E+99,Supuestos!$H$9),MAX(IF(Supuestos!$G$9="",-1E+99,Supuestos!$G$9),IF(Supuestos!$C$9="Normal",NORMINV(F391,Supuestos!$D$9,Supuestos!$E$9),IF(Supuestos!$C$9="Triangular",IF(F391&lt;(Supuestos!$E$9-Supuestos!$D$9)/(Supuestos!$F$9-Supuestos!$D$9),Supuestos!$D$9+SQRT(F391*(Supuestos!$F$9-Supuestos!$D$9)*(Supuestos!$E$9-Supuestos!$D$9)),Supuestos!$F$9-SQRT((1-F391)*(Supuestos!$F$9-Supuestos!$D$9)*(Supuestos!$F$9-Supuestos!$E$9))),IF(Supuestos!$C$9="Uniforme",Supuestos!$D$9+F391*(Supuestos!$E$9-Supuestos!$D$9),IF(Supuestos!$C$9="Lognormal",LOGINV(F391,LN(Supuestos!$D$9)-LN(1+Supuestos!$E$9^2/Supuestos!$D$9^2)/2,SQRT(LN(1+Supuestos!$E$9^2/Supuestos!$D$9^2))),Supuestos!$D$9))))))</f>
        <v/>
      </c>
      <c r="N391" s="32">
        <f>MIN(IF(Supuestos!$H$10="",1E+99,Supuestos!$H$10),MAX(IF(Supuestos!$G$10="",-1E+99,Supuestos!$G$10),IF(Supuestos!$C$10="Normal",NORMINV(G391,Supuestos!$D$10,Supuestos!$E$10),IF(Supuestos!$C$10="Triangular",IF(G391&lt;(Supuestos!$E$10-Supuestos!$D$10)/(Supuestos!$F$10-Supuestos!$D$10),Supuestos!$D$10+SQRT(G391*(Supuestos!$F$10-Supuestos!$D$10)*(Supuestos!$E$10-Supuestos!$D$10)),Supuestos!$F$10-SQRT((1-G391)*(Supuestos!$F$10-Supuestos!$D$10)*(Supuestos!$F$10-Supuestos!$E$10))),IF(Supuestos!$C$10="Uniforme",Supuestos!$D$10+G391*(Supuestos!$E$10-Supuestos!$D$10),IF(Supuestos!$C$10="Lognormal",LOGINV(G391,LN(Supuestos!$D$10)-LN(1+Supuestos!$E$10^2/Supuestos!$D$10^2)/2,SQRT(LN(1+Supuestos!$E$10^2/Supuestos!$D$10^2))),Supuestos!$D$10))))))</f>
        <v/>
      </c>
      <c r="O391" s="31">
        <f>MIN(IF(Supuestos!$H$11="",1E+99,Supuestos!$H$11),MAX(IF(Supuestos!$G$11="",-1E+99,Supuestos!$G$11),IF(Supuestos!$C$11="Normal",NORMINV(H391,Supuestos!$D$11,Supuestos!$E$11),IF(Supuestos!$C$11="Triangular",IF(H391&lt;(Supuestos!$E$11-Supuestos!$D$11)/(Supuestos!$F$11-Supuestos!$D$11),Supuestos!$D$11+SQRT(H391*(Supuestos!$F$11-Supuestos!$D$11)*(Supuestos!$E$11-Supuestos!$D$11)),Supuestos!$F$11-SQRT((1-H391)*(Supuestos!$F$11-Supuestos!$D$11)*(Supuestos!$F$11-Supuestos!$E$11))),IF(Supuestos!$C$11="Uniforme",Supuestos!$D$11+H391*(Supuestos!$E$11-Supuestos!$D$11),IF(Supuestos!$C$11="Lognormal",LOGINV(H391,LN(Supuestos!$D$11)-LN(1+Supuestos!$E$11^2/Supuestos!$D$11^2)/2,SQRT(LN(1+Supuestos!$E$11^2/Supuestos!$D$11^2))),Supuestos!$D$11))))))</f>
        <v/>
      </c>
      <c r="P391" s="33">
        <f>-I391</f>
        <v/>
      </c>
      <c r="Q391" s="33">
        <f>$J391*(1+$K391)^(1-1)*(1-$L391)*(1-$M391)</f>
        <v/>
      </c>
      <c r="R391" s="33">
        <f>$J391*(1+$K391)^(2-1)*(1-$L391)*(1-$M391)</f>
        <v/>
      </c>
      <c r="S391" s="33">
        <f>$J391*(1+$K391)^(3-1)*(1-$L391)*(1-$M391)</f>
        <v/>
      </c>
      <c r="T391" s="33">
        <f>$J391*(1+$K391)^(4-1)*(1-$L391)*(1-$M391)</f>
        <v/>
      </c>
      <c r="U391" s="33">
        <f>$J391*(1+$K391)^(5-1)*(1-$L391)*(1-$M391)+$O391</f>
        <v/>
      </c>
      <c r="V391" s="33">
        <f>P391+NPV($N391,Q391:U391)</f>
        <v/>
      </c>
      <c r="W391" s="32">
        <f>IFERROR(IRR(P391:U391,0.1),"")</f>
        <v/>
      </c>
    </row>
    <row r="392">
      <c r="A392" s="14" t="n">
        <v>388</v>
      </c>
      <c r="B392" s="30">
        <f>RAND()*(1-2E-6)+1E-6</f>
        <v/>
      </c>
      <c r="C392" s="30">
        <f>RAND()*(1-2E-6)+1E-6</f>
        <v/>
      </c>
      <c r="D392" s="30">
        <f>RAND()*(1-2E-6)+1E-6</f>
        <v/>
      </c>
      <c r="E392" s="30">
        <f>RAND()*(1-2E-6)+1E-6</f>
        <v/>
      </c>
      <c r="F392" s="30">
        <f>RAND()*(1-2E-6)+1E-6</f>
        <v/>
      </c>
      <c r="G392" s="30">
        <f>RAND()*(1-2E-6)+1E-6</f>
        <v/>
      </c>
      <c r="H392" s="30">
        <f>RAND()*(1-2E-6)+1E-6</f>
        <v/>
      </c>
      <c r="I392" s="31">
        <f>MIN(IF(Supuestos!$H$5="",1E+99,Supuestos!$H$5),MAX(IF(Supuestos!$G$5="",-1E+99,Supuestos!$G$5),IF(Supuestos!$C$5="Normal",NORMINV(B392,Supuestos!$D$5,Supuestos!$E$5),IF(Supuestos!$C$5="Triangular",IF(B392&lt;(Supuestos!$E$5-Supuestos!$D$5)/(Supuestos!$F$5-Supuestos!$D$5),Supuestos!$D$5+SQRT(B392*(Supuestos!$F$5-Supuestos!$D$5)*(Supuestos!$E$5-Supuestos!$D$5)),Supuestos!$F$5-SQRT((1-B392)*(Supuestos!$F$5-Supuestos!$D$5)*(Supuestos!$F$5-Supuestos!$E$5))),IF(Supuestos!$C$5="Uniforme",Supuestos!$D$5+B392*(Supuestos!$E$5-Supuestos!$D$5),IF(Supuestos!$C$5="Lognormal",LOGINV(B392,LN(Supuestos!$D$5)-LN(1+Supuestos!$E$5^2/Supuestos!$D$5^2)/2,SQRT(LN(1+Supuestos!$E$5^2/Supuestos!$D$5^2))),Supuestos!$D$5))))))</f>
        <v/>
      </c>
      <c r="J392" s="31">
        <f>MIN(IF(Supuestos!$H$6="",1E+99,Supuestos!$H$6),MAX(IF(Supuestos!$G$6="",-1E+99,Supuestos!$G$6),IF(Supuestos!$C$6="Normal",NORMINV(C392,Supuestos!$D$6,Supuestos!$E$6),IF(Supuestos!$C$6="Triangular",IF(C392&lt;(Supuestos!$E$6-Supuestos!$D$6)/(Supuestos!$F$6-Supuestos!$D$6),Supuestos!$D$6+SQRT(C392*(Supuestos!$F$6-Supuestos!$D$6)*(Supuestos!$E$6-Supuestos!$D$6)),Supuestos!$F$6-SQRT((1-C392)*(Supuestos!$F$6-Supuestos!$D$6)*(Supuestos!$F$6-Supuestos!$E$6))),IF(Supuestos!$C$6="Uniforme",Supuestos!$D$6+C392*(Supuestos!$E$6-Supuestos!$D$6),IF(Supuestos!$C$6="Lognormal",LOGINV(C392,LN(Supuestos!$D$6)-LN(1+Supuestos!$E$6^2/Supuestos!$D$6^2)/2,SQRT(LN(1+Supuestos!$E$6^2/Supuestos!$D$6^2))),Supuestos!$D$6))))))</f>
        <v/>
      </c>
      <c r="K392" s="32">
        <f>MIN(IF(Supuestos!$H$7="",1E+99,Supuestos!$H$7),MAX(IF(Supuestos!$G$7="",-1E+99,Supuestos!$G$7),IF(Supuestos!$C$7="Normal",NORMINV(D392,Supuestos!$D$7,Supuestos!$E$7),IF(Supuestos!$C$7="Triangular",IF(D392&lt;(Supuestos!$E$7-Supuestos!$D$7)/(Supuestos!$F$7-Supuestos!$D$7),Supuestos!$D$7+SQRT(D392*(Supuestos!$F$7-Supuestos!$D$7)*(Supuestos!$E$7-Supuestos!$D$7)),Supuestos!$F$7-SQRT((1-D392)*(Supuestos!$F$7-Supuestos!$D$7)*(Supuestos!$F$7-Supuestos!$E$7))),IF(Supuestos!$C$7="Uniforme",Supuestos!$D$7+D392*(Supuestos!$E$7-Supuestos!$D$7),IF(Supuestos!$C$7="Lognormal",LOGINV(D392,LN(Supuestos!$D$7)-LN(1+Supuestos!$E$7^2/Supuestos!$D$7^2)/2,SQRT(LN(1+Supuestos!$E$7^2/Supuestos!$D$7^2))),Supuestos!$D$7))))))</f>
        <v/>
      </c>
      <c r="L392" s="32">
        <f>MIN(IF(Supuestos!$H$8="",1E+99,Supuestos!$H$8),MAX(IF(Supuestos!$G$8="",-1E+99,Supuestos!$G$8),IF(Supuestos!$C$8="Normal",NORMINV(E392,Supuestos!$D$8,Supuestos!$E$8),IF(Supuestos!$C$8="Triangular",IF(E392&lt;(Supuestos!$E$8-Supuestos!$D$8)/(Supuestos!$F$8-Supuestos!$D$8),Supuestos!$D$8+SQRT(E392*(Supuestos!$F$8-Supuestos!$D$8)*(Supuestos!$E$8-Supuestos!$D$8)),Supuestos!$F$8-SQRT((1-E392)*(Supuestos!$F$8-Supuestos!$D$8)*(Supuestos!$F$8-Supuestos!$E$8))),IF(Supuestos!$C$8="Uniforme",Supuestos!$D$8+E392*(Supuestos!$E$8-Supuestos!$D$8),IF(Supuestos!$C$8="Lognormal",LOGINV(E392,LN(Supuestos!$D$8)-LN(1+Supuestos!$E$8^2/Supuestos!$D$8^2)/2,SQRT(LN(1+Supuestos!$E$8^2/Supuestos!$D$8^2))),Supuestos!$D$8))))))</f>
        <v/>
      </c>
      <c r="M392" s="32">
        <f>MIN(IF(Supuestos!$H$9="",1E+99,Supuestos!$H$9),MAX(IF(Supuestos!$G$9="",-1E+99,Supuestos!$G$9),IF(Supuestos!$C$9="Normal",NORMINV(F392,Supuestos!$D$9,Supuestos!$E$9),IF(Supuestos!$C$9="Triangular",IF(F392&lt;(Supuestos!$E$9-Supuestos!$D$9)/(Supuestos!$F$9-Supuestos!$D$9),Supuestos!$D$9+SQRT(F392*(Supuestos!$F$9-Supuestos!$D$9)*(Supuestos!$E$9-Supuestos!$D$9)),Supuestos!$F$9-SQRT((1-F392)*(Supuestos!$F$9-Supuestos!$D$9)*(Supuestos!$F$9-Supuestos!$E$9))),IF(Supuestos!$C$9="Uniforme",Supuestos!$D$9+F392*(Supuestos!$E$9-Supuestos!$D$9),IF(Supuestos!$C$9="Lognormal",LOGINV(F392,LN(Supuestos!$D$9)-LN(1+Supuestos!$E$9^2/Supuestos!$D$9^2)/2,SQRT(LN(1+Supuestos!$E$9^2/Supuestos!$D$9^2))),Supuestos!$D$9))))))</f>
        <v/>
      </c>
      <c r="N392" s="32">
        <f>MIN(IF(Supuestos!$H$10="",1E+99,Supuestos!$H$10),MAX(IF(Supuestos!$G$10="",-1E+99,Supuestos!$G$10),IF(Supuestos!$C$10="Normal",NORMINV(G392,Supuestos!$D$10,Supuestos!$E$10),IF(Supuestos!$C$10="Triangular",IF(G392&lt;(Supuestos!$E$10-Supuestos!$D$10)/(Supuestos!$F$10-Supuestos!$D$10),Supuestos!$D$10+SQRT(G392*(Supuestos!$F$10-Supuestos!$D$10)*(Supuestos!$E$10-Supuestos!$D$10)),Supuestos!$F$10-SQRT((1-G392)*(Supuestos!$F$10-Supuestos!$D$10)*(Supuestos!$F$10-Supuestos!$E$10))),IF(Supuestos!$C$10="Uniforme",Supuestos!$D$10+G392*(Supuestos!$E$10-Supuestos!$D$10),IF(Supuestos!$C$10="Lognormal",LOGINV(G392,LN(Supuestos!$D$10)-LN(1+Supuestos!$E$10^2/Supuestos!$D$10^2)/2,SQRT(LN(1+Supuestos!$E$10^2/Supuestos!$D$10^2))),Supuestos!$D$10))))))</f>
        <v/>
      </c>
      <c r="O392" s="31">
        <f>MIN(IF(Supuestos!$H$11="",1E+99,Supuestos!$H$11),MAX(IF(Supuestos!$G$11="",-1E+99,Supuestos!$G$11),IF(Supuestos!$C$11="Normal",NORMINV(H392,Supuestos!$D$11,Supuestos!$E$11),IF(Supuestos!$C$11="Triangular",IF(H392&lt;(Supuestos!$E$11-Supuestos!$D$11)/(Supuestos!$F$11-Supuestos!$D$11),Supuestos!$D$11+SQRT(H392*(Supuestos!$F$11-Supuestos!$D$11)*(Supuestos!$E$11-Supuestos!$D$11)),Supuestos!$F$11-SQRT((1-H392)*(Supuestos!$F$11-Supuestos!$D$11)*(Supuestos!$F$11-Supuestos!$E$11))),IF(Supuestos!$C$11="Uniforme",Supuestos!$D$11+H392*(Supuestos!$E$11-Supuestos!$D$11),IF(Supuestos!$C$11="Lognormal",LOGINV(H392,LN(Supuestos!$D$11)-LN(1+Supuestos!$E$11^2/Supuestos!$D$11^2)/2,SQRT(LN(1+Supuestos!$E$11^2/Supuestos!$D$11^2))),Supuestos!$D$11))))))</f>
        <v/>
      </c>
      <c r="P392" s="33">
        <f>-I392</f>
        <v/>
      </c>
      <c r="Q392" s="33">
        <f>$J392*(1+$K392)^(1-1)*(1-$L392)*(1-$M392)</f>
        <v/>
      </c>
      <c r="R392" s="33">
        <f>$J392*(1+$K392)^(2-1)*(1-$L392)*(1-$M392)</f>
        <v/>
      </c>
      <c r="S392" s="33">
        <f>$J392*(1+$K392)^(3-1)*(1-$L392)*(1-$M392)</f>
        <v/>
      </c>
      <c r="T392" s="33">
        <f>$J392*(1+$K392)^(4-1)*(1-$L392)*(1-$M392)</f>
        <v/>
      </c>
      <c r="U392" s="33">
        <f>$J392*(1+$K392)^(5-1)*(1-$L392)*(1-$M392)+$O392</f>
        <v/>
      </c>
      <c r="V392" s="33">
        <f>P392+NPV($N392,Q392:U392)</f>
        <v/>
      </c>
      <c r="W392" s="32">
        <f>IFERROR(IRR(P392:U392,0.1),"")</f>
        <v/>
      </c>
    </row>
    <row r="393">
      <c r="A393" s="14" t="n">
        <v>389</v>
      </c>
      <c r="B393" s="30">
        <f>RAND()*(1-2E-6)+1E-6</f>
        <v/>
      </c>
      <c r="C393" s="30">
        <f>RAND()*(1-2E-6)+1E-6</f>
        <v/>
      </c>
      <c r="D393" s="30">
        <f>RAND()*(1-2E-6)+1E-6</f>
        <v/>
      </c>
      <c r="E393" s="30">
        <f>RAND()*(1-2E-6)+1E-6</f>
        <v/>
      </c>
      <c r="F393" s="30">
        <f>RAND()*(1-2E-6)+1E-6</f>
        <v/>
      </c>
      <c r="G393" s="30">
        <f>RAND()*(1-2E-6)+1E-6</f>
        <v/>
      </c>
      <c r="H393" s="30">
        <f>RAND()*(1-2E-6)+1E-6</f>
        <v/>
      </c>
      <c r="I393" s="31">
        <f>MIN(IF(Supuestos!$H$5="",1E+99,Supuestos!$H$5),MAX(IF(Supuestos!$G$5="",-1E+99,Supuestos!$G$5),IF(Supuestos!$C$5="Normal",NORMINV(B393,Supuestos!$D$5,Supuestos!$E$5),IF(Supuestos!$C$5="Triangular",IF(B393&lt;(Supuestos!$E$5-Supuestos!$D$5)/(Supuestos!$F$5-Supuestos!$D$5),Supuestos!$D$5+SQRT(B393*(Supuestos!$F$5-Supuestos!$D$5)*(Supuestos!$E$5-Supuestos!$D$5)),Supuestos!$F$5-SQRT((1-B393)*(Supuestos!$F$5-Supuestos!$D$5)*(Supuestos!$F$5-Supuestos!$E$5))),IF(Supuestos!$C$5="Uniforme",Supuestos!$D$5+B393*(Supuestos!$E$5-Supuestos!$D$5),IF(Supuestos!$C$5="Lognormal",LOGINV(B393,LN(Supuestos!$D$5)-LN(1+Supuestos!$E$5^2/Supuestos!$D$5^2)/2,SQRT(LN(1+Supuestos!$E$5^2/Supuestos!$D$5^2))),Supuestos!$D$5))))))</f>
        <v/>
      </c>
      <c r="J393" s="31">
        <f>MIN(IF(Supuestos!$H$6="",1E+99,Supuestos!$H$6),MAX(IF(Supuestos!$G$6="",-1E+99,Supuestos!$G$6),IF(Supuestos!$C$6="Normal",NORMINV(C393,Supuestos!$D$6,Supuestos!$E$6),IF(Supuestos!$C$6="Triangular",IF(C393&lt;(Supuestos!$E$6-Supuestos!$D$6)/(Supuestos!$F$6-Supuestos!$D$6),Supuestos!$D$6+SQRT(C393*(Supuestos!$F$6-Supuestos!$D$6)*(Supuestos!$E$6-Supuestos!$D$6)),Supuestos!$F$6-SQRT((1-C393)*(Supuestos!$F$6-Supuestos!$D$6)*(Supuestos!$F$6-Supuestos!$E$6))),IF(Supuestos!$C$6="Uniforme",Supuestos!$D$6+C393*(Supuestos!$E$6-Supuestos!$D$6),IF(Supuestos!$C$6="Lognormal",LOGINV(C393,LN(Supuestos!$D$6)-LN(1+Supuestos!$E$6^2/Supuestos!$D$6^2)/2,SQRT(LN(1+Supuestos!$E$6^2/Supuestos!$D$6^2))),Supuestos!$D$6))))))</f>
        <v/>
      </c>
      <c r="K393" s="32">
        <f>MIN(IF(Supuestos!$H$7="",1E+99,Supuestos!$H$7),MAX(IF(Supuestos!$G$7="",-1E+99,Supuestos!$G$7),IF(Supuestos!$C$7="Normal",NORMINV(D393,Supuestos!$D$7,Supuestos!$E$7),IF(Supuestos!$C$7="Triangular",IF(D393&lt;(Supuestos!$E$7-Supuestos!$D$7)/(Supuestos!$F$7-Supuestos!$D$7),Supuestos!$D$7+SQRT(D393*(Supuestos!$F$7-Supuestos!$D$7)*(Supuestos!$E$7-Supuestos!$D$7)),Supuestos!$F$7-SQRT((1-D393)*(Supuestos!$F$7-Supuestos!$D$7)*(Supuestos!$F$7-Supuestos!$E$7))),IF(Supuestos!$C$7="Uniforme",Supuestos!$D$7+D393*(Supuestos!$E$7-Supuestos!$D$7),IF(Supuestos!$C$7="Lognormal",LOGINV(D393,LN(Supuestos!$D$7)-LN(1+Supuestos!$E$7^2/Supuestos!$D$7^2)/2,SQRT(LN(1+Supuestos!$E$7^2/Supuestos!$D$7^2))),Supuestos!$D$7))))))</f>
        <v/>
      </c>
      <c r="L393" s="32">
        <f>MIN(IF(Supuestos!$H$8="",1E+99,Supuestos!$H$8),MAX(IF(Supuestos!$G$8="",-1E+99,Supuestos!$G$8),IF(Supuestos!$C$8="Normal",NORMINV(E393,Supuestos!$D$8,Supuestos!$E$8),IF(Supuestos!$C$8="Triangular",IF(E393&lt;(Supuestos!$E$8-Supuestos!$D$8)/(Supuestos!$F$8-Supuestos!$D$8),Supuestos!$D$8+SQRT(E393*(Supuestos!$F$8-Supuestos!$D$8)*(Supuestos!$E$8-Supuestos!$D$8)),Supuestos!$F$8-SQRT((1-E393)*(Supuestos!$F$8-Supuestos!$D$8)*(Supuestos!$F$8-Supuestos!$E$8))),IF(Supuestos!$C$8="Uniforme",Supuestos!$D$8+E393*(Supuestos!$E$8-Supuestos!$D$8),IF(Supuestos!$C$8="Lognormal",LOGINV(E393,LN(Supuestos!$D$8)-LN(1+Supuestos!$E$8^2/Supuestos!$D$8^2)/2,SQRT(LN(1+Supuestos!$E$8^2/Supuestos!$D$8^2))),Supuestos!$D$8))))))</f>
        <v/>
      </c>
      <c r="M393" s="32">
        <f>MIN(IF(Supuestos!$H$9="",1E+99,Supuestos!$H$9),MAX(IF(Supuestos!$G$9="",-1E+99,Supuestos!$G$9),IF(Supuestos!$C$9="Normal",NORMINV(F393,Supuestos!$D$9,Supuestos!$E$9),IF(Supuestos!$C$9="Triangular",IF(F393&lt;(Supuestos!$E$9-Supuestos!$D$9)/(Supuestos!$F$9-Supuestos!$D$9),Supuestos!$D$9+SQRT(F393*(Supuestos!$F$9-Supuestos!$D$9)*(Supuestos!$E$9-Supuestos!$D$9)),Supuestos!$F$9-SQRT((1-F393)*(Supuestos!$F$9-Supuestos!$D$9)*(Supuestos!$F$9-Supuestos!$E$9))),IF(Supuestos!$C$9="Uniforme",Supuestos!$D$9+F393*(Supuestos!$E$9-Supuestos!$D$9),IF(Supuestos!$C$9="Lognormal",LOGINV(F393,LN(Supuestos!$D$9)-LN(1+Supuestos!$E$9^2/Supuestos!$D$9^2)/2,SQRT(LN(1+Supuestos!$E$9^2/Supuestos!$D$9^2))),Supuestos!$D$9))))))</f>
        <v/>
      </c>
      <c r="N393" s="32">
        <f>MIN(IF(Supuestos!$H$10="",1E+99,Supuestos!$H$10),MAX(IF(Supuestos!$G$10="",-1E+99,Supuestos!$G$10),IF(Supuestos!$C$10="Normal",NORMINV(G393,Supuestos!$D$10,Supuestos!$E$10),IF(Supuestos!$C$10="Triangular",IF(G393&lt;(Supuestos!$E$10-Supuestos!$D$10)/(Supuestos!$F$10-Supuestos!$D$10),Supuestos!$D$10+SQRT(G393*(Supuestos!$F$10-Supuestos!$D$10)*(Supuestos!$E$10-Supuestos!$D$10)),Supuestos!$F$10-SQRT((1-G393)*(Supuestos!$F$10-Supuestos!$D$10)*(Supuestos!$F$10-Supuestos!$E$10))),IF(Supuestos!$C$10="Uniforme",Supuestos!$D$10+G393*(Supuestos!$E$10-Supuestos!$D$10),IF(Supuestos!$C$10="Lognormal",LOGINV(G393,LN(Supuestos!$D$10)-LN(1+Supuestos!$E$10^2/Supuestos!$D$10^2)/2,SQRT(LN(1+Supuestos!$E$10^2/Supuestos!$D$10^2))),Supuestos!$D$10))))))</f>
        <v/>
      </c>
      <c r="O393" s="31">
        <f>MIN(IF(Supuestos!$H$11="",1E+99,Supuestos!$H$11),MAX(IF(Supuestos!$G$11="",-1E+99,Supuestos!$G$11),IF(Supuestos!$C$11="Normal",NORMINV(H393,Supuestos!$D$11,Supuestos!$E$11),IF(Supuestos!$C$11="Triangular",IF(H393&lt;(Supuestos!$E$11-Supuestos!$D$11)/(Supuestos!$F$11-Supuestos!$D$11),Supuestos!$D$11+SQRT(H393*(Supuestos!$F$11-Supuestos!$D$11)*(Supuestos!$E$11-Supuestos!$D$11)),Supuestos!$F$11-SQRT((1-H393)*(Supuestos!$F$11-Supuestos!$D$11)*(Supuestos!$F$11-Supuestos!$E$11))),IF(Supuestos!$C$11="Uniforme",Supuestos!$D$11+H393*(Supuestos!$E$11-Supuestos!$D$11),IF(Supuestos!$C$11="Lognormal",LOGINV(H393,LN(Supuestos!$D$11)-LN(1+Supuestos!$E$11^2/Supuestos!$D$11^2)/2,SQRT(LN(1+Supuestos!$E$11^2/Supuestos!$D$11^2))),Supuestos!$D$11))))))</f>
        <v/>
      </c>
      <c r="P393" s="33">
        <f>-I393</f>
        <v/>
      </c>
      <c r="Q393" s="33">
        <f>$J393*(1+$K393)^(1-1)*(1-$L393)*(1-$M393)</f>
        <v/>
      </c>
      <c r="R393" s="33">
        <f>$J393*(1+$K393)^(2-1)*(1-$L393)*(1-$M393)</f>
        <v/>
      </c>
      <c r="S393" s="33">
        <f>$J393*(1+$K393)^(3-1)*(1-$L393)*(1-$M393)</f>
        <v/>
      </c>
      <c r="T393" s="33">
        <f>$J393*(1+$K393)^(4-1)*(1-$L393)*(1-$M393)</f>
        <v/>
      </c>
      <c r="U393" s="33">
        <f>$J393*(1+$K393)^(5-1)*(1-$L393)*(1-$M393)+$O393</f>
        <v/>
      </c>
      <c r="V393" s="33">
        <f>P393+NPV($N393,Q393:U393)</f>
        <v/>
      </c>
      <c r="W393" s="32">
        <f>IFERROR(IRR(P393:U393,0.1),"")</f>
        <v/>
      </c>
    </row>
    <row r="394">
      <c r="A394" s="14" t="n">
        <v>390</v>
      </c>
      <c r="B394" s="30">
        <f>RAND()*(1-2E-6)+1E-6</f>
        <v/>
      </c>
      <c r="C394" s="30">
        <f>RAND()*(1-2E-6)+1E-6</f>
        <v/>
      </c>
      <c r="D394" s="30">
        <f>RAND()*(1-2E-6)+1E-6</f>
        <v/>
      </c>
      <c r="E394" s="30">
        <f>RAND()*(1-2E-6)+1E-6</f>
        <v/>
      </c>
      <c r="F394" s="30">
        <f>RAND()*(1-2E-6)+1E-6</f>
        <v/>
      </c>
      <c r="G394" s="30">
        <f>RAND()*(1-2E-6)+1E-6</f>
        <v/>
      </c>
      <c r="H394" s="30">
        <f>RAND()*(1-2E-6)+1E-6</f>
        <v/>
      </c>
      <c r="I394" s="31">
        <f>MIN(IF(Supuestos!$H$5="",1E+99,Supuestos!$H$5),MAX(IF(Supuestos!$G$5="",-1E+99,Supuestos!$G$5),IF(Supuestos!$C$5="Normal",NORMINV(B394,Supuestos!$D$5,Supuestos!$E$5),IF(Supuestos!$C$5="Triangular",IF(B394&lt;(Supuestos!$E$5-Supuestos!$D$5)/(Supuestos!$F$5-Supuestos!$D$5),Supuestos!$D$5+SQRT(B394*(Supuestos!$F$5-Supuestos!$D$5)*(Supuestos!$E$5-Supuestos!$D$5)),Supuestos!$F$5-SQRT((1-B394)*(Supuestos!$F$5-Supuestos!$D$5)*(Supuestos!$F$5-Supuestos!$E$5))),IF(Supuestos!$C$5="Uniforme",Supuestos!$D$5+B394*(Supuestos!$E$5-Supuestos!$D$5),IF(Supuestos!$C$5="Lognormal",LOGINV(B394,LN(Supuestos!$D$5)-LN(1+Supuestos!$E$5^2/Supuestos!$D$5^2)/2,SQRT(LN(1+Supuestos!$E$5^2/Supuestos!$D$5^2))),Supuestos!$D$5))))))</f>
        <v/>
      </c>
      <c r="J394" s="31">
        <f>MIN(IF(Supuestos!$H$6="",1E+99,Supuestos!$H$6),MAX(IF(Supuestos!$G$6="",-1E+99,Supuestos!$G$6),IF(Supuestos!$C$6="Normal",NORMINV(C394,Supuestos!$D$6,Supuestos!$E$6),IF(Supuestos!$C$6="Triangular",IF(C394&lt;(Supuestos!$E$6-Supuestos!$D$6)/(Supuestos!$F$6-Supuestos!$D$6),Supuestos!$D$6+SQRT(C394*(Supuestos!$F$6-Supuestos!$D$6)*(Supuestos!$E$6-Supuestos!$D$6)),Supuestos!$F$6-SQRT((1-C394)*(Supuestos!$F$6-Supuestos!$D$6)*(Supuestos!$F$6-Supuestos!$E$6))),IF(Supuestos!$C$6="Uniforme",Supuestos!$D$6+C394*(Supuestos!$E$6-Supuestos!$D$6),IF(Supuestos!$C$6="Lognormal",LOGINV(C394,LN(Supuestos!$D$6)-LN(1+Supuestos!$E$6^2/Supuestos!$D$6^2)/2,SQRT(LN(1+Supuestos!$E$6^2/Supuestos!$D$6^2))),Supuestos!$D$6))))))</f>
        <v/>
      </c>
      <c r="K394" s="32">
        <f>MIN(IF(Supuestos!$H$7="",1E+99,Supuestos!$H$7),MAX(IF(Supuestos!$G$7="",-1E+99,Supuestos!$G$7),IF(Supuestos!$C$7="Normal",NORMINV(D394,Supuestos!$D$7,Supuestos!$E$7),IF(Supuestos!$C$7="Triangular",IF(D394&lt;(Supuestos!$E$7-Supuestos!$D$7)/(Supuestos!$F$7-Supuestos!$D$7),Supuestos!$D$7+SQRT(D394*(Supuestos!$F$7-Supuestos!$D$7)*(Supuestos!$E$7-Supuestos!$D$7)),Supuestos!$F$7-SQRT((1-D394)*(Supuestos!$F$7-Supuestos!$D$7)*(Supuestos!$F$7-Supuestos!$E$7))),IF(Supuestos!$C$7="Uniforme",Supuestos!$D$7+D394*(Supuestos!$E$7-Supuestos!$D$7),IF(Supuestos!$C$7="Lognormal",LOGINV(D394,LN(Supuestos!$D$7)-LN(1+Supuestos!$E$7^2/Supuestos!$D$7^2)/2,SQRT(LN(1+Supuestos!$E$7^2/Supuestos!$D$7^2))),Supuestos!$D$7))))))</f>
        <v/>
      </c>
      <c r="L394" s="32">
        <f>MIN(IF(Supuestos!$H$8="",1E+99,Supuestos!$H$8),MAX(IF(Supuestos!$G$8="",-1E+99,Supuestos!$G$8),IF(Supuestos!$C$8="Normal",NORMINV(E394,Supuestos!$D$8,Supuestos!$E$8),IF(Supuestos!$C$8="Triangular",IF(E394&lt;(Supuestos!$E$8-Supuestos!$D$8)/(Supuestos!$F$8-Supuestos!$D$8),Supuestos!$D$8+SQRT(E394*(Supuestos!$F$8-Supuestos!$D$8)*(Supuestos!$E$8-Supuestos!$D$8)),Supuestos!$F$8-SQRT((1-E394)*(Supuestos!$F$8-Supuestos!$D$8)*(Supuestos!$F$8-Supuestos!$E$8))),IF(Supuestos!$C$8="Uniforme",Supuestos!$D$8+E394*(Supuestos!$E$8-Supuestos!$D$8),IF(Supuestos!$C$8="Lognormal",LOGINV(E394,LN(Supuestos!$D$8)-LN(1+Supuestos!$E$8^2/Supuestos!$D$8^2)/2,SQRT(LN(1+Supuestos!$E$8^2/Supuestos!$D$8^2))),Supuestos!$D$8))))))</f>
        <v/>
      </c>
      <c r="M394" s="32">
        <f>MIN(IF(Supuestos!$H$9="",1E+99,Supuestos!$H$9),MAX(IF(Supuestos!$G$9="",-1E+99,Supuestos!$G$9),IF(Supuestos!$C$9="Normal",NORMINV(F394,Supuestos!$D$9,Supuestos!$E$9),IF(Supuestos!$C$9="Triangular",IF(F394&lt;(Supuestos!$E$9-Supuestos!$D$9)/(Supuestos!$F$9-Supuestos!$D$9),Supuestos!$D$9+SQRT(F394*(Supuestos!$F$9-Supuestos!$D$9)*(Supuestos!$E$9-Supuestos!$D$9)),Supuestos!$F$9-SQRT((1-F394)*(Supuestos!$F$9-Supuestos!$D$9)*(Supuestos!$F$9-Supuestos!$E$9))),IF(Supuestos!$C$9="Uniforme",Supuestos!$D$9+F394*(Supuestos!$E$9-Supuestos!$D$9),IF(Supuestos!$C$9="Lognormal",LOGINV(F394,LN(Supuestos!$D$9)-LN(1+Supuestos!$E$9^2/Supuestos!$D$9^2)/2,SQRT(LN(1+Supuestos!$E$9^2/Supuestos!$D$9^2))),Supuestos!$D$9))))))</f>
        <v/>
      </c>
      <c r="N394" s="32">
        <f>MIN(IF(Supuestos!$H$10="",1E+99,Supuestos!$H$10),MAX(IF(Supuestos!$G$10="",-1E+99,Supuestos!$G$10),IF(Supuestos!$C$10="Normal",NORMINV(G394,Supuestos!$D$10,Supuestos!$E$10),IF(Supuestos!$C$10="Triangular",IF(G394&lt;(Supuestos!$E$10-Supuestos!$D$10)/(Supuestos!$F$10-Supuestos!$D$10),Supuestos!$D$10+SQRT(G394*(Supuestos!$F$10-Supuestos!$D$10)*(Supuestos!$E$10-Supuestos!$D$10)),Supuestos!$F$10-SQRT((1-G394)*(Supuestos!$F$10-Supuestos!$D$10)*(Supuestos!$F$10-Supuestos!$E$10))),IF(Supuestos!$C$10="Uniforme",Supuestos!$D$10+G394*(Supuestos!$E$10-Supuestos!$D$10),IF(Supuestos!$C$10="Lognormal",LOGINV(G394,LN(Supuestos!$D$10)-LN(1+Supuestos!$E$10^2/Supuestos!$D$10^2)/2,SQRT(LN(1+Supuestos!$E$10^2/Supuestos!$D$10^2))),Supuestos!$D$10))))))</f>
        <v/>
      </c>
      <c r="O394" s="31">
        <f>MIN(IF(Supuestos!$H$11="",1E+99,Supuestos!$H$11),MAX(IF(Supuestos!$G$11="",-1E+99,Supuestos!$G$11),IF(Supuestos!$C$11="Normal",NORMINV(H394,Supuestos!$D$11,Supuestos!$E$11),IF(Supuestos!$C$11="Triangular",IF(H394&lt;(Supuestos!$E$11-Supuestos!$D$11)/(Supuestos!$F$11-Supuestos!$D$11),Supuestos!$D$11+SQRT(H394*(Supuestos!$F$11-Supuestos!$D$11)*(Supuestos!$E$11-Supuestos!$D$11)),Supuestos!$F$11-SQRT((1-H394)*(Supuestos!$F$11-Supuestos!$D$11)*(Supuestos!$F$11-Supuestos!$E$11))),IF(Supuestos!$C$11="Uniforme",Supuestos!$D$11+H394*(Supuestos!$E$11-Supuestos!$D$11),IF(Supuestos!$C$11="Lognormal",LOGINV(H394,LN(Supuestos!$D$11)-LN(1+Supuestos!$E$11^2/Supuestos!$D$11^2)/2,SQRT(LN(1+Supuestos!$E$11^2/Supuestos!$D$11^2))),Supuestos!$D$11))))))</f>
        <v/>
      </c>
      <c r="P394" s="33">
        <f>-I394</f>
        <v/>
      </c>
      <c r="Q394" s="33">
        <f>$J394*(1+$K394)^(1-1)*(1-$L394)*(1-$M394)</f>
        <v/>
      </c>
      <c r="R394" s="33">
        <f>$J394*(1+$K394)^(2-1)*(1-$L394)*(1-$M394)</f>
        <v/>
      </c>
      <c r="S394" s="33">
        <f>$J394*(1+$K394)^(3-1)*(1-$L394)*(1-$M394)</f>
        <v/>
      </c>
      <c r="T394" s="33">
        <f>$J394*(1+$K394)^(4-1)*(1-$L394)*(1-$M394)</f>
        <v/>
      </c>
      <c r="U394" s="33">
        <f>$J394*(1+$K394)^(5-1)*(1-$L394)*(1-$M394)+$O394</f>
        <v/>
      </c>
      <c r="V394" s="33">
        <f>P394+NPV($N394,Q394:U394)</f>
        <v/>
      </c>
      <c r="W394" s="32">
        <f>IFERROR(IRR(P394:U394,0.1),"")</f>
        <v/>
      </c>
    </row>
    <row r="395">
      <c r="A395" s="14" t="n">
        <v>391</v>
      </c>
      <c r="B395" s="30">
        <f>RAND()*(1-2E-6)+1E-6</f>
        <v/>
      </c>
      <c r="C395" s="30">
        <f>RAND()*(1-2E-6)+1E-6</f>
        <v/>
      </c>
      <c r="D395" s="30">
        <f>RAND()*(1-2E-6)+1E-6</f>
        <v/>
      </c>
      <c r="E395" s="30">
        <f>RAND()*(1-2E-6)+1E-6</f>
        <v/>
      </c>
      <c r="F395" s="30">
        <f>RAND()*(1-2E-6)+1E-6</f>
        <v/>
      </c>
      <c r="G395" s="30">
        <f>RAND()*(1-2E-6)+1E-6</f>
        <v/>
      </c>
      <c r="H395" s="30">
        <f>RAND()*(1-2E-6)+1E-6</f>
        <v/>
      </c>
      <c r="I395" s="31">
        <f>MIN(IF(Supuestos!$H$5="",1E+99,Supuestos!$H$5),MAX(IF(Supuestos!$G$5="",-1E+99,Supuestos!$G$5),IF(Supuestos!$C$5="Normal",NORMINV(B395,Supuestos!$D$5,Supuestos!$E$5),IF(Supuestos!$C$5="Triangular",IF(B395&lt;(Supuestos!$E$5-Supuestos!$D$5)/(Supuestos!$F$5-Supuestos!$D$5),Supuestos!$D$5+SQRT(B395*(Supuestos!$F$5-Supuestos!$D$5)*(Supuestos!$E$5-Supuestos!$D$5)),Supuestos!$F$5-SQRT((1-B395)*(Supuestos!$F$5-Supuestos!$D$5)*(Supuestos!$F$5-Supuestos!$E$5))),IF(Supuestos!$C$5="Uniforme",Supuestos!$D$5+B395*(Supuestos!$E$5-Supuestos!$D$5),IF(Supuestos!$C$5="Lognormal",LOGINV(B395,LN(Supuestos!$D$5)-LN(1+Supuestos!$E$5^2/Supuestos!$D$5^2)/2,SQRT(LN(1+Supuestos!$E$5^2/Supuestos!$D$5^2))),Supuestos!$D$5))))))</f>
        <v/>
      </c>
      <c r="J395" s="31">
        <f>MIN(IF(Supuestos!$H$6="",1E+99,Supuestos!$H$6),MAX(IF(Supuestos!$G$6="",-1E+99,Supuestos!$G$6),IF(Supuestos!$C$6="Normal",NORMINV(C395,Supuestos!$D$6,Supuestos!$E$6),IF(Supuestos!$C$6="Triangular",IF(C395&lt;(Supuestos!$E$6-Supuestos!$D$6)/(Supuestos!$F$6-Supuestos!$D$6),Supuestos!$D$6+SQRT(C395*(Supuestos!$F$6-Supuestos!$D$6)*(Supuestos!$E$6-Supuestos!$D$6)),Supuestos!$F$6-SQRT((1-C395)*(Supuestos!$F$6-Supuestos!$D$6)*(Supuestos!$F$6-Supuestos!$E$6))),IF(Supuestos!$C$6="Uniforme",Supuestos!$D$6+C395*(Supuestos!$E$6-Supuestos!$D$6),IF(Supuestos!$C$6="Lognormal",LOGINV(C395,LN(Supuestos!$D$6)-LN(1+Supuestos!$E$6^2/Supuestos!$D$6^2)/2,SQRT(LN(1+Supuestos!$E$6^2/Supuestos!$D$6^2))),Supuestos!$D$6))))))</f>
        <v/>
      </c>
      <c r="K395" s="32">
        <f>MIN(IF(Supuestos!$H$7="",1E+99,Supuestos!$H$7),MAX(IF(Supuestos!$G$7="",-1E+99,Supuestos!$G$7),IF(Supuestos!$C$7="Normal",NORMINV(D395,Supuestos!$D$7,Supuestos!$E$7),IF(Supuestos!$C$7="Triangular",IF(D395&lt;(Supuestos!$E$7-Supuestos!$D$7)/(Supuestos!$F$7-Supuestos!$D$7),Supuestos!$D$7+SQRT(D395*(Supuestos!$F$7-Supuestos!$D$7)*(Supuestos!$E$7-Supuestos!$D$7)),Supuestos!$F$7-SQRT((1-D395)*(Supuestos!$F$7-Supuestos!$D$7)*(Supuestos!$F$7-Supuestos!$E$7))),IF(Supuestos!$C$7="Uniforme",Supuestos!$D$7+D395*(Supuestos!$E$7-Supuestos!$D$7),IF(Supuestos!$C$7="Lognormal",LOGINV(D395,LN(Supuestos!$D$7)-LN(1+Supuestos!$E$7^2/Supuestos!$D$7^2)/2,SQRT(LN(1+Supuestos!$E$7^2/Supuestos!$D$7^2))),Supuestos!$D$7))))))</f>
        <v/>
      </c>
      <c r="L395" s="32">
        <f>MIN(IF(Supuestos!$H$8="",1E+99,Supuestos!$H$8),MAX(IF(Supuestos!$G$8="",-1E+99,Supuestos!$G$8),IF(Supuestos!$C$8="Normal",NORMINV(E395,Supuestos!$D$8,Supuestos!$E$8),IF(Supuestos!$C$8="Triangular",IF(E395&lt;(Supuestos!$E$8-Supuestos!$D$8)/(Supuestos!$F$8-Supuestos!$D$8),Supuestos!$D$8+SQRT(E395*(Supuestos!$F$8-Supuestos!$D$8)*(Supuestos!$E$8-Supuestos!$D$8)),Supuestos!$F$8-SQRT((1-E395)*(Supuestos!$F$8-Supuestos!$D$8)*(Supuestos!$F$8-Supuestos!$E$8))),IF(Supuestos!$C$8="Uniforme",Supuestos!$D$8+E395*(Supuestos!$E$8-Supuestos!$D$8),IF(Supuestos!$C$8="Lognormal",LOGINV(E395,LN(Supuestos!$D$8)-LN(1+Supuestos!$E$8^2/Supuestos!$D$8^2)/2,SQRT(LN(1+Supuestos!$E$8^2/Supuestos!$D$8^2))),Supuestos!$D$8))))))</f>
        <v/>
      </c>
      <c r="M395" s="32">
        <f>MIN(IF(Supuestos!$H$9="",1E+99,Supuestos!$H$9),MAX(IF(Supuestos!$G$9="",-1E+99,Supuestos!$G$9),IF(Supuestos!$C$9="Normal",NORMINV(F395,Supuestos!$D$9,Supuestos!$E$9),IF(Supuestos!$C$9="Triangular",IF(F395&lt;(Supuestos!$E$9-Supuestos!$D$9)/(Supuestos!$F$9-Supuestos!$D$9),Supuestos!$D$9+SQRT(F395*(Supuestos!$F$9-Supuestos!$D$9)*(Supuestos!$E$9-Supuestos!$D$9)),Supuestos!$F$9-SQRT((1-F395)*(Supuestos!$F$9-Supuestos!$D$9)*(Supuestos!$F$9-Supuestos!$E$9))),IF(Supuestos!$C$9="Uniforme",Supuestos!$D$9+F395*(Supuestos!$E$9-Supuestos!$D$9),IF(Supuestos!$C$9="Lognormal",LOGINV(F395,LN(Supuestos!$D$9)-LN(1+Supuestos!$E$9^2/Supuestos!$D$9^2)/2,SQRT(LN(1+Supuestos!$E$9^2/Supuestos!$D$9^2))),Supuestos!$D$9))))))</f>
        <v/>
      </c>
      <c r="N395" s="32">
        <f>MIN(IF(Supuestos!$H$10="",1E+99,Supuestos!$H$10),MAX(IF(Supuestos!$G$10="",-1E+99,Supuestos!$G$10),IF(Supuestos!$C$10="Normal",NORMINV(G395,Supuestos!$D$10,Supuestos!$E$10),IF(Supuestos!$C$10="Triangular",IF(G395&lt;(Supuestos!$E$10-Supuestos!$D$10)/(Supuestos!$F$10-Supuestos!$D$10),Supuestos!$D$10+SQRT(G395*(Supuestos!$F$10-Supuestos!$D$10)*(Supuestos!$E$10-Supuestos!$D$10)),Supuestos!$F$10-SQRT((1-G395)*(Supuestos!$F$10-Supuestos!$D$10)*(Supuestos!$F$10-Supuestos!$E$10))),IF(Supuestos!$C$10="Uniforme",Supuestos!$D$10+G395*(Supuestos!$E$10-Supuestos!$D$10),IF(Supuestos!$C$10="Lognormal",LOGINV(G395,LN(Supuestos!$D$10)-LN(1+Supuestos!$E$10^2/Supuestos!$D$10^2)/2,SQRT(LN(1+Supuestos!$E$10^2/Supuestos!$D$10^2))),Supuestos!$D$10))))))</f>
        <v/>
      </c>
      <c r="O395" s="31">
        <f>MIN(IF(Supuestos!$H$11="",1E+99,Supuestos!$H$11),MAX(IF(Supuestos!$G$11="",-1E+99,Supuestos!$G$11),IF(Supuestos!$C$11="Normal",NORMINV(H395,Supuestos!$D$11,Supuestos!$E$11),IF(Supuestos!$C$11="Triangular",IF(H395&lt;(Supuestos!$E$11-Supuestos!$D$11)/(Supuestos!$F$11-Supuestos!$D$11),Supuestos!$D$11+SQRT(H395*(Supuestos!$F$11-Supuestos!$D$11)*(Supuestos!$E$11-Supuestos!$D$11)),Supuestos!$F$11-SQRT((1-H395)*(Supuestos!$F$11-Supuestos!$D$11)*(Supuestos!$F$11-Supuestos!$E$11))),IF(Supuestos!$C$11="Uniforme",Supuestos!$D$11+H395*(Supuestos!$E$11-Supuestos!$D$11),IF(Supuestos!$C$11="Lognormal",LOGINV(H395,LN(Supuestos!$D$11)-LN(1+Supuestos!$E$11^2/Supuestos!$D$11^2)/2,SQRT(LN(1+Supuestos!$E$11^2/Supuestos!$D$11^2))),Supuestos!$D$11))))))</f>
        <v/>
      </c>
      <c r="P395" s="33">
        <f>-I395</f>
        <v/>
      </c>
      <c r="Q395" s="33">
        <f>$J395*(1+$K395)^(1-1)*(1-$L395)*(1-$M395)</f>
        <v/>
      </c>
      <c r="R395" s="33">
        <f>$J395*(1+$K395)^(2-1)*(1-$L395)*(1-$M395)</f>
        <v/>
      </c>
      <c r="S395" s="33">
        <f>$J395*(1+$K395)^(3-1)*(1-$L395)*(1-$M395)</f>
        <v/>
      </c>
      <c r="T395" s="33">
        <f>$J395*(1+$K395)^(4-1)*(1-$L395)*(1-$M395)</f>
        <v/>
      </c>
      <c r="U395" s="33">
        <f>$J395*(1+$K395)^(5-1)*(1-$L395)*(1-$M395)+$O395</f>
        <v/>
      </c>
      <c r="V395" s="33">
        <f>P395+NPV($N395,Q395:U395)</f>
        <v/>
      </c>
      <c r="W395" s="32">
        <f>IFERROR(IRR(P395:U395,0.1),"")</f>
        <v/>
      </c>
    </row>
    <row r="396">
      <c r="A396" s="14" t="n">
        <v>392</v>
      </c>
      <c r="B396" s="30">
        <f>RAND()*(1-2E-6)+1E-6</f>
        <v/>
      </c>
      <c r="C396" s="30">
        <f>RAND()*(1-2E-6)+1E-6</f>
        <v/>
      </c>
      <c r="D396" s="30">
        <f>RAND()*(1-2E-6)+1E-6</f>
        <v/>
      </c>
      <c r="E396" s="30">
        <f>RAND()*(1-2E-6)+1E-6</f>
        <v/>
      </c>
      <c r="F396" s="30">
        <f>RAND()*(1-2E-6)+1E-6</f>
        <v/>
      </c>
      <c r="G396" s="30">
        <f>RAND()*(1-2E-6)+1E-6</f>
        <v/>
      </c>
      <c r="H396" s="30">
        <f>RAND()*(1-2E-6)+1E-6</f>
        <v/>
      </c>
      <c r="I396" s="31">
        <f>MIN(IF(Supuestos!$H$5="",1E+99,Supuestos!$H$5),MAX(IF(Supuestos!$G$5="",-1E+99,Supuestos!$G$5),IF(Supuestos!$C$5="Normal",NORMINV(B396,Supuestos!$D$5,Supuestos!$E$5),IF(Supuestos!$C$5="Triangular",IF(B396&lt;(Supuestos!$E$5-Supuestos!$D$5)/(Supuestos!$F$5-Supuestos!$D$5),Supuestos!$D$5+SQRT(B396*(Supuestos!$F$5-Supuestos!$D$5)*(Supuestos!$E$5-Supuestos!$D$5)),Supuestos!$F$5-SQRT((1-B396)*(Supuestos!$F$5-Supuestos!$D$5)*(Supuestos!$F$5-Supuestos!$E$5))),IF(Supuestos!$C$5="Uniforme",Supuestos!$D$5+B396*(Supuestos!$E$5-Supuestos!$D$5),IF(Supuestos!$C$5="Lognormal",LOGINV(B396,LN(Supuestos!$D$5)-LN(1+Supuestos!$E$5^2/Supuestos!$D$5^2)/2,SQRT(LN(1+Supuestos!$E$5^2/Supuestos!$D$5^2))),Supuestos!$D$5))))))</f>
        <v/>
      </c>
      <c r="J396" s="31">
        <f>MIN(IF(Supuestos!$H$6="",1E+99,Supuestos!$H$6),MAX(IF(Supuestos!$G$6="",-1E+99,Supuestos!$G$6),IF(Supuestos!$C$6="Normal",NORMINV(C396,Supuestos!$D$6,Supuestos!$E$6),IF(Supuestos!$C$6="Triangular",IF(C396&lt;(Supuestos!$E$6-Supuestos!$D$6)/(Supuestos!$F$6-Supuestos!$D$6),Supuestos!$D$6+SQRT(C396*(Supuestos!$F$6-Supuestos!$D$6)*(Supuestos!$E$6-Supuestos!$D$6)),Supuestos!$F$6-SQRT((1-C396)*(Supuestos!$F$6-Supuestos!$D$6)*(Supuestos!$F$6-Supuestos!$E$6))),IF(Supuestos!$C$6="Uniforme",Supuestos!$D$6+C396*(Supuestos!$E$6-Supuestos!$D$6),IF(Supuestos!$C$6="Lognormal",LOGINV(C396,LN(Supuestos!$D$6)-LN(1+Supuestos!$E$6^2/Supuestos!$D$6^2)/2,SQRT(LN(1+Supuestos!$E$6^2/Supuestos!$D$6^2))),Supuestos!$D$6))))))</f>
        <v/>
      </c>
      <c r="K396" s="32">
        <f>MIN(IF(Supuestos!$H$7="",1E+99,Supuestos!$H$7),MAX(IF(Supuestos!$G$7="",-1E+99,Supuestos!$G$7),IF(Supuestos!$C$7="Normal",NORMINV(D396,Supuestos!$D$7,Supuestos!$E$7),IF(Supuestos!$C$7="Triangular",IF(D396&lt;(Supuestos!$E$7-Supuestos!$D$7)/(Supuestos!$F$7-Supuestos!$D$7),Supuestos!$D$7+SQRT(D396*(Supuestos!$F$7-Supuestos!$D$7)*(Supuestos!$E$7-Supuestos!$D$7)),Supuestos!$F$7-SQRT((1-D396)*(Supuestos!$F$7-Supuestos!$D$7)*(Supuestos!$F$7-Supuestos!$E$7))),IF(Supuestos!$C$7="Uniforme",Supuestos!$D$7+D396*(Supuestos!$E$7-Supuestos!$D$7),IF(Supuestos!$C$7="Lognormal",LOGINV(D396,LN(Supuestos!$D$7)-LN(1+Supuestos!$E$7^2/Supuestos!$D$7^2)/2,SQRT(LN(1+Supuestos!$E$7^2/Supuestos!$D$7^2))),Supuestos!$D$7))))))</f>
        <v/>
      </c>
      <c r="L396" s="32">
        <f>MIN(IF(Supuestos!$H$8="",1E+99,Supuestos!$H$8),MAX(IF(Supuestos!$G$8="",-1E+99,Supuestos!$G$8),IF(Supuestos!$C$8="Normal",NORMINV(E396,Supuestos!$D$8,Supuestos!$E$8),IF(Supuestos!$C$8="Triangular",IF(E396&lt;(Supuestos!$E$8-Supuestos!$D$8)/(Supuestos!$F$8-Supuestos!$D$8),Supuestos!$D$8+SQRT(E396*(Supuestos!$F$8-Supuestos!$D$8)*(Supuestos!$E$8-Supuestos!$D$8)),Supuestos!$F$8-SQRT((1-E396)*(Supuestos!$F$8-Supuestos!$D$8)*(Supuestos!$F$8-Supuestos!$E$8))),IF(Supuestos!$C$8="Uniforme",Supuestos!$D$8+E396*(Supuestos!$E$8-Supuestos!$D$8),IF(Supuestos!$C$8="Lognormal",LOGINV(E396,LN(Supuestos!$D$8)-LN(1+Supuestos!$E$8^2/Supuestos!$D$8^2)/2,SQRT(LN(1+Supuestos!$E$8^2/Supuestos!$D$8^2))),Supuestos!$D$8))))))</f>
        <v/>
      </c>
      <c r="M396" s="32">
        <f>MIN(IF(Supuestos!$H$9="",1E+99,Supuestos!$H$9),MAX(IF(Supuestos!$G$9="",-1E+99,Supuestos!$G$9),IF(Supuestos!$C$9="Normal",NORMINV(F396,Supuestos!$D$9,Supuestos!$E$9),IF(Supuestos!$C$9="Triangular",IF(F396&lt;(Supuestos!$E$9-Supuestos!$D$9)/(Supuestos!$F$9-Supuestos!$D$9),Supuestos!$D$9+SQRT(F396*(Supuestos!$F$9-Supuestos!$D$9)*(Supuestos!$E$9-Supuestos!$D$9)),Supuestos!$F$9-SQRT((1-F396)*(Supuestos!$F$9-Supuestos!$D$9)*(Supuestos!$F$9-Supuestos!$E$9))),IF(Supuestos!$C$9="Uniforme",Supuestos!$D$9+F396*(Supuestos!$E$9-Supuestos!$D$9),IF(Supuestos!$C$9="Lognormal",LOGINV(F396,LN(Supuestos!$D$9)-LN(1+Supuestos!$E$9^2/Supuestos!$D$9^2)/2,SQRT(LN(1+Supuestos!$E$9^2/Supuestos!$D$9^2))),Supuestos!$D$9))))))</f>
        <v/>
      </c>
      <c r="N396" s="32">
        <f>MIN(IF(Supuestos!$H$10="",1E+99,Supuestos!$H$10),MAX(IF(Supuestos!$G$10="",-1E+99,Supuestos!$G$10),IF(Supuestos!$C$10="Normal",NORMINV(G396,Supuestos!$D$10,Supuestos!$E$10),IF(Supuestos!$C$10="Triangular",IF(G396&lt;(Supuestos!$E$10-Supuestos!$D$10)/(Supuestos!$F$10-Supuestos!$D$10),Supuestos!$D$10+SQRT(G396*(Supuestos!$F$10-Supuestos!$D$10)*(Supuestos!$E$10-Supuestos!$D$10)),Supuestos!$F$10-SQRT((1-G396)*(Supuestos!$F$10-Supuestos!$D$10)*(Supuestos!$F$10-Supuestos!$E$10))),IF(Supuestos!$C$10="Uniforme",Supuestos!$D$10+G396*(Supuestos!$E$10-Supuestos!$D$10),IF(Supuestos!$C$10="Lognormal",LOGINV(G396,LN(Supuestos!$D$10)-LN(1+Supuestos!$E$10^2/Supuestos!$D$10^2)/2,SQRT(LN(1+Supuestos!$E$10^2/Supuestos!$D$10^2))),Supuestos!$D$10))))))</f>
        <v/>
      </c>
      <c r="O396" s="31">
        <f>MIN(IF(Supuestos!$H$11="",1E+99,Supuestos!$H$11),MAX(IF(Supuestos!$G$11="",-1E+99,Supuestos!$G$11),IF(Supuestos!$C$11="Normal",NORMINV(H396,Supuestos!$D$11,Supuestos!$E$11),IF(Supuestos!$C$11="Triangular",IF(H396&lt;(Supuestos!$E$11-Supuestos!$D$11)/(Supuestos!$F$11-Supuestos!$D$11),Supuestos!$D$11+SQRT(H396*(Supuestos!$F$11-Supuestos!$D$11)*(Supuestos!$E$11-Supuestos!$D$11)),Supuestos!$F$11-SQRT((1-H396)*(Supuestos!$F$11-Supuestos!$D$11)*(Supuestos!$F$11-Supuestos!$E$11))),IF(Supuestos!$C$11="Uniforme",Supuestos!$D$11+H396*(Supuestos!$E$11-Supuestos!$D$11),IF(Supuestos!$C$11="Lognormal",LOGINV(H396,LN(Supuestos!$D$11)-LN(1+Supuestos!$E$11^2/Supuestos!$D$11^2)/2,SQRT(LN(1+Supuestos!$E$11^2/Supuestos!$D$11^2))),Supuestos!$D$11))))))</f>
        <v/>
      </c>
      <c r="P396" s="33">
        <f>-I396</f>
        <v/>
      </c>
      <c r="Q396" s="33">
        <f>$J396*(1+$K396)^(1-1)*(1-$L396)*(1-$M396)</f>
        <v/>
      </c>
      <c r="R396" s="33">
        <f>$J396*(1+$K396)^(2-1)*(1-$L396)*(1-$M396)</f>
        <v/>
      </c>
      <c r="S396" s="33">
        <f>$J396*(1+$K396)^(3-1)*(1-$L396)*(1-$M396)</f>
        <v/>
      </c>
      <c r="T396" s="33">
        <f>$J396*(1+$K396)^(4-1)*(1-$L396)*(1-$M396)</f>
        <v/>
      </c>
      <c r="U396" s="33">
        <f>$J396*(1+$K396)^(5-1)*(1-$L396)*(1-$M396)+$O396</f>
        <v/>
      </c>
      <c r="V396" s="33">
        <f>P396+NPV($N396,Q396:U396)</f>
        <v/>
      </c>
      <c r="W396" s="32">
        <f>IFERROR(IRR(P396:U396,0.1),"")</f>
        <v/>
      </c>
    </row>
    <row r="397">
      <c r="A397" s="14" t="n">
        <v>393</v>
      </c>
      <c r="B397" s="30">
        <f>RAND()*(1-2E-6)+1E-6</f>
        <v/>
      </c>
      <c r="C397" s="30">
        <f>RAND()*(1-2E-6)+1E-6</f>
        <v/>
      </c>
      <c r="D397" s="30">
        <f>RAND()*(1-2E-6)+1E-6</f>
        <v/>
      </c>
      <c r="E397" s="30">
        <f>RAND()*(1-2E-6)+1E-6</f>
        <v/>
      </c>
      <c r="F397" s="30">
        <f>RAND()*(1-2E-6)+1E-6</f>
        <v/>
      </c>
      <c r="G397" s="30">
        <f>RAND()*(1-2E-6)+1E-6</f>
        <v/>
      </c>
      <c r="H397" s="30">
        <f>RAND()*(1-2E-6)+1E-6</f>
        <v/>
      </c>
      <c r="I397" s="31">
        <f>MIN(IF(Supuestos!$H$5="",1E+99,Supuestos!$H$5),MAX(IF(Supuestos!$G$5="",-1E+99,Supuestos!$G$5),IF(Supuestos!$C$5="Normal",NORMINV(B397,Supuestos!$D$5,Supuestos!$E$5),IF(Supuestos!$C$5="Triangular",IF(B397&lt;(Supuestos!$E$5-Supuestos!$D$5)/(Supuestos!$F$5-Supuestos!$D$5),Supuestos!$D$5+SQRT(B397*(Supuestos!$F$5-Supuestos!$D$5)*(Supuestos!$E$5-Supuestos!$D$5)),Supuestos!$F$5-SQRT((1-B397)*(Supuestos!$F$5-Supuestos!$D$5)*(Supuestos!$F$5-Supuestos!$E$5))),IF(Supuestos!$C$5="Uniforme",Supuestos!$D$5+B397*(Supuestos!$E$5-Supuestos!$D$5),IF(Supuestos!$C$5="Lognormal",LOGINV(B397,LN(Supuestos!$D$5)-LN(1+Supuestos!$E$5^2/Supuestos!$D$5^2)/2,SQRT(LN(1+Supuestos!$E$5^2/Supuestos!$D$5^2))),Supuestos!$D$5))))))</f>
        <v/>
      </c>
      <c r="J397" s="31">
        <f>MIN(IF(Supuestos!$H$6="",1E+99,Supuestos!$H$6),MAX(IF(Supuestos!$G$6="",-1E+99,Supuestos!$G$6),IF(Supuestos!$C$6="Normal",NORMINV(C397,Supuestos!$D$6,Supuestos!$E$6),IF(Supuestos!$C$6="Triangular",IF(C397&lt;(Supuestos!$E$6-Supuestos!$D$6)/(Supuestos!$F$6-Supuestos!$D$6),Supuestos!$D$6+SQRT(C397*(Supuestos!$F$6-Supuestos!$D$6)*(Supuestos!$E$6-Supuestos!$D$6)),Supuestos!$F$6-SQRT((1-C397)*(Supuestos!$F$6-Supuestos!$D$6)*(Supuestos!$F$6-Supuestos!$E$6))),IF(Supuestos!$C$6="Uniforme",Supuestos!$D$6+C397*(Supuestos!$E$6-Supuestos!$D$6),IF(Supuestos!$C$6="Lognormal",LOGINV(C397,LN(Supuestos!$D$6)-LN(1+Supuestos!$E$6^2/Supuestos!$D$6^2)/2,SQRT(LN(1+Supuestos!$E$6^2/Supuestos!$D$6^2))),Supuestos!$D$6))))))</f>
        <v/>
      </c>
      <c r="K397" s="32">
        <f>MIN(IF(Supuestos!$H$7="",1E+99,Supuestos!$H$7),MAX(IF(Supuestos!$G$7="",-1E+99,Supuestos!$G$7),IF(Supuestos!$C$7="Normal",NORMINV(D397,Supuestos!$D$7,Supuestos!$E$7),IF(Supuestos!$C$7="Triangular",IF(D397&lt;(Supuestos!$E$7-Supuestos!$D$7)/(Supuestos!$F$7-Supuestos!$D$7),Supuestos!$D$7+SQRT(D397*(Supuestos!$F$7-Supuestos!$D$7)*(Supuestos!$E$7-Supuestos!$D$7)),Supuestos!$F$7-SQRT((1-D397)*(Supuestos!$F$7-Supuestos!$D$7)*(Supuestos!$F$7-Supuestos!$E$7))),IF(Supuestos!$C$7="Uniforme",Supuestos!$D$7+D397*(Supuestos!$E$7-Supuestos!$D$7),IF(Supuestos!$C$7="Lognormal",LOGINV(D397,LN(Supuestos!$D$7)-LN(1+Supuestos!$E$7^2/Supuestos!$D$7^2)/2,SQRT(LN(1+Supuestos!$E$7^2/Supuestos!$D$7^2))),Supuestos!$D$7))))))</f>
        <v/>
      </c>
      <c r="L397" s="32">
        <f>MIN(IF(Supuestos!$H$8="",1E+99,Supuestos!$H$8),MAX(IF(Supuestos!$G$8="",-1E+99,Supuestos!$G$8),IF(Supuestos!$C$8="Normal",NORMINV(E397,Supuestos!$D$8,Supuestos!$E$8),IF(Supuestos!$C$8="Triangular",IF(E397&lt;(Supuestos!$E$8-Supuestos!$D$8)/(Supuestos!$F$8-Supuestos!$D$8),Supuestos!$D$8+SQRT(E397*(Supuestos!$F$8-Supuestos!$D$8)*(Supuestos!$E$8-Supuestos!$D$8)),Supuestos!$F$8-SQRT((1-E397)*(Supuestos!$F$8-Supuestos!$D$8)*(Supuestos!$F$8-Supuestos!$E$8))),IF(Supuestos!$C$8="Uniforme",Supuestos!$D$8+E397*(Supuestos!$E$8-Supuestos!$D$8),IF(Supuestos!$C$8="Lognormal",LOGINV(E397,LN(Supuestos!$D$8)-LN(1+Supuestos!$E$8^2/Supuestos!$D$8^2)/2,SQRT(LN(1+Supuestos!$E$8^2/Supuestos!$D$8^2))),Supuestos!$D$8))))))</f>
        <v/>
      </c>
      <c r="M397" s="32">
        <f>MIN(IF(Supuestos!$H$9="",1E+99,Supuestos!$H$9),MAX(IF(Supuestos!$G$9="",-1E+99,Supuestos!$G$9),IF(Supuestos!$C$9="Normal",NORMINV(F397,Supuestos!$D$9,Supuestos!$E$9),IF(Supuestos!$C$9="Triangular",IF(F397&lt;(Supuestos!$E$9-Supuestos!$D$9)/(Supuestos!$F$9-Supuestos!$D$9),Supuestos!$D$9+SQRT(F397*(Supuestos!$F$9-Supuestos!$D$9)*(Supuestos!$E$9-Supuestos!$D$9)),Supuestos!$F$9-SQRT((1-F397)*(Supuestos!$F$9-Supuestos!$D$9)*(Supuestos!$F$9-Supuestos!$E$9))),IF(Supuestos!$C$9="Uniforme",Supuestos!$D$9+F397*(Supuestos!$E$9-Supuestos!$D$9),IF(Supuestos!$C$9="Lognormal",LOGINV(F397,LN(Supuestos!$D$9)-LN(1+Supuestos!$E$9^2/Supuestos!$D$9^2)/2,SQRT(LN(1+Supuestos!$E$9^2/Supuestos!$D$9^2))),Supuestos!$D$9))))))</f>
        <v/>
      </c>
      <c r="N397" s="32">
        <f>MIN(IF(Supuestos!$H$10="",1E+99,Supuestos!$H$10),MAX(IF(Supuestos!$G$10="",-1E+99,Supuestos!$G$10),IF(Supuestos!$C$10="Normal",NORMINV(G397,Supuestos!$D$10,Supuestos!$E$10),IF(Supuestos!$C$10="Triangular",IF(G397&lt;(Supuestos!$E$10-Supuestos!$D$10)/(Supuestos!$F$10-Supuestos!$D$10),Supuestos!$D$10+SQRT(G397*(Supuestos!$F$10-Supuestos!$D$10)*(Supuestos!$E$10-Supuestos!$D$10)),Supuestos!$F$10-SQRT((1-G397)*(Supuestos!$F$10-Supuestos!$D$10)*(Supuestos!$F$10-Supuestos!$E$10))),IF(Supuestos!$C$10="Uniforme",Supuestos!$D$10+G397*(Supuestos!$E$10-Supuestos!$D$10),IF(Supuestos!$C$10="Lognormal",LOGINV(G397,LN(Supuestos!$D$10)-LN(1+Supuestos!$E$10^2/Supuestos!$D$10^2)/2,SQRT(LN(1+Supuestos!$E$10^2/Supuestos!$D$10^2))),Supuestos!$D$10))))))</f>
        <v/>
      </c>
      <c r="O397" s="31">
        <f>MIN(IF(Supuestos!$H$11="",1E+99,Supuestos!$H$11),MAX(IF(Supuestos!$G$11="",-1E+99,Supuestos!$G$11),IF(Supuestos!$C$11="Normal",NORMINV(H397,Supuestos!$D$11,Supuestos!$E$11),IF(Supuestos!$C$11="Triangular",IF(H397&lt;(Supuestos!$E$11-Supuestos!$D$11)/(Supuestos!$F$11-Supuestos!$D$11),Supuestos!$D$11+SQRT(H397*(Supuestos!$F$11-Supuestos!$D$11)*(Supuestos!$E$11-Supuestos!$D$11)),Supuestos!$F$11-SQRT((1-H397)*(Supuestos!$F$11-Supuestos!$D$11)*(Supuestos!$F$11-Supuestos!$E$11))),IF(Supuestos!$C$11="Uniforme",Supuestos!$D$11+H397*(Supuestos!$E$11-Supuestos!$D$11),IF(Supuestos!$C$11="Lognormal",LOGINV(H397,LN(Supuestos!$D$11)-LN(1+Supuestos!$E$11^2/Supuestos!$D$11^2)/2,SQRT(LN(1+Supuestos!$E$11^2/Supuestos!$D$11^2))),Supuestos!$D$11))))))</f>
        <v/>
      </c>
      <c r="P397" s="33">
        <f>-I397</f>
        <v/>
      </c>
      <c r="Q397" s="33">
        <f>$J397*(1+$K397)^(1-1)*(1-$L397)*(1-$M397)</f>
        <v/>
      </c>
      <c r="R397" s="33">
        <f>$J397*(1+$K397)^(2-1)*(1-$L397)*(1-$M397)</f>
        <v/>
      </c>
      <c r="S397" s="33">
        <f>$J397*(1+$K397)^(3-1)*(1-$L397)*(1-$M397)</f>
        <v/>
      </c>
      <c r="T397" s="33">
        <f>$J397*(1+$K397)^(4-1)*(1-$L397)*(1-$M397)</f>
        <v/>
      </c>
      <c r="U397" s="33">
        <f>$J397*(1+$K397)^(5-1)*(1-$L397)*(1-$M397)+$O397</f>
        <v/>
      </c>
      <c r="V397" s="33">
        <f>P397+NPV($N397,Q397:U397)</f>
        <v/>
      </c>
      <c r="W397" s="32">
        <f>IFERROR(IRR(P397:U397,0.1),"")</f>
        <v/>
      </c>
    </row>
    <row r="398">
      <c r="A398" s="14" t="n">
        <v>394</v>
      </c>
      <c r="B398" s="30">
        <f>RAND()*(1-2E-6)+1E-6</f>
        <v/>
      </c>
      <c r="C398" s="30">
        <f>RAND()*(1-2E-6)+1E-6</f>
        <v/>
      </c>
      <c r="D398" s="30">
        <f>RAND()*(1-2E-6)+1E-6</f>
        <v/>
      </c>
      <c r="E398" s="30">
        <f>RAND()*(1-2E-6)+1E-6</f>
        <v/>
      </c>
      <c r="F398" s="30">
        <f>RAND()*(1-2E-6)+1E-6</f>
        <v/>
      </c>
      <c r="G398" s="30">
        <f>RAND()*(1-2E-6)+1E-6</f>
        <v/>
      </c>
      <c r="H398" s="30">
        <f>RAND()*(1-2E-6)+1E-6</f>
        <v/>
      </c>
      <c r="I398" s="31">
        <f>MIN(IF(Supuestos!$H$5="",1E+99,Supuestos!$H$5),MAX(IF(Supuestos!$G$5="",-1E+99,Supuestos!$G$5),IF(Supuestos!$C$5="Normal",NORMINV(B398,Supuestos!$D$5,Supuestos!$E$5),IF(Supuestos!$C$5="Triangular",IF(B398&lt;(Supuestos!$E$5-Supuestos!$D$5)/(Supuestos!$F$5-Supuestos!$D$5),Supuestos!$D$5+SQRT(B398*(Supuestos!$F$5-Supuestos!$D$5)*(Supuestos!$E$5-Supuestos!$D$5)),Supuestos!$F$5-SQRT((1-B398)*(Supuestos!$F$5-Supuestos!$D$5)*(Supuestos!$F$5-Supuestos!$E$5))),IF(Supuestos!$C$5="Uniforme",Supuestos!$D$5+B398*(Supuestos!$E$5-Supuestos!$D$5),IF(Supuestos!$C$5="Lognormal",LOGINV(B398,LN(Supuestos!$D$5)-LN(1+Supuestos!$E$5^2/Supuestos!$D$5^2)/2,SQRT(LN(1+Supuestos!$E$5^2/Supuestos!$D$5^2))),Supuestos!$D$5))))))</f>
        <v/>
      </c>
      <c r="J398" s="31">
        <f>MIN(IF(Supuestos!$H$6="",1E+99,Supuestos!$H$6),MAX(IF(Supuestos!$G$6="",-1E+99,Supuestos!$G$6),IF(Supuestos!$C$6="Normal",NORMINV(C398,Supuestos!$D$6,Supuestos!$E$6),IF(Supuestos!$C$6="Triangular",IF(C398&lt;(Supuestos!$E$6-Supuestos!$D$6)/(Supuestos!$F$6-Supuestos!$D$6),Supuestos!$D$6+SQRT(C398*(Supuestos!$F$6-Supuestos!$D$6)*(Supuestos!$E$6-Supuestos!$D$6)),Supuestos!$F$6-SQRT((1-C398)*(Supuestos!$F$6-Supuestos!$D$6)*(Supuestos!$F$6-Supuestos!$E$6))),IF(Supuestos!$C$6="Uniforme",Supuestos!$D$6+C398*(Supuestos!$E$6-Supuestos!$D$6),IF(Supuestos!$C$6="Lognormal",LOGINV(C398,LN(Supuestos!$D$6)-LN(1+Supuestos!$E$6^2/Supuestos!$D$6^2)/2,SQRT(LN(1+Supuestos!$E$6^2/Supuestos!$D$6^2))),Supuestos!$D$6))))))</f>
        <v/>
      </c>
      <c r="K398" s="32">
        <f>MIN(IF(Supuestos!$H$7="",1E+99,Supuestos!$H$7),MAX(IF(Supuestos!$G$7="",-1E+99,Supuestos!$G$7),IF(Supuestos!$C$7="Normal",NORMINV(D398,Supuestos!$D$7,Supuestos!$E$7),IF(Supuestos!$C$7="Triangular",IF(D398&lt;(Supuestos!$E$7-Supuestos!$D$7)/(Supuestos!$F$7-Supuestos!$D$7),Supuestos!$D$7+SQRT(D398*(Supuestos!$F$7-Supuestos!$D$7)*(Supuestos!$E$7-Supuestos!$D$7)),Supuestos!$F$7-SQRT((1-D398)*(Supuestos!$F$7-Supuestos!$D$7)*(Supuestos!$F$7-Supuestos!$E$7))),IF(Supuestos!$C$7="Uniforme",Supuestos!$D$7+D398*(Supuestos!$E$7-Supuestos!$D$7),IF(Supuestos!$C$7="Lognormal",LOGINV(D398,LN(Supuestos!$D$7)-LN(1+Supuestos!$E$7^2/Supuestos!$D$7^2)/2,SQRT(LN(1+Supuestos!$E$7^2/Supuestos!$D$7^2))),Supuestos!$D$7))))))</f>
        <v/>
      </c>
      <c r="L398" s="32">
        <f>MIN(IF(Supuestos!$H$8="",1E+99,Supuestos!$H$8),MAX(IF(Supuestos!$G$8="",-1E+99,Supuestos!$G$8),IF(Supuestos!$C$8="Normal",NORMINV(E398,Supuestos!$D$8,Supuestos!$E$8),IF(Supuestos!$C$8="Triangular",IF(E398&lt;(Supuestos!$E$8-Supuestos!$D$8)/(Supuestos!$F$8-Supuestos!$D$8),Supuestos!$D$8+SQRT(E398*(Supuestos!$F$8-Supuestos!$D$8)*(Supuestos!$E$8-Supuestos!$D$8)),Supuestos!$F$8-SQRT((1-E398)*(Supuestos!$F$8-Supuestos!$D$8)*(Supuestos!$F$8-Supuestos!$E$8))),IF(Supuestos!$C$8="Uniforme",Supuestos!$D$8+E398*(Supuestos!$E$8-Supuestos!$D$8),IF(Supuestos!$C$8="Lognormal",LOGINV(E398,LN(Supuestos!$D$8)-LN(1+Supuestos!$E$8^2/Supuestos!$D$8^2)/2,SQRT(LN(1+Supuestos!$E$8^2/Supuestos!$D$8^2))),Supuestos!$D$8))))))</f>
        <v/>
      </c>
      <c r="M398" s="32">
        <f>MIN(IF(Supuestos!$H$9="",1E+99,Supuestos!$H$9),MAX(IF(Supuestos!$G$9="",-1E+99,Supuestos!$G$9),IF(Supuestos!$C$9="Normal",NORMINV(F398,Supuestos!$D$9,Supuestos!$E$9),IF(Supuestos!$C$9="Triangular",IF(F398&lt;(Supuestos!$E$9-Supuestos!$D$9)/(Supuestos!$F$9-Supuestos!$D$9),Supuestos!$D$9+SQRT(F398*(Supuestos!$F$9-Supuestos!$D$9)*(Supuestos!$E$9-Supuestos!$D$9)),Supuestos!$F$9-SQRT((1-F398)*(Supuestos!$F$9-Supuestos!$D$9)*(Supuestos!$F$9-Supuestos!$E$9))),IF(Supuestos!$C$9="Uniforme",Supuestos!$D$9+F398*(Supuestos!$E$9-Supuestos!$D$9),IF(Supuestos!$C$9="Lognormal",LOGINV(F398,LN(Supuestos!$D$9)-LN(1+Supuestos!$E$9^2/Supuestos!$D$9^2)/2,SQRT(LN(1+Supuestos!$E$9^2/Supuestos!$D$9^2))),Supuestos!$D$9))))))</f>
        <v/>
      </c>
      <c r="N398" s="32">
        <f>MIN(IF(Supuestos!$H$10="",1E+99,Supuestos!$H$10),MAX(IF(Supuestos!$G$10="",-1E+99,Supuestos!$G$10),IF(Supuestos!$C$10="Normal",NORMINV(G398,Supuestos!$D$10,Supuestos!$E$10),IF(Supuestos!$C$10="Triangular",IF(G398&lt;(Supuestos!$E$10-Supuestos!$D$10)/(Supuestos!$F$10-Supuestos!$D$10),Supuestos!$D$10+SQRT(G398*(Supuestos!$F$10-Supuestos!$D$10)*(Supuestos!$E$10-Supuestos!$D$10)),Supuestos!$F$10-SQRT((1-G398)*(Supuestos!$F$10-Supuestos!$D$10)*(Supuestos!$F$10-Supuestos!$E$10))),IF(Supuestos!$C$10="Uniforme",Supuestos!$D$10+G398*(Supuestos!$E$10-Supuestos!$D$10),IF(Supuestos!$C$10="Lognormal",LOGINV(G398,LN(Supuestos!$D$10)-LN(1+Supuestos!$E$10^2/Supuestos!$D$10^2)/2,SQRT(LN(1+Supuestos!$E$10^2/Supuestos!$D$10^2))),Supuestos!$D$10))))))</f>
        <v/>
      </c>
      <c r="O398" s="31">
        <f>MIN(IF(Supuestos!$H$11="",1E+99,Supuestos!$H$11),MAX(IF(Supuestos!$G$11="",-1E+99,Supuestos!$G$11),IF(Supuestos!$C$11="Normal",NORMINV(H398,Supuestos!$D$11,Supuestos!$E$11),IF(Supuestos!$C$11="Triangular",IF(H398&lt;(Supuestos!$E$11-Supuestos!$D$11)/(Supuestos!$F$11-Supuestos!$D$11),Supuestos!$D$11+SQRT(H398*(Supuestos!$F$11-Supuestos!$D$11)*(Supuestos!$E$11-Supuestos!$D$11)),Supuestos!$F$11-SQRT((1-H398)*(Supuestos!$F$11-Supuestos!$D$11)*(Supuestos!$F$11-Supuestos!$E$11))),IF(Supuestos!$C$11="Uniforme",Supuestos!$D$11+H398*(Supuestos!$E$11-Supuestos!$D$11),IF(Supuestos!$C$11="Lognormal",LOGINV(H398,LN(Supuestos!$D$11)-LN(1+Supuestos!$E$11^2/Supuestos!$D$11^2)/2,SQRT(LN(1+Supuestos!$E$11^2/Supuestos!$D$11^2))),Supuestos!$D$11))))))</f>
        <v/>
      </c>
      <c r="P398" s="33">
        <f>-I398</f>
        <v/>
      </c>
      <c r="Q398" s="33">
        <f>$J398*(1+$K398)^(1-1)*(1-$L398)*(1-$M398)</f>
        <v/>
      </c>
      <c r="R398" s="33">
        <f>$J398*(1+$K398)^(2-1)*(1-$L398)*(1-$M398)</f>
        <v/>
      </c>
      <c r="S398" s="33">
        <f>$J398*(1+$K398)^(3-1)*(1-$L398)*(1-$M398)</f>
        <v/>
      </c>
      <c r="T398" s="33">
        <f>$J398*(1+$K398)^(4-1)*(1-$L398)*(1-$M398)</f>
        <v/>
      </c>
      <c r="U398" s="33">
        <f>$J398*(1+$K398)^(5-1)*(1-$L398)*(1-$M398)+$O398</f>
        <v/>
      </c>
      <c r="V398" s="33">
        <f>P398+NPV($N398,Q398:U398)</f>
        <v/>
      </c>
      <c r="W398" s="32">
        <f>IFERROR(IRR(P398:U398,0.1),"")</f>
        <v/>
      </c>
    </row>
    <row r="399">
      <c r="A399" s="14" t="n">
        <v>395</v>
      </c>
      <c r="B399" s="30">
        <f>RAND()*(1-2E-6)+1E-6</f>
        <v/>
      </c>
      <c r="C399" s="30">
        <f>RAND()*(1-2E-6)+1E-6</f>
        <v/>
      </c>
      <c r="D399" s="30">
        <f>RAND()*(1-2E-6)+1E-6</f>
        <v/>
      </c>
      <c r="E399" s="30">
        <f>RAND()*(1-2E-6)+1E-6</f>
        <v/>
      </c>
      <c r="F399" s="30">
        <f>RAND()*(1-2E-6)+1E-6</f>
        <v/>
      </c>
      <c r="G399" s="30">
        <f>RAND()*(1-2E-6)+1E-6</f>
        <v/>
      </c>
      <c r="H399" s="30">
        <f>RAND()*(1-2E-6)+1E-6</f>
        <v/>
      </c>
      <c r="I399" s="31">
        <f>MIN(IF(Supuestos!$H$5="",1E+99,Supuestos!$H$5),MAX(IF(Supuestos!$G$5="",-1E+99,Supuestos!$G$5),IF(Supuestos!$C$5="Normal",NORMINV(B399,Supuestos!$D$5,Supuestos!$E$5),IF(Supuestos!$C$5="Triangular",IF(B399&lt;(Supuestos!$E$5-Supuestos!$D$5)/(Supuestos!$F$5-Supuestos!$D$5),Supuestos!$D$5+SQRT(B399*(Supuestos!$F$5-Supuestos!$D$5)*(Supuestos!$E$5-Supuestos!$D$5)),Supuestos!$F$5-SQRT((1-B399)*(Supuestos!$F$5-Supuestos!$D$5)*(Supuestos!$F$5-Supuestos!$E$5))),IF(Supuestos!$C$5="Uniforme",Supuestos!$D$5+B399*(Supuestos!$E$5-Supuestos!$D$5),IF(Supuestos!$C$5="Lognormal",LOGINV(B399,LN(Supuestos!$D$5)-LN(1+Supuestos!$E$5^2/Supuestos!$D$5^2)/2,SQRT(LN(1+Supuestos!$E$5^2/Supuestos!$D$5^2))),Supuestos!$D$5))))))</f>
        <v/>
      </c>
      <c r="J399" s="31">
        <f>MIN(IF(Supuestos!$H$6="",1E+99,Supuestos!$H$6),MAX(IF(Supuestos!$G$6="",-1E+99,Supuestos!$G$6),IF(Supuestos!$C$6="Normal",NORMINV(C399,Supuestos!$D$6,Supuestos!$E$6),IF(Supuestos!$C$6="Triangular",IF(C399&lt;(Supuestos!$E$6-Supuestos!$D$6)/(Supuestos!$F$6-Supuestos!$D$6),Supuestos!$D$6+SQRT(C399*(Supuestos!$F$6-Supuestos!$D$6)*(Supuestos!$E$6-Supuestos!$D$6)),Supuestos!$F$6-SQRT((1-C399)*(Supuestos!$F$6-Supuestos!$D$6)*(Supuestos!$F$6-Supuestos!$E$6))),IF(Supuestos!$C$6="Uniforme",Supuestos!$D$6+C399*(Supuestos!$E$6-Supuestos!$D$6),IF(Supuestos!$C$6="Lognormal",LOGINV(C399,LN(Supuestos!$D$6)-LN(1+Supuestos!$E$6^2/Supuestos!$D$6^2)/2,SQRT(LN(1+Supuestos!$E$6^2/Supuestos!$D$6^2))),Supuestos!$D$6))))))</f>
        <v/>
      </c>
      <c r="K399" s="32">
        <f>MIN(IF(Supuestos!$H$7="",1E+99,Supuestos!$H$7),MAX(IF(Supuestos!$G$7="",-1E+99,Supuestos!$G$7),IF(Supuestos!$C$7="Normal",NORMINV(D399,Supuestos!$D$7,Supuestos!$E$7),IF(Supuestos!$C$7="Triangular",IF(D399&lt;(Supuestos!$E$7-Supuestos!$D$7)/(Supuestos!$F$7-Supuestos!$D$7),Supuestos!$D$7+SQRT(D399*(Supuestos!$F$7-Supuestos!$D$7)*(Supuestos!$E$7-Supuestos!$D$7)),Supuestos!$F$7-SQRT((1-D399)*(Supuestos!$F$7-Supuestos!$D$7)*(Supuestos!$F$7-Supuestos!$E$7))),IF(Supuestos!$C$7="Uniforme",Supuestos!$D$7+D399*(Supuestos!$E$7-Supuestos!$D$7),IF(Supuestos!$C$7="Lognormal",LOGINV(D399,LN(Supuestos!$D$7)-LN(1+Supuestos!$E$7^2/Supuestos!$D$7^2)/2,SQRT(LN(1+Supuestos!$E$7^2/Supuestos!$D$7^2))),Supuestos!$D$7))))))</f>
        <v/>
      </c>
      <c r="L399" s="32">
        <f>MIN(IF(Supuestos!$H$8="",1E+99,Supuestos!$H$8),MAX(IF(Supuestos!$G$8="",-1E+99,Supuestos!$G$8),IF(Supuestos!$C$8="Normal",NORMINV(E399,Supuestos!$D$8,Supuestos!$E$8),IF(Supuestos!$C$8="Triangular",IF(E399&lt;(Supuestos!$E$8-Supuestos!$D$8)/(Supuestos!$F$8-Supuestos!$D$8),Supuestos!$D$8+SQRT(E399*(Supuestos!$F$8-Supuestos!$D$8)*(Supuestos!$E$8-Supuestos!$D$8)),Supuestos!$F$8-SQRT((1-E399)*(Supuestos!$F$8-Supuestos!$D$8)*(Supuestos!$F$8-Supuestos!$E$8))),IF(Supuestos!$C$8="Uniforme",Supuestos!$D$8+E399*(Supuestos!$E$8-Supuestos!$D$8),IF(Supuestos!$C$8="Lognormal",LOGINV(E399,LN(Supuestos!$D$8)-LN(1+Supuestos!$E$8^2/Supuestos!$D$8^2)/2,SQRT(LN(1+Supuestos!$E$8^2/Supuestos!$D$8^2))),Supuestos!$D$8))))))</f>
        <v/>
      </c>
      <c r="M399" s="32">
        <f>MIN(IF(Supuestos!$H$9="",1E+99,Supuestos!$H$9),MAX(IF(Supuestos!$G$9="",-1E+99,Supuestos!$G$9),IF(Supuestos!$C$9="Normal",NORMINV(F399,Supuestos!$D$9,Supuestos!$E$9),IF(Supuestos!$C$9="Triangular",IF(F399&lt;(Supuestos!$E$9-Supuestos!$D$9)/(Supuestos!$F$9-Supuestos!$D$9),Supuestos!$D$9+SQRT(F399*(Supuestos!$F$9-Supuestos!$D$9)*(Supuestos!$E$9-Supuestos!$D$9)),Supuestos!$F$9-SQRT((1-F399)*(Supuestos!$F$9-Supuestos!$D$9)*(Supuestos!$F$9-Supuestos!$E$9))),IF(Supuestos!$C$9="Uniforme",Supuestos!$D$9+F399*(Supuestos!$E$9-Supuestos!$D$9),IF(Supuestos!$C$9="Lognormal",LOGINV(F399,LN(Supuestos!$D$9)-LN(1+Supuestos!$E$9^2/Supuestos!$D$9^2)/2,SQRT(LN(1+Supuestos!$E$9^2/Supuestos!$D$9^2))),Supuestos!$D$9))))))</f>
        <v/>
      </c>
      <c r="N399" s="32">
        <f>MIN(IF(Supuestos!$H$10="",1E+99,Supuestos!$H$10),MAX(IF(Supuestos!$G$10="",-1E+99,Supuestos!$G$10),IF(Supuestos!$C$10="Normal",NORMINV(G399,Supuestos!$D$10,Supuestos!$E$10),IF(Supuestos!$C$10="Triangular",IF(G399&lt;(Supuestos!$E$10-Supuestos!$D$10)/(Supuestos!$F$10-Supuestos!$D$10),Supuestos!$D$10+SQRT(G399*(Supuestos!$F$10-Supuestos!$D$10)*(Supuestos!$E$10-Supuestos!$D$10)),Supuestos!$F$10-SQRT((1-G399)*(Supuestos!$F$10-Supuestos!$D$10)*(Supuestos!$F$10-Supuestos!$E$10))),IF(Supuestos!$C$10="Uniforme",Supuestos!$D$10+G399*(Supuestos!$E$10-Supuestos!$D$10),IF(Supuestos!$C$10="Lognormal",LOGINV(G399,LN(Supuestos!$D$10)-LN(1+Supuestos!$E$10^2/Supuestos!$D$10^2)/2,SQRT(LN(1+Supuestos!$E$10^2/Supuestos!$D$10^2))),Supuestos!$D$10))))))</f>
        <v/>
      </c>
      <c r="O399" s="31">
        <f>MIN(IF(Supuestos!$H$11="",1E+99,Supuestos!$H$11),MAX(IF(Supuestos!$G$11="",-1E+99,Supuestos!$G$11),IF(Supuestos!$C$11="Normal",NORMINV(H399,Supuestos!$D$11,Supuestos!$E$11),IF(Supuestos!$C$11="Triangular",IF(H399&lt;(Supuestos!$E$11-Supuestos!$D$11)/(Supuestos!$F$11-Supuestos!$D$11),Supuestos!$D$11+SQRT(H399*(Supuestos!$F$11-Supuestos!$D$11)*(Supuestos!$E$11-Supuestos!$D$11)),Supuestos!$F$11-SQRT((1-H399)*(Supuestos!$F$11-Supuestos!$D$11)*(Supuestos!$F$11-Supuestos!$E$11))),IF(Supuestos!$C$11="Uniforme",Supuestos!$D$11+H399*(Supuestos!$E$11-Supuestos!$D$11),IF(Supuestos!$C$11="Lognormal",LOGINV(H399,LN(Supuestos!$D$11)-LN(1+Supuestos!$E$11^2/Supuestos!$D$11^2)/2,SQRT(LN(1+Supuestos!$E$11^2/Supuestos!$D$11^2))),Supuestos!$D$11))))))</f>
        <v/>
      </c>
      <c r="P399" s="33">
        <f>-I399</f>
        <v/>
      </c>
      <c r="Q399" s="33">
        <f>$J399*(1+$K399)^(1-1)*(1-$L399)*(1-$M399)</f>
        <v/>
      </c>
      <c r="R399" s="33">
        <f>$J399*(1+$K399)^(2-1)*(1-$L399)*(1-$M399)</f>
        <v/>
      </c>
      <c r="S399" s="33">
        <f>$J399*(1+$K399)^(3-1)*(1-$L399)*(1-$M399)</f>
        <v/>
      </c>
      <c r="T399" s="33">
        <f>$J399*(1+$K399)^(4-1)*(1-$L399)*(1-$M399)</f>
        <v/>
      </c>
      <c r="U399" s="33">
        <f>$J399*(1+$K399)^(5-1)*(1-$L399)*(1-$M399)+$O399</f>
        <v/>
      </c>
      <c r="V399" s="33">
        <f>P399+NPV($N399,Q399:U399)</f>
        <v/>
      </c>
      <c r="W399" s="32">
        <f>IFERROR(IRR(P399:U399,0.1),"")</f>
        <v/>
      </c>
    </row>
    <row r="400">
      <c r="A400" s="14" t="n">
        <v>396</v>
      </c>
      <c r="B400" s="30">
        <f>RAND()*(1-2E-6)+1E-6</f>
        <v/>
      </c>
      <c r="C400" s="30">
        <f>RAND()*(1-2E-6)+1E-6</f>
        <v/>
      </c>
      <c r="D400" s="30">
        <f>RAND()*(1-2E-6)+1E-6</f>
        <v/>
      </c>
      <c r="E400" s="30">
        <f>RAND()*(1-2E-6)+1E-6</f>
        <v/>
      </c>
      <c r="F400" s="30">
        <f>RAND()*(1-2E-6)+1E-6</f>
        <v/>
      </c>
      <c r="G400" s="30">
        <f>RAND()*(1-2E-6)+1E-6</f>
        <v/>
      </c>
      <c r="H400" s="30">
        <f>RAND()*(1-2E-6)+1E-6</f>
        <v/>
      </c>
      <c r="I400" s="31">
        <f>MIN(IF(Supuestos!$H$5="",1E+99,Supuestos!$H$5),MAX(IF(Supuestos!$G$5="",-1E+99,Supuestos!$G$5),IF(Supuestos!$C$5="Normal",NORMINV(B400,Supuestos!$D$5,Supuestos!$E$5),IF(Supuestos!$C$5="Triangular",IF(B400&lt;(Supuestos!$E$5-Supuestos!$D$5)/(Supuestos!$F$5-Supuestos!$D$5),Supuestos!$D$5+SQRT(B400*(Supuestos!$F$5-Supuestos!$D$5)*(Supuestos!$E$5-Supuestos!$D$5)),Supuestos!$F$5-SQRT((1-B400)*(Supuestos!$F$5-Supuestos!$D$5)*(Supuestos!$F$5-Supuestos!$E$5))),IF(Supuestos!$C$5="Uniforme",Supuestos!$D$5+B400*(Supuestos!$E$5-Supuestos!$D$5),IF(Supuestos!$C$5="Lognormal",LOGINV(B400,LN(Supuestos!$D$5)-LN(1+Supuestos!$E$5^2/Supuestos!$D$5^2)/2,SQRT(LN(1+Supuestos!$E$5^2/Supuestos!$D$5^2))),Supuestos!$D$5))))))</f>
        <v/>
      </c>
      <c r="J400" s="31">
        <f>MIN(IF(Supuestos!$H$6="",1E+99,Supuestos!$H$6),MAX(IF(Supuestos!$G$6="",-1E+99,Supuestos!$G$6),IF(Supuestos!$C$6="Normal",NORMINV(C400,Supuestos!$D$6,Supuestos!$E$6),IF(Supuestos!$C$6="Triangular",IF(C400&lt;(Supuestos!$E$6-Supuestos!$D$6)/(Supuestos!$F$6-Supuestos!$D$6),Supuestos!$D$6+SQRT(C400*(Supuestos!$F$6-Supuestos!$D$6)*(Supuestos!$E$6-Supuestos!$D$6)),Supuestos!$F$6-SQRT((1-C400)*(Supuestos!$F$6-Supuestos!$D$6)*(Supuestos!$F$6-Supuestos!$E$6))),IF(Supuestos!$C$6="Uniforme",Supuestos!$D$6+C400*(Supuestos!$E$6-Supuestos!$D$6),IF(Supuestos!$C$6="Lognormal",LOGINV(C400,LN(Supuestos!$D$6)-LN(1+Supuestos!$E$6^2/Supuestos!$D$6^2)/2,SQRT(LN(1+Supuestos!$E$6^2/Supuestos!$D$6^2))),Supuestos!$D$6))))))</f>
        <v/>
      </c>
      <c r="K400" s="32">
        <f>MIN(IF(Supuestos!$H$7="",1E+99,Supuestos!$H$7),MAX(IF(Supuestos!$G$7="",-1E+99,Supuestos!$G$7),IF(Supuestos!$C$7="Normal",NORMINV(D400,Supuestos!$D$7,Supuestos!$E$7),IF(Supuestos!$C$7="Triangular",IF(D400&lt;(Supuestos!$E$7-Supuestos!$D$7)/(Supuestos!$F$7-Supuestos!$D$7),Supuestos!$D$7+SQRT(D400*(Supuestos!$F$7-Supuestos!$D$7)*(Supuestos!$E$7-Supuestos!$D$7)),Supuestos!$F$7-SQRT((1-D400)*(Supuestos!$F$7-Supuestos!$D$7)*(Supuestos!$F$7-Supuestos!$E$7))),IF(Supuestos!$C$7="Uniforme",Supuestos!$D$7+D400*(Supuestos!$E$7-Supuestos!$D$7),IF(Supuestos!$C$7="Lognormal",LOGINV(D400,LN(Supuestos!$D$7)-LN(1+Supuestos!$E$7^2/Supuestos!$D$7^2)/2,SQRT(LN(1+Supuestos!$E$7^2/Supuestos!$D$7^2))),Supuestos!$D$7))))))</f>
        <v/>
      </c>
      <c r="L400" s="32">
        <f>MIN(IF(Supuestos!$H$8="",1E+99,Supuestos!$H$8),MAX(IF(Supuestos!$G$8="",-1E+99,Supuestos!$G$8),IF(Supuestos!$C$8="Normal",NORMINV(E400,Supuestos!$D$8,Supuestos!$E$8),IF(Supuestos!$C$8="Triangular",IF(E400&lt;(Supuestos!$E$8-Supuestos!$D$8)/(Supuestos!$F$8-Supuestos!$D$8),Supuestos!$D$8+SQRT(E400*(Supuestos!$F$8-Supuestos!$D$8)*(Supuestos!$E$8-Supuestos!$D$8)),Supuestos!$F$8-SQRT((1-E400)*(Supuestos!$F$8-Supuestos!$D$8)*(Supuestos!$F$8-Supuestos!$E$8))),IF(Supuestos!$C$8="Uniforme",Supuestos!$D$8+E400*(Supuestos!$E$8-Supuestos!$D$8),IF(Supuestos!$C$8="Lognormal",LOGINV(E400,LN(Supuestos!$D$8)-LN(1+Supuestos!$E$8^2/Supuestos!$D$8^2)/2,SQRT(LN(1+Supuestos!$E$8^2/Supuestos!$D$8^2))),Supuestos!$D$8))))))</f>
        <v/>
      </c>
      <c r="M400" s="32">
        <f>MIN(IF(Supuestos!$H$9="",1E+99,Supuestos!$H$9),MAX(IF(Supuestos!$G$9="",-1E+99,Supuestos!$G$9),IF(Supuestos!$C$9="Normal",NORMINV(F400,Supuestos!$D$9,Supuestos!$E$9),IF(Supuestos!$C$9="Triangular",IF(F400&lt;(Supuestos!$E$9-Supuestos!$D$9)/(Supuestos!$F$9-Supuestos!$D$9),Supuestos!$D$9+SQRT(F400*(Supuestos!$F$9-Supuestos!$D$9)*(Supuestos!$E$9-Supuestos!$D$9)),Supuestos!$F$9-SQRT((1-F400)*(Supuestos!$F$9-Supuestos!$D$9)*(Supuestos!$F$9-Supuestos!$E$9))),IF(Supuestos!$C$9="Uniforme",Supuestos!$D$9+F400*(Supuestos!$E$9-Supuestos!$D$9),IF(Supuestos!$C$9="Lognormal",LOGINV(F400,LN(Supuestos!$D$9)-LN(1+Supuestos!$E$9^2/Supuestos!$D$9^2)/2,SQRT(LN(1+Supuestos!$E$9^2/Supuestos!$D$9^2))),Supuestos!$D$9))))))</f>
        <v/>
      </c>
      <c r="N400" s="32">
        <f>MIN(IF(Supuestos!$H$10="",1E+99,Supuestos!$H$10),MAX(IF(Supuestos!$G$10="",-1E+99,Supuestos!$G$10),IF(Supuestos!$C$10="Normal",NORMINV(G400,Supuestos!$D$10,Supuestos!$E$10),IF(Supuestos!$C$10="Triangular",IF(G400&lt;(Supuestos!$E$10-Supuestos!$D$10)/(Supuestos!$F$10-Supuestos!$D$10),Supuestos!$D$10+SQRT(G400*(Supuestos!$F$10-Supuestos!$D$10)*(Supuestos!$E$10-Supuestos!$D$10)),Supuestos!$F$10-SQRT((1-G400)*(Supuestos!$F$10-Supuestos!$D$10)*(Supuestos!$F$10-Supuestos!$E$10))),IF(Supuestos!$C$10="Uniforme",Supuestos!$D$10+G400*(Supuestos!$E$10-Supuestos!$D$10),IF(Supuestos!$C$10="Lognormal",LOGINV(G400,LN(Supuestos!$D$10)-LN(1+Supuestos!$E$10^2/Supuestos!$D$10^2)/2,SQRT(LN(1+Supuestos!$E$10^2/Supuestos!$D$10^2))),Supuestos!$D$10))))))</f>
        <v/>
      </c>
      <c r="O400" s="31">
        <f>MIN(IF(Supuestos!$H$11="",1E+99,Supuestos!$H$11),MAX(IF(Supuestos!$G$11="",-1E+99,Supuestos!$G$11),IF(Supuestos!$C$11="Normal",NORMINV(H400,Supuestos!$D$11,Supuestos!$E$11),IF(Supuestos!$C$11="Triangular",IF(H400&lt;(Supuestos!$E$11-Supuestos!$D$11)/(Supuestos!$F$11-Supuestos!$D$11),Supuestos!$D$11+SQRT(H400*(Supuestos!$F$11-Supuestos!$D$11)*(Supuestos!$E$11-Supuestos!$D$11)),Supuestos!$F$11-SQRT((1-H400)*(Supuestos!$F$11-Supuestos!$D$11)*(Supuestos!$F$11-Supuestos!$E$11))),IF(Supuestos!$C$11="Uniforme",Supuestos!$D$11+H400*(Supuestos!$E$11-Supuestos!$D$11),IF(Supuestos!$C$11="Lognormal",LOGINV(H400,LN(Supuestos!$D$11)-LN(1+Supuestos!$E$11^2/Supuestos!$D$11^2)/2,SQRT(LN(1+Supuestos!$E$11^2/Supuestos!$D$11^2))),Supuestos!$D$11))))))</f>
        <v/>
      </c>
      <c r="P400" s="33">
        <f>-I400</f>
        <v/>
      </c>
      <c r="Q400" s="33">
        <f>$J400*(1+$K400)^(1-1)*(1-$L400)*(1-$M400)</f>
        <v/>
      </c>
      <c r="R400" s="33">
        <f>$J400*(1+$K400)^(2-1)*(1-$L400)*(1-$M400)</f>
        <v/>
      </c>
      <c r="S400" s="33">
        <f>$J400*(1+$K400)^(3-1)*(1-$L400)*(1-$M400)</f>
        <v/>
      </c>
      <c r="T400" s="33">
        <f>$J400*(1+$K400)^(4-1)*(1-$L400)*(1-$M400)</f>
        <v/>
      </c>
      <c r="U400" s="33">
        <f>$J400*(1+$K400)^(5-1)*(1-$L400)*(1-$M400)+$O400</f>
        <v/>
      </c>
      <c r="V400" s="33">
        <f>P400+NPV($N400,Q400:U400)</f>
        <v/>
      </c>
      <c r="W400" s="32">
        <f>IFERROR(IRR(P400:U400,0.1),"")</f>
        <v/>
      </c>
    </row>
    <row r="401">
      <c r="A401" s="14" t="n">
        <v>397</v>
      </c>
      <c r="B401" s="30">
        <f>RAND()*(1-2E-6)+1E-6</f>
        <v/>
      </c>
      <c r="C401" s="30">
        <f>RAND()*(1-2E-6)+1E-6</f>
        <v/>
      </c>
      <c r="D401" s="30">
        <f>RAND()*(1-2E-6)+1E-6</f>
        <v/>
      </c>
      <c r="E401" s="30">
        <f>RAND()*(1-2E-6)+1E-6</f>
        <v/>
      </c>
      <c r="F401" s="30">
        <f>RAND()*(1-2E-6)+1E-6</f>
        <v/>
      </c>
      <c r="G401" s="30">
        <f>RAND()*(1-2E-6)+1E-6</f>
        <v/>
      </c>
      <c r="H401" s="30">
        <f>RAND()*(1-2E-6)+1E-6</f>
        <v/>
      </c>
      <c r="I401" s="31">
        <f>MIN(IF(Supuestos!$H$5="",1E+99,Supuestos!$H$5),MAX(IF(Supuestos!$G$5="",-1E+99,Supuestos!$G$5),IF(Supuestos!$C$5="Normal",NORMINV(B401,Supuestos!$D$5,Supuestos!$E$5),IF(Supuestos!$C$5="Triangular",IF(B401&lt;(Supuestos!$E$5-Supuestos!$D$5)/(Supuestos!$F$5-Supuestos!$D$5),Supuestos!$D$5+SQRT(B401*(Supuestos!$F$5-Supuestos!$D$5)*(Supuestos!$E$5-Supuestos!$D$5)),Supuestos!$F$5-SQRT((1-B401)*(Supuestos!$F$5-Supuestos!$D$5)*(Supuestos!$F$5-Supuestos!$E$5))),IF(Supuestos!$C$5="Uniforme",Supuestos!$D$5+B401*(Supuestos!$E$5-Supuestos!$D$5),IF(Supuestos!$C$5="Lognormal",LOGINV(B401,LN(Supuestos!$D$5)-LN(1+Supuestos!$E$5^2/Supuestos!$D$5^2)/2,SQRT(LN(1+Supuestos!$E$5^2/Supuestos!$D$5^2))),Supuestos!$D$5))))))</f>
        <v/>
      </c>
      <c r="J401" s="31">
        <f>MIN(IF(Supuestos!$H$6="",1E+99,Supuestos!$H$6),MAX(IF(Supuestos!$G$6="",-1E+99,Supuestos!$G$6),IF(Supuestos!$C$6="Normal",NORMINV(C401,Supuestos!$D$6,Supuestos!$E$6),IF(Supuestos!$C$6="Triangular",IF(C401&lt;(Supuestos!$E$6-Supuestos!$D$6)/(Supuestos!$F$6-Supuestos!$D$6),Supuestos!$D$6+SQRT(C401*(Supuestos!$F$6-Supuestos!$D$6)*(Supuestos!$E$6-Supuestos!$D$6)),Supuestos!$F$6-SQRT((1-C401)*(Supuestos!$F$6-Supuestos!$D$6)*(Supuestos!$F$6-Supuestos!$E$6))),IF(Supuestos!$C$6="Uniforme",Supuestos!$D$6+C401*(Supuestos!$E$6-Supuestos!$D$6),IF(Supuestos!$C$6="Lognormal",LOGINV(C401,LN(Supuestos!$D$6)-LN(1+Supuestos!$E$6^2/Supuestos!$D$6^2)/2,SQRT(LN(1+Supuestos!$E$6^2/Supuestos!$D$6^2))),Supuestos!$D$6))))))</f>
        <v/>
      </c>
      <c r="K401" s="32">
        <f>MIN(IF(Supuestos!$H$7="",1E+99,Supuestos!$H$7),MAX(IF(Supuestos!$G$7="",-1E+99,Supuestos!$G$7),IF(Supuestos!$C$7="Normal",NORMINV(D401,Supuestos!$D$7,Supuestos!$E$7),IF(Supuestos!$C$7="Triangular",IF(D401&lt;(Supuestos!$E$7-Supuestos!$D$7)/(Supuestos!$F$7-Supuestos!$D$7),Supuestos!$D$7+SQRT(D401*(Supuestos!$F$7-Supuestos!$D$7)*(Supuestos!$E$7-Supuestos!$D$7)),Supuestos!$F$7-SQRT((1-D401)*(Supuestos!$F$7-Supuestos!$D$7)*(Supuestos!$F$7-Supuestos!$E$7))),IF(Supuestos!$C$7="Uniforme",Supuestos!$D$7+D401*(Supuestos!$E$7-Supuestos!$D$7),IF(Supuestos!$C$7="Lognormal",LOGINV(D401,LN(Supuestos!$D$7)-LN(1+Supuestos!$E$7^2/Supuestos!$D$7^2)/2,SQRT(LN(1+Supuestos!$E$7^2/Supuestos!$D$7^2))),Supuestos!$D$7))))))</f>
        <v/>
      </c>
      <c r="L401" s="32">
        <f>MIN(IF(Supuestos!$H$8="",1E+99,Supuestos!$H$8),MAX(IF(Supuestos!$G$8="",-1E+99,Supuestos!$G$8),IF(Supuestos!$C$8="Normal",NORMINV(E401,Supuestos!$D$8,Supuestos!$E$8),IF(Supuestos!$C$8="Triangular",IF(E401&lt;(Supuestos!$E$8-Supuestos!$D$8)/(Supuestos!$F$8-Supuestos!$D$8),Supuestos!$D$8+SQRT(E401*(Supuestos!$F$8-Supuestos!$D$8)*(Supuestos!$E$8-Supuestos!$D$8)),Supuestos!$F$8-SQRT((1-E401)*(Supuestos!$F$8-Supuestos!$D$8)*(Supuestos!$F$8-Supuestos!$E$8))),IF(Supuestos!$C$8="Uniforme",Supuestos!$D$8+E401*(Supuestos!$E$8-Supuestos!$D$8),IF(Supuestos!$C$8="Lognormal",LOGINV(E401,LN(Supuestos!$D$8)-LN(1+Supuestos!$E$8^2/Supuestos!$D$8^2)/2,SQRT(LN(1+Supuestos!$E$8^2/Supuestos!$D$8^2))),Supuestos!$D$8))))))</f>
        <v/>
      </c>
      <c r="M401" s="32">
        <f>MIN(IF(Supuestos!$H$9="",1E+99,Supuestos!$H$9),MAX(IF(Supuestos!$G$9="",-1E+99,Supuestos!$G$9),IF(Supuestos!$C$9="Normal",NORMINV(F401,Supuestos!$D$9,Supuestos!$E$9),IF(Supuestos!$C$9="Triangular",IF(F401&lt;(Supuestos!$E$9-Supuestos!$D$9)/(Supuestos!$F$9-Supuestos!$D$9),Supuestos!$D$9+SQRT(F401*(Supuestos!$F$9-Supuestos!$D$9)*(Supuestos!$E$9-Supuestos!$D$9)),Supuestos!$F$9-SQRT((1-F401)*(Supuestos!$F$9-Supuestos!$D$9)*(Supuestos!$F$9-Supuestos!$E$9))),IF(Supuestos!$C$9="Uniforme",Supuestos!$D$9+F401*(Supuestos!$E$9-Supuestos!$D$9),IF(Supuestos!$C$9="Lognormal",LOGINV(F401,LN(Supuestos!$D$9)-LN(1+Supuestos!$E$9^2/Supuestos!$D$9^2)/2,SQRT(LN(1+Supuestos!$E$9^2/Supuestos!$D$9^2))),Supuestos!$D$9))))))</f>
        <v/>
      </c>
      <c r="N401" s="32">
        <f>MIN(IF(Supuestos!$H$10="",1E+99,Supuestos!$H$10),MAX(IF(Supuestos!$G$10="",-1E+99,Supuestos!$G$10),IF(Supuestos!$C$10="Normal",NORMINV(G401,Supuestos!$D$10,Supuestos!$E$10),IF(Supuestos!$C$10="Triangular",IF(G401&lt;(Supuestos!$E$10-Supuestos!$D$10)/(Supuestos!$F$10-Supuestos!$D$10),Supuestos!$D$10+SQRT(G401*(Supuestos!$F$10-Supuestos!$D$10)*(Supuestos!$E$10-Supuestos!$D$10)),Supuestos!$F$10-SQRT((1-G401)*(Supuestos!$F$10-Supuestos!$D$10)*(Supuestos!$F$10-Supuestos!$E$10))),IF(Supuestos!$C$10="Uniforme",Supuestos!$D$10+G401*(Supuestos!$E$10-Supuestos!$D$10),IF(Supuestos!$C$10="Lognormal",LOGINV(G401,LN(Supuestos!$D$10)-LN(1+Supuestos!$E$10^2/Supuestos!$D$10^2)/2,SQRT(LN(1+Supuestos!$E$10^2/Supuestos!$D$10^2))),Supuestos!$D$10))))))</f>
        <v/>
      </c>
      <c r="O401" s="31">
        <f>MIN(IF(Supuestos!$H$11="",1E+99,Supuestos!$H$11),MAX(IF(Supuestos!$G$11="",-1E+99,Supuestos!$G$11),IF(Supuestos!$C$11="Normal",NORMINV(H401,Supuestos!$D$11,Supuestos!$E$11),IF(Supuestos!$C$11="Triangular",IF(H401&lt;(Supuestos!$E$11-Supuestos!$D$11)/(Supuestos!$F$11-Supuestos!$D$11),Supuestos!$D$11+SQRT(H401*(Supuestos!$F$11-Supuestos!$D$11)*(Supuestos!$E$11-Supuestos!$D$11)),Supuestos!$F$11-SQRT((1-H401)*(Supuestos!$F$11-Supuestos!$D$11)*(Supuestos!$F$11-Supuestos!$E$11))),IF(Supuestos!$C$11="Uniforme",Supuestos!$D$11+H401*(Supuestos!$E$11-Supuestos!$D$11),IF(Supuestos!$C$11="Lognormal",LOGINV(H401,LN(Supuestos!$D$11)-LN(1+Supuestos!$E$11^2/Supuestos!$D$11^2)/2,SQRT(LN(1+Supuestos!$E$11^2/Supuestos!$D$11^2))),Supuestos!$D$11))))))</f>
        <v/>
      </c>
      <c r="P401" s="33">
        <f>-I401</f>
        <v/>
      </c>
      <c r="Q401" s="33">
        <f>$J401*(1+$K401)^(1-1)*(1-$L401)*(1-$M401)</f>
        <v/>
      </c>
      <c r="R401" s="33">
        <f>$J401*(1+$K401)^(2-1)*(1-$L401)*(1-$M401)</f>
        <v/>
      </c>
      <c r="S401" s="33">
        <f>$J401*(1+$K401)^(3-1)*(1-$L401)*(1-$M401)</f>
        <v/>
      </c>
      <c r="T401" s="33">
        <f>$J401*(1+$K401)^(4-1)*(1-$L401)*(1-$M401)</f>
        <v/>
      </c>
      <c r="U401" s="33">
        <f>$J401*(1+$K401)^(5-1)*(1-$L401)*(1-$M401)+$O401</f>
        <v/>
      </c>
      <c r="V401" s="33">
        <f>P401+NPV($N401,Q401:U401)</f>
        <v/>
      </c>
      <c r="W401" s="32">
        <f>IFERROR(IRR(P401:U401,0.1),"")</f>
        <v/>
      </c>
    </row>
    <row r="402">
      <c r="A402" s="14" t="n">
        <v>398</v>
      </c>
      <c r="B402" s="30">
        <f>RAND()*(1-2E-6)+1E-6</f>
        <v/>
      </c>
      <c r="C402" s="30">
        <f>RAND()*(1-2E-6)+1E-6</f>
        <v/>
      </c>
      <c r="D402" s="30">
        <f>RAND()*(1-2E-6)+1E-6</f>
        <v/>
      </c>
      <c r="E402" s="30">
        <f>RAND()*(1-2E-6)+1E-6</f>
        <v/>
      </c>
      <c r="F402" s="30">
        <f>RAND()*(1-2E-6)+1E-6</f>
        <v/>
      </c>
      <c r="G402" s="30">
        <f>RAND()*(1-2E-6)+1E-6</f>
        <v/>
      </c>
      <c r="H402" s="30">
        <f>RAND()*(1-2E-6)+1E-6</f>
        <v/>
      </c>
      <c r="I402" s="31">
        <f>MIN(IF(Supuestos!$H$5="",1E+99,Supuestos!$H$5),MAX(IF(Supuestos!$G$5="",-1E+99,Supuestos!$G$5),IF(Supuestos!$C$5="Normal",NORMINV(B402,Supuestos!$D$5,Supuestos!$E$5),IF(Supuestos!$C$5="Triangular",IF(B402&lt;(Supuestos!$E$5-Supuestos!$D$5)/(Supuestos!$F$5-Supuestos!$D$5),Supuestos!$D$5+SQRT(B402*(Supuestos!$F$5-Supuestos!$D$5)*(Supuestos!$E$5-Supuestos!$D$5)),Supuestos!$F$5-SQRT((1-B402)*(Supuestos!$F$5-Supuestos!$D$5)*(Supuestos!$F$5-Supuestos!$E$5))),IF(Supuestos!$C$5="Uniforme",Supuestos!$D$5+B402*(Supuestos!$E$5-Supuestos!$D$5),IF(Supuestos!$C$5="Lognormal",LOGINV(B402,LN(Supuestos!$D$5)-LN(1+Supuestos!$E$5^2/Supuestos!$D$5^2)/2,SQRT(LN(1+Supuestos!$E$5^2/Supuestos!$D$5^2))),Supuestos!$D$5))))))</f>
        <v/>
      </c>
      <c r="J402" s="31">
        <f>MIN(IF(Supuestos!$H$6="",1E+99,Supuestos!$H$6),MAX(IF(Supuestos!$G$6="",-1E+99,Supuestos!$G$6),IF(Supuestos!$C$6="Normal",NORMINV(C402,Supuestos!$D$6,Supuestos!$E$6),IF(Supuestos!$C$6="Triangular",IF(C402&lt;(Supuestos!$E$6-Supuestos!$D$6)/(Supuestos!$F$6-Supuestos!$D$6),Supuestos!$D$6+SQRT(C402*(Supuestos!$F$6-Supuestos!$D$6)*(Supuestos!$E$6-Supuestos!$D$6)),Supuestos!$F$6-SQRT((1-C402)*(Supuestos!$F$6-Supuestos!$D$6)*(Supuestos!$F$6-Supuestos!$E$6))),IF(Supuestos!$C$6="Uniforme",Supuestos!$D$6+C402*(Supuestos!$E$6-Supuestos!$D$6),IF(Supuestos!$C$6="Lognormal",LOGINV(C402,LN(Supuestos!$D$6)-LN(1+Supuestos!$E$6^2/Supuestos!$D$6^2)/2,SQRT(LN(1+Supuestos!$E$6^2/Supuestos!$D$6^2))),Supuestos!$D$6))))))</f>
        <v/>
      </c>
      <c r="K402" s="32">
        <f>MIN(IF(Supuestos!$H$7="",1E+99,Supuestos!$H$7),MAX(IF(Supuestos!$G$7="",-1E+99,Supuestos!$G$7),IF(Supuestos!$C$7="Normal",NORMINV(D402,Supuestos!$D$7,Supuestos!$E$7),IF(Supuestos!$C$7="Triangular",IF(D402&lt;(Supuestos!$E$7-Supuestos!$D$7)/(Supuestos!$F$7-Supuestos!$D$7),Supuestos!$D$7+SQRT(D402*(Supuestos!$F$7-Supuestos!$D$7)*(Supuestos!$E$7-Supuestos!$D$7)),Supuestos!$F$7-SQRT((1-D402)*(Supuestos!$F$7-Supuestos!$D$7)*(Supuestos!$F$7-Supuestos!$E$7))),IF(Supuestos!$C$7="Uniforme",Supuestos!$D$7+D402*(Supuestos!$E$7-Supuestos!$D$7),IF(Supuestos!$C$7="Lognormal",LOGINV(D402,LN(Supuestos!$D$7)-LN(1+Supuestos!$E$7^2/Supuestos!$D$7^2)/2,SQRT(LN(1+Supuestos!$E$7^2/Supuestos!$D$7^2))),Supuestos!$D$7))))))</f>
        <v/>
      </c>
      <c r="L402" s="32">
        <f>MIN(IF(Supuestos!$H$8="",1E+99,Supuestos!$H$8),MAX(IF(Supuestos!$G$8="",-1E+99,Supuestos!$G$8),IF(Supuestos!$C$8="Normal",NORMINV(E402,Supuestos!$D$8,Supuestos!$E$8),IF(Supuestos!$C$8="Triangular",IF(E402&lt;(Supuestos!$E$8-Supuestos!$D$8)/(Supuestos!$F$8-Supuestos!$D$8),Supuestos!$D$8+SQRT(E402*(Supuestos!$F$8-Supuestos!$D$8)*(Supuestos!$E$8-Supuestos!$D$8)),Supuestos!$F$8-SQRT((1-E402)*(Supuestos!$F$8-Supuestos!$D$8)*(Supuestos!$F$8-Supuestos!$E$8))),IF(Supuestos!$C$8="Uniforme",Supuestos!$D$8+E402*(Supuestos!$E$8-Supuestos!$D$8),IF(Supuestos!$C$8="Lognormal",LOGINV(E402,LN(Supuestos!$D$8)-LN(1+Supuestos!$E$8^2/Supuestos!$D$8^2)/2,SQRT(LN(1+Supuestos!$E$8^2/Supuestos!$D$8^2))),Supuestos!$D$8))))))</f>
        <v/>
      </c>
      <c r="M402" s="32">
        <f>MIN(IF(Supuestos!$H$9="",1E+99,Supuestos!$H$9),MAX(IF(Supuestos!$G$9="",-1E+99,Supuestos!$G$9),IF(Supuestos!$C$9="Normal",NORMINV(F402,Supuestos!$D$9,Supuestos!$E$9),IF(Supuestos!$C$9="Triangular",IF(F402&lt;(Supuestos!$E$9-Supuestos!$D$9)/(Supuestos!$F$9-Supuestos!$D$9),Supuestos!$D$9+SQRT(F402*(Supuestos!$F$9-Supuestos!$D$9)*(Supuestos!$E$9-Supuestos!$D$9)),Supuestos!$F$9-SQRT((1-F402)*(Supuestos!$F$9-Supuestos!$D$9)*(Supuestos!$F$9-Supuestos!$E$9))),IF(Supuestos!$C$9="Uniforme",Supuestos!$D$9+F402*(Supuestos!$E$9-Supuestos!$D$9),IF(Supuestos!$C$9="Lognormal",LOGINV(F402,LN(Supuestos!$D$9)-LN(1+Supuestos!$E$9^2/Supuestos!$D$9^2)/2,SQRT(LN(1+Supuestos!$E$9^2/Supuestos!$D$9^2))),Supuestos!$D$9))))))</f>
        <v/>
      </c>
      <c r="N402" s="32">
        <f>MIN(IF(Supuestos!$H$10="",1E+99,Supuestos!$H$10),MAX(IF(Supuestos!$G$10="",-1E+99,Supuestos!$G$10),IF(Supuestos!$C$10="Normal",NORMINV(G402,Supuestos!$D$10,Supuestos!$E$10),IF(Supuestos!$C$10="Triangular",IF(G402&lt;(Supuestos!$E$10-Supuestos!$D$10)/(Supuestos!$F$10-Supuestos!$D$10),Supuestos!$D$10+SQRT(G402*(Supuestos!$F$10-Supuestos!$D$10)*(Supuestos!$E$10-Supuestos!$D$10)),Supuestos!$F$10-SQRT((1-G402)*(Supuestos!$F$10-Supuestos!$D$10)*(Supuestos!$F$10-Supuestos!$E$10))),IF(Supuestos!$C$10="Uniforme",Supuestos!$D$10+G402*(Supuestos!$E$10-Supuestos!$D$10),IF(Supuestos!$C$10="Lognormal",LOGINV(G402,LN(Supuestos!$D$10)-LN(1+Supuestos!$E$10^2/Supuestos!$D$10^2)/2,SQRT(LN(1+Supuestos!$E$10^2/Supuestos!$D$10^2))),Supuestos!$D$10))))))</f>
        <v/>
      </c>
      <c r="O402" s="31">
        <f>MIN(IF(Supuestos!$H$11="",1E+99,Supuestos!$H$11),MAX(IF(Supuestos!$G$11="",-1E+99,Supuestos!$G$11),IF(Supuestos!$C$11="Normal",NORMINV(H402,Supuestos!$D$11,Supuestos!$E$11),IF(Supuestos!$C$11="Triangular",IF(H402&lt;(Supuestos!$E$11-Supuestos!$D$11)/(Supuestos!$F$11-Supuestos!$D$11),Supuestos!$D$11+SQRT(H402*(Supuestos!$F$11-Supuestos!$D$11)*(Supuestos!$E$11-Supuestos!$D$11)),Supuestos!$F$11-SQRT((1-H402)*(Supuestos!$F$11-Supuestos!$D$11)*(Supuestos!$F$11-Supuestos!$E$11))),IF(Supuestos!$C$11="Uniforme",Supuestos!$D$11+H402*(Supuestos!$E$11-Supuestos!$D$11),IF(Supuestos!$C$11="Lognormal",LOGINV(H402,LN(Supuestos!$D$11)-LN(1+Supuestos!$E$11^2/Supuestos!$D$11^2)/2,SQRT(LN(1+Supuestos!$E$11^2/Supuestos!$D$11^2))),Supuestos!$D$11))))))</f>
        <v/>
      </c>
      <c r="P402" s="33">
        <f>-I402</f>
        <v/>
      </c>
      <c r="Q402" s="33">
        <f>$J402*(1+$K402)^(1-1)*(1-$L402)*(1-$M402)</f>
        <v/>
      </c>
      <c r="R402" s="33">
        <f>$J402*(1+$K402)^(2-1)*(1-$L402)*(1-$M402)</f>
        <v/>
      </c>
      <c r="S402" s="33">
        <f>$J402*(1+$K402)^(3-1)*(1-$L402)*(1-$M402)</f>
        <v/>
      </c>
      <c r="T402" s="33">
        <f>$J402*(1+$K402)^(4-1)*(1-$L402)*(1-$M402)</f>
        <v/>
      </c>
      <c r="U402" s="33">
        <f>$J402*(1+$K402)^(5-1)*(1-$L402)*(1-$M402)+$O402</f>
        <v/>
      </c>
      <c r="V402" s="33">
        <f>P402+NPV($N402,Q402:U402)</f>
        <v/>
      </c>
      <c r="W402" s="32">
        <f>IFERROR(IRR(P402:U402,0.1),"")</f>
        <v/>
      </c>
    </row>
    <row r="403">
      <c r="A403" s="14" t="n">
        <v>399</v>
      </c>
      <c r="B403" s="30">
        <f>RAND()*(1-2E-6)+1E-6</f>
        <v/>
      </c>
      <c r="C403" s="30">
        <f>RAND()*(1-2E-6)+1E-6</f>
        <v/>
      </c>
      <c r="D403" s="30">
        <f>RAND()*(1-2E-6)+1E-6</f>
        <v/>
      </c>
      <c r="E403" s="30">
        <f>RAND()*(1-2E-6)+1E-6</f>
        <v/>
      </c>
      <c r="F403" s="30">
        <f>RAND()*(1-2E-6)+1E-6</f>
        <v/>
      </c>
      <c r="G403" s="30">
        <f>RAND()*(1-2E-6)+1E-6</f>
        <v/>
      </c>
      <c r="H403" s="30">
        <f>RAND()*(1-2E-6)+1E-6</f>
        <v/>
      </c>
      <c r="I403" s="31">
        <f>MIN(IF(Supuestos!$H$5="",1E+99,Supuestos!$H$5),MAX(IF(Supuestos!$G$5="",-1E+99,Supuestos!$G$5),IF(Supuestos!$C$5="Normal",NORMINV(B403,Supuestos!$D$5,Supuestos!$E$5),IF(Supuestos!$C$5="Triangular",IF(B403&lt;(Supuestos!$E$5-Supuestos!$D$5)/(Supuestos!$F$5-Supuestos!$D$5),Supuestos!$D$5+SQRT(B403*(Supuestos!$F$5-Supuestos!$D$5)*(Supuestos!$E$5-Supuestos!$D$5)),Supuestos!$F$5-SQRT((1-B403)*(Supuestos!$F$5-Supuestos!$D$5)*(Supuestos!$F$5-Supuestos!$E$5))),IF(Supuestos!$C$5="Uniforme",Supuestos!$D$5+B403*(Supuestos!$E$5-Supuestos!$D$5),IF(Supuestos!$C$5="Lognormal",LOGINV(B403,LN(Supuestos!$D$5)-LN(1+Supuestos!$E$5^2/Supuestos!$D$5^2)/2,SQRT(LN(1+Supuestos!$E$5^2/Supuestos!$D$5^2))),Supuestos!$D$5))))))</f>
        <v/>
      </c>
      <c r="J403" s="31">
        <f>MIN(IF(Supuestos!$H$6="",1E+99,Supuestos!$H$6),MAX(IF(Supuestos!$G$6="",-1E+99,Supuestos!$G$6),IF(Supuestos!$C$6="Normal",NORMINV(C403,Supuestos!$D$6,Supuestos!$E$6),IF(Supuestos!$C$6="Triangular",IF(C403&lt;(Supuestos!$E$6-Supuestos!$D$6)/(Supuestos!$F$6-Supuestos!$D$6),Supuestos!$D$6+SQRT(C403*(Supuestos!$F$6-Supuestos!$D$6)*(Supuestos!$E$6-Supuestos!$D$6)),Supuestos!$F$6-SQRT((1-C403)*(Supuestos!$F$6-Supuestos!$D$6)*(Supuestos!$F$6-Supuestos!$E$6))),IF(Supuestos!$C$6="Uniforme",Supuestos!$D$6+C403*(Supuestos!$E$6-Supuestos!$D$6),IF(Supuestos!$C$6="Lognormal",LOGINV(C403,LN(Supuestos!$D$6)-LN(1+Supuestos!$E$6^2/Supuestos!$D$6^2)/2,SQRT(LN(1+Supuestos!$E$6^2/Supuestos!$D$6^2))),Supuestos!$D$6))))))</f>
        <v/>
      </c>
      <c r="K403" s="32">
        <f>MIN(IF(Supuestos!$H$7="",1E+99,Supuestos!$H$7),MAX(IF(Supuestos!$G$7="",-1E+99,Supuestos!$G$7),IF(Supuestos!$C$7="Normal",NORMINV(D403,Supuestos!$D$7,Supuestos!$E$7),IF(Supuestos!$C$7="Triangular",IF(D403&lt;(Supuestos!$E$7-Supuestos!$D$7)/(Supuestos!$F$7-Supuestos!$D$7),Supuestos!$D$7+SQRT(D403*(Supuestos!$F$7-Supuestos!$D$7)*(Supuestos!$E$7-Supuestos!$D$7)),Supuestos!$F$7-SQRT((1-D403)*(Supuestos!$F$7-Supuestos!$D$7)*(Supuestos!$F$7-Supuestos!$E$7))),IF(Supuestos!$C$7="Uniforme",Supuestos!$D$7+D403*(Supuestos!$E$7-Supuestos!$D$7),IF(Supuestos!$C$7="Lognormal",LOGINV(D403,LN(Supuestos!$D$7)-LN(1+Supuestos!$E$7^2/Supuestos!$D$7^2)/2,SQRT(LN(1+Supuestos!$E$7^2/Supuestos!$D$7^2))),Supuestos!$D$7))))))</f>
        <v/>
      </c>
      <c r="L403" s="32">
        <f>MIN(IF(Supuestos!$H$8="",1E+99,Supuestos!$H$8),MAX(IF(Supuestos!$G$8="",-1E+99,Supuestos!$G$8),IF(Supuestos!$C$8="Normal",NORMINV(E403,Supuestos!$D$8,Supuestos!$E$8),IF(Supuestos!$C$8="Triangular",IF(E403&lt;(Supuestos!$E$8-Supuestos!$D$8)/(Supuestos!$F$8-Supuestos!$D$8),Supuestos!$D$8+SQRT(E403*(Supuestos!$F$8-Supuestos!$D$8)*(Supuestos!$E$8-Supuestos!$D$8)),Supuestos!$F$8-SQRT((1-E403)*(Supuestos!$F$8-Supuestos!$D$8)*(Supuestos!$F$8-Supuestos!$E$8))),IF(Supuestos!$C$8="Uniforme",Supuestos!$D$8+E403*(Supuestos!$E$8-Supuestos!$D$8),IF(Supuestos!$C$8="Lognormal",LOGINV(E403,LN(Supuestos!$D$8)-LN(1+Supuestos!$E$8^2/Supuestos!$D$8^2)/2,SQRT(LN(1+Supuestos!$E$8^2/Supuestos!$D$8^2))),Supuestos!$D$8))))))</f>
        <v/>
      </c>
      <c r="M403" s="32">
        <f>MIN(IF(Supuestos!$H$9="",1E+99,Supuestos!$H$9),MAX(IF(Supuestos!$G$9="",-1E+99,Supuestos!$G$9),IF(Supuestos!$C$9="Normal",NORMINV(F403,Supuestos!$D$9,Supuestos!$E$9),IF(Supuestos!$C$9="Triangular",IF(F403&lt;(Supuestos!$E$9-Supuestos!$D$9)/(Supuestos!$F$9-Supuestos!$D$9),Supuestos!$D$9+SQRT(F403*(Supuestos!$F$9-Supuestos!$D$9)*(Supuestos!$E$9-Supuestos!$D$9)),Supuestos!$F$9-SQRT((1-F403)*(Supuestos!$F$9-Supuestos!$D$9)*(Supuestos!$F$9-Supuestos!$E$9))),IF(Supuestos!$C$9="Uniforme",Supuestos!$D$9+F403*(Supuestos!$E$9-Supuestos!$D$9),IF(Supuestos!$C$9="Lognormal",LOGINV(F403,LN(Supuestos!$D$9)-LN(1+Supuestos!$E$9^2/Supuestos!$D$9^2)/2,SQRT(LN(1+Supuestos!$E$9^2/Supuestos!$D$9^2))),Supuestos!$D$9))))))</f>
        <v/>
      </c>
      <c r="N403" s="32">
        <f>MIN(IF(Supuestos!$H$10="",1E+99,Supuestos!$H$10),MAX(IF(Supuestos!$G$10="",-1E+99,Supuestos!$G$10),IF(Supuestos!$C$10="Normal",NORMINV(G403,Supuestos!$D$10,Supuestos!$E$10),IF(Supuestos!$C$10="Triangular",IF(G403&lt;(Supuestos!$E$10-Supuestos!$D$10)/(Supuestos!$F$10-Supuestos!$D$10),Supuestos!$D$10+SQRT(G403*(Supuestos!$F$10-Supuestos!$D$10)*(Supuestos!$E$10-Supuestos!$D$10)),Supuestos!$F$10-SQRT((1-G403)*(Supuestos!$F$10-Supuestos!$D$10)*(Supuestos!$F$10-Supuestos!$E$10))),IF(Supuestos!$C$10="Uniforme",Supuestos!$D$10+G403*(Supuestos!$E$10-Supuestos!$D$10),IF(Supuestos!$C$10="Lognormal",LOGINV(G403,LN(Supuestos!$D$10)-LN(1+Supuestos!$E$10^2/Supuestos!$D$10^2)/2,SQRT(LN(1+Supuestos!$E$10^2/Supuestos!$D$10^2))),Supuestos!$D$10))))))</f>
        <v/>
      </c>
      <c r="O403" s="31">
        <f>MIN(IF(Supuestos!$H$11="",1E+99,Supuestos!$H$11),MAX(IF(Supuestos!$G$11="",-1E+99,Supuestos!$G$11),IF(Supuestos!$C$11="Normal",NORMINV(H403,Supuestos!$D$11,Supuestos!$E$11),IF(Supuestos!$C$11="Triangular",IF(H403&lt;(Supuestos!$E$11-Supuestos!$D$11)/(Supuestos!$F$11-Supuestos!$D$11),Supuestos!$D$11+SQRT(H403*(Supuestos!$F$11-Supuestos!$D$11)*(Supuestos!$E$11-Supuestos!$D$11)),Supuestos!$F$11-SQRT((1-H403)*(Supuestos!$F$11-Supuestos!$D$11)*(Supuestos!$F$11-Supuestos!$E$11))),IF(Supuestos!$C$11="Uniforme",Supuestos!$D$11+H403*(Supuestos!$E$11-Supuestos!$D$11),IF(Supuestos!$C$11="Lognormal",LOGINV(H403,LN(Supuestos!$D$11)-LN(1+Supuestos!$E$11^2/Supuestos!$D$11^2)/2,SQRT(LN(1+Supuestos!$E$11^2/Supuestos!$D$11^2))),Supuestos!$D$11))))))</f>
        <v/>
      </c>
      <c r="P403" s="33">
        <f>-I403</f>
        <v/>
      </c>
      <c r="Q403" s="33">
        <f>$J403*(1+$K403)^(1-1)*(1-$L403)*(1-$M403)</f>
        <v/>
      </c>
      <c r="R403" s="33">
        <f>$J403*(1+$K403)^(2-1)*(1-$L403)*(1-$M403)</f>
        <v/>
      </c>
      <c r="S403" s="33">
        <f>$J403*(1+$K403)^(3-1)*(1-$L403)*(1-$M403)</f>
        <v/>
      </c>
      <c r="T403" s="33">
        <f>$J403*(1+$K403)^(4-1)*(1-$L403)*(1-$M403)</f>
        <v/>
      </c>
      <c r="U403" s="33">
        <f>$J403*(1+$K403)^(5-1)*(1-$L403)*(1-$M403)+$O403</f>
        <v/>
      </c>
      <c r="V403" s="33">
        <f>P403+NPV($N403,Q403:U403)</f>
        <v/>
      </c>
      <c r="W403" s="32">
        <f>IFERROR(IRR(P403:U403,0.1),"")</f>
        <v/>
      </c>
    </row>
    <row r="404">
      <c r="A404" s="14" t="n">
        <v>400</v>
      </c>
      <c r="B404" s="30">
        <f>RAND()*(1-2E-6)+1E-6</f>
        <v/>
      </c>
      <c r="C404" s="30">
        <f>RAND()*(1-2E-6)+1E-6</f>
        <v/>
      </c>
      <c r="D404" s="30">
        <f>RAND()*(1-2E-6)+1E-6</f>
        <v/>
      </c>
      <c r="E404" s="30">
        <f>RAND()*(1-2E-6)+1E-6</f>
        <v/>
      </c>
      <c r="F404" s="30">
        <f>RAND()*(1-2E-6)+1E-6</f>
        <v/>
      </c>
      <c r="G404" s="30">
        <f>RAND()*(1-2E-6)+1E-6</f>
        <v/>
      </c>
      <c r="H404" s="30">
        <f>RAND()*(1-2E-6)+1E-6</f>
        <v/>
      </c>
      <c r="I404" s="31">
        <f>MIN(IF(Supuestos!$H$5="",1E+99,Supuestos!$H$5),MAX(IF(Supuestos!$G$5="",-1E+99,Supuestos!$G$5),IF(Supuestos!$C$5="Normal",NORMINV(B404,Supuestos!$D$5,Supuestos!$E$5),IF(Supuestos!$C$5="Triangular",IF(B404&lt;(Supuestos!$E$5-Supuestos!$D$5)/(Supuestos!$F$5-Supuestos!$D$5),Supuestos!$D$5+SQRT(B404*(Supuestos!$F$5-Supuestos!$D$5)*(Supuestos!$E$5-Supuestos!$D$5)),Supuestos!$F$5-SQRT((1-B404)*(Supuestos!$F$5-Supuestos!$D$5)*(Supuestos!$F$5-Supuestos!$E$5))),IF(Supuestos!$C$5="Uniforme",Supuestos!$D$5+B404*(Supuestos!$E$5-Supuestos!$D$5),IF(Supuestos!$C$5="Lognormal",LOGINV(B404,LN(Supuestos!$D$5)-LN(1+Supuestos!$E$5^2/Supuestos!$D$5^2)/2,SQRT(LN(1+Supuestos!$E$5^2/Supuestos!$D$5^2))),Supuestos!$D$5))))))</f>
        <v/>
      </c>
      <c r="J404" s="31">
        <f>MIN(IF(Supuestos!$H$6="",1E+99,Supuestos!$H$6),MAX(IF(Supuestos!$G$6="",-1E+99,Supuestos!$G$6),IF(Supuestos!$C$6="Normal",NORMINV(C404,Supuestos!$D$6,Supuestos!$E$6),IF(Supuestos!$C$6="Triangular",IF(C404&lt;(Supuestos!$E$6-Supuestos!$D$6)/(Supuestos!$F$6-Supuestos!$D$6),Supuestos!$D$6+SQRT(C404*(Supuestos!$F$6-Supuestos!$D$6)*(Supuestos!$E$6-Supuestos!$D$6)),Supuestos!$F$6-SQRT((1-C404)*(Supuestos!$F$6-Supuestos!$D$6)*(Supuestos!$F$6-Supuestos!$E$6))),IF(Supuestos!$C$6="Uniforme",Supuestos!$D$6+C404*(Supuestos!$E$6-Supuestos!$D$6),IF(Supuestos!$C$6="Lognormal",LOGINV(C404,LN(Supuestos!$D$6)-LN(1+Supuestos!$E$6^2/Supuestos!$D$6^2)/2,SQRT(LN(1+Supuestos!$E$6^2/Supuestos!$D$6^2))),Supuestos!$D$6))))))</f>
        <v/>
      </c>
      <c r="K404" s="32">
        <f>MIN(IF(Supuestos!$H$7="",1E+99,Supuestos!$H$7),MAX(IF(Supuestos!$G$7="",-1E+99,Supuestos!$G$7),IF(Supuestos!$C$7="Normal",NORMINV(D404,Supuestos!$D$7,Supuestos!$E$7),IF(Supuestos!$C$7="Triangular",IF(D404&lt;(Supuestos!$E$7-Supuestos!$D$7)/(Supuestos!$F$7-Supuestos!$D$7),Supuestos!$D$7+SQRT(D404*(Supuestos!$F$7-Supuestos!$D$7)*(Supuestos!$E$7-Supuestos!$D$7)),Supuestos!$F$7-SQRT((1-D404)*(Supuestos!$F$7-Supuestos!$D$7)*(Supuestos!$F$7-Supuestos!$E$7))),IF(Supuestos!$C$7="Uniforme",Supuestos!$D$7+D404*(Supuestos!$E$7-Supuestos!$D$7),IF(Supuestos!$C$7="Lognormal",LOGINV(D404,LN(Supuestos!$D$7)-LN(1+Supuestos!$E$7^2/Supuestos!$D$7^2)/2,SQRT(LN(1+Supuestos!$E$7^2/Supuestos!$D$7^2))),Supuestos!$D$7))))))</f>
        <v/>
      </c>
      <c r="L404" s="32">
        <f>MIN(IF(Supuestos!$H$8="",1E+99,Supuestos!$H$8),MAX(IF(Supuestos!$G$8="",-1E+99,Supuestos!$G$8),IF(Supuestos!$C$8="Normal",NORMINV(E404,Supuestos!$D$8,Supuestos!$E$8),IF(Supuestos!$C$8="Triangular",IF(E404&lt;(Supuestos!$E$8-Supuestos!$D$8)/(Supuestos!$F$8-Supuestos!$D$8),Supuestos!$D$8+SQRT(E404*(Supuestos!$F$8-Supuestos!$D$8)*(Supuestos!$E$8-Supuestos!$D$8)),Supuestos!$F$8-SQRT((1-E404)*(Supuestos!$F$8-Supuestos!$D$8)*(Supuestos!$F$8-Supuestos!$E$8))),IF(Supuestos!$C$8="Uniforme",Supuestos!$D$8+E404*(Supuestos!$E$8-Supuestos!$D$8),IF(Supuestos!$C$8="Lognormal",LOGINV(E404,LN(Supuestos!$D$8)-LN(1+Supuestos!$E$8^2/Supuestos!$D$8^2)/2,SQRT(LN(1+Supuestos!$E$8^2/Supuestos!$D$8^2))),Supuestos!$D$8))))))</f>
        <v/>
      </c>
      <c r="M404" s="32">
        <f>MIN(IF(Supuestos!$H$9="",1E+99,Supuestos!$H$9),MAX(IF(Supuestos!$G$9="",-1E+99,Supuestos!$G$9),IF(Supuestos!$C$9="Normal",NORMINV(F404,Supuestos!$D$9,Supuestos!$E$9),IF(Supuestos!$C$9="Triangular",IF(F404&lt;(Supuestos!$E$9-Supuestos!$D$9)/(Supuestos!$F$9-Supuestos!$D$9),Supuestos!$D$9+SQRT(F404*(Supuestos!$F$9-Supuestos!$D$9)*(Supuestos!$E$9-Supuestos!$D$9)),Supuestos!$F$9-SQRT((1-F404)*(Supuestos!$F$9-Supuestos!$D$9)*(Supuestos!$F$9-Supuestos!$E$9))),IF(Supuestos!$C$9="Uniforme",Supuestos!$D$9+F404*(Supuestos!$E$9-Supuestos!$D$9),IF(Supuestos!$C$9="Lognormal",LOGINV(F404,LN(Supuestos!$D$9)-LN(1+Supuestos!$E$9^2/Supuestos!$D$9^2)/2,SQRT(LN(1+Supuestos!$E$9^2/Supuestos!$D$9^2))),Supuestos!$D$9))))))</f>
        <v/>
      </c>
      <c r="N404" s="32">
        <f>MIN(IF(Supuestos!$H$10="",1E+99,Supuestos!$H$10),MAX(IF(Supuestos!$G$10="",-1E+99,Supuestos!$G$10),IF(Supuestos!$C$10="Normal",NORMINV(G404,Supuestos!$D$10,Supuestos!$E$10),IF(Supuestos!$C$10="Triangular",IF(G404&lt;(Supuestos!$E$10-Supuestos!$D$10)/(Supuestos!$F$10-Supuestos!$D$10),Supuestos!$D$10+SQRT(G404*(Supuestos!$F$10-Supuestos!$D$10)*(Supuestos!$E$10-Supuestos!$D$10)),Supuestos!$F$10-SQRT((1-G404)*(Supuestos!$F$10-Supuestos!$D$10)*(Supuestos!$F$10-Supuestos!$E$10))),IF(Supuestos!$C$10="Uniforme",Supuestos!$D$10+G404*(Supuestos!$E$10-Supuestos!$D$10),IF(Supuestos!$C$10="Lognormal",LOGINV(G404,LN(Supuestos!$D$10)-LN(1+Supuestos!$E$10^2/Supuestos!$D$10^2)/2,SQRT(LN(1+Supuestos!$E$10^2/Supuestos!$D$10^2))),Supuestos!$D$10))))))</f>
        <v/>
      </c>
      <c r="O404" s="31">
        <f>MIN(IF(Supuestos!$H$11="",1E+99,Supuestos!$H$11),MAX(IF(Supuestos!$G$11="",-1E+99,Supuestos!$G$11),IF(Supuestos!$C$11="Normal",NORMINV(H404,Supuestos!$D$11,Supuestos!$E$11),IF(Supuestos!$C$11="Triangular",IF(H404&lt;(Supuestos!$E$11-Supuestos!$D$11)/(Supuestos!$F$11-Supuestos!$D$11),Supuestos!$D$11+SQRT(H404*(Supuestos!$F$11-Supuestos!$D$11)*(Supuestos!$E$11-Supuestos!$D$11)),Supuestos!$F$11-SQRT((1-H404)*(Supuestos!$F$11-Supuestos!$D$11)*(Supuestos!$F$11-Supuestos!$E$11))),IF(Supuestos!$C$11="Uniforme",Supuestos!$D$11+H404*(Supuestos!$E$11-Supuestos!$D$11),IF(Supuestos!$C$11="Lognormal",LOGINV(H404,LN(Supuestos!$D$11)-LN(1+Supuestos!$E$11^2/Supuestos!$D$11^2)/2,SQRT(LN(1+Supuestos!$E$11^2/Supuestos!$D$11^2))),Supuestos!$D$11))))))</f>
        <v/>
      </c>
      <c r="P404" s="33">
        <f>-I404</f>
        <v/>
      </c>
      <c r="Q404" s="33">
        <f>$J404*(1+$K404)^(1-1)*(1-$L404)*(1-$M404)</f>
        <v/>
      </c>
      <c r="R404" s="33">
        <f>$J404*(1+$K404)^(2-1)*(1-$L404)*(1-$M404)</f>
        <v/>
      </c>
      <c r="S404" s="33">
        <f>$J404*(1+$K404)^(3-1)*(1-$L404)*(1-$M404)</f>
        <v/>
      </c>
      <c r="T404" s="33">
        <f>$J404*(1+$K404)^(4-1)*(1-$L404)*(1-$M404)</f>
        <v/>
      </c>
      <c r="U404" s="33">
        <f>$J404*(1+$K404)^(5-1)*(1-$L404)*(1-$M404)+$O404</f>
        <v/>
      </c>
      <c r="V404" s="33">
        <f>P404+NPV($N404,Q404:U404)</f>
        <v/>
      </c>
      <c r="W404" s="32">
        <f>IFERROR(IRR(P404:U404,0.1),"")</f>
        <v/>
      </c>
    </row>
    <row r="405">
      <c r="A405" s="14" t="n">
        <v>401</v>
      </c>
      <c r="B405" s="30">
        <f>RAND()*(1-2E-6)+1E-6</f>
        <v/>
      </c>
      <c r="C405" s="30">
        <f>RAND()*(1-2E-6)+1E-6</f>
        <v/>
      </c>
      <c r="D405" s="30">
        <f>RAND()*(1-2E-6)+1E-6</f>
        <v/>
      </c>
      <c r="E405" s="30">
        <f>RAND()*(1-2E-6)+1E-6</f>
        <v/>
      </c>
      <c r="F405" s="30">
        <f>RAND()*(1-2E-6)+1E-6</f>
        <v/>
      </c>
      <c r="G405" s="30">
        <f>RAND()*(1-2E-6)+1E-6</f>
        <v/>
      </c>
      <c r="H405" s="30">
        <f>RAND()*(1-2E-6)+1E-6</f>
        <v/>
      </c>
      <c r="I405" s="31">
        <f>MIN(IF(Supuestos!$H$5="",1E+99,Supuestos!$H$5),MAX(IF(Supuestos!$G$5="",-1E+99,Supuestos!$G$5),IF(Supuestos!$C$5="Normal",NORMINV(B405,Supuestos!$D$5,Supuestos!$E$5),IF(Supuestos!$C$5="Triangular",IF(B405&lt;(Supuestos!$E$5-Supuestos!$D$5)/(Supuestos!$F$5-Supuestos!$D$5),Supuestos!$D$5+SQRT(B405*(Supuestos!$F$5-Supuestos!$D$5)*(Supuestos!$E$5-Supuestos!$D$5)),Supuestos!$F$5-SQRT((1-B405)*(Supuestos!$F$5-Supuestos!$D$5)*(Supuestos!$F$5-Supuestos!$E$5))),IF(Supuestos!$C$5="Uniforme",Supuestos!$D$5+B405*(Supuestos!$E$5-Supuestos!$D$5),IF(Supuestos!$C$5="Lognormal",LOGINV(B405,LN(Supuestos!$D$5)-LN(1+Supuestos!$E$5^2/Supuestos!$D$5^2)/2,SQRT(LN(1+Supuestos!$E$5^2/Supuestos!$D$5^2))),Supuestos!$D$5))))))</f>
        <v/>
      </c>
      <c r="J405" s="31">
        <f>MIN(IF(Supuestos!$H$6="",1E+99,Supuestos!$H$6),MAX(IF(Supuestos!$G$6="",-1E+99,Supuestos!$G$6),IF(Supuestos!$C$6="Normal",NORMINV(C405,Supuestos!$D$6,Supuestos!$E$6),IF(Supuestos!$C$6="Triangular",IF(C405&lt;(Supuestos!$E$6-Supuestos!$D$6)/(Supuestos!$F$6-Supuestos!$D$6),Supuestos!$D$6+SQRT(C405*(Supuestos!$F$6-Supuestos!$D$6)*(Supuestos!$E$6-Supuestos!$D$6)),Supuestos!$F$6-SQRT((1-C405)*(Supuestos!$F$6-Supuestos!$D$6)*(Supuestos!$F$6-Supuestos!$E$6))),IF(Supuestos!$C$6="Uniforme",Supuestos!$D$6+C405*(Supuestos!$E$6-Supuestos!$D$6),IF(Supuestos!$C$6="Lognormal",LOGINV(C405,LN(Supuestos!$D$6)-LN(1+Supuestos!$E$6^2/Supuestos!$D$6^2)/2,SQRT(LN(1+Supuestos!$E$6^2/Supuestos!$D$6^2))),Supuestos!$D$6))))))</f>
        <v/>
      </c>
      <c r="K405" s="32">
        <f>MIN(IF(Supuestos!$H$7="",1E+99,Supuestos!$H$7),MAX(IF(Supuestos!$G$7="",-1E+99,Supuestos!$G$7),IF(Supuestos!$C$7="Normal",NORMINV(D405,Supuestos!$D$7,Supuestos!$E$7),IF(Supuestos!$C$7="Triangular",IF(D405&lt;(Supuestos!$E$7-Supuestos!$D$7)/(Supuestos!$F$7-Supuestos!$D$7),Supuestos!$D$7+SQRT(D405*(Supuestos!$F$7-Supuestos!$D$7)*(Supuestos!$E$7-Supuestos!$D$7)),Supuestos!$F$7-SQRT((1-D405)*(Supuestos!$F$7-Supuestos!$D$7)*(Supuestos!$F$7-Supuestos!$E$7))),IF(Supuestos!$C$7="Uniforme",Supuestos!$D$7+D405*(Supuestos!$E$7-Supuestos!$D$7),IF(Supuestos!$C$7="Lognormal",LOGINV(D405,LN(Supuestos!$D$7)-LN(1+Supuestos!$E$7^2/Supuestos!$D$7^2)/2,SQRT(LN(1+Supuestos!$E$7^2/Supuestos!$D$7^2))),Supuestos!$D$7))))))</f>
        <v/>
      </c>
      <c r="L405" s="32">
        <f>MIN(IF(Supuestos!$H$8="",1E+99,Supuestos!$H$8),MAX(IF(Supuestos!$G$8="",-1E+99,Supuestos!$G$8),IF(Supuestos!$C$8="Normal",NORMINV(E405,Supuestos!$D$8,Supuestos!$E$8),IF(Supuestos!$C$8="Triangular",IF(E405&lt;(Supuestos!$E$8-Supuestos!$D$8)/(Supuestos!$F$8-Supuestos!$D$8),Supuestos!$D$8+SQRT(E405*(Supuestos!$F$8-Supuestos!$D$8)*(Supuestos!$E$8-Supuestos!$D$8)),Supuestos!$F$8-SQRT((1-E405)*(Supuestos!$F$8-Supuestos!$D$8)*(Supuestos!$F$8-Supuestos!$E$8))),IF(Supuestos!$C$8="Uniforme",Supuestos!$D$8+E405*(Supuestos!$E$8-Supuestos!$D$8),IF(Supuestos!$C$8="Lognormal",LOGINV(E405,LN(Supuestos!$D$8)-LN(1+Supuestos!$E$8^2/Supuestos!$D$8^2)/2,SQRT(LN(1+Supuestos!$E$8^2/Supuestos!$D$8^2))),Supuestos!$D$8))))))</f>
        <v/>
      </c>
      <c r="M405" s="32">
        <f>MIN(IF(Supuestos!$H$9="",1E+99,Supuestos!$H$9),MAX(IF(Supuestos!$G$9="",-1E+99,Supuestos!$G$9),IF(Supuestos!$C$9="Normal",NORMINV(F405,Supuestos!$D$9,Supuestos!$E$9),IF(Supuestos!$C$9="Triangular",IF(F405&lt;(Supuestos!$E$9-Supuestos!$D$9)/(Supuestos!$F$9-Supuestos!$D$9),Supuestos!$D$9+SQRT(F405*(Supuestos!$F$9-Supuestos!$D$9)*(Supuestos!$E$9-Supuestos!$D$9)),Supuestos!$F$9-SQRT((1-F405)*(Supuestos!$F$9-Supuestos!$D$9)*(Supuestos!$F$9-Supuestos!$E$9))),IF(Supuestos!$C$9="Uniforme",Supuestos!$D$9+F405*(Supuestos!$E$9-Supuestos!$D$9),IF(Supuestos!$C$9="Lognormal",LOGINV(F405,LN(Supuestos!$D$9)-LN(1+Supuestos!$E$9^2/Supuestos!$D$9^2)/2,SQRT(LN(1+Supuestos!$E$9^2/Supuestos!$D$9^2))),Supuestos!$D$9))))))</f>
        <v/>
      </c>
      <c r="N405" s="32">
        <f>MIN(IF(Supuestos!$H$10="",1E+99,Supuestos!$H$10),MAX(IF(Supuestos!$G$10="",-1E+99,Supuestos!$G$10),IF(Supuestos!$C$10="Normal",NORMINV(G405,Supuestos!$D$10,Supuestos!$E$10),IF(Supuestos!$C$10="Triangular",IF(G405&lt;(Supuestos!$E$10-Supuestos!$D$10)/(Supuestos!$F$10-Supuestos!$D$10),Supuestos!$D$10+SQRT(G405*(Supuestos!$F$10-Supuestos!$D$10)*(Supuestos!$E$10-Supuestos!$D$10)),Supuestos!$F$10-SQRT((1-G405)*(Supuestos!$F$10-Supuestos!$D$10)*(Supuestos!$F$10-Supuestos!$E$10))),IF(Supuestos!$C$10="Uniforme",Supuestos!$D$10+G405*(Supuestos!$E$10-Supuestos!$D$10),IF(Supuestos!$C$10="Lognormal",LOGINV(G405,LN(Supuestos!$D$10)-LN(1+Supuestos!$E$10^2/Supuestos!$D$10^2)/2,SQRT(LN(1+Supuestos!$E$10^2/Supuestos!$D$10^2))),Supuestos!$D$10))))))</f>
        <v/>
      </c>
      <c r="O405" s="31">
        <f>MIN(IF(Supuestos!$H$11="",1E+99,Supuestos!$H$11),MAX(IF(Supuestos!$G$11="",-1E+99,Supuestos!$G$11),IF(Supuestos!$C$11="Normal",NORMINV(H405,Supuestos!$D$11,Supuestos!$E$11),IF(Supuestos!$C$11="Triangular",IF(H405&lt;(Supuestos!$E$11-Supuestos!$D$11)/(Supuestos!$F$11-Supuestos!$D$11),Supuestos!$D$11+SQRT(H405*(Supuestos!$F$11-Supuestos!$D$11)*(Supuestos!$E$11-Supuestos!$D$11)),Supuestos!$F$11-SQRT((1-H405)*(Supuestos!$F$11-Supuestos!$D$11)*(Supuestos!$F$11-Supuestos!$E$11))),IF(Supuestos!$C$11="Uniforme",Supuestos!$D$11+H405*(Supuestos!$E$11-Supuestos!$D$11),IF(Supuestos!$C$11="Lognormal",LOGINV(H405,LN(Supuestos!$D$11)-LN(1+Supuestos!$E$11^2/Supuestos!$D$11^2)/2,SQRT(LN(1+Supuestos!$E$11^2/Supuestos!$D$11^2))),Supuestos!$D$11))))))</f>
        <v/>
      </c>
      <c r="P405" s="33">
        <f>-I405</f>
        <v/>
      </c>
      <c r="Q405" s="33">
        <f>$J405*(1+$K405)^(1-1)*(1-$L405)*(1-$M405)</f>
        <v/>
      </c>
      <c r="R405" s="33">
        <f>$J405*(1+$K405)^(2-1)*(1-$L405)*(1-$M405)</f>
        <v/>
      </c>
      <c r="S405" s="33">
        <f>$J405*(1+$K405)^(3-1)*(1-$L405)*(1-$M405)</f>
        <v/>
      </c>
      <c r="T405" s="33">
        <f>$J405*(1+$K405)^(4-1)*(1-$L405)*(1-$M405)</f>
        <v/>
      </c>
      <c r="U405" s="33">
        <f>$J405*(1+$K405)^(5-1)*(1-$L405)*(1-$M405)+$O405</f>
        <v/>
      </c>
      <c r="V405" s="33">
        <f>P405+NPV($N405,Q405:U405)</f>
        <v/>
      </c>
      <c r="W405" s="32">
        <f>IFERROR(IRR(P405:U405,0.1),"")</f>
        <v/>
      </c>
    </row>
    <row r="406">
      <c r="A406" s="14" t="n">
        <v>402</v>
      </c>
      <c r="B406" s="30">
        <f>RAND()*(1-2E-6)+1E-6</f>
        <v/>
      </c>
      <c r="C406" s="30">
        <f>RAND()*(1-2E-6)+1E-6</f>
        <v/>
      </c>
      <c r="D406" s="30">
        <f>RAND()*(1-2E-6)+1E-6</f>
        <v/>
      </c>
      <c r="E406" s="30">
        <f>RAND()*(1-2E-6)+1E-6</f>
        <v/>
      </c>
      <c r="F406" s="30">
        <f>RAND()*(1-2E-6)+1E-6</f>
        <v/>
      </c>
      <c r="G406" s="30">
        <f>RAND()*(1-2E-6)+1E-6</f>
        <v/>
      </c>
      <c r="H406" s="30">
        <f>RAND()*(1-2E-6)+1E-6</f>
        <v/>
      </c>
      <c r="I406" s="31">
        <f>MIN(IF(Supuestos!$H$5="",1E+99,Supuestos!$H$5),MAX(IF(Supuestos!$G$5="",-1E+99,Supuestos!$G$5),IF(Supuestos!$C$5="Normal",NORMINV(B406,Supuestos!$D$5,Supuestos!$E$5),IF(Supuestos!$C$5="Triangular",IF(B406&lt;(Supuestos!$E$5-Supuestos!$D$5)/(Supuestos!$F$5-Supuestos!$D$5),Supuestos!$D$5+SQRT(B406*(Supuestos!$F$5-Supuestos!$D$5)*(Supuestos!$E$5-Supuestos!$D$5)),Supuestos!$F$5-SQRT((1-B406)*(Supuestos!$F$5-Supuestos!$D$5)*(Supuestos!$F$5-Supuestos!$E$5))),IF(Supuestos!$C$5="Uniforme",Supuestos!$D$5+B406*(Supuestos!$E$5-Supuestos!$D$5),IF(Supuestos!$C$5="Lognormal",LOGINV(B406,LN(Supuestos!$D$5)-LN(1+Supuestos!$E$5^2/Supuestos!$D$5^2)/2,SQRT(LN(1+Supuestos!$E$5^2/Supuestos!$D$5^2))),Supuestos!$D$5))))))</f>
        <v/>
      </c>
      <c r="J406" s="31">
        <f>MIN(IF(Supuestos!$H$6="",1E+99,Supuestos!$H$6),MAX(IF(Supuestos!$G$6="",-1E+99,Supuestos!$G$6),IF(Supuestos!$C$6="Normal",NORMINV(C406,Supuestos!$D$6,Supuestos!$E$6),IF(Supuestos!$C$6="Triangular",IF(C406&lt;(Supuestos!$E$6-Supuestos!$D$6)/(Supuestos!$F$6-Supuestos!$D$6),Supuestos!$D$6+SQRT(C406*(Supuestos!$F$6-Supuestos!$D$6)*(Supuestos!$E$6-Supuestos!$D$6)),Supuestos!$F$6-SQRT((1-C406)*(Supuestos!$F$6-Supuestos!$D$6)*(Supuestos!$F$6-Supuestos!$E$6))),IF(Supuestos!$C$6="Uniforme",Supuestos!$D$6+C406*(Supuestos!$E$6-Supuestos!$D$6),IF(Supuestos!$C$6="Lognormal",LOGINV(C406,LN(Supuestos!$D$6)-LN(1+Supuestos!$E$6^2/Supuestos!$D$6^2)/2,SQRT(LN(1+Supuestos!$E$6^2/Supuestos!$D$6^2))),Supuestos!$D$6))))))</f>
        <v/>
      </c>
      <c r="K406" s="32">
        <f>MIN(IF(Supuestos!$H$7="",1E+99,Supuestos!$H$7),MAX(IF(Supuestos!$G$7="",-1E+99,Supuestos!$G$7),IF(Supuestos!$C$7="Normal",NORMINV(D406,Supuestos!$D$7,Supuestos!$E$7),IF(Supuestos!$C$7="Triangular",IF(D406&lt;(Supuestos!$E$7-Supuestos!$D$7)/(Supuestos!$F$7-Supuestos!$D$7),Supuestos!$D$7+SQRT(D406*(Supuestos!$F$7-Supuestos!$D$7)*(Supuestos!$E$7-Supuestos!$D$7)),Supuestos!$F$7-SQRT((1-D406)*(Supuestos!$F$7-Supuestos!$D$7)*(Supuestos!$F$7-Supuestos!$E$7))),IF(Supuestos!$C$7="Uniforme",Supuestos!$D$7+D406*(Supuestos!$E$7-Supuestos!$D$7),IF(Supuestos!$C$7="Lognormal",LOGINV(D406,LN(Supuestos!$D$7)-LN(1+Supuestos!$E$7^2/Supuestos!$D$7^2)/2,SQRT(LN(1+Supuestos!$E$7^2/Supuestos!$D$7^2))),Supuestos!$D$7))))))</f>
        <v/>
      </c>
      <c r="L406" s="32">
        <f>MIN(IF(Supuestos!$H$8="",1E+99,Supuestos!$H$8),MAX(IF(Supuestos!$G$8="",-1E+99,Supuestos!$G$8),IF(Supuestos!$C$8="Normal",NORMINV(E406,Supuestos!$D$8,Supuestos!$E$8),IF(Supuestos!$C$8="Triangular",IF(E406&lt;(Supuestos!$E$8-Supuestos!$D$8)/(Supuestos!$F$8-Supuestos!$D$8),Supuestos!$D$8+SQRT(E406*(Supuestos!$F$8-Supuestos!$D$8)*(Supuestos!$E$8-Supuestos!$D$8)),Supuestos!$F$8-SQRT((1-E406)*(Supuestos!$F$8-Supuestos!$D$8)*(Supuestos!$F$8-Supuestos!$E$8))),IF(Supuestos!$C$8="Uniforme",Supuestos!$D$8+E406*(Supuestos!$E$8-Supuestos!$D$8),IF(Supuestos!$C$8="Lognormal",LOGINV(E406,LN(Supuestos!$D$8)-LN(1+Supuestos!$E$8^2/Supuestos!$D$8^2)/2,SQRT(LN(1+Supuestos!$E$8^2/Supuestos!$D$8^2))),Supuestos!$D$8))))))</f>
        <v/>
      </c>
      <c r="M406" s="32">
        <f>MIN(IF(Supuestos!$H$9="",1E+99,Supuestos!$H$9),MAX(IF(Supuestos!$G$9="",-1E+99,Supuestos!$G$9),IF(Supuestos!$C$9="Normal",NORMINV(F406,Supuestos!$D$9,Supuestos!$E$9),IF(Supuestos!$C$9="Triangular",IF(F406&lt;(Supuestos!$E$9-Supuestos!$D$9)/(Supuestos!$F$9-Supuestos!$D$9),Supuestos!$D$9+SQRT(F406*(Supuestos!$F$9-Supuestos!$D$9)*(Supuestos!$E$9-Supuestos!$D$9)),Supuestos!$F$9-SQRT((1-F406)*(Supuestos!$F$9-Supuestos!$D$9)*(Supuestos!$F$9-Supuestos!$E$9))),IF(Supuestos!$C$9="Uniforme",Supuestos!$D$9+F406*(Supuestos!$E$9-Supuestos!$D$9),IF(Supuestos!$C$9="Lognormal",LOGINV(F406,LN(Supuestos!$D$9)-LN(1+Supuestos!$E$9^2/Supuestos!$D$9^2)/2,SQRT(LN(1+Supuestos!$E$9^2/Supuestos!$D$9^2))),Supuestos!$D$9))))))</f>
        <v/>
      </c>
      <c r="N406" s="32">
        <f>MIN(IF(Supuestos!$H$10="",1E+99,Supuestos!$H$10),MAX(IF(Supuestos!$G$10="",-1E+99,Supuestos!$G$10),IF(Supuestos!$C$10="Normal",NORMINV(G406,Supuestos!$D$10,Supuestos!$E$10),IF(Supuestos!$C$10="Triangular",IF(G406&lt;(Supuestos!$E$10-Supuestos!$D$10)/(Supuestos!$F$10-Supuestos!$D$10),Supuestos!$D$10+SQRT(G406*(Supuestos!$F$10-Supuestos!$D$10)*(Supuestos!$E$10-Supuestos!$D$10)),Supuestos!$F$10-SQRT((1-G406)*(Supuestos!$F$10-Supuestos!$D$10)*(Supuestos!$F$10-Supuestos!$E$10))),IF(Supuestos!$C$10="Uniforme",Supuestos!$D$10+G406*(Supuestos!$E$10-Supuestos!$D$10),IF(Supuestos!$C$10="Lognormal",LOGINV(G406,LN(Supuestos!$D$10)-LN(1+Supuestos!$E$10^2/Supuestos!$D$10^2)/2,SQRT(LN(1+Supuestos!$E$10^2/Supuestos!$D$10^2))),Supuestos!$D$10))))))</f>
        <v/>
      </c>
      <c r="O406" s="31">
        <f>MIN(IF(Supuestos!$H$11="",1E+99,Supuestos!$H$11),MAX(IF(Supuestos!$G$11="",-1E+99,Supuestos!$G$11),IF(Supuestos!$C$11="Normal",NORMINV(H406,Supuestos!$D$11,Supuestos!$E$11),IF(Supuestos!$C$11="Triangular",IF(H406&lt;(Supuestos!$E$11-Supuestos!$D$11)/(Supuestos!$F$11-Supuestos!$D$11),Supuestos!$D$11+SQRT(H406*(Supuestos!$F$11-Supuestos!$D$11)*(Supuestos!$E$11-Supuestos!$D$11)),Supuestos!$F$11-SQRT((1-H406)*(Supuestos!$F$11-Supuestos!$D$11)*(Supuestos!$F$11-Supuestos!$E$11))),IF(Supuestos!$C$11="Uniforme",Supuestos!$D$11+H406*(Supuestos!$E$11-Supuestos!$D$11),IF(Supuestos!$C$11="Lognormal",LOGINV(H406,LN(Supuestos!$D$11)-LN(1+Supuestos!$E$11^2/Supuestos!$D$11^2)/2,SQRT(LN(1+Supuestos!$E$11^2/Supuestos!$D$11^2))),Supuestos!$D$11))))))</f>
        <v/>
      </c>
      <c r="P406" s="33">
        <f>-I406</f>
        <v/>
      </c>
      <c r="Q406" s="33">
        <f>$J406*(1+$K406)^(1-1)*(1-$L406)*(1-$M406)</f>
        <v/>
      </c>
      <c r="R406" s="33">
        <f>$J406*(1+$K406)^(2-1)*(1-$L406)*(1-$M406)</f>
        <v/>
      </c>
      <c r="S406" s="33">
        <f>$J406*(1+$K406)^(3-1)*(1-$L406)*(1-$M406)</f>
        <v/>
      </c>
      <c r="T406" s="33">
        <f>$J406*(1+$K406)^(4-1)*(1-$L406)*(1-$M406)</f>
        <v/>
      </c>
      <c r="U406" s="33">
        <f>$J406*(1+$K406)^(5-1)*(1-$L406)*(1-$M406)+$O406</f>
        <v/>
      </c>
      <c r="V406" s="33">
        <f>P406+NPV($N406,Q406:U406)</f>
        <v/>
      </c>
      <c r="W406" s="32">
        <f>IFERROR(IRR(P406:U406,0.1),"")</f>
        <v/>
      </c>
    </row>
    <row r="407">
      <c r="A407" s="14" t="n">
        <v>403</v>
      </c>
      <c r="B407" s="30">
        <f>RAND()*(1-2E-6)+1E-6</f>
        <v/>
      </c>
      <c r="C407" s="30">
        <f>RAND()*(1-2E-6)+1E-6</f>
        <v/>
      </c>
      <c r="D407" s="30">
        <f>RAND()*(1-2E-6)+1E-6</f>
        <v/>
      </c>
      <c r="E407" s="30">
        <f>RAND()*(1-2E-6)+1E-6</f>
        <v/>
      </c>
      <c r="F407" s="30">
        <f>RAND()*(1-2E-6)+1E-6</f>
        <v/>
      </c>
      <c r="G407" s="30">
        <f>RAND()*(1-2E-6)+1E-6</f>
        <v/>
      </c>
      <c r="H407" s="30">
        <f>RAND()*(1-2E-6)+1E-6</f>
        <v/>
      </c>
      <c r="I407" s="31">
        <f>MIN(IF(Supuestos!$H$5="",1E+99,Supuestos!$H$5),MAX(IF(Supuestos!$G$5="",-1E+99,Supuestos!$G$5),IF(Supuestos!$C$5="Normal",NORMINV(B407,Supuestos!$D$5,Supuestos!$E$5),IF(Supuestos!$C$5="Triangular",IF(B407&lt;(Supuestos!$E$5-Supuestos!$D$5)/(Supuestos!$F$5-Supuestos!$D$5),Supuestos!$D$5+SQRT(B407*(Supuestos!$F$5-Supuestos!$D$5)*(Supuestos!$E$5-Supuestos!$D$5)),Supuestos!$F$5-SQRT((1-B407)*(Supuestos!$F$5-Supuestos!$D$5)*(Supuestos!$F$5-Supuestos!$E$5))),IF(Supuestos!$C$5="Uniforme",Supuestos!$D$5+B407*(Supuestos!$E$5-Supuestos!$D$5),IF(Supuestos!$C$5="Lognormal",LOGINV(B407,LN(Supuestos!$D$5)-LN(1+Supuestos!$E$5^2/Supuestos!$D$5^2)/2,SQRT(LN(1+Supuestos!$E$5^2/Supuestos!$D$5^2))),Supuestos!$D$5))))))</f>
        <v/>
      </c>
      <c r="J407" s="31">
        <f>MIN(IF(Supuestos!$H$6="",1E+99,Supuestos!$H$6),MAX(IF(Supuestos!$G$6="",-1E+99,Supuestos!$G$6),IF(Supuestos!$C$6="Normal",NORMINV(C407,Supuestos!$D$6,Supuestos!$E$6),IF(Supuestos!$C$6="Triangular",IF(C407&lt;(Supuestos!$E$6-Supuestos!$D$6)/(Supuestos!$F$6-Supuestos!$D$6),Supuestos!$D$6+SQRT(C407*(Supuestos!$F$6-Supuestos!$D$6)*(Supuestos!$E$6-Supuestos!$D$6)),Supuestos!$F$6-SQRT((1-C407)*(Supuestos!$F$6-Supuestos!$D$6)*(Supuestos!$F$6-Supuestos!$E$6))),IF(Supuestos!$C$6="Uniforme",Supuestos!$D$6+C407*(Supuestos!$E$6-Supuestos!$D$6),IF(Supuestos!$C$6="Lognormal",LOGINV(C407,LN(Supuestos!$D$6)-LN(1+Supuestos!$E$6^2/Supuestos!$D$6^2)/2,SQRT(LN(1+Supuestos!$E$6^2/Supuestos!$D$6^2))),Supuestos!$D$6))))))</f>
        <v/>
      </c>
      <c r="K407" s="32">
        <f>MIN(IF(Supuestos!$H$7="",1E+99,Supuestos!$H$7),MAX(IF(Supuestos!$G$7="",-1E+99,Supuestos!$G$7),IF(Supuestos!$C$7="Normal",NORMINV(D407,Supuestos!$D$7,Supuestos!$E$7),IF(Supuestos!$C$7="Triangular",IF(D407&lt;(Supuestos!$E$7-Supuestos!$D$7)/(Supuestos!$F$7-Supuestos!$D$7),Supuestos!$D$7+SQRT(D407*(Supuestos!$F$7-Supuestos!$D$7)*(Supuestos!$E$7-Supuestos!$D$7)),Supuestos!$F$7-SQRT((1-D407)*(Supuestos!$F$7-Supuestos!$D$7)*(Supuestos!$F$7-Supuestos!$E$7))),IF(Supuestos!$C$7="Uniforme",Supuestos!$D$7+D407*(Supuestos!$E$7-Supuestos!$D$7),IF(Supuestos!$C$7="Lognormal",LOGINV(D407,LN(Supuestos!$D$7)-LN(1+Supuestos!$E$7^2/Supuestos!$D$7^2)/2,SQRT(LN(1+Supuestos!$E$7^2/Supuestos!$D$7^2))),Supuestos!$D$7))))))</f>
        <v/>
      </c>
      <c r="L407" s="32">
        <f>MIN(IF(Supuestos!$H$8="",1E+99,Supuestos!$H$8),MAX(IF(Supuestos!$G$8="",-1E+99,Supuestos!$G$8),IF(Supuestos!$C$8="Normal",NORMINV(E407,Supuestos!$D$8,Supuestos!$E$8),IF(Supuestos!$C$8="Triangular",IF(E407&lt;(Supuestos!$E$8-Supuestos!$D$8)/(Supuestos!$F$8-Supuestos!$D$8),Supuestos!$D$8+SQRT(E407*(Supuestos!$F$8-Supuestos!$D$8)*(Supuestos!$E$8-Supuestos!$D$8)),Supuestos!$F$8-SQRT((1-E407)*(Supuestos!$F$8-Supuestos!$D$8)*(Supuestos!$F$8-Supuestos!$E$8))),IF(Supuestos!$C$8="Uniforme",Supuestos!$D$8+E407*(Supuestos!$E$8-Supuestos!$D$8),IF(Supuestos!$C$8="Lognormal",LOGINV(E407,LN(Supuestos!$D$8)-LN(1+Supuestos!$E$8^2/Supuestos!$D$8^2)/2,SQRT(LN(1+Supuestos!$E$8^2/Supuestos!$D$8^2))),Supuestos!$D$8))))))</f>
        <v/>
      </c>
      <c r="M407" s="32">
        <f>MIN(IF(Supuestos!$H$9="",1E+99,Supuestos!$H$9),MAX(IF(Supuestos!$G$9="",-1E+99,Supuestos!$G$9),IF(Supuestos!$C$9="Normal",NORMINV(F407,Supuestos!$D$9,Supuestos!$E$9),IF(Supuestos!$C$9="Triangular",IF(F407&lt;(Supuestos!$E$9-Supuestos!$D$9)/(Supuestos!$F$9-Supuestos!$D$9),Supuestos!$D$9+SQRT(F407*(Supuestos!$F$9-Supuestos!$D$9)*(Supuestos!$E$9-Supuestos!$D$9)),Supuestos!$F$9-SQRT((1-F407)*(Supuestos!$F$9-Supuestos!$D$9)*(Supuestos!$F$9-Supuestos!$E$9))),IF(Supuestos!$C$9="Uniforme",Supuestos!$D$9+F407*(Supuestos!$E$9-Supuestos!$D$9),IF(Supuestos!$C$9="Lognormal",LOGINV(F407,LN(Supuestos!$D$9)-LN(1+Supuestos!$E$9^2/Supuestos!$D$9^2)/2,SQRT(LN(1+Supuestos!$E$9^2/Supuestos!$D$9^2))),Supuestos!$D$9))))))</f>
        <v/>
      </c>
      <c r="N407" s="32">
        <f>MIN(IF(Supuestos!$H$10="",1E+99,Supuestos!$H$10),MAX(IF(Supuestos!$G$10="",-1E+99,Supuestos!$G$10),IF(Supuestos!$C$10="Normal",NORMINV(G407,Supuestos!$D$10,Supuestos!$E$10),IF(Supuestos!$C$10="Triangular",IF(G407&lt;(Supuestos!$E$10-Supuestos!$D$10)/(Supuestos!$F$10-Supuestos!$D$10),Supuestos!$D$10+SQRT(G407*(Supuestos!$F$10-Supuestos!$D$10)*(Supuestos!$E$10-Supuestos!$D$10)),Supuestos!$F$10-SQRT((1-G407)*(Supuestos!$F$10-Supuestos!$D$10)*(Supuestos!$F$10-Supuestos!$E$10))),IF(Supuestos!$C$10="Uniforme",Supuestos!$D$10+G407*(Supuestos!$E$10-Supuestos!$D$10),IF(Supuestos!$C$10="Lognormal",LOGINV(G407,LN(Supuestos!$D$10)-LN(1+Supuestos!$E$10^2/Supuestos!$D$10^2)/2,SQRT(LN(1+Supuestos!$E$10^2/Supuestos!$D$10^2))),Supuestos!$D$10))))))</f>
        <v/>
      </c>
      <c r="O407" s="31">
        <f>MIN(IF(Supuestos!$H$11="",1E+99,Supuestos!$H$11),MAX(IF(Supuestos!$G$11="",-1E+99,Supuestos!$G$11),IF(Supuestos!$C$11="Normal",NORMINV(H407,Supuestos!$D$11,Supuestos!$E$11),IF(Supuestos!$C$11="Triangular",IF(H407&lt;(Supuestos!$E$11-Supuestos!$D$11)/(Supuestos!$F$11-Supuestos!$D$11),Supuestos!$D$11+SQRT(H407*(Supuestos!$F$11-Supuestos!$D$11)*(Supuestos!$E$11-Supuestos!$D$11)),Supuestos!$F$11-SQRT((1-H407)*(Supuestos!$F$11-Supuestos!$D$11)*(Supuestos!$F$11-Supuestos!$E$11))),IF(Supuestos!$C$11="Uniforme",Supuestos!$D$11+H407*(Supuestos!$E$11-Supuestos!$D$11),IF(Supuestos!$C$11="Lognormal",LOGINV(H407,LN(Supuestos!$D$11)-LN(1+Supuestos!$E$11^2/Supuestos!$D$11^2)/2,SQRT(LN(1+Supuestos!$E$11^2/Supuestos!$D$11^2))),Supuestos!$D$11))))))</f>
        <v/>
      </c>
      <c r="P407" s="33">
        <f>-I407</f>
        <v/>
      </c>
      <c r="Q407" s="33">
        <f>$J407*(1+$K407)^(1-1)*(1-$L407)*(1-$M407)</f>
        <v/>
      </c>
      <c r="R407" s="33">
        <f>$J407*(1+$K407)^(2-1)*(1-$L407)*(1-$M407)</f>
        <v/>
      </c>
      <c r="S407" s="33">
        <f>$J407*(1+$K407)^(3-1)*(1-$L407)*(1-$M407)</f>
        <v/>
      </c>
      <c r="T407" s="33">
        <f>$J407*(1+$K407)^(4-1)*(1-$L407)*(1-$M407)</f>
        <v/>
      </c>
      <c r="U407" s="33">
        <f>$J407*(1+$K407)^(5-1)*(1-$L407)*(1-$M407)+$O407</f>
        <v/>
      </c>
      <c r="V407" s="33">
        <f>P407+NPV($N407,Q407:U407)</f>
        <v/>
      </c>
      <c r="W407" s="32">
        <f>IFERROR(IRR(P407:U407,0.1),"")</f>
        <v/>
      </c>
    </row>
    <row r="408">
      <c r="A408" s="14" t="n">
        <v>404</v>
      </c>
      <c r="B408" s="30">
        <f>RAND()*(1-2E-6)+1E-6</f>
        <v/>
      </c>
      <c r="C408" s="30">
        <f>RAND()*(1-2E-6)+1E-6</f>
        <v/>
      </c>
      <c r="D408" s="30">
        <f>RAND()*(1-2E-6)+1E-6</f>
        <v/>
      </c>
      <c r="E408" s="30">
        <f>RAND()*(1-2E-6)+1E-6</f>
        <v/>
      </c>
      <c r="F408" s="30">
        <f>RAND()*(1-2E-6)+1E-6</f>
        <v/>
      </c>
      <c r="G408" s="30">
        <f>RAND()*(1-2E-6)+1E-6</f>
        <v/>
      </c>
      <c r="H408" s="30">
        <f>RAND()*(1-2E-6)+1E-6</f>
        <v/>
      </c>
      <c r="I408" s="31">
        <f>MIN(IF(Supuestos!$H$5="",1E+99,Supuestos!$H$5),MAX(IF(Supuestos!$G$5="",-1E+99,Supuestos!$G$5),IF(Supuestos!$C$5="Normal",NORMINV(B408,Supuestos!$D$5,Supuestos!$E$5),IF(Supuestos!$C$5="Triangular",IF(B408&lt;(Supuestos!$E$5-Supuestos!$D$5)/(Supuestos!$F$5-Supuestos!$D$5),Supuestos!$D$5+SQRT(B408*(Supuestos!$F$5-Supuestos!$D$5)*(Supuestos!$E$5-Supuestos!$D$5)),Supuestos!$F$5-SQRT((1-B408)*(Supuestos!$F$5-Supuestos!$D$5)*(Supuestos!$F$5-Supuestos!$E$5))),IF(Supuestos!$C$5="Uniforme",Supuestos!$D$5+B408*(Supuestos!$E$5-Supuestos!$D$5),IF(Supuestos!$C$5="Lognormal",LOGINV(B408,LN(Supuestos!$D$5)-LN(1+Supuestos!$E$5^2/Supuestos!$D$5^2)/2,SQRT(LN(1+Supuestos!$E$5^2/Supuestos!$D$5^2))),Supuestos!$D$5))))))</f>
        <v/>
      </c>
      <c r="J408" s="31">
        <f>MIN(IF(Supuestos!$H$6="",1E+99,Supuestos!$H$6),MAX(IF(Supuestos!$G$6="",-1E+99,Supuestos!$G$6),IF(Supuestos!$C$6="Normal",NORMINV(C408,Supuestos!$D$6,Supuestos!$E$6),IF(Supuestos!$C$6="Triangular",IF(C408&lt;(Supuestos!$E$6-Supuestos!$D$6)/(Supuestos!$F$6-Supuestos!$D$6),Supuestos!$D$6+SQRT(C408*(Supuestos!$F$6-Supuestos!$D$6)*(Supuestos!$E$6-Supuestos!$D$6)),Supuestos!$F$6-SQRT((1-C408)*(Supuestos!$F$6-Supuestos!$D$6)*(Supuestos!$F$6-Supuestos!$E$6))),IF(Supuestos!$C$6="Uniforme",Supuestos!$D$6+C408*(Supuestos!$E$6-Supuestos!$D$6),IF(Supuestos!$C$6="Lognormal",LOGINV(C408,LN(Supuestos!$D$6)-LN(1+Supuestos!$E$6^2/Supuestos!$D$6^2)/2,SQRT(LN(1+Supuestos!$E$6^2/Supuestos!$D$6^2))),Supuestos!$D$6))))))</f>
        <v/>
      </c>
      <c r="K408" s="32">
        <f>MIN(IF(Supuestos!$H$7="",1E+99,Supuestos!$H$7),MAX(IF(Supuestos!$G$7="",-1E+99,Supuestos!$G$7),IF(Supuestos!$C$7="Normal",NORMINV(D408,Supuestos!$D$7,Supuestos!$E$7),IF(Supuestos!$C$7="Triangular",IF(D408&lt;(Supuestos!$E$7-Supuestos!$D$7)/(Supuestos!$F$7-Supuestos!$D$7),Supuestos!$D$7+SQRT(D408*(Supuestos!$F$7-Supuestos!$D$7)*(Supuestos!$E$7-Supuestos!$D$7)),Supuestos!$F$7-SQRT((1-D408)*(Supuestos!$F$7-Supuestos!$D$7)*(Supuestos!$F$7-Supuestos!$E$7))),IF(Supuestos!$C$7="Uniforme",Supuestos!$D$7+D408*(Supuestos!$E$7-Supuestos!$D$7),IF(Supuestos!$C$7="Lognormal",LOGINV(D408,LN(Supuestos!$D$7)-LN(1+Supuestos!$E$7^2/Supuestos!$D$7^2)/2,SQRT(LN(1+Supuestos!$E$7^2/Supuestos!$D$7^2))),Supuestos!$D$7))))))</f>
        <v/>
      </c>
      <c r="L408" s="32">
        <f>MIN(IF(Supuestos!$H$8="",1E+99,Supuestos!$H$8),MAX(IF(Supuestos!$G$8="",-1E+99,Supuestos!$G$8),IF(Supuestos!$C$8="Normal",NORMINV(E408,Supuestos!$D$8,Supuestos!$E$8),IF(Supuestos!$C$8="Triangular",IF(E408&lt;(Supuestos!$E$8-Supuestos!$D$8)/(Supuestos!$F$8-Supuestos!$D$8),Supuestos!$D$8+SQRT(E408*(Supuestos!$F$8-Supuestos!$D$8)*(Supuestos!$E$8-Supuestos!$D$8)),Supuestos!$F$8-SQRT((1-E408)*(Supuestos!$F$8-Supuestos!$D$8)*(Supuestos!$F$8-Supuestos!$E$8))),IF(Supuestos!$C$8="Uniforme",Supuestos!$D$8+E408*(Supuestos!$E$8-Supuestos!$D$8),IF(Supuestos!$C$8="Lognormal",LOGINV(E408,LN(Supuestos!$D$8)-LN(1+Supuestos!$E$8^2/Supuestos!$D$8^2)/2,SQRT(LN(1+Supuestos!$E$8^2/Supuestos!$D$8^2))),Supuestos!$D$8))))))</f>
        <v/>
      </c>
      <c r="M408" s="32">
        <f>MIN(IF(Supuestos!$H$9="",1E+99,Supuestos!$H$9),MAX(IF(Supuestos!$G$9="",-1E+99,Supuestos!$G$9),IF(Supuestos!$C$9="Normal",NORMINV(F408,Supuestos!$D$9,Supuestos!$E$9),IF(Supuestos!$C$9="Triangular",IF(F408&lt;(Supuestos!$E$9-Supuestos!$D$9)/(Supuestos!$F$9-Supuestos!$D$9),Supuestos!$D$9+SQRT(F408*(Supuestos!$F$9-Supuestos!$D$9)*(Supuestos!$E$9-Supuestos!$D$9)),Supuestos!$F$9-SQRT((1-F408)*(Supuestos!$F$9-Supuestos!$D$9)*(Supuestos!$F$9-Supuestos!$E$9))),IF(Supuestos!$C$9="Uniforme",Supuestos!$D$9+F408*(Supuestos!$E$9-Supuestos!$D$9),IF(Supuestos!$C$9="Lognormal",LOGINV(F408,LN(Supuestos!$D$9)-LN(1+Supuestos!$E$9^2/Supuestos!$D$9^2)/2,SQRT(LN(1+Supuestos!$E$9^2/Supuestos!$D$9^2))),Supuestos!$D$9))))))</f>
        <v/>
      </c>
      <c r="N408" s="32">
        <f>MIN(IF(Supuestos!$H$10="",1E+99,Supuestos!$H$10),MAX(IF(Supuestos!$G$10="",-1E+99,Supuestos!$G$10),IF(Supuestos!$C$10="Normal",NORMINV(G408,Supuestos!$D$10,Supuestos!$E$10),IF(Supuestos!$C$10="Triangular",IF(G408&lt;(Supuestos!$E$10-Supuestos!$D$10)/(Supuestos!$F$10-Supuestos!$D$10),Supuestos!$D$10+SQRT(G408*(Supuestos!$F$10-Supuestos!$D$10)*(Supuestos!$E$10-Supuestos!$D$10)),Supuestos!$F$10-SQRT((1-G408)*(Supuestos!$F$10-Supuestos!$D$10)*(Supuestos!$F$10-Supuestos!$E$10))),IF(Supuestos!$C$10="Uniforme",Supuestos!$D$10+G408*(Supuestos!$E$10-Supuestos!$D$10),IF(Supuestos!$C$10="Lognormal",LOGINV(G408,LN(Supuestos!$D$10)-LN(1+Supuestos!$E$10^2/Supuestos!$D$10^2)/2,SQRT(LN(1+Supuestos!$E$10^2/Supuestos!$D$10^2))),Supuestos!$D$10))))))</f>
        <v/>
      </c>
      <c r="O408" s="31">
        <f>MIN(IF(Supuestos!$H$11="",1E+99,Supuestos!$H$11),MAX(IF(Supuestos!$G$11="",-1E+99,Supuestos!$G$11),IF(Supuestos!$C$11="Normal",NORMINV(H408,Supuestos!$D$11,Supuestos!$E$11),IF(Supuestos!$C$11="Triangular",IF(H408&lt;(Supuestos!$E$11-Supuestos!$D$11)/(Supuestos!$F$11-Supuestos!$D$11),Supuestos!$D$11+SQRT(H408*(Supuestos!$F$11-Supuestos!$D$11)*(Supuestos!$E$11-Supuestos!$D$11)),Supuestos!$F$11-SQRT((1-H408)*(Supuestos!$F$11-Supuestos!$D$11)*(Supuestos!$F$11-Supuestos!$E$11))),IF(Supuestos!$C$11="Uniforme",Supuestos!$D$11+H408*(Supuestos!$E$11-Supuestos!$D$11),IF(Supuestos!$C$11="Lognormal",LOGINV(H408,LN(Supuestos!$D$11)-LN(1+Supuestos!$E$11^2/Supuestos!$D$11^2)/2,SQRT(LN(1+Supuestos!$E$11^2/Supuestos!$D$11^2))),Supuestos!$D$11))))))</f>
        <v/>
      </c>
      <c r="P408" s="33">
        <f>-I408</f>
        <v/>
      </c>
      <c r="Q408" s="33">
        <f>$J408*(1+$K408)^(1-1)*(1-$L408)*(1-$M408)</f>
        <v/>
      </c>
      <c r="R408" s="33">
        <f>$J408*(1+$K408)^(2-1)*(1-$L408)*(1-$M408)</f>
        <v/>
      </c>
      <c r="S408" s="33">
        <f>$J408*(1+$K408)^(3-1)*(1-$L408)*(1-$M408)</f>
        <v/>
      </c>
      <c r="T408" s="33">
        <f>$J408*(1+$K408)^(4-1)*(1-$L408)*(1-$M408)</f>
        <v/>
      </c>
      <c r="U408" s="33">
        <f>$J408*(1+$K408)^(5-1)*(1-$L408)*(1-$M408)+$O408</f>
        <v/>
      </c>
      <c r="V408" s="33">
        <f>P408+NPV($N408,Q408:U408)</f>
        <v/>
      </c>
      <c r="W408" s="32">
        <f>IFERROR(IRR(P408:U408,0.1),"")</f>
        <v/>
      </c>
    </row>
    <row r="409">
      <c r="A409" s="14" t="n">
        <v>405</v>
      </c>
      <c r="B409" s="30">
        <f>RAND()*(1-2E-6)+1E-6</f>
        <v/>
      </c>
      <c r="C409" s="30">
        <f>RAND()*(1-2E-6)+1E-6</f>
        <v/>
      </c>
      <c r="D409" s="30">
        <f>RAND()*(1-2E-6)+1E-6</f>
        <v/>
      </c>
      <c r="E409" s="30">
        <f>RAND()*(1-2E-6)+1E-6</f>
        <v/>
      </c>
      <c r="F409" s="30">
        <f>RAND()*(1-2E-6)+1E-6</f>
        <v/>
      </c>
      <c r="G409" s="30">
        <f>RAND()*(1-2E-6)+1E-6</f>
        <v/>
      </c>
      <c r="H409" s="30">
        <f>RAND()*(1-2E-6)+1E-6</f>
        <v/>
      </c>
      <c r="I409" s="31">
        <f>MIN(IF(Supuestos!$H$5="",1E+99,Supuestos!$H$5),MAX(IF(Supuestos!$G$5="",-1E+99,Supuestos!$G$5),IF(Supuestos!$C$5="Normal",NORMINV(B409,Supuestos!$D$5,Supuestos!$E$5),IF(Supuestos!$C$5="Triangular",IF(B409&lt;(Supuestos!$E$5-Supuestos!$D$5)/(Supuestos!$F$5-Supuestos!$D$5),Supuestos!$D$5+SQRT(B409*(Supuestos!$F$5-Supuestos!$D$5)*(Supuestos!$E$5-Supuestos!$D$5)),Supuestos!$F$5-SQRT((1-B409)*(Supuestos!$F$5-Supuestos!$D$5)*(Supuestos!$F$5-Supuestos!$E$5))),IF(Supuestos!$C$5="Uniforme",Supuestos!$D$5+B409*(Supuestos!$E$5-Supuestos!$D$5),IF(Supuestos!$C$5="Lognormal",LOGINV(B409,LN(Supuestos!$D$5)-LN(1+Supuestos!$E$5^2/Supuestos!$D$5^2)/2,SQRT(LN(1+Supuestos!$E$5^2/Supuestos!$D$5^2))),Supuestos!$D$5))))))</f>
        <v/>
      </c>
      <c r="J409" s="31">
        <f>MIN(IF(Supuestos!$H$6="",1E+99,Supuestos!$H$6),MAX(IF(Supuestos!$G$6="",-1E+99,Supuestos!$G$6),IF(Supuestos!$C$6="Normal",NORMINV(C409,Supuestos!$D$6,Supuestos!$E$6),IF(Supuestos!$C$6="Triangular",IF(C409&lt;(Supuestos!$E$6-Supuestos!$D$6)/(Supuestos!$F$6-Supuestos!$D$6),Supuestos!$D$6+SQRT(C409*(Supuestos!$F$6-Supuestos!$D$6)*(Supuestos!$E$6-Supuestos!$D$6)),Supuestos!$F$6-SQRT((1-C409)*(Supuestos!$F$6-Supuestos!$D$6)*(Supuestos!$F$6-Supuestos!$E$6))),IF(Supuestos!$C$6="Uniforme",Supuestos!$D$6+C409*(Supuestos!$E$6-Supuestos!$D$6),IF(Supuestos!$C$6="Lognormal",LOGINV(C409,LN(Supuestos!$D$6)-LN(1+Supuestos!$E$6^2/Supuestos!$D$6^2)/2,SQRT(LN(1+Supuestos!$E$6^2/Supuestos!$D$6^2))),Supuestos!$D$6))))))</f>
        <v/>
      </c>
      <c r="K409" s="32">
        <f>MIN(IF(Supuestos!$H$7="",1E+99,Supuestos!$H$7),MAX(IF(Supuestos!$G$7="",-1E+99,Supuestos!$G$7),IF(Supuestos!$C$7="Normal",NORMINV(D409,Supuestos!$D$7,Supuestos!$E$7),IF(Supuestos!$C$7="Triangular",IF(D409&lt;(Supuestos!$E$7-Supuestos!$D$7)/(Supuestos!$F$7-Supuestos!$D$7),Supuestos!$D$7+SQRT(D409*(Supuestos!$F$7-Supuestos!$D$7)*(Supuestos!$E$7-Supuestos!$D$7)),Supuestos!$F$7-SQRT((1-D409)*(Supuestos!$F$7-Supuestos!$D$7)*(Supuestos!$F$7-Supuestos!$E$7))),IF(Supuestos!$C$7="Uniforme",Supuestos!$D$7+D409*(Supuestos!$E$7-Supuestos!$D$7),IF(Supuestos!$C$7="Lognormal",LOGINV(D409,LN(Supuestos!$D$7)-LN(1+Supuestos!$E$7^2/Supuestos!$D$7^2)/2,SQRT(LN(1+Supuestos!$E$7^2/Supuestos!$D$7^2))),Supuestos!$D$7))))))</f>
        <v/>
      </c>
      <c r="L409" s="32">
        <f>MIN(IF(Supuestos!$H$8="",1E+99,Supuestos!$H$8),MAX(IF(Supuestos!$G$8="",-1E+99,Supuestos!$G$8),IF(Supuestos!$C$8="Normal",NORMINV(E409,Supuestos!$D$8,Supuestos!$E$8),IF(Supuestos!$C$8="Triangular",IF(E409&lt;(Supuestos!$E$8-Supuestos!$D$8)/(Supuestos!$F$8-Supuestos!$D$8),Supuestos!$D$8+SQRT(E409*(Supuestos!$F$8-Supuestos!$D$8)*(Supuestos!$E$8-Supuestos!$D$8)),Supuestos!$F$8-SQRT((1-E409)*(Supuestos!$F$8-Supuestos!$D$8)*(Supuestos!$F$8-Supuestos!$E$8))),IF(Supuestos!$C$8="Uniforme",Supuestos!$D$8+E409*(Supuestos!$E$8-Supuestos!$D$8),IF(Supuestos!$C$8="Lognormal",LOGINV(E409,LN(Supuestos!$D$8)-LN(1+Supuestos!$E$8^2/Supuestos!$D$8^2)/2,SQRT(LN(1+Supuestos!$E$8^2/Supuestos!$D$8^2))),Supuestos!$D$8))))))</f>
        <v/>
      </c>
      <c r="M409" s="32">
        <f>MIN(IF(Supuestos!$H$9="",1E+99,Supuestos!$H$9),MAX(IF(Supuestos!$G$9="",-1E+99,Supuestos!$G$9),IF(Supuestos!$C$9="Normal",NORMINV(F409,Supuestos!$D$9,Supuestos!$E$9),IF(Supuestos!$C$9="Triangular",IF(F409&lt;(Supuestos!$E$9-Supuestos!$D$9)/(Supuestos!$F$9-Supuestos!$D$9),Supuestos!$D$9+SQRT(F409*(Supuestos!$F$9-Supuestos!$D$9)*(Supuestos!$E$9-Supuestos!$D$9)),Supuestos!$F$9-SQRT((1-F409)*(Supuestos!$F$9-Supuestos!$D$9)*(Supuestos!$F$9-Supuestos!$E$9))),IF(Supuestos!$C$9="Uniforme",Supuestos!$D$9+F409*(Supuestos!$E$9-Supuestos!$D$9),IF(Supuestos!$C$9="Lognormal",LOGINV(F409,LN(Supuestos!$D$9)-LN(1+Supuestos!$E$9^2/Supuestos!$D$9^2)/2,SQRT(LN(1+Supuestos!$E$9^2/Supuestos!$D$9^2))),Supuestos!$D$9))))))</f>
        <v/>
      </c>
      <c r="N409" s="32">
        <f>MIN(IF(Supuestos!$H$10="",1E+99,Supuestos!$H$10),MAX(IF(Supuestos!$G$10="",-1E+99,Supuestos!$G$10),IF(Supuestos!$C$10="Normal",NORMINV(G409,Supuestos!$D$10,Supuestos!$E$10),IF(Supuestos!$C$10="Triangular",IF(G409&lt;(Supuestos!$E$10-Supuestos!$D$10)/(Supuestos!$F$10-Supuestos!$D$10),Supuestos!$D$10+SQRT(G409*(Supuestos!$F$10-Supuestos!$D$10)*(Supuestos!$E$10-Supuestos!$D$10)),Supuestos!$F$10-SQRT((1-G409)*(Supuestos!$F$10-Supuestos!$D$10)*(Supuestos!$F$10-Supuestos!$E$10))),IF(Supuestos!$C$10="Uniforme",Supuestos!$D$10+G409*(Supuestos!$E$10-Supuestos!$D$10),IF(Supuestos!$C$10="Lognormal",LOGINV(G409,LN(Supuestos!$D$10)-LN(1+Supuestos!$E$10^2/Supuestos!$D$10^2)/2,SQRT(LN(1+Supuestos!$E$10^2/Supuestos!$D$10^2))),Supuestos!$D$10))))))</f>
        <v/>
      </c>
      <c r="O409" s="31">
        <f>MIN(IF(Supuestos!$H$11="",1E+99,Supuestos!$H$11),MAX(IF(Supuestos!$G$11="",-1E+99,Supuestos!$G$11),IF(Supuestos!$C$11="Normal",NORMINV(H409,Supuestos!$D$11,Supuestos!$E$11),IF(Supuestos!$C$11="Triangular",IF(H409&lt;(Supuestos!$E$11-Supuestos!$D$11)/(Supuestos!$F$11-Supuestos!$D$11),Supuestos!$D$11+SQRT(H409*(Supuestos!$F$11-Supuestos!$D$11)*(Supuestos!$E$11-Supuestos!$D$11)),Supuestos!$F$11-SQRT((1-H409)*(Supuestos!$F$11-Supuestos!$D$11)*(Supuestos!$F$11-Supuestos!$E$11))),IF(Supuestos!$C$11="Uniforme",Supuestos!$D$11+H409*(Supuestos!$E$11-Supuestos!$D$11),IF(Supuestos!$C$11="Lognormal",LOGINV(H409,LN(Supuestos!$D$11)-LN(1+Supuestos!$E$11^2/Supuestos!$D$11^2)/2,SQRT(LN(1+Supuestos!$E$11^2/Supuestos!$D$11^2))),Supuestos!$D$11))))))</f>
        <v/>
      </c>
      <c r="P409" s="33">
        <f>-I409</f>
        <v/>
      </c>
      <c r="Q409" s="33">
        <f>$J409*(1+$K409)^(1-1)*(1-$L409)*(1-$M409)</f>
        <v/>
      </c>
      <c r="R409" s="33">
        <f>$J409*(1+$K409)^(2-1)*(1-$L409)*(1-$M409)</f>
        <v/>
      </c>
      <c r="S409" s="33">
        <f>$J409*(1+$K409)^(3-1)*(1-$L409)*(1-$M409)</f>
        <v/>
      </c>
      <c r="T409" s="33">
        <f>$J409*(1+$K409)^(4-1)*(1-$L409)*(1-$M409)</f>
        <v/>
      </c>
      <c r="U409" s="33">
        <f>$J409*(1+$K409)^(5-1)*(1-$L409)*(1-$M409)+$O409</f>
        <v/>
      </c>
      <c r="V409" s="33">
        <f>P409+NPV($N409,Q409:U409)</f>
        <v/>
      </c>
      <c r="W409" s="32">
        <f>IFERROR(IRR(P409:U409,0.1),"")</f>
        <v/>
      </c>
    </row>
    <row r="410">
      <c r="A410" s="14" t="n">
        <v>406</v>
      </c>
      <c r="B410" s="30">
        <f>RAND()*(1-2E-6)+1E-6</f>
        <v/>
      </c>
      <c r="C410" s="30">
        <f>RAND()*(1-2E-6)+1E-6</f>
        <v/>
      </c>
      <c r="D410" s="30">
        <f>RAND()*(1-2E-6)+1E-6</f>
        <v/>
      </c>
      <c r="E410" s="30">
        <f>RAND()*(1-2E-6)+1E-6</f>
        <v/>
      </c>
      <c r="F410" s="30">
        <f>RAND()*(1-2E-6)+1E-6</f>
        <v/>
      </c>
      <c r="G410" s="30">
        <f>RAND()*(1-2E-6)+1E-6</f>
        <v/>
      </c>
      <c r="H410" s="30">
        <f>RAND()*(1-2E-6)+1E-6</f>
        <v/>
      </c>
      <c r="I410" s="31">
        <f>MIN(IF(Supuestos!$H$5="",1E+99,Supuestos!$H$5),MAX(IF(Supuestos!$G$5="",-1E+99,Supuestos!$G$5),IF(Supuestos!$C$5="Normal",NORMINV(B410,Supuestos!$D$5,Supuestos!$E$5),IF(Supuestos!$C$5="Triangular",IF(B410&lt;(Supuestos!$E$5-Supuestos!$D$5)/(Supuestos!$F$5-Supuestos!$D$5),Supuestos!$D$5+SQRT(B410*(Supuestos!$F$5-Supuestos!$D$5)*(Supuestos!$E$5-Supuestos!$D$5)),Supuestos!$F$5-SQRT((1-B410)*(Supuestos!$F$5-Supuestos!$D$5)*(Supuestos!$F$5-Supuestos!$E$5))),IF(Supuestos!$C$5="Uniforme",Supuestos!$D$5+B410*(Supuestos!$E$5-Supuestos!$D$5),IF(Supuestos!$C$5="Lognormal",LOGINV(B410,LN(Supuestos!$D$5)-LN(1+Supuestos!$E$5^2/Supuestos!$D$5^2)/2,SQRT(LN(1+Supuestos!$E$5^2/Supuestos!$D$5^2))),Supuestos!$D$5))))))</f>
        <v/>
      </c>
      <c r="J410" s="31">
        <f>MIN(IF(Supuestos!$H$6="",1E+99,Supuestos!$H$6),MAX(IF(Supuestos!$G$6="",-1E+99,Supuestos!$G$6),IF(Supuestos!$C$6="Normal",NORMINV(C410,Supuestos!$D$6,Supuestos!$E$6),IF(Supuestos!$C$6="Triangular",IF(C410&lt;(Supuestos!$E$6-Supuestos!$D$6)/(Supuestos!$F$6-Supuestos!$D$6),Supuestos!$D$6+SQRT(C410*(Supuestos!$F$6-Supuestos!$D$6)*(Supuestos!$E$6-Supuestos!$D$6)),Supuestos!$F$6-SQRT((1-C410)*(Supuestos!$F$6-Supuestos!$D$6)*(Supuestos!$F$6-Supuestos!$E$6))),IF(Supuestos!$C$6="Uniforme",Supuestos!$D$6+C410*(Supuestos!$E$6-Supuestos!$D$6),IF(Supuestos!$C$6="Lognormal",LOGINV(C410,LN(Supuestos!$D$6)-LN(1+Supuestos!$E$6^2/Supuestos!$D$6^2)/2,SQRT(LN(1+Supuestos!$E$6^2/Supuestos!$D$6^2))),Supuestos!$D$6))))))</f>
        <v/>
      </c>
      <c r="K410" s="32">
        <f>MIN(IF(Supuestos!$H$7="",1E+99,Supuestos!$H$7),MAX(IF(Supuestos!$G$7="",-1E+99,Supuestos!$G$7),IF(Supuestos!$C$7="Normal",NORMINV(D410,Supuestos!$D$7,Supuestos!$E$7),IF(Supuestos!$C$7="Triangular",IF(D410&lt;(Supuestos!$E$7-Supuestos!$D$7)/(Supuestos!$F$7-Supuestos!$D$7),Supuestos!$D$7+SQRT(D410*(Supuestos!$F$7-Supuestos!$D$7)*(Supuestos!$E$7-Supuestos!$D$7)),Supuestos!$F$7-SQRT((1-D410)*(Supuestos!$F$7-Supuestos!$D$7)*(Supuestos!$F$7-Supuestos!$E$7))),IF(Supuestos!$C$7="Uniforme",Supuestos!$D$7+D410*(Supuestos!$E$7-Supuestos!$D$7),IF(Supuestos!$C$7="Lognormal",LOGINV(D410,LN(Supuestos!$D$7)-LN(1+Supuestos!$E$7^2/Supuestos!$D$7^2)/2,SQRT(LN(1+Supuestos!$E$7^2/Supuestos!$D$7^2))),Supuestos!$D$7))))))</f>
        <v/>
      </c>
      <c r="L410" s="32">
        <f>MIN(IF(Supuestos!$H$8="",1E+99,Supuestos!$H$8),MAX(IF(Supuestos!$G$8="",-1E+99,Supuestos!$G$8),IF(Supuestos!$C$8="Normal",NORMINV(E410,Supuestos!$D$8,Supuestos!$E$8),IF(Supuestos!$C$8="Triangular",IF(E410&lt;(Supuestos!$E$8-Supuestos!$D$8)/(Supuestos!$F$8-Supuestos!$D$8),Supuestos!$D$8+SQRT(E410*(Supuestos!$F$8-Supuestos!$D$8)*(Supuestos!$E$8-Supuestos!$D$8)),Supuestos!$F$8-SQRT((1-E410)*(Supuestos!$F$8-Supuestos!$D$8)*(Supuestos!$F$8-Supuestos!$E$8))),IF(Supuestos!$C$8="Uniforme",Supuestos!$D$8+E410*(Supuestos!$E$8-Supuestos!$D$8),IF(Supuestos!$C$8="Lognormal",LOGINV(E410,LN(Supuestos!$D$8)-LN(1+Supuestos!$E$8^2/Supuestos!$D$8^2)/2,SQRT(LN(1+Supuestos!$E$8^2/Supuestos!$D$8^2))),Supuestos!$D$8))))))</f>
        <v/>
      </c>
      <c r="M410" s="32">
        <f>MIN(IF(Supuestos!$H$9="",1E+99,Supuestos!$H$9),MAX(IF(Supuestos!$G$9="",-1E+99,Supuestos!$G$9),IF(Supuestos!$C$9="Normal",NORMINV(F410,Supuestos!$D$9,Supuestos!$E$9),IF(Supuestos!$C$9="Triangular",IF(F410&lt;(Supuestos!$E$9-Supuestos!$D$9)/(Supuestos!$F$9-Supuestos!$D$9),Supuestos!$D$9+SQRT(F410*(Supuestos!$F$9-Supuestos!$D$9)*(Supuestos!$E$9-Supuestos!$D$9)),Supuestos!$F$9-SQRT((1-F410)*(Supuestos!$F$9-Supuestos!$D$9)*(Supuestos!$F$9-Supuestos!$E$9))),IF(Supuestos!$C$9="Uniforme",Supuestos!$D$9+F410*(Supuestos!$E$9-Supuestos!$D$9),IF(Supuestos!$C$9="Lognormal",LOGINV(F410,LN(Supuestos!$D$9)-LN(1+Supuestos!$E$9^2/Supuestos!$D$9^2)/2,SQRT(LN(1+Supuestos!$E$9^2/Supuestos!$D$9^2))),Supuestos!$D$9))))))</f>
        <v/>
      </c>
      <c r="N410" s="32">
        <f>MIN(IF(Supuestos!$H$10="",1E+99,Supuestos!$H$10),MAX(IF(Supuestos!$G$10="",-1E+99,Supuestos!$G$10),IF(Supuestos!$C$10="Normal",NORMINV(G410,Supuestos!$D$10,Supuestos!$E$10),IF(Supuestos!$C$10="Triangular",IF(G410&lt;(Supuestos!$E$10-Supuestos!$D$10)/(Supuestos!$F$10-Supuestos!$D$10),Supuestos!$D$10+SQRT(G410*(Supuestos!$F$10-Supuestos!$D$10)*(Supuestos!$E$10-Supuestos!$D$10)),Supuestos!$F$10-SQRT((1-G410)*(Supuestos!$F$10-Supuestos!$D$10)*(Supuestos!$F$10-Supuestos!$E$10))),IF(Supuestos!$C$10="Uniforme",Supuestos!$D$10+G410*(Supuestos!$E$10-Supuestos!$D$10),IF(Supuestos!$C$10="Lognormal",LOGINV(G410,LN(Supuestos!$D$10)-LN(1+Supuestos!$E$10^2/Supuestos!$D$10^2)/2,SQRT(LN(1+Supuestos!$E$10^2/Supuestos!$D$10^2))),Supuestos!$D$10))))))</f>
        <v/>
      </c>
      <c r="O410" s="31">
        <f>MIN(IF(Supuestos!$H$11="",1E+99,Supuestos!$H$11),MAX(IF(Supuestos!$G$11="",-1E+99,Supuestos!$G$11),IF(Supuestos!$C$11="Normal",NORMINV(H410,Supuestos!$D$11,Supuestos!$E$11),IF(Supuestos!$C$11="Triangular",IF(H410&lt;(Supuestos!$E$11-Supuestos!$D$11)/(Supuestos!$F$11-Supuestos!$D$11),Supuestos!$D$11+SQRT(H410*(Supuestos!$F$11-Supuestos!$D$11)*(Supuestos!$E$11-Supuestos!$D$11)),Supuestos!$F$11-SQRT((1-H410)*(Supuestos!$F$11-Supuestos!$D$11)*(Supuestos!$F$11-Supuestos!$E$11))),IF(Supuestos!$C$11="Uniforme",Supuestos!$D$11+H410*(Supuestos!$E$11-Supuestos!$D$11),IF(Supuestos!$C$11="Lognormal",LOGINV(H410,LN(Supuestos!$D$11)-LN(1+Supuestos!$E$11^2/Supuestos!$D$11^2)/2,SQRT(LN(1+Supuestos!$E$11^2/Supuestos!$D$11^2))),Supuestos!$D$11))))))</f>
        <v/>
      </c>
      <c r="P410" s="33">
        <f>-I410</f>
        <v/>
      </c>
      <c r="Q410" s="33">
        <f>$J410*(1+$K410)^(1-1)*(1-$L410)*(1-$M410)</f>
        <v/>
      </c>
      <c r="R410" s="33">
        <f>$J410*(1+$K410)^(2-1)*(1-$L410)*(1-$M410)</f>
        <v/>
      </c>
      <c r="S410" s="33">
        <f>$J410*(1+$K410)^(3-1)*(1-$L410)*(1-$M410)</f>
        <v/>
      </c>
      <c r="T410" s="33">
        <f>$J410*(1+$K410)^(4-1)*(1-$L410)*(1-$M410)</f>
        <v/>
      </c>
      <c r="U410" s="33">
        <f>$J410*(1+$K410)^(5-1)*(1-$L410)*(1-$M410)+$O410</f>
        <v/>
      </c>
      <c r="V410" s="33">
        <f>P410+NPV($N410,Q410:U410)</f>
        <v/>
      </c>
      <c r="W410" s="32">
        <f>IFERROR(IRR(P410:U410,0.1),"")</f>
        <v/>
      </c>
    </row>
    <row r="411">
      <c r="A411" s="14" t="n">
        <v>407</v>
      </c>
      <c r="B411" s="30">
        <f>RAND()*(1-2E-6)+1E-6</f>
        <v/>
      </c>
      <c r="C411" s="30">
        <f>RAND()*(1-2E-6)+1E-6</f>
        <v/>
      </c>
      <c r="D411" s="30">
        <f>RAND()*(1-2E-6)+1E-6</f>
        <v/>
      </c>
      <c r="E411" s="30">
        <f>RAND()*(1-2E-6)+1E-6</f>
        <v/>
      </c>
      <c r="F411" s="30">
        <f>RAND()*(1-2E-6)+1E-6</f>
        <v/>
      </c>
      <c r="G411" s="30">
        <f>RAND()*(1-2E-6)+1E-6</f>
        <v/>
      </c>
      <c r="H411" s="30">
        <f>RAND()*(1-2E-6)+1E-6</f>
        <v/>
      </c>
      <c r="I411" s="31">
        <f>MIN(IF(Supuestos!$H$5="",1E+99,Supuestos!$H$5),MAX(IF(Supuestos!$G$5="",-1E+99,Supuestos!$G$5),IF(Supuestos!$C$5="Normal",NORMINV(B411,Supuestos!$D$5,Supuestos!$E$5),IF(Supuestos!$C$5="Triangular",IF(B411&lt;(Supuestos!$E$5-Supuestos!$D$5)/(Supuestos!$F$5-Supuestos!$D$5),Supuestos!$D$5+SQRT(B411*(Supuestos!$F$5-Supuestos!$D$5)*(Supuestos!$E$5-Supuestos!$D$5)),Supuestos!$F$5-SQRT((1-B411)*(Supuestos!$F$5-Supuestos!$D$5)*(Supuestos!$F$5-Supuestos!$E$5))),IF(Supuestos!$C$5="Uniforme",Supuestos!$D$5+B411*(Supuestos!$E$5-Supuestos!$D$5),IF(Supuestos!$C$5="Lognormal",LOGINV(B411,LN(Supuestos!$D$5)-LN(1+Supuestos!$E$5^2/Supuestos!$D$5^2)/2,SQRT(LN(1+Supuestos!$E$5^2/Supuestos!$D$5^2))),Supuestos!$D$5))))))</f>
        <v/>
      </c>
      <c r="J411" s="31">
        <f>MIN(IF(Supuestos!$H$6="",1E+99,Supuestos!$H$6),MAX(IF(Supuestos!$G$6="",-1E+99,Supuestos!$G$6),IF(Supuestos!$C$6="Normal",NORMINV(C411,Supuestos!$D$6,Supuestos!$E$6),IF(Supuestos!$C$6="Triangular",IF(C411&lt;(Supuestos!$E$6-Supuestos!$D$6)/(Supuestos!$F$6-Supuestos!$D$6),Supuestos!$D$6+SQRT(C411*(Supuestos!$F$6-Supuestos!$D$6)*(Supuestos!$E$6-Supuestos!$D$6)),Supuestos!$F$6-SQRT((1-C411)*(Supuestos!$F$6-Supuestos!$D$6)*(Supuestos!$F$6-Supuestos!$E$6))),IF(Supuestos!$C$6="Uniforme",Supuestos!$D$6+C411*(Supuestos!$E$6-Supuestos!$D$6),IF(Supuestos!$C$6="Lognormal",LOGINV(C411,LN(Supuestos!$D$6)-LN(1+Supuestos!$E$6^2/Supuestos!$D$6^2)/2,SQRT(LN(1+Supuestos!$E$6^2/Supuestos!$D$6^2))),Supuestos!$D$6))))))</f>
        <v/>
      </c>
      <c r="K411" s="32">
        <f>MIN(IF(Supuestos!$H$7="",1E+99,Supuestos!$H$7),MAX(IF(Supuestos!$G$7="",-1E+99,Supuestos!$G$7),IF(Supuestos!$C$7="Normal",NORMINV(D411,Supuestos!$D$7,Supuestos!$E$7),IF(Supuestos!$C$7="Triangular",IF(D411&lt;(Supuestos!$E$7-Supuestos!$D$7)/(Supuestos!$F$7-Supuestos!$D$7),Supuestos!$D$7+SQRT(D411*(Supuestos!$F$7-Supuestos!$D$7)*(Supuestos!$E$7-Supuestos!$D$7)),Supuestos!$F$7-SQRT((1-D411)*(Supuestos!$F$7-Supuestos!$D$7)*(Supuestos!$F$7-Supuestos!$E$7))),IF(Supuestos!$C$7="Uniforme",Supuestos!$D$7+D411*(Supuestos!$E$7-Supuestos!$D$7),IF(Supuestos!$C$7="Lognormal",LOGINV(D411,LN(Supuestos!$D$7)-LN(1+Supuestos!$E$7^2/Supuestos!$D$7^2)/2,SQRT(LN(1+Supuestos!$E$7^2/Supuestos!$D$7^2))),Supuestos!$D$7))))))</f>
        <v/>
      </c>
      <c r="L411" s="32">
        <f>MIN(IF(Supuestos!$H$8="",1E+99,Supuestos!$H$8),MAX(IF(Supuestos!$G$8="",-1E+99,Supuestos!$G$8),IF(Supuestos!$C$8="Normal",NORMINV(E411,Supuestos!$D$8,Supuestos!$E$8),IF(Supuestos!$C$8="Triangular",IF(E411&lt;(Supuestos!$E$8-Supuestos!$D$8)/(Supuestos!$F$8-Supuestos!$D$8),Supuestos!$D$8+SQRT(E411*(Supuestos!$F$8-Supuestos!$D$8)*(Supuestos!$E$8-Supuestos!$D$8)),Supuestos!$F$8-SQRT((1-E411)*(Supuestos!$F$8-Supuestos!$D$8)*(Supuestos!$F$8-Supuestos!$E$8))),IF(Supuestos!$C$8="Uniforme",Supuestos!$D$8+E411*(Supuestos!$E$8-Supuestos!$D$8),IF(Supuestos!$C$8="Lognormal",LOGINV(E411,LN(Supuestos!$D$8)-LN(1+Supuestos!$E$8^2/Supuestos!$D$8^2)/2,SQRT(LN(1+Supuestos!$E$8^2/Supuestos!$D$8^2))),Supuestos!$D$8))))))</f>
        <v/>
      </c>
      <c r="M411" s="32">
        <f>MIN(IF(Supuestos!$H$9="",1E+99,Supuestos!$H$9),MAX(IF(Supuestos!$G$9="",-1E+99,Supuestos!$G$9),IF(Supuestos!$C$9="Normal",NORMINV(F411,Supuestos!$D$9,Supuestos!$E$9),IF(Supuestos!$C$9="Triangular",IF(F411&lt;(Supuestos!$E$9-Supuestos!$D$9)/(Supuestos!$F$9-Supuestos!$D$9),Supuestos!$D$9+SQRT(F411*(Supuestos!$F$9-Supuestos!$D$9)*(Supuestos!$E$9-Supuestos!$D$9)),Supuestos!$F$9-SQRT((1-F411)*(Supuestos!$F$9-Supuestos!$D$9)*(Supuestos!$F$9-Supuestos!$E$9))),IF(Supuestos!$C$9="Uniforme",Supuestos!$D$9+F411*(Supuestos!$E$9-Supuestos!$D$9),IF(Supuestos!$C$9="Lognormal",LOGINV(F411,LN(Supuestos!$D$9)-LN(1+Supuestos!$E$9^2/Supuestos!$D$9^2)/2,SQRT(LN(1+Supuestos!$E$9^2/Supuestos!$D$9^2))),Supuestos!$D$9))))))</f>
        <v/>
      </c>
      <c r="N411" s="32">
        <f>MIN(IF(Supuestos!$H$10="",1E+99,Supuestos!$H$10),MAX(IF(Supuestos!$G$10="",-1E+99,Supuestos!$G$10),IF(Supuestos!$C$10="Normal",NORMINV(G411,Supuestos!$D$10,Supuestos!$E$10),IF(Supuestos!$C$10="Triangular",IF(G411&lt;(Supuestos!$E$10-Supuestos!$D$10)/(Supuestos!$F$10-Supuestos!$D$10),Supuestos!$D$10+SQRT(G411*(Supuestos!$F$10-Supuestos!$D$10)*(Supuestos!$E$10-Supuestos!$D$10)),Supuestos!$F$10-SQRT((1-G411)*(Supuestos!$F$10-Supuestos!$D$10)*(Supuestos!$F$10-Supuestos!$E$10))),IF(Supuestos!$C$10="Uniforme",Supuestos!$D$10+G411*(Supuestos!$E$10-Supuestos!$D$10),IF(Supuestos!$C$10="Lognormal",LOGINV(G411,LN(Supuestos!$D$10)-LN(1+Supuestos!$E$10^2/Supuestos!$D$10^2)/2,SQRT(LN(1+Supuestos!$E$10^2/Supuestos!$D$10^2))),Supuestos!$D$10))))))</f>
        <v/>
      </c>
      <c r="O411" s="31">
        <f>MIN(IF(Supuestos!$H$11="",1E+99,Supuestos!$H$11),MAX(IF(Supuestos!$G$11="",-1E+99,Supuestos!$G$11),IF(Supuestos!$C$11="Normal",NORMINV(H411,Supuestos!$D$11,Supuestos!$E$11),IF(Supuestos!$C$11="Triangular",IF(H411&lt;(Supuestos!$E$11-Supuestos!$D$11)/(Supuestos!$F$11-Supuestos!$D$11),Supuestos!$D$11+SQRT(H411*(Supuestos!$F$11-Supuestos!$D$11)*(Supuestos!$E$11-Supuestos!$D$11)),Supuestos!$F$11-SQRT((1-H411)*(Supuestos!$F$11-Supuestos!$D$11)*(Supuestos!$F$11-Supuestos!$E$11))),IF(Supuestos!$C$11="Uniforme",Supuestos!$D$11+H411*(Supuestos!$E$11-Supuestos!$D$11),IF(Supuestos!$C$11="Lognormal",LOGINV(H411,LN(Supuestos!$D$11)-LN(1+Supuestos!$E$11^2/Supuestos!$D$11^2)/2,SQRT(LN(1+Supuestos!$E$11^2/Supuestos!$D$11^2))),Supuestos!$D$11))))))</f>
        <v/>
      </c>
      <c r="P411" s="33">
        <f>-I411</f>
        <v/>
      </c>
      <c r="Q411" s="33">
        <f>$J411*(1+$K411)^(1-1)*(1-$L411)*(1-$M411)</f>
        <v/>
      </c>
      <c r="R411" s="33">
        <f>$J411*(1+$K411)^(2-1)*(1-$L411)*(1-$M411)</f>
        <v/>
      </c>
      <c r="S411" s="33">
        <f>$J411*(1+$K411)^(3-1)*(1-$L411)*(1-$M411)</f>
        <v/>
      </c>
      <c r="T411" s="33">
        <f>$J411*(1+$K411)^(4-1)*(1-$L411)*(1-$M411)</f>
        <v/>
      </c>
      <c r="U411" s="33">
        <f>$J411*(1+$K411)^(5-1)*(1-$L411)*(1-$M411)+$O411</f>
        <v/>
      </c>
      <c r="V411" s="33">
        <f>P411+NPV($N411,Q411:U411)</f>
        <v/>
      </c>
      <c r="W411" s="32">
        <f>IFERROR(IRR(P411:U411,0.1),"")</f>
        <v/>
      </c>
    </row>
    <row r="412">
      <c r="A412" s="14" t="n">
        <v>408</v>
      </c>
      <c r="B412" s="30">
        <f>RAND()*(1-2E-6)+1E-6</f>
        <v/>
      </c>
      <c r="C412" s="30">
        <f>RAND()*(1-2E-6)+1E-6</f>
        <v/>
      </c>
      <c r="D412" s="30">
        <f>RAND()*(1-2E-6)+1E-6</f>
        <v/>
      </c>
      <c r="E412" s="30">
        <f>RAND()*(1-2E-6)+1E-6</f>
        <v/>
      </c>
      <c r="F412" s="30">
        <f>RAND()*(1-2E-6)+1E-6</f>
        <v/>
      </c>
      <c r="G412" s="30">
        <f>RAND()*(1-2E-6)+1E-6</f>
        <v/>
      </c>
      <c r="H412" s="30">
        <f>RAND()*(1-2E-6)+1E-6</f>
        <v/>
      </c>
      <c r="I412" s="31">
        <f>MIN(IF(Supuestos!$H$5="",1E+99,Supuestos!$H$5),MAX(IF(Supuestos!$G$5="",-1E+99,Supuestos!$G$5),IF(Supuestos!$C$5="Normal",NORMINV(B412,Supuestos!$D$5,Supuestos!$E$5),IF(Supuestos!$C$5="Triangular",IF(B412&lt;(Supuestos!$E$5-Supuestos!$D$5)/(Supuestos!$F$5-Supuestos!$D$5),Supuestos!$D$5+SQRT(B412*(Supuestos!$F$5-Supuestos!$D$5)*(Supuestos!$E$5-Supuestos!$D$5)),Supuestos!$F$5-SQRT((1-B412)*(Supuestos!$F$5-Supuestos!$D$5)*(Supuestos!$F$5-Supuestos!$E$5))),IF(Supuestos!$C$5="Uniforme",Supuestos!$D$5+B412*(Supuestos!$E$5-Supuestos!$D$5),IF(Supuestos!$C$5="Lognormal",LOGINV(B412,LN(Supuestos!$D$5)-LN(1+Supuestos!$E$5^2/Supuestos!$D$5^2)/2,SQRT(LN(1+Supuestos!$E$5^2/Supuestos!$D$5^2))),Supuestos!$D$5))))))</f>
        <v/>
      </c>
      <c r="J412" s="31">
        <f>MIN(IF(Supuestos!$H$6="",1E+99,Supuestos!$H$6),MAX(IF(Supuestos!$G$6="",-1E+99,Supuestos!$G$6),IF(Supuestos!$C$6="Normal",NORMINV(C412,Supuestos!$D$6,Supuestos!$E$6),IF(Supuestos!$C$6="Triangular",IF(C412&lt;(Supuestos!$E$6-Supuestos!$D$6)/(Supuestos!$F$6-Supuestos!$D$6),Supuestos!$D$6+SQRT(C412*(Supuestos!$F$6-Supuestos!$D$6)*(Supuestos!$E$6-Supuestos!$D$6)),Supuestos!$F$6-SQRT((1-C412)*(Supuestos!$F$6-Supuestos!$D$6)*(Supuestos!$F$6-Supuestos!$E$6))),IF(Supuestos!$C$6="Uniforme",Supuestos!$D$6+C412*(Supuestos!$E$6-Supuestos!$D$6),IF(Supuestos!$C$6="Lognormal",LOGINV(C412,LN(Supuestos!$D$6)-LN(1+Supuestos!$E$6^2/Supuestos!$D$6^2)/2,SQRT(LN(1+Supuestos!$E$6^2/Supuestos!$D$6^2))),Supuestos!$D$6))))))</f>
        <v/>
      </c>
      <c r="K412" s="32">
        <f>MIN(IF(Supuestos!$H$7="",1E+99,Supuestos!$H$7),MAX(IF(Supuestos!$G$7="",-1E+99,Supuestos!$G$7),IF(Supuestos!$C$7="Normal",NORMINV(D412,Supuestos!$D$7,Supuestos!$E$7),IF(Supuestos!$C$7="Triangular",IF(D412&lt;(Supuestos!$E$7-Supuestos!$D$7)/(Supuestos!$F$7-Supuestos!$D$7),Supuestos!$D$7+SQRT(D412*(Supuestos!$F$7-Supuestos!$D$7)*(Supuestos!$E$7-Supuestos!$D$7)),Supuestos!$F$7-SQRT((1-D412)*(Supuestos!$F$7-Supuestos!$D$7)*(Supuestos!$F$7-Supuestos!$E$7))),IF(Supuestos!$C$7="Uniforme",Supuestos!$D$7+D412*(Supuestos!$E$7-Supuestos!$D$7),IF(Supuestos!$C$7="Lognormal",LOGINV(D412,LN(Supuestos!$D$7)-LN(1+Supuestos!$E$7^2/Supuestos!$D$7^2)/2,SQRT(LN(1+Supuestos!$E$7^2/Supuestos!$D$7^2))),Supuestos!$D$7))))))</f>
        <v/>
      </c>
      <c r="L412" s="32">
        <f>MIN(IF(Supuestos!$H$8="",1E+99,Supuestos!$H$8),MAX(IF(Supuestos!$G$8="",-1E+99,Supuestos!$G$8),IF(Supuestos!$C$8="Normal",NORMINV(E412,Supuestos!$D$8,Supuestos!$E$8),IF(Supuestos!$C$8="Triangular",IF(E412&lt;(Supuestos!$E$8-Supuestos!$D$8)/(Supuestos!$F$8-Supuestos!$D$8),Supuestos!$D$8+SQRT(E412*(Supuestos!$F$8-Supuestos!$D$8)*(Supuestos!$E$8-Supuestos!$D$8)),Supuestos!$F$8-SQRT((1-E412)*(Supuestos!$F$8-Supuestos!$D$8)*(Supuestos!$F$8-Supuestos!$E$8))),IF(Supuestos!$C$8="Uniforme",Supuestos!$D$8+E412*(Supuestos!$E$8-Supuestos!$D$8),IF(Supuestos!$C$8="Lognormal",LOGINV(E412,LN(Supuestos!$D$8)-LN(1+Supuestos!$E$8^2/Supuestos!$D$8^2)/2,SQRT(LN(1+Supuestos!$E$8^2/Supuestos!$D$8^2))),Supuestos!$D$8))))))</f>
        <v/>
      </c>
      <c r="M412" s="32">
        <f>MIN(IF(Supuestos!$H$9="",1E+99,Supuestos!$H$9),MAX(IF(Supuestos!$G$9="",-1E+99,Supuestos!$G$9),IF(Supuestos!$C$9="Normal",NORMINV(F412,Supuestos!$D$9,Supuestos!$E$9),IF(Supuestos!$C$9="Triangular",IF(F412&lt;(Supuestos!$E$9-Supuestos!$D$9)/(Supuestos!$F$9-Supuestos!$D$9),Supuestos!$D$9+SQRT(F412*(Supuestos!$F$9-Supuestos!$D$9)*(Supuestos!$E$9-Supuestos!$D$9)),Supuestos!$F$9-SQRT((1-F412)*(Supuestos!$F$9-Supuestos!$D$9)*(Supuestos!$F$9-Supuestos!$E$9))),IF(Supuestos!$C$9="Uniforme",Supuestos!$D$9+F412*(Supuestos!$E$9-Supuestos!$D$9),IF(Supuestos!$C$9="Lognormal",LOGINV(F412,LN(Supuestos!$D$9)-LN(1+Supuestos!$E$9^2/Supuestos!$D$9^2)/2,SQRT(LN(1+Supuestos!$E$9^2/Supuestos!$D$9^2))),Supuestos!$D$9))))))</f>
        <v/>
      </c>
      <c r="N412" s="32">
        <f>MIN(IF(Supuestos!$H$10="",1E+99,Supuestos!$H$10),MAX(IF(Supuestos!$G$10="",-1E+99,Supuestos!$G$10),IF(Supuestos!$C$10="Normal",NORMINV(G412,Supuestos!$D$10,Supuestos!$E$10),IF(Supuestos!$C$10="Triangular",IF(G412&lt;(Supuestos!$E$10-Supuestos!$D$10)/(Supuestos!$F$10-Supuestos!$D$10),Supuestos!$D$10+SQRT(G412*(Supuestos!$F$10-Supuestos!$D$10)*(Supuestos!$E$10-Supuestos!$D$10)),Supuestos!$F$10-SQRT((1-G412)*(Supuestos!$F$10-Supuestos!$D$10)*(Supuestos!$F$10-Supuestos!$E$10))),IF(Supuestos!$C$10="Uniforme",Supuestos!$D$10+G412*(Supuestos!$E$10-Supuestos!$D$10),IF(Supuestos!$C$10="Lognormal",LOGINV(G412,LN(Supuestos!$D$10)-LN(1+Supuestos!$E$10^2/Supuestos!$D$10^2)/2,SQRT(LN(1+Supuestos!$E$10^2/Supuestos!$D$10^2))),Supuestos!$D$10))))))</f>
        <v/>
      </c>
      <c r="O412" s="31">
        <f>MIN(IF(Supuestos!$H$11="",1E+99,Supuestos!$H$11),MAX(IF(Supuestos!$G$11="",-1E+99,Supuestos!$G$11),IF(Supuestos!$C$11="Normal",NORMINV(H412,Supuestos!$D$11,Supuestos!$E$11),IF(Supuestos!$C$11="Triangular",IF(H412&lt;(Supuestos!$E$11-Supuestos!$D$11)/(Supuestos!$F$11-Supuestos!$D$11),Supuestos!$D$11+SQRT(H412*(Supuestos!$F$11-Supuestos!$D$11)*(Supuestos!$E$11-Supuestos!$D$11)),Supuestos!$F$11-SQRT((1-H412)*(Supuestos!$F$11-Supuestos!$D$11)*(Supuestos!$F$11-Supuestos!$E$11))),IF(Supuestos!$C$11="Uniforme",Supuestos!$D$11+H412*(Supuestos!$E$11-Supuestos!$D$11),IF(Supuestos!$C$11="Lognormal",LOGINV(H412,LN(Supuestos!$D$11)-LN(1+Supuestos!$E$11^2/Supuestos!$D$11^2)/2,SQRT(LN(1+Supuestos!$E$11^2/Supuestos!$D$11^2))),Supuestos!$D$11))))))</f>
        <v/>
      </c>
      <c r="P412" s="33">
        <f>-I412</f>
        <v/>
      </c>
      <c r="Q412" s="33">
        <f>$J412*(1+$K412)^(1-1)*(1-$L412)*(1-$M412)</f>
        <v/>
      </c>
      <c r="R412" s="33">
        <f>$J412*(1+$K412)^(2-1)*(1-$L412)*(1-$M412)</f>
        <v/>
      </c>
      <c r="S412" s="33">
        <f>$J412*(1+$K412)^(3-1)*(1-$L412)*(1-$M412)</f>
        <v/>
      </c>
      <c r="T412" s="33">
        <f>$J412*(1+$K412)^(4-1)*(1-$L412)*(1-$M412)</f>
        <v/>
      </c>
      <c r="U412" s="33">
        <f>$J412*(1+$K412)^(5-1)*(1-$L412)*(1-$M412)+$O412</f>
        <v/>
      </c>
      <c r="V412" s="33">
        <f>P412+NPV($N412,Q412:U412)</f>
        <v/>
      </c>
      <c r="W412" s="32">
        <f>IFERROR(IRR(P412:U412,0.1),"")</f>
        <v/>
      </c>
    </row>
    <row r="413">
      <c r="A413" s="14" t="n">
        <v>409</v>
      </c>
      <c r="B413" s="30">
        <f>RAND()*(1-2E-6)+1E-6</f>
        <v/>
      </c>
      <c r="C413" s="30">
        <f>RAND()*(1-2E-6)+1E-6</f>
        <v/>
      </c>
      <c r="D413" s="30">
        <f>RAND()*(1-2E-6)+1E-6</f>
        <v/>
      </c>
      <c r="E413" s="30">
        <f>RAND()*(1-2E-6)+1E-6</f>
        <v/>
      </c>
      <c r="F413" s="30">
        <f>RAND()*(1-2E-6)+1E-6</f>
        <v/>
      </c>
      <c r="G413" s="30">
        <f>RAND()*(1-2E-6)+1E-6</f>
        <v/>
      </c>
      <c r="H413" s="30">
        <f>RAND()*(1-2E-6)+1E-6</f>
        <v/>
      </c>
      <c r="I413" s="31">
        <f>MIN(IF(Supuestos!$H$5="",1E+99,Supuestos!$H$5),MAX(IF(Supuestos!$G$5="",-1E+99,Supuestos!$G$5),IF(Supuestos!$C$5="Normal",NORMINV(B413,Supuestos!$D$5,Supuestos!$E$5),IF(Supuestos!$C$5="Triangular",IF(B413&lt;(Supuestos!$E$5-Supuestos!$D$5)/(Supuestos!$F$5-Supuestos!$D$5),Supuestos!$D$5+SQRT(B413*(Supuestos!$F$5-Supuestos!$D$5)*(Supuestos!$E$5-Supuestos!$D$5)),Supuestos!$F$5-SQRT((1-B413)*(Supuestos!$F$5-Supuestos!$D$5)*(Supuestos!$F$5-Supuestos!$E$5))),IF(Supuestos!$C$5="Uniforme",Supuestos!$D$5+B413*(Supuestos!$E$5-Supuestos!$D$5),IF(Supuestos!$C$5="Lognormal",LOGINV(B413,LN(Supuestos!$D$5)-LN(1+Supuestos!$E$5^2/Supuestos!$D$5^2)/2,SQRT(LN(1+Supuestos!$E$5^2/Supuestos!$D$5^2))),Supuestos!$D$5))))))</f>
        <v/>
      </c>
      <c r="J413" s="31">
        <f>MIN(IF(Supuestos!$H$6="",1E+99,Supuestos!$H$6),MAX(IF(Supuestos!$G$6="",-1E+99,Supuestos!$G$6),IF(Supuestos!$C$6="Normal",NORMINV(C413,Supuestos!$D$6,Supuestos!$E$6),IF(Supuestos!$C$6="Triangular",IF(C413&lt;(Supuestos!$E$6-Supuestos!$D$6)/(Supuestos!$F$6-Supuestos!$D$6),Supuestos!$D$6+SQRT(C413*(Supuestos!$F$6-Supuestos!$D$6)*(Supuestos!$E$6-Supuestos!$D$6)),Supuestos!$F$6-SQRT((1-C413)*(Supuestos!$F$6-Supuestos!$D$6)*(Supuestos!$F$6-Supuestos!$E$6))),IF(Supuestos!$C$6="Uniforme",Supuestos!$D$6+C413*(Supuestos!$E$6-Supuestos!$D$6),IF(Supuestos!$C$6="Lognormal",LOGINV(C413,LN(Supuestos!$D$6)-LN(1+Supuestos!$E$6^2/Supuestos!$D$6^2)/2,SQRT(LN(1+Supuestos!$E$6^2/Supuestos!$D$6^2))),Supuestos!$D$6))))))</f>
        <v/>
      </c>
      <c r="K413" s="32">
        <f>MIN(IF(Supuestos!$H$7="",1E+99,Supuestos!$H$7),MAX(IF(Supuestos!$G$7="",-1E+99,Supuestos!$G$7),IF(Supuestos!$C$7="Normal",NORMINV(D413,Supuestos!$D$7,Supuestos!$E$7),IF(Supuestos!$C$7="Triangular",IF(D413&lt;(Supuestos!$E$7-Supuestos!$D$7)/(Supuestos!$F$7-Supuestos!$D$7),Supuestos!$D$7+SQRT(D413*(Supuestos!$F$7-Supuestos!$D$7)*(Supuestos!$E$7-Supuestos!$D$7)),Supuestos!$F$7-SQRT((1-D413)*(Supuestos!$F$7-Supuestos!$D$7)*(Supuestos!$F$7-Supuestos!$E$7))),IF(Supuestos!$C$7="Uniforme",Supuestos!$D$7+D413*(Supuestos!$E$7-Supuestos!$D$7),IF(Supuestos!$C$7="Lognormal",LOGINV(D413,LN(Supuestos!$D$7)-LN(1+Supuestos!$E$7^2/Supuestos!$D$7^2)/2,SQRT(LN(1+Supuestos!$E$7^2/Supuestos!$D$7^2))),Supuestos!$D$7))))))</f>
        <v/>
      </c>
      <c r="L413" s="32">
        <f>MIN(IF(Supuestos!$H$8="",1E+99,Supuestos!$H$8),MAX(IF(Supuestos!$G$8="",-1E+99,Supuestos!$G$8),IF(Supuestos!$C$8="Normal",NORMINV(E413,Supuestos!$D$8,Supuestos!$E$8),IF(Supuestos!$C$8="Triangular",IF(E413&lt;(Supuestos!$E$8-Supuestos!$D$8)/(Supuestos!$F$8-Supuestos!$D$8),Supuestos!$D$8+SQRT(E413*(Supuestos!$F$8-Supuestos!$D$8)*(Supuestos!$E$8-Supuestos!$D$8)),Supuestos!$F$8-SQRT((1-E413)*(Supuestos!$F$8-Supuestos!$D$8)*(Supuestos!$F$8-Supuestos!$E$8))),IF(Supuestos!$C$8="Uniforme",Supuestos!$D$8+E413*(Supuestos!$E$8-Supuestos!$D$8),IF(Supuestos!$C$8="Lognormal",LOGINV(E413,LN(Supuestos!$D$8)-LN(1+Supuestos!$E$8^2/Supuestos!$D$8^2)/2,SQRT(LN(1+Supuestos!$E$8^2/Supuestos!$D$8^2))),Supuestos!$D$8))))))</f>
        <v/>
      </c>
      <c r="M413" s="32">
        <f>MIN(IF(Supuestos!$H$9="",1E+99,Supuestos!$H$9),MAX(IF(Supuestos!$G$9="",-1E+99,Supuestos!$G$9),IF(Supuestos!$C$9="Normal",NORMINV(F413,Supuestos!$D$9,Supuestos!$E$9),IF(Supuestos!$C$9="Triangular",IF(F413&lt;(Supuestos!$E$9-Supuestos!$D$9)/(Supuestos!$F$9-Supuestos!$D$9),Supuestos!$D$9+SQRT(F413*(Supuestos!$F$9-Supuestos!$D$9)*(Supuestos!$E$9-Supuestos!$D$9)),Supuestos!$F$9-SQRT((1-F413)*(Supuestos!$F$9-Supuestos!$D$9)*(Supuestos!$F$9-Supuestos!$E$9))),IF(Supuestos!$C$9="Uniforme",Supuestos!$D$9+F413*(Supuestos!$E$9-Supuestos!$D$9),IF(Supuestos!$C$9="Lognormal",LOGINV(F413,LN(Supuestos!$D$9)-LN(1+Supuestos!$E$9^2/Supuestos!$D$9^2)/2,SQRT(LN(1+Supuestos!$E$9^2/Supuestos!$D$9^2))),Supuestos!$D$9))))))</f>
        <v/>
      </c>
      <c r="N413" s="32">
        <f>MIN(IF(Supuestos!$H$10="",1E+99,Supuestos!$H$10),MAX(IF(Supuestos!$G$10="",-1E+99,Supuestos!$G$10),IF(Supuestos!$C$10="Normal",NORMINV(G413,Supuestos!$D$10,Supuestos!$E$10),IF(Supuestos!$C$10="Triangular",IF(G413&lt;(Supuestos!$E$10-Supuestos!$D$10)/(Supuestos!$F$10-Supuestos!$D$10),Supuestos!$D$10+SQRT(G413*(Supuestos!$F$10-Supuestos!$D$10)*(Supuestos!$E$10-Supuestos!$D$10)),Supuestos!$F$10-SQRT((1-G413)*(Supuestos!$F$10-Supuestos!$D$10)*(Supuestos!$F$10-Supuestos!$E$10))),IF(Supuestos!$C$10="Uniforme",Supuestos!$D$10+G413*(Supuestos!$E$10-Supuestos!$D$10),IF(Supuestos!$C$10="Lognormal",LOGINV(G413,LN(Supuestos!$D$10)-LN(1+Supuestos!$E$10^2/Supuestos!$D$10^2)/2,SQRT(LN(1+Supuestos!$E$10^2/Supuestos!$D$10^2))),Supuestos!$D$10))))))</f>
        <v/>
      </c>
      <c r="O413" s="31">
        <f>MIN(IF(Supuestos!$H$11="",1E+99,Supuestos!$H$11),MAX(IF(Supuestos!$G$11="",-1E+99,Supuestos!$G$11),IF(Supuestos!$C$11="Normal",NORMINV(H413,Supuestos!$D$11,Supuestos!$E$11),IF(Supuestos!$C$11="Triangular",IF(H413&lt;(Supuestos!$E$11-Supuestos!$D$11)/(Supuestos!$F$11-Supuestos!$D$11),Supuestos!$D$11+SQRT(H413*(Supuestos!$F$11-Supuestos!$D$11)*(Supuestos!$E$11-Supuestos!$D$11)),Supuestos!$F$11-SQRT((1-H413)*(Supuestos!$F$11-Supuestos!$D$11)*(Supuestos!$F$11-Supuestos!$E$11))),IF(Supuestos!$C$11="Uniforme",Supuestos!$D$11+H413*(Supuestos!$E$11-Supuestos!$D$11),IF(Supuestos!$C$11="Lognormal",LOGINV(H413,LN(Supuestos!$D$11)-LN(1+Supuestos!$E$11^2/Supuestos!$D$11^2)/2,SQRT(LN(1+Supuestos!$E$11^2/Supuestos!$D$11^2))),Supuestos!$D$11))))))</f>
        <v/>
      </c>
      <c r="P413" s="33">
        <f>-I413</f>
        <v/>
      </c>
      <c r="Q413" s="33">
        <f>$J413*(1+$K413)^(1-1)*(1-$L413)*(1-$M413)</f>
        <v/>
      </c>
      <c r="R413" s="33">
        <f>$J413*(1+$K413)^(2-1)*(1-$L413)*(1-$M413)</f>
        <v/>
      </c>
      <c r="S413" s="33">
        <f>$J413*(1+$K413)^(3-1)*(1-$L413)*(1-$M413)</f>
        <v/>
      </c>
      <c r="T413" s="33">
        <f>$J413*(1+$K413)^(4-1)*(1-$L413)*(1-$M413)</f>
        <v/>
      </c>
      <c r="U413" s="33">
        <f>$J413*(1+$K413)^(5-1)*(1-$L413)*(1-$M413)+$O413</f>
        <v/>
      </c>
      <c r="V413" s="33">
        <f>P413+NPV($N413,Q413:U413)</f>
        <v/>
      </c>
      <c r="W413" s="32">
        <f>IFERROR(IRR(P413:U413,0.1),"")</f>
        <v/>
      </c>
    </row>
    <row r="414">
      <c r="A414" s="14" t="n">
        <v>410</v>
      </c>
      <c r="B414" s="30">
        <f>RAND()*(1-2E-6)+1E-6</f>
        <v/>
      </c>
      <c r="C414" s="30">
        <f>RAND()*(1-2E-6)+1E-6</f>
        <v/>
      </c>
      <c r="D414" s="30">
        <f>RAND()*(1-2E-6)+1E-6</f>
        <v/>
      </c>
      <c r="E414" s="30">
        <f>RAND()*(1-2E-6)+1E-6</f>
        <v/>
      </c>
      <c r="F414" s="30">
        <f>RAND()*(1-2E-6)+1E-6</f>
        <v/>
      </c>
      <c r="G414" s="30">
        <f>RAND()*(1-2E-6)+1E-6</f>
        <v/>
      </c>
      <c r="H414" s="30">
        <f>RAND()*(1-2E-6)+1E-6</f>
        <v/>
      </c>
      <c r="I414" s="31">
        <f>MIN(IF(Supuestos!$H$5="",1E+99,Supuestos!$H$5),MAX(IF(Supuestos!$G$5="",-1E+99,Supuestos!$G$5),IF(Supuestos!$C$5="Normal",NORMINV(B414,Supuestos!$D$5,Supuestos!$E$5),IF(Supuestos!$C$5="Triangular",IF(B414&lt;(Supuestos!$E$5-Supuestos!$D$5)/(Supuestos!$F$5-Supuestos!$D$5),Supuestos!$D$5+SQRT(B414*(Supuestos!$F$5-Supuestos!$D$5)*(Supuestos!$E$5-Supuestos!$D$5)),Supuestos!$F$5-SQRT((1-B414)*(Supuestos!$F$5-Supuestos!$D$5)*(Supuestos!$F$5-Supuestos!$E$5))),IF(Supuestos!$C$5="Uniforme",Supuestos!$D$5+B414*(Supuestos!$E$5-Supuestos!$D$5),IF(Supuestos!$C$5="Lognormal",LOGINV(B414,LN(Supuestos!$D$5)-LN(1+Supuestos!$E$5^2/Supuestos!$D$5^2)/2,SQRT(LN(1+Supuestos!$E$5^2/Supuestos!$D$5^2))),Supuestos!$D$5))))))</f>
        <v/>
      </c>
      <c r="J414" s="31">
        <f>MIN(IF(Supuestos!$H$6="",1E+99,Supuestos!$H$6),MAX(IF(Supuestos!$G$6="",-1E+99,Supuestos!$G$6),IF(Supuestos!$C$6="Normal",NORMINV(C414,Supuestos!$D$6,Supuestos!$E$6),IF(Supuestos!$C$6="Triangular",IF(C414&lt;(Supuestos!$E$6-Supuestos!$D$6)/(Supuestos!$F$6-Supuestos!$D$6),Supuestos!$D$6+SQRT(C414*(Supuestos!$F$6-Supuestos!$D$6)*(Supuestos!$E$6-Supuestos!$D$6)),Supuestos!$F$6-SQRT((1-C414)*(Supuestos!$F$6-Supuestos!$D$6)*(Supuestos!$F$6-Supuestos!$E$6))),IF(Supuestos!$C$6="Uniforme",Supuestos!$D$6+C414*(Supuestos!$E$6-Supuestos!$D$6),IF(Supuestos!$C$6="Lognormal",LOGINV(C414,LN(Supuestos!$D$6)-LN(1+Supuestos!$E$6^2/Supuestos!$D$6^2)/2,SQRT(LN(1+Supuestos!$E$6^2/Supuestos!$D$6^2))),Supuestos!$D$6))))))</f>
        <v/>
      </c>
      <c r="K414" s="32">
        <f>MIN(IF(Supuestos!$H$7="",1E+99,Supuestos!$H$7),MAX(IF(Supuestos!$G$7="",-1E+99,Supuestos!$G$7),IF(Supuestos!$C$7="Normal",NORMINV(D414,Supuestos!$D$7,Supuestos!$E$7),IF(Supuestos!$C$7="Triangular",IF(D414&lt;(Supuestos!$E$7-Supuestos!$D$7)/(Supuestos!$F$7-Supuestos!$D$7),Supuestos!$D$7+SQRT(D414*(Supuestos!$F$7-Supuestos!$D$7)*(Supuestos!$E$7-Supuestos!$D$7)),Supuestos!$F$7-SQRT((1-D414)*(Supuestos!$F$7-Supuestos!$D$7)*(Supuestos!$F$7-Supuestos!$E$7))),IF(Supuestos!$C$7="Uniforme",Supuestos!$D$7+D414*(Supuestos!$E$7-Supuestos!$D$7),IF(Supuestos!$C$7="Lognormal",LOGINV(D414,LN(Supuestos!$D$7)-LN(1+Supuestos!$E$7^2/Supuestos!$D$7^2)/2,SQRT(LN(1+Supuestos!$E$7^2/Supuestos!$D$7^2))),Supuestos!$D$7))))))</f>
        <v/>
      </c>
      <c r="L414" s="32">
        <f>MIN(IF(Supuestos!$H$8="",1E+99,Supuestos!$H$8),MAX(IF(Supuestos!$G$8="",-1E+99,Supuestos!$G$8),IF(Supuestos!$C$8="Normal",NORMINV(E414,Supuestos!$D$8,Supuestos!$E$8),IF(Supuestos!$C$8="Triangular",IF(E414&lt;(Supuestos!$E$8-Supuestos!$D$8)/(Supuestos!$F$8-Supuestos!$D$8),Supuestos!$D$8+SQRT(E414*(Supuestos!$F$8-Supuestos!$D$8)*(Supuestos!$E$8-Supuestos!$D$8)),Supuestos!$F$8-SQRT((1-E414)*(Supuestos!$F$8-Supuestos!$D$8)*(Supuestos!$F$8-Supuestos!$E$8))),IF(Supuestos!$C$8="Uniforme",Supuestos!$D$8+E414*(Supuestos!$E$8-Supuestos!$D$8),IF(Supuestos!$C$8="Lognormal",LOGINV(E414,LN(Supuestos!$D$8)-LN(1+Supuestos!$E$8^2/Supuestos!$D$8^2)/2,SQRT(LN(1+Supuestos!$E$8^2/Supuestos!$D$8^2))),Supuestos!$D$8))))))</f>
        <v/>
      </c>
      <c r="M414" s="32">
        <f>MIN(IF(Supuestos!$H$9="",1E+99,Supuestos!$H$9),MAX(IF(Supuestos!$G$9="",-1E+99,Supuestos!$G$9),IF(Supuestos!$C$9="Normal",NORMINV(F414,Supuestos!$D$9,Supuestos!$E$9),IF(Supuestos!$C$9="Triangular",IF(F414&lt;(Supuestos!$E$9-Supuestos!$D$9)/(Supuestos!$F$9-Supuestos!$D$9),Supuestos!$D$9+SQRT(F414*(Supuestos!$F$9-Supuestos!$D$9)*(Supuestos!$E$9-Supuestos!$D$9)),Supuestos!$F$9-SQRT((1-F414)*(Supuestos!$F$9-Supuestos!$D$9)*(Supuestos!$F$9-Supuestos!$E$9))),IF(Supuestos!$C$9="Uniforme",Supuestos!$D$9+F414*(Supuestos!$E$9-Supuestos!$D$9),IF(Supuestos!$C$9="Lognormal",LOGINV(F414,LN(Supuestos!$D$9)-LN(1+Supuestos!$E$9^2/Supuestos!$D$9^2)/2,SQRT(LN(1+Supuestos!$E$9^2/Supuestos!$D$9^2))),Supuestos!$D$9))))))</f>
        <v/>
      </c>
      <c r="N414" s="32">
        <f>MIN(IF(Supuestos!$H$10="",1E+99,Supuestos!$H$10),MAX(IF(Supuestos!$G$10="",-1E+99,Supuestos!$G$10),IF(Supuestos!$C$10="Normal",NORMINV(G414,Supuestos!$D$10,Supuestos!$E$10),IF(Supuestos!$C$10="Triangular",IF(G414&lt;(Supuestos!$E$10-Supuestos!$D$10)/(Supuestos!$F$10-Supuestos!$D$10),Supuestos!$D$10+SQRT(G414*(Supuestos!$F$10-Supuestos!$D$10)*(Supuestos!$E$10-Supuestos!$D$10)),Supuestos!$F$10-SQRT((1-G414)*(Supuestos!$F$10-Supuestos!$D$10)*(Supuestos!$F$10-Supuestos!$E$10))),IF(Supuestos!$C$10="Uniforme",Supuestos!$D$10+G414*(Supuestos!$E$10-Supuestos!$D$10),IF(Supuestos!$C$10="Lognormal",LOGINV(G414,LN(Supuestos!$D$10)-LN(1+Supuestos!$E$10^2/Supuestos!$D$10^2)/2,SQRT(LN(1+Supuestos!$E$10^2/Supuestos!$D$10^2))),Supuestos!$D$10))))))</f>
        <v/>
      </c>
      <c r="O414" s="31">
        <f>MIN(IF(Supuestos!$H$11="",1E+99,Supuestos!$H$11),MAX(IF(Supuestos!$G$11="",-1E+99,Supuestos!$G$11),IF(Supuestos!$C$11="Normal",NORMINV(H414,Supuestos!$D$11,Supuestos!$E$11),IF(Supuestos!$C$11="Triangular",IF(H414&lt;(Supuestos!$E$11-Supuestos!$D$11)/(Supuestos!$F$11-Supuestos!$D$11),Supuestos!$D$11+SQRT(H414*(Supuestos!$F$11-Supuestos!$D$11)*(Supuestos!$E$11-Supuestos!$D$11)),Supuestos!$F$11-SQRT((1-H414)*(Supuestos!$F$11-Supuestos!$D$11)*(Supuestos!$F$11-Supuestos!$E$11))),IF(Supuestos!$C$11="Uniforme",Supuestos!$D$11+H414*(Supuestos!$E$11-Supuestos!$D$11),IF(Supuestos!$C$11="Lognormal",LOGINV(H414,LN(Supuestos!$D$11)-LN(1+Supuestos!$E$11^2/Supuestos!$D$11^2)/2,SQRT(LN(1+Supuestos!$E$11^2/Supuestos!$D$11^2))),Supuestos!$D$11))))))</f>
        <v/>
      </c>
      <c r="P414" s="33">
        <f>-I414</f>
        <v/>
      </c>
      <c r="Q414" s="33">
        <f>$J414*(1+$K414)^(1-1)*(1-$L414)*(1-$M414)</f>
        <v/>
      </c>
      <c r="R414" s="33">
        <f>$J414*(1+$K414)^(2-1)*(1-$L414)*(1-$M414)</f>
        <v/>
      </c>
      <c r="S414" s="33">
        <f>$J414*(1+$K414)^(3-1)*(1-$L414)*(1-$M414)</f>
        <v/>
      </c>
      <c r="T414" s="33">
        <f>$J414*(1+$K414)^(4-1)*(1-$L414)*(1-$M414)</f>
        <v/>
      </c>
      <c r="U414" s="33">
        <f>$J414*(1+$K414)^(5-1)*(1-$L414)*(1-$M414)+$O414</f>
        <v/>
      </c>
      <c r="V414" s="33">
        <f>P414+NPV($N414,Q414:U414)</f>
        <v/>
      </c>
      <c r="W414" s="32">
        <f>IFERROR(IRR(P414:U414,0.1),"")</f>
        <v/>
      </c>
    </row>
    <row r="415">
      <c r="A415" s="14" t="n">
        <v>411</v>
      </c>
      <c r="B415" s="30">
        <f>RAND()*(1-2E-6)+1E-6</f>
        <v/>
      </c>
      <c r="C415" s="30">
        <f>RAND()*(1-2E-6)+1E-6</f>
        <v/>
      </c>
      <c r="D415" s="30">
        <f>RAND()*(1-2E-6)+1E-6</f>
        <v/>
      </c>
      <c r="E415" s="30">
        <f>RAND()*(1-2E-6)+1E-6</f>
        <v/>
      </c>
      <c r="F415" s="30">
        <f>RAND()*(1-2E-6)+1E-6</f>
        <v/>
      </c>
      <c r="G415" s="30">
        <f>RAND()*(1-2E-6)+1E-6</f>
        <v/>
      </c>
      <c r="H415" s="30">
        <f>RAND()*(1-2E-6)+1E-6</f>
        <v/>
      </c>
      <c r="I415" s="31">
        <f>MIN(IF(Supuestos!$H$5="",1E+99,Supuestos!$H$5),MAX(IF(Supuestos!$G$5="",-1E+99,Supuestos!$G$5),IF(Supuestos!$C$5="Normal",NORMINV(B415,Supuestos!$D$5,Supuestos!$E$5),IF(Supuestos!$C$5="Triangular",IF(B415&lt;(Supuestos!$E$5-Supuestos!$D$5)/(Supuestos!$F$5-Supuestos!$D$5),Supuestos!$D$5+SQRT(B415*(Supuestos!$F$5-Supuestos!$D$5)*(Supuestos!$E$5-Supuestos!$D$5)),Supuestos!$F$5-SQRT((1-B415)*(Supuestos!$F$5-Supuestos!$D$5)*(Supuestos!$F$5-Supuestos!$E$5))),IF(Supuestos!$C$5="Uniforme",Supuestos!$D$5+B415*(Supuestos!$E$5-Supuestos!$D$5),IF(Supuestos!$C$5="Lognormal",LOGINV(B415,LN(Supuestos!$D$5)-LN(1+Supuestos!$E$5^2/Supuestos!$D$5^2)/2,SQRT(LN(1+Supuestos!$E$5^2/Supuestos!$D$5^2))),Supuestos!$D$5))))))</f>
        <v/>
      </c>
      <c r="J415" s="31">
        <f>MIN(IF(Supuestos!$H$6="",1E+99,Supuestos!$H$6),MAX(IF(Supuestos!$G$6="",-1E+99,Supuestos!$G$6),IF(Supuestos!$C$6="Normal",NORMINV(C415,Supuestos!$D$6,Supuestos!$E$6),IF(Supuestos!$C$6="Triangular",IF(C415&lt;(Supuestos!$E$6-Supuestos!$D$6)/(Supuestos!$F$6-Supuestos!$D$6),Supuestos!$D$6+SQRT(C415*(Supuestos!$F$6-Supuestos!$D$6)*(Supuestos!$E$6-Supuestos!$D$6)),Supuestos!$F$6-SQRT((1-C415)*(Supuestos!$F$6-Supuestos!$D$6)*(Supuestos!$F$6-Supuestos!$E$6))),IF(Supuestos!$C$6="Uniforme",Supuestos!$D$6+C415*(Supuestos!$E$6-Supuestos!$D$6),IF(Supuestos!$C$6="Lognormal",LOGINV(C415,LN(Supuestos!$D$6)-LN(1+Supuestos!$E$6^2/Supuestos!$D$6^2)/2,SQRT(LN(1+Supuestos!$E$6^2/Supuestos!$D$6^2))),Supuestos!$D$6))))))</f>
        <v/>
      </c>
      <c r="K415" s="32">
        <f>MIN(IF(Supuestos!$H$7="",1E+99,Supuestos!$H$7),MAX(IF(Supuestos!$G$7="",-1E+99,Supuestos!$G$7),IF(Supuestos!$C$7="Normal",NORMINV(D415,Supuestos!$D$7,Supuestos!$E$7),IF(Supuestos!$C$7="Triangular",IF(D415&lt;(Supuestos!$E$7-Supuestos!$D$7)/(Supuestos!$F$7-Supuestos!$D$7),Supuestos!$D$7+SQRT(D415*(Supuestos!$F$7-Supuestos!$D$7)*(Supuestos!$E$7-Supuestos!$D$7)),Supuestos!$F$7-SQRT((1-D415)*(Supuestos!$F$7-Supuestos!$D$7)*(Supuestos!$F$7-Supuestos!$E$7))),IF(Supuestos!$C$7="Uniforme",Supuestos!$D$7+D415*(Supuestos!$E$7-Supuestos!$D$7),IF(Supuestos!$C$7="Lognormal",LOGINV(D415,LN(Supuestos!$D$7)-LN(1+Supuestos!$E$7^2/Supuestos!$D$7^2)/2,SQRT(LN(1+Supuestos!$E$7^2/Supuestos!$D$7^2))),Supuestos!$D$7))))))</f>
        <v/>
      </c>
      <c r="L415" s="32">
        <f>MIN(IF(Supuestos!$H$8="",1E+99,Supuestos!$H$8),MAX(IF(Supuestos!$G$8="",-1E+99,Supuestos!$G$8),IF(Supuestos!$C$8="Normal",NORMINV(E415,Supuestos!$D$8,Supuestos!$E$8),IF(Supuestos!$C$8="Triangular",IF(E415&lt;(Supuestos!$E$8-Supuestos!$D$8)/(Supuestos!$F$8-Supuestos!$D$8),Supuestos!$D$8+SQRT(E415*(Supuestos!$F$8-Supuestos!$D$8)*(Supuestos!$E$8-Supuestos!$D$8)),Supuestos!$F$8-SQRT((1-E415)*(Supuestos!$F$8-Supuestos!$D$8)*(Supuestos!$F$8-Supuestos!$E$8))),IF(Supuestos!$C$8="Uniforme",Supuestos!$D$8+E415*(Supuestos!$E$8-Supuestos!$D$8),IF(Supuestos!$C$8="Lognormal",LOGINV(E415,LN(Supuestos!$D$8)-LN(1+Supuestos!$E$8^2/Supuestos!$D$8^2)/2,SQRT(LN(1+Supuestos!$E$8^2/Supuestos!$D$8^2))),Supuestos!$D$8))))))</f>
        <v/>
      </c>
      <c r="M415" s="32">
        <f>MIN(IF(Supuestos!$H$9="",1E+99,Supuestos!$H$9),MAX(IF(Supuestos!$G$9="",-1E+99,Supuestos!$G$9),IF(Supuestos!$C$9="Normal",NORMINV(F415,Supuestos!$D$9,Supuestos!$E$9),IF(Supuestos!$C$9="Triangular",IF(F415&lt;(Supuestos!$E$9-Supuestos!$D$9)/(Supuestos!$F$9-Supuestos!$D$9),Supuestos!$D$9+SQRT(F415*(Supuestos!$F$9-Supuestos!$D$9)*(Supuestos!$E$9-Supuestos!$D$9)),Supuestos!$F$9-SQRT((1-F415)*(Supuestos!$F$9-Supuestos!$D$9)*(Supuestos!$F$9-Supuestos!$E$9))),IF(Supuestos!$C$9="Uniforme",Supuestos!$D$9+F415*(Supuestos!$E$9-Supuestos!$D$9),IF(Supuestos!$C$9="Lognormal",LOGINV(F415,LN(Supuestos!$D$9)-LN(1+Supuestos!$E$9^2/Supuestos!$D$9^2)/2,SQRT(LN(1+Supuestos!$E$9^2/Supuestos!$D$9^2))),Supuestos!$D$9))))))</f>
        <v/>
      </c>
      <c r="N415" s="32">
        <f>MIN(IF(Supuestos!$H$10="",1E+99,Supuestos!$H$10),MAX(IF(Supuestos!$G$10="",-1E+99,Supuestos!$G$10),IF(Supuestos!$C$10="Normal",NORMINV(G415,Supuestos!$D$10,Supuestos!$E$10),IF(Supuestos!$C$10="Triangular",IF(G415&lt;(Supuestos!$E$10-Supuestos!$D$10)/(Supuestos!$F$10-Supuestos!$D$10),Supuestos!$D$10+SQRT(G415*(Supuestos!$F$10-Supuestos!$D$10)*(Supuestos!$E$10-Supuestos!$D$10)),Supuestos!$F$10-SQRT((1-G415)*(Supuestos!$F$10-Supuestos!$D$10)*(Supuestos!$F$10-Supuestos!$E$10))),IF(Supuestos!$C$10="Uniforme",Supuestos!$D$10+G415*(Supuestos!$E$10-Supuestos!$D$10),IF(Supuestos!$C$10="Lognormal",LOGINV(G415,LN(Supuestos!$D$10)-LN(1+Supuestos!$E$10^2/Supuestos!$D$10^2)/2,SQRT(LN(1+Supuestos!$E$10^2/Supuestos!$D$10^2))),Supuestos!$D$10))))))</f>
        <v/>
      </c>
      <c r="O415" s="31">
        <f>MIN(IF(Supuestos!$H$11="",1E+99,Supuestos!$H$11),MAX(IF(Supuestos!$G$11="",-1E+99,Supuestos!$G$11),IF(Supuestos!$C$11="Normal",NORMINV(H415,Supuestos!$D$11,Supuestos!$E$11),IF(Supuestos!$C$11="Triangular",IF(H415&lt;(Supuestos!$E$11-Supuestos!$D$11)/(Supuestos!$F$11-Supuestos!$D$11),Supuestos!$D$11+SQRT(H415*(Supuestos!$F$11-Supuestos!$D$11)*(Supuestos!$E$11-Supuestos!$D$11)),Supuestos!$F$11-SQRT((1-H415)*(Supuestos!$F$11-Supuestos!$D$11)*(Supuestos!$F$11-Supuestos!$E$11))),IF(Supuestos!$C$11="Uniforme",Supuestos!$D$11+H415*(Supuestos!$E$11-Supuestos!$D$11),IF(Supuestos!$C$11="Lognormal",LOGINV(H415,LN(Supuestos!$D$11)-LN(1+Supuestos!$E$11^2/Supuestos!$D$11^2)/2,SQRT(LN(1+Supuestos!$E$11^2/Supuestos!$D$11^2))),Supuestos!$D$11))))))</f>
        <v/>
      </c>
      <c r="P415" s="33">
        <f>-I415</f>
        <v/>
      </c>
      <c r="Q415" s="33">
        <f>$J415*(1+$K415)^(1-1)*(1-$L415)*(1-$M415)</f>
        <v/>
      </c>
      <c r="R415" s="33">
        <f>$J415*(1+$K415)^(2-1)*(1-$L415)*(1-$M415)</f>
        <v/>
      </c>
      <c r="S415" s="33">
        <f>$J415*(1+$K415)^(3-1)*(1-$L415)*(1-$M415)</f>
        <v/>
      </c>
      <c r="T415" s="33">
        <f>$J415*(1+$K415)^(4-1)*(1-$L415)*(1-$M415)</f>
        <v/>
      </c>
      <c r="U415" s="33">
        <f>$J415*(1+$K415)^(5-1)*(1-$L415)*(1-$M415)+$O415</f>
        <v/>
      </c>
      <c r="V415" s="33">
        <f>P415+NPV($N415,Q415:U415)</f>
        <v/>
      </c>
      <c r="W415" s="32">
        <f>IFERROR(IRR(P415:U415,0.1),"")</f>
        <v/>
      </c>
    </row>
    <row r="416">
      <c r="A416" s="14" t="n">
        <v>412</v>
      </c>
      <c r="B416" s="30">
        <f>RAND()*(1-2E-6)+1E-6</f>
        <v/>
      </c>
      <c r="C416" s="30">
        <f>RAND()*(1-2E-6)+1E-6</f>
        <v/>
      </c>
      <c r="D416" s="30">
        <f>RAND()*(1-2E-6)+1E-6</f>
        <v/>
      </c>
      <c r="E416" s="30">
        <f>RAND()*(1-2E-6)+1E-6</f>
        <v/>
      </c>
      <c r="F416" s="30">
        <f>RAND()*(1-2E-6)+1E-6</f>
        <v/>
      </c>
      <c r="G416" s="30">
        <f>RAND()*(1-2E-6)+1E-6</f>
        <v/>
      </c>
      <c r="H416" s="30">
        <f>RAND()*(1-2E-6)+1E-6</f>
        <v/>
      </c>
      <c r="I416" s="31">
        <f>MIN(IF(Supuestos!$H$5="",1E+99,Supuestos!$H$5),MAX(IF(Supuestos!$G$5="",-1E+99,Supuestos!$G$5),IF(Supuestos!$C$5="Normal",NORMINV(B416,Supuestos!$D$5,Supuestos!$E$5),IF(Supuestos!$C$5="Triangular",IF(B416&lt;(Supuestos!$E$5-Supuestos!$D$5)/(Supuestos!$F$5-Supuestos!$D$5),Supuestos!$D$5+SQRT(B416*(Supuestos!$F$5-Supuestos!$D$5)*(Supuestos!$E$5-Supuestos!$D$5)),Supuestos!$F$5-SQRT((1-B416)*(Supuestos!$F$5-Supuestos!$D$5)*(Supuestos!$F$5-Supuestos!$E$5))),IF(Supuestos!$C$5="Uniforme",Supuestos!$D$5+B416*(Supuestos!$E$5-Supuestos!$D$5),IF(Supuestos!$C$5="Lognormal",LOGINV(B416,LN(Supuestos!$D$5)-LN(1+Supuestos!$E$5^2/Supuestos!$D$5^2)/2,SQRT(LN(1+Supuestos!$E$5^2/Supuestos!$D$5^2))),Supuestos!$D$5))))))</f>
        <v/>
      </c>
      <c r="J416" s="31">
        <f>MIN(IF(Supuestos!$H$6="",1E+99,Supuestos!$H$6),MAX(IF(Supuestos!$G$6="",-1E+99,Supuestos!$G$6),IF(Supuestos!$C$6="Normal",NORMINV(C416,Supuestos!$D$6,Supuestos!$E$6),IF(Supuestos!$C$6="Triangular",IF(C416&lt;(Supuestos!$E$6-Supuestos!$D$6)/(Supuestos!$F$6-Supuestos!$D$6),Supuestos!$D$6+SQRT(C416*(Supuestos!$F$6-Supuestos!$D$6)*(Supuestos!$E$6-Supuestos!$D$6)),Supuestos!$F$6-SQRT((1-C416)*(Supuestos!$F$6-Supuestos!$D$6)*(Supuestos!$F$6-Supuestos!$E$6))),IF(Supuestos!$C$6="Uniforme",Supuestos!$D$6+C416*(Supuestos!$E$6-Supuestos!$D$6),IF(Supuestos!$C$6="Lognormal",LOGINV(C416,LN(Supuestos!$D$6)-LN(1+Supuestos!$E$6^2/Supuestos!$D$6^2)/2,SQRT(LN(1+Supuestos!$E$6^2/Supuestos!$D$6^2))),Supuestos!$D$6))))))</f>
        <v/>
      </c>
      <c r="K416" s="32">
        <f>MIN(IF(Supuestos!$H$7="",1E+99,Supuestos!$H$7),MAX(IF(Supuestos!$G$7="",-1E+99,Supuestos!$G$7),IF(Supuestos!$C$7="Normal",NORMINV(D416,Supuestos!$D$7,Supuestos!$E$7),IF(Supuestos!$C$7="Triangular",IF(D416&lt;(Supuestos!$E$7-Supuestos!$D$7)/(Supuestos!$F$7-Supuestos!$D$7),Supuestos!$D$7+SQRT(D416*(Supuestos!$F$7-Supuestos!$D$7)*(Supuestos!$E$7-Supuestos!$D$7)),Supuestos!$F$7-SQRT((1-D416)*(Supuestos!$F$7-Supuestos!$D$7)*(Supuestos!$F$7-Supuestos!$E$7))),IF(Supuestos!$C$7="Uniforme",Supuestos!$D$7+D416*(Supuestos!$E$7-Supuestos!$D$7),IF(Supuestos!$C$7="Lognormal",LOGINV(D416,LN(Supuestos!$D$7)-LN(1+Supuestos!$E$7^2/Supuestos!$D$7^2)/2,SQRT(LN(1+Supuestos!$E$7^2/Supuestos!$D$7^2))),Supuestos!$D$7))))))</f>
        <v/>
      </c>
      <c r="L416" s="32">
        <f>MIN(IF(Supuestos!$H$8="",1E+99,Supuestos!$H$8),MAX(IF(Supuestos!$G$8="",-1E+99,Supuestos!$G$8),IF(Supuestos!$C$8="Normal",NORMINV(E416,Supuestos!$D$8,Supuestos!$E$8),IF(Supuestos!$C$8="Triangular",IF(E416&lt;(Supuestos!$E$8-Supuestos!$D$8)/(Supuestos!$F$8-Supuestos!$D$8),Supuestos!$D$8+SQRT(E416*(Supuestos!$F$8-Supuestos!$D$8)*(Supuestos!$E$8-Supuestos!$D$8)),Supuestos!$F$8-SQRT((1-E416)*(Supuestos!$F$8-Supuestos!$D$8)*(Supuestos!$F$8-Supuestos!$E$8))),IF(Supuestos!$C$8="Uniforme",Supuestos!$D$8+E416*(Supuestos!$E$8-Supuestos!$D$8),IF(Supuestos!$C$8="Lognormal",LOGINV(E416,LN(Supuestos!$D$8)-LN(1+Supuestos!$E$8^2/Supuestos!$D$8^2)/2,SQRT(LN(1+Supuestos!$E$8^2/Supuestos!$D$8^2))),Supuestos!$D$8))))))</f>
        <v/>
      </c>
      <c r="M416" s="32">
        <f>MIN(IF(Supuestos!$H$9="",1E+99,Supuestos!$H$9),MAX(IF(Supuestos!$G$9="",-1E+99,Supuestos!$G$9),IF(Supuestos!$C$9="Normal",NORMINV(F416,Supuestos!$D$9,Supuestos!$E$9),IF(Supuestos!$C$9="Triangular",IF(F416&lt;(Supuestos!$E$9-Supuestos!$D$9)/(Supuestos!$F$9-Supuestos!$D$9),Supuestos!$D$9+SQRT(F416*(Supuestos!$F$9-Supuestos!$D$9)*(Supuestos!$E$9-Supuestos!$D$9)),Supuestos!$F$9-SQRT((1-F416)*(Supuestos!$F$9-Supuestos!$D$9)*(Supuestos!$F$9-Supuestos!$E$9))),IF(Supuestos!$C$9="Uniforme",Supuestos!$D$9+F416*(Supuestos!$E$9-Supuestos!$D$9),IF(Supuestos!$C$9="Lognormal",LOGINV(F416,LN(Supuestos!$D$9)-LN(1+Supuestos!$E$9^2/Supuestos!$D$9^2)/2,SQRT(LN(1+Supuestos!$E$9^2/Supuestos!$D$9^2))),Supuestos!$D$9))))))</f>
        <v/>
      </c>
      <c r="N416" s="32">
        <f>MIN(IF(Supuestos!$H$10="",1E+99,Supuestos!$H$10),MAX(IF(Supuestos!$G$10="",-1E+99,Supuestos!$G$10),IF(Supuestos!$C$10="Normal",NORMINV(G416,Supuestos!$D$10,Supuestos!$E$10),IF(Supuestos!$C$10="Triangular",IF(G416&lt;(Supuestos!$E$10-Supuestos!$D$10)/(Supuestos!$F$10-Supuestos!$D$10),Supuestos!$D$10+SQRT(G416*(Supuestos!$F$10-Supuestos!$D$10)*(Supuestos!$E$10-Supuestos!$D$10)),Supuestos!$F$10-SQRT((1-G416)*(Supuestos!$F$10-Supuestos!$D$10)*(Supuestos!$F$10-Supuestos!$E$10))),IF(Supuestos!$C$10="Uniforme",Supuestos!$D$10+G416*(Supuestos!$E$10-Supuestos!$D$10),IF(Supuestos!$C$10="Lognormal",LOGINV(G416,LN(Supuestos!$D$10)-LN(1+Supuestos!$E$10^2/Supuestos!$D$10^2)/2,SQRT(LN(1+Supuestos!$E$10^2/Supuestos!$D$10^2))),Supuestos!$D$10))))))</f>
        <v/>
      </c>
      <c r="O416" s="31">
        <f>MIN(IF(Supuestos!$H$11="",1E+99,Supuestos!$H$11),MAX(IF(Supuestos!$G$11="",-1E+99,Supuestos!$G$11),IF(Supuestos!$C$11="Normal",NORMINV(H416,Supuestos!$D$11,Supuestos!$E$11),IF(Supuestos!$C$11="Triangular",IF(H416&lt;(Supuestos!$E$11-Supuestos!$D$11)/(Supuestos!$F$11-Supuestos!$D$11),Supuestos!$D$11+SQRT(H416*(Supuestos!$F$11-Supuestos!$D$11)*(Supuestos!$E$11-Supuestos!$D$11)),Supuestos!$F$11-SQRT((1-H416)*(Supuestos!$F$11-Supuestos!$D$11)*(Supuestos!$F$11-Supuestos!$E$11))),IF(Supuestos!$C$11="Uniforme",Supuestos!$D$11+H416*(Supuestos!$E$11-Supuestos!$D$11),IF(Supuestos!$C$11="Lognormal",LOGINV(H416,LN(Supuestos!$D$11)-LN(1+Supuestos!$E$11^2/Supuestos!$D$11^2)/2,SQRT(LN(1+Supuestos!$E$11^2/Supuestos!$D$11^2))),Supuestos!$D$11))))))</f>
        <v/>
      </c>
      <c r="P416" s="33">
        <f>-I416</f>
        <v/>
      </c>
      <c r="Q416" s="33">
        <f>$J416*(1+$K416)^(1-1)*(1-$L416)*(1-$M416)</f>
        <v/>
      </c>
      <c r="R416" s="33">
        <f>$J416*(1+$K416)^(2-1)*(1-$L416)*(1-$M416)</f>
        <v/>
      </c>
      <c r="S416" s="33">
        <f>$J416*(1+$K416)^(3-1)*(1-$L416)*(1-$M416)</f>
        <v/>
      </c>
      <c r="T416" s="33">
        <f>$J416*(1+$K416)^(4-1)*(1-$L416)*(1-$M416)</f>
        <v/>
      </c>
      <c r="U416" s="33">
        <f>$J416*(1+$K416)^(5-1)*(1-$L416)*(1-$M416)+$O416</f>
        <v/>
      </c>
      <c r="V416" s="33">
        <f>P416+NPV($N416,Q416:U416)</f>
        <v/>
      </c>
      <c r="W416" s="32">
        <f>IFERROR(IRR(P416:U416,0.1),"")</f>
        <v/>
      </c>
    </row>
    <row r="417">
      <c r="A417" s="14" t="n">
        <v>413</v>
      </c>
      <c r="B417" s="30">
        <f>RAND()*(1-2E-6)+1E-6</f>
        <v/>
      </c>
      <c r="C417" s="30">
        <f>RAND()*(1-2E-6)+1E-6</f>
        <v/>
      </c>
      <c r="D417" s="30">
        <f>RAND()*(1-2E-6)+1E-6</f>
        <v/>
      </c>
      <c r="E417" s="30">
        <f>RAND()*(1-2E-6)+1E-6</f>
        <v/>
      </c>
      <c r="F417" s="30">
        <f>RAND()*(1-2E-6)+1E-6</f>
        <v/>
      </c>
      <c r="G417" s="30">
        <f>RAND()*(1-2E-6)+1E-6</f>
        <v/>
      </c>
      <c r="H417" s="30">
        <f>RAND()*(1-2E-6)+1E-6</f>
        <v/>
      </c>
      <c r="I417" s="31">
        <f>MIN(IF(Supuestos!$H$5="",1E+99,Supuestos!$H$5),MAX(IF(Supuestos!$G$5="",-1E+99,Supuestos!$G$5),IF(Supuestos!$C$5="Normal",NORMINV(B417,Supuestos!$D$5,Supuestos!$E$5),IF(Supuestos!$C$5="Triangular",IF(B417&lt;(Supuestos!$E$5-Supuestos!$D$5)/(Supuestos!$F$5-Supuestos!$D$5),Supuestos!$D$5+SQRT(B417*(Supuestos!$F$5-Supuestos!$D$5)*(Supuestos!$E$5-Supuestos!$D$5)),Supuestos!$F$5-SQRT((1-B417)*(Supuestos!$F$5-Supuestos!$D$5)*(Supuestos!$F$5-Supuestos!$E$5))),IF(Supuestos!$C$5="Uniforme",Supuestos!$D$5+B417*(Supuestos!$E$5-Supuestos!$D$5),IF(Supuestos!$C$5="Lognormal",LOGINV(B417,LN(Supuestos!$D$5)-LN(1+Supuestos!$E$5^2/Supuestos!$D$5^2)/2,SQRT(LN(1+Supuestos!$E$5^2/Supuestos!$D$5^2))),Supuestos!$D$5))))))</f>
        <v/>
      </c>
      <c r="J417" s="31">
        <f>MIN(IF(Supuestos!$H$6="",1E+99,Supuestos!$H$6),MAX(IF(Supuestos!$G$6="",-1E+99,Supuestos!$G$6),IF(Supuestos!$C$6="Normal",NORMINV(C417,Supuestos!$D$6,Supuestos!$E$6),IF(Supuestos!$C$6="Triangular",IF(C417&lt;(Supuestos!$E$6-Supuestos!$D$6)/(Supuestos!$F$6-Supuestos!$D$6),Supuestos!$D$6+SQRT(C417*(Supuestos!$F$6-Supuestos!$D$6)*(Supuestos!$E$6-Supuestos!$D$6)),Supuestos!$F$6-SQRT((1-C417)*(Supuestos!$F$6-Supuestos!$D$6)*(Supuestos!$F$6-Supuestos!$E$6))),IF(Supuestos!$C$6="Uniforme",Supuestos!$D$6+C417*(Supuestos!$E$6-Supuestos!$D$6),IF(Supuestos!$C$6="Lognormal",LOGINV(C417,LN(Supuestos!$D$6)-LN(1+Supuestos!$E$6^2/Supuestos!$D$6^2)/2,SQRT(LN(1+Supuestos!$E$6^2/Supuestos!$D$6^2))),Supuestos!$D$6))))))</f>
        <v/>
      </c>
      <c r="K417" s="32">
        <f>MIN(IF(Supuestos!$H$7="",1E+99,Supuestos!$H$7),MAX(IF(Supuestos!$G$7="",-1E+99,Supuestos!$G$7),IF(Supuestos!$C$7="Normal",NORMINV(D417,Supuestos!$D$7,Supuestos!$E$7),IF(Supuestos!$C$7="Triangular",IF(D417&lt;(Supuestos!$E$7-Supuestos!$D$7)/(Supuestos!$F$7-Supuestos!$D$7),Supuestos!$D$7+SQRT(D417*(Supuestos!$F$7-Supuestos!$D$7)*(Supuestos!$E$7-Supuestos!$D$7)),Supuestos!$F$7-SQRT((1-D417)*(Supuestos!$F$7-Supuestos!$D$7)*(Supuestos!$F$7-Supuestos!$E$7))),IF(Supuestos!$C$7="Uniforme",Supuestos!$D$7+D417*(Supuestos!$E$7-Supuestos!$D$7),IF(Supuestos!$C$7="Lognormal",LOGINV(D417,LN(Supuestos!$D$7)-LN(1+Supuestos!$E$7^2/Supuestos!$D$7^2)/2,SQRT(LN(1+Supuestos!$E$7^2/Supuestos!$D$7^2))),Supuestos!$D$7))))))</f>
        <v/>
      </c>
      <c r="L417" s="32">
        <f>MIN(IF(Supuestos!$H$8="",1E+99,Supuestos!$H$8),MAX(IF(Supuestos!$G$8="",-1E+99,Supuestos!$G$8),IF(Supuestos!$C$8="Normal",NORMINV(E417,Supuestos!$D$8,Supuestos!$E$8),IF(Supuestos!$C$8="Triangular",IF(E417&lt;(Supuestos!$E$8-Supuestos!$D$8)/(Supuestos!$F$8-Supuestos!$D$8),Supuestos!$D$8+SQRT(E417*(Supuestos!$F$8-Supuestos!$D$8)*(Supuestos!$E$8-Supuestos!$D$8)),Supuestos!$F$8-SQRT((1-E417)*(Supuestos!$F$8-Supuestos!$D$8)*(Supuestos!$F$8-Supuestos!$E$8))),IF(Supuestos!$C$8="Uniforme",Supuestos!$D$8+E417*(Supuestos!$E$8-Supuestos!$D$8),IF(Supuestos!$C$8="Lognormal",LOGINV(E417,LN(Supuestos!$D$8)-LN(1+Supuestos!$E$8^2/Supuestos!$D$8^2)/2,SQRT(LN(1+Supuestos!$E$8^2/Supuestos!$D$8^2))),Supuestos!$D$8))))))</f>
        <v/>
      </c>
      <c r="M417" s="32">
        <f>MIN(IF(Supuestos!$H$9="",1E+99,Supuestos!$H$9),MAX(IF(Supuestos!$G$9="",-1E+99,Supuestos!$G$9),IF(Supuestos!$C$9="Normal",NORMINV(F417,Supuestos!$D$9,Supuestos!$E$9),IF(Supuestos!$C$9="Triangular",IF(F417&lt;(Supuestos!$E$9-Supuestos!$D$9)/(Supuestos!$F$9-Supuestos!$D$9),Supuestos!$D$9+SQRT(F417*(Supuestos!$F$9-Supuestos!$D$9)*(Supuestos!$E$9-Supuestos!$D$9)),Supuestos!$F$9-SQRT((1-F417)*(Supuestos!$F$9-Supuestos!$D$9)*(Supuestos!$F$9-Supuestos!$E$9))),IF(Supuestos!$C$9="Uniforme",Supuestos!$D$9+F417*(Supuestos!$E$9-Supuestos!$D$9),IF(Supuestos!$C$9="Lognormal",LOGINV(F417,LN(Supuestos!$D$9)-LN(1+Supuestos!$E$9^2/Supuestos!$D$9^2)/2,SQRT(LN(1+Supuestos!$E$9^2/Supuestos!$D$9^2))),Supuestos!$D$9))))))</f>
        <v/>
      </c>
      <c r="N417" s="32">
        <f>MIN(IF(Supuestos!$H$10="",1E+99,Supuestos!$H$10),MAX(IF(Supuestos!$G$10="",-1E+99,Supuestos!$G$10),IF(Supuestos!$C$10="Normal",NORMINV(G417,Supuestos!$D$10,Supuestos!$E$10),IF(Supuestos!$C$10="Triangular",IF(G417&lt;(Supuestos!$E$10-Supuestos!$D$10)/(Supuestos!$F$10-Supuestos!$D$10),Supuestos!$D$10+SQRT(G417*(Supuestos!$F$10-Supuestos!$D$10)*(Supuestos!$E$10-Supuestos!$D$10)),Supuestos!$F$10-SQRT((1-G417)*(Supuestos!$F$10-Supuestos!$D$10)*(Supuestos!$F$10-Supuestos!$E$10))),IF(Supuestos!$C$10="Uniforme",Supuestos!$D$10+G417*(Supuestos!$E$10-Supuestos!$D$10),IF(Supuestos!$C$10="Lognormal",LOGINV(G417,LN(Supuestos!$D$10)-LN(1+Supuestos!$E$10^2/Supuestos!$D$10^2)/2,SQRT(LN(1+Supuestos!$E$10^2/Supuestos!$D$10^2))),Supuestos!$D$10))))))</f>
        <v/>
      </c>
      <c r="O417" s="31">
        <f>MIN(IF(Supuestos!$H$11="",1E+99,Supuestos!$H$11),MAX(IF(Supuestos!$G$11="",-1E+99,Supuestos!$G$11),IF(Supuestos!$C$11="Normal",NORMINV(H417,Supuestos!$D$11,Supuestos!$E$11),IF(Supuestos!$C$11="Triangular",IF(H417&lt;(Supuestos!$E$11-Supuestos!$D$11)/(Supuestos!$F$11-Supuestos!$D$11),Supuestos!$D$11+SQRT(H417*(Supuestos!$F$11-Supuestos!$D$11)*(Supuestos!$E$11-Supuestos!$D$11)),Supuestos!$F$11-SQRT((1-H417)*(Supuestos!$F$11-Supuestos!$D$11)*(Supuestos!$F$11-Supuestos!$E$11))),IF(Supuestos!$C$11="Uniforme",Supuestos!$D$11+H417*(Supuestos!$E$11-Supuestos!$D$11),IF(Supuestos!$C$11="Lognormal",LOGINV(H417,LN(Supuestos!$D$11)-LN(1+Supuestos!$E$11^2/Supuestos!$D$11^2)/2,SQRT(LN(1+Supuestos!$E$11^2/Supuestos!$D$11^2))),Supuestos!$D$11))))))</f>
        <v/>
      </c>
      <c r="P417" s="33">
        <f>-I417</f>
        <v/>
      </c>
      <c r="Q417" s="33">
        <f>$J417*(1+$K417)^(1-1)*(1-$L417)*(1-$M417)</f>
        <v/>
      </c>
      <c r="R417" s="33">
        <f>$J417*(1+$K417)^(2-1)*(1-$L417)*(1-$M417)</f>
        <v/>
      </c>
      <c r="S417" s="33">
        <f>$J417*(1+$K417)^(3-1)*(1-$L417)*(1-$M417)</f>
        <v/>
      </c>
      <c r="T417" s="33">
        <f>$J417*(1+$K417)^(4-1)*(1-$L417)*(1-$M417)</f>
        <v/>
      </c>
      <c r="U417" s="33">
        <f>$J417*(1+$K417)^(5-1)*(1-$L417)*(1-$M417)+$O417</f>
        <v/>
      </c>
      <c r="V417" s="33">
        <f>P417+NPV($N417,Q417:U417)</f>
        <v/>
      </c>
      <c r="W417" s="32">
        <f>IFERROR(IRR(P417:U417,0.1),"")</f>
        <v/>
      </c>
    </row>
    <row r="418">
      <c r="A418" s="14" t="n">
        <v>414</v>
      </c>
      <c r="B418" s="30">
        <f>RAND()*(1-2E-6)+1E-6</f>
        <v/>
      </c>
      <c r="C418" s="30">
        <f>RAND()*(1-2E-6)+1E-6</f>
        <v/>
      </c>
      <c r="D418" s="30">
        <f>RAND()*(1-2E-6)+1E-6</f>
        <v/>
      </c>
      <c r="E418" s="30">
        <f>RAND()*(1-2E-6)+1E-6</f>
        <v/>
      </c>
      <c r="F418" s="30">
        <f>RAND()*(1-2E-6)+1E-6</f>
        <v/>
      </c>
      <c r="G418" s="30">
        <f>RAND()*(1-2E-6)+1E-6</f>
        <v/>
      </c>
      <c r="H418" s="30">
        <f>RAND()*(1-2E-6)+1E-6</f>
        <v/>
      </c>
      <c r="I418" s="31">
        <f>MIN(IF(Supuestos!$H$5="",1E+99,Supuestos!$H$5),MAX(IF(Supuestos!$G$5="",-1E+99,Supuestos!$G$5),IF(Supuestos!$C$5="Normal",NORMINV(B418,Supuestos!$D$5,Supuestos!$E$5),IF(Supuestos!$C$5="Triangular",IF(B418&lt;(Supuestos!$E$5-Supuestos!$D$5)/(Supuestos!$F$5-Supuestos!$D$5),Supuestos!$D$5+SQRT(B418*(Supuestos!$F$5-Supuestos!$D$5)*(Supuestos!$E$5-Supuestos!$D$5)),Supuestos!$F$5-SQRT((1-B418)*(Supuestos!$F$5-Supuestos!$D$5)*(Supuestos!$F$5-Supuestos!$E$5))),IF(Supuestos!$C$5="Uniforme",Supuestos!$D$5+B418*(Supuestos!$E$5-Supuestos!$D$5),IF(Supuestos!$C$5="Lognormal",LOGINV(B418,LN(Supuestos!$D$5)-LN(1+Supuestos!$E$5^2/Supuestos!$D$5^2)/2,SQRT(LN(1+Supuestos!$E$5^2/Supuestos!$D$5^2))),Supuestos!$D$5))))))</f>
        <v/>
      </c>
      <c r="J418" s="31">
        <f>MIN(IF(Supuestos!$H$6="",1E+99,Supuestos!$H$6),MAX(IF(Supuestos!$G$6="",-1E+99,Supuestos!$G$6),IF(Supuestos!$C$6="Normal",NORMINV(C418,Supuestos!$D$6,Supuestos!$E$6),IF(Supuestos!$C$6="Triangular",IF(C418&lt;(Supuestos!$E$6-Supuestos!$D$6)/(Supuestos!$F$6-Supuestos!$D$6),Supuestos!$D$6+SQRT(C418*(Supuestos!$F$6-Supuestos!$D$6)*(Supuestos!$E$6-Supuestos!$D$6)),Supuestos!$F$6-SQRT((1-C418)*(Supuestos!$F$6-Supuestos!$D$6)*(Supuestos!$F$6-Supuestos!$E$6))),IF(Supuestos!$C$6="Uniforme",Supuestos!$D$6+C418*(Supuestos!$E$6-Supuestos!$D$6),IF(Supuestos!$C$6="Lognormal",LOGINV(C418,LN(Supuestos!$D$6)-LN(1+Supuestos!$E$6^2/Supuestos!$D$6^2)/2,SQRT(LN(1+Supuestos!$E$6^2/Supuestos!$D$6^2))),Supuestos!$D$6))))))</f>
        <v/>
      </c>
      <c r="K418" s="32">
        <f>MIN(IF(Supuestos!$H$7="",1E+99,Supuestos!$H$7),MAX(IF(Supuestos!$G$7="",-1E+99,Supuestos!$G$7),IF(Supuestos!$C$7="Normal",NORMINV(D418,Supuestos!$D$7,Supuestos!$E$7),IF(Supuestos!$C$7="Triangular",IF(D418&lt;(Supuestos!$E$7-Supuestos!$D$7)/(Supuestos!$F$7-Supuestos!$D$7),Supuestos!$D$7+SQRT(D418*(Supuestos!$F$7-Supuestos!$D$7)*(Supuestos!$E$7-Supuestos!$D$7)),Supuestos!$F$7-SQRT((1-D418)*(Supuestos!$F$7-Supuestos!$D$7)*(Supuestos!$F$7-Supuestos!$E$7))),IF(Supuestos!$C$7="Uniforme",Supuestos!$D$7+D418*(Supuestos!$E$7-Supuestos!$D$7),IF(Supuestos!$C$7="Lognormal",LOGINV(D418,LN(Supuestos!$D$7)-LN(1+Supuestos!$E$7^2/Supuestos!$D$7^2)/2,SQRT(LN(1+Supuestos!$E$7^2/Supuestos!$D$7^2))),Supuestos!$D$7))))))</f>
        <v/>
      </c>
      <c r="L418" s="32">
        <f>MIN(IF(Supuestos!$H$8="",1E+99,Supuestos!$H$8),MAX(IF(Supuestos!$G$8="",-1E+99,Supuestos!$G$8),IF(Supuestos!$C$8="Normal",NORMINV(E418,Supuestos!$D$8,Supuestos!$E$8),IF(Supuestos!$C$8="Triangular",IF(E418&lt;(Supuestos!$E$8-Supuestos!$D$8)/(Supuestos!$F$8-Supuestos!$D$8),Supuestos!$D$8+SQRT(E418*(Supuestos!$F$8-Supuestos!$D$8)*(Supuestos!$E$8-Supuestos!$D$8)),Supuestos!$F$8-SQRT((1-E418)*(Supuestos!$F$8-Supuestos!$D$8)*(Supuestos!$F$8-Supuestos!$E$8))),IF(Supuestos!$C$8="Uniforme",Supuestos!$D$8+E418*(Supuestos!$E$8-Supuestos!$D$8),IF(Supuestos!$C$8="Lognormal",LOGINV(E418,LN(Supuestos!$D$8)-LN(1+Supuestos!$E$8^2/Supuestos!$D$8^2)/2,SQRT(LN(1+Supuestos!$E$8^2/Supuestos!$D$8^2))),Supuestos!$D$8))))))</f>
        <v/>
      </c>
      <c r="M418" s="32">
        <f>MIN(IF(Supuestos!$H$9="",1E+99,Supuestos!$H$9),MAX(IF(Supuestos!$G$9="",-1E+99,Supuestos!$G$9),IF(Supuestos!$C$9="Normal",NORMINV(F418,Supuestos!$D$9,Supuestos!$E$9),IF(Supuestos!$C$9="Triangular",IF(F418&lt;(Supuestos!$E$9-Supuestos!$D$9)/(Supuestos!$F$9-Supuestos!$D$9),Supuestos!$D$9+SQRT(F418*(Supuestos!$F$9-Supuestos!$D$9)*(Supuestos!$E$9-Supuestos!$D$9)),Supuestos!$F$9-SQRT((1-F418)*(Supuestos!$F$9-Supuestos!$D$9)*(Supuestos!$F$9-Supuestos!$E$9))),IF(Supuestos!$C$9="Uniforme",Supuestos!$D$9+F418*(Supuestos!$E$9-Supuestos!$D$9),IF(Supuestos!$C$9="Lognormal",LOGINV(F418,LN(Supuestos!$D$9)-LN(1+Supuestos!$E$9^2/Supuestos!$D$9^2)/2,SQRT(LN(1+Supuestos!$E$9^2/Supuestos!$D$9^2))),Supuestos!$D$9))))))</f>
        <v/>
      </c>
      <c r="N418" s="32">
        <f>MIN(IF(Supuestos!$H$10="",1E+99,Supuestos!$H$10),MAX(IF(Supuestos!$G$10="",-1E+99,Supuestos!$G$10),IF(Supuestos!$C$10="Normal",NORMINV(G418,Supuestos!$D$10,Supuestos!$E$10),IF(Supuestos!$C$10="Triangular",IF(G418&lt;(Supuestos!$E$10-Supuestos!$D$10)/(Supuestos!$F$10-Supuestos!$D$10),Supuestos!$D$10+SQRT(G418*(Supuestos!$F$10-Supuestos!$D$10)*(Supuestos!$E$10-Supuestos!$D$10)),Supuestos!$F$10-SQRT((1-G418)*(Supuestos!$F$10-Supuestos!$D$10)*(Supuestos!$F$10-Supuestos!$E$10))),IF(Supuestos!$C$10="Uniforme",Supuestos!$D$10+G418*(Supuestos!$E$10-Supuestos!$D$10),IF(Supuestos!$C$10="Lognormal",LOGINV(G418,LN(Supuestos!$D$10)-LN(1+Supuestos!$E$10^2/Supuestos!$D$10^2)/2,SQRT(LN(1+Supuestos!$E$10^2/Supuestos!$D$10^2))),Supuestos!$D$10))))))</f>
        <v/>
      </c>
      <c r="O418" s="31">
        <f>MIN(IF(Supuestos!$H$11="",1E+99,Supuestos!$H$11),MAX(IF(Supuestos!$G$11="",-1E+99,Supuestos!$G$11),IF(Supuestos!$C$11="Normal",NORMINV(H418,Supuestos!$D$11,Supuestos!$E$11),IF(Supuestos!$C$11="Triangular",IF(H418&lt;(Supuestos!$E$11-Supuestos!$D$11)/(Supuestos!$F$11-Supuestos!$D$11),Supuestos!$D$11+SQRT(H418*(Supuestos!$F$11-Supuestos!$D$11)*(Supuestos!$E$11-Supuestos!$D$11)),Supuestos!$F$11-SQRT((1-H418)*(Supuestos!$F$11-Supuestos!$D$11)*(Supuestos!$F$11-Supuestos!$E$11))),IF(Supuestos!$C$11="Uniforme",Supuestos!$D$11+H418*(Supuestos!$E$11-Supuestos!$D$11),IF(Supuestos!$C$11="Lognormal",LOGINV(H418,LN(Supuestos!$D$11)-LN(1+Supuestos!$E$11^2/Supuestos!$D$11^2)/2,SQRT(LN(1+Supuestos!$E$11^2/Supuestos!$D$11^2))),Supuestos!$D$11))))))</f>
        <v/>
      </c>
      <c r="P418" s="33">
        <f>-I418</f>
        <v/>
      </c>
      <c r="Q418" s="33">
        <f>$J418*(1+$K418)^(1-1)*(1-$L418)*(1-$M418)</f>
        <v/>
      </c>
      <c r="R418" s="33">
        <f>$J418*(1+$K418)^(2-1)*(1-$L418)*(1-$M418)</f>
        <v/>
      </c>
      <c r="S418" s="33">
        <f>$J418*(1+$K418)^(3-1)*(1-$L418)*(1-$M418)</f>
        <v/>
      </c>
      <c r="T418" s="33">
        <f>$J418*(1+$K418)^(4-1)*(1-$L418)*(1-$M418)</f>
        <v/>
      </c>
      <c r="U418" s="33">
        <f>$J418*(1+$K418)^(5-1)*(1-$L418)*(1-$M418)+$O418</f>
        <v/>
      </c>
      <c r="V418" s="33">
        <f>P418+NPV($N418,Q418:U418)</f>
        <v/>
      </c>
      <c r="W418" s="32">
        <f>IFERROR(IRR(P418:U418,0.1),"")</f>
        <v/>
      </c>
    </row>
    <row r="419">
      <c r="A419" s="14" t="n">
        <v>415</v>
      </c>
      <c r="B419" s="30">
        <f>RAND()*(1-2E-6)+1E-6</f>
        <v/>
      </c>
      <c r="C419" s="30">
        <f>RAND()*(1-2E-6)+1E-6</f>
        <v/>
      </c>
      <c r="D419" s="30">
        <f>RAND()*(1-2E-6)+1E-6</f>
        <v/>
      </c>
      <c r="E419" s="30">
        <f>RAND()*(1-2E-6)+1E-6</f>
        <v/>
      </c>
      <c r="F419" s="30">
        <f>RAND()*(1-2E-6)+1E-6</f>
        <v/>
      </c>
      <c r="G419" s="30">
        <f>RAND()*(1-2E-6)+1E-6</f>
        <v/>
      </c>
      <c r="H419" s="30">
        <f>RAND()*(1-2E-6)+1E-6</f>
        <v/>
      </c>
      <c r="I419" s="31">
        <f>MIN(IF(Supuestos!$H$5="",1E+99,Supuestos!$H$5),MAX(IF(Supuestos!$G$5="",-1E+99,Supuestos!$G$5),IF(Supuestos!$C$5="Normal",NORMINV(B419,Supuestos!$D$5,Supuestos!$E$5),IF(Supuestos!$C$5="Triangular",IF(B419&lt;(Supuestos!$E$5-Supuestos!$D$5)/(Supuestos!$F$5-Supuestos!$D$5),Supuestos!$D$5+SQRT(B419*(Supuestos!$F$5-Supuestos!$D$5)*(Supuestos!$E$5-Supuestos!$D$5)),Supuestos!$F$5-SQRT((1-B419)*(Supuestos!$F$5-Supuestos!$D$5)*(Supuestos!$F$5-Supuestos!$E$5))),IF(Supuestos!$C$5="Uniforme",Supuestos!$D$5+B419*(Supuestos!$E$5-Supuestos!$D$5),IF(Supuestos!$C$5="Lognormal",LOGINV(B419,LN(Supuestos!$D$5)-LN(1+Supuestos!$E$5^2/Supuestos!$D$5^2)/2,SQRT(LN(1+Supuestos!$E$5^2/Supuestos!$D$5^2))),Supuestos!$D$5))))))</f>
        <v/>
      </c>
      <c r="J419" s="31">
        <f>MIN(IF(Supuestos!$H$6="",1E+99,Supuestos!$H$6),MAX(IF(Supuestos!$G$6="",-1E+99,Supuestos!$G$6),IF(Supuestos!$C$6="Normal",NORMINV(C419,Supuestos!$D$6,Supuestos!$E$6),IF(Supuestos!$C$6="Triangular",IF(C419&lt;(Supuestos!$E$6-Supuestos!$D$6)/(Supuestos!$F$6-Supuestos!$D$6),Supuestos!$D$6+SQRT(C419*(Supuestos!$F$6-Supuestos!$D$6)*(Supuestos!$E$6-Supuestos!$D$6)),Supuestos!$F$6-SQRT((1-C419)*(Supuestos!$F$6-Supuestos!$D$6)*(Supuestos!$F$6-Supuestos!$E$6))),IF(Supuestos!$C$6="Uniforme",Supuestos!$D$6+C419*(Supuestos!$E$6-Supuestos!$D$6),IF(Supuestos!$C$6="Lognormal",LOGINV(C419,LN(Supuestos!$D$6)-LN(1+Supuestos!$E$6^2/Supuestos!$D$6^2)/2,SQRT(LN(1+Supuestos!$E$6^2/Supuestos!$D$6^2))),Supuestos!$D$6))))))</f>
        <v/>
      </c>
      <c r="K419" s="32">
        <f>MIN(IF(Supuestos!$H$7="",1E+99,Supuestos!$H$7),MAX(IF(Supuestos!$G$7="",-1E+99,Supuestos!$G$7),IF(Supuestos!$C$7="Normal",NORMINV(D419,Supuestos!$D$7,Supuestos!$E$7),IF(Supuestos!$C$7="Triangular",IF(D419&lt;(Supuestos!$E$7-Supuestos!$D$7)/(Supuestos!$F$7-Supuestos!$D$7),Supuestos!$D$7+SQRT(D419*(Supuestos!$F$7-Supuestos!$D$7)*(Supuestos!$E$7-Supuestos!$D$7)),Supuestos!$F$7-SQRT((1-D419)*(Supuestos!$F$7-Supuestos!$D$7)*(Supuestos!$F$7-Supuestos!$E$7))),IF(Supuestos!$C$7="Uniforme",Supuestos!$D$7+D419*(Supuestos!$E$7-Supuestos!$D$7),IF(Supuestos!$C$7="Lognormal",LOGINV(D419,LN(Supuestos!$D$7)-LN(1+Supuestos!$E$7^2/Supuestos!$D$7^2)/2,SQRT(LN(1+Supuestos!$E$7^2/Supuestos!$D$7^2))),Supuestos!$D$7))))))</f>
        <v/>
      </c>
      <c r="L419" s="32">
        <f>MIN(IF(Supuestos!$H$8="",1E+99,Supuestos!$H$8),MAX(IF(Supuestos!$G$8="",-1E+99,Supuestos!$G$8),IF(Supuestos!$C$8="Normal",NORMINV(E419,Supuestos!$D$8,Supuestos!$E$8),IF(Supuestos!$C$8="Triangular",IF(E419&lt;(Supuestos!$E$8-Supuestos!$D$8)/(Supuestos!$F$8-Supuestos!$D$8),Supuestos!$D$8+SQRT(E419*(Supuestos!$F$8-Supuestos!$D$8)*(Supuestos!$E$8-Supuestos!$D$8)),Supuestos!$F$8-SQRT((1-E419)*(Supuestos!$F$8-Supuestos!$D$8)*(Supuestos!$F$8-Supuestos!$E$8))),IF(Supuestos!$C$8="Uniforme",Supuestos!$D$8+E419*(Supuestos!$E$8-Supuestos!$D$8),IF(Supuestos!$C$8="Lognormal",LOGINV(E419,LN(Supuestos!$D$8)-LN(1+Supuestos!$E$8^2/Supuestos!$D$8^2)/2,SQRT(LN(1+Supuestos!$E$8^2/Supuestos!$D$8^2))),Supuestos!$D$8))))))</f>
        <v/>
      </c>
      <c r="M419" s="32">
        <f>MIN(IF(Supuestos!$H$9="",1E+99,Supuestos!$H$9),MAX(IF(Supuestos!$G$9="",-1E+99,Supuestos!$G$9),IF(Supuestos!$C$9="Normal",NORMINV(F419,Supuestos!$D$9,Supuestos!$E$9),IF(Supuestos!$C$9="Triangular",IF(F419&lt;(Supuestos!$E$9-Supuestos!$D$9)/(Supuestos!$F$9-Supuestos!$D$9),Supuestos!$D$9+SQRT(F419*(Supuestos!$F$9-Supuestos!$D$9)*(Supuestos!$E$9-Supuestos!$D$9)),Supuestos!$F$9-SQRT((1-F419)*(Supuestos!$F$9-Supuestos!$D$9)*(Supuestos!$F$9-Supuestos!$E$9))),IF(Supuestos!$C$9="Uniforme",Supuestos!$D$9+F419*(Supuestos!$E$9-Supuestos!$D$9),IF(Supuestos!$C$9="Lognormal",LOGINV(F419,LN(Supuestos!$D$9)-LN(1+Supuestos!$E$9^2/Supuestos!$D$9^2)/2,SQRT(LN(1+Supuestos!$E$9^2/Supuestos!$D$9^2))),Supuestos!$D$9))))))</f>
        <v/>
      </c>
      <c r="N419" s="32">
        <f>MIN(IF(Supuestos!$H$10="",1E+99,Supuestos!$H$10),MAX(IF(Supuestos!$G$10="",-1E+99,Supuestos!$G$10),IF(Supuestos!$C$10="Normal",NORMINV(G419,Supuestos!$D$10,Supuestos!$E$10),IF(Supuestos!$C$10="Triangular",IF(G419&lt;(Supuestos!$E$10-Supuestos!$D$10)/(Supuestos!$F$10-Supuestos!$D$10),Supuestos!$D$10+SQRT(G419*(Supuestos!$F$10-Supuestos!$D$10)*(Supuestos!$E$10-Supuestos!$D$10)),Supuestos!$F$10-SQRT((1-G419)*(Supuestos!$F$10-Supuestos!$D$10)*(Supuestos!$F$10-Supuestos!$E$10))),IF(Supuestos!$C$10="Uniforme",Supuestos!$D$10+G419*(Supuestos!$E$10-Supuestos!$D$10),IF(Supuestos!$C$10="Lognormal",LOGINV(G419,LN(Supuestos!$D$10)-LN(1+Supuestos!$E$10^2/Supuestos!$D$10^2)/2,SQRT(LN(1+Supuestos!$E$10^2/Supuestos!$D$10^2))),Supuestos!$D$10))))))</f>
        <v/>
      </c>
      <c r="O419" s="31">
        <f>MIN(IF(Supuestos!$H$11="",1E+99,Supuestos!$H$11),MAX(IF(Supuestos!$G$11="",-1E+99,Supuestos!$G$11),IF(Supuestos!$C$11="Normal",NORMINV(H419,Supuestos!$D$11,Supuestos!$E$11),IF(Supuestos!$C$11="Triangular",IF(H419&lt;(Supuestos!$E$11-Supuestos!$D$11)/(Supuestos!$F$11-Supuestos!$D$11),Supuestos!$D$11+SQRT(H419*(Supuestos!$F$11-Supuestos!$D$11)*(Supuestos!$E$11-Supuestos!$D$11)),Supuestos!$F$11-SQRT((1-H419)*(Supuestos!$F$11-Supuestos!$D$11)*(Supuestos!$F$11-Supuestos!$E$11))),IF(Supuestos!$C$11="Uniforme",Supuestos!$D$11+H419*(Supuestos!$E$11-Supuestos!$D$11),IF(Supuestos!$C$11="Lognormal",LOGINV(H419,LN(Supuestos!$D$11)-LN(1+Supuestos!$E$11^2/Supuestos!$D$11^2)/2,SQRT(LN(1+Supuestos!$E$11^2/Supuestos!$D$11^2))),Supuestos!$D$11))))))</f>
        <v/>
      </c>
      <c r="P419" s="33">
        <f>-I419</f>
        <v/>
      </c>
      <c r="Q419" s="33">
        <f>$J419*(1+$K419)^(1-1)*(1-$L419)*(1-$M419)</f>
        <v/>
      </c>
      <c r="R419" s="33">
        <f>$J419*(1+$K419)^(2-1)*(1-$L419)*(1-$M419)</f>
        <v/>
      </c>
      <c r="S419" s="33">
        <f>$J419*(1+$K419)^(3-1)*(1-$L419)*(1-$M419)</f>
        <v/>
      </c>
      <c r="T419" s="33">
        <f>$J419*(1+$K419)^(4-1)*(1-$L419)*(1-$M419)</f>
        <v/>
      </c>
      <c r="U419" s="33">
        <f>$J419*(1+$K419)^(5-1)*(1-$L419)*(1-$M419)+$O419</f>
        <v/>
      </c>
      <c r="V419" s="33">
        <f>P419+NPV($N419,Q419:U419)</f>
        <v/>
      </c>
      <c r="W419" s="32">
        <f>IFERROR(IRR(P419:U419,0.1),"")</f>
        <v/>
      </c>
    </row>
    <row r="420">
      <c r="A420" s="14" t="n">
        <v>416</v>
      </c>
      <c r="B420" s="30">
        <f>RAND()*(1-2E-6)+1E-6</f>
        <v/>
      </c>
      <c r="C420" s="30">
        <f>RAND()*(1-2E-6)+1E-6</f>
        <v/>
      </c>
      <c r="D420" s="30">
        <f>RAND()*(1-2E-6)+1E-6</f>
        <v/>
      </c>
      <c r="E420" s="30">
        <f>RAND()*(1-2E-6)+1E-6</f>
        <v/>
      </c>
      <c r="F420" s="30">
        <f>RAND()*(1-2E-6)+1E-6</f>
        <v/>
      </c>
      <c r="G420" s="30">
        <f>RAND()*(1-2E-6)+1E-6</f>
        <v/>
      </c>
      <c r="H420" s="30">
        <f>RAND()*(1-2E-6)+1E-6</f>
        <v/>
      </c>
      <c r="I420" s="31">
        <f>MIN(IF(Supuestos!$H$5="",1E+99,Supuestos!$H$5),MAX(IF(Supuestos!$G$5="",-1E+99,Supuestos!$G$5),IF(Supuestos!$C$5="Normal",NORMINV(B420,Supuestos!$D$5,Supuestos!$E$5),IF(Supuestos!$C$5="Triangular",IF(B420&lt;(Supuestos!$E$5-Supuestos!$D$5)/(Supuestos!$F$5-Supuestos!$D$5),Supuestos!$D$5+SQRT(B420*(Supuestos!$F$5-Supuestos!$D$5)*(Supuestos!$E$5-Supuestos!$D$5)),Supuestos!$F$5-SQRT((1-B420)*(Supuestos!$F$5-Supuestos!$D$5)*(Supuestos!$F$5-Supuestos!$E$5))),IF(Supuestos!$C$5="Uniforme",Supuestos!$D$5+B420*(Supuestos!$E$5-Supuestos!$D$5),IF(Supuestos!$C$5="Lognormal",LOGINV(B420,LN(Supuestos!$D$5)-LN(1+Supuestos!$E$5^2/Supuestos!$D$5^2)/2,SQRT(LN(1+Supuestos!$E$5^2/Supuestos!$D$5^2))),Supuestos!$D$5))))))</f>
        <v/>
      </c>
      <c r="J420" s="31">
        <f>MIN(IF(Supuestos!$H$6="",1E+99,Supuestos!$H$6),MAX(IF(Supuestos!$G$6="",-1E+99,Supuestos!$G$6),IF(Supuestos!$C$6="Normal",NORMINV(C420,Supuestos!$D$6,Supuestos!$E$6),IF(Supuestos!$C$6="Triangular",IF(C420&lt;(Supuestos!$E$6-Supuestos!$D$6)/(Supuestos!$F$6-Supuestos!$D$6),Supuestos!$D$6+SQRT(C420*(Supuestos!$F$6-Supuestos!$D$6)*(Supuestos!$E$6-Supuestos!$D$6)),Supuestos!$F$6-SQRT((1-C420)*(Supuestos!$F$6-Supuestos!$D$6)*(Supuestos!$F$6-Supuestos!$E$6))),IF(Supuestos!$C$6="Uniforme",Supuestos!$D$6+C420*(Supuestos!$E$6-Supuestos!$D$6),IF(Supuestos!$C$6="Lognormal",LOGINV(C420,LN(Supuestos!$D$6)-LN(1+Supuestos!$E$6^2/Supuestos!$D$6^2)/2,SQRT(LN(1+Supuestos!$E$6^2/Supuestos!$D$6^2))),Supuestos!$D$6))))))</f>
        <v/>
      </c>
      <c r="K420" s="32">
        <f>MIN(IF(Supuestos!$H$7="",1E+99,Supuestos!$H$7),MAX(IF(Supuestos!$G$7="",-1E+99,Supuestos!$G$7),IF(Supuestos!$C$7="Normal",NORMINV(D420,Supuestos!$D$7,Supuestos!$E$7),IF(Supuestos!$C$7="Triangular",IF(D420&lt;(Supuestos!$E$7-Supuestos!$D$7)/(Supuestos!$F$7-Supuestos!$D$7),Supuestos!$D$7+SQRT(D420*(Supuestos!$F$7-Supuestos!$D$7)*(Supuestos!$E$7-Supuestos!$D$7)),Supuestos!$F$7-SQRT((1-D420)*(Supuestos!$F$7-Supuestos!$D$7)*(Supuestos!$F$7-Supuestos!$E$7))),IF(Supuestos!$C$7="Uniforme",Supuestos!$D$7+D420*(Supuestos!$E$7-Supuestos!$D$7),IF(Supuestos!$C$7="Lognormal",LOGINV(D420,LN(Supuestos!$D$7)-LN(1+Supuestos!$E$7^2/Supuestos!$D$7^2)/2,SQRT(LN(1+Supuestos!$E$7^2/Supuestos!$D$7^2))),Supuestos!$D$7))))))</f>
        <v/>
      </c>
      <c r="L420" s="32">
        <f>MIN(IF(Supuestos!$H$8="",1E+99,Supuestos!$H$8),MAX(IF(Supuestos!$G$8="",-1E+99,Supuestos!$G$8),IF(Supuestos!$C$8="Normal",NORMINV(E420,Supuestos!$D$8,Supuestos!$E$8),IF(Supuestos!$C$8="Triangular",IF(E420&lt;(Supuestos!$E$8-Supuestos!$D$8)/(Supuestos!$F$8-Supuestos!$D$8),Supuestos!$D$8+SQRT(E420*(Supuestos!$F$8-Supuestos!$D$8)*(Supuestos!$E$8-Supuestos!$D$8)),Supuestos!$F$8-SQRT((1-E420)*(Supuestos!$F$8-Supuestos!$D$8)*(Supuestos!$F$8-Supuestos!$E$8))),IF(Supuestos!$C$8="Uniforme",Supuestos!$D$8+E420*(Supuestos!$E$8-Supuestos!$D$8),IF(Supuestos!$C$8="Lognormal",LOGINV(E420,LN(Supuestos!$D$8)-LN(1+Supuestos!$E$8^2/Supuestos!$D$8^2)/2,SQRT(LN(1+Supuestos!$E$8^2/Supuestos!$D$8^2))),Supuestos!$D$8))))))</f>
        <v/>
      </c>
      <c r="M420" s="32">
        <f>MIN(IF(Supuestos!$H$9="",1E+99,Supuestos!$H$9),MAX(IF(Supuestos!$G$9="",-1E+99,Supuestos!$G$9),IF(Supuestos!$C$9="Normal",NORMINV(F420,Supuestos!$D$9,Supuestos!$E$9),IF(Supuestos!$C$9="Triangular",IF(F420&lt;(Supuestos!$E$9-Supuestos!$D$9)/(Supuestos!$F$9-Supuestos!$D$9),Supuestos!$D$9+SQRT(F420*(Supuestos!$F$9-Supuestos!$D$9)*(Supuestos!$E$9-Supuestos!$D$9)),Supuestos!$F$9-SQRT((1-F420)*(Supuestos!$F$9-Supuestos!$D$9)*(Supuestos!$F$9-Supuestos!$E$9))),IF(Supuestos!$C$9="Uniforme",Supuestos!$D$9+F420*(Supuestos!$E$9-Supuestos!$D$9),IF(Supuestos!$C$9="Lognormal",LOGINV(F420,LN(Supuestos!$D$9)-LN(1+Supuestos!$E$9^2/Supuestos!$D$9^2)/2,SQRT(LN(1+Supuestos!$E$9^2/Supuestos!$D$9^2))),Supuestos!$D$9))))))</f>
        <v/>
      </c>
      <c r="N420" s="32">
        <f>MIN(IF(Supuestos!$H$10="",1E+99,Supuestos!$H$10),MAX(IF(Supuestos!$G$10="",-1E+99,Supuestos!$G$10),IF(Supuestos!$C$10="Normal",NORMINV(G420,Supuestos!$D$10,Supuestos!$E$10),IF(Supuestos!$C$10="Triangular",IF(G420&lt;(Supuestos!$E$10-Supuestos!$D$10)/(Supuestos!$F$10-Supuestos!$D$10),Supuestos!$D$10+SQRT(G420*(Supuestos!$F$10-Supuestos!$D$10)*(Supuestos!$E$10-Supuestos!$D$10)),Supuestos!$F$10-SQRT((1-G420)*(Supuestos!$F$10-Supuestos!$D$10)*(Supuestos!$F$10-Supuestos!$E$10))),IF(Supuestos!$C$10="Uniforme",Supuestos!$D$10+G420*(Supuestos!$E$10-Supuestos!$D$10),IF(Supuestos!$C$10="Lognormal",LOGINV(G420,LN(Supuestos!$D$10)-LN(1+Supuestos!$E$10^2/Supuestos!$D$10^2)/2,SQRT(LN(1+Supuestos!$E$10^2/Supuestos!$D$10^2))),Supuestos!$D$10))))))</f>
        <v/>
      </c>
      <c r="O420" s="31">
        <f>MIN(IF(Supuestos!$H$11="",1E+99,Supuestos!$H$11),MAX(IF(Supuestos!$G$11="",-1E+99,Supuestos!$G$11),IF(Supuestos!$C$11="Normal",NORMINV(H420,Supuestos!$D$11,Supuestos!$E$11),IF(Supuestos!$C$11="Triangular",IF(H420&lt;(Supuestos!$E$11-Supuestos!$D$11)/(Supuestos!$F$11-Supuestos!$D$11),Supuestos!$D$11+SQRT(H420*(Supuestos!$F$11-Supuestos!$D$11)*(Supuestos!$E$11-Supuestos!$D$11)),Supuestos!$F$11-SQRT((1-H420)*(Supuestos!$F$11-Supuestos!$D$11)*(Supuestos!$F$11-Supuestos!$E$11))),IF(Supuestos!$C$11="Uniforme",Supuestos!$D$11+H420*(Supuestos!$E$11-Supuestos!$D$11),IF(Supuestos!$C$11="Lognormal",LOGINV(H420,LN(Supuestos!$D$11)-LN(1+Supuestos!$E$11^2/Supuestos!$D$11^2)/2,SQRT(LN(1+Supuestos!$E$11^2/Supuestos!$D$11^2))),Supuestos!$D$11))))))</f>
        <v/>
      </c>
      <c r="P420" s="33">
        <f>-I420</f>
        <v/>
      </c>
      <c r="Q420" s="33">
        <f>$J420*(1+$K420)^(1-1)*(1-$L420)*(1-$M420)</f>
        <v/>
      </c>
      <c r="R420" s="33">
        <f>$J420*(1+$K420)^(2-1)*(1-$L420)*(1-$M420)</f>
        <v/>
      </c>
      <c r="S420" s="33">
        <f>$J420*(1+$K420)^(3-1)*(1-$L420)*(1-$M420)</f>
        <v/>
      </c>
      <c r="T420" s="33">
        <f>$J420*(1+$K420)^(4-1)*(1-$L420)*(1-$M420)</f>
        <v/>
      </c>
      <c r="U420" s="33">
        <f>$J420*(1+$K420)^(5-1)*(1-$L420)*(1-$M420)+$O420</f>
        <v/>
      </c>
      <c r="V420" s="33">
        <f>P420+NPV($N420,Q420:U420)</f>
        <v/>
      </c>
      <c r="W420" s="32">
        <f>IFERROR(IRR(P420:U420,0.1),"")</f>
        <v/>
      </c>
    </row>
    <row r="421">
      <c r="A421" s="14" t="n">
        <v>417</v>
      </c>
      <c r="B421" s="30">
        <f>RAND()*(1-2E-6)+1E-6</f>
        <v/>
      </c>
      <c r="C421" s="30">
        <f>RAND()*(1-2E-6)+1E-6</f>
        <v/>
      </c>
      <c r="D421" s="30">
        <f>RAND()*(1-2E-6)+1E-6</f>
        <v/>
      </c>
      <c r="E421" s="30">
        <f>RAND()*(1-2E-6)+1E-6</f>
        <v/>
      </c>
      <c r="F421" s="30">
        <f>RAND()*(1-2E-6)+1E-6</f>
        <v/>
      </c>
      <c r="G421" s="30">
        <f>RAND()*(1-2E-6)+1E-6</f>
        <v/>
      </c>
      <c r="H421" s="30">
        <f>RAND()*(1-2E-6)+1E-6</f>
        <v/>
      </c>
      <c r="I421" s="31">
        <f>MIN(IF(Supuestos!$H$5="",1E+99,Supuestos!$H$5),MAX(IF(Supuestos!$G$5="",-1E+99,Supuestos!$G$5),IF(Supuestos!$C$5="Normal",NORMINV(B421,Supuestos!$D$5,Supuestos!$E$5),IF(Supuestos!$C$5="Triangular",IF(B421&lt;(Supuestos!$E$5-Supuestos!$D$5)/(Supuestos!$F$5-Supuestos!$D$5),Supuestos!$D$5+SQRT(B421*(Supuestos!$F$5-Supuestos!$D$5)*(Supuestos!$E$5-Supuestos!$D$5)),Supuestos!$F$5-SQRT((1-B421)*(Supuestos!$F$5-Supuestos!$D$5)*(Supuestos!$F$5-Supuestos!$E$5))),IF(Supuestos!$C$5="Uniforme",Supuestos!$D$5+B421*(Supuestos!$E$5-Supuestos!$D$5),IF(Supuestos!$C$5="Lognormal",LOGINV(B421,LN(Supuestos!$D$5)-LN(1+Supuestos!$E$5^2/Supuestos!$D$5^2)/2,SQRT(LN(1+Supuestos!$E$5^2/Supuestos!$D$5^2))),Supuestos!$D$5))))))</f>
        <v/>
      </c>
      <c r="J421" s="31">
        <f>MIN(IF(Supuestos!$H$6="",1E+99,Supuestos!$H$6),MAX(IF(Supuestos!$G$6="",-1E+99,Supuestos!$G$6),IF(Supuestos!$C$6="Normal",NORMINV(C421,Supuestos!$D$6,Supuestos!$E$6),IF(Supuestos!$C$6="Triangular",IF(C421&lt;(Supuestos!$E$6-Supuestos!$D$6)/(Supuestos!$F$6-Supuestos!$D$6),Supuestos!$D$6+SQRT(C421*(Supuestos!$F$6-Supuestos!$D$6)*(Supuestos!$E$6-Supuestos!$D$6)),Supuestos!$F$6-SQRT((1-C421)*(Supuestos!$F$6-Supuestos!$D$6)*(Supuestos!$F$6-Supuestos!$E$6))),IF(Supuestos!$C$6="Uniforme",Supuestos!$D$6+C421*(Supuestos!$E$6-Supuestos!$D$6),IF(Supuestos!$C$6="Lognormal",LOGINV(C421,LN(Supuestos!$D$6)-LN(1+Supuestos!$E$6^2/Supuestos!$D$6^2)/2,SQRT(LN(1+Supuestos!$E$6^2/Supuestos!$D$6^2))),Supuestos!$D$6))))))</f>
        <v/>
      </c>
      <c r="K421" s="32">
        <f>MIN(IF(Supuestos!$H$7="",1E+99,Supuestos!$H$7),MAX(IF(Supuestos!$G$7="",-1E+99,Supuestos!$G$7),IF(Supuestos!$C$7="Normal",NORMINV(D421,Supuestos!$D$7,Supuestos!$E$7),IF(Supuestos!$C$7="Triangular",IF(D421&lt;(Supuestos!$E$7-Supuestos!$D$7)/(Supuestos!$F$7-Supuestos!$D$7),Supuestos!$D$7+SQRT(D421*(Supuestos!$F$7-Supuestos!$D$7)*(Supuestos!$E$7-Supuestos!$D$7)),Supuestos!$F$7-SQRT((1-D421)*(Supuestos!$F$7-Supuestos!$D$7)*(Supuestos!$F$7-Supuestos!$E$7))),IF(Supuestos!$C$7="Uniforme",Supuestos!$D$7+D421*(Supuestos!$E$7-Supuestos!$D$7),IF(Supuestos!$C$7="Lognormal",LOGINV(D421,LN(Supuestos!$D$7)-LN(1+Supuestos!$E$7^2/Supuestos!$D$7^2)/2,SQRT(LN(1+Supuestos!$E$7^2/Supuestos!$D$7^2))),Supuestos!$D$7))))))</f>
        <v/>
      </c>
      <c r="L421" s="32">
        <f>MIN(IF(Supuestos!$H$8="",1E+99,Supuestos!$H$8),MAX(IF(Supuestos!$G$8="",-1E+99,Supuestos!$G$8),IF(Supuestos!$C$8="Normal",NORMINV(E421,Supuestos!$D$8,Supuestos!$E$8),IF(Supuestos!$C$8="Triangular",IF(E421&lt;(Supuestos!$E$8-Supuestos!$D$8)/(Supuestos!$F$8-Supuestos!$D$8),Supuestos!$D$8+SQRT(E421*(Supuestos!$F$8-Supuestos!$D$8)*(Supuestos!$E$8-Supuestos!$D$8)),Supuestos!$F$8-SQRT((1-E421)*(Supuestos!$F$8-Supuestos!$D$8)*(Supuestos!$F$8-Supuestos!$E$8))),IF(Supuestos!$C$8="Uniforme",Supuestos!$D$8+E421*(Supuestos!$E$8-Supuestos!$D$8),IF(Supuestos!$C$8="Lognormal",LOGINV(E421,LN(Supuestos!$D$8)-LN(1+Supuestos!$E$8^2/Supuestos!$D$8^2)/2,SQRT(LN(1+Supuestos!$E$8^2/Supuestos!$D$8^2))),Supuestos!$D$8))))))</f>
        <v/>
      </c>
      <c r="M421" s="32">
        <f>MIN(IF(Supuestos!$H$9="",1E+99,Supuestos!$H$9),MAX(IF(Supuestos!$G$9="",-1E+99,Supuestos!$G$9),IF(Supuestos!$C$9="Normal",NORMINV(F421,Supuestos!$D$9,Supuestos!$E$9),IF(Supuestos!$C$9="Triangular",IF(F421&lt;(Supuestos!$E$9-Supuestos!$D$9)/(Supuestos!$F$9-Supuestos!$D$9),Supuestos!$D$9+SQRT(F421*(Supuestos!$F$9-Supuestos!$D$9)*(Supuestos!$E$9-Supuestos!$D$9)),Supuestos!$F$9-SQRT((1-F421)*(Supuestos!$F$9-Supuestos!$D$9)*(Supuestos!$F$9-Supuestos!$E$9))),IF(Supuestos!$C$9="Uniforme",Supuestos!$D$9+F421*(Supuestos!$E$9-Supuestos!$D$9),IF(Supuestos!$C$9="Lognormal",LOGINV(F421,LN(Supuestos!$D$9)-LN(1+Supuestos!$E$9^2/Supuestos!$D$9^2)/2,SQRT(LN(1+Supuestos!$E$9^2/Supuestos!$D$9^2))),Supuestos!$D$9))))))</f>
        <v/>
      </c>
      <c r="N421" s="32">
        <f>MIN(IF(Supuestos!$H$10="",1E+99,Supuestos!$H$10),MAX(IF(Supuestos!$G$10="",-1E+99,Supuestos!$G$10),IF(Supuestos!$C$10="Normal",NORMINV(G421,Supuestos!$D$10,Supuestos!$E$10),IF(Supuestos!$C$10="Triangular",IF(G421&lt;(Supuestos!$E$10-Supuestos!$D$10)/(Supuestos!$F$10-Supuestos!$D$10),Supuestos!$D$10+SQRT(G421*(Supuestos!$F$10-Supuestos!$D$10)*(Supuestos!$E$10-Supuestos!$D$10)),Supuestos!$F$10-SQRT((1-G421)*(Supuestos!$F$10-Supuestos!$D$10)*(Supuestos!$F$10-Supuestos!$E$10))),IF(Supuestos!$C$10="Uniforme",Supuestos!$D$10+G421*(Supuestos!$E$10-Supuestos!$D$10),IF(Supuestos!$C$10="Lognormal",LOGINV(G421,LN(Supuestos!$D$10)-LN(1+Supuestos!$E$10^2/Supuestos!$D$10^2)/2,SQRT(LN(1+Supuestos!$E$10^2/Supuestos!$D$10^2))),Supuestos!$D$10))))))</f>
        <v/>
      </c>
      <c r="O421" s="31">
        <f>MIN(IF(Supuestos!$H$11="",1E+99,Supuestos!$H$11),MAX(IF(Supuestos!$G$11="",-1E+99,Supuestos!$G$11),IF(Supuestos!$C$11="Normal",NORMINV(H421,Supuestos!$D$11,Supuestos!$E$11),IF(Supuestos!$C$11="Triangular",IF(H421&lt;(Supuestos!$E$11-Supuestos!$D$11)/(Supuestos!$F$11-Supuestos!$D$11),Supuestos!$D$11+SQRT(H421*(Supuestos!$F$11-Supuestos!$D$11)*(Supuestos!$E$11-Supuestos!$D$11)),Supuestos!$F$11-SQRT((1-H421)*(Supuestos!$F$11-Supuestos!$D$11)*(Supuestos!$F$11-Supuestos!$E$11))),IF(Supuestos!$C$11="Uniforme",Supuestos!$D$11+H421*(Supuestos!$E$11-Supuestos!$D$11),IF(Supuestos!$C$11="Lognormal",LOGINV(H421,LN(Supuestos!$D$11)-LN(1+Supuestos!$E$11^2/Supuestos!$D$11^2)/2,SQRT(LN(1+Supuestos!$E$11^2/Supuestos!$D$11^2))),Supuestos!$D$11))))))</f>
        <v/>
      </c>
      <c r="P421" s="33">
        <f>-I421</f>
        <v/>
      </c>
      <c r="Q421" s="33">
        <f>$J421*(1+$K421)^(1-1)*(1-$L421)*(1-$M421)</f>
        <v/>
      </c>
      <c r="R421" s="33">
        <f>$J421*(1+$K421)^(2-1)*(1-$L421)*(1-$M421)</f>
        <v/>
      </c>
      <c r="S421" s="33">
        <f>$J421*(1+$K421)^(3-1)*(1-$L421)*(1-$M421)</f>
        <v/>
      </c>
      <c r="T421" s="33">
        <f>$J421*(1+$K421)^(4-1)*(1-$L421)*(1-$M421)</f>
        <v/>
      </c>
      <c r="U421" s="33">
        <f>$J421*(1+$K421)^(5-1)*(1-$L421)*(1-$M421)+$O421</f>
        <v/>
      </c>
      <c r="V421" s="33">
        <f>P421+NPV($N421,Q421:U421)</f>
        <v/>
      </c>
      <c r="W421" s="32">
        <f>IFERROR(IRR(P421:U421,0.1),"")</f>
        <v/>
      </c>
    </row>
    <row r="422">
      <c r="A422" s="14" t="n">
        <v>418</v>
      </c>
      <c r="B422" s="30">
        <f>RAND()*(1-2E-6)+1E-6</f>
        <v/>
      </c>
      <c r="C422" s="30">
        <f>RAND()*(1-2E-6)+1E-6</f>
        <v/>
      </c>
      <c r="D422" s="30">
        <f>RAND()*(1-2E-6)+1E-6</f>
        <v/>
      </c>
      <c r="E422" s="30">
        <f>RAND()*(1-2E-6)+1E-6</f>
        <v/>
      </c>
      <c r="F422" s="30">
        <f>RAND()*(1-2E-6)+1E-6</f>
        <v/>
      </c>
      <c r="G422" s="30">
        <f>RAND()*(1-2E-6)+1E-6</f>
        <v/>
      </c>
      <c r="H422" s="30">
        <f>RAND()*(1-2E-6)+1E-6</f>
        <v/>
      </c>
      <c r="I422" s="31">
        <f>MIN(IF(Supuestos!$H$5="",1E+99,Supuestos!$H$5),MAX(IF(Supuestos!$G$5="",-1E+99,Supuestos!$G$5),IF(Supuestos!$C$5="Normal",NORMINV(B422,Supuestos!$D$5,Supuestos!$E$5),IF(Supuestos!$C$5="Triangular",IF(B422&lt;(Supuestos!$E$5-Supuestos!$D$5)/(Supuestos!$F$5-Supuestos!$D$5),Supuestos!$D$5+SQRT(B422*(Supuestos!$F$5-Supuestos!$D$5)*(Supuestos!$E$5-Supuestos!$D$5)),Supuestos!$F$5-SQRT((1-B422)*(Supuestos!$F$5-Supuestos!$D$5)*(Supuestos!$F$5-Supuestos!$E$5))),IF(Supuestos!$C$5="Uniforme",Supuestos!$D$5+B422*(Supuestos!$E$5-Supuestos!$D$5),IF(Supuestos!$C$5="Lognormal",LOGINV(B422,LN(Supuestos!$D$5)-LN(1+Supuestos!$E$5^2/Supuestos!$D$5^2)/2,SQRT(LN(1+Supuestos!$E$5^2/Supuestos!$D$5^2))),Supuestos!$D$5))))))</f>
        <v/>
      </c>
      <c r="J422" s="31">
        <f>MIN(IF(Supuestos!$H$6="",1E+99,Supuestos!$H$6),MAX(IF(Supuestos!$G$6="",-1E+99,Supuestos!$G$6),IF(Supuestos!$C$6="Normal",NORMINV(C422,Supuestos!$D$6,Supuestos!$E$6),IF(Supuestos!$C$6="Triangular",IF(C422&lt;(Supuestos!$E$6-Supuestos!$D$6)/(Supuestos!$F$6-Supuestos!$D$6),Supuestos!$D$6+SQRT(C422*(Supuestos!$F$6-Supuestos!$D$6)*(Supuestos!$E$6-Supuestos!$D$6)),Supuestos!$F$6-SQRT((1-C422)*(Supuestos!$F$6-Supuestos!$D$6)*(Supuestos!$F$6-Supuestos!$E$6))),IF(Supuestos!$C$6="Uniforme",Supuestos!$D$6+C422*(Supuestos!$E$6-Supuestos!$D$6),IF(Supuestos!$C$6="Lognormal",LOGINV(C422,LN(Supuestos!$D$6)-LN(1+Supuestos!$E$6^2/Supuestos!$D$6^2)/2,SQRT(LN(1+Supuestos!$E$6^2/Supuestos!$D$6^2))),Supuestos!$D$6))))))</f>
        <v/>
      </c>
      <c r="K422" s="32">
        <f>MIN(IF(Supuestos!$H$7="",1E+99,Supuestos!$H$7),MAX(IF(Supuestos!$G$7="",-1E+99,Supuestos!$G$7),IF(Supuestos!$C$7="Normal",NORMINV(D422,Supuestos!$D$7,Supuestos!$E$7),IF(Supuestos!$C$7="Triangular",IF(D422&lt;(Supuestos!$E$7-Supuestos!$D$7)/(Supuestos!$F$7-Supuestos!$D$7),Supuestos!$D$7+SQRT(D422*(Supuestos!$F$7-Supuestos!$D$7)*(Supuestos!$E$7-Supuestos!$D$7)),Supuestos!$F$7-SQRT((1-D422)*(Supuestos!$F$7-Supuestos!$D$7)*(Supuestos!$F$7-Supuestos!$E$7))),IF(Supuestos!$C$7="Uniforme",Supuestos!$D$7+D422*(Supuestos!$E$7-Supuestos!$D$7),IF(Supuestos!$C$7="Lognormal",LOGINV(D422,LN(Supuestos!$D$7)-LN(1+Supuestos!$E$7^2/Supuestos!$D$7^2)/2,SQRT(LN(1+Supuestos!$E$7^2/Supuestos!$D$7^2))),Supuestos!$D$7))))))</f>
        <v/>
      </c>
      <c r="L422" s="32">
        <f>MIN(IF(Supuestos!$H$8="",1E+99,Supuestos!$H$8),MAX(IF(Supuestos!$G$8="",-1E+99,Supuestos!$G$8),IF(Supuestos!$C$8="Normal",NORMINV(E422,Supuestos!$D$8,Supuestos!$E$8),IF(Supuestos!$C$8="Triangular",IF(E422&lt;(Supuestos!$E$8-Supuestos!$D$8)/(Supuestos!$F$8-Supuestos!$D$8),Supuestos!$D$8+SQRT(E422*(Supuestos!$F$8-Supuestos!$D$8)*(Supuestos!$E$8-Supuestos!$D$8)),Supuestos!$F$8-SQRT((1-E422)*(Supuestos!$F$8-Supuestos!$D$8)*(Supuestos!$F$8-Supuestos!$E$8))),IF(Supuestos!$C$8="Uniforme",Supuestos!$D$8+E422*(Supuestos!$E$8-Supuestos!$D$8),IF(Supuestos!$C$8="Lognormal",LOGINV(E422,LN(Supuestos!$D$8)-LN(1+Supuestos!$E$8^2/Supuestos!$D$8^2)/2,SQRT(LN(1+Supuestos!$E$8^2/Supuestos!$D$8^2))),Supuestos!$D$8))))))</f>
        <v/>
      </c>
      <c r="M422" s="32">
        <f>MIN(IF(Supuestos!$H$9="",1E+99,Supuestos!$H$9),MAX(IF(Supuestos!$G$9="",-1E+99,Supuestos!$G$9),IF(Supuestos!$C$9="Normal",NORMINV(F422,Supuestos!$D$9,Supuestos!$E$9),IF(Supuestos!$C$9="Triangular",IF(F422&lt;(Supuestos!$E$9-Supuestos!$D$9)/(Supuestos!$F$9-Supuestos!$D$9),Supuestos!$D$9+SQRT(F422*(Supuestos!$F$9-Supuestos!$D$9)*(Supuestos!$E$9-Supuestos!$D$9)),Supuestos!$F$9-SQRT((1-F422)*(Supuestos!$F$9-Supuestos!$D$9)*(Supuestos!$F$9-Supuestos!$E$9))),IF(Supuestos!$C$9="Uniforme",Supuestos!$D$9+F422*(Supuestos!$E$9-Supuestos!$D$9),IF(Supuestos!$C$9="Lognormal",LOGINV(F422,LN(Supuestos!$D$9)-LN(1+Supuestos!$E$9^2/Supuestos!$D$9^2)/2,SQRT(LN(1+Supuestos!$E$9^2/Supuestos!$D$9^2))),Supuestos!$D$9))))))</f>
        <v/>
      </c>
      <c r="N422" s="32">
        <f>MIN(IF(Supuestos!$H$10="",1E+99,Supuestos!$H$10),MAX(IF(Supuestos!$G$10="",-1E+99,Supuestos!$G$10),IF(Supuestos!$C$10="Normal",NORMINV(G422,Supuestos!$D$10,Supuestos!$E$10),IF(Supuestos!$C$10="Triangular",IF(G422&lt;(Supuestos!$E$10-Supuestos!$D$10)/(Supuestos!$F$10-Supuestos!$D$10),Supuestos!$D$10+SQRT(G422*(Supuestos!$F$10-Supuestos!$D$10)*(Supuestos!$E$10-Supuestos!$D$10)),Supuestos!$F$10-SQRT((1-G422)*(Supuestos!$F$10-Supuestos!$D$10)*(Supuestos!$F$10-Supuestos!$E$10))),IF(Supuestos!$C$10="Uniforme",Supuestos!$D$10+G422*(Supuestos!$E$10-Supuestos!$D$10),IF(Supuestos!$C$10="Lognormal",LOGINV(G422,LN(Supuestos!$D$10)-LN(1+Supuestos!$E$10^2/Supuestos!$D$10^2)/2,SQRT(LN(1+Supuestos!$E$10^2/Supuestos!$D$10^2))),Supuestos!$D$10))))))</f>
        <v/>
      </c>
      <c r="O422" s="31">
        <f>MIN(IF(Supuestos!$H$11="",1E+99,Supuestos!$H$11),MAX(IF(Supuestos!$G$11="",-1E+99,Supuestos!$G$11),IF(Supuestos!$C$11="Normal",NORMINV(H422,Supuestos!$D$11,Supuestos!$E$11),IF(Supuestos!$C$11="Triangular",IF(H422&lt;(Supuestos!$E$11-Supuestos!$D$11)/(Supuestos!$F$11-Supuestos!$D$11),Supuestos!$D$11+SQRT(H422*(Supuestos!$F$11-Supuestos!$D$11)*(Supuestos!$E$11-Supuestos!$D$11)),Supuestos!$F$11-SQRT((1-H422)*(Supuestos!$F$11-Supuestos!$D$11)*(Supuestos!$F$11-Supuestos!$E$11))),IF(Supuestos!$C$11="Uniforme",Supuestos!$D$11+H422*(Supuestos!$E$11-Supuestos!$D$11),IF(Supuestos!$C$11="Lognormal",LOGINV(H422,LN(Supuestos!$D$11)-LN(1+Supuestos!$E$11^2/Supuestos!$D$11^2)/2,SQRT(LN(1+Supuestos!$E$11^2/Supuestos!$D$11^2))),Supuestos!$D$11))))))</f>
        <v/>
      </c>
      <c r="P422" s="33">
        <f>-I422</f>
        <v/>
      </c>
      <c r="Q422" s="33">
        <f>$J422*(1+$K422)^(1-1)*(1-$L422)*(1-$M422)</f>
        <v/>
      </c>
      <c r="R422" s="33">
        <f>$J422*(1+$K422)^(2-1)*(1-$L422)*(1-$M422)</f>
        <v/>
      </c>
      <c r="S422" s="33">
        <f>$J422*(1+$K422)^(3-1)*(1-$L422)*(1-$M422)</f>
        <v/>
      </c>
      <c r="T422" s="33">
        <f>$J422*(1+$K422)^(4-1)*(1-$L422)*(1-$M422)</f>
        <v/>
      </c>
      <c r="U422" s="33">
        <f>$J422*(1+$K422)^(5-1)*(1-$L422)*(1-$M422)+$O422</f>
        <v/>
      </c>
      <c r="V422" s="33">
        <f>P422+NPV($N422,Q422:U422)</f>
        <v/>
      </c>
      <c r="W422" s="32">
        <f>IFERROR(IRR(P422:U422,0.1),"")</f>
        <v/>
      </c>
    </row>
    <row r="423">
      <c r="A423" s="14" t="n">
        <v>419</v>
      </c>
      <c r="B423" s="30">
        <f>RAND()*(1-2E-6)+1E-6</f>
        <v/>
      </c>
      <c r="C423" s="30">
        <f>RAND()*(1-2E-6)+1E-6</f>
        <v/>
      </c>
      <c r="D423" s="30">
        <f>RAND()*(1-2E-6)+1E-6</f>
        <v/>
      </c>
      <c r="E423" s="30">
        <f>RAND()*(1-2E-6)+1E-6</f>
        <v/>
      </c>
      <c r="F423" s="30">
        <f>RAND()*(1-2E-6)+1E-6</f>
        <v/>
      </c>
      <c r="G423" s="30">
        <f>RAND()*(1-2E-6)+1E-6</f>
        <v/>
      </c>
      <c r="H423" s="30">
        <f>RAND()*(1-2E-6)+1E-6</f>
        <v/>
      </c>
      <c r="I423" s="31">
        <f>MIN(IF(Supuestos!$H$5="",1E+99,Supuestos!$H$5),MAX(IF(Supuestos!$G$5="",-1E+99,Supuestos!$G$5),IF(Supuestos!$C$5="Normal",NORMINV(B423,Supuestos!$D$5,Supuestos!$E$5),IF(Supuestos!$C$5="Triangular",IF(B423&lt;(Supuestos!$E$5-Supuestos!$D$5)/(Supuestos!$F$5-Supuestos!$D$5),Supuestos!$D$5+SQRT(B423*(Supuestos!$F$5-Supuestos!$D$5)*(Supuestos!$E$5-Supuestos!$D$5)),Supuestos!$F$5-SQRT((1-B423)*(Supuestos!$F$5-Supuestos!$D$5)*(Supuestos!$F$5-Supuestos!$E$5))),IF(Supuestos!$C$5="Uniforme",Supuestos!$D$5+B423*(Supuestos!$E$5-Supuestos!$D$5),IF(Supuestos!$C$5="Lognormal",LOGINV(B423,LN(Supuestos!$D$5)-LN(1+Supuestos!$E$5^2/Supuestos!$D$5^2)/2,SQRT(LN(1+Supuestos!$E$5^2/Supuestos!$D$5^2))),Supuestos!$D$5))))))</f>
        <v/>
      </c>
      <c r="J423" s="31">
        <f>MIN(IF(Supuestos!$H$6="",1E+99,Supuestos!$H$6),MAX(IF(Supuestos!$G$6="",-1E+99,Supuestos!$G$6),IF(Supuestos!$C$6="Normal",NORMINV(C423,Supuestos!$D$6,Supuestos!$E$6),IF(Supuestos!$C$6="Triangular",IF(C423&lt;(Supuestos!$E$6-Supuestos!$D$6)/(Supuestos!$F$6-Supuestos!$D$6),Supuestos!$D$6+SQRT(C423*(Supuestos!$F$6-Supuestos!$D$6)*(Supuestos!$E$6-Supuestos!$D$6)),Supuestos!$F$6-SQRT((1-C423)*(Supuestos!$F$6-Supuestos!$D$6)*(Supuestos!$F$6-Supuestos!$E$6))),IF(Supuestos!$C$6="Uniforme",Supuestos!$D$6+C423*(Supuestos!$E$6-Supuestos!$D$6),IF(Supuestos!$C$6="Lognormal",LOGINV(C423,LN(Supuestos!$D$6)-LN(1+Supuestos!$E$6^2/Supuestos!$D$6^2)/2,SQRT(LN(1+Supuestos!$E$6^2/Supuestos!$D$6^2))),Supuestos!$D$6))))))</f>
        <v/>
      </c>
      <c r="K423" s="32">
        <f>MIN(IF(Supuestos!$H$7="",1E+99,Supuestos!$H$7),MAX(IF(Supuestos!$G$7="",-1E+99,Supuestos!$G$7),IF(Supuestos!$C$7="Normal",NORMINV(D423,Supuestos!$D$7,Supuestos!$E$7),IF(Supuestos!$C$7="Triangular",IF(D423&lt;(Supuestos!$E$7-Supuestos!$D$7)/(Supuestos!$F$7-Supuestos!$D$7),Supuestos!$D$7+SQRT(D423*(Supuestos!$F$7-Supuestos!$D$7)*(Supuestos!$E$7-Supuestos!$D$7)),Supuestos!$F$7-SQRT((1-D423)*(Supuestos!$F$7-Supuestos!$D$7)*(Supuestos!$F$7-Supuestos!$E$7))),IF(Supuestos!$C$7="Uniforme",Supuestos!$D$7+D423*(Supuestos!$E$7-Supuestos!$D$7),IF(Supuestos!$C$7="Lognormal",LOGINV(D423,LN(Supuestos!$D$7)-LN(1+Supuestos!$E$7^2/Supuestos!$D$7^2)/2,SQRT(LN(1+Supuestos!$E$7^2/Supuestos!$D$7^2))),Supuestos!$D$7))))))</f>
        <v/>
      </c>
      <c r="L423" s="32">
        <f>MIN(IF(Supuestos!$H$8="",1E+99,Supuestos!$H$8),MAX(IF(Supuestos!$G$8="",-1E+99,Supuestos!$G$8),IF(Supuestos!$C$8="Normal",NORMINV(E423,Supuestos!$D$8,Supuestos!$E$8),IF(Supuestos!$C$8="Triangular",IF(E423&lt;(Supuestos!$E$8-Supuestos!$D$8)/(Supuestos!$F$8-Supuestos!$D$8),Supuestos!$D$8+SQRT(E423*(Supuestos!$F$8-Supuestos!$D$8)*(Supuestos!$E$8-Supuestos!$D$8)),Supuestos!$F$8-SQRT((1-E423)*(Supuestos!$F$8-Supuestos!$D$8)*(Supuestos!$F$8-Supuestos!$E$8))),IF(Supuestos!$C$8="Uniforme",Supuestos!$D$8+E423*(Supuestos!$E$8-Supuestos!$D$8),IF(Supuestos!$C$8="Lognormal",LOGINV(E423,LN(Supuestos!$D$8)-LN(1+Supuestos!$E$8^2/Supuestos!$D$8^2)/2,SQRT(LN(1+Supuestos!$E$8^2/Supuestos!$D$8^2))),Supuestos!$D$8))))))</f>
        <v/>
      </c>
      <c r="M423" s="32">
        <f>MIN(IF(Supuestos!$H$9="",1E+99,Supuestos!$H$9),MAX(IF(Supuestos!$G$9="",-1E+99,Supuestos!$G$9),IF(Supuestos!$C$9="Normal",NORMINV(F423,Supuestos!$D$9,Supuestos!$E$9),IF(Supuestos!$C$9="Triangular",IF(F423&lt;(Supuestos!$E$9-Supuestos!$D$9)/(Supuestos!$F$9-Supuestos!$D$9),Supuestos!$D$9+SQRT(F423*(Supuestos!$F$9-Supuestos!$D$9)*(Supuestos!$E$9-Supuestos!$D$9)),Supuestos!$F$9-SQRT((1-F423)*(Supuestos!$F$9-Supuestos!$D$9)*(Supuestos!$F$9-Supuestos!$E$9))),IF(Supuestos!$C$9="Uniforme",Supuestos!$D$9+F423*(Supuestos!$E$9-Supuestos!$D$9),IF(Supuestos!$C$9="Lognormal",LOGINV(F423,LN(Supuestos!$D$9)-LN(1+Supuestos!$E$9^2/Supuestos!$D$9^2)/2,SQRT(LN(1+Supuestos!$E$9^2/Supuestos!$D$9^2))),Supuestos!$D$9))))))</f>
        <v/>
      </c>
      <c r="N423" s="32">
        <f>MIN(IF(Supuestos!$H$10="",1E+99,Supuestos!$H$10),MAX(IF(Supuestos!$G$10="",-1E+99,Supuestos!$G$10),IF(Supuestos!$C$10="Normal",NORMINV(G423,Supuestos!$D$10,Supuestos!$E$10),IF(Supuestos!$C$10="Triangular",IF(G423&lt;(Supuestos!$E$10-Supuestos!$D$10)/(Supuestos!$F$10-Supuestos!$D$10),Supuestos!$D$10+SQRT(G423*(Supuestos!$F$10-Supuestos!$D$10)*(Supuestos!$E$10-Supuestos!$D$10)),Supuestos!$F$10-SQRT((1-G423)*(Supuestos!$F$10-Supuestos!$D$10)*(Supuestos!$F$10-Supuestos!$E$10))),IF(Supuestos!$C$10="Uniforme",Supuestos!$D$10+G423*(Supuestos!$E$10-Supuestos!$D$10),IF(Supuestos!$C$10="Lognormal",LOGINV(G423,LN(Supuestos!$D$10)-LN(1+Supuestos!$E$10^2/Supuestos!$D$10^2)/2,SQRT(LN(1+Supuestos!$E$10^2/Supuestos!$D$10^2))),Supuestos!$D$10))))))</f>
        <v/>
      </c>
      <c r="O423" s="31">
        <f>MIN(IF(Supuestos!$H$11="",1E+99,Supuestos!$H$11),MAX(IF(Supuestos!$G$11="",-1E+99,Supuestos!$G$11),IF(Supuestos!$C$11="Normal",NORMINV(H423,Supuestos!$D$11,Supuestos!$E$11),IF(Supuestos!$C$11="Triangular",IF(H423&lt;(Supuestos!$E$11-Supuestos!$D$11)/(Supuestos!$F$11-Supuestos!$D$11),Supuestos!$D$11+SQRT(H423*(Supuestos!$F$11-Supuestos!$D$11)*(Supuestos!$E$11-Supuestos!$D$11)),Supuestos!$F$11-SQRT((1-H423)*(Supuestos!$F$11-Supuestos!$D$11)*(Supuestos!$F$11-Supuestos!$E$11))),IF(Supuestos!$C$11="Uniforme",Supuestos!$D$11+H423*(Supuestos!$E$11-Supuestos!$D$11),IF(Supuestos!$C$11="Lognormal",LOGINV(H423,LN(Supuestos!$D$11)-LN(1+Supuestos!$E$11^2/Supuestos!$D$11^2)/2,SQRT(LN(1+Supuestos!$E$11^2/Supuestos!$D$11^2))),Supuestos!$D$11))))))</f>
        <v/>
      </c>
      <c r="P423" s="33">
        <f>-I423</f>
        <v/>
      </c>
      <c r="Q423" s="33">
        <f>$J423*(1+$K423)^(1-1)*(1-$L423)*(1-$M423)</f>
        <v/>
      </c>
      <c r="R423" s="33">
        <f>$J423*(1+$K423)^(2-1)*(1-$L423)*(1-$M423)</f>
        <v/>
      </c>
      <c r="S423" s="33">
        <f>$J423*(1+$K423)^(3-1)*(1-$L423)*(1-$M423)</f>
        <v/>
      </c>
      <c r="T423" s="33">
        <f>$J423*(1+$K423)^(4-1)*(1-$L423)*(1-$M423)</f>
        <v/>
      </c>
      <c r="U423" s="33">
        <f>$J423*(1+$K423)^(5-1)*(1-$L423)*(1-$M423)+$O423</f>
        <v/>
      </c>
      <c r="V423" s="33">
        <f>P423+NPV($N423,Q423:U423)</f>
        <v/>
      </c>
      <c r="W423" s="32">
        <f>IFERROR(IRR(P423:U423,0.1),"")</f>
        <v/>
      </c>
    </row>
    <row r="424">
      <c r="A424" s="14" t="n">
        <v>420</v>
      </c>
      <c r="B424" s="30">
        <f>RAND()*(1-2E-6)+1E-6</f>
        <v/>
      </c>
      <c r="C424" s="30">
        <f>RAND()*(1-2E-6)+1E-6</f>
        <v/>
      </c>
      <c r="D424" s="30">
        <f>RAND()*(1-2E-6)+1E-6</f>
        <v/>
      </c>
      <c r="E424" s="30">
        <f>RAND()*(1-2E-6)+1E-6</f>
        <v/>
      </c>
      <c r="F424" s="30">
        <f>RAND()*(1-2E-6)+1E-6</f>
        <v/>
      </c>
      <c r="G424" s="30">
        <f>RAND()*(1-2E-6)+1E-6</f>
        <v/>
      </c>
      <c r="H424" s="30">
        <f>RAND()*(1-2E-6)+1E-6</f>
        <v/>
      </c>
      <c r="I424" s="31">
        <f>MIN(IF(Supuestos!$H$5="",1E+99,Supuestos!$H$5),MAX(IF(Supuestos!$G$5="",-1E+99,Supuestos!$G$5),IF(Supuestos!$C$5="Normal",NORMINV(B424,Supuestos!$D$5,Supuestos!$E$5),IF(Supuestos!$C$5="Triangular",IF(B424&lt;(Supuestos!$E$5-Supuestos!$D$5)/(Supuestos!$F$5-Supuestos!$D$5),Supuestos!$D$5+SQRT(B424*(Supuestos!$F$5-Supuestos!$D$5)*(Supuestos!$E$5-Supuestos!$D$5)),Supuestos!$F$5-SQRT((1-B424)*(Supuestos!$F$5-Supuestos!$D$5)*(Supuestos!$F$5-Supuestos!$E$5))),IF(Supuestos!$C$5="Uniforme",Supuestos!$D$5+B424*(Supuestos!$E$5-Supuestos!$D$5),IF(Supuestos!$C$5="Lognormal",LOGINV(B424,LN(Supuestos!$D$5)-LN(1+Supuestos!$E$5^2/Supuestos!$D$5^2)/2,SQRT(LN(1+Supuestos!$E$5^2/Supuestos!$D$5^2))),Supuestos!$D$5))))))</f>
        <v/>
      </c>
      <c r="J424" s="31">
        <f>MIN(IF(Supuestos!$H$6="",1E+99,Supuestos!$H$6),MAX(IF(Supuestos!$G$6="",-1E+99,Supuestos!$G$6),IF(Supuestos!$C$6="Normal",NORMINV(C424,Supuestos!$D$6,Supuestos!$E$6),IF(Supuestos!$C$6="Triangular",IF(C424&lt;(Supuestos!$E$6-Supuestos!$D$6)/(Supuestos!$F$6-Supuestos!$D$6),Supuestos!$D$6+SQRT(C424*(Supuestos!$F$6-Supuestos!$D$6)*(Supuestos!$E$6-Supuestos!$D$6)),Supuestos!$F$6-SQRT((1-C424)*(Supuestos!$F$6-Supuestos!$D$6)*(Supuestos!$F$6-Supuestos!$E$6))),IF(Supuestos!$C$6="Uniforme",Supuestos!$D$6+C424*(Supuestos!$E$6-Supuestos!$D$6),IF(Supuestos!$C$6="Lognormal",LOGINV(C424,LN(Supuestos!$D$6)-LN(1+Supuestos!$E$6^2/Supuestos!$D$6^2)/2,SQRT(LN(1+Supuestos!$E$6^2/Supuestos!$D$6^2))),Supuestos!$D$6))))))</f>
        <v/>
      </c>
      <c r="K424" s="32">
        <f>MIN(IF(Supuestos!$H$7="",1E+99,Supuestos!$H$7),MAX(IF(Supuestos!$G$7="",-1E+99,Supuestos!$G$7),IF(Supuestos!$C$7="Normal",NORMINV(D424,Supuestos!$D$7,Supuestos!$E$7),IF(Supuestos!$C$7="Triangular",IF(D424&lt;(Supuestos!$E$7-Supuestos!$D$7)/(Supuestos!$F$7-Supuestos!$D$7),Supuestos!$D$7+SQRT(D424*(Supuestos!$F$7-Supuestos!$D$7)*(Supuestos!$E$7-Supuestos!$D$7)),Supuestos!$F$7-SQRT((1-D424)*(Supuestos!$F$7-Supuestos!$D$7)*(Supuestos!$F$7-Supuestos!$E$7))),IF(Supuestos!$C$7="Uniforme",Supuestos!$D$7+D424*(Supuestos!$E$7-Supuestos!$D$7),IF(Supuestos!$C$7="Lognormal",LOGINV(D424,LN(Supuestos!$D$7)-LN(1+Supuestos!$E$7^2/Supuestos!$D$7^2)/2,SQRT(LN(1+Supuestos!$E$7^2/Supuestos!$D$7^2))),Supuestos!$D$7))))))</f>
        <v/>
      </c>
      <c r="L424" s="32">
        <f>MIN(IF(Supuestos!$H$8="",1E+99,Supuestos!$H$8),MAX(IF(Supuestos!$G$8="",-1E+99,Supuestos!$G$8),IF(Supuestos!$C$8="Normal",NORMINV(E424,Supuestos!$D$8,Supuestos!$E$8),IF(Supuestos!$C$8="Triangular",IF(E424&lt;(Supuestos!$E$8-Supuestos!$D$8)/(Supuestos!$F$8-Supuestos!$D$8),Supuestos!$D$8+SQRT(E424*(Supuestos!$F$8-Supuestos!$D$8)*(Supuestos!$E$8-Supuestos!$D$8)),Supuestos!$F$8-SQRT((1-E424)*(Supuestos!$F$8-Supuestos!$D$8)*(Supuestos!$F$8-Supuestos!$E$8))),IF(Supuestos!$C$8="Uniforme",Supuestos!$D$8+E424*(Supuestos!$E$8-Supuestos!$D$8),IF(Supuestos!$C$8="Lognormal",LOGINV(E424,LN(Supuestos!$D$8)-LN(1+Supuestos!$E$8^2/Supuestos!$D$8^2)/2,SQRT(LN(1+Supuestos!$E$8^2/Supuestos!$D$8^2))),Supuestos!$D$8))))))</f>
        <v/>
      </c>
      <c r="M424" s="32">
        <f>MIN(IF(Supuestos!$H$9="",1E+99,Supuestos!$H$9),MAX(IF(Supuestos!$G$9="",-1E+99,Supuestos!$G$9),IF(Supuestos!$C$9="Normal",NORMINV(F424,Supuestos!$D$9,Supuestos!$E$9),IF(Supuestos!$C$9="Triangular",IF(F424&lt;(Supuestos!$E$9-Supuestos!$D$9)/(Supuestos!$F$9-Supuestos!$D$9),Supuestos!$D$9+SQRT(F424*(Supuestos!$F$9-Supuestos!$D$9)*(Supuestos!$E$9-Supuestos!$D$9)),Supuestos!$F$9-SQRT((1-F424)*(Supuestos!$F$9-Supuestos!$D$9)*(Supuestos!$F$9-Supuestos!$E$9))),IF(Supuestos!$C$9="Uniforme",Supuestos!$D$9+F424*(Supuestos!$E$9-Supuestos!$D$9),IF(Supuestos!$C$9="Lognormal",LOGINV(F424,LN(Supuestos!$D$9)-LN(1+Supuestos!$E$9^2/Supuestos!$D$9^2)/2,SQRT(LN(1+Supuestos!$E$9^2/Supuestos!$D$9^2))),Supuestos!$D$9))))))</f>
        <v/>
      </c>
      <c r="N424" s="32">
        <f>MIN(IF(Supuestos!$H$10="",1E+99,Supuestos!$H$10),MAX(IF(Supuestos!$G$10="",-1E+99,Supuestos!$G$10),IF(Supuestos!$C$10="Normal",NORMINV(G424,Supuestos!$D$10,Supuestos!$E$10),IF(Supuestos!$C$10="Triangular",IF(G424&lt;(Supuestos!$E$10-Supuestos!$D$10)/(Supuestos!$F$10-Supuestos!$D$10),Supuestos!$D$10+SQRT(G424*(Supuestos!$F$10-Supuestos!$D$10)*(Supuestos!$E$10-Supuestos!$D$10)),Supuestos!$F$10-SQRT((1-G424)*(Supuestos!$F$10-Supuestos!$D$10)*(Supuestos!$F$10-Supuestos!$E$10))),IF(Supuestos!$C$10="Uniforme",Supuestos!$D$10+G424*(Supuestos!$E$10-Supuestos!$D$10),IF(Supuestos!$C$10="Lognormal",LOGINV(G424,LN(Supuestos!$D$10)-LN(1+Supuestos!$E$10^2/Supuestos!$D$10^2)/2,SQRT(LN(1+Supuestos!$E$10^2/Supuestos!$D$10^2))),Supuestos!$D$10))))))</f>
        <v/>
      </c>
      <c r="O424" s="31">
        <f>MIN(IF(Supuestos!$H$11="",1E+99,Supuestos!$H$11),MAX(IF(Supuestos!$G$11="",-1E+99,Supuestos!$G$11),IF(Supuestos!$C$11="Normal",NORMINV(H424,Supuestos!$D$11,Supuestos!$E$11),IF(Supuestos!$C$11="Triangular",IF(H424&lt;(Supuestos!$E$11-Supuestos!$D$11)/(Supuestos!$F$11-Supuestos!$D$11),Supuestos!$D$11+SQRT(H424*(Supuestos!$F$11-Supuestos!$D$11)*(Supuestos!$E$11-Supuestos!$D$11)),Supuestos!$F$11-SQRT((1-H424)*(Supuestos!$F$11-Supuestos!$D$11)*(Supuestos!$F$11-Supuestos!$E$11))),IF(Supuestos!$C$11="Uniforme",Supuestos!$D$11+H424*(Supuestos!$E$11-Supuestos!$D$11),IF(Supuestos!$C$11="Lognormal",LOGINV(H424,LN(Supuestos!$D$11)-LN(1+Supuestos!$E$11^2/Supuestos!$D$11^2)/2,SQRT(LN(1+Supuestos!$E$11^2/Supuestos!$D$11^2))),Supuestos!$D$11))))))</f>
        <v/>
      </c>
      <c r="P424" s="33">
        <f>-I424</f>
        <v/>
      </c>
      <c r="Q424" s="33">
        <f>$J424*(1+$K424)^(1-1)*(1-$L424)*(1-$M424)</f>
        <v/>
      </c>
      <c r="R424" s="33">
        <f>$J424*(1+$K424)^(2-1)*(1-$L424)*(1-$M424)</f>
        <v/>
      </c>
      <c r="S424" s="33">
        <f>$J424*(1+$K424)^(3-1)*(1-$L424)*(1-$M424)</f>
        <v/>
      </c>
      <c r="T424" s="33">
        <f>$J424*(1+$K424)^(4-1)*(1-$L424)*(1-$M424)</f>
        <v/>
      </c>
      <c r="U424" s="33">
        <f>$J424*(1+$K424)^(5-1)*(1-$L424)*(1-$M424)+$O424</f>
        <v/>
      </c>
      <c r="V424" s="33">
        <f>P424+NPV($N424,Q424:U424)</f>
        <v/>
      </c>
      <c r="W424" s="32">
        <f>IFERROR(IRR(P424:U424,0.1),"")</f>
        <v/>
      </c>
    </row>
    <row r="425">
      <c r="A425" s="14" t="n">
        <v>421</v>
      </c>
      <c r="B425" s="30">
        <f>RAND()*(1-2E-6)+1E-6</f>
        <v/>
      </c>
      <c r="C425" s="30">
        <f>RAND()*(1-2E-6)+1E-6</f>
        <v/>
      </c>
      <c r="D425" s="30">
        <f>RAND()*(1-2E-6)+1E-6</f>
        <v/>
      </c>
      <c r="E425" s="30">
        <f>RAND()*(1-2E-6)+1E-6</f>
        <v/>
      </c>
      <c r="F425" s="30">
        <f>RAND()*(1-2E-6)+1E-6</f>
        <v/>
      </c>
      <c r="G425" s="30">
        <f>RAND()*(1-2E-6)+1E-6</f>
        <v/>
      </c>
      <c r="H425" s="30">
        <f>RAND()*(1-2E-6)+1E-6</f>
        <v/>
      </c>
      <c r="I425" s="31">
        <f>MIN(IF(Supuestos!$H$5="",1E+99,Supuestos!$H$5),MAX(IF(Supuestos!$G$5="",-1E+99,Supuestos!$G$5),IF(Supuestos!$C$5="Normal",NORMINV(B425,Supuestos!$D$5,Supuestos!$E$5),IF(Supuestos!$C$5="Triangular",IF(B425&lt;(Supuestos!$E$5-Supuestos!$D$5)/(Supuestos!$F$5-Supuestos!$D$5),Supuestos!$D$5+SQRT(B425*(Supuestos!$F$5-Supuestos!$D$5)*(Supuestos!$E$5-Supuestos!$D$5)),Supuestos!$F$5-SQRT((1-B425)*(Supuestos!$F$5-Supuestos!$D$5)*(Supuestos!$F$5-Supuestos!$E$5))),IF(Supuestos!$C$5="Uniforme",Supuestos!$D$5+B425*(Supuestos!$E$5-Supuestos!$D$5),IF(Supuestos!$C$5="Lognormal",LOGINV(B425,LN(Supuestos!$D$5)-LN(1+Supuestos!$E$5^2/Supuestos!$D$5^2)/2,SQRT(LN(1+Supuestos!$E$5^2/Supuestos!$D$5^2))),Supuestos!$D$5))))))</f>
        <v/>
      </c>
      <c r="J425" s="31">
        <f>MIN(IF(Supuestos!$H$6="",1E+99,Supuestos!$H$6),MAX(IF(Supuestos!$G$6="",-1E+99,Supuestos!$G$6),IF(Supuestos!$C$6="Normal",NORMINV(C425,Supuestos!$D$6,Supuestos!$E$6),IF(Supuestos!$C$6="Triangular",IF(C425&lt;(Supuestos!$E$6-Supuestos!$D$6)/(Supuestos!$F$6-Supuestos!$D$6),Supuestos!$D$6+SQRT(C425*(Supuestos!$F$6-Supuestos!$D$6)*(Supuestos!$E$6-Supuestos!$D$6)),Supuestos!$F$6-SQRT((1-C425)*(Supuestos!$F$6-Supuestos!$D$6)*(Supuestos!$F$6-Supuestos!$E$6))),IF(Supuestos!$C$6="Uniforme",Supuestos!$D$6+C425*(Supuestos!$E$6-Supuestos!$D$6),IF(Supuestos!$C$6="Lognormal",LOGINV(C425,LN(Supuestos!$D$6)-LN(1+Supuestos!$E$6^2/Supuestos!$D$6^2)/2,SQRT(LN(1+Supuestos!$E$6^2/Supuestos!$D$6^2))),Supuestos!$D$6))))))</f>
        <v/>
      </c>
      <c r="K425" s="32">
        <f>MIN(IF(Supuestos!$H$7="",1E+99,Supuestos!$H$7),MAX(IF(Supuestos!$G$7="",-1E+99,Supuestos!$G$7),IF(Supuestos!$C$7="Normal",NORMINV(D425,Supuestos!$D$7,Supuestos!$E$7),IF(Supuestos!$C$7="Triangular",IF(D425&lt;(Supuestos!$E$7-Supuestos!$D$7)/(Supuestos!$F$7-Supuestos!$D$7),Supuestos!$D$7+SQRT(D425*(Supuestos!$F$7-Supuestos!$D$7)*(Supuestos!$E$7-Supuestos!$D$7)),Supuestos!$F$7-SQRT((1-D425)*(Supuestos!$F$7-Supuestos!$D$7)*(Supuestos!$F$7-Supuestos!$E$7))),IF(Supuestos!$C$7="Uniforme",Supuestos!$D$7+D425*(Supuestos!$E$7-Supuestos!$D$7),IF(Supuestos!$C$7="Lognormal",LOGINV(D425,LN(Supuestos!$D$7)-LN(1+Supuestos!$E$7^2/Supuestos!$D$7^2)/2,SQRT(LN(1+Supuestos!$E$7^2/Supuestos!$D$7^2))),Supuestos!$D$7))))))</f>
        <v/>
      </c>
      <c r="L425" s="32">
        <f>MIN(IF(Supuestos!$H$8="",1E+99,Supuestos!$H$8),MAX(IF(Supuestos!$G$8="",-1E+99,Supuestos!$G$8),IF(Supuestos!$C$8="Normal",NORMINV(E425,Supuestos!$D$8,Supuestos!$E$8),IF(Supuestos!$C$8="Triangular",IF(E425&lt;(Supuestos!$E$8-Supuestos!$D$8)/(Supuestos!$F$8-Supuestos!$D$8),Supuestos!$D$8+SQRT(E425*(Supuestos!$F$8-Supuestos!$D$8)*(Supuestos!$E$8-Supuestos!$D$8)),Supuestos!$F$8-SQRT((1-E425)*(Supuestos!$F$8-Supuestos!$D$8)*(Supuestos!$F$8-Supuestos!$E$8))),IF(Supuestos!$C$8="Uniforme",Supuestos!$D$8+E425*(Supuestos!$E$8-Supuestos!$D$8),IF(Supuestos!$C$8="Lognormal",LOGINV(E425,LN(Supuestos!$D$8)-LN(1+Supuestos!$E$8^2/Supuestos!$D$8^2)/2,SQRT(LN(1+Supuestos!$E$8^2/Supuestos!$D$8^2))),Supuestos!$D$8))))))</f>
        <v/>
      </c>
      <c r="M425" s="32">
        <f>MIN(IF(Supuestos!$H$9="",1E+99,Supuestos!$H$9),MAX(IF(Supuestos!$G$9="",-1E+99,Supuestos!$G$9),IF(Supuestos!$C$9="Normal",NORMINV(F425,Supuestos!$D$9,Supuestos!$E$9),IF(Supuestos!$C$9="Triangular",IF(F425&lt;(Supuestos!$E$9-Supuestos!$D$9)/(Supuestos!$F$9-Supuestos!$D$9),Supuestos!$D$9+SQRT(F425*(Supuestos!$F$9-Supuestos!$D$9)*(Supuestos!$E$9-Supuestos!$D$9)),Supuestos!$F$9-SQRT((1-F425)*(Supuestos!$F$9-Supuestos!$D$9)*(Supuestos!$F$9-Supuestos!$E$9))),IF(Supuestos!$C$9="Uniforme",Supuestos!$D$9+F425*(Supuestos!$E$9-Supuestos!$D$9),IF(Supuestos!$C$9="Lognormal",LOGINV(F425,LN(Supuestos!$D$9)-LN(1+Supuestos!$E$9^2/Supuestos!$D$9^2)/2,SQRT(LN(1+Supuestos!$E$9^2/Supuestos!$D$9^2))),Supuestos!$D$9))))))</f>
        <v/>
      </c>
      <c r="N425" s="32">
        <f>MIN(IF(Supuestos!$H$10="",1E+99,Supuestos!$H$10),MAX(IF(Supuestos!$G$10="",-1E+99,Supuestos!$G$10),IF(Supuestos!$C$10="Normal",NORMINV(G425,Supuestos!$D$10,Supuestos!$E$10),IF(Supuestos!$C$10="Triangular",IF(G425&lt;(Supuestos!$E$10-Supuestos!$D$10)/(Supuestos!$F$10-Supuestos!$D$10),Supuestos!$D$10+SQRT(G425*(Supuestos!$F$10-Supuestos!$D$10)*(Supuestos!$E$10-Supuestos!$D$10)),Supuestos!$F$10-SQRT((1-G425)*(Supuestos!$F$10-Supuestos!$D$10)*(Supuestos!$F$10-Supuestos!$E$10))),IF(Supuestos!$C$10="Uniforme",Supuestos!$D$10+G425*(Supuestos!$E$10-Supuestos!$D$10),IF(Supuestos!$C$10="Lognormal",LOGINV(G425,LN(Supuestos!$D$10)-LN(1+Supuestos!$E$10^2/Supuestos!$D$10^2)/2,SQRT(LN(1+Supuestos!$E$10^2/Supuestos!$D$10^2))),Supuestos!$D$10))))))</f>
        <v/>
      </c>
      <c r="O425" s="31">
        <f>MIN(IF(Supuestos!$H$11="",1E+99,Supuestos!$H$11),MAX(IF(Supuestos!$G$11="",-1E+99,Supuestos!$G$11),IF(Supuestos!$C$11="Normal",NORMINV(H425,Supuestos!$D$11,Supuestos!$E$11),IF(Supuestos!$C$11="Triangular",IF(H425&lt;(Supuestos!$E$11-Supuestos!$D$11)/(Supuestos!$F$11-Supuestos!$D$11),Supuestos!$D$11+SQRT(H425*(Supuestos!$F$11-Supuestos!$D$11)*(Supuestos!$E$11-Supuestos!$D$11)),Supuestos!$F$11-SQRT((1-H425)*(Supuestos!$F$11-Supuestos!$D$11)*(Supuestos!$F$11-Supuestos!$E$11))),IF(Supuestos!$C$11="Uniforme",Supuestos!$D$11+H425*(Supuestos!$E$11-Supuestos!$D$11),IF(Supuestos!$C$11="Lognormal",LOGINV(H425,LN(Supuestos!$D$11)-LN(1+Supuestos!$E$11^2/Supuestos!$D$11^2)/2,SQRT(LN(1+Supuestos!$E$11^2/Supuestos!$D$11^2))),Supuestos!$D$11))))))</f>
        <v/>
      </c>
      <c r="P425" s="33">
        <f>-I425</f>
        <v/>
      </c>
      <c r="Q425" s="33">
        <f>$J425*(1+$K425)^(1-1)*(1-$L425)*(1-$M425)</f>
        <v/>
      </c>
      <c r="R425" s="33">
        <f>$J425*(1+$K425)^(2-1)*(1-$L425)*(1-$M425)</f>
        <v/>
      </c>
      <c r="S425" s="33">
        <f>$J425*(1+$K425)^(3-1)*(1-$L425)*(1-$M425)</f>
        <v/>
      </c>
      <c r="T425" s="33">
        <f>$J425*(1+$K425)^(4-1)*(1-$L425)*(1-$M425)</f>
        <v/>
      </c>
      <c r="U425" s="33">
        <f>$J425*(1+$K425)^(5-1)*(1-$L425)*(1-$M425)+$O425</f>
        <v/>
      </c>
      <c r="V425" s="33">
        <f>P425+NPV($N425,Q425:U425)</f>
        <v/>
      </c>
      <c r="W425" s="32">
        <f>IFERROR(IRR(P425:U425,0.1),"")</f>
        <v/>
      </c>
    </row>
    <row r="426">
      <c r="A426" s="14" t="n">
        <v>422</v>
      </c>
      <c r="B426" s="30">
        <f>RAND()*(1-2E-6)+1E-6</f>
        <v/>
      </c>
      <c r="C426" s="30">
        <f>RAND()*(1-2E-6)+1E-6</f>
        <v/>
      </c>
      <c r="D426" s="30">
        <f>RAND()*(1-2E-6)+1E-6</f>
        <v/>
      </c>
      <c r="E426" s="30">
        <f>RAND()*(1-2E-6)+1E-6</f>
        <v/>
      </c>
      <c r="F426" s="30">
        <f>RAND()*(1-2E-6)+1E-6</f>
        <v/>
      </c>
      <c r="G426" s="30">
        <f>RAND()*(1-2E-6)+1E-6</f>
        <v/>
      </c>
      <c r="H426" s="30">
        <f>RAND()*(1-2E-6)+1E-6</f>
        <v/>
      </c>
      <c r="I426" s="31">
        <f>MIN(IF(Supuestos!$H$5="",1E+99,Supuestos!$H$5),MAX(IF(Supuestos!$G$5="",-1E+99,Supuestos!$G$5),IF(Supuestos!$C$5="Normal",NORMINV(B426,Supuestos!$D$5,Supuestos!$E$5),IF(Supuestos!$C$5="Triangular",IF(B426&lt;(Supuestos!$E$5-Supuestos!$D$5)/(Supuestos!$F$5-Supuestos!$D$5),Supuestos!$D$5+SQRT(B426*(Supuestos!$F$5-Supuestos!$D$5)*(Supuestos!$E$5-Supuestos!$D$5)),Supuestos!$F$5-SQRT((1-B426)*(Supuestos!$F$5-Supuestos!$D$5)*(Supuestos!$F$5-Supuestos!$E$5))),IF(Supuestos!$C$5="Uniforme",Supuestos!$D$5+B426*(Supuestos!$E$5-Supuestos!$D$5),IF(Supuestos!$C$5="Lognormal",LOGINV(B426,LN(Supuestos!$D$5)-LN(1+Supuestos!$E$5^2/Supuestos!$D$5^2)/2,SQRT(LN(1+Supuestos!$E$5^2/Supuestos!$D$5^2))),Supuestos!$D$5))))))</f>
        <v/>
      </c>
      <c r="J426" s="31">
        <f>MIN(IF(Supuestos!$H$6="",1E+99,Supuestos!$H$6),MAX(IF(Supuestos!$G$6="",-1E+99,Supuestos!$G$6),IF(Supuestos!$C$6="Normal",NORMINV(C426,Supuestos!$D$6,Supuestos!$E$6),IF(Supuestos!$C$6="Triangular",IF(C426&lt;(Supuestos!$E$6-Supuestos!$D$6)/(Supuestos!$F$6-Supuestos!$D$6),Supuestos!$D$6+SQRT(C426*(Supuestos!$F$6-Supuestos!$D$6)*(Supuestos!$E$6-Supuestos!$D$6)),Supuestos!$F$6-SQRT((1-C426)*(Supuestos!$F$6-Supuestos!$D$6)*(Supuestos!$F$6-Supuestos!$E$6))),IF(Supuestos!$C$6="Uniforme",Supuestos!$D$6+C426*(Supuestos!$E$6-Supuestos!$D$6),IF(Supuestos!$C$6="Lognormal",LOGINV(C426,LN(Supuestos!$D$6)-LN(1+Supuestos!$E$6^2/Supuestos!$D$6^2)/2,SQRT(LN(1+Supuestos!$E$6^2/Supuestos!$D$6^2))),Supuestos!$D$6))))))</f>
        <v/>
      </c>
      <c r="K426" s="32">
        <f>MIN(IF(Supuestos!$H$7="",1E+99,Supuestos!$H$7),MAX(IF(Supuestos!$G$7="",-1E+99,Supuestos!$G$7),IF(Supuestos!$C$7="Normal",NORMINV(D426,Supuestos!$D$7,Supuestos!$E$7),IF(Supuestos!$C$7="Triangular",IF(D426&lt;(Supuestos!$E$7-Supuestos!$D$7)/(Supuestos!$F$7-Supuestos!$D$7),Supuestos!$D$7+SQRT(D426*(Supuestos!$F$7-Supuestos!$D$7)*(Supuestos!$E$7-Supuestos!$D$7)),Supuestos!$F$7-SQRT((1-D426)*(Supuestos!$F$7-Supuestos!$D$7)*(Supuestos!$F$7-Supuestos!$E$7))),IF(Supuestos!$C$7="Uniforme",Supuestos!$D$7+D426*(Supuestos!$E$7-Supuestos!$D$7),IF(Supuestos!$C$7="Lognormal",LOGINV(D426,LN(Supuestos!$D$7)-LN(1+Supuestos!$E$7^2/Supuestos!$D$7^2)/2,SQRT(LN(1+Supuestos!$E$7^2/Supuestos!$D$7^2))),Supuestos!$D$7))))))</f>
        <v/>
      </c>
      <c r="L426" s="32">
        <f>MIN(IF(Supuestos!$H$8="",1E+99,Supuestos!$H$8),MAX(IF(Supuestos!$G$8="",-1E+99,Supuestos!$G$8),IF(Supuestos!$C$8="Normal",NORMINV(E426,Supuestos!$D$8,Supuestos!$E$8),IF(Supuestos!$C$8="Triangular",IF(E426&lt;(Supuestos!$E$8-Supuestos!$D$8)/(Supuestos!$F$8-Supuestos!$D$8),Supuestos!$D$8+SQRT(E426*(Supuestos!$F$8-Supuestos!$D$8)*(Supuestos!$E$8-Supuestos!$D$8)),Supuestos!$F$8-SQRT((1-E426)*(Supuestos!$F$8-Supuestos!$D$8)*(Supuestos!$F$8-Supuestos!$E$8))),IF(Supuestos!$C$8="Uniforme",Supuestos!$D$8+E426*(Supuestos!$E$8-Supuestos!$D$8),IF(Supuestos!$C$8="Lognormal",LOGINV(E426,LN(Supuestos!$D$8)-LN(1+Supuestos!$E$8^2/Supuestos!$D$8^2)/2,SQRT(LN(1+Supuestos!$E$8^2/Supuestos!$D$8^2))),Supuestos!$D$8))))))</f>
        <v/>
      </c>
      <c r="M426" s="32">
        <f>MIN(IF(Supuestos!$H$9="",1E+99,Supuestos!$H$9),MAX(IF(Supuestos!$G$9="",-1E+99,Supuestos!$G$9),IF(Supuestos!$C$9="Normal",NORMINV(F426,Supuestos!$D$9,Supuestos!$E$9),IF(Supuestos!$C$9="Triangular",IF(F426&lt;(Supuestos!$E$9-Supuestos!$D$9)/(Supuestos!$F$9-Supuestos!$D$9),Supuestos!$D$9+SQRT(F426*(Supuestos!$F$9-Supuestos!$D$9)*(Supuestos!$E$9-Supuestos!$D$9)),Supuestos!$F$9-SQRT((1-F426)*(Supuestos!$F$9-Supuestos!$D$9)*(Supuestos!$F$9-Supuestos!$E$9))),IF(Supuestos!$C$9="Uniforme",Supuestos!$D$9+F426*(Supuestos!$E$9-Supuestos!$D$9),IF(Supuestos!$C$9="Lognormal",LOGINV(F426,LN(Supuestos!$D$9)-LN(1+Supuestos!$E$9^2/Supuestos!$D$9^2)/2,SQRT(LN(1+Supuestos!$E$9^2/Supuestos!$D$9^2))),Supuestos!$D$9))))))</f>
        <v/>
      </c>
      <c r="N426" s="32">
        <f>MIN(IF(Supuestos!$H$10="",1E+99,Supuestos!$H$10),MAX(IF(Supuestos!$G$10="",-1E+99,Supuestos!$G$10),IF(Supuestos!$C$10="Normal",NORMINV(G426,Supuestos!$D$10,Supuestos!$E$10),IF(Supuestos!$C$10="Triangular",IF(G426&lt;(Supuestos!$E$10-Supuestos!$D$10)/(Supuestos!$F$10-Supuestos!$D$10),Supuestos!$D$10+SQRT(G426*(Supuestos!$F$10-Supuestos!$D$10)*(Supuestos!$E$10-Supuestos!$D$10)),Supuestos!$F$10-SQRT((1-G426)*(Supuestos!$F$10-Supuestos!$D$10)*(Supuestos!$F$10-Supuestos!$E$10))),IF(Supuestos!$C$10="Uniforme",Supuestos!$D$10+G426*(Supuestos!$E$10-Supuestos!$D$10),IF(Supuestos!$C$10="Lognormal",LOGINV(G426,LN(Supuestos!$D$10)-LN(1+Supuestos!$E$10^2/Supuestos!$D$10^2)/2,SQRT(LN(1+Supuestos!$E$10^2/Supuestos!$D$10^2))),Supuestos!$D$10))))))</f>
        <v/>
      </c>
      <c r="O426" s="31">
        <f>MIN(IF(Supuestos!$H$11="",1E+99,Supuestos!$H$11),MAX(IF(Supuestos!$G$11="",-1E+99,Supuestos!$G$11),IF(Supuestos!$C$11="Normal",NORMINV(H426,Supuestos!$D$11,Supuestos!$E$11),IF(Supuestos!$C$11="Triangular",IF(H426&lt;(Supuestos!$E$11-Supuestos!$D$11)/(Supuestos!$F$11-Supuestos!$D$11),Supuestos!$D$11+SQRT(H426*(Supuestos!$F$11-Supuestos!$D$11)*(Supuestos!$E$11-Supuestos!$D$11)),Supuestos!$F$11-SQRT((1-H426)*(Supuestos!$F$11-Supuestos!$D$11)*(Supuestos!$F$11-Supuestos!$E$11))),IF(Supuestos!$C$11="Uniforme",Supuestos!$D$11+H426*(Supuestos!$E$11-Supuestos!$D$11),IF(Supuestos!$C$11="Lognormal",LOGINV(H426,LN(Supuestos!$D$11)-LN(1+Supuestos!$E$11^2/Supuestos!$D$11^2)/2,SQRT(LN(1+Supuestos!$E$11^2/Supuestos!$D$11^2))),Supuestos!$D$11))))))</f>
        <v/>
      </c>
      <c r="P426" s="33">
        <f>-I426</f>
        <v/>
      </c>
      <c r="Q426" s="33">
        <f>$J426*(1+$K426)^(1-1)*(1-$L426)*(1-$M426)</f>
        <v/>
      </c>
      <c r="R426" s="33">
        <f>$J426*(1+$K426)^(2-1)*(1-$L426)*(1-$M426)</f>
        <v/>
      </c>
      <c r="S426" s="33">
        <f>$J426*(1+$K426)^(3-1)*(1-$L426)*(1-$M426)</f>
        <v/>
      </c>
      <c r="T426" s="33">
        <f>$J426*(1+$K426)^(4-1)*(1-$L426)*(1-$M426)</f>
        <v/>
      </c>
      <c r="U426" s="33">
        <f>$J426*(1+$K426)^(5-1)*(1-$L426)*(1-$M426)+$O426</f>
        <v/>
      </c>
      <c r="V426" s="33">
        <f>P426+NPV($N426,Q426:U426)</f>
        <v/>
      </c>
      <c r="W426" s="32">
        <f>IFERROR(IRR(P426:U426,0.1),"")</f>
        <v/>
      </c>
    </row>
    <row r="427">
      <c r="A427" s="14" t="n">
        <v>423</v>
      </c>
      <c r="B427" s="30">
        <f>RAND()*(1-2E-6)+1E-6</f>
        <v/>
      </c>
      <c r="C427" s="30">
        <f>RAND()*(1-2E-6)+1E-6</f>
        <v/>
      </c>
      <c r="D427" s="30">
        <f>RAND()*(1-2E-6)+1E-6</f>
        <v/>
      </c>
      <c r="E427" s="30">
        <f>RAND()*(1-2E-6)+1E-6</f>
        <v/>
      </c>
      <c r="F427" s="30">
        <f>RAND()*(1-2E-6)+1E-6</f>
        <v/>
      </c>
      <c r="G427" s="30">
        <f>RAND()*(1-2E-6)+1E-6</f>
        <v/>
      </c>
      <c r="H427" s="30">
        <f>RAND()*(1-2E-6)+1E-6</f>
        <v/>
      </c>
      <c r="I427" s="31">
        <f>MIN(IF(Supuestos!$H$5="",1E+99,Supuestos!$H$5),MAX(IF(Supuestos!$G$5="",-1E+99,Supuestos!$G$5),IF(Supuestos!$C$5="Normal",NORMINV(B427,Supuestos!$D$5,Supuestos!$E$5),IF(Supuestos!$C$5="Triangular",IF(B427&lt;(Supuestos!$E$5-Supuestos!$D$5)/(Supuestos!$F$5-Supuestos!$D$5),Supuestos!$D$5+SQRT(B427*(Supuestos!$F$5-Supuestos!$D$5)*(Supuestos!$E$5-Supuestos!$D$5)),Supuestos!$F$5-SQRT((1-B427)*(Supuestos!$F$5-Supuestos!$D$5)*(Supuestos!$F$5-Supuestos!$E$5))),IF(Supuestos!$C$5="Uniforme",Supuestos!$D$5+B427*(Supuestos!$E$5-Supuestos!$D$5),IF(Supuestos!$C$5="Lognormal",LOGINV(B427,LN(Supuestos!$D$5)-LN(1+Supuestos!$E$5^2/Supuestos!$D$5^2)/2,SQRT(LN(1+Supuestos!$E$5^2/Supuestos!$D$5^2))),Supuestos!$D$5))))))</f>
        <v/>
      </c>
      <c r="J427" s="31">
        <f>MIN(IF(Supuestos!$H$6="",1E+99,Supuestos!$H$6),MAX(IF(Supuestos!$G$6="",-1E+99,Supuestos!$G$6),IF(Supuestos!$C$6="Normal",NORMINV(C427,Supuestos!$D$6,Supuestos!$E$6),IF(Supuestos!$C$6="Triangular",IF(C427&lt;(Supuestos!$E$6-Supuestos!$D$6)/(Supuestos!$F$6-Supuestos!$D$6),Supuestos!$D$6+SQRT(C427*(Supuestos!$F$6-Supuestos!$D$6)*(Supuestos!$E$6-Supuestos!$D$6)),Supuestos!$F$6-SQRT((1-C427)*(Supuestos!$F$6-Supuestos!$D$6)*(Supuestos!$F$6-Supuestos!$E$6))),IF(Supuestos!$C$6="Uniforme",Supuestos!$D$6+C427*(Supuestos!$E$6-Supuestos!$D$6),IF(Supuestos!$C$6="Lognormal",LOGINV(C427,LN(Supuestos!$D$6)-LN(1+Supuestos!$E$6^2/Supuestos!$D$6^2)/2,SQRT(LN(1+Supuestos!$E$6^2/Supuestos!$D$6^2))),Supuestos!$D$6))))))</f>
        <v/>
      </c>
      <c r="K427" s="32">
        <f>MIN(IF(Supuestos!$H$7="",1E+99,Supuestos!$H$7),MAX(IF(Supuestos!$G$7="",-1E+99,Supuestos!$G$7),IF(Supuestos!$C$7="Normal",NORMINV(D427,Supuestos!$D$7,Supuestos!$E$7),IF(Supuestos!$C$7="Triangular",IF(D427&lt;(Supuestos!$E$7-Supuestos!$D$7)/(Supuestos!$F$7-Supuestos!$D$7),Supuestos!$D$7+SQRT(D427*(Supuestos!$F$7-Supuestos!$D$7)*(Supuestos!$E$7-Supuestos!$D$7)),Supuestos!$F$7-SQRT((1-D427)*(Supuestos!$F$7-Supuestos!$D$7)*(Supuestos!$F$7-Supuestos!$E$7))),IF(Supuestos!$C$7="Uniforme",Supuestos!$D$7+D427*(Supuestos!$E$7-Supuestos!$D$7),IF(Supuestos!$C$7="Lognormal",LOGINV(D427,LN(Supuestos!$D$7)-LN(1+Supuestos!$E$7^2/Supuestos!$D$7^2)/2,SQRT(LN(1+Supuestos!$E$7^2/Supuestos!$D$7^2))),Supuestos!$D$7))))))</f>
        <v/>
      </c>
      <c r="L427" s="32">
        <f>MIN(IF(Supuestos!$H$8="",1E+99,Supuestos!$H$8),MAX(IF(Supuestos!$G$8="",-1E+99,Supuestos!$G$8),IF(Supuestos!$C$8="Normal",NORMINV(E427,Supuestos!$D$8,Supuestos!$E$8),IF(Supuestos!$C$8="Triangular",IF(E427&lt;(Supuestos!$E$8-Supuestos!$D$8)/(Supuestos!$F$8-Supuestos!$D$8),Supuestos!$D$8+SQRT(E427*(Supuestos!$F$8-Supuestos!$D$8)*(Supuestos!$E$8-Supuestos!$D$8)),Supuestos!$F$8-SQRT((1-E427)*(Supuestos!$F$8-Supuestos!$D$8)*(Supuestos!$F$8-Supuestos!$E$8))),IF(Supuestos!$C$8="Uniforme",Supuestos!$D$8+E427*(Supuestos!$E$8-Supuestos!$D$8),IF(Supuestos!$C$8="Lognormal",LOGINV(E427,LN(Supuestos!$D$8)-LN(1+Supuestos!$E$8^2/Supuestos!$D$8^2)/2,SQRT(LN(1+Supuestos!$E$8^2/Supuestos!$D$8^2))),Supuestos!$D$8))))))</f>
        <v/>
      </c>
      <c r="M427" s="32">
        <f>MIN(IF(Supuestos!$H$9="",1E+99,Supuestos!$H$9),MAX(IF(Supuestos!$G$9="",-1E+99,Supuestos!$G$9),IF(Supuestos!$C$9="Normal",NORMINV(F427,Supuestos!$D$9,Supuestos!$E$9),IF(Supuestos!$C$9="Triangular",IF(F427&lt;(Supuestos!$E$9-Supuestos!$D$9)/(Supuestos!$F$9-Supuestos!$D$9),Supuestos!$D$9+SQRT(F427*(Supuestos!$F$9-Supuestos!$D$9)*(Supuestos!$E$9-Supuestos!$D$9)),Supuestos!$F$9-SQRT((1-F427)*(Supuestos!$F$9-Supuestos!$D$9)*(Supuestos!$F$9-Supuestos!$E$9))),IF(Supuestos!$C$9="Uniforme",Supuestos!$D$9+F427*(Supuestos!$E$9-Supuestos!$D$9),IF(Supuestos!$C$9="Lognormal",LOGINV(F427,LN(Supuestos!$D$9)-LN(1+Supuestos!$E$9^2/Supuestos!$D$9^2)/2,SQRT(LN(1+Supuestos!$E$9^2/Supuestos!$D$9^2))),Supuestos!$D$9))))))</f>
        <v/>
      </c>
      <c r="N427" s="32">
        <f>MIN(IF(Supuestos!$H$10="",1E+99,Supuestos!$H$10),MAX(IF(Supuestos!$G$10="",-1E+99,Supuestos!$G$10),IF(Supuestos!$C$10="Normal",NORMINV(G427,Supuestos!$D$10,Supuestos!$E$10),IF(Supuestos!$C$10="Triangular",IF(G427&lt;(Supuestos!$E$10-Supuestos!$D$10)/(Supuestos!$F$10-Supuestos!$D$10),Supuestos!$D$10+SQRT(G427*(Supuestos!$F$10-Supuestos!$D$10)*(Supuestos!$E$10-Supuestos!$D$10)),Supuestos!$F$10-SQRT((1-G427)*(Supuestos!$F$10-Supuestos!$D$10)*(Supuestos!$F$10-Supuestos!$E$10))),IF(Supuestos!$C$10="Uniforme",Supuestos!$D$10+G427*(Supuestos!$E$10-Supuestos!$D$10),IF(Supuestos!$C$10="Lognormal",LOGINV(G427,LN(Supuestos!$D$10)-LN(1+Supuestos!$E$10^2/Supuestos!$D$10^2)/2,SQRT(LN(1+Supuestos!$E$10^2/Supuestos!$D$10^2))),Supuestos!$D$10))))))</f>
        <v/>
      </c>
      <c r="O427" s="31">
        <f>MIN(IF(Supuestos!$H$11="",1E+99,Supuestos!$H$11),MAX(IF(Supuestos!$G$11="",-1E+99,Supuestos!$G$11),IF(Supuestos!$C$11="Normal",NORMINV(H427,Supuestos!$D$11,Supuestos!$E$11),IF(Supuestos!$C$11="Triangular",IF(H427&lt;(Supuestos!$E$11-Supuestos!$D$11)/(Supuestos!$F$11-Supuestos!$D$11),Supuestos!$D$11+SQRT(H427*(Supuestos!$F$11-Supuestos!$D$11)*(Supuestos!$E$11-Supuestos!$D$11)),Supuestos!$F$11-SQRT((1-H427)*(Supuestos!$F$11-Supuestos!$D$11)*(Supuestos!$F$11-Supuestos!$E$11))),IF(Supuestos!$C$11="Uniforme",Supuestos!$D$11+H427*(Supuestos!$E$11-Supuestos!$D$11),IF(Supuestos!$C$11="Lognormal",LOGINV(H427,LN(Supuestos!$D$11)-LN(1+Supuestos!$E$11^2/Supuestos!$D$11^2)/2,SQRT(LN(1+Supuestos!$E$11^2/Supuestos!$D$11^2))),Supuestos!$D$11))))))</f>
        <v/>
      </c>
      <c r="P427" s="33">
        <f>-I427</f>
        <v/>
      </c>
      <c r="Q427" s="33">
        <f>$J427*(1+$K427)^(1-1)*(1-$L427)*(1-$M427)</f>
        <v/>
      </c>
      <c r="R427" s="33">
        <f>$J427*(1+$K427)^(2-1)*(1-$L427)*(1-$M427)</f>
        <v/>
      </c>
      <c r="S427" s="33">
        <f>$J427*(1+$K427)^(3-1)*(1-$L427)*(1-$M427)</f>
        <v/>
      </c>
      <c r="T427" s="33">
        <f>$J427*(1+$K427)^(4-1)*(1-$L427)*(1-$M427)</f>
        <v/>
      </c>
      <c r="U427" s="33">
        <f>$J427*(1+$K427)^(5-1)*(1-$L427)*(1-$M427)+$O427</f>
        <v/>
      </c>
      <c r="V427" s="33">
        <f>P427+NPV($N427,Q427:U427)</f>
        <v/>
      </c>
      <c r="W427" s="32">
        <f>IFERROR(IRR(P427:U427,0.1),"")</f>
        <v/>
      </c>
    </row>
    <row r="428">
      <c r="A428" s="14" t="n">
        <v>424</v>
      </c>
      <c r="B428" s="30">
        <f>RAND()*(1-2E-6)+1E-6</f>
        <v/>
      </c>
      <c r="C428" s="30">
        <f>RAND()*(1-2E-6)+1E-6</f>
        <v/>
      </c>
      <c r="D428" s="30">
        <f>RAND()*(1-2E-6)+1E-6</f>
        <v/>
      </c>
      <c r="E428" s="30">
        <f>RAND()*(1-2E-6)+1E-6</f>
        <v/>
      </c>
      <c r="F428" s="30">
        <f>RAND()*(1-2E-6)+1E-6</f>
        <v/>
      </c>
      <c r="G428" s="30">
        <f>RAND()*(1-2E-6)+1E-6</f>
        <v/>
      </c>
      <c r="H428" s="30">
        <f>RAND()*(1-2E-6)+1E-6</f>
        <v/>
      </c>
      <c r="I428" s="31">
        <f>MIN(IF(Supuestos!$H$5="",1E+99,Supuestos!$H$5),MAX(IF(Supuestos!$G$5="",-1E+99,Supuestos!$G$5),IF(Supuestos!$C$5="Normal",NORMINV(B428,Supuestos!$D$5,Supuestos!$E$5),IF(Supuestos!$C$5="Triangular",IF(B428&lt;(Supuestos!$E$5-Supuestos!$D$5)/(Supuestos!$F$5-Supuestos!$D$5),Supuestos!$D$5+SQRT(B428*(Supuestos!$F$5-Supuestos!$D$5)*(Supuestos!$E$5-Supuestos!$D$5)),Supuestos!$F$5-SQRT((1-B428)*(Supuestos!$F$5-Supuestos!$D$5)*(Supuestos!$F$5-Supuestos!$E$5))),IF(Supuestos!$C$5="Uniforme",Supuestos!$D$5+B428*(Supuestos!$E$5-Supuestos!$D$5),IF(Supuestos!$C$5="Lognormal",LOGINV(B428,LN(Supuestos!$D$5)-LN(1+Supuestos!$E$5^2/Supuestos!$D$5^2)/2,SQRT(LN(1+Supuestos!$E$5^2/Supuestos!$D$5^2))),Supuestos!$D$5))))))</f>
        <v/>
      </c>
      <c r="J428" s="31">
        <f>MIN(IF(Supuestos!$H$6="",1E+99,Supuestos!$H$6),MAX(IF(Supuestos!$G$6="",-1E+99,Supuestos!$G$6),IF(Supuestos!$C$6="Normal",NORMINV(C428,Supuestos!$D$6,Supuestos!$E$6),IF(Supuestos!$C$6="Triangular",IF(C428&lt;(Supuestos!$E$6-Supuestos!$D$6)/(Supuestos!$F$6-Supuestos!$D$6),Supuestos!$D$6+SQRT(C428*(Supuestos!$F$6-Supuestos!$D$6)*(Supuestos!$E$6-Supuestos!$D$6)),Supuestos!$F$6-SQRT((1-C428)*(Supuestos!$F$6-Supuestos!$D$6)*(Supuestos!$F$6-Supuestos!$E$6))),IF(Supuestos!$C$6="Uniforme",Supuestos!$D$6+C428*(Supuestos!$E$6-Supuestos!$D$6),IF(Supuestos!$C$6="Lognormal",LOGINV(C428,LN(Supuestos!$D$6)-LN(1+Supuestos!$E$6^2/Supuestos!$D$6^2)/2,SQRT(LN(1+Supuestos!$E$6^2/Supuestos!$D$6^2))),Supuestos!$D$6))))))</f>
        <v/>
      </c>
      <c r="K428" s="32">
        <f>MIN(IF(Supuestos!$H$7="",1E+99,Supuestos!$H$7),MAX(IF(Supuestos!$G$7="",-1E+99,Supuestos!$G$7),IF(Supuestos!$C$7="Normal",NORMINV(D428,Supuestos!$D$7,Supuestos!$E$7),IF(Supuestos!$C$7="Triangular",IF(D428&lt;(Supuestos!$E$7-Supuestos!$D$7)/(Supuestos!$F$7-Supuestos!$D$7),Supuestos!$D$7+SQRT(D428*(Supuestos!$F$7-Supuestos!$D$7)*(Supuestos!$E$7-Supuestos!$D$7)),Supuestos!$F$7-SQRT((1-D428)*(Supuestos!$F$7-Supuestos!$D$7)*(Supuestos!$F$7-Supuestos!$E$7))),IF(Supuestos!$C$7="Uniforme",Supuestos!$D$7+D428*(Supuestos!$E$7-Supuestos!$D$7),IF(Supuestos!$C$7="Lognormal",LOGINV(D428,LN(Supuestos!$D$7)-LN(1+Supuestos!$E$7^2/Supuestos!$D$7^2)/2,SQRT(LN(1+Supuestos!$E$7^2/Supuestos!$D$7^2))),Supuestos!$D$7))))))</f>
        <v/>
      </c>
      <c r="L428" s="32">
        <f>MIN(IF(Supuestos!$H$8="",1E+99,Supuestos!$H$8),MAX(IF(Supuestos!$G$8="",-1E+99,Supuestos!$G$8),IF(Supuestos!$C$8="Normal",NORMINV(E428,Supuestos!$D$8,Supuestos!$E$8),IF(Supuestos!$C$8="Triangular",IF(E428&lt;(Supuestos!$E$8-Supuestos!$D$8)/(Supuestos!$F$8-Supuestos!$D$8),Supuestos!$D$8+SQRT(E428*(Supuestos!$F$8-Supuestos!$D$8)*(Supuestos!$E$8-Supuestos!$D$8)),Supuestos!$F$8-SQRT((1-E428)*(Supuestos!$F$8-Supuestos!$D$8)*(Supuestos!$F$8-Supuestos!$E$8))),IF(Supuestos!$C$8="Uniforme",Supuestos!$D$8+E428*(Supuestos!$E$8-Supuestos!$D$8),IF(Supuestos!$C$8="Lognormal",LOGINV(E428,LN(Supuestos!$D$8)-LN(1+Supuestos!$E$8^2/Supuestos!$D$8^2)/2,SQRT(LN(1+Supuestos!$E$8^2/Supuestos!$D$8^2))),Supuestos!$D$8))))))</f>
        <v/>
      </c>
      <c r="M428" s="32">
        <f>MIN(IF(Supuestos!$H$9="",1E+99,Supuestos!$H$9),MAX(IF(Supuestos!$G$9="",-1E+99,Supuestos!$G$9),IF(Supuestos!$C$9="Normal",NORMINV(F428,Supuestos!$D$9,Supuestos!$E$9),IF(Supuestos!$C$9="Triangular",IF(F428&lt;(Supuestos!$E$9-Supuestos!$D$9)/(Supuestos!$F$9-Supuestos!$D$9),Supuestos!$D$9+SQRT(F428*(Supuestos!$F$9-Supuestos!$D$9)*(Supuestos!$E$9-Supuestos!$D$9)),Supuestos!$F$9-SQRT((1-F428)*(Supuestos!$F$9-Supuestos!$D$9)*(Supuestos!$F$9-Supuestos!$E$9))),IF(Supuestos!$C$9="Uniforme",Supuestos!$D$9+F428*(Supuestos!$E$9-Supuestos!$D$9),IF(Supuestos!$C$9="Lognormal",LOGINV(F428,LN(Supuestos!$D$9)-LN(1+Supuestos!$E$9^2/Supuestos!$D$9^2)/2,SQRT(LN(1+Supuestos!$E$9^2/Supuestos!$D$9^2))),Supuestos!$D$9))))))</f>
        <v/>
      </c>
      <c r="N428" s="32">
        <f>MIN(IF(Supuestos!$H$10="",1E+99,Supuestos!$H$10),MAX(IF(Supuestos!$G$10="",-1E+99,Supuestos!$G$10),IF(Supuestos!$C$10="Normal",NORMINV(G428,Supuestos!$D$10,Supuestos!$E$10),IF(Supuestos!$C$10="Triangular",IF(G428&lt;(Supuestos!$E$10-Supuestos!$D$10)/(Supuestos!$F$10-Supuestos!$D$10),Supuestos!$D$10+SQRT(G428*(Supuestos!$F$10-Supuestos!$D$10)*(Supuestos!$E$10-Supuestos!$D$10)),Supuestos!$F$10-SQRT((1-G428)*(Supuestos!$F$10-Supuestos!$D$10)*(Supuestos!$F$10-Supuestos!$E$10))),IF(Supuestos!$C$10="Uniforme",Supuestos!$D$10+G428*(Supuestos!$E$10-Supuestos!$D$10),IF(Supuestos!$C$10="Lognormal",LOGINV(G428,LN(Supuestos!$D$10)-LN(1+Supuestos!$E$10^2/Supuestos!$D$10^2)/2,SQRT(LN(1+Supuestos!$E$10^2/Supuestos!$D$10^2))),Supuestos!$D$10))))))</f>
        <v/>
      </c>
      <c r="O428" s="31">
        <f>MIN(IF(Supuestos!$H$11="",1E+99,Supuestos!$H$11),MAX(IF(Supuestos!$G$11="",-1E+99,Supuestos!$G$11),IF(Supuestos!$C$11="Normal",NORMINV(H428,Supuestos!$D$11,Supuestos!$E$11),IF(Supuestos!$C$11="Triangular",IF(H428&lt;(Supuestos!$E$11-Supuestos!$D$11)/(Supuestos!$F$11-Supuestos!$D$11),Supuestos!$D$11+SQRT(H428*(Supuestos!$F$11-Supuestos!$D$11)*(Supuestos!$E$11-Supuestos!$D$11)),Supuestos!$F$11-SQRT((1-H428)*(Supuestos!$F$11-Supuestos!$D$11)*(Supuestos!$F$11-Supuestos!$E$11))),IF(Supuestos!$C$11="Uniforme",Supuestos!$D$11+H428*(Supuestos!$E$11-Supuestos!$D$11),IF(Supuestos!$C$11="Lognormal",LOGINV(H428,LN(Supuestos!$D$11)-LN(1+Supuestos!$E$11^2/Supuestos!$D$11^2)/2,SQRT(LN(1+Supuestos!$E$11^2/Supuestos!$D$11^2))),Supuestos!$D$11))))))</f>
        <v/>
      </c>
      <c r="P428" s="33">
        <f>-I428</f>
        <v/>
      </c>
      <c r="Q428" s="33">
        <f>$J428*(1+$K428)^(1-1)*(1-$L428)*(1-$M428)</f>
        <v/>
      </c>
      <c r="R428" s="33">
        <f>$J428*(1+$K428)^(2-1)*(1-$L428)*(1-$M428)</f>
        <v/>
      </c>
      <c r="S428" s="33">
        <f>$J428*(1+$K428)^(3-1)*(1-$L428)*(1-$M428)</f>
        <v/>
      </c>
      <c r="T428" s="33">
        <f>$J428*(1+$K428)^(4-1)*(1-$L428)*(1-$M428)</f>
        <v/>
      </c>
      <c r="U428" s="33">
        <f>$J428*(1+$K428)^(5-1)*(1-$L428)*(1-$M428)+$O428</f>
        <v/>
      </c>
      <c r="V428" s="33">
        <f>P428+NPV($N428,Q428:U428)</f>
        <v/>
      </c>
      <c r="W428" s="32">
        <f>IFERROR(IRR(P428:U428,0.1),"")</f>
        <v/>
      </c>
    </row>
    <row r="429">
      <c r="A429" s="14" t="n">
        <v>425</v>
      </c>
      <c r="B429" s="30">
        <f>RAND()*(1-2E-6)+1E-6</f>
        <v/>
      </c>
      <c r="C429" s="30">
        <f>RAND()*(1-2E-6)+1E-6</f>
        <v/>
      </c>
      <c r="D429" s="30">
        <f>RAND()*(1-2E-6)+1E-6</f>
        <v/>
      </c>
      <c r="E429" s="30">
        <f>RAND()*(1-2E-6)+1E-6</f>
        <v/>
      </c>
      <c r="F429" s="30">
        <f>RAND()*(1-2E-6)+1E-6</f>
        <v/>
      </c>
      <c r="G429" s="30">
        <f>RAND()*(1-2E-6)+1E-6</f>
        <v/>
      </c>
      <c r="H429" s="30">
        <f>RAND()*(1-2E-6)+1E-6</f>
        <v/>
      </c>
      <c r="I429" s="31">
        <f>MIN(IF(Supuestos!$H$5="",1E+99,Supuestos!$H$5),MAX(IF(Supuestos!$G$5="",-1E+99,Supuestos!$G$5),IF(Supuestos!$C$5="Normal",NORMINV(B429,Supuestos!$D$5,Supuestos!$E$5),IF(Supuestos!$C$5="Triangular",IF(B429&lt;(Supuestos!$E$5-Supuestos!$D$5)/(Supuestos!$F$5-Supuestos!$D$5),Supuestos!$D$5+SQRT(B429*(Supuestos!$F$5-Supuestos!$D$5)*(Supuestos!$E$5-Supuestos!$D$5)),Supuestos!$F$5-SQRT((1-B429)*(Supuestos!$F$5-Supuestos!$D$5)*(Supuestos!$F$5-Supuestos!$E$5))),IF(Supuestos!$C$5="Uniforme",Supuestos!$D$5+B429*(Supuestos!$E$5-Supuestos!$D$5),IF(Supuestos!$C$5="Lognormal",LOGINV(B429,LN(Supuestos!$D$5)-LN(1+Supuestos!$E$5^2/Supuestos!$D$5^2)/2,SQRT(LN(1+Supuestos!$E$5^2/Supuestos!$D$5^2))),Supuestos!$D$5))))))</f>
        <v/>
      </c>
      <c r="J429" s="31">
        <f>MIN(IF(Supuestos!$H$6="",1E+99,Supuestos!$H$6),MAX(IF(Supuestos!$G$6="",-1E+99,Supuestos!$G$6),IF(Supuestos!$C$6="Normal",NORMINV(C429,Supuestos!$D$6,Supuestos!$E$6),IF(Supuestos!$C$6="Triangular",IF(C429&lt;(Supuestos!$E$6-Supuestos!$D$6)/(Supuestos!$F$6-Supuestos!$D$6),Supuestos!$D$6+SQRT(C429*(Supuestos!$F$6-Supuestos!$D$6)*(Supuestos!$E$6-Supuestos!$D$6)),Supuestos!$F$6-SQRT((1-C429)*(Supuestos!$F$6-Supuestos!$D$6)*(Supuestos!$F$6-Supuestos!$E$6))),IF(Supuestos!$C$6="Uniforme",Supuestos!$D$6+C429*(Supuestos!$E$6-Supuestos!$D$6),IF(Supuestos!$C$6="Lognormal",LOGINV(C429,LN(Supuestos!$D$6)-LN(1+Supuestos!$E$6^2/Supuestos!$D$6^2)/2,SQRT(LN(1+Supuestos!$E$6^2/Supuestos!$D$6^2))),Supuestos!$D$6))))))</f>
        <v/>
      </c>
      <c r="K429" s="32">
        <f>MIN(IF(Supuestos!$H$7="",1E+99,Supuestos!$H$7),MAX(IF(Supuestos!$G$7="",-1E+99,Supuestos!$G$7),IF(Supuestos!$C$7="Normal",NORMINV(D429,Supuestos!$D$7,Supuestos!$E$7),IF(Supuestos!$C$7="Triangular",IF(D429&lt;(Supuestos!$E$7-Supuestos!$D$7)/(Supuestos!$F$7-Supuestos!$D$7),Supuestos!$D$7+SQRT(D429*(Supuestos!$F$7-Supuestos!$D$7)*(Supuestos!$E$7-Supuestos!$D$7)),Supuestos!$F$7-SQRT((1-D429)*(Supuestos!$F$7-Supuestos!$D$7)*(Supuestos!$F$7-Supuestos!$E$7))),IF(Supuestos!$C$7="Uniforme",Supuestos!$D$7+D429*(Supuestos!$E$7-Supuestos!$D$7),IF(Supuestos!$C$7="Lognormal",LOGINV(D429,LN(Supuestos!$D$7)-LN(1+Supuestos!$E$7^2/Supuestos!$D$7^2)/2,SQRT(LN(1+Supuestos!$E$7^2/Supuestos!$D$7^2))),Supuestos!$D$7))))))</f>
        <v/>
      </c>
      <c r="L429" s="32">
        <f>MIN(IF(Supuestos!$H$8="",1E+99,Supuestos!$H$8),MAX(IF(Supuestos!$G$8="",-1E+99,Supuestos!$G$8),IF(Supuestos!$C$8="Normal",NORMINV(E429,Supuestos!$D$8,Supuestos!$E$8),IF(Supuestos!$C$8="Triangular",IF(E429&lt;(Supuestos!$E$8-Supuestos!$D$8)/(Supuestos!$F$8-Supuestos!$D$8),Supuestos!$D$8+SQRT(E429*(Supuestos!$F$8-Supuestos!$D$8)*(Supuestos!$E$8-Supuestos!$D$8)),Supuestos!$F$8-SQRT((1-E429)*(Supuestos!$F$8-Supuestos!$D$8)*(Supuestos!$F$8-Supuestos!$E$8))),IF(Supuestos!$C$8="Uniforme",Supuestos!$D$8+E429*(Supuestos!$E$8-Supuestos!$D$8),IF(Supuestos!$C$8="Lognormal",LOGINV(E429,LN(Supuestos!$D$8)-LN(1+Supuestos!$E$8^2/Supuestos!$D$8^2)/2,SQRT(LN(1+Supuestos!$E$8^2/Supuestos!$D$8^2))),Supuestos!$D$8))))))</f>
        <v/>
      </c>
      <c r="M429" s="32">
        <f>MIN(IF(Supuestos!$H$9="",1E+99,Supuestos!$H$9),MAX(IF(Supuestos!$G$9="",-1E+99,Supuestos!$G$9),IF(Supuestos!$C$9="Normal",NORMINV(F429,Supuestos!$D$9,Supuestos!$E$9),IF(Supuestos!$C$9="Triangular",IF(F429&lt;(Supuestos!$E$9-Supuestos!$D$9)/(Supuestos!$F$9-Supuestos!$D$9),Supuestos!$D$9+SQRT(F429*(Supuestos!$F$9-Supuestos!$D$9)*(Supuestos!$E$9-Supuestos!$D$9)),Supuestos!$F$9-SQRT((1-F429)*(Supuestos!$F$9-Supuestos!$D$9)*(Supuestos!$F$9-Supuestos!$E$9))),IF(Supuestos!$C$9="Uniforme",Supuestos!$D$9+F429*(Supuestos!$E$9-Supuestos!$D$9),IF(Supuestos!$C$9="Lognormal",LOGINV(F429,LN(Supuestos!$D$9)-LN(1+Supuestos!$E$9^2/Supuestos!$D$9^2)/2,SQRT(LN(1+Supuestos!$E$9^2/Supuestos!$D$9^2))),Supuestos!$D$9))))))</f>
        <v/>
      </c>
      <c r="N429" s="32">
        <f>MIN(IF(Supuestos!$H$10="",1E+99,Supuestos!$H$10),MAX(IF(Supuestos!$G$10="",-1E+99,Supuestos!$G$10),IF(Supuestos!$C$10="Normal",NORMINV(G429,Supuestos!$D$10,Supuestos!$E$10),IF(Supuestos!$C$10="Triangular",IF(G429&lt;(Supuestos!$E$10-Supuestos!$D$10)/(Supuestos!$F$10-Supuestos!$D$10),Supuestos!$D$10+SQRT(G429*(Supuestos!$F$10-Supuestos!$D$10)*(Supuestos!$E$10-Supuestos!$D$10)),Supuestos!$F$10-SQRT((1-G429)*(Supuestos!$F$10-Supuestos!$D$10)*(Supuestos!$F$10-Supuestos!$E$10))),IF(Supuestos!$C$10="Uniforme",Supuestos!$D$10+G429*(Supuestos!$E$10-Supuestos!$D$10),IF(Supuestos!$C$10="Lognormal",LOGINV(G429,LN(Supuestos!$D$10)-LN(1+Supuestos!$E$10^2/Supuestos!$D$10^2)/2,SQRT(LN(1+Supuestos!$E$10^2/Supuestos!$D$10^2))),Supuestos!$D$10))))))</f>
        <v/>
      </c>
      <c r="O429" s="31">
        <f>MIN(IF(Supuestos!$H$11="",1E+99,Supuestos!$H$11),MAX(IF(Supuestos!$G$11="",-1E+99,Supuestos!$G$11),IF(Supuestos!$C$11="Normal",NORMINV(H429,Supuestos!$D$11,Supuestos!$E$11),IF(Supuestos!$C$11="Triangular",IF(H429&lt;(Supuestos!$E$11-Supuestos!$D$11)/(Supuestos!$F$11-Supuestos!$D$11),Supuestos!$D$11+SQRT(H429*(Supuestos!$F$11-Supuestos!$D$11)*(Supuestos!$E$11-Supuestos!$D$11)),Supuestos!$F$11-SQRT((1-H429)*(Supuestos!$F$11-Supuestos!$D$11)*(Supuestos!$F$11-Supuestos!$E$11))),IF(Supuestos!$C$11="Uniforme",Supuestos!$D$11+H429*(Supuestos!$E$11-Supuestos!$D$11),IF(Supuestos!$C$11="Lognormal",LOGINV(H429,LN(Supuestos!$D$11)-LN(1+Supuestos!$E$11^2/Supuestos!$D$11^2)/2,SQRT(LN(1+Supuestos!$E$11^2/Supuestos!$D$11^2))),Supuestos!$D$11))))))</f>
        <v/>
      </c>
      <c r="P429" s="33">
        <f>-I429</f>
        <v/>
      </c>
      <c r="Q429" s="33">
        <f>$J429*(1+$K429)^(1-1)*(1-$L429)*(1-$M429)</f>
        <v/>
      </c>
      <c r="R429" s="33">
        <f>$J429*(1+$K429)^(2-1)*(1-$L429)*(1-$M429)</f>
        <v/>
      </c>
      <c r="S429" s="33">
        <f>$J429*(1+$K429)^(3-1)*(1-$L429)*(1-$M429)</f>
        <v/>
      </c>
      <c r="T429" s="33">
        <f>$J429*(1+$K429)^(4-1)*(1-$L429)*(1-$M429)</f>
        <v/>
      </c>
      <c r="U429" s="33">
        <f>$J429*(1+$K429)^(5-1)*(1-$L429)*(1-$M429)+$O429</f>
        <v/>
      </c>
      <c r="V429" s="33">
        <f>P429+NPV($N429,Q429:U429)</f>
        <v/>
      </c>
      <c r="W429" s="32">
        <f>IFERROR(IRR(P429:U429,0.1),"")</f>
        <v/>
      </c>
    </row>
    <row r="430">
      <c r="A430" s="14" t="n">
        <v>426</v>
      </c>
      <c r="B430" s="30">
        <f>RAND()*(1-2E-6)+1E-6</f>
        <v/>
      </c>
      <c r="C430" s="30">
        <f>RAND()*(1-2E-6)+1E-6</f>
        <v/>
      </c>
      <c r="D430" s="30">
        <f>RAND()*(1-2E-6)+1E-6</f>
        <v/>
      </c>
      <c r="E430" s="30">
        <f>RAND()*(1-2E-6)+1E-6</f>
        <v/>
      </c>
      <c r="F430" s="30">
        <f>RAND()*(1-2E-6)+1E-6</f>
        <v/>
      </c>
      <c r="G430" s="30">
        <f>RAND()*(1-2E-6)+1E-6</f>
        <v/>
      </c>
      <c r="H430" s="30">
        <f>RAND()*(1-2E-6)+1E-6</f>
        <v/>
      </c>
      <c r="I430" s="31">
        <f>MIN(IF(Supuestos!$H$5="",1E+99,Supuestos!$H$5),MAX(IF(Supuestos!$G$5="",-1E+99,Supuestos!$G$5),IF(Supuestos!$C$5="Normal",NORMINV(B430,Supuestos!$D$5,Supuestos!$E$5),IF(Supuestos!$C$5="Triangular",IF(B430&lt;(Supuestos!$E$5-Supuestos!$D$5)/(Supuestos!$F$5-Supuestos!$D$5),Supuestos!$D$5+SQRT(B430*(Supuestos!$F$5-Supuestos!$D$5)*(Supuestos!$E$5-Supuestos!$D$5)),Supuestos!$F$5-SQRT((1-B430)*(Supuestos!$F$5-Supuestos!$D$5)*(Supuestos!$F$5-Supuestos!$E$5))),IF(Supuestos!$C$5="Uniforme",Supuestos!$D$5+B430*(Supuestos!$E$5-Supuestos!$D$5),IF(Supuestos!$C$5="Lognormal",LOGINV(B430,LN(Supuestos!$D$5)-LN(1+Supuestos!$E$5^2/Supuestos!$D$5^2)/2,SQRT(LN(1+Supuestos!$E$5^2/Supuestos!$D$5^2))),Supuestos!$D$5))))))</f>
        <v/>
      </c>
      <c r="J430" s="31">
        <f>MIN(IF(Supuestos!$H$6="",1E+99,Supuestos!$H$6),MAX(IF(Supuestos!$G$6="",-1E+99,Supuestos!$G$6),IF(Supuestos!$C$6="Normal",NORMINV(C430,Supuestos!$D$6,Supuestos!$E$6),IF(Supuestos!$C$6="Triangular",IF(C430&lt;(Supuestos!$E$6-Supuestos!$D$6)/(Supuestos!$F$6-Supuestos!$D$6),Supuestos!$D$6+SQRT(C430*(Supuestos!$F$6-Supuestos!$D$6)*(Supuestos!$E$6-Supuestos!$D$6)),Supuestos!$F$6-SQRT((1-C430)*(Supuestos!$F$6-Supuestos!$D$6)*(Supuestos!$F$6-Supuestos!$E$6))),IF(Supuestos!$C$6="Uniforme",Supuestos!$D$6+C430*(Supuestos!$E$6-Supuestos!$D$6),IF(Supuestos!$C$6="Lognormal",LOGINV(C430,LN(Supuestos!$D$6)-LN(1+Supuestos!$E$6^2/Supuestos!$D$6^2)/2,SQRT(LN(1+Supuestos!$E$6^2/Supuestos!$D$6^2))),Supuestos!$D$6))))))</f>
        <v/>
      </c>
      <c r="K430" s="32">
        <f>MIN(IF(Supuestos!$H$7="",1E+99,Supuestos!$H$7),MAX(IF(Supuestos!$G$7="",-1E+99,Supuestos!$G$7),IF(Supuestos!$C$7="Normal",NORMINV(D430,Supuestos!$D$7,Supuestos!$E$7),IF(Supuestos!$C$7="Triangular",IF(D430&lt;(Supuestos!$E$7-Supuestos!$D$7)/(Supuestos!$F$7-Supuestos!$D$7),Supuestos!$D$7+SQRT(D430*(Supuestos!$F$7-Supuestos!$D$7)*(Supuestos!$E$7-Supuestos!$D$7)),Supuestos!$F$7-SQRT((1-D430)*(Supuestos!$F$7-Supuestos!$D$7)*(Supuestos!$F$7-Supuestos!$E$7))),IF(Supuestos!$C$7="Uniforme",Supuestos!$D$7+D430*(Supuestos!$E$7-Supuestos!$D$7),IF(Supuestos!$C$7="Lognormal",LOGINV(D430,LN(Supuestos!$D$7)-LN(1+Supuestos!$E$7^2/Supuestos!$D$7^2)/2,SQRT(LN(1+Supuestos!$E$7^2/Supuestos!$D$7^2))),Supuestos!$D$7))))))</f>
        <v/>
      </c>
      <c r="L430" s="32">
        <f>MIN(IF(Supuestos!$H$8="",1E+99,Supuestos!$H$8),MAX(IF(Supuestos!$G$8="",-1E+99,Supuestos!$G$8),IF(Supuestos!$C$8="Normal",NORMINV(E430,Supuestos!$D$8,Supuestos!$E$8),IF(Supuestos!$C$8="Triangular",IF(E430&lt;(Supuestos!$E$8-Supuestos!$D$8)/(Supuestos!$F$8-Supuestos!$D$8),Supuestos!$D$8+SQRT(E430*(Supuestos!$F$8-Supuestos!$D$8)*(Supuestos!$E$8-Supuestos!$D$8)),Supuestos!$F$8-SQRT((1-E430)*(Supuestos!$F$8-Supuestos!$D$8)*(Supuestos!$F$8-Supuestos!$E$8))),IF(Supuestos!$C$8="Uniforme",Supuestos!$D$8+E430*(Supuestos!$E$8-Supuestos!$D$8),IF(Supuestos!$C$8="Lognormal",LOGINV(E430,LN(Supuestos!$D$8)-LN(1+Supuestos!$E$8^2/Supuestos!$D$8^2)/2,SQRT(LN(1+Supuestos!$E$8^2/Supuestos!$D$8^2))),Supuestos!$D$8))))))</f>
        <v/>
      </c>
      <c r="M430" s="32">
        <f>MIN(IF(Supuestos!$H$9="",1E+99,Supuestos!$H$9),MAX(IF(Supuestos!$G$9="",-1E+99,Supuestos!$G$9),IF(Supuestos!$C$9="Normal",NORMINV(F430,Supuestos!$D$9,Supuestos!$E$9),IF(Supuestos!$C$9="Triangular",IF(F430&lt;(Supuestos!$E$9-Supuestos!$D$9)/(Supuestos!$F$9-Supuestos!$D$9),Supuestos!$D$9+SQRT(F430*(Supuestos!$F$9-Supuestos!$D$9)*(Supuestos!$E$9-Supuestos!$D$9)),Supuestos!$F$9-SQRT((1-F430)*(Supuestos!$F$9-Supuestos!$D$9)*(Supuestos!$F$9-Supuestos!$E$9))),IF(Supuestos!$C$9="Uniforme",Supuestos!$D$9+F430*(Supuestos!$E$9-Supuestos!$D$9),IF(Supuestos!$C$9="Lognormal",LOGINV(F430,LN(Supuestos!$D$9)-LN(1+Supuestos!$E$9^2/Supuestos!$D$9^2)/2,SQRT(LN(1+Supuestos!$E$9^2/Supuestos!$D$9^2))),Supuestos!$D$9))))))</f>
        <v/>
      </c>
      <c r="N430" s="32">
        <f>MIN(IF(Supuestos!$H$10="",1E+99,Supuestos!$H$10),MAX(IF(Supuestos!$G$10="",-1E+99,Supuestos!$G$10),IF(Supuestos!$C$10="Normal",NORMINV(G430,Supuestos!$D$10,Supuestos!$E$10),IF(Supuestos!$C$10="Triangular",IF(G430&lt;(Supuestos!$E$10-Supuestos!$D$10)/(Supuestos!$F$10-Supuestos!$D$10),Supuestos!$D$10+SQRT(G430*(Supuestos!$F$10-Supuestos!$D$10)*(Supuestos!$E$10-Supuestos!$D$10)),Supuestos!$F$10-SQRT((1-G430)*(Supuestos!$F$10-Supuestos!$D$10)*(Supuestos!$F$10-Supuestos!$E$10))),IF(Supuestos!$C$10="Uniforme",Supuestos!$D$10+G430*(Supuestos!$E$10-Supuestos!$D$10),IF(Supuestos!$C$10="Lognormal",LOGINV(G430,LN(Supuestos!$D$10)-LN(1+Supuestos!$E$10^2/Supuestos!$D$10^2)/2,SQRT(LN(1+Supuestos!$E$10^2/Supuestos!$D$10^2))),Supuestos!$D$10))))))</f>
        <v/>
      </c>
      <c r="O430" s="31">
        <f>MIN(IF(Supuestos!$H$11="",1E+99,Supuestos!$H$11),MAX(IF(Supuestos!$G$11="",-1E+99,Supuestos!$G$11),IF(Supuestos!$C$11="Normal",NORMINV(H430,Supuestos!$D$11,Supuestos!$E$11),IF(Supuestos!$C$11="Triangular",IF(H430&lt;(Supuestos!$E$11-Supuestos!$D$11)/(Supuestos!$F$11-Supuestos!$D$11),Supuestos!$D$11+SQRT(H430*(Supuestos!$F$11-Supuestos!$D$11)*(Supuestos!$E$11-Supuestos!$D$11)),Supuestos!$F$11-SQRT((1-H430)*(Supuestos!$F$11-Supuestos!$D$11)*(Supuestos!$F$11-Supuestos!$E$11))),IF(Supuestos!$C$11="Uniforme",Supuestos!$D$11+H430*(Supuestos!$E$11-Supuestos!$D$11),IF(Supuestos!$C$11="Lognormal",LOGINV(H430,LN(Supuestos!$D$11)-LN(1+Supuestos!$E$11^2/Supuestos!$D$11^2)/2,SQRT(LN(1+Supuestos!$E$11^2/Supuestos!$D$11^2))),Supuestos!$D$11))))))</f>
        <v/>
      </c>
      <c r="P430" s="33">
        <f>-I430</f>
        <v/>
      </c>
      <c r="Q430" s="33">
        <f>$J430*(1+$K430)^(1-1)*(1-$L430)*(1-$M430)</f>
        <v/>
      </c>
      <c r="R430" s="33">
        <f>$J430*(1+$K430)^(2-1)*(1-$L430)*(1-$M430)</f>
        <v/>
      </c>
      <c r="S430" s="33">
        <f>$J430*(1+$K430)^(3-1)*(1-$L430)*(1-$M430)</f>
        <v/>
      </c>
      <c r="T430" s="33">
        <f>$J430*(1+$K430)^(4-1)*(1-$L430)*(1-$M430)</f>
        <v/>
      </c>
      <c r="U430" s="33">
        <f>$J430*(1+$K430)^(5-1)*(1-$L430)*(1-$M430)+$O430</f>
        <v/>
      </c>
      <c r="V430" s="33">
        <f>P430+NPV($N430,Q430:U430)</f>
        <v/>
      </c>
      <c r="W430" s="32">
        <f>IFERROR(IRR(P430:U430,0.1),"")</f>
        <v/>
      </c>
    </row>
    <row r="431">
      <c r="A431" s="14" t="n">
        <v>427</v>
      </c>
      <c r="B431" s="30">
        <f>RAND()*(1-2E-6)+1E-6</f>
        <v/>
      </c>
      <c r="C431" s="30">
        <f>RAND()*(1-2E-6)+1E-6</f>
        <v/>
      </c>
      <c r="D431" s="30">
        <f>RAND()*(1-2E-6)+1E-6</f>
        <v/>
      </c>
      <c r="E431" s="30">
        <f>RAND()*(1-2E-6)+1E-6</f>
        <v/>
      </c>
      <c r="F431" s="30">
        <f>RAND()*(1-2E-6)+1E-6</f>
        <v/>
      </c>
      <c r="G431" s="30">
        <f>RAND()*(1-2E-6)+1E-6</f>
        <v/>
      </c>
      <c r="H431" s="30">
        <f>RAND()*(1-2E-6)+1E-6</f>
        <v/>
      </c>
      <c r="I431" s="31">
        <f>MIN(IF(Supuestos!$H$5="",1E+99,Supuestos!$H$5),MAX(IF(Supuestos!$G$5="",-1E+99,Supuestos!$G$5),IF(Supuestos!$C$5="Normal",NORMINV(B431,Supuestos!$D$5,Supuestos!$E$5),IF(Supuestos!$C$5="Triangular",IF(B431&lt;(Supuestos!$E$5-Supuestos!$D$5)/(Supuestos!$F$5-Supuestos!$D$5),Supuestos!$D$5+SQRT(B431*(Supuestos!$F$5-Supuestos!$D$5)*(Supuestos!$E$5-Supuestos!$D$5)),Supuestos!$F$5-SQRT((1-B431)*(Supuestos!$F$5-Supuestos!$D$5)*(Supuestos!$F$5-Supuestos!$E$5))),IF(Supuestos!$C$5="Uniforme",Supuestos!$D$5+B431*(Supuestos!$E$5-Supuestos!$D$5),IF(Supuestos!$C$5="Lognormal",LOGINV(B431,LN(Supuestos!$D$5)-LN(1+Supuestos!$E$5^2/Supuestos!$D$5^2)/2,SQRT(LN(1+Supuestos!$E$5^2/Supuestos!$D$5^2))),Supuestos!$D$5))))))</f>
        <v/>
      </c>
      <c r="J431" s="31">
        <f>MIN(IF(Supuestos!$H$6="",1E+99,Supuestos!$H$6),MAX(IF(Supuestos!$G$6="",-1E+99,Supuestos!$G$6),IF(Supuestos!$C$6="Normal",NORMINV(C431,Supuestos!$D$6,Supuestos!$E$6),IF(Supuestos!$C$6="Triangular",IF(C431&lt;(Supuestos!$E$6-Supuestos!$D$6)/(Supuestos!$F$6-Supuestos!$D$6),Supuestos!$D$6+SQRT(C431*(Supuestos!$F$6-Supuestos!$D$6)*(Supuestos!$E$6-Supuestos!$D$6)),Supuestos!$F$6-SQRT((1-C431)*(Supuestos!$F$6-Supuestos!$D$6)*(Supuestos!$F$6-Supuestos!$E$6))),IF(Supuestos!$C$6="Uniforme",Supuestos!$D$6+C431*(Supuestos!$E$6-Supuestos!$D$6),IF(Supuestos!$C$6="Lognormal",LOGINV(C431,LN(Supuestos!$D$6)-LN(1+Supuestos!$E$6^2/Supuestos!$D$6^2)/2,SQRT(LN(1+Supuestos!$E$6^2/Supuestos!$D$6^2))),Supuestos!$D$6))))))</f>
        <v/>
      </c>
      <c r="K431" s="32">
        <f>MIN(IF(Supuestos!$H$7="",1E+99,Supuestos!$H$7),MAX(IF(Supuestos!$G$7="",-1E+99,Supuestos!$G$7),IF(Supuestos!$C$7="Normal",NORMINV(D431,Supuestos!$D$7,Supuestos!$E$7),IF(Supuestos!$C$7="Triangular",IF(D431&lt;(Supuestos!$E$7-Supuestos!$D$7)/(Supuestos!$F$7-Supuestos!$D$7),Supuestos!$D$7+SQRT(D431*(Supuestos!$F$7-Supuestos!$D$7)*(Supuestos!$E$7-Supuestos!$D$7)),Supuestos!$F$7-SQRT((1-D431)*(Supuestos!$F$7-Supuestos!$D$7)*(Supuestos!$F$7-Supuestos!$E$7))),IF(Supuestos!$C$7="Uniforme",Supuestos!$D$7+D431*(Supuestos!$E$7-Supuestos!$D$7),IF(Supuestos!$C$7="Lognormal",LOGINV(D431,LN(Supuestos!$D$7)-LN(1+Supuestos!$E$7^2/Supuestos!$D$7^2)/2,SQRT(LN(1+Supuestos!$E$7^2/Supuestos!$D$7^2))),Supuestos!$D$7))))))</f>
        <v/>
      </c>
      <c r="L431" s="32">
        <f>MIN(IF(Supuestos!$H$8="",1E+99,Supuestos!$H$8),MAX(IF(Supuestos!$G$8="",-1E+99,Supuestos!$G$8),IF(Supuestos!$C$8="Normal",NORMINV(E431,Supuestos!$D$8,Supuestos!$E$8),IF(Supuestos!$C$8="Triangular",IF(E431&lt;(Supuestos!$E$8-Supuestos!$D$8)/(Supuestos!$F$8-Supuestos!$D$8),Supuestos!$D$8+SQRT(E431*(Supuestos!$F$8-Supuestos!$D$8)*(Supuestos!$E$8-Supuestos!$D$8)),Supuestos!$F$8-SQRT((1-E431)*(Supuestos!$F$8-Supuestos!$D$8)*(Supuestos!$F$8-Supuestos!$E$8))),IF(Supuestos!$C$8="Uniforme",Supuestos!$D$8+E431*(Supuestos!$E$8-Supuestos!$D$8),IF(Supuestos!$C$8="Lognormal",LOGINV(E431,LN(Supuestos!$D$8)-LN(1+Supuestos!$E$8^2/Supuestos!$D$8^2)/2,SQRT(LN(1+Supuestos!$E$8^2/Supuestos!$D$8^2))),Supuestos!$D$8))))))</f>
        <v/>
      </c>
      <c r="M431" s="32">
        <f>MIN(IF(Supuestos!$H$9="",1E+99,Supuestos!$H$9),MAX(IF(Supuestos!$G$9="",-1E+99,Supuestos!$G$9),IF(Supuestos!$C$9="Normal",NORMINV(F431,Supuestos!$D$9,Supuestos!$E$9),IF(Supuestos!$C$9="Triangular",IF(F431&lt;(Supuestos!$E$9-Supuestos!$D$9)/(Supuestos!$F$9-Supuestos!$D$9),Supuestos!$D$9+SQRT(F431*(Supuestos!$F$9-Supuestos!$D$9)*(Supuestos!$E$9-Supuestos!$D$9)),Supuestos!$F$9-SQRT((1-F431)*(Supuestos!$F$9-Supuestos!$D$9)*(Supuestos!$F$9-Supuestos!$E$9))),IF(Supuestos!$C$9="Uniforme",Supuestos!$D$9+F431*(Supuestos!$E$9-Supuestos!$D$9),IF(Supuestos!$C$9="Lognormal",LOGINV(F431,LN(Supuestos!$D$9)-LN(1+Supuestos!$E$9^2/Supuestos!$D$9^2)/2,SQRT(LN(1+Supuestos!$E$9^2/Supuestos!$D$9^2))),Supuestos!$D$9))))))</f>
        <v/>
      </c>
      <c r="N431" s="32">
        <f>MIN(IF(Supuestos!$H$10="",1E+99,Supuestos!$H$10),MAX(IF(Supuestos!$G$10="",-1E+99,Supuestos!$G$10),IF(Supuestos!$C$10="Normal",NORMINV(G431,Supuestos!$D$10,Supuestos!$E$10),IF(Supuestos!$C$10="Triangular",IF(G431&lt;(Supuestos!$E$10-Supuestos!$D$10)/(Supuestos!$F$10-Supuestos!$D$10),Supuestos!$D$10+SQRT(G431*(Supuestos!$F$10-Supuestos!$D$10)*(Supuestos!$E$10-Supuestos!$D$10)),Supuestos!$F$10-SQRT((1-G431)*(Supuestos!$F$10-Supuestos!$D$10)*(Supuestos!$F$10-Supuestos!$E$10))),IF(Supuestos!$C$10="Uniforme",Supuestos!$D$10+G431*(Supuestos!$E$10-Supuestos!$D$10),IF(Supuestos!$C$10="Lognormal",LOGINV(G431,LN(Supuestos!$D$10)-LN(1+Supuestos!$E$10^2/Supuestos!$D$10^2)/2,SQRT(LN(1+Supuestos!$E$10^2/Supuestos!$D$10^2))),Supuestos!$D$10))))))</f>
        <v/>
      </c>
      <c r="O431" s="31">
        <f>MIN(IF(Supuestos!$H$11="",1E+99,Supuestos!$H$11),MAX(IF(Supuestos!$G$11="",-1E+99,Supuestos!$G$11),IF(Supuestos!$C$11="Normal",NORMINV(H431,Supuestos!$D$11,Supuestos!$E$11),IF(Supuestos!$C$11="Triangular",IF(H431&lt;(Supuestos!$E$11-Supuestos!$D$11)/(Supuestos!$F$11-Supuestos!$D$11),Supuestos!$D$11+SQRT(H431*(Supuestos!$F$11-Supuestos!$D$11)*(Supuestos!$E$11-Supuestos!$D$11)),Supuestos!$F$11-SQRT((1-H431)*(Supuestos!$F$11-Supuestos!$D$11)*(Supuestos!$F$11-Supuestos!$E$11))),IF(Supuestos!$C$11="Uniforme",Supuestos!$D$11+H431*(Supuestos!$E$11-Supuestos!$D$11),IF(Supuestos!$C$11="Lognormal",LOGINV(H431,LN(Supuestos!$D$11)-LN(1+Supuestos!$E$11^2/Supuestos!$D$11^2)/2,SQRT(LN(1+Supuestos!$E$11^2/Supuestos!$D$11^2))),Supuestos!$D$11))))))</f>
        <v/>
      </c>
      <c r="P431" s="33">
        <f>-I431</f>
        <v/>
      </c>
      <c r="Q431" s="33">
        <f>$J431*(1+$K431)^(1-1)*(1-$L431)*(1-$M431)</f>
        <v/>
      </c>
      <c r="R431" s="33">
        <f>$J431*(1+$K431)^(2-1)*(1-$L431)*(1-$M431)</f>
        <v/>
      </c>
      <c r="S431" s="33">
        <f>$J431*(1+$K431)^(3-1)*(1-$L431)*(1-$M431)</f>
        <v/>
      </c>
      <c r="T431" s="33">
        <f>$J431*(1+$K431)^(4-1)*(1-$L431)*(1-$M431)</f>
        <v/>
      </c>
      <c r="U431" s="33">
        <f>$J431*(1+$K431)^(5-1)*(1-$L431)*(1-$M431)+$O431</f>
        <v/>
      </c>
      <c r="V431" s="33">
        <f>P431+NPV($N431,Q431:U431)</f>
        <v/>
      </c>
      <c r="W431" s="32">
        <f>IFERROR(IRR(P431:U431,0.1),"")</f>
        <v/>
      </c>
    </row>
    <row r="432">
      <c r="A432" s="14" t="n">
        <v>428</v>
      </c>
      <c r="B432" s="30">
        <f>RAND()*(1-2E-6)+1E-6</f>
        <v/>
      </c>
      <c r="C432" s="30">
        <f>RAND()*(1-2E-6)+1E-6</f>
        <v/>
      </c>
      <c r="D432" s="30">
        <f>RAND()*(1-2E-6)+1E-6</f>
        <v/>
      </c>
      <c r="E432" s="30">
        <f>RAND()*(1-2E-6)+1E-6</f>
        <v/>
      </c>
      <c r="F432" s="30">
        <f>RAND()*(1-2E-6)+1E-6</f>
        <v/>
      </c>
      <c r="G432" s="30">
        <f>RAND()*(1-2E-6)+1E-6</f>
        <v/>
      </c>
      <c r="H432" s="30">
        <f>RAND()*(1-2E-6)+1E-6</f>
        <v/>
      </c>
      <c r="I432" s="31">
        <f>MIN(IF(Supuestos!$H$5="",1E+99,Supuestos!$H$5),MAX(IF(Supuestos!$G$5="",-1E+99,Supuestos!$G$5),IF(Supuestos!$C$5="Normal",NORMINV(B432,Supuestos!$D$5,Supuestos!$E$5),IF(Supuestos!$C$5="Triangular",IF(B432&lt;(Supuestos!$E$5-Supuestos!$D$5)/(Supuestos!$F$5-Supuestos!$D$5),Supuestos!$D$5+SQRT(B432*(Supuestos!$F$5-Supuestos!$D$5)*(Supuestos!$E$5-Supuestos!$D$5)),Supuestos!$F$5-SQRT((1-B432)*(Supuestos!$F$5-Supuestos!$D$5)*(Supuestos!$F$5-Supuestos!$E$5))),IF(Supuestos!$C$5="Uniforme",Supuestos!$D$5+B432*(Supuestos!$E$5-Supuestos!$D$5),IF(Supuestos!$C$5="Lognormal",LOGINV(B432,LN(Supuestos!$D$5)-LN(1+Supuestos!$E$5^2/Supuestos!$D$5^2)/2,SQRT(LN(1+Supuestos!$E$5^2/Supuestos!$D$5^2))),Supuestos!$D$5))))))</f>
        <v/>
      </c>
      <c r="J432" s="31">
        <f>MIN(IF(Supuestos!$H$6="",1E+99,Supuestos!$H$6),MAX(IF(Supuestos!$G$6="",-1E+99,Supuestos!$G$6),IF(Supuestos!$C$6="Normal",NORMINV(C432,Supuestos!$D$6,Supuestos!$E$6),IF(Supuestos!$C$6="Triangular",IF(C432&lt;(Supuestos!$E$6-Supuestos!$D$6)/(Supuestos!$F$6-Supuestos!$D$6),Supuestos!$D$6+SQRT(C432*(Supuestos!$F$6-Supuestos!$D$6)*(Supuestos!$E$6-Supuestos!$D$6)),Supuestos!$F$6-SQRT((1-C432)*(Supuestos!$F$6-Supuestos!$D$6)*(Supuestos!$F$6-Supuestos!$E$6))),IF(Supuestos!$C$6="Uniforme",Supuestos!$D$6+C432*(Supuestos!$E$6-Supuestos!$D$6),IF(Supuestos!$C$6="Lognormal",LOGINV(C432,LN(Supuestos!$D$6)-LN(1+Supuestos!$E$6^2/Supuestos!$D$6^2)/2,SQRT(LN(1+Supuestos!$E$6^2/Supuestos!$D$6^2))),Supuestos!$D$6))))))</f>
        <v/>
      </c>
      <c r="K432" s="32">
        <f>MIN(IF(Supuestos!$H$7="",1E+99,Supuestos!$H$7),MAX(IF(Supuestos!$G$7="",-1E+99,Supuestos!$G$7),IF(Supuestos!$C$7="Normal",NORMINV(D432,Supuestos!$D$7,Supuestos!$E$7),IF(Supuestos!$C$7="Triangular",IF(D432&lt;(Supuestos!$E$7-Supuestos!$D$7)/(Supuestos!$F$7-Supuestos!$D$7),Supuestos!$D$7+SQRT(D432*(Supuestos!$F$7-Supuestos!$D$7)*(Supuestos!$E$7-Supuestos!$D$7)),Supuestos!$F$7-SQRT((1-D432)*(Supuestos!$F$7-Supuestos!$D$7)*(Supuestos!$F$7-Supuestos!$E$7))),IF(Supuestos!$C$7="Uniforme",Supuestos!$D$7+D432*(Supuestos!$E$7-Supuestos!$D$7),IF(Supuestos!$C$7="Lognormal",LOGINV(D432,LN(Supuestos!$D$7)-LN(1+Supuestos!$E$7^2/Supuestos!$D$7^2)/2,SQRT(LN(1+Supuestos!$E$7^2/Supuestos!$D$7^2))),Supuestos!$D$7))))))</f>
        <v/>
      </c>
      <c r="L432" s="32">
        <f>MIN(IF(Supuestos!$H$8="",1E+99,Supuestos!$H$8),MAX(IF(Supuestos!$G$8="",-1E+99,Supuestos!$G$8),IF(Supuestos!$C$8="Normal",NORMINV(E432,Supuestos!$D$8,Supuestos!$E$8),IF(Supuestos!$C$8="Triangular",IF(E432&lt;(Supuestos!$E$8-Supuestos!$D$8)/(Supuestos!$F$8-Supuestos!$D$8),Supuestos!$D$8+SQRT(E432*(Supuestos!$F$8-Supuestos!$D$8)*(Supuestos!$E$8-Supuestos!$D$8)),Supuestos!$F$8-SQRT((1-E432)*(Supuestos!$F$8-Supuestos!$D$8)*(Supuestos!$F$8-Supuestos!$E$8))),IF(Supuestos!$C$8="Uniforme",Supuestos!$D$8+E432*(Supuestos!$E$8-Supuestos!$D$8),IF(Supuestos!$C$8="Lognormal",LOGINV(E432,LN(Supuestos!$D$8)-LN(1+Supuestos!$E$8^2/Supuestos!$D$8^2)/2,SQRT(LN(1+Supuestos!$E$8^2/Supuestos!$D$8^2))),Supuestos!$D$8))))))</f>
        <v/>
      </c>
      <c r="M432" s="32">
        <f>MIN(IF(Supuestos!$H$9="",1E+99,Supuestos!$H$9),MAX(IF(Supuestos!$G$9="",-1E+99,Supuestos!$G$9),IF(Supuestos!$C$9="Normal",NORMINV(F432,Supuestos!$D$9,Supuestos!$E$9),IF(Supuestos!$C$9="Triangular",IF(F432&lt;(Supuestos!$E$9-Supuestos!$D$9)/(Supuestos!$F$9-Supuestos!$D$9),Supuestos!$D$9+SQRT(F432*(Supuestos!$F$9-Supuestos!$D$9)*(Supuestos!$E$9-Supuestos!$D$9)),Supuestos!$F$9-SQRT((1-F432)*(Supuestos!$F$9-Supuestos!$D$9)*(Supuestos!$F$9-Supuestos!$E$9))),IF(Supuestos!$C$9="Uniforme",Supuestos!$D$9+F432*(Supuestos!$E$9-Supuestos!$D$9),IF(Supuestos!$C$9="Lognormal",LOGINV(F432,LN(Supuestos!$D$9)-LN(1+Supuestos!$E$9^2/Supuestos!$D$9^2)/2,SQRT(LN(1+Supuestos!$E$9^2/Supuestos!$D$9^2))),Supuestos!$D$9))))))</f>
        <v/>
      </c>
      <c r="N432" s="32">
        <f>MIN(IF(Supuestos!$H$10="",1E+99,Supuestos!$H$10),MAX(IF(Supuestos!$G$10="",-1E+99,Supuestos!$G$10),IF(Supuestos!$C$10="Normal",NORMINV(G432,Supuestos!$D$10,Supuestos!$E$10),IF(Supuestos!$C$10="Triangular",IF(G432&lt;(Supuestos!$E$10-Supuestos!$D$10)/(Supuestos!$F$10-Supuestos!$D$10),Supuestos!$D$10+SQRT(G432*(Supuestos!$F$10-Supuestos!$D$10)*(Supuestos!$E$10-Supuestos!$D$10)),Supuestos!$F$10-SQRT((1-G432)*(Supuestos!$F$10-Supuestos!$D$10)*(Supuestos!$F$10-Supuestos!$E$10))),IF(Supuestos!$C$10="Uniforme",Supuestos!$D$10+G432*(Supuestos!$E$10-Supuestos!$D$10),IF(Supuestos!$C$10="Lognormal",LOGINV(G432,LN(Supuestos!$D$10)-LN(1+Supuestos!$E$10^2/Supuestos!$D$10^2)/2,SQRT(LN(1+Supuestos!$E$10^2/Supuestos!$D$10^2))),Supuestos!$D$10))))))</f>
        <v/>
      </c>
      <c r="O432" s="31">
        <f>MIN(IF(Supuestos!$H$11="",1E+99,Supuestos!$H$11),MAX(IF(Supuestos!$G$11="",-1E+99,Supuestos!$G$11),IF(Supuestos!$C$11="Normal",NORMINV(H432,Supuestos!$D$11,Supuestos!$E$11),IF(Supuestos!$C$11="Triangular",IF(H432&lt;(Supuestos!$E$11-Supuestos!$D$11)/(Supuestos!$F$11-Supuestos!$D$11),Supuestos!$D$11+SQRT(H432*(Supuestos!$F$11-Supuestos!$D$11)*(Supuestos!$E$11-Supuestos!$D$11)),Supuestos!$F$11-SQRT((1-H432)*(Supuestos!$F$11-Supuestos!$D$11)*(Supuestos!$F$11-Supuestos!$E$11))),IF(Supuestos!$C$11="Uniforme",Supuestos!$D$11+H432*(Supuestos!$E$11-Supuestos!$D$11),IF(Supuestos!$C$11="Lognormal",LOGINV(H432,LN(Supuestos!$D$11)-LN(1+Supuestos!$E$11^2/Supuestos!$D$11^2)/2,SQRT(LN(1+Supuestos!$E$11^2/Supuestos!$D$11^2))),Supuestos!$D$11))))))</f>
        <v/>
      </c>
      <c r="P432" s="33">
        <f>-I432</f>
        <v/>
      </c>
      <c r="Q432" s="33">
        <f>$J432*(1+$K432)^(1-1)*(1-$L432)*(1-$M432)</f>
        <v/>
      </c>
      <c r="R432" s="33">
        <f>$J432*(1+$K432)^(2-1)*(1-$L432)*(1-$M432)</f>
        <v/>
      </c>
      <c r="S432" s="33">
        <f>$J432*(1+$K432)^(3-1)*(1-$L432)*(1-$M432)</f>
        <v/>
      </c>
      <c r="T432" s="33">
        <f>$J432*(1+$K432)^(4-1)*(1-$L432)*(1-$M432)</f>
        <v/>
      </c>
      <c r="U432" s="33">
        <f>$J432*(1+$K432)^(5-1)*(1-$L432)*(1-$M432)+$O432</f>
        <v/>
      </c>
      <c r="V432" s="33">
        <f>P432+NPV($N432,Q432:U432)</f>
        <v/>
      </c>
      <c r="W432" s="32">
        <f>IFERROR(IRR(P432:U432,0.1),"")</f>
        <v/>
      </c>
    </row>
    <row r="433">
      <c r="A433" s="14" t="n">
        <v>429</v>
      </c>
      <c r="B433" s="30">
        <f>RAND()*(1-2E-6)+1E-6</f>
        <v/>
      </c>
      <c r="C433" s="30">
        <f>RAND()*(1-2E-6)+1E-6</f>
        <v/>
      </c>
      <c r="D433" s="30">
        <f>RAND()*(1-2E-6)+1E-6</f>
        <v/>
      </c>
      <c r="E433" s="30">
        <f>RAND()*(1-2E-6)+1E-6</f>
        <v/>
      </c>
      <c r="F433" s="30">
        <f>RAND()*(1-2E-6)+1E-6</f>
        <v/>
      </c>
      <c r="G433" s="30">
        <f>RAND()*(1-2E-6)+1E-6</f>
        <v/>
      </c>
      <c r="H433" s="30">
        <f>RAND()*(1-2E-6)+1E-6</f>
        <v/>
      </c>
      <c r="I433" s="31">
        <f>MIN(IF(Supuestos!$H$5="",1E+99,Supuestos!$H$5),MAX(IF(Supuestos!$G$5="",-1E+99,Supuestos!$G$5),IF(Supuestos!$C$5="Normal",NORMINV(B433,Supuestos!$D$5,Supuestos!$E$5),IF(Supuestos!$C$5="Triangular",IF(B433&lt;(Supuestos!$E$5-Supuestos!$D$5)/(Supuestos!$F$5-Supuestos!$D$5),Supuestos!$D$5+SQRT(B433*(Supuestos!$F$5-Supuestos!$D$5)*(Supuestos!$E$5-Supuestos!$D$5)),Supuestos!$F$5-SQRT((1-B433)*(Supuestos!$F$5-Supuestos!$D$5)*(Supuestos!$F$5-Supuestos!$E$5))),IF(Supuestos!$C$5="Uniforme",Supuestos!$D$5+B433*(Supuestos!$E$5-Supuestos!$D$5),IF(Supuestos!$C$5="Lognormal",LOGINV(B433,LN(Supuestos!$D$5)-LN(1+Supuestos!$E$5^2/Supuestos!$D$5^2)/2,SQRT(LN(1+Supuestos!$E$5^2/Supuestos!$D$5^2))),Supuestos!$D$5))))))</f>
        <v/>
      </c>
      <c r="J433" s="31">
        <f>MIN(IF(Supuestos!$H$6="",1E+99,Supuestos!$H$6),MAX(IF(Supuestos!$G$6="",-1E+99,Supuestos!$G$6),IF(Supuestos!$C$6="Normal",NORMINV(C433,Supuestos!$D$6,Supuestos!$E$6),IF(Supuestos!$C$6="Triangular",IF(C433&lt;(Supuestos!$E$6-Supuestos!$D$6)/(Supuestos!$F$6-Supuestos!$D$6),Supuestos!$D$6+SQRT(C433*(Supuestos!$F$6-Supuestos!$D$6)*(Supuestos!$E$6-Supuestos!$D$6)),Supuestos!$F$6-SQRT((1-C433)*(Supuestos!$F$6-Supuestos!$D$6)*(Supuestos!$F$6-Supuestos!$E$6))),IF(Supuestos!$C$6="Uniforme",Supuestos!$D$6+C433*(Supuestos!$E$6-Supuestos!$D$6),IF(Supuestos!$C$6="Lognormal",LOGINV(C433,LN(Supuestos!$D$6)-LN(1+Supuestos!$E$6^2/Supuestos!$D$6^2)/2,SQRT(LN(1+Supuestos!$E$6^2/Supuestos!$D$6^2))),Supuestos!$D$6))))))</f>
        <v/>
      </c>
      <c r="K433" s="32">
        <f>MIN(IF(Supuestos!$H$7="",1E+99,Supuestos!$H$7),MAX(IF(Supuestos!$G$7="",-1E+99,Supuestos!$G$7),IF(Supuestos!$C$7="Normal",NORMINV(D433,Supuestos!$D$7,Supuestos!$E$7),IF(Supuestos!$C$7="Triangular",IF(D433&lt;(Supuestos!$E$7-Supuestos!$D$7)/(Supuestos!$F$7-Supuestos!$D$7),Supuestos!$D$7+SQRT(D433*(Supuestos!$F$7-Supuestos!$D$7)*(Supuestos!$E$7-Supuestos!$D$7)),Supuestos!$F$7-SQRT((1-D433)*(Supuestos!$F$7-Supuestos!$D$7)*(Supuestos!$F$7-Supuestos!$E$7))),IF(Supuestos!$C$7="Uniforme",Supuestos!$D$7+D433*(Supuestos!$E$7-Supuestos!$D$7),IF(Supuestos!$C$7="Lognormal",LOGINV(D433,LN(Supuestos!$D$7)-LN(1+Supuestos!$E$7^2/Supuestos!$D$7^2)/2,SQRT(LN(1+Supuestos!$E$7^2/Supuestos!$D$7^2))),Supuestos!$D$7))))))</f>
        <v/>
      </c>
      <c r="L433" s="32">
        <f>MIN(IF(Supuestos!$H$8="",1E+99,Supuestos!$H$8),MAX(IF(Supuestos!$G$8="",-1E+99,Supuestos!$G$8),IF(Supuestos!$C$8="Normal",NORMINV(E433,Supuestos!$D$8,Supuestos!$E$8),IF(Supuestos!$C$8="Triangular",IF(E433&lt;(Supuestos!$E$8-Supuestos!$D$8)/(Supuestos!$F$8-Supuestos!$D$8),Supuestos!$D$8+SQRT(E433*(Supuestos!$F$8-Supuestos!$D$8)*(Supuestos!$E$8-Supuestos!$D$8)),Supuestos!$F$8-SQRT((1-E433)*(Supuestos!$F$8-Supuestos!$D$8)*(Supuestos!$F$8-Supuestos!$E$8))),IF(Supuestos!$C$8="Uniforme",Supuestos!$D$8+E433*(Supuestos!$E$8-Supuestos!$D$8),IF(Supuestos!$C$8="Lognormal",LOGINV(E433,LN(Supuestos!$D$8)-LN(1+Supuestos!$E$8^2/Supuestos!$D$8^2)/2,SQRT(LN(1+Supuestos!$E$8^2/Supuestos!$D$8^2))),Supuestos!$D$8))))))</f>
        <v/>
      </c>
      <c r="M433" s="32">
        <f>MIN(IF(Supuestos!$H$9="",1E+99,Supuestos!$H$9),MAX(IF(Supuestos!$G$9="",-1E+99,Supuestos!$G$9),IF(Supuestos!$C$9="Normal",NORMINV(F433,Supuestos!$D$9,Supuestos!$E$9),IF(Supuestos!$C$9="Triangular",IF(F433&lt;(Supuestos!$E$9-Supuestos!$D$9)/(Supuestos!$F$9-Supuestos!$D$9),Supuestos!$D$9+SQRT(F433*(Supuestos!$F$9-Supuestos!$D$9)*(Supuestos!$E$9-Supuestos!$D$9)),Supuestos!$F$9-SQRT((1-F433)*(Supuestos!$F$9-Supuestos!$D$9)*(Supuestos!$F$9-Supuestos!$E$9))),IF(Supuestos!$C$9="Uniforme",Supuestos!$D$9+F433*(Supuestos!$E$9-Supuestos!$D$9),IF(Supuestos!$C$9="Lognormal",LOGINV(F433,LN(Supuestos!$D$9)-LN(1+Supuestos!$E$9^2/Supuestos!$D$9^2)/2,SQRT(LN(1+Supuestos!$E$9^2/Supuestos!$D$9^2))),Supuestos!$D$9))))))</f>
        <v/>
      </c>
      <c r="N433" s="32">
        <f>MIN(IF(Supuestos!$H$10="",1E+99,Supuestos!$H$10),MAX(IF(Supuestos!$G$10="",-1E+99,Supuestos!$G$10),IF(Supuestos!$C$10="Normal",NORMINV(G433,Supuestos!$D$10,Supuestos!$E$10),IF(Supuestos!$C$10="Triangular",IF(G433&lt;(Supuestos!$E$10-Supuestos!$D$10)/(Supuestos!$F$10-Supuestos!$D$10),Supuestos!$D$10+SQRT(G433*(Supuestos!$F$10-Supuestos!$D$10)*(Supuestos!$E$10-Supuestos!$D$10)),Supuestos!$F$10-SQRT((1-G433)*(Supuestos!$F$10-Supuestos!$D$10)*(Supuestos!$F$10-Supuestos!$E$10))),IF(Supuestos!$C$10="Uniforme",Supuestos!$D$10+G433*(Supuestos!$E$10-Supuestos!$D$10),IF(Supuestos!$C$10="Lognormal",LOGINV(G433,LN(Supuestos!$D$10)-LN(1+Supuestos!$E$10^2/Supuestos!$D$10^2)/2,SQRT(LN(1+Supuestos!$E$10^2/Supuestos!$D$10^2))),Supuestos!$D$10))))))</f>
        <v/>
      </c>
      <c r="O433" s="31">
        <f>MIN(IF(Supuestos!$H$11="",1E+99,Supuestos!$H$11),MAX(IF(Supuestos!$G$11="",-1E+99,Supuestos!$G$11),IF(Supuestos!$C$11="Normal",NORMINV(H433,Supuestos!$D$11,Supuestos!$E$11),IF(Supuestos!$C$11="Triangular",IF(H433&lt;(Supuestos!$E$11-Supuestos!$D$11)/(Supuestos!$F$11-Supuestos!$D$11),Supuestos!$D$11+SQRT(H433*(Supuestos!$F$11-Supuestos!$D$11)*(Supuestos!$E$11-Supuestos!$D$11)),Supuestos!$F$11-SQRT((1-H433)*(Supuestos!$F$11-Supuestos!$D$11)*(Supuestos!$F$11-Supuestos!$E$11))),IF(Supuestos!$C$11="Uniforme",Supuestos!$D$11+H433*(Supuestos!$E$11-Supuestos!$D$11),IF(Supuestos!$C$11="Lognormal",LOGINV(H433,LN(Supuestos!$D$11)-LN(1+Supuestos!$E$11^2/Supuestos!$D$11^2)/2,SQRT(LN(1+Supuestos!$E$11^2/Supuestos!$D$11^2))),Supuestos!$D$11))))))</f>
        <v/>
      </c>
      <c r="P433" s="33">
        <f>-I433</f>
        <v/>
      </c>
      <c r="Q433" s="33">
        <f>$J433*(1+$K433)^(1-1)*(1-$L433)*(1-$M433)</f>
        <v/>
      </c>
      <c r="R433" s="33">
        <f>$J433*(1+$K433)^(2-1)*(1-$L433)*(1-$M433)</f>
        <v/>
      </c>
      <c r="S433" s="33">
        <f>$J433*(1+$K433)^(3-1)*(1-$L433)*(1-$M433)</f>
        <v/>
      </c>
      <c r="T433" s="33">
        <f>$J433*(1+$K433)^(4-1)*(1-$L433)*(1-$M433)</f>
        <v/>
      </c>
      <c r="U433" s="33">
        <f>$J433*(1+$K433)^(5-1)*(1-$L433)*(1-$M433)+$O433</f>
        <v/>
      </c>
      <c r="V433" s="33">
        <f>P433+NPV($N433,Q433:U433)</f>
        <v/>
      </c>
      <c r="W433" s="32">
        <f>IFERROR(IRR(P433:U433,0.1),"")</f>
        <v/>
      </c>
    </row>
    <row r="434">
      <c r="A434" s="14" t="n">
        <v>430</v>
      </c>
      <c r="B434" s="30">
        <f>RAND()*(1-2E-6)+1E-6</f>
        <v/>
      </c>
      <c r="C434" s="30">
        <f>RAND()*(1-2E-6)+1E-6</f>
        <v/>
      </c>
      <c r="D434" s="30">
        <f>RAND()*(1-2E-6)+1E-6</f>
        <v/>
      </c>
      <c r="E434" s="30">
        <f>RAND()*(1-2E-6)+1E-6</f>
        <v/>
      </c>
      <c r="F434" s="30">
        <f>RAND()*(1-2E-6)+1E-6</f>
        <v/>
      </c>
      <c r="G434" s="30">
        <f>RAND()*(1-2E-6)+1E-6</f>
        <v/>
      </c>
      <c r="H434" s="30">
        <f>RAND()*(1-2E-6)+1E-6</f>
        <v/>
      </c>
      <c r="I434" s="31">
        <f>MIN(IF(Supuestos!$H$5="",1E+99,Supuestos!$H$5),MAX(IF(Supuestos!$G$5="",-1E+99,Supuestos!$G$5),IF(Supuestos!$C$5="Normal",NORMINV(B434,Supuestos!$D$5,Supuestos!$E$5),IF(Supuestos!$C$5="Triangular",IF(B434&lt;(Supuestos!$E$5-Supuestos!$D$5)/(Supuestos!$F$5-Supuestos!$D$5),Supuestos!$D$5+SQRT(B434*(Supuestos!$F$5-Supuestos!$D$5)*(Supuestos!$E$5-Supuestos!$D$5)),Supuestos!$F$5-SQRT((1-B434)*(Supuestos!$F$5-Supuestos!$D$5)*(Supuestos!$F$5-Supuestos!$E$5))),IF(Supuestos!$C$5="Uniforme",Supuestos!$D$5+B434*(Supuestos!$E$5-Supuestos!$D$5),IF(Supuestos!$C$5="Lognormal",LOGINV(B434,LN(Supuestos!$D$5)-LN(1+Supuestos!$E$5^2/Supuestos!$D$5^2)/2,SQRT(LN(1+Supuestos!$E$5^2/Supuestos!$D$5^2))),Supuestos!$D$5))))))</f>
        <v/>
      </c>
      <c r="J434" s="31">
        <f>MIN(IF(Supuestos!$H$6="",1E+99,Supuestos!$H$6),MAX(IF(Supuestos!$G$6="",-1E+99,Supuestos!$G$6),IF(Supuestos!$C$6="Normal",NORMINV(C434,Supuestos!$D$6,Supuestos!$E$6),IF(Supuestos!$C$6="Triangular",IF(C434&lt;(Supuestos!$E$6-Supuestos!$D$6)/(Supuestos!$F$6-Supuestos!$D$6),Supuestos!$D$6+SQRT(C434*(Supuestos!$F$6-Supuestos!$D$6)*(Supuestos!$E$6-Supuestos!$D$6)),Supuestos!$F$6-SQRT((1-C434)*(Supuestos!$F$6-Supuestos!$D$6)*(Supuestos!$F$6-Supuestos!$E$6))),IF(Supuestos!$C$6="Uniforme",Supuestos!$D$6+C434*(Supuestos!$E$6-Supuestos!$D$6),IF(Supuestos!$C$6="Lognormal",LOGINV(C434,LN(Supuestos!$D$6)-LN(1+Supuestos!$E$6^2/Supuestos!$D$6^2)/2,SQRT(LN(1+Supuestos!$E$6^2/Supuestos!$D$6^2))),Supuestos!$D$6))))))</f>
        <v/>
      </c>
      <c r="K434" s="32">
        <f>MIN(IF(Supuestos!$H$7="",1E+99,Supuestos!$H$7),MAX(IF(Supuestos!$G$7="",-1E+99,Supuestos!$G$7),IF(Supuestos!$C$7="Normal",NORMINV(D434,Supuestos!$D$7,Supuestos!$E$7),IF(Supuestos!$C$7="Triangular",IF(D434&lt;(Supuestos!$E$7-Supuestos!$D$7)/(Supuestos!$F$7-Supuestos!$D$7),Supuestos!$D$7+SQRT(D434*(Supuestos!$F$7-Supuestos!$D$7)*(Supuestos!$E$7-Supuestos!$D$7)),Supuestos!$F$7-SQRT((1-D434)*(Supuestos!$F$7-Supuestos!$D$7)*(Supuestos!$F$7-Supuestos!$E$7))),IF(Supuestos!$C$7="Uniforme",Supuestos!$D$7+D434*(Supuestos!$E$7-Supuestos!$D$7),IF(Supuestos!$C$7="Lognormal",LOGINV(D434,LN(Supuestos!$D$7)-LN(1+Supuestos!$E$7^2/Supuestos!$D$7^2)/2,SQRT(LN(1+Supuestos!$E$7^2/Supuestos!$D$7^2))),Supuestos!$D$7))))))</f>
        <v/>
      </c>
      <c r="L434" s="32">
        <f>MIN(IF(Supuestos!$H$8="",1E+99,Supuestos!$H$8),MAX(IF(Supuestos!$G$8="",-1E+99,Supuestos!$G$8),IF(Supuestos!$C$8="Normal",NORMINV(E434,Supuestos!$D$8,Supuestos!$E$8),IF(Supuestos!$C$8="Triangular",IF(E434&lt;(Supuestos!$E$8-Supuestos!$D$8)/(Supuestos!$F$8-Supuestos!$D$8),Supuestos!$D$8+SQRT(E434*(Supuestos!$F$8-Supuestos!$D$8)*(Supuestos!$E$8-Supuestos!$D$8)),Supuestos!$F$8-SQRT((1-E434)*(Supuestos!$F$8-Supuestos!$D$8)*(Supuestos!$F$8-Supuestos!$E$8))),IF(Supuestos!$C$8="Uniforme",Supuestos!$D$8+E434*(Supuestos!$E$8-Supuestos!$D$8),IF(Supuestos!$C$8="Lognormal",LOGINV(E434,LN(Supuestos!$D$8)-LN(1+Supuestos!$E$8^2/Supuestos!$D$8^2)/2,SQRT(LN(1+Supuestos!$E$8^2/Supuestos!$D$8^2))),Supuestos!$D$8))))))</f>
        <v/>
      </c>
      <c r="M434" s="32">
        <f>MIN(IF(Supuestos!$H$9="",1E+99,Supuestos!$H$9),MAX(IF(Supuestos!$G$9="",-1E+99,Supuestos!$G$9),IF(Supuestos!$C$9="Normal",NORMINV(F434,Supuestos!$D$9,Supuestos!$E$9),IF(Supuestos!$C$9="Triangular",IF(F434&lt;(Supuestos!$E$9-Supuestos!$D$9)/(Supuestos!$F$9-Supuestos!$D$9),Supuestos!$D$9+SQRT(F434*(Supuestos!$F$9-Supuestos!$D$9)*(Supuestos!$E$9-Supuestos!$D$9)),Supuestos!$F$9-SQRT((1-F434)*(Supuestos!$F$9-Supuestos!$D$9)*(Supuestos!$F$9-Supuestos!$E$9))),IF(Supuestos!$C$9="Uniforme",Supuestos!$D$9+F434*(Supuestos!$E$9-Supuestos!$D$9),IF(Supuestos!$C$9="Lognormal",LOGINV(F434,LN(Supuestos!$D$9)-LN(1+Supuestos!$E$9^2/Supuestos!$D$9^2)/2,SQRT(LN(1+Supuestos!$E$9^2/Supuestos!$D$9^2))),Supuestos!$D$9))))))</f>
        <v/>
      </c>
      <c r="N434" s="32">
        <f>MIN(IF(Supuestos!$H$10="",1E+99,Supuestos!$H$10),MAX(IF(Supuestos!$G$10="",-1E+99,Supuestos!$G$10),IF(Supuestos!$C$10="Normal",NORMINV(G434,Supuestos!$D$10,Supuestos!$E$10),IF(Supuestos!$C$10="Triangular",IF(G434&lt;(Supuestos!$E$10-Supuestos!$D$10)/(Supuestos!$F$10-Supuestos!$D$10),Supuestos!$D$10+SQRT(G434*(Supuestos!$F$10-Supuestos!$D$10)*(Supuestos!$E$10-Supuestos!$D$10)),Supuestos!$F$10-SQRT((1-G434)*(Supuestos!$F$10-Supuestos!$D$10)*(Supuestos!$F$10-Supuestos!$E$10))),IF(Supuestos!$C$10="Uniforme",Supuestos!$D$10+G434*(Supuestos!$E$10-Supuestos!$D$10),IF(Supuestos!$C$10="Lognormal",LOGINV(G434,LN(Supuestos!$D$10)-LN(1+Supuestos!$E$10^2/Supuestos!$D$10^2)/2,SQRT(LN(1+Supuestos!$E$10^2/Supuestos!$D$10^2))),Supuestos!$D$10))))))</f>
        <v/>
      </c>
      <c r="O434" s="31">
        <f>MIN(IF(Supuestos!$H$11="",1E+99,Supuestos!$H$11),MAX(IF(Supuestos!$G$11="",-1E+99,Supuestos!$G$11),IF(Supuestos!$C$11="Normal",NORMINV(H434,Supuestos!$D$11,Supuestos!$E$11),IF(Supuestos!$C$11="Triangular",IF(H434&lt;(Supuestos!$E$11-Supuestos!$D$11)/(Supuestos!$F$11-Supuestos!$D$11),Supuestos!$D$11+SQRT(H434*(Supuestos!$F$11-Supuestos!$D$11)*(Supuestos!$E$11-Supuestos!$D$11)),Supuestos!$F$11-SQRT((1-H434)*(Supuestos!$F$11-Supuestos!$D$11)*(Supuestos!$F$11-Supuestos!$E$11))),IF(Supuestos!$C$11="Uniforme",Supuestos!$D$11+H434*(Supuestos!$E$11-Supuestos!$D$11),IF(Supuestos!$C$11="Lognormal",LOGINV(H434,LN(Supuestos!$D$11)-LN(1+Supuestos!$E$11^2/Supuestos!$D$11^2)/2,SQRT(LN(1+Supuestos!$E$11^2/Supuestos!$D$11^2))),Supuestos!$D$11))))))</f>
        <v/>
      </c>
      <c r="P434" s="33">
        <f>-I434</f>
        <v/>
      </c>
      <c r="Q434" s="33">
        <f>$J434*(1+$K434)^(1-1)*(1-$L434)*(1-$M434)</f>
        <v/>
      </c>
      <c r="R434" s="33">
        <f>$J434*(1+$K434)^(2-1)*(1-$L434)*(1-$M434)</f>
        <v/>
      </c>
      <c r="S434" s="33">
        <f>$J434*(1+$K434)^(3-1)*(1-$L434)*(1-$M434)</f>
        <v/>
      </c>
      <c r="T434" s="33">
        <f>$J434*(1+$K434)^(4-1)*(1-$L434)*(1-$M434)</f>
        <v/>
      </c>
      <c r="U434" s="33">
        <f>$J434*(1+$K434)^(5-1)*(1-$L434)*(1-$M434)+$O434</f>
        <v/>
      </c>
      <c r="V434" s="33">
        <f>P434+NPV($N434,Q434:U434)</f>
        <v/>
      </c>
      <c r="W434" s="32">
        <f>IFERROR(IRR(P434:U434,0.1),"")</f>
        <v/>
      </c>
    </row>
    <row r="435">
      <c r="A435" s="14" t="n">
        <v>431</v>
      </c>
      <c r="B435" s="30">
        <f>RAND()*(1-2E-6)+1E-6</f>
        <v/>
      </c>
      <c r="C435" s="30">
        <f>RAND()*(1-2E-6)+1E-6</f>
        <v/>
      </c>
      <c r="D435" s="30">
        <f>RAND()*(1-2E-6)+1E-6</f>
        <v/>
      </c>
      <c r="E435" s="30">
        <f>RAND()*(1-2E-6)+1E-6</f>
        <v/>
      </c>
      <c r="F435" s="30">
        <f>RAND()*(1-2E-6)+1E-6</f>
        <v/>
      </c>
      <c r="G435" s="30">
        <f>RAND()*(1-2E-6)+1E-6</f>
        <v/>
      </c>
      <c r="H435" s="30">
        <f>RAND()*(1-2E-6)+1E-6</f>
        <v/>
      </c>
      <c r="I435" s="31">
        <f>MIN(IF(Supuestos!$H$5="",1E+99,Supuestos!$H$5),MAX(IF(Supuestos!$G$5="",-1E+99,Supuestos!$G$5),IF(Supuestos!$C$5="Normal",NORMINV(B435,Supuestos!$D$5,Supuestos!$E$5),IF(Supuestos!$C$5="Triangular",IF(B435&lt;(Supuestos!$E$5-Supuestos!$D$5)/(Supuestos!$F$5-Supuestos!$D$5),Supuestos!$D$5+SQRT(B435*(Supuestos!$F$5-Supuestos!$D$5)*(Supuestos!$E$5-Supuestos!$D$5)),Supuestos!$F$5-SQRT((1-B435)*(Supuestos!$F$5-Supuestos!$D$5)*(Supuestos!$F$5-Supuestos!$E$5))),IF(Supuestos!$C$5="Uniforme",Supuestos!$D$5+B435*(Supuestos!$E$5-Supuestos!$D$5),IF(Supuestos!$C$5="Lognormal",LOGINV(B435,LN(Supuestos!$D$5)-LN(1+Supuestos!$E$5^2/Supuestos!$D$5^2)/2,SQRT(LN(1+Supuestos!$E$5^2/Supuestos!$D$5^2))),Supuestos!$D$5))))))</f>
        <v/>
      </c>
      <c r="J435" s="31">
        <f>MIN(IF(Supuestos!$H$6="",1E+99,Supuestos!$H$6),MAX(IF(Supuestos!$G$6="",-1E+99,Supuestos!$G$6),IF(Supuestos!$C$6="Normal",NORMINV(C435,Supuestos!$D$6,Supuestos!$E$6),IF(Supuestos!$C$6="Triangular",IF(C435&lt;(Supuestos!$E$6-Supuestos!$D$6)/(Supuestos!$F$6-Supuestos!$D$6),Supuestos!$D$6+SQRT(C435*(Supuestos!$F$6-Supuestos!$D$6)*(Supuestos!$E$6-Supuestos!$D$6)),Supuestos!$F$6-SQRT((1-C435)*(Supuestos!$F$6-Supuestos!$D$6)*(Supuestos!$F$6-Supuestos!$E$6))),IF(Supuestos!$C$6="Uniforme",Supuestos!$D$6+C435*(Supuestos!$E$6-Supuestos!$D$6),IF(Supuestos!$C$6="Lognormal",LOGINV(C435,LN(Supuestos!$D$6)-LN(1+Supuestos!$E$6^2/Supuestos!$D$6^2)/2,SQRT(LN(1+Supuestos!$E$6^2/Supuestos!$D$6^2))),Supuestos!$D$6))))))</f>
        <v/>
      </c>
      <c r="K435" s="32">
        <f>MIN(IF(Supuestos!$H$7="",1E+99,Supuestos!$H$7),MAX(IF(Supuestos!$G$7="",-1E+99,Supuestos!$G$7),IF(Supuestos!$C$7="Normal",NORMINV(D435,Supuestos!$D$7,Supuestos!$E$7),IF(Supuestos!$C$7="Triangular",IF(D435&lt;(Supuestos!$E$7-Supuestos!$D$7)/(Supuestos!$F$7-Supuestos!$D$7),Supuestos!$D$7+SQRT(D435*(Supuestos!$F$7-Supuestos!$D$7)*(Supuestos!$E$7-Supuestos!$D$7)),Supuestos!$F$7-SQRT((1-D435)*(Supuestos!$F$7-Supuestos!$D$7)*(Supuestos!$F$7-Supuestos!$E$7))),IF(Supuestos!$C$7="Uniforme",Supuestos!$D$7+D435*(Supuestos!$E$7-Supuestos!$D$7),IF(Supuestos!$C$7="Lognormal",LOGINV(D435,LN(Supuestos!$D$7)-LN(1+Supuestos!$E$7^2/Supuestos!$D$7^2)/2,SQRT(LN(1+Supuestos!$E$7^2/Supuestos!$D$7^2))),Supuestos!$D$7))))))</f>
        <v/>
      </c>
      <c r="L435" s="32">
        <f>MIN(IF(Supuestos!$H$8="",1E+99,Supuestos!$H$8),MAX(IF(Supuestos!$G$8="",-1E+99,Supuestos!$G$8),IF(Supuestos!$C$8="Normal",NORMINV(E435,Supuestos!$D$8,Supuestos!$E$8),IF(Supuestos!$C$8="Triangular",IF(E435&lt;(Supuestos!$E$8-Supuestos!$D$8)/(Supuestos!$F$8-Supuestos!$D$8),Supuestos!$D$8+SQRT(E435*(Supuestos!$F$8-Supuestos!$D$8)*(Supuestos!$E$8-Supuestos!$D$8)),Supuestos!$F$8-SQRT((1-E435)*(Supuestos!$F$8-Supuestos!$D$8)*(Supuestos!$F$8-Supuestos!$E$8))),IF(Supuestos!$C$8="Uniforme",Supuestos!$D$8+E435*(Supuestos!$E$8-Supuestos!$D$8),IF(Supuestos!$C$8="Lognormal",LOGINV(E435,LN(Supuestos!$D$8)-LN(1+Supuestos!$E$8^2/Supuestos!$D$8^2)/2,SQRT(LN(1+Supuestos!$E$8^2/Supuestos!$D$8^2))),Supuestos!$D$8))))))</f>
        <v/>
      </c>
      <c r="M435" s="32">
        <f>MIN(IF(Supuestos!$H$9="",1E+99,Supuestos!$H$9),MAX(IF(Supuestos!$G$9="",-1E+99,Supuestos!$G$9),IF(Supuestos!$C$9="Normal",NORMINV(F435,Supuestos!$D$9,Supuestos!$E$9),IF(Supuestos!$C$9="Triangular",IF(F435&lt;(Supuestos!$E$9-Supuestos!$D$9)/(Supuestos!$F$9-Supuestos!$D$9),Supuestos!$D$9+SQRT(F435*(Supuestos!$F$9-Supuestos!$D$9)*(Supuestos!$E$9-Supuestos!$D$9)),Supuestos!$F$9-SQRT((1-F435)*(Supuestos!$F$9-Supuestos!$D$9)*(Supuestos!$F$9-Supuestos!$E$9))),IF(Supuestos!$C$9="Uniforme",Supuestos!$D$9+F435*(Supuestos!$E$9-Supuestos!$D$9),IF(Supuestos!$C$9="Lognormal",LOGINV(F435,LN(Supuestos!$D$9)-LN(1+Supuestos!$E$9^2/Supuestos!$D$9^2)/2,SQRT(LN(1+Supuestos!$E$9^2/Supuestos!$D$9^2))),Supuestos!$D$9))))))</f>
        <v/>
      </c>
      <c r="N435" s="32">
        <f>MIN(IF(Supuestos!$H$10="",1E+99,Supuestos!$H$10),MAX(IF(Supuestos!$G$10="",-1E+99,Supuestos!$G$10),IF(Supuestos!$C$10="Normal",NORMINV(G435,Supuestos!$D$10,Supuestos!$E$10),IF(Supuestos!$C$10="Triangular",IF(G435&lt;(Supuestos!$E$10-Supuestos!$D$10)/(Supuestos!$F$10-Supuestos!$D$10),Supuestos!$D$10+SQRT(G435*(Supuestos!$F$10-Supuestos!$D$10)*(Supuestos!$E$10-Supuestos!$D$10)),Supuestos!$F$10-SQRT((1-G435)*(Supuestos!$F$10-Supuestos!$D$10)*(Supuestos!$F$10-Supuestos!$E$10))),IF(Supuestos!$C$10="Uniforme",Supuestos!$D$10+G435*(Supuestos!$E$10-Supuestos!$D$10),IF(Supuestos!$C$10="Lognormal",LOGINV(G435,LN(Supuestos!$D$10)-LN(1+Supuestos!$E$10^2/Supuestos!$D$10^2)/2,SQRT(LN(1+Supuestos!$E$10^2/Supuestos!$D$10^2))),Supuestos!$D$10))))))</f>
        <v/>
      </c>
      <c r="O435" s="31">
        <f>MIN(IF(Supuestos!$H$11="",1E+99,Supuestos!$H$11),MAX(IF(Supuestos!$G$11="",-1E+99,Supuestos!$G$11),IF(Supuestos!$C$11="Normal",NORMINV(H435,Supuestos!$D$11,Supuestos!$E$11),IF(Supuestos!$C$11="Triangular",IF(H435&lt;(Supuestos!$E$11-Supuestos!$D$11)/(Supuestos!$F$11-Supuestos!$D$11),Supuestos!$D$11+SQRT(H435*(Supuestos!$F$11-Supuestos!$D$11)*(Supuestos!$E$11-Supuestos!$D$11)),Supuestos!$F$11-SQRT((1-H435)*(Supuestos!$F$11-Supuestos!$D$11)*(Supuestos!$F$11-Supuestos!$E$11))),IF(Supuestos!$C$11="Uniforme",Supuestos!$D$11+H435*(Supuestos!$E$11-Supuestos!$D$11),IF(Supuestos!$C$11="Lognormal",LOGINV(H435,LN(Supuestos!$D$11)-LN(1+Supuestos!$E$11^2/Supuestos!$D$11^2)/2,SQRT(LN(1+Supuestos!$E$11^2/Supuestos!$D$11^2))),Supuestos!$D$11))))))</f>
        <v/>
      </c>
      <c r="P435" s="33">
        <f>-I435</f>
        <v/>
      </c>
      <c r="Q435" s="33">
        <f>$J435*(1+$K435)^(1-1)*(1-$L435)*(1-$M435)</f>
        <v/>
      </c>
      <c r="R435" s="33">
        <f>$J435*(1+$K435)^(2-1)*(1-$L435)*(1-$M435)</f>
        <v/>
      </c>
      <c r="S435" s="33">
        <f>$J435*(1+$K435)^(3-1)*(1-$L435)*(1-$M435)</f>
        <v/>
      </c>
      <c r="T435" s="33">
        <f>$J435*(1+$K435)^(4-1)*(1-$L435)*(1-$M435)</f>
        <v/>
      </c>
      <c r="U435" s="33">
        <f>$J435*(1+$K435)^(5-1)*(1-$L435)*(1-$M435)+$O435</f>
        <v/>
      </c>
      <c r="V435" s="33">
        <f>P435+NPV($N435,Q435:U435)</f>
        <v/>
      </c>
      <c r="W435" s="32">
        <f>IFERROR(IRR(P435:U435,0.1),"")</f>
        <v/>
      </c>
    </row>
    <row r="436">
      <c r="A436" s="14" t="n">
        <v>432</v>
      </c>
      <c r="B436" s="30">
        <f>RAND()*(1-2E-6)+1E-6</f>
        <v/>
      </c>
      <c r="C436" s="30">
        <f>RAND()*(1-2E-6)+1E-6</f>
        <v/>
      </c>
      <c r="D436" s="30">
        <f>RAND()*(1-2E-6)+1E-6</f>
        <v/>
      </c>
      <c r="E436" s="30">
        <f>RAND()*(1-2E-6)+1E-6</f>
        <v/>
      </c>
      <c r="F436" s="30">
        <f>RAND()*(1-2E-6)+1E-6</f>
        <v/>
      </c>
      <c r="G436" s="30">
        <f>RAND()*(1-2E-6)+1E-6</f>
        <v/>
      </c>
      <c r="H436" s="30">
        <f>RAND()*(1-2E-6)+1E-6</f>
        <v/>
      </c>
      <c r="I436" s="31">
        <f>MIN(IF(Supuestos!$H$5="",1E+99,Supuestos!$H$5),MAX(IF(Supuestos!$G$5="",-1E+99,Supuestos!$G$5),IF(Supuestos!$C$5="Normal",NORMINV(B436,Supuestos!$D$5,Supuestos!$E$5),IF(Supuestos!$C$5="Triangular",IF(B436&lt;(Supuestos!$E$5-Supuestos!$D$5)/(Supuestos!$F$5-Supuestos!$D$5),Supuestos!$D$5+SQRT(B436*(Supuestos!$F$5-Supuestos!$D$5)*(Supuestos!$E$5-Supuestos!$D$5)),Supuestos!$F$5-SQRT((1-B436)*(Supuestos!$F$5-Supuestos!$D$5)*(Supuestos!$F$5-Supuestos!$E$5))),IF(Supuestos!$C$5="Uniforme",Supuestos!$D$5+B436*(Supuestos!$E$5-Supuestos!$D$5),IF(Supuestos!$C$5="Lognormal",LOGINV(B436,LN(Supuestos!$D$5)-LN(1+Supuestos!$E$5^2/Supuestos!$D$5^2)/2,SQRT(LN(1+Supuestos!$E$5^2/Supuestos!$D$5^2))),Supuestos!$D$5))))))</f>
        <v/>
      </c>
      <c r="J436" s="31">
        <f>MIN(IF(Supuestos!$H$6="",1E+99,Supuestos!$H$6),MAX(IF(Supuestos!$G$6="",-1E+99,Supuestos!$G$6),IF(Supuestos!$C$6="Normal",NORMINV(C436,Supuestos!$D$6,Supuestos!$E$6),IF(Supuestos!$C$6="Triangular",IF(C436&lt;(Supuestos!$E$6-Supuestos!$D$6)/(Supuestos!$F$6-Supuestos!$D$6),Supuestos!$D$6+SQRT(C436*(Supuestos!$F$6-Supuestos!$D$6)*(Supuestos!$E$6-Supuestos!$D$6)),Supuestos!$F$6-SQRT((1-C436)*(Supuestos!$F$6-Supuestos!$D$6)*(Supuestos!$F$6-Supuestos!$E$6))),IF(Supuestos!$C$6="Uniforme",Supuestos!$D$6+C436*(Supuestos!$E$6-Supuestos!$D$6),IF(Supuestos!$C$6="Lognormal",LOGINV(C436,LN(Supuestos!$D$6)-LN(1+Supuestos!$E$6^2/Supuestos!$D$6^2)/2,SQRT(LN(1+Supuestos!$E$6^2/Supuestos!$D$6^2))),Supuestos!$D$6))))))</f>
        <v/>
      </c>
      <c r="K436" s="32">
        <f>MIN(IF(Supuestos!$H$7="",1E+99,Supuestos!$H$7),MAX(IF(Supuestos!$G$7="",-1E+99,Supuestos!$G$7),IF(Supuestos!$C$7="Normal",NORMINV(D436,Supuestos!$D$7,Supuestos!$E$7),IF(Supuestos!$C$7="Triangular",IF(D436&lt;(Supuestos!$E$7-Supuestos!$D$7)/(Supuestos!$F$7-Supuestos!$D$7),Supuestos!$D$7+SQRT(D436*(Supuestos!$F$7-Supuestos!$D$7)*(Supuestos!$E$7-Supuestos!$D$7)),Supuestos!$F$7-SQRT((1-D436)*(Supuestos!$F$7-Supuestos!$D$7)*(Supuestos!$F$7-Supuestos!$E$7))),IF(Supuestos!$C$7="Uniforme",Supuestos!$D$7+D436*(Supuestos!$E$7-Supuestos!$D$7),IF(Supuestos!$C$7="Lognormal",LOGINV(D436,LN(Supuestos!$D$7)-LN(1+Supuestos!$E$7^2/Supuestos!$D$7^2)/2,SQRT(LN(1+Supuestos!$E$7^2/Supuestos!$D$7^2))),Supuestos!$D$7))))))</f>
        <v/>
      </c>
      <c r="L436" s="32">
        <f>MIN(IF(Supuestos!$H$8="",1E+99,Supuestos!$H$8),MAX(IF(Supuestos!$G$8="",-1E+99,Supuestos!$G$8),IF(Supuestos!$C$8="Normal",NORMINV(E436,Supuestos!$D$8,Supuestos!$E$8),IF(Supuestos!$C$8="Triangular",IF(E436&lt;(Supuestos!$E$8-Supuestos!$D$8)/(Supuestos!$F$8-Supuestos!$D$8),Supuestos!$D$8+SQRT(E436*(Supuestos!$F$8-Supuestos!$D$8)*(Supuestos!$E$8-Supuestos!$D$8)),Supuestos!$F$8-SQRT((1-E436)*(Supuestos!$F$8-Supuestos!$D$8)*(Supuestos!$F$8-Supuestos!$E$8))),IF(Supuestos!$C$8="Uniforme",Supuestos!$D$8+E436*(Supuestos!$E$8-Supuestos!$D$8),IF(Supuestos!$C$8="Lognormal",LOGINV(E436,LN(Supuestos!$D$8)-LN(1+Supuestos!$E$8^2/Supuestos!$D$8^2)/2,SQRT(LN(1+Supuestos!$E$8^2/Supuestos!$D$8^2))),Supuestos!$D$8))))))</f>
        <v/>
      </c>
      <c r="M436" s="32">
        <f>MIN(IF(Supuestos!$H$9="",1E+99,Supuestos!$H$9),MAX(IF(Supuestos!$G$9="",-1E+99,Supuestos!$G$9),IF(Supuestos!$C$9="Normal",NORMINV(F436,Supuestos!$D$9,Supuestos!$E$9),IF(Supuestos!$C$9="Triangular",IF(F436&lt;(Supuestos!$E$9-Supuestos!$D$9)/(Supuestos!$F$9-Supuestos!$D$9),Supuestos!$D$9+SQRT(F436*(Supuestos!$F$9-Supuestos!$D$9)*(Supuestos!$E$9-Supuestos!$D$9)),Supuestos!$F$9-SQRT((1-F436)*(Supuestos!$F$9-Supuestos!$D$9)*(Supuestos!$F$9-Supuestos!$E$9))),IF(Supuestos!$C$9="Uniforme",Supuestos!$D$9+F436*(Supuestos!$E$9-Supuestos!$D$9),IF(Supuestos!$C$9="Lognormal",LOGINV(F436,LN(Supuestos!$D$9)-LN(1+Supuestos!$E$9^2/Supuestos!$D$9^2)/2,SQRT(LN(1+Supuestos!$E$9^2/Supuestos!$D$9^2))),Supuestos!$D$9))))))</f>
        <v/>
      </c>
      <c r="N436" s="32">
        <f>MIN(IF(Supuestos!$H$10="",1E+99,Supuestos!$H$10),MAX(IF(Supuestos!$G$10="",-1E+99,Supuestos!$G$10),IF(Supuestos!$C$10="Normal",NORMINV(G436,Supuestos!$D$10,Supuestos!$E$10),IF(Supuestos!$C$10="Triangular",IF(G436&lt;(Supuestos!$E$10-Supuestos!$D$10)/(Supuestos!$F$10-Supuestos!$D$10),Supuestos!$D$10+SQRT(G436*(Supuestos!$F$10-Supuestos!$D$10)*(Supuestos!$E$10-Supuestos!$D$10)),Supuestos!$F$10-SQRT((1-G436)*(Supuestos!$F$10-Supuestos!$D$10)*(Supuestos!$F$10-Supuestos!$E$10))),IF(Supuestos!$C$10="Uniforme",Supuestos!$D$10+G436*(Supuestos!$E$10-Supuestos!$D$10),IF(Supuestos!$C$10="Lognormal",LOGINV(G436,LN(Supuestos!$D$10)-LN(1+Supuestos!$E$10^2/Supuestos!$D$10^2)/2,SQRT(LN(1+Supuestos!$E$10^2/Supuestos!$D$10^2))),Supuestos!$D$10))))))</f>
        <v/>
      </c>
      <c r="O436" s="31">
        <f>MIN(IF(Supuestos!$H$11="",1E+99,Supuestos!$H$11),MAX(IF(Supuestos!$G$11="",-1E+99,Supuestos!$G$11),IF(Supuestos!$C$11="Normal",NORMINV(H436,Supuestos!$D$11,Supuestos!$E$11),IF(Supuestos!$C$11="Triangular",IF(H436&lt;(Supuestos!$E$11-Supuestos!$D$11)/(Supuestos!$F$11-Supuestos!$D$11),Supuestos!$D$11+SQRT(H436*(Supuestos!$F$11-Supuestos!$D$11)*(Supuestos!$E$11-Supuestos!$D$11)),Supuestos!$F$11-SQRT((1-H436)*(Supuestos!$F$11-Supuestos!$D$11)*(Supuestos!$F$11-Supuestos!$E$11))),IF(Supuestos!$C$11="Uniforme",Supuestos!$D$11+H436*(Supuestos!$E$11-Supuestos!$D$11),IF(Supuestos!$C$11="Lognormal",LOGINV(H436,LN(Supuestos!$D$11)-LN(1+Supuestos!$E$11^2/Supuestos!$D$11^2)/2,SQRT(LN(1+Supuestos!$E$11^2/Supuestos!$D$11^2))),Supuestos!$D$11))))))</f>
        <v/>
      </c>
      <c r="P436" s="33">
        <f>-I436</f>
        <v/>
      </c>
      <c r="Q436" s="33">
        <f>$J436*(1+$K436)^(1-1)*(1-$L436)*(1-$M436)</f>
        <v/>
      </c>
      <c r="R436" s="33">
        <f>$J436*(1+$K436)^(2-1)*(1-$L436)*(1-$M436)</f>
        <v/>
      </c>
      <c r="S436" s="33">
        <f>$J436*(1+$K436)^(3-1)*(1-$L436)*(1-$M436)</f>
        <v/>
      </c>
      <c r="T436" s="33">
        <f>$J436*(1+$K436)^(4-1)*(1-$L436)*(1-$M436)</f>
        <v/>
      </c>
      <c r="U436" s="33">
        <f>$J436*(1+$K436)^(5-1)*(1-$L436)*(1-$M436)+$O436</f>
        <v/>
      </c>
      <c r="V436" s="33">
        <f>P436+NPV($N436,Q436:U436)</f>
        <v/>
      </c>
      <c r="W436" s="32">
        <f>IFERROR(IRR(P436:U436,0.1),"")</f>
        <v/>
      </c>
    </row>
    <row r="437">
      <c r="A437" s="14" t="n">
        <v>433</v>
      </c>
      <c r="B437" s="30">
        <f>RAND()*(1-2E-6)+1E-6</f>
        <v/>
      </c>
      <c r="C437" s="30">
        <f>RAND()*(1-2E-6)+1E-6</f>
        <v/>
      </c>
      <c r="D437" s="30">
        <f>RAND()*(1-2E-6)+1E-6</f>
        <v/>
      </c>
      <c r="E437" s="30">
        <f>RAND()*(1-2E-6)+1E-6</f>
        <v/>
      </c>
      <c r="F437" s="30">
        <f>RAND()*(1-2E-6)+1E-6</f>
        <v/>
      </c>
      <c r="G437" s="30">
        <f>RAND()*(1-2E-6)+1E-6</f>
        <v/>
      </c>
      <c r="H437" s="30">
        <f>RAND()*(1-2E-6)+1E-6</f>
        <v/>
      </c>
      <c r="I437" s="31">
        <f>MIN(IF(Supuestos!$H$5="",1E+99,Supuestos!$H$5),MAX(IF(Supuestos!$G$5="",-1E+99,Supuestos!$G$5),IF(Supuestos!$C$5="Normal",NORMINV(B437,Supuestos!$D$5,Supuestos!$E$5),IF(Supuestos!$C$5="Triangular",IF(B437&lt;(Supuestos!$E$5-Supuestos!$D$5)/(Supuestos!$F$5-Supuestos!$D$5),Supuestos!$D$5+SQRT(B437*(Supuestos!$F$5-Supuestos!$D$5)*(Supuestos!$E$5-Supuestos!$D$5)),Supuestos!$F$5-SQRT((1-B437)*(Supuestos!$F$5-Supuestos!$D$5)*(Supuestos!$F$5-Supuestos!$E$5))),IF(Supuestos!$C$5="Uniforme",Supuestos!$D$5+B437*(Supuestos!$E$5-Supuestos!$D$5),IF(Supuestos!$C$5="Lognormal",LOGINV(B437,LN(Supuestos!$D$5)-LN(1+Supuestos!$E$5^2/Supuestos!$D$5^2)/2,SQRT(LN(1+Supuestos!$E$5^2/Supuestos!$D$5^2))),Supuestos!$D$5))))))</f>
        <v/>
      </c>
      <c r="J437" s="31">
        <f>MIN(IF(Supuestos!$H$6="",1E+99,Supuestos!$H$6),MAX(IF(Supuestos!$G$6="",-1E+99,Supuestos!$G$6),IF(Supuestos!$C$6="Normal",NORMINV(C437,Supuestos!$D$6,Supuestos!$E$6),IF(Supuestos!$C$6="Triangular",IF(C437&lt;(Supuestos!$E$6-Supuestos!$D$6)/(Supuestos!$F$6-Supuestos!$D$6),Supuestos!$D$6+SQRT(C437*(Supuestos!$F$6-Supuestos!$D$6)*(Supuestos!$E$6-Supuestos!$D$6)),Supuestos!$F$6-SQRT((1-C437)*(Supuestos!$F$6-Supuestos!$D$6)*(Supuestos!$F$6-Supuestos!$E$6))),IF(Supuestos!$C$6="Uniforme",Supuestos!$D$6+C437*(Supuestos!$E$6-Supuestos!$D$6),IF(Supuestos!$C$6="Lognormal",LOGINV(C437,LN(Supuestos!$D$6)-LN(1+Supuestos!$E$6^2/Supuestos!$D$6^2)/2,SQRT(LN(1+Supuestos!$E$6^2/Supuestos!$D$6^2))),Supuestos!$D$6))))))</f>
        <v/>
      </c>
      <c r="K437" s="32">
        <f>MIN(IF(Supuestos!$H$7="",1E+99,Supuestos!$H$7),MAX(IF(Supuestos!$G$7="",-1E+99,Supuestos!$G$7),IF(Supuestos!$C$7="Normal",NORMINV(D437,Supuestos!$D$7,Supuestos!$E$7),IF(Supuestos!$C$7="Triangular",IF(D437&lt;(Supuestos!$E$7-Supuestos!$D$7)/(Supuestos!$F$7-Supuestos!$D$7),Supuestos!$D$7+SQRT(D437*(Supuestos!$F$7-Supuestos!$D$7)*(Supuestos!$E$7-Supuestos!$D$7)),Supuestos!$F$7-SQRT((1-D437)*(Supuestos!$F$7-Supuestos!$D$7)*(Supuestos!$F$7-Supuestos!$E$7))),IF(Supuestos!$C$7="Uniforme",Supuestos!$D$7+D437*(Supuestos!$E$7-Supuestos!$D$7),IF(Supuestos!$C$7="Lognormal",LOGINV(D437,LN(Supuestos!$D$7)-LN(1+Supuestos!$E$7^2/Supuestos!$D$7^2)/2,SQRT(LN(1+Supuestos!$E$7^2/Supuestos!$D$7^2))),Supuestos!$D$7))))))</f>
        <v/>
      </c>
      <c r="L437" s="32">
        <f>MIN(IF(Supuestos!$H$8="",1E+99,Supuestos!$H$8),MAX(IF(Supuestos!$G$8="",-1E+99,Supuestos!$G$8),IF(Supuestos!$C$8="Normal",NORMINV(E437,Supuestos!$D$8,Supuestos!$E$8),IF(Supuestos!$C$8="Triangular",IF(E437&lt;(Supuestos!$E$8-Supuestos!$D$8)/(Supuestos!$F$8-Supuestos!$D$8),Supuestos!$D$8+SQRT(E437*(Supuestos!$F$8-Supuestos!$D$8)*(Supuestos!$E$8-Supuestos!$D$8)),Supuestos!$F$8-SQRT((1-E437)*(Supuestos!$F$8-Supuestos!$D$8)*(Supuestos!$F$8-Supuestos!$E$8))),IF(Supuestos!$C$8="Uniforme",Supuestos!$D$8+E437*(Supuestos!$E$8-Supuestos!$D$8),IF(Supuestos!$C$8="Lognormal",LOGINV(E437,LN(Supuestos!$D$8)-LN(1+Supuestos!$E$8^2/Supuestos!$D$8^2)/2,SQRT(LN(1+Supuestos!$E$8^2/Supuestos!$D$8^2))),Supuestos!$D$8))))))</f>
        <v/>
      </c>
      <c r="M437" s="32">
        <f>MIN(IF(Supuestos!$H$9="",1E+99,Supuestos!$H$9),MAX(IF(Supuestos!$G$9="",-1E+99,Supuestos!$G$9),IF(Supuestos!$C$9="Normal",NORMINV(F437,Supuestos!$D$9,Supuestos!$E$9),IF(Supuestos!$C$9="Triangular",IF(F437&lt;(Supuestos!$E$9-Supuestos!$D$9)/(Supuestos!$F$9-Supuestos!$D$9),Supuestos!$D$9+SQRT(F437*(Supuestos!$F$9-Supuestos!$D$9)*(Supuestos!$E$9-Supuestos!$D$9)),Supuestos!$F$9-SQRT((1-F437)*(Supuestos!$F$9-Supuestos!$D$9)*(Supuestos!$F$9-Supuestos!$E$9))),IF(Supuestos!$C$9="Uniforme",Supuestos!$D$9+F437*(Supuestos!$E$9-Supuestos!$D$9),IF(Supuestos!$C$9="Lognormal",LOGINV(F437,LN(Supuestos!$D$9)-LN(1+Supuestos!$E$9^2/Supuestos!$D$9^2)/2,SQRT(LN(1+Supuestos!$E$9^2/Supuestos!$D$9^2))),Supuestos!$D$9))))))</f>
        <v/>
      </c>
      <c r="N437" s="32">
        <f>MIN(IF(Supuestos!$H$10="",1E+99,Supuestos!$H$10),MAX(IF(Supuestos!$G$10="",-1E+99,Supuestos!$G$10),IF(Supuestos!$C$10="Normal",NORMINV(G437,Supuestos!$D$10,Supuestos!$E$10),IF(Supuestos!$C$10="Triangular",IF(G437&lt;(Supuestos!$E$10-Supuestos!$D$10)/(Supuestos!$F$10-Supuestos!$D$10),Supuestos!$D$10+SQRT(G437*(Supuestos!$F$10-Supuestos!$D$10)*(Supuestos!$E$10-Supuestos!$D$10)),Supuestos!$F$10-SQRT((1-G437)*(Supuestos!$F$10-Supuestos!$D$10)*(Supuestos!$F$10-Supuestos!$E$10))),IF(Supuestos!$C$10="Uniforme",Supuestos!$D$10+G437*(Supuestos!$E$10-Supuestos!$D$10),IF(Supuestos!$C$10="Lognormal",LOGINV(G437,LN(Supuestos!$D$10)-LN(1+Supuestos!$E$10^2/Supuestos!$D$10^2)/2,SQRT(LN(1+Supuestos!$E$10^2/Supuestos!$D$10^2))),Supuestos!$D$10))))))</f>
        <v/>
      </c>
      <c r="O437" s="31">
        <f>MIN(IF(Supuestos!$H$11="",1E+99,Supuestos!$H$11),MAX(IF(Supuestos!$G$11="",-1E+99,Supuestos!$G$11),IF(Supuestos!$C$11="Normal",NORMINV(H437,Supuestos!$D$11,Supuestos!$E$11),IF(Supuestos!$C$11="Triangular",IF(H437&lt;(Supuestos!$E$11-Supuestos!$D$11)/(Supuestos!$F$11-Supuestos!$D$11),Supuestos!$D$11+SQRT(H437*(Supuestos!$F$11-Supuestos!$D$11)*(Supuestos!$E$11-Supuestos!$D$11)),Supuestos!$F$11-SQRT((1-H437)*(Supuestos!$F$11-Supuestos!$D$11)*(Supuestos!$F$11-Supuestos!$E$11))),IF(Supuestos!$C$11="Uniforme",Supuestos!$D$11+H437*(Supuestos!$E$11-Supuestos!$D$11),IF(Supuestos!$C$11="Lognormal",LOGINV(H437,LN(Supuestos!$D$11)-LN(1+Supuestos!$E$11^2/Supuestos!$D$11^2)/2,SQRT(LN(1+Supuestos!$E$11^2/Supuestos!$D$11^2))),Supuestos!$D$11))))))</f>
        <v/>
      </c>
      <c r="P437" s="33">
        <f>-I437</f>
        <v/>
      </c>
      <c r="Q437" s="33">
        <f>$J437*(1+$K437)^(1-1)*(1-$L437)*(1-$M437)</f>
        <v/>
      </c>
      <c r="R437" s="33">
        <f>$J437*(1+$K437)^(2-1)*(1-$L437)*(1-$M437)</f>
        <v/>
      </c>
      <c r="S437" s="33">
        <f>$J437*(1+$K437)^(3-1)*(1-$L437)*(1-$M437)</f>
        <v/>
      </c>
      <c r="T437" s="33">
        <f>$J437*(1+$K437)^(4-1)*(1-$L437)*(1-$M437)</f>
        <v/>
      </c>
      <c r="U437" s="33">
        <f>$J437*(1+$K437)^(5-1)*(1-$L437)*(1-$M437)+$O437</f>
        <v/>
      </c>
      <c r="V437" s="33">
        <f>P437+NPV($N437,Q437:U437)</f>
        <v/>
      </c>
      <c r="W437" s="32">
        <f>IFERROR(IRR(P437:U437,0.1),"")</f>
        <v/>
      </c>
    </row>
    <row r="438">
      <c r="A438" s="14" t="n">
        <v>434</v>
      </c>
      <c r="B438" s="30">
        <f>RAND()*(1-2E-6)+1E-6</f>
        <v/>
      </c>
      <c r="C438" s="30">
        <f>RAND()*(1-2E-6)+1E-6</f>
        <v/>
      </c>
      <c r="D438" s="30">
        <f>RAND()*(1-2E-6)+1E-6</f>
        <v/>
      </c>
      <c r="E438" s="30">
        <f>RAND()*(1-2E-6)+1E-6</f>
        <v/>
      </c>
      <c r="F438" s="30">
        <f>RAND()*(1-2E-6)+1E-6</f>
        <v/>
      </c>
      <c r="G438" s="30">
        <f>RAND()*(1-2E-6)+1E-6</f>
        <v/>
      </c>
      <c r="H438" s="30">
        <f>RAND()*(1-2E-6)+1E-6</f>
        <v/>
      </c>
      <c r="I438" s="31">
        <f>MIN(IF(Supuestos!$H$5="",1E+99,Supuestos!$H$5),MAX(IF(Supuestos!$G$5="",-1E+99,Supuestos!$G$5),IF(Supuestos!$C$5="Normal",NORMINV(B438,Supuestos!$D$5,Supuestos!$E$5),IF(Supuestos!$C$5="Triangular",IF(B438&lt;(Supuestos!$E$5-Supuestos!$D$5)/(Supuestos!$F$5-Supuestos!$D$5),Supuestos!$D$5+SQRT(B438*(Supuestos!$F$5-Supuestos!$D$5)*(Supuestos!$E$5-Supuestos!$D$5)),Supuestos!$F$5-SQRT((1-B438)*(Supuestos!$F$5-Supuestos!$D$5)*(Supuestos!$F$5-Supuestos!$E$5))),IF(Supuestos!$C$5="Uniforme",Supuestos!$D$5+B438*(Supuestos!$E$5-Supuestos!$D$5),IF(Supuestos!$C$5="Lognormal",LOGINV(B438,LN(Supuestos!$D$5)-LN(1+Supuestos!$E$5^2/Supuestos!$D$5^2)/2,SQRT(LN(1+Supuestos!$E$5^2/Supuestos!$D$5^2))),Supuestos!$D$5))))))</f>
        <v/>
      </c>
      <c r="J438" s="31">
        <f>MIN(IF(Supuestos!$H$6="",1E+99,Supuestos!$H$6),MAX(IF(Supuestos!$G$6="",-1E+99,Supuestos!$G$6),IF(Supuestos!$C$6="Normal",NORMINV(C438,Supuestos!$D$6,Supuestos!$E$6),IF(Supuestos!$C$6="Triangular",IF(C438&lt;(Supuestos!$E$6-Supuestos!$D$6)/(Supuestos!$F$6-Supuestos!$D$6),Supuestos!$D$6+SQRT(C438*(Supuestos!$F$6-Supuestos!$D$6)*(Supuestos!$E$6-Supuestos!$D$6)),Supuestos!$F$6-SQRT((1-C438)*(Supuestos!$F$6-Supuestos!$D$6)*(Supuestos!$F$6-Supuestos!$E$6))),IF(Supuestos!$C$6="Uniforme",Supuestos!$D$6+C438*(Supuestos!$E$6-Supuestos!$D$6),IF(Supuestos!$C$6="Lognormal",LOGINV(C438,LN(Supuestos!$D$6)-LN(1+Supuestos!$E$6^2/Supuestos!$D$6^2)/2,SQRT(LN(1+Supuestos!$E$6^2/Supuestos!$D$6^2))),Supuestos!$D$6))))))</f>
        <v/>
      </c>
      <c r="K438" s="32">
        <f>MIN(IF(Supuestos!$H$7="",1E+99,Supuestos!$H$7),MAX(IF(Supuestos!$G$7="",-1E+99,Supuestos!$G$7),IF(Supuestos!$C$7="Normal",NORMINV(D438,Supuestos!$D$7,Supuestos!$E$7),IF(Supuestos!$C$7="Triangular",IF(D438&lt;(Supuestos!$E$7-Supuestos!$D$7)/(Supuestos!$F$7-Supuestos!$D$7),Supuestos!$D$7+SQRT(D438*(Supuestos!$F$7-Supuestos!$D$7)*(Supuestos!$E$7-Supuestos!$D$7)),Supuestos!$F$7-SQRT((1-D438)*(Supuestos!$F$7-Supuestos!$D$7)*(Supuestos!$F$7-Supuestos!$E$7))),IF(Supuestos!$C$7="Uniforme",Supuestos!$D$7+D438*(Supuestos!$E$7-Supuestos!$D$7),IF(Supuestos!$C$7="Lognormal",LOGINV(D438,LN(Supuestos!$D$7)-LN(1+Supuestos!$E$7^2/Supuestos!$D$7^2)/2,SQRT(LN(1+Supuestos!$E$7^2/Supuestos!$D$7^2))),Supuestos!$D$7))))))</f>
        <v/>
      </c>
      <c r="L438" s="32">
        <f>MIN(IF(Supuestos!$H$8="",1E+99,Supuestos!$H$8),MAX(IF(Supuestos!$G$8="",-1E+99,Supuestos!$G$8),IF(Supuestos!$C$8="Normal",NORMINV(E438,Supuestos!$D$8,Supuestos!$E$8),IF(Supuestos!$C$8="Triangular",IF(E438&lt;(Supuestos!$E$8-Supuestos!$D$8)/(Supuestos!$F$8-Supuestos!$D$8),Supuestos!$D$8+SQRT(E438*(Supuestos!$F$8-Supuestos!$D$8)*(Supuestos!$E$8-Supuestos!$D$8)),Supuestos!$F$8-SQRT((1-E438)*(Supuestos!$F$8-Supuestos!$D$8)*(Supuestos!$F$8-Supuestos!$E$8))),IF(Supuestos!$C$8="Uniforme",Supuestos!$D$8+E438*(Supuestos!$E$8-Supuestos!$D$8),IF(Supuestos!$C$8="Lognormal",LOGINV(E438,LN(Supuestos!$D$8)-LN(1+Supuestos!$E$8^2/Supuestos!$D$8^2)/2,SQRT(LN(1+Supuestos!$E$8^2/Supuestos!$D$8^2))),Supuestos!$D$8))))))</f>
        <v/>
      </c>
      <c r="M438" s="32">
        <f>MIN(IF(Supuestos!$H$9="",1E+99,Supuestos!$H$9),MAX(IF(Supuestos!$G$9="",-1E+99,Supuestos!$G$9),IF(Supuestos!$C$9="Normal",NORMINV(F438,Supuestos!$D$9,Supuestos!$E$9),IF(Supuestos!$C$9="Triangular",IF(F438&lt;(Supuestos!$E$9-Supuestos!$D$9)/(Supuestos!$F$9-Supuestos!$D$9),Supuestos!$D$9+SQRT(F438*(Supuestos!$F$9-Supuestos!$D$9)*(Supuestos!$E$9-Supuestos!$D$9)),Supuestos!$F$9-SQRT((1-F438)*(Supuestos!$F$9-Supuestos!$D$9)*(Supuestos!$F$9-Supuestos!$E$9))),IF(Supuestos!$C$9="Uniforme",Supuestos!$D$9+F438*(Supuestos!$E$9-Supuestos!$D$9),IF(Supuestos!$C$9="Lognormal",LOGINV(F438,LN(Supuestos!$D$9)-LN(1+Supuestos!$E$9^2/Supuestos!$D$9^2)/2,SQRT(LN(1+Supuestos!$E$9^2/Supuestos!$D$9^2))),Supuestos!$D$9))))))</f>
        <v/>
      </c>
      <c r="N438" s="32">
        <f>MIN(IF(Supuestos!$H$10="",1E+99,Supuestos!$H$10),MAX(IF(Supuestos!$G$10="",-1E+99,Supuestos!$G$10),IF(Supuestos!$C$10="Normal",NORMINV(G438,Supuestos!$D$10,Supuestos!$E$10),IF(Supuestos!$C$10="Triangular",IF(G438&lt;(Supuestos!$E$10-Supuestos!$D$10)/(Supuestos!$F$10-Supuestos!$D$10),Supuestos!$D$10+SQRT(G438*(Supuestos!$F$10-Supuestos!$D$10)*(Supuestos!$E$10-Supuestos!$D$10)),Supuestos!$F$10-SQRT((1-G438)*(Supuestos!$F$10-Supuestos!$D$10)*(Supuestos!$F$10-Supuestos!$E$10))),IF(Supuestos!$C$10="Uniforme",Supuestos!$D$10+G438*(Supuestos!$E$10-Supuestos!$D$10),IF(Supuestos!$C$10="Lognormal",LOGINV(G438,LN(Supuestos!$D$10)-LN(1+Supuestos!$E$10^2/Supuestos!$D$10^2)/2,SQRT(LN(1+Supuestos!$E$10^2/Supuestos!$D$10^2))),Supuestos!$D$10))))))</f>
        <v/>
      </c>
      <c r="O438" s="31">
        <f>MIN(IF(Supuestos!$H$11="",1E+99,Supuestos!$H$11),MAX(IF(Supuestos!$G$11="",-1E+99,Supuestos!$G$11),IF(Supuestos!$C$11="Normal",NORMINV(H438,Supuestos!$D$11,Supuestos!$E$11),IF(Supuestos!$C$11="Triangular",IF(H438&lt;(Supuestos!$E$11-Supuestos!$D$11)/(Supuestos!$F$11-Supuestos!$D$11),Supuestos!$D$11+SQRT(H438*(Supuestos!$F$11-Supuestos!$D$11)*(Supuestos!$E$11-Supuestos!$D$11)),Supuestos!$F$11-SQRT((1-H438)*(Supuestos!$F$11-Supuestos!$D$11)*(Supuestos!$F$11-Supuestos!$E$11))),IF(Supuestos!$C$11="Uniforme",Supuestos!$D$11+H438*(Supuestos!$E$11-Supuestos!$D$11),IF(Supuestos!$C$11="Lognormal",LOGINV(H438,LN(Supuestos!$D$11)-LN(1+Supuestos!$E$11^2/Supuestos!$D$11^2)/2,SQRT(LN(1+Supuestos!$E$11^2/Supuestos!$D$11^2))),Supuestos!$D$11))))))</f>
        <v/>
      </c>
      <c r="P438" s="33">
        <f>-I438</f>
        <v/>
      </c>
      <c r="Q438" s="33">
        <f>$J438*(1+$K438)^(1-1)*(1-$L438)*(1-$M438)</f>
        <v/>
      </c>
      <c r="R438" s="33">
        <f>$J438*(1+$K438)^(2-1)*(1-$L438)*(1-$M438)</f>
        <v/>
      </c>
      <c r="S438" s="33">
        <f>$J438*(1+$K438)^(3-1)*(1-$L438)*(1-$M438)</f>
        <v/>
      </c>
      <c r="T438" s="33">
        <f>$J438*(1+$K438)^(4-1)*(1-$L438)*(1-$M438)</f>
        <v/>
      </c>
      <c r="U438" s="33">
        <f>$J438*(1+$K438)^(5-1)*(1-$L438)*(1-$M438)+$O438</f>
        <v/>
      </c>
      <c r="V438" s="33">
        <f>P438+NPV($N438,Q438:U438)</f>
        <v/>
      </c>
      <c r="W438" s="32">
        <f>IFERROR(IRR(P438:U438,0.1),"")</f>
        <v/>
      </c>
    </row>
    <row r="439">
      <c r="A439" s="14" t="n">
        <v>435</v>
      </c>
      <c r="B439" s="30">
        <f>RAND()*(1-2E-6)+1E-6</f>
        <v/>
      </c>
      <c r="C439" s="30">
        <f>RAND()*(1-2E-6)+1E-6</f>
        <v/>
      </c>
      <c r="D439" s="30">
        <f>RAND()*(1-2E-6)+1E-6</f>
        <v/>
      </c>
      <c r="E439" s="30">
        <f>RAND()*(1-2E-6)+1E-6</f>
        <v/>
      </c>
      <c r="F439" s="30">
        <f>RAND()*(1-2E-6)+1E-6</f>
        <v/>
      </c>
      <c r="G439" s="30">
        <f>RAND()*(1-2E-6)+1E-6</f>
        <v/>
      </c>
      <c r="H439" s="30">
        <f>RAND()*(1-2E-6)+1E-6</f>
        <v/>
      </c>
      <c r="I439" s="31">
        <f>MIN(IF(Supuestos!$H$5="",1E+99,Supuestos!$H$5),MAX(IF(Supuestos!$G$5="",-1E+99,Supuestos!$G$5),IF(Supuestos!$C$5="Normal",NORMINV(B439,Supuestos!$D$5,Supuestos!$E$5),IF(Supuestos!$C$5="Triangular",IF(B439&lt;(Supuestos!$E$5-Supuestos!$D$5)/(Supuestos!$F$5-Supuestos!$D$5),Supuestos!$D$5+SQRT(B439*(Supuestos!$F$5-Supuestos!$D$5)*(Supuestos!$E$5-Supuestos!$D$5)),Supuestos!$F$5-SQRT((1-B439)*(Supuestos!$F$5-Supuestos!$D$5)*(Supuestos!$F$5-Supuestos!$E$5))),IF(Supuestos!$C$5="Uniforme",Supuestos!$D$5+B439*(Supuestos!$E$5-Supuestos!$D$5),IF(Supuestos!$C$5="Lognormal",LOGINV(B439,LN(Supuestos!$D$5)-LN(1+Supuestos!$E$5^2/Supuestos!$D$5^2)/2,SQRT(LN(1+Supuestos!$E$5^2/Supuestos!$D$5^2))),Supuestos!$D$5))))))</f>
        <v/>
      </c>
      <c r="J439" s="31">
        <f>MIN(IF(Supuestos!$H$6="",1E+99,Supuestos!$H$6),MAX(IF(Supuestos!$G$6="",-1E+99,Supuestos!$G$6),IF(Supuestos!$C$6="Normal",NORMINV(C439,Supuestos!$D$6,Supuestos!$E$6),IF(Supuestos!$C$6="Triangular",IF(C439&lt;(Supuestos!$E$6-Supuestos!$D$6)/(Supuestos!$F$6-Supuestos!$D$6),Supuestos!$D$6+SQRT(C439*(Supuestos!$F$6-Supuestos!$D$6)*(Supuestos!$E$6-Supuestos!$D$6)),Supuestos!$F$6-SQRT((1-C439)*(Supuestos!$F$6-Supuestos!$D$6)*(Supuestos!$F$6-Supuestos!$E$6))),IF(Supuestos!$C$6="Uniforme",Supuestos!$D$6+C439*(Supuestos!$E$6-Supuestos!$D$6),IF(Supuestos!$C$6="Lognormal",LOGINV(C439,LN(Supuestos!$D$6)-LN(1+Supuestos!$E$6^2/Supuestos!$D$6^2)/2,SQRT(LN(1+Supuestos!$E$6^2/Supuestos!$D$6^2))),Supuestos!$D$6))))))</f>
        <v/>
      </c>
      <c r="K439" s="32">
        <f>MIN(IF(Supuestos!$H$7="",1E+99,Supuestos!$H$7),MAX(IF(Supuestos!$G$7="",-1E+99,Supuestos!$G$7),IF(Supuestos!$C$7="Normal",NORMINV(D439,Supuestos!$D$7,Supuestos!$E$7),IF(Supuestos!$C$7="Triangular",IF(D439&lt;(Supuestos!$E$7-Supuestos!$D$7)/(Supuestos!$F$7-Supuestos!$D$7),Supuestos!$D$7+SQRT(D439*(Supuestos!$F$7-Supuestos!$D$7)*(Supuestos!$E$7-Supuestos!$D$7)),Supuestos!$F$7-SQRT((1-D439)*(Supuestos!$F$7-Supuestos!$D$7)*(Supuestos!$F$7-Supuestos!$E$7))),IF(Supuestos!$C$7="Uniforme",Supuestos!$D$7+D439*(Supuestos!$E$7-Supuestos!$D$7),IF(Supuestos!$C$7="Lognormal",LOGINV(D439,LN(Supuestos!$D$7)-LN(1+Supuestos!$E$7^2/Supuestos!$D$7^2)/2,SQRT(LN(1+Supuestos!$E$7^2/Supuestos!$D$7^2))),Supuestos!$D$7))))))</f>
        <v/>
      </c>
      <c r="L439" s="32">
        <f>MIN(IF(Supuestos!$H$8="",1E+99,Supuestos!$H$8),MAX(IF(Supuestos!$G$8="",-1E+99,Supuestos!$G$8),IF(Supuestos!$C$8="Normal",NORMINV(E439,Supuestos!$D$8,Supuestos!$E$8),IF(Supuestos!$C$8="Triangular",IF(E439&lt;(Supuestos!$E$8-Supuestos!$D$8)/(Supuestos!$F$8-Supuestos!$D$8),Supuestos!$D$8+SQRT(E439*(Supuestos!$F$8-Supuestos!$D$8)*(Supuestos!$E$8-Supuestos!$D$8)),Supuestos!$F$8-SQRT((1-E439)*(Supuestos!$F$8-Supuestos!$D$8)*(Supuestos!$F$8-Supuestos!$E$8))),IF(Supuestos!$C$8="Uniforme",Supuestos!$D$8+E439*(Supuestos!$E$8-Supuestos!$D$8),IF(Supuestos!$C$8="Lognormal",LOGINV(E439,LN(Supuestos!$D$8)-LN(1+Supuestos!$E$8^2/Supuestos!$D$8^2)/2,SQRT(LN(1+Supuestos!$E$8^2/Supuestos!$D$8^2))),Supuestos!$D$8))))))</f>
        <v/>
      </c>
      <c r="M439" s="32">
        <f>MIN(IF(Supuestos!$H$9="",1E+99,Supuestos!$H$9),MAX(IF(Supuestos!$G$9="",-1E+99,Supuestos!$G$9),IF(Supuestos!$C$9="Normal",NORMINV(F439,Supuestos!$D$9,Supuestos!$E$9),IF(Supuestos!$C$9="Triangular",IF(F439&lt;(Supuestos!$E$9-Supuestos!$D$9)/(Supuestos!$F$9-Supuestos!$D$9),Supuestos!$D$9+SQRT(F439*(Supuestos!$F$9-Supuestos!$D$9)*(Supuestos!$E$9-Supuestos!$D$9)),Supuestos!$F$9-SQRT((1-F439)*(Supuestos!$F$9-Supuestos!$D$9)*(Supuestos!$F$9-Supuestos!$E$9))),IF(Supuestos!$C$9="Uniforme",Supuestos!$D$9+F439*(Supuestos!$E$9-Supuestos!$D$9),IF(Supuestos!$C$9="Lognormal",LOGINV(F439,LN(Supuestos!$D$9)-LN(1+Supuestos!$E$9^2/Supuestos!$D$9^2)/2,SQRT(LN(1+Supuestos!$E$9^2/Supuestos!$D$9^2))),Supuestos!$D$9))))))</f>
        <v/>
      </c>
      <c r="N439" s="32">
        <f>MIN(IF(Supuestos!$H$10="",1E+99,Supuestos!$H$10),MAX(IF(Supuestos!$G$10="",-1E+99,Supuestos!$G$10),IF(Supuestos!$C$10="Normal",NORMINV(G439,Supuestos!$D$10,Supuestos!$E$10),IF(Supuestos!$C$10="Triangular",IF(G439&lt;(Supuestos!$E$10-Supuestos!$D$10)/(Supuestos!$F$10-Supuestos!$D$10),Supuestos!$D$10+SQRT(G439*(Supuestos!$F$10-Supuestos!$D$10)*(Supuestos!$E$10-Supuestos!$D$10)),Supuestos!$F$10-SQRT((1-G439)*(Supuestos!$F$10-Supuestos!$D$10)*(Supuestos!$F$10-Supuestos!$E$10))),IF(Supuestos!$C$10="Uniforme",Supuestos!$D$10+G439*(Supuestos!$E$10-Supuestos!$D$10),IF(Supuestos!$C$10="Lognormal",LOGINV(G439,LN(Supuestos!$D$10)-LN(1+Supuestos!$E$10^2/Supuestos!$D$10^2)/2,SQRT(LN(1+Supuestos!$E$10^2/Supuestos!$D$10^2))),Supuestos!$D$10))))))</f>
        <v/>
      </c>
      <c r="O439" s="31">
        <f>MIN(IF(Supuestos!$H$11="",1E+99,Supuestos!$H$11),MAX(IF(Supuestos!$G$11="",-1E+99,Supuestos!$G$11),IF(Supuestos!$C$11="Normal",NORMINV(H439,Supuestos!$D$11,Supuestos!$E$11),IF(Supuestos!$C$11="Triangular",IF(H439&lt;(Supuestos!$E$11-Supuestos!$D$11)/(Supuestos!$F$11-Supuestos!$D$11),Supuestos!$D$11+SQRT(H439*(Supuestos!$F$11-Supuestos!$D$11)*(Supuestos!$E$11-Supuestos!$D$11)),Supuestos!$F$11-SQRT((1-H439)*(Supuestos!$F$11-Supuestos!$D$11)*(Supuestos!$F$11-Supuestos!$E$11))),IF(Supuestos!$C$11="Uniforme",Supuestos!$D$11+H439*(Supuestos!$E$11-Supuestos!$D$11),IF(Supuestos!$C$11="Lognormal",LOGINV(H439,LN(Supuestos!$D$11)-LN(1+Supuestos!$E$11^2/Supuestos!$D$11^2)/2,SQRT(LN(1+Supuestos!$E$11^2/Supuestos!$D$11^2))),Supuestos!$D$11))))))</f>
        <v/>
      </c>
      <c r="P439" s="33">
        <f>-I439</f>
        <v/>
      </c>
      <c r="Q439" s="33">
        <f>$J439*(1+$K439)^(1-1)*(1-$L439)*(1-$M439)</f>
        <v/>
      </c>
      <c r="R439" s="33">
        <f>$J439*(1+$K439)^(2-1)*(1-$L439)*(1-$M439)</f>
        <v/>
      </c>
      <c r="S439" s="33">
        <f>$J439*(1+$K439)^(3-1)*(1-$L439)*(1-$M439)</f>
        <v/>
      </c>
      <c r="T439" s="33">
        <f>$J439*(1+$K439)^(4-1)*(1-$L439)*(1-$M439)</f>
        <v/>
      </c>
      <c r="U439" s="33">
        <f>$J439*(1+$K439)^(5-1)*(1-$L439)*(1-$M439)+$O439</f>
        <v/>
      </c>
      <c r="V439" s="33">
        <f>P439+NPV($N439,Q439:U439)</f>
        <v/>
      </c>
      <c r="W439" s="32">
        <f>IFERROR(IRR(P439:U439,0.1),"")</f>
        <v/>
      </c>
    </row>
    <row r="440">
      <c r="A440" s="14" t="n">
        <v>436</v>
      </c>
      <c r="B440" s="30">
        <f>RAND()*(1-2E-6)+1E-6</f>
        <v/>
      </c>
      <c r="C440" s="30">
        <f>RAND()*(1-2E-6)+1E-6</f>
        <v/>
      </c>
      <c r="D440" s="30">
        <f>RAND()*(1-2E-6)+1E-6</f>
        <v/>
      </c>
      <c r="E440" s="30">
        <f>RAND()*(1-2E-6)+1E-6</f>
        <v/>
      </c>
      <c r="F440" s="30">
        <f>RAND()*(1-2E-6)+1E-6</f>
        <v/>
      </c>
      <c r="G440" s="30">
        <f>RAND()*(1-2E-6)+1E-6</f>
        <v/>
      </c>
      <c r="H440" s="30">
        <f>RAND()*(1-2E-6)+1E-6</f>
        <v/>
      </c>
      <c r="I440" s="31">
        <f>MIN(IF(Supuestos!$H$5="",1E+99,Supuestos!$H$5),MAX(IF(Supuestos!$G$5="",-1E+99,Supuestos!$G$5),IF(Supuestos!$C$5="Normal",NORMINV(B440,Supuestos!$D$5,Supuestos!$E$5),IF(Supuestos!$C$5="Triangular",IF(B440&lt;(Supuestos!$E$5-Supuestos!$D$5)/(Supuestos!$F$5-Supuestos!$D$5),Supuestos!$D$5+SQRT(B440*(Supuestos!$F$5-Supuestos!$D$5)*(Supuestos!$E$5-Supuestos!$D$5)),Supuestos!$F$5-SQRT((1-B440)*(Supuestos!$F$5-Supuestos!$D$5)*(Supuestos!$F$5-Supuestos!$E$5))),IF(Supuestos!$C$5="Uniforme",Supuestos!$D$5+B440*(Supuestos!$E$5-Supuestos!$D$5),IF(Supuestos!$C$5="Lognormal",LOGINV(B440,LN(Supuestos!$D$5)-LN(1+Supuestos!$E$5^2/Supuestos!$D$5^2)/2,SQRT(LN(1+Supuestos!$E$5^2/Supuestos!$D$5^2))),Supuestos!$D$5))))))</f>
        <v/>
      </c>
      <c r="J440" s="31">
        <f>MIN(IF(Supuestos!$H$6="",1E+99,Supuestos!$H$6),MAX(IF(Supuestos!$G$6="",-1E+99,Supuestos!$G$6),IF(Supuestos!$C$6="Normal",NORMINV(C440,Supuestos!$D$6,Supuestos!$E$6),IF(Supuestos!$C$6="Triangular",IF(C440&lt;(Supuestos!$E$6-Supuestos!$D$6)/(Supuestos!$F$6-Supuestos!$D$6),Supuestos!$D$6+SQRT(C440*(Supuestos!$F$6-Supuestos!$D$6)*(Supuestos!$E$6-Supuestos!$D$6)),Supuestos!$F$6-SQRT((1-C440)*(Supuestos!$F$6-Supuestos!$D$6)*(Supuestos!$F$6-Supuestos!$E$6))),IF(Supuestos!$C$6="Uniforme",Supuestos!$D$6+C440*(Supuestos!$E$6-Supuestos!$D$6),IF(Supuestos!$C$6="Lognormal",LOGINV(C440,LN(Supuestos!$D$6)-LN(1+Supuestos!$E$6^2/Supuestos!$D$6^2)/2,SQRT(LN(1+Supuestos!$E$6^2/Supuestos!$D$6^2))),Supuestos!$D$6))))))</f>
        <v/>
      </c>
      <c r="K440" s="32">
        <f>MIN(IF(Supuestos!$H$7="",1E+99,Supuestos!$H$7),MAX(IF(Supuestos!$G$7="",-1E+99,Supuestos!$G$7),IF(Supuestos!$C$7="Normal",NORMINV(D440,Supuestos!$D$7,Supuestos!$E$7),IF(Supuestos!$C$7="Triangular",IF(D440&lt;(Supuestos!$E$7-Supuestos!$D$7)/(Supuestos!$F$7-Supuestos!$D$7),Supuestos!$D$7+SQRT(D440*(Supuestos!$F$7-Supuestos!$D$7)*(Supuestos!$E$7-Supuestos!$D$7)),Supuestos!$F$7-SQRT((1-D440)*(Supuestos!$F$7-Supuestos!$D$7)*(Supuestos!$F$7-Supuestos!$E$7))),IF(Supuestos!$C$7="Uniforme",Supuestos!$D$7+D440*(Supuestos!$E$7-Supuestos!$D$7),IF(Supuestos!$C$7="Lognormal",LOGINV(D440,LN(Supuestos!$D$7)-LN(1+Supuestos!$E$7^2/Supuestos!$D$7^2)/2,SQRT(LN(1+Supuestos!$E$7^2/Supuestos!$D$7^2))),Supuestos!$D$7))))))</f>
        <v/>
      </c>
      <c r="L440" s="32">
        <f>MIN(IF(Supuestos!$H$8="",1E+99,Supuestos!$H$8),MAX(IF(Supuestos!$G$8="",-1E+99,Supuestos!$G$8),IF(Supuestos!$C$8="Normal",NORMINV(E440,Supuestos!$D$8,Supuestos!$E$8),IF(Supuestos!$C$8="Triangular",IF(E440&lt;(Supuestos!$E$8-Supuestos!$D$8)/(Supuestos!$F$8-Supuestos!$D$8),Supuestos!$D$8+SQRT(E440*(Supuestos!$F$8-Supuestos!$D$8)*(Supuestos!$E$8-Supuestos!$D$8)),Supuestos!$F$8-SQRT((1-E440)*(Supuestos!$F$8-Supuestos!$D$8)*(Supuestos!$F$8-Supuestos!$E$8))),IF(Supuestos!$C$8="Uniforme",Supuestos!$D$8+E440*(Supuestos!$E$8-Supuestos!$D$8),IF(Supuestos!$C$8="Lognormal",LOGINV(E440,LN(Supuestos!$D$8)-LN(1+Supuestos!$E$8^2/Supuestos!$D$8^2)/2,SQRT(LN(1+Supuestos!$E$8^2/Supuestos!$D$8^2))),Supuestos!$D$8))))))</f>
        <v/>
      </c>
      <c r="M440" s="32">
        <f>MIN(IF(Supuestos!$H$9="",1E+99,Supuestos!$H$9),MAX(IF(Supuestos!$G$9="",-1E+99,Supuestos!$G$9),IF(Supuestos!$C$9="Normal",NORMINV(F440,Supuestos!$D$9,Supuestos!$E$9),IF(Supuestos!$C$9="Triangular",IF(F440&lt;(Supuestos!$E$9-Supuestos!$D$9)/(Supuestos!$F$9-Supuestos!$D$9),Supuestos!$D$9+SQRT(F440*(Supuestos!$F$9-Supuestos!$D$9)*(Supuestos!$E$9-Supuestos!$D$9)),Supuestos!$F$9-SQRT((1-F440)*(Supuestos!$F$9-Supuestos!$D$9)*(Supuestos!$F$9-Supuestos!$E$9))),IF(Supuestos!$C$9="Uniforme",Supuestos!$D$9+F440*(Supuestos!$E$9-Supuestos!$D$9),IF(Supuestos!$C$9="Lognormal",LOGINV(F440,LN(Supuestos!$D$9)-LN(1+Supuestos!$E$9^2/Supuestos!$D$9^2)/2,SQRT(LN(1+Supuestos!$E$9^2/Supuestos!$D$9^2))),Supuestos!$D$9))))))</f>
        <v/>
      </c>
      <c r="N440" s="32">
        <f>MIN(IF(Supuestos!$H$10="",1E+99,Supuestos!$H$10),MAX(IF(Supuestos!$G$10="",-1E+99,Supuestos!$G$10),IF(Supuestos!$C$10="Normal",NORMINV(G440,Supuestos!$D$10,Supuestos!$E$10),IF(Supuestos!$C$10="Triangular",IF(G440&lt;(Supuestos!$E$10-Supuestos!$D$10)/(Supuestos!$F$10-Supuestos!$D$10),Supuestos!$D$10+SQRT(G440*(Supuestos!$F$10-Supuestos!$D$10)*(Supuestos!$E$10-Supuestos!$D$10)),Supuestos!$F$10-SQRT((1-G440)*(Supuestos!$F$10-Supuestos!$D$10)*(Supuestos!$F$10-Supuestos!$E$10))),IF(Supuestos!$C$10="Uniforme",Supuestos!$D$10+G440*(Supuestos!$E$10-Supuestos!$D$10),IF(Supuestos!$C$10="Lognormal",LOGINV(G440,LN(Supuestos!$D$10)-LN(1+Supuestos!$E$10^2/Supuestos!$D$10^2)/2,SQRT(LN(1+Supuestos!$E$10^2/Supuestos!$D$10^2))),Supuestos!$D$10))))))</f>
        <v/>
      </c>
      <c r="O440" s="31">
        <f>MIN(IF(Supuestos!$H$11="",1E+99,Supuestos!$H$11),MAX(IF(Supuestos!$G$11="",-1E+99,Supuestos!$G$11),IF(Supuestos!$C$11="Normal",NORMINV(H440,Supuestos!$D$11,Supuestos!$E$11),IF(Supuestos!$C$11="Triangular",IF(H440&lt;(Supuestos!$E$11-Supuestos!$D$11)/(Supuestos!$F$11-Supuestos!$D$11),Supuestos!$D$11+SQRT(H440*(Supuestos!$F$11-Supuestos!$D$11)*(Supuestos!$E$11-Supuestos!$D$11)),Supuestos!$F$11-SQRT((1-H440)*(Supuestos!$F$11-Supuestos!$D$11)*(Supuestos!$F$11-Supuestos!$E$11))),IF(Supuestos!$C$11="Uniforme",Supuestos!$D$11+H440*(Supuestos!$E$11-Supuestos!$D$11),IF(Supuestos!$C$11="Lognormal",LOGINV(H440,LN(Supuestos!$D$11)-LN(1+Supuestos!$E$11^2/Supuestos!$D$11^2)/2,SQRT(LN(1+Supuestos!$E$11^2/Supuestos!$D$11^2))),Supuestos!$D$11))))))</f>
        <v/>
      </c>
      <c r="P440" s="33">
        <f>-I440</f>
        <v/>
      </c>
      <c r="Q440" s="33">
        <f>$J440*(1+$K440)^(1-1)*(1-$L440)*(1-$M440)</f>
        <v/>
      </c>
      <c r="R440" s="33">
        <f>$J440*(1+$K440)^(2-1)*(1-$L440)*(1-$M440)</f>
        <v/>
      </c>
      <c r="S440" s="33">
        <f>$J440*(1+$K440)^(3-1)*(1-$L440)*(1-$M440)</f>
        <v/>
      </c>
      <c r="T440" s="33">
        <f>$J440*(1+$K440)^(4-1)*(1-$L440)*(1-$M440)</f>
        <v/>
      </c>
      <c r="U440" s="33">
        <f>$J440*(1+$K440)^(5-1)*(1-$L440)*(1-$M440)+$O440</f>
        <v/>
      </c>
      <c r="V440" s="33">
        <f>P440+NPV($N440,Q440:U440)</f>
        <v/>
      </c>
      <c r="W440" s="32">
        <f>IFERROR(IRR(P440:U440,0.1),"")</f>
        <v/>
      </c>
    </row>
    <row r="441">
      <c r="A441" s="14" t="n">
        <v>437</v>
      </c>
      <c r="B441" s="30">
        <f>RAND()*(1-2E-6)+1E-6</f>
        <v/>
      </c>
      <c r="C441" s="30">
        <f>RAND()*(1-2E-6)+1E-6</f>
        <v/>
      </c>
      <c r="D441" s="30">
        <f>RAND()*(1-2E-6)+1E-6</f>
        <v/>
      </c>
      <c r="E441" s="30">
        <f>RAND()*(1-2E-6)+1E-6</f>
        <v/>
      </c>
      <c r="F441" s="30">
        <f>RAND()*(1-2E-6)+1E-6</f>
        <v/>
      </c>
      <c r="G441" s="30">
        <f>RAND()*(1-2E-6)+1E-6</f>
        <v/>
      </c>
      <c r="H441" s="30">
        <f>RAND()*(1-2E-6)+1E-6</f>
        <v/>
      </c>
      <c r="I441" s="31">
        <f>MIN(IF(Supuestos!$H$5="",1E+99,Supuestos!$H$5),MAX(IF(Supuestos!$G$5="",-1E+99,Supuestos!$G$5),IF(Supuestos!$C$5="Normal",NORMINV(B441,Supuestos!$D$5,Supuestos!$E$5),IF(Supuestos!$C$5="Triangular",IF(B441&lt;(Supuestos!$E$5-Supuestos!$D$5)/(Supuestos!$F$5-Supuestos!$D$5),Supuestos!$D$5+SQRT(B441*(Supuestos!$F$5-Supuestos!$D$5)*(Supuestos!$E$5-Supuestos!$D$5)),Supuestos!$F$5-SQRT((1-B441)*(Supuestos!$F$5-Supuestos!$D$5)*(Supuestos!$F$5-Supuestos!$E$5))),IF(Supuestos!$C$5="Uniforme",Supuestos!$D$5+B441*(Supuestos!$E$5-Supuestos!$D$5),IF(Supuestos!$C$5="Lognormal",LOGINV(B441,LN(Supuestos!$D$5)-LN(1+Supuestos!$E$5^2/Supuestos!$D$5^2)/2,SQRT(LN(1+Supuestos!$E$5^2/Supuestos!$D$5^2))),Supuestos!$D$5))))))</f>
        <v/>
      </c>
      <c r="J441" s="31">
        <f>MIN(IF(Supuestos!$H$6="",1E+99,Supuestos!$H$6),MAX(IF(Supuestos!$G$6="",-1E+99,Supuestos!$G$6),IF(Supuestos!$C$6="Normal",NORMINV(C441,Supuestos!$D$6,Supuestos!$E$6),IF(Supuestos!$C$6="Triangular",IF(C441&lt;(Supuestos!$E$6-Supuestos!$D$6)/(Supuestos!$F$6-Supuestos!$D$6),Supuestos!$D$6+SQRT(C441*(Supuestos!$F$6-Supuestos!$D$6)*(Supuestos!$E$6-Supuestos!$D$6)),Supuestos!$F$6-SQRT((1-C441)*(Supuestos!$F$6-Supuestos!$D$6)*(Supuestos!$F$6-Supuestos!$E$6))),IF(Supuestos!$C$6="Uniforme",Supuestos!$D$6+C441*(Supuestos!$E$6-Supuestos!$D$6),IF(Supuestos!$C$6="Lognormal",LOGINV(C441,LN(Supuestos!$D$6)-LN(1+Supuestos!$E$6^2/Supuestos!$D$6^2)/2,SQRT(LN(1+Supuestos!$E$6^2/Supuestos!$D$6^2))),Supuestos!$D$6))))))</f>
        <v/>
      </c>
      <c r="K441" s="32">
        <f>MIN(IF(Supuestos!$H$7="",1E+99,Supuestos!$H$7),MAX(IF(Supuestos!$G$7="",-1E+99,Supuestos!$G$7),IF(Supuestos!$C$7="Normal",NORMINV(D441,Supuestos!$D$7,Supuestos!$E$7),IF(Supuestos!$C$7="Triangular",IF(D441&lt;(Supuestos!$E$7-Supuestos!$D$7)/(Supuestos!$F$7-Supuestos!$D$7),Supuestos!$D$7+SQRT(D441*(Supuestos!$F$7-Supuestos!$D$7)*(Supuestos!$E$7-Supuestos!$D$7)),Supuestos!$F$7-SQRT((1-D441)*(Supuestos!$F$7-Supuestos!$D$7)*(Supuestos!$F$7-Supuestos!$E$7))),IF(Supuestos!$C$7="Uniforme",Supuestos!$D$7+D441*(Supuestos!$E$7-Supuestos!$D$7),IF(Supuestos!$C$7="Lognormal",LOGINV(D441,LN(Supuestos!$D$7)-LN(1+Supuestos!$E$7^2/Supuestos!$D$7^2)/2,SQRT(LN(1+Supuestos!$E$7^2/Supuestos!$D$7^2))),Supuestos!$D$7))))))</f>
        <v/>
      </c>
      <c r="L441" s="32">
        <f>MIN(IF(Supuestos!$H$8="",1E+99,Supuestos!$H$8),MAX(IF(Supuestos!$G$8="",-1E+99,Supuestos!$G$8),IF(Supuestos!$C$8="Normal",NORMINV(E441,Supuestos!$D$8,Supuestos!$E$8),IF(Supuestos!$C$8="Triangular",IF(E441&lt;(Supuestos!$E$8-Supuestos!$D$8)/(Supuestos!$F$8-Supuestos!$D$8),Supuestos!$D$8+SQRT(E441*(Supuestos!$F$8-Supuestos!$D$8)*(Supuestos!$E$8-Supuestos!$D$8)),Supuestos!$F$8-SQRT((1-E441)*(Supuestos!$F$8-Supuestos!$D$8)*(Supuestos!$F$8-Supuestos!$E$8))),IF(Supuestos!$C$8="Uniforme",Supuestos!$D$8+E441*(Supuestos!$E$8-Supuestos!$D$8),IF(Supuestos!$C$8="Lognormal",LOGINV(E441,LN(Supuestos!$D$8)-LN(1+Supuestos!$E$8^2/Supuestos!$D$8^2)/2,SQRT(LN(1+Supuestos!$E$8^2/Supuestos!$D$8^2))),Supuestos!$D$8))))))</f>
        <v/>
      </c>
      <c r="M441" s="32">
        <f>MIN(IF(Supuestos!$H$9="",1E+99,Supuestos!$H$9),MAX(IF(Supuestos!$G$9="",-1E+99,Supuestos!$G$9),IF(Supuestos!$C$9="Normal",NORMINV(F441,Supuestos!$D$9,Supuestos!$E$9),IF(Supuestos!$C$9="Triangular",IF(F441&lt;(Supuestos!$E$9-Supuestos!$D$9)/(Supuestos!$F$9-Supuestos!$D$9),Supuestos!$D$9+SQRT(F441*(Supuestos!$F$9-Supuestos!$D$9)*(Supuestos!$E$9-Supuestos!$D$9)),Supuestos!$F$9-SQRT((1-F441)*(Supuestos!$F$9-Supuestos!$D$9)*(Supuestos!$F$9-Supuestos!$E$9))),IF(Supuestos!$C$9="Uniforme",Supuestos!$D$9+F441*(Supuestos!$E$9-Supuestos!$D$9),IF(Supuestos!$C$9="Lognormal",LOGINV(F441,LN(Supuestos!$D$9)-LN(1+Supuestos!$E$9^2/Supuestos!$D$9^2)/2,SQRT(LN(1+Supuestos!$E$9^2/Supuestos!$D$9^2))),Supuestos!$D$9))))))</f>
        <v/>
      </c>
      <c r="N441" s="32">
        <f>MIN(IF(Supuestos!$H$10="",1E+99,Supuestos!$H$10),MAX(IF(Supuestos!$G$10="",-1E+99,Supuestos!$G$10),IF(Supuestos!$C$10="Normal",NORMINV(G441,Supuestos!$D$10,Supuestos!$E$10),IF(Supuestos!$C$10="Triangular",IF(G441&lt;(Supuestos!$E$10-Supuestos!$D$10)/(Supuestos!$F$10-Supuestos!$D$10),Supuestos!$D$10+SQRT(G441*(Supuestos!$F$10-Supuestos!$D$10)*(Supuestos!$E$10-Supuestos!$D$10)),Supuestos!$F$10-SQRT((1-G441)*(Supuestos!$F$10-Supuestos!$D$10)*(Supuestos!$F$10-Supuestos!$E$10))),IF(Supuestos!$C$10="Uniforme",Supuestos!$D$10+G441*(Supuestos!$E$10-Supuestos!$D$10),IF(Supuestos!$C$10="Lognormal",LOGINV(G441,LN(Supuestos!$D$10)-LN(1+Supuestos!$E$10^2/Supuestos!$D$10^2)/2,SQRT(LN(1+Supuestos!$E$10^2/Supuestos!$D$10^2))),Supuestos!$D$10))))))</f>
        <v/>
      </c>
      <c r="O441" s="31">
        <f>MIN(IF(Supuestos!$H$11="",1E+99,Supuestos!$H$11),MAX(IF(Supuestos!$G$11="",-1E+99,Supuestos!$G$11),IF(Supuestos!$C$11="Normal",NORMINV(H441,Supuestos!$D$11,Supuestos!$E$11),IF(Supuestos!$C$11="Triangular",IF(H441&lt;(Supuestos!$E$11-Supuestos!$D$11)/(Supuestos!$F$11-Supuestos!$D$11),Supuestos!$D$11+SQRT(H441*(Supuestos!$F$11-Supuestos!$D$11)*(Supuestos!$E$11-Supuestos!$D$11)),Supuestos!$F$11-SQRT((1-H441)*(Supuestos!$F$11-Supuestos!$D$11)*(Supuestos!$F$11-Supuestos!$E$11))),IF(Supuestos!$C$11="Uniforme",Supuestos!$D$11+H441*(Supuestos!$E$11-Supuestos!$D$11),IF(Supuestos!$C$11="Lognormal",LOGINV(H441,LN(Supuestos!$D$11)-LN(1+Supuestos!$E$11^2/Supuestos!$D$11^2)/2,SQRT(LN(1+Supuestos!$E$11^2/Supuestos!$D$11^2))),Supuestos!$D$11))))))</f>
        <v/>
      </c>
      <c r="P441" s="33">
        <f>-I441</f>
        <v/>
      </c>
      <c r="Q441" s="33">
        <f>$J441*(1+$K441)^(1-1)*(1-$L441)*(1-$M441)</f>
        <v/>
      </c>
      <c r="R441" s="33">
        <f>$J441*(1+$K441)^(2-1)*(1-$L441)*(1-$M441)</f>
        <v/>
      </c>
      <c r="S441" s="33">
        <f>$J441*(1+$K441)^(3-1)*(1-$L441)*(1-$M441)</f>
        <v/>
      </c>
      <c r="T441" s="33">
        <f>$J441*(1+$K441)^(4-1)*(1-$L441)*(1-$M441)</f>
        <v/>
      </c>
      <c r="U441" s="33">
        <f>$J441*(1+$K441)^(5-1)*(1-$L441)*(1-$M441)+$O441</f>
        <v/>
      </c>
      <c r="V441" s="33">
        <f>P441+NPV($N441,Q441:U441)</f>
        <v/>
      </c>
      <c r="W441" s="32">
        <f>IFERROR(IRR(P441:U441,0.1),"")</f>
        <v/>
      </c>
    </row>
    <row r="442">
      <c r="A442" s="14" t="n">
        <v>438</v>
      </c>
      <c r="B442" s="30">
        <f>RAND()*(1-2E-6)+1E-6</f>
        <v/>
      </c>
      <c r="C442" s="30">
        <f>RAND()*(1-2E-6)+1E-6</f>
        <v/>
      </c>
      <c r="D442" s="30">
        <f>RAND()*(1-2E-6)+1E-6</f>
        <v/>
      </c>
      <c r="E442" s="30">
        <f>RAND()*(1-2E-6)+1E-6</f>
        <v/>
      </c>
      <c r="F442" s="30">
        <f>RAND()*(1-2E-6)+1E-6</f>
        <v/>
      </c>
      <c r="G442" s="30">
        <f>RAND()*(1-2E-6)+1E-6</f>
        <v/>
      </c>
      <c r="H442" s="30">
        <f>RAND()*(1-2E-6)+1E-6</f>
        <v/>
      </c>
      <c r="I442" s="31">
        <f>MIN(IF(Supuestos!$H$5="",1E+99,Supuestos!$H$5),MAX(IF(Supuestos!$G$5="",-1E+99,Supuestos!$G$5),IF(Supuestos!$C$5="Normal",NORMINV(B442,Supuestos!$D$5,Supuestos!$E$5),IF(Supuestos!$C$5="Triangular",IF(B442&lt;(Supuestos!$E$5-Supuestos!$D$5)/(Supuestos!$F$5-Supuestos!$D$5),Supuestos!$D$5+SQRT(B442*(Supuestos!$F$5-Supuestos!$D$5)*(Supuestos!$E$5-Supuestos!$D$5)),Supuestos!$F$5-SQRT((1-B442)*(Supuestos!$F$5-Supuestos!$D$5)*(Supuestos!$F$5-Supuestos!$E$5))),IF(Supuestos!$C$5="Uniforme",Supuestos!$D$5+B442*(Supuestos!$E$5-Supuestos!$D$5),IF(Supuestos!$C$5="Lognormal",LOGINV(B442,LN(Supuestos!$D$5)-LN(1+Supuestos!$E$5^2/Supuestos!$D$5^2)/2,SQRT(LN(1+Supuestos!$E$5^2/Supuestos!$D$5^2))),Supuestos!$D$5))))))</f>
        <v/>
      </c>
      <c r="J442" s="31">
        <f>MIN(IF(Supuestos!$H$6="",1E+99,Supuestos!$H$6),MAX(IF(Supuestos!$G$6="",-1E+99,Supuestos!$G$6),IF(Supuestos!$C$6="Normal",NORMINV(C442,Supuestos!$D$6,Supuestos!$E$6),IF(Supuestos!$C$6="Triangular",IF(C442&lt;(Supuestos!$E$6-Supuestos!$D$6)/(Supuestos!$F$6-Supuestos!$D$6),Supuestos!$D$6+SQRT(C442*(Supuestos!$F$6-Supuestos!$D$6)*(Supuestos!$E$6-Supuestos!$D$6)),Supuestos!$F$6-SQRT((1-C442)*(Supuestos!$F$6-Supuestos!$D$6)*(Supuestos!$F$6-Supuestos!$E$6))),IF(Supuestos!$C$6="Uniforme",Supuestos!$D$6+C442*(Supuestos!$E$6-Supuestos!$D$6),IF(Supuestos!$C$6="Lognormal",LOGINV(C442,LN(Supuestos!$D$6)-LN(1+Supuestos!$E$6^2/Supuestos!$D$6^2)/2,SQRT(LN(1+Supuestos!$E$6^2/Supuestos!$D$6^2))),Supuestos!$D$6))))))</f>
        <v/>
      </c>
      <c r="K442" s="32">
        <f>MIN(IF(Supuestos!$H$7="",1E+99,Supuestos!$H$7),MAX(IF(Supuestos!$G$7="",-1E+99,Supuestos!$G$7),IF(Supuestos!$C$7="Normal",NORMINV(D442,Supuestos!$D$7,Supuestos!$E$7),IF(Supuestos!$C$7="Triangular",IF(D442&lt;(Supuestos!$E$7-Supuestos!$D$7)/(Supuestos!$F$7-Supuestos!$D$7),Supuestos!$D$7+SQRT(D442*(Supuestos!$F$7-Supuestos!$D$7)*(Supuestos!$E$7-Supuestos!$D$7)),Supuestos!$F$7-SQRT((1-D442)*(Supuestos!$F$7-Supuestos!$D$7)*(Supuestos!$F$7-Supuestos!$E$7))),IF(Supuestos!$C$7="Uniforme",Supuestos!$D$7+D442*(Supuestos!$E$7-Supuestos!$D$7),IF(Supuestos!$C$7="Lognormal",LOGINV(D442,LN(Supuestos!$D$7)-LN(1+Supuestos!$E$7^2/Supuestos!$D$7^2)/2,SQRT(LN(1+Supuestos!$E$7^2/Supuestos!$D$7^2))),Supuestos!$D$7))))))</f>
        <v/>
      </c>
      <c r="L442" s="32">
        <f>MIN(IF(Supuestos!$H$8="",1E+99,Supuestos!$H$8),MAX(IF(Supuestos!$G$8="",-1E+99,Supuestos!$G$8),IF(Supuestos!$C$8="Normal",NORMINV(E442,Supuestos!$D$8,Supuestos!$E$8),IF(Supuestos!$C$8="Triangular",IF(E442&lt;(Supuestos!$E$8-Supuestos!$D$8)/(Supuestos!$F$8-Supuestos!$D$8),Supuestos!$D$8+SQRT(E442*(Supuestos!$F$8-Supuestos!$D$8)*(Supuestos!$E$8-Supuestos!$D$8)),Supuestos!$F$8-SQRT((1-E442)*(Supuestos!$F$8-Supuestos!$D$8)*(Supuestos!$F$8-Supuestos!$E$8))),IF(Supuestos!$C$8="Uniforme",Supuestos!$D$8+E442*(Supuestos!$E$8-Supuestos!$D$8),IF(Supuestos!$C$8="Lognormal",LOGINV(E442,LN(Supuestos!$D$8)-LN(1+Supuestos!$E$8^2/Supuestos!$D$8^2)/2,SQRT(LN(1+Supuestos!$E$8^2/Supuestos!$D$8^2))),Supuestos!$D$8))))))</f>
        <v/>
      </c>
      <c r="M442" s="32">
        <f>MIN(IF(Supuestos!$H$9="",1E+99,Supuestos!$H$9),MAX(IF(Supuestos!$G$9="",-1E+99,Supuestos!$G$9),IF(Supuestos!$C$9="Normal",NORMINV(F442,Supuestos!$D$9,Supuestos!$E$9),IF(Supuestos!$C$9="Triangular",IF(F442&lt;(Supuestos!$E$9-Supuestos!$D$9)/(Supuestos!$F$9-Supuestos!$D$9),Supuestos!$D$9+SQRT(F442*(Supuestos!$F$9-Supuestos!$D$9)*(Supuestos!$E$9-Supuestos!$D$9)),Supuestos!$F$9-SQRT((1-F442)*(Supuestos!$F$9-Supuestos!$D$9)*(Supuestos!$F$9-Supuestos!$E$9))),IF(Supuestos!$C$9="Uniforme",Supuestos!$D$9+F442*(Supuestos!$E$9-Supuestos!$D$9),IF(Supuestos!$C$9="Lognormal",LOGINV(F442,LN(Supuestos!$D$9)-LN(1+Supuestos!$E$9^2/Supuestos!$D$9^2)/2,SQRT(LN(1+Supuestos!$E$9^2/Supuestos!$D$9^2))),Supuestos!$D$9))))))</f>
        <v/>
      </c>
      <c r="N442" s="32">
        <f>MIN(IF(Supuestos!$H$10="",1E+99,Supuestos!$H$10),MAX(IF(Supuestos!$G$10="",-1E+99,Supuestos!$G$10),IF(Supuestos!$C$10="Normal",NORMINV(G442,Supuestos!$D$10,Supuestos!$E$10),IF(Supuestos!$C$10="Triangular",IF(G442&lt;(Supuestos!$E$10-Supuestos!$D$10)/(Supuestos!$F$10-Supuestos!$D$10),Supuestos!$D$10+SQRT(G442*(Supuestos!$F$10-Supuestos!$D$10)*(Supuestos!$E$10-Supuestos!$D$10)),Supuestos!$F$10-SQRT((1-G442)*(Supuestos!$F$10-Supuestos!$D$10)*(Supuestos!$F$10-Supuestos!$E$10))),IF(Supuestos!$C$10="Uniforme",Supuestos!$D$10+G442*(Supuestos!$E$10-Supuestos!$D$10),IF(Supuestos!$C$10="Lognormal",LOGINV(G442,LN(Supuestos!$D$10)-LN(1+Supuestos!$E$10^2/Supuestos!$D$10^2)/2,SQRT(LN(1+Supuestos!$E$10^2/Supuestos!$D$10^2))),Supuestos!$D$10))))))</f>
        <v/>
      </c>
      <c r="O442" s="31">
        <f>MIN(IF(Supuestos!$H$11="",1E+99,Supuestos!$H$11),MAX(IF(Supuestos!$G$11="",-1E+99,Supuestos!$G$11),IF(Supuestos!$C$11="Normal",NORMINV(H442,Supuestos!$D$11,Supuestos!$E$11),IF(Supuestos!$C$11="Triangular",IF(H442&lt;(Supuestos!$E$11-Supuestos!$D$11)/(Supuestos!$F$11-Supuestos!$D$11),Supuestos!$D$11+SQRT(H442*(Supuestos!$F$11-Supuestos!$D$11)*(Supuestos!$E$11-Supuestos!$D$11)),Supuestos!$F$11-SQRT((1-H442)*(Supuestos!$F$11-Supuestos!$D$11)*(Supuestos!$F$11-Supuestos!$E$11))),IF(Supuestos!$C$11="Uniforme",Supuestos!$D$11+H442*(Supuestos!$E$11-Supuestos!$D$11),IF(Supuestos!$C$11="Lognormal",LOGINV(H442,LN(Supuestos!$D$11)-LN(1+Supuestos!$E$11^2/Supuestos!$D$11^2)/2,SQRT(LN(1+Supuestos!$E$11^2/Supuestos!$D$11^2))),Supuestos!$D$11))))))</f>
        <v/>
      </c>
      <c r="P442" s="33">
        <f>-I442</f>
        <v/>
      </c>
      <c r="Q442" s="33">
        <f>$J442*(1+$K442)^(1-1)*(1-$L442)*(1-$M442)</f>
        <v/>
      </c>
      <c r="R442" s="33">
        <f>$J442*(1+$K442)^(2-1)*(1-$L442)*(1-$M442)</f>
        <v/>
      </c>
      <c r="S442" s="33">
        <f>$J442*(1+$K442)^(3-1)*(1-$L442)*(1-$M442)</f>
        <v/>
      </c>
      <c r="T442" s="33">
        <f>$J442*(1+$K442)^(4-1)*(1-$L442)*(1-$M442)</f>
        <v/>
      </c>
      <c r="U442" s="33">
        <f>$J442*(1+$K442)^(5-1)*(1-$L442)*(1-$M442)+$O442</f>
        <v/>
      </c>
      <c r="V442" s="33">
        <f>P442+NPV($N442,Q442:U442)</f>
        <v/>
      </c>
      <c r="W442" s="32">
        <f>IFERROR(IRR(P442:U442,0.1),"")</f>
        <v/>
      </c>
    </row>
    <row r="443">
      <c r="A443" s="14" t="n">
        <v>439</v>
      </c>
      <c r="B443" s="30">
        <f>RAND()*(1-2E-6)+1E-6</f>
        <v/>
      </c>
      <c r="C443" s="30">
        <f>RAND()*(1-2E-6)+1E-6</f>
        <v/>
      </c>
      <c r="D443" s="30">
        <f>RAND()*(1-2E-6)+1E-6</f>
        <v/>
      </c>
      <c r="E443" s="30">
        <f>RAND()*(1-2E-6)+1E-6</f>
        <v/>
      </c>
      <c r="F443" s="30">
        <f>RAND()*(1-2E-6)+1E-6</f>
        <v/>
      </c>
      <c r="G443" s="30">
        <f>RAND()*(1-2E-6)+1E-6</f>
        <v/>
      </c>
      <c r="H443" s="30">
        <f>RAND()*(1-2E-6)+1E-6</f>
        <v/>
      </c>
      <c r="I443" s="31">
        <f>MIN(IF(Supuestos!$H$5="",1E+99,Supuestos!$H$5),MAX(IF(Supuestos!$G$5="",-1E+99,Supuestos!$G$5),IF(Supuestos!$C$5="Normal",NORMINV(B443,Supuestos!$D$5,Supuestos!$E$5),IF(Supuestos!$C$5="Triangular",IF(B443&lt;(Supuestos!$E$5-Supuestos!$D$5)/(Supuestos!$F$5-Supuestos!$D$5),Supuestos!$D$5+SQRT(B443*(Supuestos!$F$5-Supuestos!$D$5)*(Supuestos!$E$5-Supuestos!$D$5)),Supuestos!$F$5-SQRT((1-B443)*(Supuestos!$F$5-Supuestos!$D$5)*(Supuestos!$F$5-Supuestos!$E$5))),IF(Supuestos!$C$5="Uniforme",Supuestos!$D$5+B443*(Supuestos!$E$5-Supuestos!$D$5),IF(Supuestos!$C$5="Lognormal",LOGINV(B443,LN(Supuestos!$D$5)-LN(1+Supuestos!$E$5^2/Supuestos!$D$5^2)/2,SQRT(LN(1+Supuestos!$E$5^2/Supuestos!$D$5^2))),Supuestos!$D$5))))))</f>
        <v/>
      </c>
      <c r="J443" s="31">
        <f>MIN(IF(Supuestos!$H$6="",1E+99,Supuestos!$H$6),MAX(IF(Supuestos!$G$6="",-1E+99,Supuestos!$G$6),IF(Supuestos!$C$6="Normal",NORMINV(C443,Supuestos!$D$6,Supuestos!$E$6),IF(Supuestos!$C$6="Triangular",IF(C443&lt;(Supuestos!$E$6-Supuestos!$D$6)/(Supuestos!$F$6-Supuestos!$D$6),Supuestos!$D$6+SQRT(C443*(Supuestos!$F$6-Supuestos!$D$6)*(Supuestos!$E$6-Supuestos!$D$6)),Supuestos!$F$6-SQRT((1-C443)*(Supuestos!$F$6-Supuestos!$D$6)*(Supuestos!$F$6-Supuestos!$E$6))),IF(Supuestos!$C$6="Uniforme",Supuestos!$D$6+C443*(Supuestos!$E$6-Supuestos!$D$6),IF(Supuestos!$C$6="Lognormal",LOGINV(C443,LN(Supuestos!$D$6)-LN(1+Supuestos!$E$6^2/Supuestos!$D$6^2)/2,SQRT(LN(1+Supuestos!$E$6^2/Supuestos!$D$6^2))),Supuestos!$D$6))))))</f>
        <v/>
      </c>
      <c r="K443" s="32">
        <f>MIN(IF(Supuestos!$H$7="",1E+99,Supuestos!$H$7),MAX(IF(Supuestos!$G$7="",-1E+99,Supuestos!$G$7),IF(Supuestos!$C$7="Normal",NORMINV(D443,Supuestos!$D$7,Supuestos!$E$7),IF(Supuestos!$C$7="Triangular",IF(D443&lt;(Supuestos!$E$7-Supuestos!$D$7)/(Supuestos!$F$7-Supuestos!$D$7),Supuestos!$D$7+SQRT(D443*(Supuestos!$F$7-Supuestos!$D$7)*(Supuestos!$E$7-Supuestos!$D$7)),Supuestos!$F$7-SQRT((1-D443)*(Supuestos!$F$7-Supuestos!$D$7)*(Supuestos!$F$7-Supuestos!$E$7))),IF(Supuestos!$C$7="Uniforme",Supuestos!$D$7+D443*(Supuestos!$E$7-Supuestos!$D$7),IF(Supuestos!$C$7="Lognormal",LOGINV(D443,LN(Supuestos!$D$7)-LN(1+Supuestos!$E$7^2/Supuestos!$D$7^2)/2,SQRT(LN(1+Supuestos!$E$7^2/Supuestos!$D$7^2))),Supuestos!$D$7))))))</f>
        <v/>
      </c>
      <c r="L443" s="32">
        <f>MIN(IF(Supuestos!$H$8="",1E+99,Supuestos!$H$8),MAX(IF(Supuestos!$G$8="",-1E+99,Supuestos!$G$8),IF(Supuestos!$C$8="Normal",NORMINV(E443,Supuestos!$D$8,Supuestos!$E$8),IF(Supuestos!$C$8="Triangular",IF(E443&lt;(Supuestos!$E$8-Supuestos!$D$8)/(Supuestos!$F$8-Supuestos!$D$8),Supuestos!$D$8+SQRT(E443*(Supuestos!$F$8-Supuestos!$D$8)*(Supuestos!$E$8-Supuestos!$D$8)),Supuestos!$F$8-SQRT((1-E443)*(Supuestos!$F$8-Supuestos!$D$8)*(Supuestos!$F$8-Supuestos!$E$8))),IF(Supuestos!$C$8="Uniforme",Supuestos!$D$8+E443*(Supuestos!$E$8-Supuestos!$D$8),IF(Supuestos!$C$8="Lognormal",LOGINV(E443,LN(Supuestos!$D$8)-LN(1+Supuestos!$E$8^2/Supuestos!$D$8^2)/2,SQRT(LN(1+Supuestos!$E$8^2/Supuestos!$D$8^2))),Supuestos!$D$8))))))</f>
        <v/>
      </c>
      <c r="M443" s="32">
        <f>MIN(IF(Supuestos!$H$9="",1E+99,Supuestos!$H$9),MAX(IF(Supuestos!$G$9="",-1E+99,Supuestos!$G$9),IF(Supuestos!$C$9="Normal",NORMINV(F443,Supuestos!$D$9,Supuestos!$E$9),IF(Supuestos!$C$9="Triangular",IF(F443&lt;(Supuestos!$E$9-Supuestos!$D$9)/(Supuestos!$F$9-Supuestos!$D$9),Supuestos!$D$9+SQRT(F443*(Supuestos!$F$9-Supuestos!$D$9)*(Supuestos!$E$9-Supuestos!$D$9)),Supuestos!$F$9-SQRT((1-F443)*(Supuestos!$F$9-Supuestos!$D$9)*(Supuestos!$F$9-Supuestos!$E$9))),IF(Supuestos!$C$9="Uniforme",Supuestos!$D$9+F443*(Supuestos!$E$9-Supuestos!$D$9),IF(Supuestos!$C$9="Lognormal",LOGINV(F443,LN(Supuestos!$D$9)-LN(1+Supuestos!$E$9^2/Supuestos!$D$9^2)/2,SQRT(LN(1+Supuestos!$E$9^2/Supuestos!$D$9^2))),Supuestos!$D$9))))))</f>
        <v/>
      </c>
      <c r="N443" s="32">
        <f>MIN(IF(Supuestos!$H$10="",1E+99,Supuestos!$H$10),MAX(IF(Supuestos!$G$10="",-1E+99,Supuestos!$G$10),IF(Supuestos!$C$10="Normal",NORMINV(G443,Supuestos!$D$10,Supuestos!$E$10),IF(Supuestos!$C$10="Triangular",IF(G443&lt;(Supuestos!$E$10-Supuestos!$D$10)/(Supuestos!$F$10-Supuestos!$D$10),Supuestos!$D$10+SQRT(G443*(Supuestos!$F$10-Supuestos!$D$10)*(Supuestos!$E$10-Supuestos!$D$10)),Supuestos!$F$10-SQRT((1-G443)*(Supuestos!$F$10-Supuestos!$D$10)*(Supuestos!$F$10-Supuestos!$E$10))),IF(Supuestos!$C$10="Uniforme",Supuestos!$D$10+G443*(Supuestos!$E$10-Supuestos!$D$10),IF(Supuestos!$C$10="Lognormal",LOGINV(G443,LN(Supuestos!$D$10)-LN(1+Supuestos!$E$10^2/Supuestos!$D$10^2)/2,SQRT(LN(1+Supuestos!$E$10^2/Supuestos!$D$10^2))),Supuestos!$D$10))))))</f>
        <v/>
      </c>
      <c r="O443" s="31">
        <f>MIN(IF(Supuestos!$H$11="",1E+99,Supuestos!$H$11),MAX(IF(Supuestos!$G$11="",-1E+99,Supuestos!$G$11),IF(Supuestos!$C$11="Normal",NORMINV(H443,Supuestos!$D$11,Supuestos!$E$11),IF(Supuestos!$C$11="Triangular",IF(H443&lt;(Supuestos!$E$11-Supuestos!$D$11)/(Supuestos!$F$11-Supuestos!$D$11),Supuestos!$D$11+SQRT(H443*(Supuestos!$F$11-Supuestos!$D$11)*(Supuestos!$E$11-Supuestos!$D$11)),Supuestos!$F$11-SQRT((1-H443)*(Supuestos!$F$11-Supuestos!$D$11)*(Supuestos!$F$11-Supuestos!$E$11))),IF(Supuestos!$C$11="Uniforme",Supuestos!$D$11+H443*(Supuestos!$E$11-Supuestos!$D$11),IF(Supuestos!$C$11="Lognormal",LOGINV(H443,LN(Supuestos!$D$11)-LN(1+Supuestos!$E$11^2/Supuestos!$D$11^2)/2,SQRT(LN(1+Supuestos!$E$11^2/Supuestos!$D$11^2))),Supuestos!$D$11))))))</f>
        <v/>
      </c>
      <c r="P443" s="33">
        <f>-I443</f>
        <v/>
      </c>
      <c r="Q443" s="33">
        <f>$J443*(1+$K443)^(1-1)*(1-$L443)*(1-$M443)</f>
        <v/>
      </c>
      <c r="R443" s="33">
        <f>$J443*(1+$K443)^(2-1)*(1-$L443)*(1-$M443)</f>
        <v/>
      </c>
      <c r="S443" s="33">
        <f>$J443*(1+$K443)^(3-1)*(1-$L443)*(1-$M443)</f>
        <v/>
      </c>
      <c r="T443" s="33">
        <f>$J443*(1+$K443)^(4-1)*(1-$L443)*(1-$M443)</f>
        <v/>
      </c>
      <c r="U443" s="33">
        <f>$J443*(1+$K443)^(5-1)*(1-$L443)*(1-$M443)+$O443</f>
        <v/>
      </c>
      <c r="V443" s="33">
        <f>P443+NPV($N443,Q443:U443)</f>
        <v/>
      </c>
      <c r="W443" s="32">
        <f>IFERROR(IRR(P443:U443,0.1),"")</f>
        <v/>
      </c>
    </row>
    <row r="444">
      <c r="A444" s="14" t="n">
        <v>440</v>
      </c>
      <c r="B444" s="30">
        <f>RAND()*(1-2E-6)+1E-6</f>
        <v/>
      </c>
      <c r="C444" s="30">
        <f>RAND()*(1-2E-6)+1E-6</f>
        <v/>
      </c>
      <c r="D444" s="30">
        <f>RAND()*(1-2E-6)+1E-6</f>
        <v/>
      </c>
      <c r="E444" s="30">
        <f>RAND()*(1-2E-6)+1E-6</f>
        <v/>
      </c>
      <c r="F444" s="30">
        <f>RAND()*(1-2E-6)+1E-6</f>
        <v/>
      </c>
      <c r="G444" s="30">
        <f>RAND()*(1-2E-6)+1E-6</f>
        <v/>
      </c>
      <c r="H444" s="30">
        <f>RAND()*(1-2E-6)+1E-6</f>
        <v/>
      </c>
      <c r="I444" s="31">
        <f>MIN(IF(Supuestos!$H$5="",1E+99,Supuestos!$H$5),MAX(IF(Supuestos!$G$5="",-1E+99,Supuestos!$G$5),IF(Supuestos!$C$5="Normal",NORMINV(B444,Supuestos!$D$5,Supuestos!$E$5),IF(Supuestos!$C$5="Triangular",IF(B444&lt;(Supuestos!$E$5-Supuestos!$D$5)/(Supuestos!$F$5-Supuestos!$D$5),Supuestos!$D$5+SQRT(B444*(Supuestos!$F$5-Supuestos!$D$5)*(Supuestos!$E$5-Supuestos!$D$5)),Supuestos!$F$5-SQRT((1-B444)*(Supuestos!$F$5-Supuestos!$D$5)*(Supuestos!$F$5-Supuestos!$E$5))),IF(Supuestos!$C$5="Uniforme",Supuestos!$D$5+B444*(Supuestos!$E$5-Supuestos!$D$5),IF(Supuestos!$C$5="Lognormal",LOGINV(B444,LN(Supuestos!$D$5)-LN(1+Supuestos!$E$5^2/Supuestos!$D$5^2)/2,SQRT(LN(1+Supuestos!$E$5^2/Supuestos!$D$5^2))),Supuestos!$D$5))))))</f>
        <v/>
      </c>
      <c r="J444" s="31">
        <f>MIN(IF(Supuestos!$H$6="",1E+99,Supuestos!$H$6),MAX(IF(Supuestos!$G$6="",-1E+99,Supuestos!$G$6),IF(Supuestos!$C$6="Normal",NORMINV(C444,Supuestos!$D$6,Supuestos!$E$6),IF(Supuestos!$C$6="Triangular",IF(C444&lt;(Supuestos!$E$6-Supuestos!$D$6)/(Supuestos!$F$6-Supuestos!$D$6),Supuestos!$D$6+SQRT(C444*(Supuestos!$F$6-Supuestos!$D$6)*(Supuestos!$E$6-Supuestos!$D$6)),Supuestos!$F$6-SQRT((1-C444)*(Supuestos!$F$6-Supuestos!$D$6)*(Supuestos!$F$6-Supuestos!$E$6))),IF(Supuestos!$C$6="Uniforme",Supuestos!$D$6+C444*(Supuestos!$E$6-Supuestos!$D$6),IF(Supuestos!$C$6="Lognormal",LOGINV(C444,LN(Supuestos!$D$6)-LN(1+Supuestos!$E$6^2/Supuestos!$D$6^2)/2,SQRT(LN(1+Supuestos!$E$6^2/Supuestos!$D$6^2))),Supuestos!$D$6))))))</f>
        <v/>
      </c>
      <c r="K444" s="32">
        <f>MIN(IF(Supuestos!$H$7="",1E+99,Supuestos!$H$7),MAX(IF(Supuestos!$G$7="",-1E+99,Supuestos!$G$7),IF(Supuestos!$C$7="Normal",NORMINV(D444,Supuestos!$D$7,Supuestos!$E$7),IF(Supuestos!$C$7="Triangular",IF(D444&lt;(Supuestos!$E$7-Supuestos!$D$7)/(Supuestos!$F$7-Supuestos!$D$7),Supuestos!$D$7+SQRT(D444*(Supuestos!$F$7-Supuestos!$D$7)*(Supuestos!$E$7-Supuestos!$D$7)),Supuestos!$F$7-SQRT((1-D444)*(Supuestos!$F$7-Supuestos!$D$7)*(Supuestos!$F$7-Supuestos!$E$7))),IF(Supuestos!$C$7="Uniforme",Supuestos!$D$7+D444*(Supuestos!$E$7-Supuestos!$D$7),IF(Supuestos!$C$7="Lognormal",LOGINV(D444,LN(Supuestos!$D$7)-LN(1+Supuestos!$E$7^2/Supuestos!$D$7^2)/2,SQRT(LN(1+Supuestos!$E$7^2/Supuestos!$D$7^2))),Supuestos!$D$7))))))</f>
        <v/>
      </c>
      <c r="L444" s="32">
        <f>MIN(IF(Supuestos!$H$8="",1E+99,Supuestos!$H$8),MAX(IF(Supuestos!$G$8="",-1E+99,Supuestos!$G$8),IF(Supuestos!$C$8="Normal",NORMINV(E444,Supuestos!$D$8,Supuestos!$E$8),IF(Supuestos!$C$8="Triangular",IF(E444&lt;(Supuestos!$E$8-Supuestos!$D$8)/(Supuestos!$F$8-Supuestos!$D$8),Supuestos!$D$8+SQRT(E444*(Supuestos!$F$8-Supuestos!$D$8)*(Supuestos!$E$8-Supuestos!$D$8)),Supuestos!$F$8-SQRT((1-E444)*(Supuestos!$F$8-Supuestos!$D$8)*(Supuestos!$F$8-Supuestos!$E$8))),IF(Supuestos!$C$8="Uniforme",Supuestos!$D$8+E444*(Supuestos!$E$8-Supuestos!$D$8),IF(Supuestos!$C$8="Lognormal",LOGINV(E444,LN(Supuestos!$D$8)-LN(1+Supuestos!$E$8^2/Supuestos!$D$8^2)/2,SQRT(LN(1+Supuestos!$E$8^2/Supuestos!$D$8^2))),Supuestos!$D$8))))))</f>
        <v/>
      </c>
      <c r="M444" s="32">
        <f>MIN(IF(Supuestos!$H$9="",1E+99,Supuestos!$H$9),MAX(IF(Supuestos!$G$9="",-1E+99,Supuestos!$G$9),IF(Supuestos!$C$9="Normal",NORMINV(F444,Supuestos!$D$9,Supuestos!$E$9),IF(Supuestos!$C$9="Triangular",IF(F444&lt;(Supuestos!$E$9-Supuestos!$D$9)/(Supuestos!$F$9-Supuestos!$D$9),Supuestos!$D$9+SQRT(F444*(Supuestos!$F$9-Supuestos!$D$9)*(Supuestos!$E$9-Supuestos!$D$9)),Supuestos!$F$9-SQRT((1-F444)*(Supuestos!$F$9-Supuestos!$D$9)*(Supuestos!$F$9-Supuestos!$E$9))),IF(Supuestos!$C$9="Uniforme",Supuestos!$D$9+F444*(Supuestos!$E$9-Supuestos!$D$9),IF(Supuestos!$C$9="Lognormal",LOGINV(F444,LN(Supuestos!$D$9)-LN(1+Supuestos!$E$9^2/Supuestos!$D$9^2)/2,SQRT(LN(1+Supuestos!$E$9^2/Supuestos!$D$9^2))),Supuestos!$D$9))))))</f>
        <v/>
      </c>
      <c r="N444" s="32">
        <f>MIN(IF(Supuestos!$H$10="",1E+99,Supuestos!$H$10),MAX(IF(Supuestos!$G$10="",-1E+99,Supuestos!$G$10),IF(Supuestos!$C$10="Normal",NORMINV(G444,Supuestos!$D$10,Supuestos!$E$10),IF(Supuestos!$C$10="Triangular",IF(G444&lt;(Supuestos!$E$10-Supuestos!$D$10)/(Supuestos!$F$10-Supuestos!$D$10),Supuestos!$D$10+SQRT(G444*(Supuestos!$F$10-Supuestos!$D$10)*(Supuestos!$E$10-Supuestos!$D$10)),Supuestos!$F$10-SQRT((1-G444)*(Supuestos!$F$10-Supuestos!$D$10)*(Supuestos!$F$10-Supuestos!$E$10))),IF(Supuestos!$C$10="Uniforme",Supuestos!$D$10+G444*(Supuestos!$E$10-Supuestos!$D$10),IF(Supuestos!$C$10="Lognormal",LOGINV(G444,LN(Supuestos!$D$10)-LN(1+Supuestos!$E$10^2/Supuestos!$D$10^2)/2,SQRT(LN(1+Supuestos!$E$10^2/Supuestos!$D$10^2))),Supuestos!$D$10))))))</f>
        <v/>
      </c>
      <c r="O444" s="31">
        <f>MIN(IF(Supuestos!$H$11="",1E+99,Supuestos!$H$11),MAX(IF(Supuestos!$G$11="",-1E+99,Supuestos!$G$11),IF(Supuestos!$C$11="Normal",NORMINV(H444,Supuestos!$D$11,Supuestos!$E$11),IF(Supuestos!$C$11="Triangular",IF(H444&lt;(Supuestos!$E$11-Supuestos!$D$11)/(Supuestos!$F$11-Supuestos!$D$11),Supuestos!$D$11+SQRT(H444*(Supuestos!$F$11-Supuestos!$D$11)*(Supuestos!$E$11-Supuestos!$D$11)),Supuestos!$F$11-SQRT((1-H444)*(Supuestos!$F$11-Supuestos!$D$11)*(Supuestos!$F$11-Supuestos!$E$11))),IF(Supuestos!$C$11="Uniforme",Supuestos!$D$11+H444*(Supuestos!$E$11-Supuestos!$D$11),IF(Supuestos!$C$11="Lognormal",LOGINV(H444,LN(Supuestos!$D$11)-LN(1+Supuestos!$E$11^2/Supuestos!$D$11^2)/2,SQRT(LN(1+Supuestos!$E$11^2/Supuestos!$D$11^2))),Supuestos!$D$11))))))</f>
        <v/>
      </c>
      <c r="P444" s="33">
        <f>-I444</f>
        <v/>
      </c>
      <c r="Q444" s="33">
        <f>$J444*(1+$K444)^(1-1)*(1-$L444)*(1-$M444)</f>
        <v/>
      </c>
      <c r="R444" s="33">
        <f>$J444*(1+$K444)^(2-1)*(1-$L444)*(1-$M444)</f>
        <v/>
      </c>
      <c r="S444" s="33">
        <f>$J444*(1+$K444)^(3-1)*(1-$L444)*(1-$M444)</f>
        <v/>
      </c>
      <c r="T444" s="33">
        <f>$J444*(1+$K444)^(4-1)*(1-$L444)*(1-$M444)</f>
        <v/>
      </c>
      <c r="U444" s="33">
        <f>$J444*(1+$K444)^(5-1)*(1-$L444)*(1-$M444)+$O444</f>
        <v/>
      </c>
      <c r="V444" s="33">
        <f>P444+NPV($N444,Q444:U444)</f>
        <v/>
      </c>
      <c r="W444" s="32">
        <f>IFERROR(IRR(P444:U444,0.1),"")</f>
        <v/>
      </c>
    </row>
    <row r="445">
      <c r="A445" s="14" t="n">
        <v>441</v>
      </c>
      <c r="B445" s="30">
        <f>RAND()*(1-2E-6)+1E-6</f>
        <v/>
      </c>
      <c r="C445" s="30">
        <f>RAND()*(1-2E-6)+1E-6</f>
        <v/>
      </c>
      <c r="D445" s="30">
        <f>RAND()*(1-2E-6)+1E-6</f>
        <v/>
      </c>
      <c r="E445" s="30">
        <f>RAND()*(1-2E-6)+1E-6</f>
        <v/>
      </c>
      <c r="F445" s="30">
        <f>RAND()*(1-2E-6)+1E-6</f>
        <v/>
      </c>
      <c r="G445" s="30">
        <f>RAND()*(1-2E-6)+1E-6</f>
        <v/>
      </c>
      <c r="H445" s="30">
        <f>RAND()*(1-2E-6)+1E-6</f>
        <v/>
      </c>
      <c r="I445" s="31">
        <f>MIN(IF(Supuestos!$H$5="",1E+99,Supuestos!$H$5),MAX(IF(Supuestos!$G$5="",-1E+99,Supuestos!$G$5),IF(Supuestos!$C$5="Normal",NORMINV(B445,Supuestos!$D$5,Supuestos!$E$5),IF(Supuestos!$C$5="Triangular",IF(B445&lt;(Supuestos!$E$5-Supuestos!$D$5)/(Supuestos!$F$5-Supuestos!$D$5),Supuestos!$D$5+SQRT(B445*(Supuestos!$F$5-Supuestos!$D$5)*(Supuestos!$E$5-Supuestos!$D$5)),Supuestos!$F$5-SQRT((1-B445)*(Supuestos!$F$5-Supuestos!$D$5)*(Supuestos!$F$5-Supuestos!$E$5))),IF(Supuestos!$C$5="Uniforme",Supuestos!$D$5+B445*(Supuestos!$E$5-Supuestos!$D$5),IF(Supuestos!$C$5="Lognormal",LOGINV(B445,LN(Supuestos!$D$5)-LN(1+Supuestos!$E$5^2/Supuestos!$D$5^2)/2,SQRT(LN(1+Supuestos!$E$5^2/Supuestos!$D$5^2))),Supuestos!$D$5))))))</f>
        <v/>
      </c>
      <c r="J445" s="31">
        <f>MIN(IF(Supuestos!$H$6="",1E+99,Supuestos!$H$6),MAX(IF(Supuestos!$G$6="",-1E+99,Supuestos!$G$6),IF(Supuestos!$C$6="Normal",NORMINV(C445,Supuestos!$D$6,Supuestos!$E$6),IF(Supuestos!$C$6="Triangular",IF(C445&lt;(Supuestos!$E$6-Supuestos!$D$6)/(Supuestos!$F$6-Supuestos!$D$6),Supuestos!$D$6+SQRT(C445*(Supuestos!$F$6-Supuestos!$D$6)*(Supuestos!$E$6-Supuestos!$D$6)),Supuestos!$F$6-SQRT((1-C445)*(Supuestos!$F$6-Supuestos!$D$6)*(Supuestos!$F$6-Supuestos!$E$6))),IF(Supuestos!$C$6="Uniforme",Supuestos!$D$6+C445*(Supuestos!$E$6-Supuestos!$D$6),IF(Supuestos!$C$6="Lognormal",LOGINV(C445,LN(Supuestos!$D$6)-LN(1+Supuestos!$E$6^2/Supuestos!$D$6^2)/2,SQRT(LN(1+Supuestos!$E$6^2/Supuestos!$D$6^2))),Supuestos!$D$6))))))</f>
        <v/>
      </c>
      <c r="K445" s="32">
        <f>MIN(IF(Supuestos!$H$7="",1E+99,Supuestos!$H$7),MAX(IF(Supuestos!$G$7="",-1E+99,Supuestos!$G$7),IF(Supuestos!$C$7="Normal",NORMINV(D445,Supuestos!$D$7,Supuestos!$E$7),IF(Supuestos!$C$7="Triangular",IF(D445&lt;(Supuestos!$E$7-Supuestos!$D$7)/(Supuestos!$F$7-Supuestos!$D$7),Supuestos!$D$7+SQRT(D445*(Supuestos!$F$7-Supuestos!$D$7)*(Supuestos!$E$7-Supuestos!$D$7)),Supuestos!$F$7-SQRT((1-D445)*(Supuestos!$F$7-Supuestos!$D$7)*(Supuestos!$F$7-Supuestos!$E$7))),IF(Supuestos!$C$7="Uniforme",Supuestos!$D$7+D445*(Supuestos!$E$7-Supuestos!$D$7),IF(Supuestos!$C$7="Lognormal",LOGINV(D445,LN(Supuestos!$D$7)-LN(1+Supuestos!$E$7^2/Supuestos!$D$7^2)/2,SQRT(LN(1+Supuestos!$E$7^2/Supuestos!$D$7^2))),Supuestos!$D$7))))))</f>
        <v/>
      </c>
      <c r="L445" s="32">
        <f>MIN(IF(Supuestos!$H$8="",1E+99,Supuestos!$H$8),MAX(IF(Supuestos!$G$8="",-1E+99,Supuestos!$G$8),IF(Supuestos!$C$8="Normal",NORMINV(E445,Supuestos!$D$8,Supuestos!$E$8),IF(Supuestos!$C$8="Triangular",IF(E445&lt;(Supuestos!$E$8-Supuestos!$D$8)/(Supuestos!$F$8-Supuestos!$D$8),Supuestos!$D$8+SQRT(E445*(Supuestos!$F$8-Supuestos!$D$8)*(Supuestos!$E$8-Supuestos!$D$8)),Supuestos!$F$8-SQRT((1-E445)*(Supuestos!$F$8-Supuestos!$D$8)*(Supuestos!$F$8-Supuestos!$E$8))),IF(Supuestos!$C$8="Uniforme",Supuestos!$D$8+E445*(Supuestos!$E$8-Supuestos!$D$8),IF(Supuestos!$C$8="Lognormal",LOGINV(E445,LN(Supuestos!$D$8)-LN(1+Supuestos!$E$8^2/Supuestos!$D$8^2)/2,SQRT(LN(1+Supuestos!$E$8^2/Supuestos!$D$8^2))),Supuestos!$D$8))))))</f>
        <v/>
      </c>
      <c r="M445" s="32">
        <f>MIN(IF(Supuestos!$H$9="",1E+99,Supuestos!$H$9),MAX(IF(Supuestos!$G$9="",-1E+99,Supuestos!$G$9),IF(Supuestos!$C$9="Normal",NORMINV(F445,Supuestos!$D$9,Supuestos!$E$9),IF(Supuestos!$C$9="Triangular",IF(F445&lt;(Supuestos!$E$9-Supuestos!$D$9)/(Supuestos!$F$9-Supuestos!$D$9),Supuestos!$D$9+SQRT(F445*(Supuestos!$F$9-Supuestos!$D$9)*(Supuestos!$E$9-Supuestos!$D$9)),Supuestos!$F$9-SQRT((1-F445)*(Supuestos!$F$9-Supuestos!$D$9)*(Supuestos!$F$9-Supuestos!$E$9))),IF(Supuestos!$C$9="Uniforme",Supuestos!$D$9+F445*(Supuestos!$E$9-Supuestos!$D$9),IF(Supuestos!$C$9="Lognormal",LOGINV(F445,LN(Supuestos!$D$9)-LN(1+Supuestos!$E$9^2/Supuestos!$D$9^2)/2,SQRT(LN(1+Supuestos!$E$9^2/Supuestos!$D$9^2))),Supuestos!$D$9))))))</f>
        <v/>
      </c>
      <c r="N445" s="32">
        <f>MIN(IF(Supuestos!$H$10="",1E+99,Supuestos!$H$10),MAX(IF(Supuestos!$G$10="",-1E+99,Supuestos!$G$10),IF(Supuestos!$C$10="Normal",NORMINV(G445,Supuestos!$D$10,Supuestos!$E$10),IF(Supuestos!$C$10="Triangular",IF(G445&lt;(Supuestos!$E$10-Supuestos!$D$10)/(Supuestos!$F$10-Supuestos!$D$10),Supuestos!$D$10+SQRT(G445*(Supuestos!$F$10-Supuestos!$D$10)*(Supuestos!$E$10-Supuestos!$D$10)),Supuestos!$F$10-SQRT((1-G445)*(Supuestos!$F$10-Supuestos!$D$10)*(Supuestos!$F$10-Supuestos!$E$10))),IF(Supuestos!$C$10="Uniforme",Supuestos!$D$10+G445*(Supuestos!$E$10-Supuestos!$D$10),IF(Supuestos!$C$10="Lognormal",LOGINV(G445,LN(Supuestos!$D$10)-LN(1+Supuestos!$E$10^2/Supuestos!$D$10^2)/2,SQRT(LN(1+Supuestos!$E$10^2/Supuestos!$D$10^2))),Supuestos!$D$10))))))</f>
        <v/>
      </c>
      <c r="O445" s="31">
        <f>MIN(IF(Supuestos!$H$11="",1E+99,Supuestos!$H$11),MAX(IF(Supuestos!$G$11="",-1E+99,Supuestos!$G$11),IF(Supuestos!$C$11="Normal",NORMINV(H445,Supuestos!$D$11,Supuestos!$E$11),IF(Supuestos!$C$11="Triangular",IF(H445&lt;(Supuestos!$E$11-Supuestos!$D$11)/(Supuestos!$F$11-Supuestos!$D$11),Supuestos!$D$11+SQRT(H445*(Supuestos!$F$11-Supuestos!$D$11)*(Supuestos!$E$11-Supuestos!$D$11)),Supuestos!$F$11-SQRT((1-H445)*(Supuestos!$F$11-Supuestos!$D$11)*(Supuestos!$F$11-Supuestos!$E$11))),IF(Supuestos!$C$11="Uniforme",Supuestos!$D$11+H445*(Supuestos!$E$11-Supuestos!$D$11),IF(Supuestos!$C$11="Lognormal",LOGINV(H445,LN(Supuestos!$D$11)-LN(1+Supuestos!$E$11^2/Supuestos!$D$11^2)/2,SQRT(LN(1+Supuestos!$E$11^2/Supuestos!$D$11^2))),Supuestos!$D$11))))))</f>
        <v/>
      </c>
      <c r="P445" s="33">
        <f>-I445</f>
        <v/>
      </c>
      <c r="Q445" s="33">
        <f>$J445*(1+$K445)^(1-1)*(1-$L445)*(1-$M445)</f>
        <v/>
      </c>
      <c r="R445" s="33">
        <f>$J445*(1+$K445)^(2-1)*(1-$L445)*(1-$M445)</f>
        <v/>
      </c>
      <c r="S445" s="33">
        <f>$J445*(1+$K445)^(3-1)*(1-$L445)*(1-$M445)</f>
        <v/>
      </c>
      <c r="T445" s="33">
        <f>$J445*(1+$K445)^(4-1)*(1-$L445)*(1-$M445)</f>
        <v/>
      </c>
      <c r="U445" s="33">
        <f>$J445*(1+$K445)^(5-1)*(1-$L445)*(1-$M445)+$O445</f>
        <v/>
      </c>
      <c r="V445" s="33">
        <f>P445+NPV($N445,Q445:U445)</f>
        <v/>
      </c>
      <c r="W445" s="32">
        <f>IFERROR(IRR(P445:U445,0.1),"")</f>
        <v/>
      </c>
    </row>
    <row r="446">
      <c r="A446" s="14" t="n">
        <v>442</v>
      </c>
      <c r="B446" s="30">
        <f>RAND()*(1-2E-6)+1E-6</f>
        <v/>
      </c>
      <c r="C446" s="30">
        <f>RAND()*(1-2E-6)+1E-6</f>
        <v/>
      </c>
      <c r="D446" s="30">
        <f>RAND()*(1-2E-6)+1E-6</f>
        <v/>
      </c>
      <c r="E446" s="30">
        <f>RAND()*(1-2E-6)+1E-6</f>
        <v/>
      </c>
      <c r="F446" s="30">
        <f>RAND()*(1-2E-6)+1E-6</f>
        <v/>
      </c>
      <c r="G446" s="30">
        <f>RAND()*(1-2E-6)+1E-6</f>
        <v/>
      </c>
      <c r="H446" s="30">
        <f>RAND()*(1-2E-6)+1E-6</f>
        <v/>
      </c>
      <c r="I446" s="31">
        <f>MIN(IF(Supuestos!$H$5="",1E+99,Supuestos!$H$5),MAX(IF(Supuestos!$G$5="",-1E+99,Supuestos!$G$5),IF(Supuestos!$C$5="Normal",NORMINV(B446,Supuestos!$D$5,Supuestos!$E$5),IF(Supuestos!$C$5="Triangular",IF(B446&lt;(Supuestos!$E$5-Supuestos!$D$5)/(Supuestos!$F$5-Supuestos!$D$5),Supuestos!$D$5+SQRT(B446*(Supuestos!$F$5-Supuestos!$D$5)*(Supuestos!$E$5-Supuestos!$D$5)),Supuestos!$F$5-SQRT((1-B446)*(Supuestos!$F$5-Supuestos!$D$5)*(Supuestos!$F$5-Supuestos!$E$5))),IF(Supuestos!$C$5="Uniforme",Supuestos!$D$5+B446*(Supuestos!$E$5-Supuestos!$D$5),IF(Supuestos!$C$5="Lognormal",LOGINV(B446,LN(Supuestos!$D$5)-LN(1+Supuestos!$E$5^2/Supuestos!$D$5^2)/2,SQRT(LN(1+Supuestos!$E$5^2/Supuestos!$D$5^2))),Supuestos!$D$5))))))</f>
        <v/>
      </c>
      <c r="J446" s="31">
        <f>MIN(IF(Supuestos!$H$6="",1E+99,Supuestos!$H$6),MAX(IF(Supuestos!$G$6="",-1E+99,Supuestos!$G$6),IF(Supuestos!$C$6="Normal",NORMINV(C446,Supuestos!$D$6,Supuestos!$E$6),IF(Supuestos!$C$6="Triangular",IF(C446&lt;(Supuestos!$E$6-Supuestos!$D$6)/(Supuestos!$F$6-Supuestos!$D$6),Supuestos!$D$6+SQRT(C446*(Supuestos!$F$6-Supuestos!$D$6)*(Supuestos!$E$6-Supuestos!$D$6)),Supuestos!$F$6-SQRT((1-C446)*(Supuestos!$F$6-Supuestos!$D$6)*(Supuestos!$F$6-Supuestos!$E$6))),IF(Supuestos!$C$6="Uniforme",Supuestos!$D$6+C446*(Supuestos!$E$6-Supuestos!$D$6),IF(Supuestos!$C$6="Lognormal",LOGINV(C446,LN(Supuestos!$D$6)-LN(1+Supuestos!$E$6^2/Supuestos!$D$6^2)/2,SQRT(LN(1+Supuestos!$E$6^2/Supuestos!$D$6^2))),Supuestos!$D$6))))))</f>
        <v/>
      </c>
      <c r="K446" s="32">
        <f>MIN(IF(Supuestos!$H$7="",1E+99,Supuestos!$H$7),MAX(IF(Supuestos!$G$7="",-1E+99,Supuestos!$G$7),IF(Supuestos!$C$7="Normal",NORMINV(D446,Supuestos!$D$7,Supuestos!$E$7),IF(Supuestos!$C$7="Triangular",IF(D446&lt;(Supuestos!$E$7-Supuestos!$D$7)/(Supuestos!$F$7-Supuestos!$D$7),Supuestos!$D$7+SQRT(D446*(Supuestos!$F$7-Supuestos!$D$7)*(Supuestos!$E$7-Supuestos!$D$7)),Supuestos!$F$7-SQRT((1-D446)*(Supuestos!$F$7-Supuestos!$D$7)*(Supuestos!$F$7-Supuestos!$E$7))),IF(Supuestos!$C$7="Uniforme",Supuestos!$D$7+D446*(Supuestos!$E$7-Supuestos!$D$7),IF(Supuestos!$C$7="Lognormal",LOGINV(D446,LN(Supuestos!$D$7)-LN(1+Supuestos!$E$7^2/Supuestos!$D$7^2)/2,SQRT(LN(1+Supuestos!$E$7^2/Supuestos!$D$7^2))),Supuestos!$D$7))))))</f>
        <v/>
      </c>
      <c r="L446" s="32">
        <f>MIN(IF(Supuestos!$H$8="",1E+99,Supuestos!$H$8),MAX(IF(Supuestos!$G$8="",-1E+99,Supuestos!$G$8),IF(Supuestos!$C$8="Normal",NORMINV(E446,Supuestos!$D$8,Supuestos!$E$8),IF(Supuestos!$C$8="Triangular",IF(E446&lt;(Supuestos!$E$8-Supuestos!$D$8)/(Supuestos!$F$8-Supuestos!$D$8),Supuestos!$D$8+SQRT(E446*(Supuestos!$F$8-Supuestos!$D$8)*(Supuestos!$E$8-Supuestos!$D$8)),Supuestos!$F$8-SQRT((1-E446)*(Supuestos!$F$8-Supuestos!$D$8)*(Supuestos!$F$8-Supuestos!$E$8))),IF(Supuestos!$C$8="Uniforme",Supuestos!$D$8+E446*(Supuestos!$E$8-Supuestos!$D$8),IF(Supuestos!$C$8="Lognormal",LOGINV(E446,LN(Supuestos!$D$8)-LN(1+Supuestos!$E$8^2/Supuestos!$D$8^2)/2,SQRT(LN(1+Supuestos!$E$8^2/Supuestos!$D$8^2))),Supuestos!$D$8))))))</f>
        <v/>
      </c>
      <c r="M446" s="32">
        <f>MIN(IF(Supuestos!$H$9="",1E+99,Supuestos!$H$9),MAX(IF(Supuestos!$G$9="",-1E+99,Supuestos!$G$9),IF(Supuestos!$C$9="Normal",NORMINV(F446,Supuestos!$D$9,Supuestos!$E$9),IF(Supuestos!$C$9="Triangular",IF(F446&lt;(Supuestos!$E$9-Supuestos!$D$9)/(Supuestos!$F$9-Supuestos!$D$9),Supuestos!$D$9+SQRT(F446*(Supuestos!$F$9-Supuestos!$D$9)*(Supuestos!$E$9-Supuestos!$D$9)),Supuestos!$F$9-SQRT((1-F446)*(Supuestos!$F$9-Supuestos!$D$9)*(Supuestos!$F$9-Supuestos!$E$9))),IF(Supuestos!$C$9="Uniforme",Supuestos!$D$9+F446*(Supuestos!$E$9-Supuestos!$D$9),IF(Supuestos!$C$9="Lognormal",LOGINV(F446,LN(Supuestos!$D$9)-LN(1+Supuestos!$E$9^2/Supuestos!$D$9^2)/2,SQRT(LN(1+Supuestos!$E$9^2/Supuestos!$D$9^2))),Supuestos!$D$9))))))</f>
        <v/>
      </c>
      <c r="N446" s="32">
        <f>MIN(IF(Supuestos!$H$10="",1E+99,Supuestos!$H$10),MAX(IF(Supuestos!$G$10="",-1E+99,Supuestos!$G$10),IF(Supuestos!$C$10="Normal",NORMINV(G446,Supuestos!$D$10,Supuestos!$E$10),IF(Supuestos!$C$10="Triangular",IF(G446&lt;(Supuestos!$E$10-Supuestos!$D$10)/(Supuestos!$F$10-Supuestos!$D$10),Supuestos!$D$10+SQRT(G446*(Supuestos!$F$10-Supuestos!$D$10)*(Supuestos!$E$10-Supuestos!$D$10)),Supuestos!$F$10-SQRT((1-G446)*(Supuestos!$F$10-Supuestos!$D$10)*(Supuestos!$F$10-Supuestos!$E$10))),IF(Supuestos!$C$10="Uniforme",Supuestos!$D$10+G446*(Supuestos!$E$10-Supuestos!$D$10),IF(Supuestos!$C$10="Lognormal",LOGINV(G446,LN(Supuestos!$D$10)-LN(1+Supuestos!$E$10^2/Supuestos!$D$10^2)/2,SQRT(LN(1+Supuestos!$E$10^2/Supuestos!$D$10^2))),Supuestos!$D$10))))))</f>
        <v/>
      </c>
      <c r="O446" s="31">
        <f>MIN(IF(Supuestos!$H$11="",1E+99,Supuestos!$H$11),MAX(IF(Supuestos!$G$11="",-1E+99,Supuestos!$G$11),IF(Supuestos!$C$11="Normal",NORMINV(H446,Supuestos!$D$11,Supuestos!$E$11),IF(Supuestos!$C$11="Triangular",IF(H446&lt;(Supuestos!$E$11-Supuestos!$D$11)/(Supuestos!$F$11-Supuestos!$D$11),Supuestos!$D$11+SQRT(H446*(Supuestos!$F$11-Supuestos!$D$11)*(Supuestos!$E$11-Supuestos!$D$11)),Supuestos!$F$11-SQRT((1-H446)*(Supuestos!$F$11-Supuestos!$D$11)*(Supuestos!$F$11-Supuestos!$E$11))),IF(Supuestos!$C$11="Uniforme",Supuestos!$D$11+H446*(Supuestos!$E$11-Supuestos!$D$11),IF(Supuestos!$C$11="Lognormal",LOGINV(H446,LN(Supuestos!$D$11)-LN(1+Supuestos!$E$11^2/Supuestos!$D$11^2)/2,SQRT(LN(1+Supuestos!$E$11^2/Supuestos!$D$11^2))),Supuestos!$D$11))))))</f>
        <v/>
      </c>
      <c r="P446" s="33">
        <f>-I446</f>
        <v/>
      </c>
      <c r="Q446" s="33">
        <f>$J446*(1+$K446)^(1-1)*(1-$L446)*(1-$M446)</f>
        <v/>
      </c>
      <c r="R446" s="33">
        <f>$J446*(1+$K446)^(2-1)*(1-$L446)*(1-$M446)</f>
        <v/>
      </c>
      <c r="S446" s="33">
        <f>$J446*(1+$K446)^(3-1)*(1-$L446)*(1-$M446)</f>
        <v/>
      </c>
      <c r="T446" s="33">
        <f>$J446*(1+$K446)^(4-1)*(1-$L446)*(1-$M446)</f>
        <v/>
      </c>
      <c r="U446" s="33">
        <f>$J446*(1+$K446)^(5-1)*(1-$L446)*(1-$M446)+$O446</f>
        <v/>
      </c>
      <c r="V446" s="33">
        <f>P446+NPV($N446,Q446:U446)</f>
        <v/>
      </c>
      <c r="W446" s="32">
        <f>IFERROR(IRR(P446:U446,0.1),"")</f>
        <v/>
      </c>
    </row>
    <row r="447">
      <c r="A447" s="14" t="n">
        <v>443</v>
      </c>
      <c r="B447" s="30">
        <f>RAND()*(1-2E-6)+1E-6</f>
        <v/>
      </c>
      <c r="C447" s="30">
        <f>RAND()*(1-2E-6)+1E-6</f>
        <v/>
      </c>
      <c r="D447" s="30">
        <f>RAND()*(1-2E-6)+1E-6</f>
        <v/>
      </c>
      <c r="E447" s="30">
        <f>RAND()*(1-2E-6)+1E-6</f>
        <v/>
      </c>
      <c r="F447" s="30">
        <f>RAND()*(1-2E-6)+1E-6</f>
        <v/>
      </c>
      <c r="G447" s="30">
        <f>RAND()*(1-2E-6)+1E-6</f>
        <v/>
      </c>
      <c r="H447" s="30">
        <f>RAND()*(1-2E-6)+1E-6</f>
        <v/>
      </c>
      <c r="I447" s="31">
        <f>MIN(IF(Supuestos!$H$5="",1E+99,Supuestos!$H$5),MAX(IF(Supuestos!$G$5="",-1E+99,Supuestos!$G$5),IF(Supuestos!$C$5="Normal",NORMINV(B447,Supuestos!$D$5,Supuestos!$E$5),IF(Supuestos!$C$5="Triangular",IF(B447&lt;(Supuestos!$E$5-Supuestos!$D$5)/(Supuestos!$F$5-Supuestos!$D$5),Supuestos!$D$5+SQRT(B447*(Supuestos!$F$5-Supuestos!$D$5)*(Supuestos!$E$5-Supuestos!$D$5)),Supuestos!$F$5-SQRT((1-B447)*(Supuestos!$F$5-Supuestos!$D$5)*(Supuestos!$F$5-Supuestos!$E$5))),IF(Supuestos!$C$5="Uniforme",Supuestos!$D$5+B447*(Supuestos!$E$5-Supuestos!$D$5),IF(Supuestos!$C$5="Lognormal",LOGINV(B447,LN(Supuestos!$D$5)-LN(1+Supuestos!$E$5^2/Supuestos!$D$5^2)/2,SQRT(LN(1+Supuestos!$E$5^2/Supuestos!$D$5^2))),Supuestos!$D$5))))))</f>
        <v/>
      </c>
      <c r="J447" s="31">
        <f>MIN(IF(Supuestos!$H$6="",1E+99,Supuestos!$H$6),MAX(IF(Supuestos!$G$6="",-1E+99,Supuestos!$G$6),IF(Supuestos!$C$6="Normal",NORMINV(C447,Supuestos!$D$6,Supuestos!$E$6),IF(Supuestos!$C$6="Triangular",IF(C447&lt;(Supuestos!$E$6-Supuestos!$D$6)/(Supuestos!$F$6-Supuestos!$D$6),Supuestos!$D$6+SQRT(C447*(Supuestos!$F$6-Supuestos!$D$6)*(Supuestos!$E$6-Supuestos!$D$6)),Supuestos!$F$6-SQRT((1-C447)*(Supuestos!$F$6-Supuestos!$D$6)*(Supuestos!$F$6-Supuestos!$E$6))),IF(Supuestos!$C$6="Uniforme",Supuestos!$D$6+C447*(Supuestos!$E$6-Supuestos!$D$6),IF(Supuestos!$C$6="Lognormal",LOGINV(C447,LN(Supuestos!$D$6)-LN(1+Supuestos!$E$6^2/Supuestos!$D$6^2)/2,SQRT(LN(1+Supuestos!$E$6^2/Supuestos!$D$6^2))),Supuestos!$D$6))))))</f>
        <v/>
      </c>
      <c r="K447" s="32">
        <f>MIN(IF(Supuestos!$H$7="",1E+99,Supuestos!$H$7),MAX(IF(Supuestos!$G$7="",-1E+99,Supuestos!$G$7),IF(Supuestos!$C$7="Normal",NORMINV(D447,Supuestos!$D$7,Supuestos!$E$7),IF(Supuestos!$C$7="Triangular",IF(D447&lt;(Supuestos!$E$7-Supuestos!$D$7)/(Supuestos!$F$7-Supuestos!$D$7),Supuestos!$D$7+SQRT(D447*(Supuestos!$F$7-Supuestos!$D$7)*(Supuestos!$E$7-Supuestos!$D$7)),Supuestos!$F$7-SQRT((1-D447)*(Supuestos!$F$7-Supuestos!$D$7)*(Supuestos!$F$7-Supuestos!$E$7))),IF(Supuestos!$C$7="Uniforme",Supuestos!$D$7+D447*(Supuestos!$E$7-Supuestos!$D$7),IF(Supuestos!$C$7="Lognormal",LOGINV(D447,LN(Supuestos!$D$7)-LN(1+Supuestos!$E$7^2/Supuestos!$D$7^2)/2,SQRT(LN(1+Supuestos!$E$7^2/Supuestos!$D$7^2))),Supuestos!$D$7))))))</f>
        <v/>
      </c>
      <c r="L447" s="32">
        <f>MIN(IF(Supuestos!$H$8="",1E+99,Supuestos!$H$8),MAX(IF(Supuestos!$G$8="",-1E+99,Supuestos!$G$8),IF(Supuestos!$C$8="Normal",NORMINV(E447,Supuestos!$D$8,Supuestos!$E$8),IF(Supuestos!$C$8="Triangular",IF(E447&lt;(Supuestos!$E$8-Supuestos!$D$8)/(Supuestos!$F$8-Supuestos!$D$8),Supuestos!$D$8+SQRT(E447*(Supuestos!$F$8-Supuestos!$D$8)*(Supuestos!$E$8-Supuestos!$D$8)),Supuestos!$F$8-SQRT((1-E447)*(Supuestos!$F$8-Supuestos!$D$8)*(Supuestos!$F$8-Supuestos!$E$8))),IF(Supuestos!$C$8="Uniforme",Supuestos!$D$8+E447*(Supuestos!$E$8-Supuestos!$D$8),IF(Supuestos!$C$8="Lognormal",LOGINV(E447,LN(Supuestos!$D$8)-LN(1+Supuestos!$E$8^2/Supuestos!$D$8^2)/2,SQRT(LN(1+Supuestos!$E$8^2/Supuestos!$D$8^2))),Supuestos!$D$8))))))</f>
        <v/>
      </c>
      <c r="M447" s="32">
        <f>MIN(IF(Supuestos!$H$9="",1E+99,Supuestos!$H$9),MAX(IF(Supuestos!$G$9="",-1E+99,Supuestos!$G$9),IF(Supuestos!$C$9="Normal",NORMINV(F447,Supuestos!$D$9,Supuestos!$E$9),IF(Supuestos!$C$9="Triangular",IF(F447&lt;(Supuestos!$E$9-Supuestos!$D$9)/(Supuestos!$F$9-Supuestos!$D$9),Supuestos!$D$9+SQRT(F447*(Supuestos!$F$9-Supuestos!$D$9)*(Supuestos!$E$9-Supuestos!$D$9)),Supuestos!$F$9-SQRT((1-F447)*(Supuestos!$F$9-Supuestos!$D$9)*(Supuestos!$F$9-Supuestos!$E$9))),IF(Supuestos!$C$9="Uniforme",Supuestos!$D$9+F447*(Supuestos!$E$9-Supuestos!$D$9),IF(Supuestos!$C$9="Lognormal",LOGINV(F447,LN(Supuestos!$D$9)-LN(1+Supuestos!$E$9^2/Supuestos!$D$9^2)/2,SQRT(LN(1+Supuestos!$E$9^2/Supuestos!$D$9^2))),Supuestos!$D$9))))))</f>
        <v/>
      </c>
      <c r="N447" s="32">
        <f>MIN(IF(Supuestos!$H$10="",1E+99,Supuestos!$H$10),MAX(IF(Supuestos!$G$10="",-1E+99,Supuestos!$G$10),IF(Supuestos!$C$10="Normal",NORMINV(G447,Supuestos!$D$10,Supuestos!$E$10),IF(Supuestos!$C$10="Triangular",IF(G447&lt;(Supuestos!$E$10-Supuestos!$D$10)/(Supuestos!$F$10-Supuestos!$D$10),Supuestos!$D$10+SQRT(G447*(Supuestos!$F$10-Supuestos!$D$10)*(Supuestos!$E$10-Supuestos!$D$10)),Supuestos!$F$10-SQRT((1-G447)*(Supuestos!$F$10-Supuestos!$D$10)*(Supuestos!$F$10-Supuestos!$E$10))),IF(Supuestos!$C$10="Uniforme",Supuestos!$D$10+G447*(Supuestos!$E$10-Supuestos!$D$10),IF(Supuestos!$C$10="Lognormal",LOGINV(G447,LN(Supuestos!$D$10)-LN(1+Supuestos!$E$10^2/Supuestos!$D$10^2)/2,SQRT(LN(1+Supuestos!$E$10^2/Supuestos!$D$10^2))),Supuestos!$D$10))))))</f>
        <v/>
      </c>
      <c r="O447" s="31">
        <f>MIN(IF(Supuestos!$H$11="",1E+99,Supuestos!$H$11),MAX(IF(Supuestos!$G$11="",-1E+99,Supuestos!$G$11),IF(Supuestos!$C$11="Normal",NORMINV(H447,Supuestos!$D$11,Supuestos!$E$11),IF(Supuestos!$C$11="Triangular",IF(H447&lt;(Supuestos!$E$11-Supuestos!$D$11)/(Supuestos!$F$11-Supuestos!$D$11),Supuestos!$D$11+SQRT(H447*(Supuestos!$F$11-Supuestos!$D$11)*(Supuestos!$E$11-Supuestos!$D$11)),Supuestos!$F$11-SQRT((1-H447)*(Supuestos!$F$11-Supuestos!$D$11)*(Supuestos!$F$11-Supuestos!$E$11))),IF(Supuestos!$C$11="Uniforme",Supuestos!$D$11+H447*(Supuestos!$E$11-Supuestos!$D$11),IF(Supuestos!$C$11="Lognormal",LOGINV(H447,LN(Supuestos!$D$11)-LN(1+Supuestos!$E$11^2/Supuestos!$D$11^2)/2,SQRT(LN(1+Supuestos!$E$11^2/Supuestos!$D$11^2))),Supuestos!$D$11))))))</f>
        <v/>
      </c>
      <c r="P447" s="33">
        <f>-I447</f>
        <v/>
      </c>
      <c r="Q447" s="33">
        <f>$J447*(1+$K447)^(1-1)*(1-$L447)*(1-$M447)</f>
        <v/>
      </c>
      <c r="R447" s="33">
        <f>$J447*(1+$K447)^(2-1)*(1-$L447)*(1-$M447)</f>
        <v/>
      </c>
      <c r="S447" s="33">
        <f>$J447*(1+$K447)^(3-1)*(1-$L447)*(1-$M447)</f>
        <v/>
      </c>
      <c r="T447" s="33">
        <f>$J447*(1+$K447)^(4-1)*(1-$L447)*(1-$M447)</f>
        <v/>
      </c>
      <c r="U447" s="33">
        <f>$J447*(1+$K447)^(5-1)*(1-$L447)*(1-$M447)+$O447</f>
        <v/>
      </c>
      <c r="V447" s="33">
        <f>P447+NPV($N447,Q447:U447)</f>
        <v/>
      </c>
      <c r="W447" s="32">
        <f>IFERROR(IRR(P447:U447,0.1),"")</f>
        <v/>
      </c>
    </row>
    <row r="448">
      <c r="A448" s="14" t="n">
        <v>444</v>
      </c>
      <c r="B448" s="30">
        <f>RAND()*(1-2E-6)+1E-6</f>
        <v/>
      </c>
      <c r="C448" s="30">
        <f>RAND()*(1-2E-6)+1E-6</f>
        <v/>
      </c>
      <c r="D448" s="30">
        <f>RAND()*(1-2E-6)+1E-6</f>
        <v/>
      </c>
      <c r="E448" s="30">
        <f>RAND()*(1-2E-6)+1E-6</f>
        <v/>
      </c>
      <c r="F448" s="30">
        <f>RAND()*(1-2E-6)+1E-6</f>
        <v/>
      </c>
      <c r="G448" s="30">
        <f>RAND()*(1-2E-6)+1E-6</f>
        <v/>
      </c>
      <c r="H448" s="30">
        <f>RAND()*(1-2E-6)+1E-6</f>
        <v/>
      </c>
      <c r="I448" s="31">
        <f>MIN(IF(Supuestos!$H$5="",1E+99,Supuestos!$H$5),MAX(IF(Supuestos!$G$5="",-1E+99,Supuestos!$G$5),IF(Supuestos!$C$5="Normal",NORMINV(B448,Supuestos!$D$5,Supuestos!$E$5),IF(Supuestos!$C$5="Triangular",IF(B448&lt;(Supuestos!$E$5-Supuestos!$D$5)/(Supuestos!$F$5-Supuestos!$D$5),Supuestos!$D$5+SQRT(B448*(Supuestos!$F$5-Supuestos!$D$5)*(Supuestos!$E$5-Supuestos!$D$5)),Supuestos!$F$5-SQRT((1-B448)*(Supuestos!$F$5-Supuestos!$D$5)*(Supuestos!$F$5-Supuestos!$E$5))),IF(Supuestos!$C$5="Uniforme",Supuestos!$D$5+B448*(Supuestos!$E$5-Supuestos!$D$5),IF(Supuestos!$C$5="Lognormal",LOGINV(B448,LN(Supuestos!$D$5)-LN(1+Supuestos!$E$5^2/Supuestos!$D$5^2)/2,SQRT(LN(1+Supuestos!$E$5^2/Supuestos!$D$5^2))),Supuestos!$D$5))))))</f>
        <v/>
      </c>
      <c r="J448" s="31">
        <f>MIN(IF(Supuestos!$H$6="",1E+99,Supuestos!$H$6),MAX(IF(Supuestos!$G$6="",-1E+99,Supuestos!$G$6),IF(Supuestos!$C$6="Normal",NORMINV(C448,Supuestos!$D$6,Supuestos!$E$6),IF(Supuestos!$C$6="Triangular",IF(C448&lt;(Supuestos!$E$6-Supuestos!$D$6)/(Supuestos!$F$6-Supuestos!$D$6),Supuestos!$D$6+SQRT(C448*(Supuestos!$F$6-Supuestos!$D$6)*(Supuestos!$E$6-Supuestos!$D$6)),Supuestos!$F$6-SQRT((1-C448)*(Supuestos!$F$6-Supuestos!$D$6)*(Supuestos!$F$6-Supuestos!$E$6))),IF(Supuestos!$C$6="Uniforme",Supuestos!$D$6+C448*(Supuestos!$E$6-Supuestos!$D$6),IF(Supuestos!$C$6="Lognormal",LOGINV(C448,LN(Supuestos!$D$6)-LN(1+Supuestos!$E$6^2/Supuestos!$D$6^2)/2,SQRT(LN(1+Supuestos!$E$6^2/Supuestos!$D$6^2))),Supuestos!$D$6))))))</f>
        <v/>
      </c>
      <c r="K448" s="32">
        <f>MIN(IF(Supuestos!$H$7="",1E+99,Supuestos!$H$7),MAX(IF(Supuestos!$G$7="",-1E+99,Supuestos!$G$7),IF(Supuestos!$C$7="Normal",NORMINV(D448,Supuestos!$D$7,Supuestos!$E$7),IF(Supuestos!$C$7="Triangular",IF(D448&lt;(Supuestos!$E$7-Supuestos!$D$7)/(Supuestos!$F$7-Supuestos!$D$7),Supuestos!$D$7+SQRT(D448*(Supuestos!$F$7-Supuestos!$D$7)*(Supuestos!$E$7-Supuestos!$D$7)),Supuestos!$F$7-SQRT((1-D448)*(Supuestos!$F$7-Supuestos!$D$7)*(Supuestos!$F$7-Supuestos!$E$7))),IF(Supuestos!$C$7="Uniforme",Supuestos!$D$7+D448*(Supuestos!$E$7-Supuestos!$D$7),IF(Supuestos!$C$7="Lognormal",LOGINV(D448,LN(Supuestos!$D$7)-LN(1+Supuestos!$E$7^2/Supuestos!$D$7^2)/2,SQRT(LN(1+Supuestos!$E$7^2/Supuestos!$D$7^2))),Supuestos!$D$7))))))</f>
        <v/>
      </c>
      <c r="L448" s="32">
        <f>MIN(IF(Supuestos!$H$8="",1E+99,Supuestos!$H$8),MAX(IF(Supuestos!$G$8="",-1E+99,Supuestos!$G$8),IF(Supuestos!$C$8="Normal",NORMINV(E448,Supuestos!$D$8,Supuestos!$E$8),IF(Supuestos!$C$8="Triangular",IF(E448&lt;(Supuestos!$E$8-Supuestos!$D$8)/(Supuestos!$F$8-Supuestos!$D$8),Supuestos!$D$8+SQRT(E448*(Supuestos!$F$8-Supuestos!$D$8)*(Supuestos!$E$8-Supuestos!$D$8)),Supuestos!$F$8-SQRT((1-E448)*(Supuestos!$F$8-Supuestos!$D$8)*(Supuestos!$F$8-Supuestos!$E$8))),IF(Supuestos!$C$8="Uniforme",Supuestos!$D$8+E448*(Supuestos!$E$8-Supuestos!$D$8),IF(Supuestos!$C$8="Lognormal",LOGINV(E448,LN(Supuestos!$D$8)-LN(1+Supuestos!$E$8^2/Supuestos!$D$8^2)/2,SQRT(LN(1+Supuestos!$E$8^2/Supuestos!$D$8^2))),Supuestos!$D$8))))))</f>
        <v/>
      </c>
      <c r="M448" s="32">
        <f>MIN(IF(Supuestos!$H$9="",1E+99,Supuestos!$H$9),MAX(IF(Supuestos!$G$9="",-1E+99,Supuestos!$G$9),IF(Supuestos!$C$9="Normal",NORMINV(F448,Supuestos!$D$9,Supuestos!$E$9),IF(Supuestos!$C$9="Triangular",IF(F448&lt;(Supuestos!$E$9-Supuestos!$D$9)/(Supuestos!$F$9-Supuestos!$D$9),Supuestos!$D$9+SQRT(F448*(Supuestos!$F$9-Supuestos!$D$9)*(Supuestos!$E$9-Supuestos!$D$9)),Supuestos!$F$9-SQRT((1-F448)*(Supuestos!$F$9-Supuestos!$D$9)*(Supuestos!$F$9-Supuestos!$E$9))),IF(Supuestos!$C$9="Uniforme",Supuestos!$D$9+F448*(Supuestos!$E$9-Supuestos!$D$9),IF(Supuestos!$C$9="Lognormal",LOGINV(F448,LN(Supuestos!$D$9)-LN(1+Supuestos!$E$9^2/Supuestos!$D$9^2)/2,SQRT(LN(1+Supuestos!$E$9^2/Supuestos!$D$9^2))),Supuestos!$D$9))))))</f>
        <v/>
      </c>
      <c r="N448" s="32">
        <f>MIN(IF(Supuestos!$H$10="",1E+99,Supuestos!$H$10),MAX(IF(Supuestos!$G$10="",-1E+99,Supuestos!$G$10),IF(Supuestos!$C$10="Normal",NORMINV(G448,Supuestos!$D$10,Supuestos!$E$10),IF(Supuestos!$C$10="Triangular",IF(G448&lt;(Supuestos!$E$10-Supuestos!$D$10)/(Supuestos!$F$10-Supuestos!$D$10),Supuestos!$D$10+SQRT(G448*(Supuestos!$F$10-Supuestos!$D$10)*(Supuestos!$E$10-Supuestos!$D$10)),Supuestos!$F$10-SQRT((1-G448)*(Supuestos!$F$10-Supuestos!$D$10)*(Supuestos!$F$10-Supuestos!$E$10))),IF(Supuestos!$C$10="Uniforme",Supuestos!$D$10+G448*(Supuestos!$E$10-Supuestos!$D$10),IF(Supuestos!$C$10="Lognormal",LOGINV(G448,LN(Supuestos!$D$10)-LN(1+Supuestos!$E$10^2/Supuestos!$D$10^2)/2,SQRT(LN(1+Supuestos!$E$10^2/Supuestos!$D$10^2))),Supuestos!$D$10))))))</f>
        <v/>
      </c>
      <c r="O448" s="31">
        <f>MIN(IF(Supuestos!$H$11="",1E+99,Supuestos!$H$11),MAX(IF(Supuestos!$G$11="",-1E+99,Supuestos!$G$11),IF(Supuestos!$C$11="Normal",NORMINV(H448,Supuestos!$D$11,Supuestos!$E$11),IF(Supuestos!$C$11="Triangular",IF(H448&lt;(Supuestos!$E$11-Supuestos!$D$11)/(Supuestos!$F$11-Supuestos!$D$11),Supuestos!$D$11+SQRT(H448*(Supuestos!$F$11-Supuestos!$D$11)*(Supuestos!$E$11-Supuestos!$D$11)),Supuestos!$F$11-SQRT((1-H448)*(Supuestos!$F$11-Supuestos!$D$11)*(Supuestos!$F$11-Supuestos!$E$11))),IF(Supuestos!$C$11="Uniforme",Supuestos!$D$11+H448*(Supuestos!$E$11-Supuestos!$D$11),IF(Supuestos!$C$11="Lognormal",LOGINV(H448,LN(Supuestos!$D$11)-LN(1+Supuestos!$E$11^2/Supuestos!$D$11^2)/2,SQRT(LN(1+Supuestos!$E$11^2/Supuestos!$D$11^2))),Supuestos!$D$11))))))</f>
        <v/>
      </c>
      <c r="P448" s="33">
        <f>-I448</f>
        <v/>
      </c>
      <c r="Q448" s="33">
        <f>$J448*(1+$K448)^(1-1)*(1-$L448)*(1-$M448)</f>
        <v/>
      </c>
      <c r="R448" s="33">
        <f>$J448*(1+$K448)^(2-1)*(1-$L448)*(1-$M448)</f>
        <v/>
      </c>
      <c r="S448" s="33">
        <f>$J448*(1+$K448)^(3-1)*(1-$L448)*(1-$M448)</f>
        <v/>
      </c>
      <c r="T448" s="33">
        <f>$J448*(1+$K448)^(4-1)*(1-$L448)*(1-$M448)</f>
        <v/>
      </c>
      <c r="U448" s="33">
        <f>$J448*(1+$K448)^(5-1)*(1-$L448)*(1-$M448)+$O448</f>
        <v/>
      </c>
      <c r="V448" s="33">
        <f>P448+NPV($N448,Q448:U448)</f>
        <v/>
      </c>
      <c r="W448" s="32">
        <f>IFERROR(IRR(P448:U448,0.1),"")</f>
        <v/>
      </c>
    </row>
    <row r="449">
      <c r="A449" s="14" t="n">
        <v>445</v>
      </c>
      <c r="B449" s="30">
        <f>RAND()*(1-2E-6)+1E-6</f>
        <v/>
      </c>
      <c r="C449" s="30">
        <f>RAND()*(1-2E-6)+1E-6</f>
        <v/>
      </c>
      <c r="D449" s="30">
        <f>RAND()*(1-2E-6)+1E-6</f>
        <v/>
      </c>
      <c r="E449" s="30">
        <f>RAND()*(1-2E-6)+1E-6</f>
        <v/>
      </c>
      <c r="F449" s="30">
        <f>RAND()*(1-2E-6)+1E-6</f>
        <v/>
      </c>
      <c r="G449" s="30">
        <f>RAND()*(1-2E-6)+1E-6</f>
        <v/>
      </c>
      <c r="H449" s="30">
        <f>RAND()*(1-2E-6)+1E-6</f>
        <v/>
      </c>
      <c r="I449" s="31">
        <f>MIN(IF(Supuestos!$H$5="",1E+99,Supuestos!$H$5),MAX(IF(Supuestos!$G$5="",-1E+99,Supuestos!$G$5),IF(Supuestos!$C$5="Normal",NORMINV(B449,Supuestos!$D$5,Supuestos!$E$5),IF(Supuestos!$C$5="Triangular",IF(B449&lt;(Supuestos!$E$5-Supuestos!$D$5)/(Supuestos!$F$5-Supuestos!$D$5),Supuestos!$D$5+SQRT(B449*(Supuestos!$F$5-Supuestos!$D$5)*(Supuestos!$E$5-Supuestos!$D$5)),Supuestos!$F$5-SQRT((1-B449)*(Supuestos!$F$5-Supuestos!$D$5)*(Supuestos!$F$5-Supuestos!$E$5))),IF(Supuestos!$C$5="Uniforme",Supuestos!$D$5+B449*(Supuestos!$E$5-Supuestos!$D$5),IF(Supuestos!$C$5="Lognormal",LOGINV(B449,LN(Supuestos!$D$5)-LN(1+Supuestos!$E$5^2/Supuestos!$D$5^2)/2,SQRT(LN(1+Supuestos!$E$5^2/Supuestos!$D$5^2))),Supuestos!$D$5))))))</f>
        <v/>
      </c>
      <c r="J449" s="31">
        <f>MIN(IF(Supuestos!$H$6="",1E+99,Supuestos!$H$6),MAX(IF(Supuestos!$G$6="",-1E+99,Supuestos!$G$6),IF(Supuestos!$C$6="Normal",NORMINV(C449,Supuestos!$D$6,Supuestos!$E$6),IF(Supuestos!$C$6="Triangular",IF(C449&lt;(Supuestos!$E$6-Supuestos!$D$6)/(Supuestos!$F$6-Supuestos!$D$6),Supuestos!$D$6+SQRT(C449*(Supuestos!$F$6-Supuestos!$D$6)*(Supuestos!$E$6-Supuestos!$D$6)),Supuestos!$F$6-SQRT((1-C449)*(Supuestos!$F$6-Supuestos!$D$6)*(Supuestos!$F$6-Supuestos!$E$6))),IF(Supuestos!$C$6="Uniforme",Supuestos!$D$6+C449*(Supuestos!$E$6-Supuestos!$D$6),IF(Supuestos!$C$6="Lognormal",LOGINV(C449,LN(Supuestos!$D$6)-LN(1+Supuestos!$E$6^2/Supuestos!$D$6^2)/2,SQRT(LN(1+Supuestos!$E$6^2/Supuestos!$D$6^2))),Supuestos!$D$6))))))</f>
        <v/>
      </c>
      <c r="K449" s="32">
        <f>MIN(IF(Supuestos!$H$7="",1E+99,Supuestos!$H$7),MAX(IF(Supuestos!$G$7="",-1E+99,Supuestos!$G$7),IF(Supuestos!$C$7="Normal",NORMINV(D449,Supuestos!$D$7,Supuestos!$E$7),IF(Supuestos!$C$7="Triangular",IF(D449&lt;(Supuestos!$E$7-Supuestos!$D$7)/(Supuestos!$F$7-Supuestos!$D$7),Supuestos!$D$7+SQRT(D449*(Supuestos!$F$7-Supuestos!$D$7)*(Supuestos!$E$7-Supuestos!$D$7)),Supuestos!$F$7-SQRT((1-D449)*(Supuestos!$F$7-Supuestos!$D$7)*(Supuestos!$F$7-Supuestos!$E$7))),IF(Supuestos!$C$7="Uniforme",Supuestos!$D$7+D449*(Supuestos!$E$7-Supuestos!$D$7),IF(Supuestos!$C$7="Lognormal",LOGINV(D449,LN(Supuestos!$D$7)-LN(1+Supuestos!$E$7^2/Supuestos!$D$7^2)/2,SQRT(LN(1+Supuestos!$E$7^2/Supuestos!$D$7^2))),Supuestos!$D$7))))))</f>
        <v/>
      </c>
      <c r="L449" s="32">
        <f>MIN(IF(Supuestos!$H$8="",1E+99,Supuestos!$H$8),MAX(IF(Supuestos!$G$8="",-1E+99,Supuestos!$G$8),IF(Supuestos!$C$8="Normal",NORMINV(E449,Supuestos!$D$8,Supuestos!$E$8),IF(Supuestos!$C$8="Triangular",IF(E449&lt;(Supuestos!$E$8-Supuestos!$D$8)/(Supuestos!$F$8-Supuestos!$D$8),Supuestos!$D$8+SQRT(E449*(Supuestos!$F$8-Supuestos!$D$8)*(Supuestos!$E$8-Supuestos!$D$8)),Supuestos!$F$8-SQRT((1-E449)*(Supuestos!$F$8-Supuestos!$D$8)*(Supuestos!$F$8-Supuestos!$E$8))),IF(Supuestos!$C$8="Uniforme",Supuestos!$D$8+E449*(Supuestos!$E$8-Supuestos!$D$8),IF(Supuestos!$C$8="Lognormal",LOGINV(E449,LN(Supuestos!$D$8)-LN(1+Supuestos!$E$8^2/Supuestos!$D$8^2)/2,SQRT(LN(1+Supuestos!$E$8^2/Supuestos!$D$8^2))),Supuestos!$D$8))))))</f>
        <v/>
      </c>
      <c r="M449" s="32">
        <f>MIN(IF(Supuestos!$H$9="",1E+99,Supuestos!$H$9),MAX(IF(Supuestos!$G$9="",-1E+99,Supuestos!$G$9),IF(Supuestos!$C$9="Normal",NORMINV(F449,Supuestos!$D$9,Supuestos!$E$9),IF(Supuestos!$C$9="Triangular",IF(F449&lt;(Supuestos!$E$9-Supuestos!$D$9)/(Supuestos!$F$9-Supuestos!$D$9),Supuestos!$D$9+SQRT(F449*(Supuestos!$F$9-Supuestos!$D$9)*(Supuestos!$E$9-Supuestos!$D$9)),Supuestos!$F$9-SQRT((1-F449)*(Supuestos!$F$9-Supuestos!$D$9)*(Supuestos!$F$9-Supuestos!$E$9))),IF(Supuestos!$C$9="Uniforme",Supuestos!$D$9+F449*(Supuestos!$E$9-Supuestos!$D$9),IF(Supuestos!$C$9="Lognormal",LOGINV(F449,LN(Supuestos!$D$9)-LN(1+Supuestos!$E$9^2/Supuestos!$D$9^2)/2,SQRT(LN(1+Supuestos!$E$9^2/Supuestos!$D$9^2))),Supuestos!$D$9))))))</f>
        <v/>
      </c>
      <c r="N449" s="32">
        <f>MIN(IF(Supuestos!$H$10="",1E+99,Supuestos!$H$10),MAX(IF(Supuestos!$G$10="",-1E+99,Supuestos!$G$10),IF(Supuestos!$C$10="Normal",NORMINV(G449,Supuestos!$D$10,Supuestos!$E$10),IF(Supuestos!$C$10="Triangular",IF(G449&lt;(Supuestos!$E$10-Supuestos!$D$10)/(Supuestos!$F$10-Supuestos!$D$10),Supuestos!$D$10+SQRT(G449*(Supuestos!$F$10-Supuestos!$D$10)*(Supuestos!$E$10-Supuestos!$D$10)),Supuestos!$F$10-SQRT((1-G449)*(Supuestos!$F$10-Supuestos!$D$10)*(Supuestos!$F$10-Supuestos!$E$10))),IF(Supuestos!$C$10="Uniforme",Supuestos!$D$10+G449*(Supuestos!$E$10-Supuestos!$D$10),IF(Supuestos!$C$10="Lognormal",LOGINV(G449,LN(Supuestos!$D$10)-LN(1+Supuestos!$E$10^2/Supuestos!$D$10^2)/2,SQRT(LN(1+Supuestos!$E$10^2/Supuestos!$D$10^2))),Supuestos!$D$10))))))</f>
        <v/>
      </c>
      <c r="O449" s="31">
        <f>MIN(IF(Supuestos!$H$11="",1E+99,Supuestos!$H$11),MAX(IF(Supuestos!$G$11="",-1E+99,Supuestos!$G$11),IF(Supuestos!$C$11="Normal",NORMINV(H449,Supuestos!$D$11,Supuestos!$E$11),IF(Supuestos!$C$11="Triangular",IF(H449&lt;(Supuestos!$E$11-Supuestos!$D$11)/(Supuestos!$F$11-Supuestos!$D$11),Supuestos!$D$11+SQRT(H449*(Supuestos!$F$11-Supuestos!$D$11)*(Supuestos!$E$11-Supuestos!$D$11)),Supuestos!$F$11-SQRT((1-H449)*(Supuestos!$F$11-Supuestos!$D$11)*(Supuestos!$F$11-Supuestos!$E$11))),IF(Supuestos!$C$11="Uniforme",Supuestos!$D$11+H449*(Supuestos!$E$11-Supuestos!$D$11),IF(Supuestos!$C$11="Lognormal",LOGINV(H449,LN(Supuestos!$D$11)-LN(1+Supuestos!$E$11^2/Supuestos!$D$11^2)/2,SQRT(LN(1+Supuestos!$E$11^2/Supuestos!$D$11^2))),Supuestos!$D$11))))))</f>
        <v/>
      </c>
      <c r="P449" s="33">
        <f>-I449</f>
        <v/>
      </c>
      <c r="Q449" s="33">
        <f>$J449*(1+$K449)^(1-1)*(1-$L449)*(1-$M449)</f>
        <v/>
      </c>
      <c r="R449" s="33">
        <f>$J449*(1+$K449)^(2-1)*(1-$L449)*(1-$M449)</f>
        <v/>
      </c>
      <c r="S449" s="33">
        <f>$J449*(1+$K449)^(3-1)*(1-$L449)*(1-$M449)</f>
        <v/>
      </c>
      <c r="T449" s="33">
        <f>$J449*(1+$K449)^(4-1)*(1-$L449)*(1-$M449)</f>
        <v/>
      </c>
      <c r="U449" s="33">
        <f>$J449*(1+$K449)^(5-1)*(1-$L449)*(1-$M449)+$O449</f>
        <v/>
      </c>
      <c r="V449" s="33">
        <f>P449+NPV($N449,Q449:U449)</f>
        <v/>
      </c>
      <c r="W449" s="32">
        <f>IFERROR(IRR(P449:U449,0.1),"")</f>
        <v/>
      </c>
    </row>
    <row r="450">
      <c r="A450" s="14" t="n">
        <v>446</v>
      </c>
      <c r="B450" s="30">
        <f>RAND()*(1-2E-6)+1E-6</f>
        <v/>
      </c>
      <c r="C450" s="30">
        <f>RAND()*(1-2E-6)+1E-6</f>
        <v/>
      </c>
      <c r="D450" s="30">
        <f>RAND()*(1-2E-6)+1E-6</f>
        <v/>
      </c>
      <c r="E450" s="30">
        <f>RAND()*(1-2E-6)+1E-6</f>
        <v/>
      </c>
      <c r="F450" s="30">
        <f>RAND()*(1-2E-6)+1E-6</f>
        <v/>
      </c>
      <c r="G450" s="30">
        <f>RAND()*(1-2E-6)+1E-6</f>
        <v/>
      </c>
      <c r="H450" s="30">
        <f>RAND()*(1-2E-6)+1E-6</f>
        <v/>
      </c>
      <c r="I450" s="31">
        <f>MIN(IF(Supuestos!$H$5="",1E+99,Supuestos!$H$5),MAX(IF(Supuestos!$G$5="",-1E+99,Supuestos!$G$5),IF(Supuestos!$C$5="Normal",NORMINV(B450,Supuestos!$D$5,Supuestos!$E$5),IF(Supuestos!$C$5="Triangular",IF(B450&lt;(Supuestos!$E$5-Supuestos!$D$5)/(Supuestos!$F$5-Supuestos!$D$5),Supuestos!$D$5+SQRT(B450*(Supuestos!$F$5-Supuestos!$D$5)*(Supuestos!$E$5-Supuestos!$D$5)),Supuestos!$F$5-SQRT((1-B450)*(Supuestos!$F$5-Supuestos!$D$5)*(Supuestos!$F$5-Supuestos!$E$5))),IF(Supuestos!$C$5="Uniforme",Supuestos!$D$5+B450*(Supuestos!$E$5-Supuestos!$D$5),IF(Supuestos!$C$5="Lognormal",LOGINV(B450,LN(Supuestos!$D$5)-LN(1+Supuestos!$E$5^2/Supuestos!$D$5^2)/2,SQRT(LN(1+Supuestos!$E$5^2/Supuestos!$D$5^2))),Supuestos!$D$5))))))</f>
        <v/>
      </c>
      <c r="J450" s="31">
        <f>MIN(IF(Supuestos!$H$6="",1E+99,Supuestos!$H$6),MAX(IF(Supuestos!$G$6="",-1E+99,Supuestos!$G$6),IF(Supuestos!$C$6="Normal",NORMINV(C450,Supuestos!$D$6,Supuestos!$E$6),IF(Supuestos!$C$6="Triangular",IF(C450&lt;(Supuestos!$E$6-Supuestos!$D$6)/(Supuestos!$F$6-Supuestos!$D$6),Supuestos!$D$6+SQRT(C450*(Supuestos!$F$6-Supuestos!$D$6)*(Supuestos!$E$6-Supuestos!$D$6)),Supuestos!$F$6-SQRT((1-C450)*(Supuestos!$F$6-Supuestos!$D$6)*(Supuestos!$F$6-Supuestos!$E$6))),IF(Supuestos!$C$6="Uniforme",Supuestos!$D$6+C450*(Supuestos!$E$6-Supuestos!$D$6),IF(Supuestos!$C$6="Lognormal",LOGINV(C450,LN(Supuestos!$D$6)-LN(1+Supuestos!$E$6^2/Supuestos!$D$6^2)/2,SQRT(LN(1+Supuestos!$E$6^2/Supuestos!$D$6^2))),Supuestos!$D$6))))))</f>
        <v/>
      </c>
      <c r="K450" s="32">
        <f>MIN(IF(Supuestos!$H$7="",1E+99,Supuestos!$H$7),MAX(IF(Supuestos!$G$7="",-1E+99,Supuestos!$G$7),IF(Supuestos!$C$7="Normal",NORMINV(D450,Supuestos!$D$7,Supuestos!$E$7),IF(Supuestos!$C$7="Triangular",IF(D450&lt;(Supuestos!$E$7-Supuestos!$D$7)/(Supuestos!$F$7-Supuestos!$D$7),Supuestos!$D$7+SQRT(D450*(Supuestos!$F$7-Supuestos!$D$7)*(Supuestos!$E$7-Supuestos!$D$7)),Supuestos!$F$7-SQRT((1-D450)*(Supuestos!$F$7-Supuestos!$D$7)*(Supuestos!$F$7-Supuestos!$E$7))),IF(Supuestos!$C$7="Uniforme",Supuestos!$D$7+D450*(Supuestos!$E$7-Supuestos!$D$7),IF(Supuestos!$C$7="Lognormal",LOGINV(D450,LN(Supuestos!$D$7)-LN(1+Supuestos!$E$7^2/Supuestos!$D$7^2)/2,SQRT(LN(1+Supuestos!$E$7^2/Supuestos!$D$7^2))),Supuestos!$D$7))))))</f>
        <v/>
      </c>
      <c r="L450" s="32">
        <f>MIN(IF(Supuestos!$H$8="",1E+99,Supuestos!$H$8),MAX(IF(Supuestos!$G$8="",-1E+99,Supuestos!$G$8),IF(Supuestos!$C$8="Normal",NORMINV(E450,Supuestos!$D$8,Supuestos!$E$8),IF(Supuestos!$C$8="Triangular",IF(E450&lt;(Supuestos!$E$8-Supuestos!$D$8)/(Supuestos!$F$8-Supuestos!$D$8),Supuestos!$D$8+SQRT(E450*(Supuestos!$F$8-Supuestos!$D$8)*(Supuestos!$E$8-Supuestos!$D$8)),Supuestos!$F$8-SQRT((1-E450)*(Supuestos!$F$8-Supuestos!$D$8)*(Supuestos!$F$8-Supuestos!$E$8))),IF(Supuestos!$C$8="Uniforme",Supuestos!$D$8+E450*(Supuestos!$E$8-Supuestos!$D$8),IF(Supuestos!$C$8="Lognormal",LOGINV(E450,LN(Supuestos!$D$8)-LN(1+Supuestos!$E$8^2/Supuestos!$D$8^2)/2,SQRT(LN(1+Supuestos!$E$8^2/Supuestos!$D$8^2))),Supuestos!$D$8))))))</f>
        <v/>
      </c>
      <c r="M450" s="32">
        <f>MIN(IF(Supuestos!$H$9="",1E+99,Supuestos!$H$9),MAX(IF(Supuestos!$G$9="",-1E+99,Supuestos!$G$9),IF(Supuestos!$C$9="Normal",NORMINV(F450,Supuestos!$D$9,Supuestos!$E$9),IF(Supuestos!$C$9="Triangular",IF(F450&lt;(Supuestos!$E$9-Supuestos!$D$9)/(Supuestos!$F$9-Supuestos!$D$9),Supuestos!$D$9+SQRT(F450*(Supuestos!$F$9-Supuestos!$D$9)*(Supuestos!$E$9-Supuestos!$D$9)),Supuestos!$F$9-SQRT((1-F450)*(Supuestos!$F$9-Supuestos!$D$9)*(Supuestos!$F$9-Supuestos!$E$9))),IF(Supuestos!$C$9="Uniforme",Supuestos!$D$9+F450*(Supuestos!$E$9-Supuestos!$D$9),IF(Supuestos!$C$9="Lognormal",LOGINV(F450,LN(Supuestos!$D$9)-LN(1+Supuestos!$E$9^2/Supuestos!$D$9^2)/2,SQRT(LN(1+Supuestos!$E$9^2/Supuestos!$D$9^2))),Supuestos!$D$9))))))</f>
        <v/>
      </c>
      <c r="N450" s="32">
        <f>MIN(IF(Supuestos!$H$10="",1E+99,Supuestos!$H$10),MAX(IF(Supuestos!$G$10="",-1E+99,Supuestos!$G$10),IF(Supuestos!$C$10="Normal",NORMINV(G450,Supuestos!$D$10,Supuestos!$E$10),IF(Supuestos!$C$10="Triangular",IF(G450&lt;(Supuestos!$E$10-Supuestos!$D$10)/(Supuestos!$F$10-Supuestos!$D$10),Supuestos!$D$10+SQRT(G450*(Supuestos!$F$10-Supuestos!$D$10)*(Supuestos!$E$10-Supuestos!$D$10)),Supuestos!$F$10-SQRT((1-G450)*(Supuestos!$F$10-Supuestos!$D$10)*(Supuestos!$F$10-Supuestos!$E$10))),IF(Supuestos!$C$10="Uniforme",Supuestos!$D$10+G450*(Supuestos!$E$10-Supuestos!$D$10),IF(Supuestos!$C$10="Lognormal",LOGINV(G450,LN(Supuestos!$D$10)-LN(1+Supuestos!$E$10^2/Supuestos!$D$10^2)/2,SQRT(LN(1+Supuestos!$E$10^2/Supuestos!$D$10^2))),Supuestos!$D$10))))))</f>
        <v/>
      </c>
      <c r="O450" s="31">
        <f>MIN(IF(Supuestos!$H$11="",1E+99,Supuestos!$H$11),MAX(IF(Supuestos!$G$11="",-1E+99,Supuestos!$G$11),IF(Supuestos!$C$11="Normal",NORMINV(H450,Supuestos!$D$11,Supuestos!$E$11),IF(Supuestos!$C$11="Triangular",IF(H450&lt;(Supuestos!$E$11-Supuestos!$D$11)/(Supuestos!$F$11-Supuestos!$D$11),Supuestos!$D$11+SQRT(H450*(Supuestos!$F$11-Supuestos!$D$11)*(Supuestos!$E$11-Supuestos!$D$11)),Supuestos!$F$11-SQRT((1-H450)*(Supuestos!$F$11-Supuestos!$D$11)*(Supuestos!$F$11-Supuestos!$E$11))),IF(Supuestos!$C$11="Uniforme",Supuestos!$D$11+H450*(Supuestos!$E$11-Supuestos!$D$11),IF(Supuestos!$C$11="Lognormal",LOGINV(H450,LN(Supuestos!$D$11)-LN(1+Supuestos!$E$11^2/Supuestos!$D$11^2)/2,SQRT(LN(1+Supuestos!$E$11^2/Supuestos!$D$11^2))),Supuestos!$D$11))))))</f>
        <v/>
      </c>
      <c r="P450" s="33">
        <f>-I450</f>
        <v/>
      </c>
      <c r="Q450" s="33">
        <f>$J450*(1+$K450)^(1-1)*(1-$L450)*(1-$M450)</f>
        <v/>
      </c>
      <c r="R450" s="33">
        <f>$J450*(1+$K450)^(2-1)*(1-$L450)*(1-$M450)</f>
        <v/>
      </c>
      <c r="S450" s="33">
        <f>$J450*(1+$K450)^(3-1)*(1-$L450)*(1-$M450)</f>
        <v/>
      </c>
      <c r="T450" s="33">
        <f>$J450*(1+$K450)^(4-1)*(1-$L450)*(1-$M450)</f>
        <v/>
      </c>
      <c r="U450" s="33">
        <f>$J450*(1+$K450)^(5-1)*(1-$L450)*(1-$M450)+$O450</f>
        <v/>
      </c>
      <c r="V450" s="33">
        <f>P450+NPV($N450,Q450:U450)</f>
        <v/>
      </c>
      <c r="W450" s="32">
        <f>IFERROR(IRR(P450:U450,0.1),"")</f>
        <v/>
      </c>
    </row>
    <row r="451">
      <c r="A451" s="14" t="n">
        <v>447</v>
      </c>
      <c r="B451" s="30">
        <f>RAND()*(1-2E-6)+1E-6</f>
        <v/>
      </c>
      <c r="C451" s="30">
        <f>RAND()*(1-2E-6)+1E-6</f>
        <v/>
      </c>
      <c r="D451" s="30">
        <f>RAND()*(1-2E-6)+1E-6</f>
        <v/>
      </c>
      <c r="E451" s="30">
        <f>RAND()*(1-2E-6)+1E-6</f>
        <v/>
      </c>
      <c r="F451" s="30">
        <f>RAND()*(1-2E-6)+1E-6</f>
        <v/>
      </c>
      <c r="G451" s="30">
        <f>RAND()*(1-2E-6)+1E-6</f>
        <v/>
      </c>
      <c r="H451" s="30">
        <f>RAND()*(1-2E-6)+1E-6</f>
        <v/>
      </c>
      <c r="I451" s="31">
        <f>MIN(IF(Supuestos!$H$5="",1E+99,Supuestos!$H$5),MAX(IF(Supuestos!$G$5="",-1E+99,Supuestos!$G$5),IF(Supuestos!$C$5="Normal",NORMINV(B451,Supuestos!$D$5,Supuestos!$E$5),IF(Supuestos!$C$5="Triangular",IF(B451&lt;(Supuestos!$E$5-Supuestos!$D$5)/(Supuestos!$F$5-Supuestos!$D$5),Supuestos!$D$5+SQRT(B451*(Supuestos!$F$5-Supuestos!$D$5)*(Supuestos!$E$5-Supuestos!$D$5)),Supuestos!$F$5-SQRT((1-B451)*(Supuestos!$F$5-Supuestos!$D$5)*(Supuestos!$F$5-Supuestos!$E$5))),IF(Supuestos!$C$5="Uniforme",Supuestos!$D$5+B451*(Supuestos!$E$5-Supuestos!$D$5),IF(Supuestos!$C$5="Lognormal",LOGINV(B451,LN(Supuestos!$D$5)-LN(1+Supuestos!$E$5^2/Supuestos!$D$5^2)/2,SQRT(LN(1+Supuestos!$E$5^2/Supuestos!$D$5^2))),Supuestos!$D$5))))))</f>
        <v/>
      </c>
      <c r="J451" s="31">
        <f>MIN(IF(Supuestos!$H$6="",1E+99,Supuestos!$H$6),MAX(IF(Supuestos!$G$6="",-1E+99,Supuestos!$G$6),IF(Supuestos!$C$6="Normal",NORMINV(C451,Supuestos!$D$6,Supuestos!$E$6),IF(Supuestos!$C$6="Triangular",IF(C451&lt;(Supuestos!$E$6-Supuestos!$D$6)/(Supuestos!$F$6-Supuestos!$D$6),Supuestos!$D$6+SQRT(C451*(Supuestos!$F$6-Supuestos!$D$6)*(Supuestos!$E$6-Supuestos!$D$6)),Supuestos!$F$6-SQRT((1-C451)*(Supuestos!$F$6-Supuestos!$D$6)*(Supuestos!$F$6-Supuestos!$E$6))),IF(Supuestos!$C$6="Uniforme",Supuestos!$D$6+C451*(Supuestos!$E$6-Supuestos!$D$6),IF(Supuestos!$C$6="Lognormal",LOGINV(C451,LN(Supuestos!$D$6)-LN(1+Supuestos!$E$6^2/Supuestos!$D$6^2)/2,SQRT(LN(1+Supuestos!$E$6^2/Supuestos!$D$6^2))),Supuestos!$D$6))))))</f>
        <v/>
      </c>
      <c r="K451" s="32">
        <f>MIN(IF(Supuestos!$H$7="",1E+99,Supuestos!$H$7),MAX(IF(Supuestos!$G$7="",-1E+99,Supuestos!$G$7),IF(Supuestos!$C$7="Normal",NORMINV(D451,Supuestos!$D$7,Supuestos!$E$7),IF(Supuestos!$C$7="Triangular",IF(D451&lt;(Supuestos!$E$7-Supuestos!$D$7)/(Supuestos!$F$7-Supuestos!$D$7),Supuestos!$D$7+SQRT(D451*(Supuestos!$F$7-Supuestos!$D$7)*(Supuestos!$E$7-Supuestos!$D$7)),Supuestos!$F$7-SQRT((1-D451)*(Supuestos!$F$7-Supuestos!$D$7)*(Supuestos!$F$7-Supuestos!$E$7))),IF(Supuestos!$C$7="Uniforme",Supuestos!$D$7+D451*(Supuestos!$E$7-Supuestos!$D$7),IF(Supuestos!$C$7="Lognormal",LOGINV(D451,LN(Supuestos!$D$7)-LN(1+Supuestos!$E$7^2/Supuestos!$D$7^2)/2,SQRT(LN(1+Supuestos!$E$7^2/Supuestos!$D$7^2))),Supuestos!$D$7))))))</f>
        <v/>
      </c>
      <c r="L451" s="32">
        <f>MIN(IF(Supuestos!$H$8="",1E+99,Supuestos!$H$8),MAX(IF(Supuestos!$G$8="",-1E+99,Supuestos!$G$8),IF(Supuestos!$C$8="Normal",NORMINV(E451,Supuestos!$D$8,Supuestos!$E$8),IF(Supuestos!$C$8="Triangular",IF(E451&lt;(Supuestos!$E$8-Supuestos!$D$8)/(Supuestos!$F$8-Supuestos!$D$8),Supuestos!$D$8+SQRT(E451*(Supuestos!$F$8-Supuestos!$D$8)*(Supuestos!$E$8-Supuestos!$D$8)),Supuestos!$F$8-SQRT((1-E451)*(Supuestos!$F$8-Supuestos!$D$8)*(Supuestos!$F$8-Supuestos!$E$8))),IF(Supuestos!$C$8="Uniforme",Supuestos!$D$8+E451*(Supuestos!$E$8-Supuestos!$D$8),IF(Supuestos!$C$8="Lognormal",LOGINV(E451,LN(Supuestos!$D$8)-LN(1+Supuestos!$E$8^2/Supuestos!$D$8^2)/2,SQRT(LN(1+Supuestos!$E$8^2/Supuestos!$D$8^2))),Supuestos!$D$8))))))</f>
        <v/>
      </c>
      <c r="M451" s="32">
        <f>MIN(IF(Supuestos!$H$9="",1E+99,Supuestos!$H$9),MAX(IF(Supuestos!$G$9="",-1E+99,Supuestos!$G$9),IF(Supuestos!$C$9="Normal",NORMINV(F451,Supuestos!$D$9,Supuestos!$E$9),IF(Supuestos!$C$9="Triangular",IF(F451&lt;(Supuestos!$E$9-Supuestos!$D$9)/(Supuestos!$F$9-Supuestos!$D$9),Supuestos!$D$9+SQRT(F451*(Supuestos!$F$9-Supuestos!$D$9)*(Supuestos!$E$9-Supuestos!$D$9)),Supuestos!$F$9-SQRT((1-F451)*(Supuestos!$F$9-Supuestos!$D$9)*(Supuestos!$F$9-Supuestos!$E$9))),IF(Supuestos!$C$9="Uniforme",Supuestos!$D$9+F451*(Supuestos!$E$9-Supuestos!$D$9),IF(Supuestos!$C$9="Lognormal",LOGINV(F451,LN(Supuestos!$D$9)-LN(1+Supuestos!$E$9^2/Supuestos!$D$9^2)/2,SQRT(LN(1+Supuestos!$E$9^2/Supuestos!$D$9^2))),Supuestos!$D$9))))))</f>
        <v/>
      </c>
      <c r="N451" s="32">
        <f>MIN(IF(Supuestos!$H$10="",1E+99,Supuestos!$H$10),MAX(IF(Supuestos!$G$10="",-1E+99,Supuestos!$G$10),IF(Supuestos!$C$10="Normal",NORMINV(G451,Supuestos!$D$10,Supuestos!$E$10),IF(Supuestos!$C$10="Triangular",IF(G451&lt;(Supuestos!$E$10-Supuestos!$D$10)/(Supuestos!$F$10-Supuestos!$D$10),Supuestos!$D$10+SQRT(G451*(Supuestos!$F$10-Supuestos!$D$10)*(Supuestos!$E$10-Supuestos!$D$10)),Supuestos!$F$10-SQRT((1-G451)*(Supuestos!$F$10-Supuestos!$D$10)*(Supuestos!$F$10-Supuestos!$E$10))),IF(Supuestos!$C$10="Uniforme",Supuestos!$D$10+G451*(Supuestos!$E$10-Supuestos!$D$10),IF(Supuestos!$C$10="Lognormal",LOGINV(G451,LN(Supuestos!$D$10)-LN(1+Supuestos!$E$10^2/Supuestos!$D$10^2)/2,SQRT(LN(1+Supuestos!$E$10^2/Supuestos!$D$10^2))),Supuestos!$D$10))))))</f>
        <v/>
      </c>
      <c r="O451" s="31">
        <f>MIN(IF(Supuestos!$H$11="",1E+99,Supuestos!$H$11),MAX(IF(Supuestos!$G$11="",-1E+99,Supuestos!$G$11),IF(Supuestos!$C$11="Normal",NORMINV(H451,Supuestos!$D$11,Supuestos!$E$11),IF(Supuestos!$C$11="Triangular",IF(H451&lt;(Supuestos!$E$11-Supuestos!$D$11)/(Supuestos!$F$11-Supuestos!$D$11),Supuestos!$D$11+SQRT(H451*(Supuestos!$F$11-Supuestos!$D$11)*(Supuestos!$E$11-Supuestos!$D$11)),Supuestos!$F$11-SQRT((1-H451)*(Supuestos!$F$11-Supuestos!$D$11)*(Supuestos!$F$11-Supuestos!$E$11))),IF(Supuestos!$C$11="Uniforme",Supuestos!$D$11+H451*(Supuestos!$E$11-Supuestos!$D$11),IF(Supuestos!$C$11="Lognormal",LOGINV(H451,LN(Supuestos!$D$11)-LN(1+Supuestos!$E$11^2/Supuestos!$D$11^2)/2,SQRT(LN(1+Supuestos!$E$11^2/Supuestos!$D$11^2))),Supuestos!$D$11))))))</f>
        <v/>
      </c>
      <c r="P451" s="33">
        <f>-I451</f>
        <v/>
      </c>
      <c r="Q451" s="33">
        <f>$J451*(1+$K451)^(1-1)*(1-$L451)*(1-$M451)</f>
        <v/>
      </c>
      <c r="R451" s="33">
        <f>$J451*(1+$K451)^(2-1)*(1-$L451)*(1-$M451)</f>
        <v/>
      </c>
      <c r="S451" s="33">
        <f>$J451*(1+$K451)^(3-1)*(1-$L451)*(1-$M451)</f>
        <v/>
      </c>
      <c r="T451" s="33">
        <f>$J451*(1+$K451)^(4-1)*(1-$L451)*(1-$M451)</f>
        <v/>
      </c>
      <c r="U451" s="33">
        <f>$J451*(1+$K451)^(5-1)*(1-$L451)*(1-$M451)+$O451</f>
        <v/>
      </c>
      <c r="V451" s="33">
        <f>P451+NPV($N451,Q451:U451)</f>
        <v/>
      </c>
      <c r="W451" s="32">
        <f>IFERROR(IRR(P451:U451,0.1),"")</f>
        <v/>
      </c>
    </row>
    <row r="452">
      <c r="A452" s="14" t="n">
        <v>448</v>
      </c>
      <c r="B452" s="30">
        <f>RAND()*(1-2E-6)+1E-6</f>
        <v/>
      </c>
      <c r="C452" s="30">
        <f>RAND()*(1-2E-6)+1E-6</f>
        <v/>
      </c>
      <c r="D452" s="30">
        <f>RAND()*(1-2E-6)+1E-6</f>
        <v/>
      </c>
      <c r="E452" s="30">
        <f>RAND()*(1-2E-6)+1E-6</f>
        <v/>
      </c>
      <c r="F452" s="30">
        <f>RAND()*(1-2E-6)+1E-6</f>
        <v/>
      </c>
      <c r="G452" s="30">
        <f>RAND()*(1-2E-6)+1E-6</f>
        <v/>
      </c>
      <c r="H452" s="30">
        <f>RAND()*(1-2E-6)+1E-6</f>
        <v/>
      </c>
      <c r="I452" s="31">
        <f>MIN(IF(Supuestos!$H$5="",1E+99,Supuestos!$H$5),MAX(IF(Supuestos!$G$5="",-1E+99,Supuestos!$G$5),IF(Supuestos!$C$5="Normal",NORMINV(B452,Supuestos!$D$5,Supuestos!$E$5),IF(Supuestos!$C$5="Triangular",IF(B452&lt;(Supuestos!$E$5-Supuestos!$D$5)/(Supuestos!$F$5-Supuestos!$D$5),Supuestos!$D$5+SQRT(B452*(Supuestos!$F$5-Supuestos!$D$5)*(Supuestos!$E$5-Supuestos!$D$5)),Supuestos!$F$5-SQRT((1-B452)*(Supuestos!$F$5-Supuestos!$D$5)*(Supuestos!$F$5-Supuestos!$E$5))),IF(Supuestos!$C$5="Uniforme",Supuestos!$D$5+B452*(Supuestos!$E$5-Supuestos!$D$5),IF(Supuestos!$C$5="Lognormal",LOGINV(B452,LN(Supuestos!$D$5)-LN(1+Supuestos!$E$5^2/Supuestos!$D$5^2)/2,SQRT(LN(1+Supuestos!$E$5^2/Supuestos!$D$5^2))),Supuestos!$D$5))))))</f>
        <v/>
      </c>
      <c r="J452" s="31">
        <f>MIN(IF(Supuestos!$H$6="",1E+99,Supuestos!$H$6),MAX(IF(Supuestos!$G$6="",-1E+99,Supuestos!$G$6),IF(Supuestos!$C$6="Normal",NORMINV(C452,Supuestos!$D$6,Supuestos!$E$6),IF(Supuestos!$C$6="Triangular",IF(C452&lt;(Supuestos!$E$6-Supuestos!$D$6)/(Supuestos!$F$6-Supuestos!$D$6),Supuestos!$D$6+SQRT(C452*(Supuestos!$F$6-Supuestos!$D$6)*(Supuestos!$E$6-Supuestos!$D$6)),Supuestos!$F$6-SQRT((1-C452)*(Supuestos!$F$6-Supuestos!$D$6)*(Supuestos!$F$6-Supuestos!$E$6))),IF(Supuestos!$C$6="Uniforme",Supuestos!$D$6+C452*(Supuestos!$E$6-Supuestos!$D$6),IF(Supuestos!$C$6="Lognormal",LOGINV(C452,LN(Supuestos!$D$6)-LN(1+Supuestos!$E$6^2/Supuestos!$D$6^2)/2,SQRT(LN(1+Supuestos!$E$6^2/Supuestos!$D$6^2))),Supuestos!$D$6))))))</f>
        <v/>
      </c>
      <c r="K452" s="32">
        <f>MIN(IF(Supuestos!$H$7="",1E+99,Supuestos!$H$7),MAX(IF(Supuestos!$G$7="",-1E+99,Supuestos!$G$7),IF(Supuestos!$C$7="Normal",NORMINV(D452,Supuestos!$D$7,Supuestos!$E$7),IF(Supuestos!$C$7="Triangular",IF(D452&lt;(Supuestos!$E$7-Supuestos!$D$7)/(Supuestos!$F$7-Supuestos!$D$7),Supuestos!$D$7+SQRT(D452*(Supuestos!$F$7-Supuestos!$D$7)*(Supuestos!$E$7-Supuestos!$D$7)),Supuestos!$F$7-SQRT((1-D452)*(Supuestos!$F$7-Supuestos!$D$7)*(Supuestos!$F$7-Supuestos!$E$7))),IF(Supuestos!$C$7="Uniforme",Supuestos!$D$7+D452*(Supuestos!$E$7-Supuestos!$D$7),IF(Supuestos!$C$7="Lognormal",LOGINV(D452,LN(Supuestos!$D$7)-LN(1+Supuestos!$E$7^2/Supuestos!$D$7^2)/2,SQRT(LN(1+Supuestos!$E$7^2/Supuestos!$D$7^2))),Supuestos!$D$7))))))</f>
        <v/>
      </c>
      <c r="L452" s="32">
        <f>MIN(IF(Supuestos!$H$8="",1E+99,Supuestos!$H$8),MAX(IF(Supuestos!$G$8="",-1E+99,Supuestos!$G$8),IF(Supuestos!$C$8="Normal",NORMINV(E452,Supuestos!$D$8,Supuestos!$E$8),IF(Supuestos!$C$8="Triangular",IF(E452&lt;(Supuestos!$E$8-Supuestos!$D$8)/(Supuestos!$F$8-Supuestos!$D$8),Supuestos!$D$8+SQRT(E452*(Supuestos!$F$8-Supuestos!$D$8)*(Supuestos!$E$8-Supuestos!$D$8)),Supuestos!$F$8-SQRT((1-E452)*(Supuestos!$F$8-Supuestos!$D$8)*(Supuestos!$F$8-Supuestos!$E$8))),IF(Supuestos!$C$8="Uniforme",Supuestos!$D$8+E452*(Supuestos!$E$8-Supuestos!$D$8),IF(Supuestos!$C$8="Lognormal",LOGINV(E452,LN(Supuestos!$D$8)-LN(1+Supuestos!$E$8^2/Supuestos!$D$8^2)/2,SQRT(LN(1+Supuestos!$E$8^2/Supuestos!$D$8^2))),Supuestos!$D$8))))))</f>
        <v/>
      </c>
      <c r="M452" s="32">
        <f>MIN(IF(Supuestos!$H$9="",1E+99,Supuestos!$H$9),MAX(IF(Supuestos!$G$9="",-1E+99,Supuestos!$G$9),IF(Supuestos!$C$9="Normal",NORMINV(F452,Supuestos!$D$9,Supuestos!$E$9),IF(Supuestos!$C$9="Triangular",IF(F452&lt;(Supuestos!$E$9-Supuestos!$D$9)/(Supuestos!$F$9-Supuestos!$D$9),Supuestos!$D$9+SQRT(F452*(Supuestos!$F$9-Supuestos!$D$9)*(Supuestos!$E$9-Supuestos!$D$9)),Supuestos!$F$9-SQRT((1-F452)*(Supuestos!$F$9-Supuestos!$D$9)*(Supuestos!$F$9-Supuestos!$E$9))),IF(Supuestos!$C$9="Uniforme",Supuestos!$D$9+F452*(Supuestos!$E$9-Supuestos!$D$9),IF(Supuestos!$C$9="Lognormal",LOGINV(F452,LN(Supuestos!$D$9)-LN(1+Supuestos!$E$9^2/Supuestos!$D$9^2)/2,SQRT(LN(1+Supuestos!$E$9^2/Supuestos!$D$9^2))),Supuestos!$D$9))))))</f>
        <v/>
      </c>
      <c r="N452" s="32">
        <f>MIN(IF(Supuestos!$H$10="",1E+99,Supuestos!$H$10),MAX(IF(Supuestos!$G$10="",-1E+99,Supuestos!$G$10),IF(Supuestos!$C$10="Normal",NORMINV(G452,Supuestos!$D$10,Supuestos!$E$10),IF(Supuestos!$C$10="Triangular",IF(G452&lt;(Supuestos!$E$10-Supuestos!$D$10)/(Supuestos!$F$10-Supuestos!$D$10),Supuestos!$D$10+SQRT(G452*(Supuestos!$F$10-Supuestos!$D$10)*(Supuestos!$E$10-Supuestos!$D$10)),Supuestos!$F$10-SQRT((1-G452)*(Supuestos!$F$10-Supuestos!$D$10)*(Supuestos!$F$10-Supuestos!$E$10))),IF(Supuestos!$C$10="Uniforme",Supuestos!$D$10+G452*(Supuestos!$E$10-Supuestos!$D$10),IF(Supuestos!$C$10="Lognormal",LOGINV(G452,LN(Supuestos!$D$10)-LN(1+Supuestos!$E$10^2/Supuestos!$D$10^2)/2,SQRT(LN(1+Supuestos!$E$10^2/Supuestos!$D$10^2))),Supuestos!$D$10))))))</f>
        <v/>
      </c>
      <c r="O452" s="31">
        <f>MIN(IF(Supuestos!$H$11="",1E+99,Supuestos!$H$11),MAX(IF(Supuestos!$G$11="",-1E+99,Supuestos!$G$11),IF(Supuestos!$C$11="Normal",NORMINV(H452,Supuestos!$D$11,Supuestos!$E$11),IF(Supuestos!$C$11="Triangular",IF(H452&lt;(Supuestos!$E$11-Supuestos!$D$11)/(Supuestos!$F$11-Supuestos!$D$11),Supuestos!$D$11+SQRT(H452*(Supuestos!$F$11-Supuestos!$D$11)*(Supuestos!$E$11-Supuestos!$D$11)),Supuestos!$F$11-SQRT((1-H452)*(Supuestos!$F$11-Supuestos!$D$11)*(Supuestos!$F$11-Supuestos!$E$11))),IF(Supuestos!$C$11="Uniforme",Supuestos!$D$11+H452*(Supuestos!$E$11-Supuestos!$D$11),IF(Supuestos!$C$11="Lognormal",LOGINV(H452,LN(Supuestos!$D$11)-LN(1+Supuestos!$E$11^2/Supuestos!$D$11^2)/2,SQRT(LN(1+Supuestos!$E$11^2/Supuestos!$D$11^2))),Supuestos!$D$11))))))</f>
        <v/>
      </c>
      <c r="P452" s="33">
        <f>-I452</f>
        <v/>
      </c>
      <c r="Q452" s="33">
        <f>$J452*(1+$K452)^(1-1)*(1-$L452)*(1-$M452)</f>
        <v/>
      </c>
      <c r="R452" s="33">
        <f>$J452*(1+$K452)^(2-1)*(1-$L452)*(1-$M452)</f>
        <v/>
      </c>
      <c r="S452" s="33">
        <f>$J452*(1+$K452)^(3-1)*(1-$L452)*(1-$M452)</f>
        <v/>
      </c>
      <c r="T452" s="33">
        <f>$J452*(1+$K452)^(4-1)*(1-$L452)*(1-$M452)</f>
        <v/>
      </c>
      <c r="U452" s="33">
        <f>$J452*(1+$K452)^(5-1)*(1-$L452)*(1-$M452)+$O452</f>
        <v/>
      </c>
      <c r="V452" s="33">
        <f>P452+NPV($N452,Q452:U452)</f>
        <v/>
      </c>
      <c r="W452" s="32">
        <f>IFERROR(IRR(P452:U452,0.1),"")</f>
        <v/>
      </c>
    </row>
    <row r="453">
      <c r="A453" s="14" t="n">
        <v>449</v>
      </c>
      <c r="B453" s="30">
        <f>RAND()*(1-2E-6)+1E-6</f>
        <v/>
      </c>
      <c r="C453" s="30">
        <f>RAND()*(1-2E-6)+1E-6</f>
        <v/>
      </c>
      <c r="D453" s="30">
        <f>RAND()*(1-2E-6)+1E-6</f>
        <v/>
      </c>
      <c r="E453" s="30">
        <f>RAND()*(1-2E-6)+1E-6</f>
        <v/>
      </c>
      <c r="F453" s="30">
        <f>RAND()*(1-2E-6)+1E-6</f>
        <v/>
      </c>
      <c r="G453" s="30">
        <f>RAND()*(1-2E-6)+1E-6</f>
        <v/>
      </c>
      <c r="H453" s="30">
        <f>RAND()*(1-2E-6)+1E-6</f>
        <v/>
      </c>
      <c r="I453" s="31">
        <f>MIN(IF(Supuestos!$H$5="",1E+99,Supuestos!$H$5),MAX(IF(Supuestos!$G$5="",-1E+99,Supuestos!$G$5),IF(Supuestos!$C$5="Normal",NORMINV(B453,Supuestos!$D$5,Supuestos!$E$5),IF(Supuestos!$C$5="Triangular",IF(B453&lt;(Supuestos!$E$5-Supuestos!$D$5)/(Supuestos!$F$5-Supuestos!$D$5),Supuestos!$D$5+SQRT(B453*(Supuestos!$F$5-Supuestos!$D$5)*(Supuestos!$E$5-Supuestos!$D$5)),Supuestos!$F$5-SQRT((1-B453)*(Supuestos!$F$5-Supuestos!$D$5)*(Supuestos!$F$5-Supuestos!$E$5))),IF(Supuestos!$C$5="Uniforme",Supuestos!$D$5+B453*(Supuestos!$E$5-Supuestos!$D$5),IF(Supuestos!$C$5="Lognormal",LOGINV(B453,LN(Supuestos!$D$5)-LN(1+Supuestos!$E$5^2/Supuestos!$D$5^2)/2,SQRT(LN(1+Supuestos!$E$5^2/Supuestos!$D$5^2))),Supuestos!$D$5))))))</f>
        <v/>
      </c>
      <c r="J453" s="31">
        <f>MIN(IF(Supuestos!$H$6="",1E+99,Supuestos!$H$6),MAX(IF(Supuestos!$G$6="",-1E+99,Supuestos!$G$6),IF(Supuestos!$C$6="Normal",NORMINV(C453,Supuestos!$D$6,Supuestos!$E$6),IF(Supuestos!$C$6="Triangular",IF(C453&lt;(Supuestos!$E$6-Supuestos!$D$6)/(Supuestos!$F$6-Supuestos!$D$6),Supuestos!$D$6+SQRT(C453*(Supuestos!$F$6-Supuestos!$D$6)*(Supuestos!$E$6-Supuestos!$D$6)),Supuestos!$F$6-SQRT((1-C453)*(Supuestos!$F$6-Supuestos!$D$6)*(Supuestos!$F$6-Supuestos!$E$6))),IF(Supuestos!$C$6="Uniforme",Supuestos!$D$6+C453*(Supuestos!$E$6-Supuestos!$D$6),IF(Supuestos!$C$6="Lognormal",LOGINV(C453,LN(Supuestos!$D$6)-LN(1+Supuestos!$E$6^2/Supuestos!$D$6^2)/2,SQRT(LN(1+Supuestos!$E$6^2/Supuestos!$D$6^2))),Supuestos!$D$6))))))</f>
        <v/>
      </c>
      <c r="K453" s="32">
        <f>MIN(IF(Supuestos!$H$7="",1E+99,Supuestos!$H$7),MAX(IF(Supuestos!$G$7="",-1E+99,Supuestos!$G$7),IF(Supuestos!$C$7="Normal",NORMINV(D453,Supuestos!$D$7,Supuestos!$E$7),IF(Supuestos!$C$7="Triangular",IF(D453&lt;(Supuestos!$E$7-Supuestos!$D$7)/(Supuestos!$F$7-Supuestos!$D$7),Supuestos!$D$7+SQRT(D453*(Supuestos!$F$7-Supuestos!$D$7)*(Supuestos!$E$7-Supuestos!$D$7)),Supuestos!$F$7-SQRT((1-D453)*(Supuestos!$F$7-Supuestos!$D$7)*(Supuestos!$F$7-Supuestos!$E$7))),IF(Supuestos!$C$7="Uniforme",Supuestos!$D$7+D453*(Supuestos!$E$7-Supuestos!$D$7),IF(Supuestos!$C$7="Lognormal",LOGINV(D453,LN(Supuestos!$D$7)-LN(1+Supuestos!$E$7^2/Supuestos!$D$7^2)/2,SQRT(LN(1+Supuestos!$E$7^2/Supuestos!$D$7^2))),Supuestos!$D$7))))))</f>
        <v/>
      </c>
      <c r="L453" s="32">
        <f>MIN(IF(Supuestos!$H$8="",1E+99,Supuestos!$H$8),MAX(IF(Supuestos!$G$8="",-1E+99,Supuestos!$G$8),IF(Supuestos!$C$8="Normal",NORMINV(E453,Supuestos!$D$8,Supuestos!$E$8),IF(Supuestos!$C$8="Triangular",IF(E453&lt;(Supuestos!$E$8-Supuestos!$D$8)/(Supuestos!$F$8-Supuestos!$D$8),Supuestos!$D$8+SQRT(E453*(Supuestos!$F$8-Supuestos!$D$8)*(Supuestos!$E$8-Supuestos!$D$8)),Supuestos!$F$8-SQRT((1-E453)*(Supuestos!$F$8-Supuestos!$D$8)*(Supuestos!$F$8-Supuestos!$E$8))),IF(Supuestos!$C$8="Uniforme",Supuestos!$D$8+E453*(Supuestos!$E$8-Supuestos!$D$8),IF(Supuestos!$C$8="Lognormal",LOGINV(E453,LN(Supuestos!$D$8)-LN(1+Supuestos!$E$8^2/Supuestos!$D$8^2)/2,SQRT(LN(1+Supuestos!$E$8^2/Supuestos!$D$8^2))),Supuestos!$D$8))))))</f>
        <v/>
      </c>
      <c r="M453" s="32">
        <f>MIN(IF(Supuestos!$H$9="",1E+99,Supuestos!$H$9),MAX(IF(Supuestos!$G$9="",-1E+99,Supuestos!$G$9),IF(Supuestos!$C$9="Normal",NORMINV(F453,Supuestos!$D$9,Supuestos!$E$9),IF(Supuestos!$C$9="Triangular",IF(F453&lt;(Supuestos!$E$9-Supuestos!$D$9)/(Supuestos!$F$9-Supuestos!$D$9),Supuestos!$D$9+SQRT(F453*(Supuestos!$F$9-Supuestos!$D$9)*(Supuestos!$E$9-Supuestos!$D$9)),Supuestos!$F$9-SQRT((1-F453)*(Supuestos!$F$9-Supuestos!$D$9)*(Supuestos!$F$9-Supuestos!$E$9))),IF(Supuestos!$C$9="Uniforme",Supuestos!$D$9+F453*(Supuestos!$E$9-Supuestos!$D$9),IF(Supuestos!$C$9="Lognormal",LOGINV(F453,LN(Supuestos!$D$9)-LN(1+Supuestos!$E$9^2/Supuestos!$D$9^2)/2,SQRT(LN(1+Supuestos!$E$9^2/Supuestos!$D$9^2))),Supuestos!$D$9))))))</f>
        <v/>
      </c>
      <c r="N453" s="32">
        <f>MIN(IF(Supuestos!$H$10="",1E+99,Supuestos!$H$10),MAX(IF(Supuestos!$G$10="",-1E+99,Supuestos!$G$10),IF(Supuestos!$C$10="Normal",NORMINV(G453,Supuestos!$D$10,Supuestos!$E$10),IF(Supuestos!$C$10="Triangular",IF(G453&lt;(Supuestos!$E$10-Supuestos!$D$10)/(Supuestos!$F$10-Supuestos!$D$10),Supuestos!$D$10+SQRT(G453*(Supuestos!$F$10-Supuestos!$D$10)*(Supuestos!$E$10-Supuestos!$D$10)),Supuestos!$F$10-SQRT((1-G453)*(Supuestos!$F$10-Supuestos!$D$10)*(Supuestos!$F$10-Supuestos!$E$10))),IF(Supuestos!$C$10="Uniforme",Supuestos!$D$10+G453*(Supuestos!$E$10-Supuestos!$D$10),IF(Supuestos!$C$10="Lognormal",LOGINV(G453,LN(Supuestos!$D$10)-LN(1+Supuestos!$E$10^2/Supuestos!$D$10^2)/2,SQRT(LN(1+Supuestos!$E$10^2/Supuestos!$D$10^2))),Supuestos!$D$10))))))</f>
        <v/>
      </c>
      <c r="O453" s="31">
        <f>MIN(IF(Supuestos!$H$11="",1E+99,Supuestos!$H$11),MAX(IF(Supuestos!$G$11="",-1E+99,Supuestos!$G$11),IF(Supuestos!$C$11="Normal",NORMINV(H453,Supuestos!$D$11,Supuestos!$E$11),IF(Supuestos!$C$11="Triangular",IF(H453&lt;(Supuestos!$E$11-Supuestos!$D$11)/(Supuestos!$F$11-Supuestos!$D$11),Supuestos!$D$11+SQRT(H453*(Supuestos!$F$11-Supuestos!$D$11)*(Supuestos!$E$11-Supuestos!$D$11)),Supuestos!$F$11-SQRT((1-H453)*(Supuestos!$F$11-Supuestos!$D$11)*(Supuestos!$F$11-Supuestos!$E$11))),IF(Supuestos!$C$11="Uniforme",Supuestos!$D$11+H453*(Supuestos!$E$11-Supuestos!$D$11),IF(Supuestos!$C$11="Lognormal",LOGINV(H453,LN(Supuestos!$D$11)-LN(1+Supuestos!$E$11^2/Supuestos!$D$11^2)/2,SQRT(LN(1+Supuestos!$E$11^2/Supuestos!$D$11^2))),Supuestos!$D$11))))))</f>
        <v/>
      </c>
      <c r="P453" s="33">
        <f>-I453</f>
        <v/>
      </c>
      <c r="Q453" s="33">
        <f>$J453*(1+$K453)^(1-1)*(1-$L453)*(1-$M453)</f>
        <v/>
      </c>
      <c r="R453" s="33">
        <f>$J453*(1+$K453)^(2-1)*(1-$L453)*(1-$M453)</f>
        <v/>
      </c>
      <c r="S453" s="33">
        <f>$J453*(1+$K453)^(3-1)*(1-$L453)*(1-$M453)</f>
        <v/>
      </c>
      <c r="T453" s="33">
        <f>$J453*(1+$K453)^(4-1)*(1-$L453)*(1-$M453)</f>
        <v/>
      </c>
      <c r="U453" s="33">
        <f>$J453*(1+$K453)^(5-1)*(1-$L453)*(1-$M453)+$O453</f>
        <v/>
      </c>
      <c r="V453" s="33">
        <f>P453+NPV($N453,Q453:U453)</f>
        <v/>
      </c>
      <c r="W453" s="32">
        <f>IFERROR(IRR(P453:U453,0.1),"")</f>
        <v/>
      </c>
    </row>
    <row r="454">
      <c r="A454" s="14" t="n">
        <v>450</v>
      </c>
      <c r="B454" s="30">
        <f>RAND()*(1-2E-6)+1E-6</f>
        <v/>
      </c>
      <c r="C454" s="30">
        <f>RAND()*(1-2E-6)+1E-6</f>
        <v/>
      </c>
      <c r="D454" s="30">
        <f>RAND()*(1-2E-6)+1E-6</f>
        <v/>
      </c>
      <c r="E454" s="30">
        <f>RAND()*(1-2E-6)+1E-6</f>
        <v/>
      </c>
      <c r="F454" s="30">
        <f>RAND()*(1-2E-6)+1E-6</f>
        <v/>
      </c>
      <c r="G454" s="30">
        <f>RAND()*(1-2E-6)+1E-6</f>
        <v/>
      </c>
      <c r="H454" s="30">
        <f>RAND()*(1-2E-6)+1E-6</f>
        <v/>
      </c>
      <c r="I454" s="31">
        <f>MIN(IF(Supuestos!$H$5="",1E+99,Supuestos!$H$5),MAX(IF(Supuestos!$G$5="",-1E+99,Supuestos!$G$5),IF(Supuestos!$C$5="Normal",NORMINV(B454,Supuestos!$D$5,Supuestos!$E$5),IF(Supuestos!$C$5="Triangular",IF(B454&lt;(Supuestos!$E$5-Supuestos!$D$5)/(Supuestos!$F$5-Supuestos!$D$5),Supuestos!$D$5+SQRT(B454*(Supuestos!$F$5-Supuestos!$D$5)*(Supuestos!$E$5-Supuestos!$D$5)),Supuestos!$F$5-SQRT((1-B454)*(Supuestos!$F$5-Supuestos!$D$5)*(Supuestos!$F$5-Supuestos!$E$5))),IF(Supuestos!$C$5="Uniforme",Supuestos!$D$5+B454*(Supuestos!$E$5-Supuestos!$D$5),IF(Supuestos!$C$5="Lognormal",LOGINV(B454,LN(Supuestos!$D$5)-LN(1+Supuestos!$E$5^2/Supuestos!$D$5^2)/2,SQRT(LN(1+Supuestos!$E$5^2/Supuestos!$D$5^2))),Supuestos!$D$5))))))</f>
        <v/>
      </c>
      <c r="J454" s="31">
        <f>MIN(IF(Supuestos!$H$6="",1E+99,Supuestos!$H$6),MAX(IF(Supuestos!$G$6="",-1E+99,Supuestos!$G$6),IF(Supuestos!$C$6="Normal",NORMINV(C454,Supuestos!$D$6,Supuestos!$E$6),IF(Supuestos!$C$6="Triangular",IF(C454&lt;(Supuestos!$E$6-Supuestos!$D$6)/(Supuestos!$F$6-Supuestos!$D$6),Supuestos!$D$6+SQRT(C454*(Supuestos!$F$6-Supuestos!$D$6)*(Supuestos!$E$6-Supuestos!$D$6)),Supuestos!$F$6-SQRT((1-C454)*(Supuestos!$F$6-Supuestos!$D$6)*(Supuestos!$F$6-Supuestos!$E$6))),IF(Supuestos!$C$6="Uniforme",Supuestos!$D$6+C454*(Supuestos!$E$6-Supuestos!$D$6),IF(Supuestos!$C$6="Lognormal",LOGINV(C454,LN(Supuestos!$D$6)-LN(1+Supuestos!$E$6^2/Supuestos!$D$6^2)/2,SQRT(LN(1+Supuestos!$E$6^2/Supuestos!$D$6^2))),Supuestos!$D$6))))))</f>
        <v/>
      </c>
      <c r="K454" s="32">
        <f>MIN(IF(Supuestos!$H$7="",1E+99,Supuestos!$H$7),MAX(IF(Supuestos!$G$7="",-1E+99,Supuestos!$G$7),IF(Supuestos!$C$7="Normal",NORMINV(D454,Supuestos!$D$7,Supuestos!$E$7),IF(Supuestos!$C$7="Triangular",IF(D454&lt;(Supuestos!$E$7-Supuestos!$D$7)/(Supuestos!$F$7-Supuestos!$D$7),Supuestos!$D$7+SQRT(D454*(Supuestos!$F$7-Supuestos!$D$7)*(Supuestos!$E$7-Supuestos!$D$7)),Supuestos!$F$7-SQRT((1-D454)*(Supuestos!$F$7-Supuestos!$D$7)*(Supuestos!$F$7-Supuestos!$E$7))),IF(Supuestos!$C$7="Uniforme",Supuestos!$D$7+D454*(Supuestos!$E$7-Supuestos!$D$7),IF(Supuestos!$C$7="Lognormal",LOGINV(D454,LN(Supuestos!$D$7)-LN(1+Supuestos!$E$7^2/Supuestos!$D$7^2)/2,SQRT(LN(1+Supuestos!$E$7^2/Supuestos!$D$7^2))),Supuestos!$D$7))))))</f>
        <v/>
      </c>
      <c r="L454" s="32">
        <f>MIN(IF(Supuestos!$H$8="",1E+99,Supuestos!$H$8),MAX(IF(Supuestos!$G$8="",-1E+99,Supuestos!$G$8),IF(Supuestos!$C$8="Normal",NORMINV(E454,Supuestos!$D$8,Supuestos!$E$8),IF(Supuestos!$C$8="Triangular",IF(E454&lt;(Supuestos!$E$8-Supuestos!$D$8)/(Supuestos!$F$8-Supuestos!$D$8),Supuestos!$D$8+SQRT(E454*(Supuestos!$F$8-Supuestos!$D$8)*(Supuestos!$E$8-Supuestos!$D$8)),Supuestos!$F$8-SQRT((1-E454)*(Supuestos!$F$8-Supuestos!$D$8)*(Supuestos!$F$8-Supuestos!$E$8))),IF(Supuestos!$C$8="Uniforme",Supuestos!$D$8+E454*(Supuestos!$E$8-Supuestos!$D$8),IF(Supuestos!$C$8="Lognormal",LOGINV(E454,LN(Supuestos!$D$8)-LN(1+Supuestos!$E$8^2/Supuestos!$D$8^2)/2,SQRT(LN(1+Supuestos!$E$8^2/Supuestos!$D$8^2))),Supuestos!$D$8))))))</f>
        <v/>
      </c>
      <c r="M454" s="32">
        <f>MIN(IF(Supuestos!$H$9="",1E+99,Supuestos!$H$9),MAX(IF(Supuestos!$G$9="",-1E+99,Supuestos!$G$9),IF(Supuestos!$C$9="Normal",NORMINV(F454,Supuestos!$D$9,Supuestos!$E$9),IF(Supuestos!$C$9="Triangular",IF(F454&lt;(Supuestos!$E$9-Supuestos!$D$9)/(Supuestos!$F$9-Supuestos!$D$9),Supuestos!$D$9+SQRT(F454*(Supuestos!$F$9-Supuestos!$D$9)*(Supuestos!$E$9-Supuestos!$D$9)),Supuestos!$F$9-SQRT((1-F454)*(Supuestos!$F$9-Supuestos!$D$9)*(Supuestos!$F$9-Supuestos!$E$9))),IF(Supuestos!$C$9="Uniforme",Supuestos!$D$9+F454*(Supuestos!$E$9-Supuestos!$D$9),IF(Supuestos!$C$9="Lognormal",LOGINV(F454,LN(Supuestos!$D$9)-LN(1+Supuestos!$E$9^2/Supuestos!$D$9^2)/2,SQRT(LN(1+Supuestos!$E$9^2/Supuestos!$D$9^2))),Supuestos!$D$9))))))</f>
        <v/>
      </c>
      <c r="N454" s="32">
        <f>MIN(IF(Supuestos!$H$10="",1E+99,Supuestos!$H$10),MAX(IF(Supuestos!$G$10="",-1E+99,Supuestos!$G$10),IF(Supuestos!$C$10="Normal",NORMINV(G454,Supuestos!$D$10,Supuestos!$E$10),IF(Supuestos!$C$10="Triangular",IF(G454&lt;(Supuestos!$E$10-Supuestos!$D$10)/(Supuestos!$F$10-Supuestos!$D$10),Supuestos!$D$10+SQRT(G454*(Supuestos!$F$10-Supuestos!$D$10)*(Supuestos!$E$10-Supuestos!$D$10)),Supuestos!$F$10-SQRT((1-G454)*(Supuestos!$F$10-Supuestos!$D$10)*(Supuestos!$F$10-Supuestos!$E$10))),IF(Supuestos!$C$10="Uniforme",Supuestos!$D$10+G454*(Supuestos!$E$10-Supuestos!$D$10),IF(Supuestos!$C$10="Lognormal",LOGINV(G454,LN(Supuestos!$D$10)-LN(1+Supuestos!$E$10^2/Supuestos!$D$10^2)/2,SQRT(LN(1+Supuestos!$E$10^2/Supuestos!$D$10^2))),Supuestos!$D$10))))))</f>
        <v/>
      </c>
      <c r="O454" s="31">
        <f>MIN(IF(Supuestos!$H$11="",1E+99,Supuestos!$H$11),MAX(IF(Supuestos!$G$11="",-1E+99,Supuestos!$G$11),IF(Supuestos!$C$11="Normal",NORMINV(H454,Supuestos!$D$11,Supuestos!$E$11),IF(Supuestos!$C$11="Triangular",IF(H454&lt;(Supuestos!$E$11-Supuestos!$D$11)/(Supuestos!$F$11-Supuestos!$D$11),Supuestos!$D$11+SQRT(H454*(Supuestos!$F$11-Supuestos!$D$11)*(Supuestos!$E$11-Supuestos!$D$11)),Supuestos!$F$11-SQRT((1-H454)*(Supuestos!$F$11-Supuestos!$D$11)*(Supuestos!$F$11-Supuestos!$E$11))),IF(Supuestos!$C$11="Uniforme",Supuestos!$D$11+H454*(Supuestos!$E$11-Supuestos!$D$11),IF(Supuestos!$C$11="Lognormal",LOGINV(H454,LN(Supuestos!$D$11)-LN(1+Supuestos!$E$11^2/Supuestos!$D$11^2)/2,SQRT(LN(1+Supuestos!$E$11^2/Supuestos!$D$11^2))),Supuestos!$D$11))))))</f>
        <v/>
      </c>
      <c r="P454" s="33">
        <f>-I454</f>
        <v/>
      </c>
      <c r="Q454" s="33">
        <f>$J454*(1+$K454)^(1-1)*(1-$L454)*(1-$M454)</f>
        <v/>
      </c>
      <c r="R454" s="33">
        <f>$J454*(1+$K454)^(2-1)*(1-$L454)*(1-$M454)</f>
        <v/>
      </c>
      <c r="S454" s="33">
        <f>$J454*(1+$K454)^(3-1)*(1-$L454)*(1-$M454)</f>
        <v/>
      </c>
      <c r="T454" s="33">
        <f>$J454*(1+$K454)^(4-1)*(1-$L454)*(1-$M454)</f>
        <v/>
      </c>
      <c r="U454" s="33">
        <f>$J454*(1+$K454)^(5-1)*(1-$L454)*(1-$M454)+$O454</f>
        <v/>
      </c>
      <c r="V454" s="33">
        <f>P454+NPV($N454,Q454:U454)</f>
        <v/>
      </c>
      <c r="W454" s="32">
        <f>IFERROR(IRR(P454:U454,0.1),"")</f>
        <v/>
      </c>
    </row>
    <row r="455">
      <c r="A455" s="14" t="n">
        <v>451</v>
      </c>
      <c r="B455" s="30">
        <f>RAND()*(1-2E-6)+1E-6</f>
        <v/>
      </c>
      <c r="C455" s="30">
        <f>RAND()*(1-2E-6)+1E-6</f>
        <v/>
      </c>
      <c r="D455" s="30">
        <f>RAND()*(1-2E-6)+1E-6</f>
        <v/>
      </c>
      <c r="E455" s="30">
        <f>RAND()*(1-2E-6)+1E-6</f>
        <v/>
      </c>
      <c r="F455" s="30">
        <f>RAND()*(1-2E-6)+1E-6</f>
        <v/>
      </c>
      <c r="G455" s="30">
        <f>RAND()*(1-2E-6)+1E-6</f>
        <v/>
      </c>
      <c r="H455" s="30">
        <f>RAND()*(1-2E-6)+1E-6</f>
        <v/>
      </c>
      <c r="I455" s="31">
        <f>MIN(IF(Supuestos!$H$5="",1E+99,Supuestos!$H$5),MAX(IF(Supuestos!$G$5="",-1E+99,Supuestos!$G$5),IF(Supuestos!$C$5="Normal",NORMINV(B455,Supuestos!$D$5,Supuestos!$E$5),IF(Supuestos!$C$5="Triangular",IF(B455&lt;(Supuestos!$E$5-Supuestos!$D$5)/(Supuestos!$F$5-Supuestos!$D$5),Supuestos!$D$5+SQRT(B455*(Supuestos!$F$5-Supuestos!$D$5)*(Supuestos!$E$5-Supuestos!$D$5)),Supuestos!$F$5-SQRT((1-B455)*(Supuestos!$F$5-Supuestos!$D$5)*(Supuestos!$F$5-Supuestos!$E$5))),IF(Supuestos!$C$5="Uniforme",Supuestos!$D$5+B455*(Supuestos!$E$5-Supuestos!$D$5),IF(Supuestos!$C$5="Lognormal",LOGINV(B455,LN(Supuestos!$D$5)-LN(1+Supuestos!$E$5^2/Supuestos!$D$5^2)/2,SQRT(LN(1+Supuestos!$E$5^2/Supuestos!$D$5^2))),Supuestos!$D$5))))))</f>
        <v/>
      </c>
      <c r="J455" s="31">
        <f>MIN(IF(Supuestos!$H$6="",1E+99,Supuestos!$H$6),MAX(IF(Supuestos!$G$6="",-1E+99,Supuestos!$G$6),IF(Supuestos!$C$6="Normal",NORMINV(C455,Supuestos!$D$6,Supuestos!$E$6),IF(Supuestos!$C$6="Triangular",IF(C455&lt;(Supuestos!$E$6-Supuestos!$D$6)/(Supuestos!$F$6-Supuestos!$D$6),Supuestos!$D$6+SQRT(C455*(Supuestos!$F$6-Supuestos!$D$6)*(Supuestos!$E$6-Supuestos!$D$6)),Supuestos!$F$6-SQRT((1-C455)*(Supuestos!$F$6-Supuestos!$D$6)*(Supuestos!$F$6-Supuestos!$E$6))),IF(Supuestos!$C$6="Uniforme",Supuestos!$D$6+C455*(Supuestos!$E$6-Supuestos!$D$6),IF(Supuestos!$C$6="Lognormal",LOGINV(C455,LN(Supuestos!$D$6)-LN(1+Supuestos!$E$6^2/Supuestos!$D$6^2)/2,SQRT(LN(1+Supuestos!$E$6^2/Supuestos!$D$6^2))),Supuestos!$D$6))))))</f>
        <v/>
      </c>
      <c r="K455" s="32">
        <f>MIN(IF(Supuestos!$H$7="",1E+99,Supuestos!$H$7),MAX(IF(Supuestos!$G$7="",-1E+99,Supuestos!$G$7),IF(Supuestos!$C$7="Normal",NORMINV(D455,Supuestos!$D$7,Supuestos!$E$7),IF(Supuestos!$C$7="Triangular",IF(D455&lt;(Supuestos!$E$7-Supuestos!$D$7)/(Supuestos!$F$7-Supuestos!$D$7),Supuestos!$D$7+SQRT(D455*(Supuestos!$F$7-Supuestos!$D$7)*(Supuestos!$E$7-Supuestos!$D$7)),Supuestos!$F$7-SQRT((1-D455)*(Supuestos!$F$7-Supuestos!$D$7)*(Supuestos!$F$7-Supuestos!$E$7))),IF(Supuestos!$C$7="Uniforme",Supuestos!$D$7+D455*(Supuestos!$E$7-Supuestos!$D$7),IF(Supuestos!$C$7="Lognormal",LOGINV(D455,LN(Supuestos!$D$7)-LN(1+Supuestos!$E$7^2/Supuestos!$D$7^2)/2,SQRT(LN(1+Supuestos!$E$7^2/Supuestos!$D$7^2))),Supuestos!$D$7))))))</f>
        <v/>
      </c>
      <c r="L455" s="32">
        <f>MIN(IF(Supuestos!$H$8="",1E+99,Supuestos!$H$8),MAX(IF(Supuestos!$G$8="",-1E+99,Supuestos!$G$8),IF(Supuestos!$C$8="Normal",NORMINV(E455,Supuestos!$D$8,Supuestos!$E$8),IF(Supuestos!$C$8="Triangular",IF(E455&lt;(Supuestos!$E$8-Supuestos!$D$8)/(Supuestos!$F$8-Supuestos!$D$8),Supuestos!$D$8+SQRT(E455*(Supuestos!$F$8-Supuestos!$D$8)*(Supuestos!$E$8-Supuestos!$D$8)),Supuestos!$F$8-SQRT((1-E455)*(Supuestos!$F$8-Supuestos!$D$8)*(Supuestos!$F$8-Supuestos!$E$8))),IF(Supuestos!$C$8="Uniforme",Supuestos!$D$8+E455*(Supuestos!$E$8-Supuestos!$D$8),IF(Supuestos!$C$8="Lognormal",LOGINV(E455,LN(Supuestos!$D$8)-LN(1+Supuestos!$E$8^2/Supuestos!$D$8^2)/2,SQRT(LN(1+Supuestos!$E$8^2/Supuestos!$D$8^2))),Supuestos!$D$8))))))</f>
        <v/>
      </c>
      <c r="M455" s="32">
        <f>MIN(IF(Supuestos!$H$9="",1E+99,Supuestos!$H$9),MAX(IF(Supuestos!$G$9="",-1E+99,Supuestos!$G$9),IF(Supuestos!$C$9="Normal",NORMINV(F455,Supuestos!$D$9,Supuestos!$E$9),IF(Supuestos!$C$9="Triangular",IF(F455&lt;(Supuestos!$E$9-Supuestos!$D$9)/(Supuestos!$F$9-Supuestos!$D$9),Supuestos!$D$9+SQRT(F455*(Supuestos!$F$9-Supuestos!$D$9)*(Supuestos!$E$9-Supuestos!$D$9)),Supuestos!$F$9-SQRT((1-F455)*(Supuestos!$F$9-Supuestos!$D$9)*(Supuestos!$F$9-Supuestos!$E$9))),IF(Supuestos!$C$9="Uniforme",Supuestos!$D$9+F455*(Supuestos!$E$9-Supuestos!$D$9),IF(Supuestos!$C$9="Lognormal",LOGINV(F455,LN(Supuestos!$D$9)-LN(1+Supuestos!$E$9^2/Supuestos!$D$9^2)/2,SQRT(LN(1+Supuestos!$E$9^2/Supuestos!$D$9^2))),Supuestos!$D$9))))))</f>
        <v/>
      </c>
      <c r="N455" s="32">
        <f>MIN(IF(Supuestos!$H$10="",1E+99,Supuestos!$H$10),MAX(IF(Supuestos!$G$10="",-1E+99,Supuestos!$G$10),IF(Supuestos!$C$10="Normal",NORMINV(G455,Supuestos!$D$10,Supuestos!$E$10),IF(Supuestos!$C$10="Triangular",IF(G455&lt;(Supuestos!$E$10-Supuestos!$D$10)/(Supuestos!$F$10-Supuestos!$D$10),Supuestos!$D$10+SQRT(G455*(Supuestos!$F$10-Supuestos!$D$10)*(Supuestos!$E$10-Supuestos!$D$10)),Supuestos!$F$10-SQRT((1-G455)*(Supuestos!$F$10-Supuestos!$D$10)*(Supuestos!$F$10-Supuestos!$E$10))),IF(Supuestos!$C$10="Uniforme",Supuestos!$D$10+G455*(Supuestos!$E$10-Supuestos!$D$10),IF(Supuestos!$C$10="Lognormal",LOGINV(G455,LN(Supuestos!$D$10)-LN(1+Supuestos!$E$10^2/Supuestos!$D$10^2)/2,SQRT(LN(1+Supuestos!$E$10^2/Supuestos!$D$10^2))),Supuestos!$D$10))))))</f>
        <v/>
      </c>
      <c r="O455" s="31">
        <f>MIN(IF(Supuestos!$H$11="",1E+99,Supuestos!$H$11),MAX(IF(Supuestos!$G$11="",-1E+99,Supuestos!$G$11),IF(Supuestos!$C$11="Normal",NORMINV(H455,Supuestos!$D$11,Supuestos!$E$11),IF(Supuestos!$C$11="Triangular",IF(H455&lt;(Supuestos!$E$11-Supuestos!$D$11)/(Supuestos!$F$11-Supuestos!$D$11),Supuestos!$D$11+SQRT(H455*(Supuestos!$F$11-Supuestos!$D$11)*(Supuestos!$E$11-Supuestos!$D$11)),Supuestos!$F$11-SQRT((1-H455)*(Supuestos!$F$11-Supuestos!$D$11)*(Supuestos!$F$11-Supuestos!$E$11))),IF(Supuestos!$C$11="Uniforme",Supuestos!$D$11+H455*(Supuestos!$E$11-Supuestos!$D$11),IF(Supuestos!$C$11="Lognormal",LOGINV(H455,LN(Supuestos!$D$11)-LN(1+Supuestos!$E$11^2/Supuestos!$D$11^2)/2,SQRT(LN(1+Supuestos!$E$11^2/Supuestos!$D$11^2))),Supuestos!$D$11))))))</f>
        <v/>
      </c>
      <c r="P455" s="33">
        <f>-I455</f>
        <v/>
      </c>
      <c r="Q455" s="33">
        <f>$J455*(1+$K455)^(1-1)*(1-$L455)*(1-$M455)</f>
        <v/>
      </c>
      <c r="R455" s="33">
        <f>$J455*(1+$K455)^(2-1)*(1-$L455)*(1-$M455)</f>
        <v/>
      </c>
      <c r="S455" s="33">
        <f>$J455*(1+$K455)^(3-1)*(1-$L455)*(1-$M455)</f>
        <v/>
      </c>
      <c r="T455" s="33">
        <f>$J455*(1+$K455)^(4-1)*(1-$L455)*(1-$M455)</f>
        <v/>
      </c>
      <c r="U455" s="33">
        <f>$J455*(1+$K455)^(5-1)*(1-$L455)*(1-$M455)+$O455</f>
        <v/>
      </c>
      <c r="V455" s="33">
        <f>P455+NPV($N455,Q455:U455)</f>
        <v/>
      </c>
      <c r="W455" s="32">
        <f>IFERROR(IRR(P455:U455,0.1),"")</f>
        <v/>
      </c>
    </row>
    <row r="456">
      <c r="A456" s="14" t="n">
        <v>452</v>
      </c>
      <c r="B456" s="30">
        <f>RAND()*(1-2E-6)+1E-6</f>
        <v/>
      </c>
      <c r="C456" s="30">
        <f>RAND()*(1-2E-6)+1E-6</f>
        <v/>
      </c>
      <c r="D456" s="30">
        <f>RAND()*(1-2E-6)+1E-6</f>
        <v/>
      </c>
      <c r="E456" s="30">
        <f>RAND()*(1-2E-6)+1E-6</f>
        <v/>
      </c>
      <c r="F456" s="30">
        <f>RAND()*(1-2E-6)+1E-6</f>
        <v/>
      </c>
      <c r="G456" s="30">
        <f>RAND()*(1-2E-6)+1E-6</f>
        <v/>
      </c>
      <c r="H456" s="30">
        <f>RAND()*(1-2E-6)+1E-6</f>
        <v/>
      </c>
      <c r="I456" s="31">
        <f>MIN(IF(Supuestos!$H$5="",1E+99,Supuestos!$H$5),MAX(IF(Supuestos!$G$5="",-1E+99,Supuestos!$G$5),IF(Supuestos!$C$5="Normal",NORMINV(B456,Supuestos!$D$5,Supuestos!$E$5),IF(Supuestos!$C$5="Triangular",IF(B456&lt;(Supuestos!$E$5-Supuestos!$D$5)/(Supuestos!$F$5-Supuestos!$D$5),Supuestos!$D$5+SQRT(B456*(Supuestos!$F$5-Supuestos!$D$5)*(Supuestos!$E$5-Supuestos!$D$5)),Supuestos!$F$5-SQRT((1-B456)*(Supuestos!$F$5-Supuestos!$D$5)*(Supuestos!$F$5-Supuestos!$E$5))),IF(Supuestos!$C$5="Uniforme",Supuestos!$D$5+B456*(Supuestos!$E$5-Supuestos!$D$5),IF(Supuestos!$C$5="Lognormal",LOGINV(B456,LN(Supuestos!$D$5)-LN(1+Supuestos!$E$5^2/Supuestos!$D$5^2)/2,SQRT(LN(1+Supuestos!$E$5^2/Supuestos!$D$5^2))),Supuestos!$D$5))))))</f>
        <v/>
      </c>
      <c r="J456" s="31">
        <f>MIN(IF(Supuestos!$H$6="",1E+99,Supuestos!$H$6),MAX(IF(Supuestos!$G$6="",-1E+99,Supuestos!$G$6),IF(Supuestos!$C$6="Normal",NORMINV(C456,Supuestos!$D$6,Supuestos!$E$6),IF(Supuestos!$C$6="Triangular",IF(C456&lt;(Supuestos!$E$6-Supuestos!$D$6)/(Supuestos!$F$6-Supuestos!$D$6),Supuestos!$D$6+SQRT(C456*(Supuestos!$F$6-Supuestos!$D$6)*(Supuestos!$E$6-Supuestos!$D$6)),Supuestos!$F$6-SQRT((1-C456)*(Supuestos!$F$6-Supuestos!$D$6)*(Supuestos!$F$6-Supuestos!$E$6))),IF(Supuestos!$C$6="Uniforme",Supuestos!$D$6+C456*(Supuestos!$E$6-Supuestos!$D$6),IF(Supuestos!$C$6="Lognormal",LOGINV(C456,LN(Supuestos!$D$6)-LN(1+Supuestos!$E$6^2/Supuestos!$D$6^2)/2,SQRT(LN(1+Supuestos!$E$6^2/Supuestos!$D$6^2))),Supuestos!$D$6))))))</f>
        <v/>
      </c>
      <c r="K456" s="32">
        <f>MIN(IF(Supuestos!$H$7="",1E+99,Supuestos!$H$7),MAX(IF(Supuestos!$G$7="",-1E+99,Supuestos!$G$7),IF(Supuestos!$C$7="Normal",NORMINV(D456,Supuestos!$D$7,Supuestos!$E$7),IF(Supuestos!$C$7="Triangular",IF(D456&lt;(Supuestos!$E$7-Supuestos!$D$7)/(Supuestos!$F$7-Supuestos!$D$7),Supuestos!$D$7+SQRT(D456*(Supuestos!$F$7-Supuestos!$D$7)*(Supuestos!$E$7-Supuestos!$D$7)),Supuestos!$F$7-SQRT((1-D456)*(Supuestos!$F$7-Supuestos!$D$7)*(Supuestos!$F$7-Supuestos!$E$7))),IF(Supuestos!$C$7="Uniforme",Supuestos!$D$7+D456*(Supuestos!$E$7-Supuestos!$D$7),IF(Supuestos!$C$7="Lognormal",LOGINV(D456,LN(Supuestos!$D$7)-LN(1+Supuestos!$E$7^2/Supuestos!$D$7^2)/2,SQRT(LN(1+Supuestos!$E$7^2/Supuestos!$D$7^2))),Supuestos!$D$7))))))</f>
        <v/>
      </c>
      <c r="L456" s="32">
        <f>MIN(IF(Supuestos!$H$8="",1E+99,Supuestos!$H$8),MAX(IF(Supuestos!$G$8="",-1E+99,Supuestos!$G$8),IF(Supuestos!$C$8="Normal",NORMINV(E456,Supuestos!$D$8,Supuestos!$E$8),IF(Supuestos!$C$8="Triangular",IF(E456&lt;(Supuestos!$E$8-Supuestos!$D$8)/(Supuestos!$F$8-Supuestos!$D$8),Supuestos!$D$8+SQRT(E456*(Supuestos!$F$8-Supuestos!$D$8)*(Supuestos!$E$8-Supuestos!$D$8)),Supuestos!$F$8-SQRT((1-E456)*(Supuestos!$F$8-Supuestos!$D$8)*(Supuestos!$F$8-Supuestos!$E$8))),IF(Supuestos!$C$8="Uniforme",Supuestos!$D$8+E456*(Supuestos!$E$8-Supuestos!$D$8),IF(Supuestos!$C$8="Lognormal",LOGINV(E456,LN(Supuestos!$D$8)-LN(1+Supuestos!$E$8^2/Supuestos!$D$8^2)/2,SQRT(LN(1+Supuestos!$E$8^2/Supuestos!$D$8^2))),Supuestos!$D$8))))))</f>
        <v/>
      </c>
      <c r="M456" s="32">
        <f>MIN(IF(Supuestos!$H$9="",1E+99,Supuestos!$H$9),MAX(IF(Supuestos!$G$9="",-1E+99,Supuestos!$G$9),IF(Supuestos!$C$9="Normal",NORMINV(F456,Supuestos!$D$9,Supuestos!$E$9),IF(Supuestos!$C$9="Triangular",IF(F456&lt;(Supuestos!$E$9-Supuestos!$D$9)/(Supuestos!$F$9-Supuestos!$D$9),Supuestos!$D$9+SQRT(F456*(Supuestos!$F$9-Supuestos!$D$9)*(Supuestos!$E$9-Supuestos!$D$9)),Supuestos!$F$9-SQRT((1-F456)*(Supuestos!$F$9-Supuestos!$D$9)*(Supuestos!$F$9-Supuestos!$E$9))),IF(Supuestos!$C$9="Uniforme",Supuestos!$D$9+F456*(Supuestos!$E$9-Supuestos!$D$9),IF(Supuestos!$C$9="Lognormal",LOGINV(F456,LN(Supuestos!$D$9)-LN(1+Supuestos!$E$9^2/Supuestos!$D$9^2)/2,SQRT(LN(1+Supuestos!$E$9^2/Supuestos!$D$9^2))),Supuestos!$D$9))))))</f>
        <v/>
      </c>
      <c r="N456" s="32">
        <f>MIN(IF(Supuestos!$H$10="",1E+99,Supuestos!$H$10),MAX(IF(Supuestos!$G$10="",-1E+99,Supuestos!$G$10),IF(Supuestos!$C$10="Normal",NORMINV(G456,Supuestos!$D$10,Supuestos!$E$10),IF(Supuestos!$C$10="Triangular",IF(G456&lt;(Supuestos!$E$10-Supuestos!$D$10)/(Supuestos!$F$10-Supuestos!$D$10),Supuestos!$D$10+SQRT(G456*(Supuestos!$F$10-Supuestos!$D$10)*(Supuestos!$E$10-Supuestos!$D$10)),Supuestos!$F$10-SQRT((1-G456)*(Supuestos!$F$10-Supuestos!$D$10)*(Supuestos!$F$10-Supuestos!$E$10))),IF(Supuestos!$C$10="Uniforme",Supuestos!$D$10+G456*(Supuestos!$E$10-Supuestos!$D$10),IF(Supuestos!$C$10="Lognormal",LOGINV(G456,LN(Supuestos!$D$10)-LN(1+Supuestos!$E$10^2/Supuestos!$D$10^2)/2,SQRT(LN(1+Supuestos!$E$10^2/Supuestos!$D$10^2))),Supuestos!$D$10))))))</f>
        <v/>
      </c>
      <c r="O456" s="31">
        <f>MIN(IF(Supuestos!$H$11="",1E+99,Supuestos!$H$11),MAX(IF(Supuestos!$G$11="",-1E+99,Supuestos!$G$11),IF(Supuestos!$C$11="Normal",NORMINV(H456,Supuestos!$D$11,Supuestos!$E$11),IF(Supuestos!$C$11="Triangular",IF(H456&lt;(Supuestos!$E$11-Supuestos!$D$11)/(Supuestos!$F$11-Supuestos!$D$11),Supuestos!$D$11+SQRT(H456*(Supuestos!$F$11-Supuestos!$D$11)*(Supuestos!$E$11-Supuestos!$D$11)),Supuestos!$F$11-SQRT((1-H456)*(Supuestos!$F$11-Supuestos!$D$11)*(Supuestos!$F$11-Supuestos!$E$11))),IF(Supuestos!$C$11="Uniforme",Supuestos!$D$11+H456*(Supuestos!$E$11-Supuestos!$D$11),IF(Supuestos!$C$11="Lognormal",LOGINV(H456,LN(Supuestos!$D$11)-LN(1+Supuestos!$E$11^2/Supuestos!$D$11^2)/2,SQRT(LN(1+Supuestos!$E$11^2/Supuestos!$D$11^2))),Supuestos!$D$11))))))</f>
        <v/>
      </c>
      <c r="P456" s="33">
        <f>-I456</f>
        <v/>
      </c>
      <c r="Q456" s="33">
        <f>$J456*(1+$K456)^(1-1)*(1-$L456)*(1-$M456)</f>
        <v/>
      </c>
      <c r="R456" s="33">
        <f>$J456*(1+$K456)^(2-1)*(1-$L456)*(1-$M456)</f>
        <v/>
      </c>
      <c r="S456" s="33">
        <f>$J456*(1+$K456)^(3-1)*(1-$L456)*(1-$M456)</f>
        <v/>
      </c>
      <c r="T456" s="33">
        <f>$J456*(1+$K456)^(4-1)*(1-$L456)*(1-$M456)</f>
        <v/>
      </c>
      <c r="U456" s="33">
        <f>$J456*(1+$K456)^(5-1)*(1-$L456)*(1-$M456)+$O456</f>
        <v/>
      </c>
      <c r="V456" s="33">
        <f>P456+NPV($N456,Q456:U456)</f>
        <v/>
      </c>
      <c r="W456" s="32">
        <f>IFERROR(IRR(P456:U456,0.1),"")</f>
        <v/>
      </c>
    </row>
    <row r="457">
      <c r="A457" s="14" t="n">
        <v>453</v>
      </c>
      <c r="B457" s="30">
        <f>RAND()*(1-2E-6)+1E-6</f>
        <v/>
      </c>
      <c r="C457" s="30">
        <f>RAND()*(1-2E-6)+1E-6</f>
        <v/>
      </c>
      <c r="D457" s="30">
        <f>RAND()*(1-2E-6)+1E-6</f>
        <v/>
      </c>
      <c r="E457" s="30">
        <f>RAND()*(1-2E-6)+1E-6</f>
        <v/>
      </c>
      <c r="F457" s="30">
        <f>RAND()*(1-2E-6)+1E-6</f>
        <v/>
      </c>
      <c r="G457" s="30">
        <f>RAND()*(1-2E-6)+1E-6</f>
        <v/>
      </c>
      <c r="H457" s="30">
        <f>RAND()*(1-2E-6)+1E-6</f>
        <v/>
      </c>
      <c r="I457" s="31">
        <f>MIN(IF(Supuestos!$H$5="",1E+99,Supuestos!$H$5),MAX(IF(Supuestos!$G$5="",-1E+99,Supuestos!$G$5),IF(Supuestos!$C$5="Normal",NORMINV(B457,Supuestos!$D$5,Supuestos!$E$5),IF(Supuestos!$C$5="Triangular",IF(B457&lt;(Supuestos!$E$5-Supuestos!$D$5)/(Supuestos!$F$5-Supuestos!$D$5),Supuestos!$D$5+SQRT(B457*(Supuestos!$F$5-Supuestos!$D$5)*(Supuestos!$E$5-Supuestos!$D$5)),Supuestos!$F$5-SQRT((1-B457)*(Supuestos!$F$5-Supuestos!$D$5)*(Supuestos!$F$5-Supuestos!$E$5))),IF(Supuestos!$C$5="Uniforme",Supuestos!$D$5+B457*(Supuestos!$E$5-Supuestos!$D$5),IF(Supuestos!$C$5="Lognormal",LOGINV(B457,LN(Supuestos!$D$5)-LN(1+Supuestos!$E$5^2/Supuestos!$D$5^2)/2,SQRT(LN(1+Supuestos!$E$5^2/Supuestos!$D$5^2))),Supuestos!$D$5))))))</f>
        <v/>
      </c>
      <c r="J457" s="31">
        <f>MIN(IF(Supuestos!$H$6="",1E+99,Supuestos!$H$6),MAX(IF(Supuestos!$G$6="",-1E+99,Supuestos!$G$6),IF(Supuestos!$C$6="Normal",NORMINV(C457,Supuestos!$D$6,Supuestos!$E$6),IF(Supuestos!$C$6="Triangular",IF(C457&lt;(Supuestos!$E$6-Supuestos!$D$6)/(Supuestos!$F$6-Supuestos!$D$6),Supuestos!$D$6+SQRT(C457*(Supuestos!$F$6-Supuestos!$D$6)*(Supuestos!$E$6-Supuestos!$D$6)),Supuestos!$F$6-SQRT((1-C457)*(Supuestos!$F$6-Supuestos!$D$6)*(Supuestos!$F$6-Supuestos!$E$6))),IF(Supuestos!$C$6="Uniforme",Supuestos!$D$6+C457*(Supuestos!$E$6-Supuestos!$D$6),IF(Supuestos!$C$6="Lognormal",LOGINV(C457,LN(Supuestos!$D$6)-LN(1+Supuestos!$E$6^2/Supuestos!$D$6^2)/2,SQRT(LN(1+Supuestos!$E$6^2/Supuestos!$D$6^2))),Supuestos!$D$6))))))</f>
        <v/>
      </c>
      <c r="K457" s="32">
        <f>MIN(IF(Supuestos!$H$7="",1E+99,Supuestos!$H$7),MAX(IF(Supuestos!$G$7="",-1E+99,Supuestos!$G$7),IF(Supuestos!$C$7="Normal",NORMINV(D457,Supuestos!$D$7,Supuestos!$E$7),IF(Supuestos!$C$7="Triangular",IF(D457&lt;(Supuestos!$E$7-Supuestos!$D$7)/(Supuestos!$F$7-Supuestos!$D$7),Supuestos!$D$7+SQRT(D457*(Supuestos!$F$7-Supuestos!$D$7)*(Supuestos!$E$7-Supuestos!$D$7)),Supuestos!$F$7-SQRT((1-D457)*(Supuestos!$F$7-Supuestos!$D$7)*(Supuestos!$F$7-Supuestos!$E$7))),IF(Supuestos!$C$7="Uniforme",Supuestos!$D$7+D457*(Supuestos!$E$7-Supuestos!$D$7),IF(Supuestos!$C$7="Lognormal",LOGINV(D457,LN(Supuestos!$D$7)-LN(1+Supuestos!$E$7^2/Supuestos!$D$7^2)/2,SQRT(LN(1+Supuestos!$E$7^2/Supuestos!$D$7^2))),Supuestos!$D$7))))))</f>
        <v/>
      </c>
      <c r="L457" s="32">
        <f>MIN(IF(Supuestos!$H$8="",1E+99,Supuestos!$H$8),MAX(IF(Supuestos!$G$8="",-1E+99,Supuestos!$G$8),IF(Supuestos!$C$8="Normal",NORMINV(E457,Supuestos!$D$8,Supuestos!$E$8),IF(Supuestos!$C$8="Triangular",IF(E457&lt;(Supuestos!$E$8-Supuestos!$D$8)/(Supuestos!$F$8-Supuestos!$D$8),Supuestos!$D$8+SQRT(E457*(Supuestos!$F$8-Supuestos!$D$8)*(Supuestos!$E$8-Supuestos!$D$8)),Supuestos!$F$8-SQRT((1-E457)*(Supuestos!$F$8-Supuestos!$D$8)*(Supuestos!$F$8-Supuestos!$E$8))),IF(Supuestos!$C$8="Uniforme",Supuestos!$D$8+E457*(Supuestos!$E$8-Supuestos!$D$8),IF(Supuestos!$C$8="Lognormal",LOGINV(E457,LN(Supuestos!$D$8)-LN(1+Supuestos!$E$8^2/Supuestos!$D$8^2)/2,SQRT(LN(1+Supuestos!$E$8^2/Supuestos!$D$8^2))),Supuestos!$D$8))))))</f>
        <v/>
      </c>
      <c r="M457" s="32">
        <f>MIN(IF(Supuestos!$H$9="",1E+99,Supuestos!$H$9),MAX(IF(Supuestos!$G$9="",-1E+99,Supuestos!$G$9),IF(Supuestos!$C$9="Normal",NORMINV(F457,Supuestos!$D$9,Supuestos!$E$9),IF(Supuestos!$C$9="Triangular",IF(F457&lt;(Supuestos!$E$9-Supuestos!$D$9)/(Supuestos!$F$9-Supuestos!$D$9),Supuestos!$D$9+SQRT(F457*(Supuestos!$F$9-Supuestos!$D$9)*(Supuestos!$E$9-Supuestos!$D$9)),Supuestos!$F$9-SQRT((1-F457)*(Supuestos!$F$9-Supuestos!$D$9)*(Supuestos!$F$9-Supuestos!$E$9))),IF(Supuestos!$C$9="Uniforme",Supuestos!$D$9+F457*(Supuestos!$E$9-Supuestos!$D$9),IF(Supuestos!$C$9="Lognormal",LOGINV(F457,LN(Supuestos!$D$9)-LN(1+Supuestos!$E$9^2/Supuestos!$D$9^2)/2,SQRT(LN(1+Supuestos!$E$9^2/Supuestos!$D$9^2))),Supuestos!$D$9))))))</f>
        <v/>
      </c>
      <c r="N457" s="32">
        <f>MIN(IF(Supuestos!$H$10="",1E+99,Supuestos!$H$10),MAX(IF(Supuestos!$G$10="",-1E+99,Supuestos!$G$10),IF(Supuestos!$C$10="Normal",NORMINV(G457,Supuestos!$D$10,Supuestos!$E$10),IF(Supuestos!$C$10="Triangular",IF(G457&lt;(Supuestos!$E$10-Supuestos!$D$10)/(Supuestos!$F$10-Supuestos!$D$10),Supuestos!$D$10+SQRT(G457*(Supuestos!$F$10-Supuestos!$D$10)*(Supuestos!$E$10-Supuestos!$D$10)),Supuestos!$F$10-SQRT((1-G457)*(Supuestos!$F$10-Supuestos!$D$10)*(Supuestos!$F$10-Supuestos!$E$10))),IF(Supuestos!$C$10="Uniforme",Supuestos!$D$10+G457*(Supuestos!$E$10-Supuestos!$D$10),IF(Supuestos!$C$10="Lognormal",LOGINV(G457,LN(Supuestos!$D$10)-LN(1+Supuestos!$E$10^2/Supuestos!$D$10^2)/2,SQRT(LN(1+Supuestos!$E$10^2/Supuestos!$D$10^2))),Supuestos!$D$10))))))</f>
        <v/>
      </c>
      <c r="O457" s="31">
        <f>MIN(IF(Supuestos!$H$11="",1E+99,Supuestos!$H$11),MAX(IF(Supuestos!$G$11="",-1E+99,Supuestos!$G$11),IF(Supuestos!$C$11="Normal",NORMINV(H457,Supuestos!$D$11,Supuestos!$E$11),IF(Supuestos!$C$11="Triangular",IF(H457&lt;(Supuestos!$E$11-Supuestos!$D$11)/(Supuestos!$F$11-Supuestos!$D$11),Supuestos!$D$11+SQRT(H457*(Supuestos!$F$11-Supuestos!$D$11)*(Supuestos!$E$11-Supuestos!$D$11)),Supuestos!$F$11-SQRT((1-H457)*(Supuestos!$F$11-Supuestos!$D$11)*(Supuestos!$F$11-Supuestos!$E$11))),IF(Supuestos!$C$11="Uniforme",Supuestos!$D$11+H457*(Supuestos!$E$11-Supuestos!$D$11),IF(Supuestos!$C$11="Lognormal",LOGINV(H457,LN(Supuestos!$D$11)-LN(1+Supuestos!$E$11^2/Supuestos!$D$11^2)/2,SQRT(LN(1+Supuestos!$E$11^2/Supuestos!$D$11^2))),Supuestos!$D$11))))))</f>
        <v/>
      </c>
      <c r="P457" s="33">
        <f>-I457</f>
        <v/>
      </c>
      <c r="Q457" s="33">
        <f>$J457*(1+$K457)^(1-1)*(1-$L457)*(1-$M457)</f>
        <v/>
      </c>
      <c r="R457" s="33">
        <f>$J457*(1+$K457)^(2-1)*(1-$L457)*(1-$M457)</f>
        <v/>
      </c>
      <c r="S457" s="33">
        <f>$J457*(1+$K457)^(3-1)*(1-$L457)*(1-$M457)</f>
        <v/>
      </c>
      <c r="T457" s="33">
        <f>$J457*(1+$K457)^(4-1)*(1-$L457)*(1-$M457)</f>
        <v/>
      </c>
      <c r="U457" s="33">
        <f>$J457*(1+$K457)^(5-1)*(1-$L457)*(1-$M457)+$O457</f>
        <v/>
      </c>
      <c r="V457" s="33">
        <f>P457+NPV($N457,Q457:U457)</f>
        <v/>
      </c>
      <c r="W457" s="32">
        <f>IFERROR(IRR(P457:U457,0.1),"")</f>
        <v/>
      </c>
    </row>
    <row r="458">
      <c r="A458" s="14" t="n">
        <v>454</v>
      </c>
      <c r="B458" s="30">
        <f>RAND()*(1-2E-6)+1E-6</f>
        <v/>
      </c>
      <c r="C458" s="30">
        <f>RAND()*(1-2E-6)+1E-6</f>
        <v/>
      </c>
      <c r="D458" s="30">
        <f>RAND()*(1-2E-6)+1E-6</f>
        <v/>
      </c>
      <c r="E458" s="30">
        <f>RAND()*(1-2E-6)+1E-6</f>
        <v/>
      </c>
      <c r="F458" s="30">
        <f>RAND()*(1-2E-6)+1E-6</f>
        <v/>
      </c>
      <c r="G458" s="30">
        <f>RAND()*(1-2E-6)+1E-6</f>
        <v/>
      </c>
      <c r="H458" s="30">
        <f>RAND()*(1-2E-6)+1E-6</f>
        <v/>
      </c>
      <c r="I458" s="31">
        <f>MIN(IF(Supuestos!$H$5="",1E+99,Supuestos!$H$5),MAX(IF(Supuestos!$G$5="",-1E+99,Supuestos!$G$5),IF(Supuestos!$C$5="Normal",NORMINV(B458,Supuestos!$D$5,Supuestos!$E$5),IF(Supuestos!$C$5="Triangular",IF(B458&lt;(Supuestos!$E$5-Supuestos!$D$5)/(Supuestos!$F$5-Supuestos!$D$5),Supuestos!$D$5+SQRT(B458*(Supuestos!$F$5-Supuestos!$D$5)*(Supuestos!$E$5-Supuestos!$D$5)),Supuestos!$F$5-SQRT((1-B458)*(Supuestos!$F$5-Supuestos!$D$5)*(Supuestos!$F$5-Supuestos!$E$5))),IF(Supuestos!$C$5="Uniforme",Supuestos!$D$5+B458*(Supuestos!$E$5-Supuestos!$D$5),IF(Supuestos!$C$5="Lognormal",LOGINV(B458,LN(Supuestos!$D$5)-LN(1+Supuestos!$E$5^2/Supuestos!$D$5^2)/2,SQRT(LN(1+Supuestos!$E$5^2/Supuestos!$D$5^2))),Supuestos!$D$5))))))</f>
        <v/>
      </c>
      <c r="J458" s="31">
        <f>MIN(IF(Supuestos!$H$6="",1E+99,Supuestos!$H$6),MAX(IF(Supuestos!$G$6="",-1E+99,Supuestos!$G$6),IF(Supuestos!$C$6="Normal",NORMINV(C458,Supuestos!$D$6,Supuestos!$E$6),IF(Supuestos!$C$6="Triangular",IF(C458&lt;(Supuestos!$E$6-Supuestos!$D$6)/(Supuestos!$F$6-Supuestos!$D$6),Supuestos!$D$6+SQRT(C458*(Supuestos!$F$6-Supuestos!$D$6)*(Supuestos!$E$6-Supuestos!$D$6)),Supuestos!$F$6-SQRT((1-C458)*(Supuestos!$F$6-Supuestos!$D$6)*(Supuestos!$F$6-Supuestos!$E$6))),IF(Supuestos!$C$6="Uniforme",Supuestos!$D$6+C458*(Supuestos!$E$6-Supuestos!$D$6),IF(Supuestos!$C$6="Lognormal",LOGINV(C458,LN(Supuestos!$D$6)-LN(1+Supuestos!$E$6^2/Supuestos!$D$6^2)/2,SQRT(LN(1+Supuestos!$E$6^2/Supuestos!$D$6^2))),Supuestos!$D$6))))))</f>
        <v/>
      </c>
      <c r="K458" s="32">
        <f>MIN(IF(Supuestos!$H$7="",1E+99,Supuestos!$H$7),MAX(IF(Supuestos!$G$7="",-1E+99,Supuestos!$G$7),IF(Supuestos!$C$7="Normal",NORMINV(D458,Supuestos!$D$7,Supuestos!$E$7),IF(Supuestos!$C$7="Triangular",IF(D458&lt;(Supuestos!$E$7-Supuestos!$D$7)/(Supuestos!$F$7-Supuestos!$D$7),Supuestos!$D$7+SQRT(D458*(Supuestos!$F$7-Supuestos!$D$7)*(Supuestos!$E$7-Supuestos!$D$7)),Supuestos!$F$7-SQRT((1-D458)*(Supuestos!$F$7-Supuestos!$D$7)*(Supuestos!$F$7-Supuestos!$E$7))),IF(Supuestos!$C$7="Uniforme",Supuestos!$D$7+D458*(Supuestos!$E$7-Supuestos!$D$7),IF(Supuestos!$C$7="Lognormal",LOGINV(D458,LN(Supuestos!$D$7)-LN(1+Supuestos!$E$7^2/Supuestos!$D$7^2)/2,SQRT(LN(1+Supuestos!$E$7^2/Supuestos!$D$7^2))),Supuestos!$D$7))))))</f>
        <v/>
      </c>
      <c r="L458" s="32">
        <f>MIN(IF(Supuestos!$H$8="",1E+99,Supuestos!$H$8),MAX(IF(Supuestos!$G$8="",-1E+99,Supuestos!$G$8),IF(Supuestos!$C$8="Normal",NORMINV(E458,Supuestos!$D$8,Supuestos!$E$8),IF(Supuestos!$C$8="Triangular",IF(E458&lt;(Supuestos!$E$8-Supuestos!$D$8)/(Supuestos!$F$8-Supuestos!$D$8),Supuestos!$D$8+SQRT(E458*(Supuestos!$F$8-Supuestos!$D$8)*(Supuestos!$E$8-Supuestos!$D$8)),Supuestos!$F$8-SQRT((1-E458)*(Supuestos!$F$8-Supuestos!$D$8)*(Supuestos!$F$8-Supuestos!$E$8))),IF(Supuestos!$C$8="Uniforme",Supuestos!$D$8+E458*(Supuestos!$E$8-Supuestos!$D$8),IF(Supuestos!$C$8="Lognormal",LOGINV(E458,LN(Supuestos!$D$8)-LN(1+Supuestos!$E$8^2/Supuestos!$D$8^2)/2,SQRT(LN(1+Supuestos!$E$8^2/Supuestos!$D$8^2))),Supuestos!$D$8))))))</f>
        <v/>
      </c>
      <c r="M458" s="32">
        <f>MIN(IF(Supuestos!$H$9="",1E+99,Supuestos!$H$9),MAX(IF(Supuestos!$G$9="",-1E+99,Supuestos!$G$9),IF(Supuestos!$C$9="Normal",NORMINV(F458,Supuestos!$D$9,Supuestos!$E$9),IF(Supuestos!$C$9="Triangular",IF(F458&lt;(Supuestos!$E$9-Supuestos!$D$9)/(Supuestos!$F$9-Supuestos!$D$9),Supuestos!$D$9+SQRT(F458*(Supuestos!$F$9-Supuestos!$D$9)*(Supuestos!$E$9-Supuestos!$D$9)),Supuestos!$F$9-SQRT((1-F458)*(Supuestos!$F$9-Supuestos!$D$9)*(Supuestos!$F$9-Supuestos!$E$9))),IF(Supuestos!$C$9="Uniforme",Supuestos!$D$9+F458*(Supuestos!$E$9-Supuestos!$D$9),IF(Supuestos!$C$9="Lognormal",LOGINV(F458,LN(Supuestos!$D$9)-LN(1+Supuestos!$E$9^2/Supuestos!$D$9^2)/2,SQRT(LN(1+Supuestos!$E$9^2/Supuestos!$D$9^2))),Supuestos!$D$9))))))</f>
        <v/>
      </c>
      <c r="N458" s="32">
        <f>MIN(IF(Supuestos!$H$10="",1E+99,Supuestos!$H$10),MAX(IF(Supuestos!$G$10="",-1E+99,Supuestos!$G$10),IF(Supuestos!$C$10="Normal",NORMINV(G458,Supuestos!$D$10,Supuestos!$E$10),IF(Supuestos!$C$10="Triangular",IF(G458&lt;(Supuestos!$E$10-Supuestos!$D$10)/(Supuestos!$F$10-Supuestos!$D$10),Supuestos!$D$10+SQRT(G458*(Supuestos!$F$10-Supuestos!$D$10)*(Supuestos!$E$10-Supuestos!$D$10)),Supuestos!$F$10-SQRT((1-G458)*(Supuestos!$F$10-Supuestos!$D$10)*(Supuestos!$F$10-Supuestos!$E$10))),IF(Supuestos!$C$10="Uniforme",Supuestos!$D$10+G458*(Supuestos!$E$10-Supuestos!$D$10),IF(Supuestos!$C$10="Lognormal",LOGINV(G458,LN(Supuestos!$D$10)-LN(1+Supuestos!$E$10^2/Supuestos!$D$10^2)/2,SQRT(LN(1+Supuestos!$E$10^2/Supuestos!$D$10^2))),Supuestos!$D$10))))))</f>
        <v/>
      </c>
      <c r="O458" s="31">
        <f>MIN(IF(Supuestos!$H$11="",1E+99,Supuestos!$H$11),MAX(IF(Supuestos!$G$11="",-1E+99,Supuestos!$G$11),IF(Supuestos!$C$11="Normal",NORMINV(H458,Supuestos!$D$11,Supuestos!$E$11),IF(Supuestos!$C$11="Triangular",IF(H458&lt;(Supuestos!$E$11-Supuestos!$D$11)/(Supuestos!$F$11-Supuestos!$D$11),Supuestos!$D$11+SQRT(H458*(Supuestos!$F$11-Supuestos!$D$11)*(Supuestos!$E$11-Supuestos!$D$11)),Supuestos!$F$11-SQRT((1-H458)*(Supuestos!$F$11-Supuestos!$D$11)*(Supuestos!$F$11-Supuestos!$E$11))),IF(Supuestos!$C$11="Uniforme",Supuestos!$D$11+H458*(Supuestos!$E$11-Supuestos!$D$11),IF(Supuestos!$C$11="Lognormal",LOGINV(H458,LN(Supuestos!$D$11)-LN(1+Supuestos!$E$11^2/Supuestos!$D$11^2)/2,SQRT(LN(1+Supuestos!$E$11^2/Supuestos!$D$11^2))),Supuestos!$D$11))))))</f>
        <v/>
      </c>
      <c r="P458" s="33">
        <f>-I458</f>
        <v/>
      </c>
      <c r="Q458" s="33">
        <f>$J458*(1+$K458)^(1-1)*(1-$L458)*(1-$M458)</f>
        <v/>
      </c>
      <c r="R458" s="33">
        <f>$J458*(1+$K458)^(2-1)*(1-$L458)*(1-$M458)</f>
        <v/>
      </c>
      <c r="S458" s="33">
        <f>$J458*(1+$K458)^(3-1)*(1-$L458)*(1-$M458)</f>
        <v/>
      </c>
      <c r="T458" s="33">
        <f>$J458*(1+$K458)^(4-1)*(1-$L458)*(1-$M458)</f>
        <v/>
      </c>
      <c r="U458" s="33">
        <f>$J458*(1+$K458)^(5-1)*(1-$L458)*(1-$M458)+$O458</f>
        <v/>
      </c>
      <c r="V458" s="33">
        <f>P458+NPV($N458,Q458:U458)</f>
        <v/>
      </c>
      <c r="W458" s="32">
        <f>IFERROR(IRR(P458:U458,0.1),"")</f>
        <v/>
      </c>
    </row>
    <row r="459">
      <c r="A459" s="14" t="n">
        <v>455</v>
      </c>
      <c r="B459" s="30">
        <f>RAND()*(1-2E-6)+1E-6</f>
        <v/>
      </c>
      <c r="C459" s="30">
        <f>RAND()*(1-2E-6)+1E-6</f>
        <v/>
      </c>
      <c r="D459" s="30">
        <f>RAND()*(1-2E-6)+1E-6</f>
        <v/>
      </c>
      <c r="E459" s="30">
        <f>RAND()*(1-2E-6)+1E-6</f>
        <v/>
      </c>
      <c r="F459" s="30">
        <f>RAND()*(1-2E-6)+1E-6</f>
        <v/>
      </c>
      <c r="G459" s="30">
        <f>RAND()*(1-2E-6)+1E-6</f>
        <v/>
      </c>
      <c r="H459" s="30">
        <f>RAND()*(1-2E-6)+1E-6</f>
        <v/>
      </c>
      <c r="I459" s="31">
        <f>MIN(IF(Supuestos!$H$5="",1E+99,Supuestos!$H$5),MAX(IF(Supuestos!$G$5="",-1E+99,Supuestos!$G$5),IF(Supuestos!$C$5="Normal",NORMINV(B459,Supuestos!$D$5,Supuestos!$E$5),IF(Supuestos!$C$5="Triangular",IF(B459&lt;(Supuestos!$E$5-Supuestos!$D$5)/(Supuestos!$F$5-Supuestos!$D$5),Supuestos!$D$5+SQRT(B459*(Supuestos!$F$5-Supuestos!$D$5)*(Supuestos!$E$5-Supuestos!$D$5)),Supuestos!$F$5-SQRT((1-B459)*(Supuestos!$F$5-Supuestos!$D$5)*(Supuestos!$F$5-Supuestos!$E$5))),IF(Supuestos!$C$5="Uniforme",Supuestos!$D$5+B459*(Supuestos!$E$5-Supuestos!$D$5),IF(Supuestos!$C$5="Lognormal",LOGINV(B459,LN(Supuestos!$D$5)-LN(1+Supuestos!$E$5^2/Supuestos!$D$5^2)/2,SQRT(LN(1+Supuestos!$E$5^2/Supuestos!$D$5^2))),Supuestos!$D$5))))))</f>
        <v/>
      </c>
      <c r="J459" s="31">
        <f>MIN(IF(Supuestos!$H$6="",1E+99,Supuestos!$H$6),MAX(IF(Supuestos!$G$6="",-1E+99,Supuestos!$G$6),IF(Supuestos!$C$6="Normal",NORMINV(C459,Supuestos!$D$6,Supuestos!$E$6),IF(Supuestos!$C$6="Triangular",IF(C459&lt;(Supuestos!$E$6-Supuestos!$D$6)/(Supuestos!$F$6-Supuestos!$D$6),Supuestos!$D$6+SQRT(C459*(Supuestos!$F$6-Supuestos!$D$6)*(Supuestos!$E$6-Supuestos!$D$6)),Supuestos!$F$6-SQRT((1-C459)*(Supuestos!$F$6-Supuestos!$D$6)*(Supuestos!$F$6-Supuestos!$E$6))),IF(Supuestos!$C$6="Uniforme",Supuestos!$D$6+C459*(Supuestos!$E$6-Supuestos!$D$6),IF(Supuestos!$C$6="Lognormal",LOGINV(C459,LN(Supuestos!$D$6)-LN(1+Supuestos!$E$6^2/Supuestos!$D$6^2)/2,SQRT(LN(1+Supuestos!$E$6^2/Supuestos!$D$6^2))),Supuestos!$D$6))))))</f>
        <v/>
      </c>
      <c r="K459" s="32">
        <f>MIN(IF(Supuestos!$H$7="",1E+99,Supuestos!$H$7),MAX(IF(Supuestos!$G$7="",-1E+99,Supuestos!$G$7),IF(Supuestos!$C$7="Normal",NORMINV(D459,Supuestos!$D$7,Supuestos!$E$7),IF(Supuestos!$C$7="Triangular",IF(D459&lt;(Supuestos!$E$7-Supuestos!$D$7)/(Supuestos!$F$7-Supuestos!$D$7),Supuestos!$D$7+SQRT(D459*(Supuestos!$F$7-Supuestos!$D$7)*(Supuestos!$E$7-Supuestos!$D$7)),Supuestos!$F$7-SQRT((1-D459)*(Supuestos!$F$7-Supuestos!$D$7)*(Supuestos!$F$7-Supuestos!$E$7))),IF(Supuestos!$C$7="Uniforme",Supuestos!$D$7+D459*(Supuestos!$E$7-Supuestos!$D$7),IF(Supuestos!$C$7="Lognormal",LOGINV(D459,LN(Supuestos!$D$7)-LN(1+Supuestos!$E$7^2/Supuestos!$D$7^2)/2,SQRT(LN(1+Supuestos!$E$7^2/Supuestos!$D$7^2))),Supuestos!$D$7))))))</f>
        <v/>
      </c>
      <c r="L459" s="32">
        <f>MIN(IF(Supuestos!$H$8="",1E+99,Supuestos!$H$8),MAX(IF(Supuestos!$G$8="",-1E+99,Supuestos!$G$8),IF(Supuestos!$C$8="Normal",NORMINV(E459,Supuestos!$D$8,Supuestos!$E$8),IF(Supuestos!$C$8="Triangular",IF(E459&lt;(Supuestos!$E$8-Supuestos!$D$8)/(Supuestos!$F$8-Supuestos!$D$8),Supuestos!$D$8+SQRT(E459*(Supuestos!$F$8-Supuestos!$D$8)*(Supuestos!$E$8-Supuestos!$D$8)),Supuestos!$F$8-SQRT((1-E459)*(Supuestos!$F$8-Supuestos!$D$8)*(Supuestos!$F$8-Supuestos!$E$8))),IF(Supuestos!$C$8="Uniforme",Supuestos!$D$8+E459*(Supuestos!$E$8-Supuestos!$D$8),IF(Supuestos!$C$8="Lognormal",LOGINV(E459,LN(Supuestos!$D$8)-LN(1+Supuestos!$E$8^2/Supuestos!$D$8^2)/2,SQRT(LN(1+Supuestos!$E$8^2/Supuestos!$D$8^2))),Supuestos!$D$8))))))</f>
        <v/>
      </c>
      <c r="M459" s="32">
        <f>MIN(IF(Supuestos!$H$9="",1E+99,Supuestos!$H$9),MAX(IF(Supuestos!$G$9="",-1E+99,Supuestos!$G$9),IF(Supuestos!$C$9="Normal",NORMINV(F459,Supuestos!$D$9,Supuestos!$E$9),IF(Supuestos!$C$9="Triangular",IF(F459&lt;(Supuestos!$E$9-Supuestos!$D$9)/(Supuestos!$F$9-Supuestos!$D$9),Supuestos!$D$9+SQRT(F459*(Supuestos!$F$9-Supuestos!$D$9)*(Supuestos!$E$9-Supuestos!$D$9)),Supuestos!$F$9-SQRT((1-F459)*(Supuestos!$F$9-Supuestos!$D$9)*(Supuestos!$F$9-Supuestos!$E$9))),IF(Supuestos!$C$9="Uniforme",Supuestos!$D$9+F459*(Supuestos!$E$9-Supuestos!$D$9),IF(Supuestos!$C$9="Lognormal",LOGINV(F459,LN(Supuestos!$D$9)-LN(1+Supuestos!$E$9^2/Supuestos!$D$9^2)/2,SQRT(LN(1+Supuestos!$E$9^2/Supuestos!$D$9^2))),Supuestos!$D$9))))))</f>
        <v/>
      </c>
      <c r="N459" s="32">
        <f>MIN(IF(Supuestos!$H$10="",1E+99,Supuestos!$H$10),MAX(IF(Supuestos!$G$10="",-1E+99,Supuestos!$G$10),IF(Supuestos!$C$10="Normal",NORMINV(G459,Supuestos!$D$10,Supuestos!$E$10),IF(Supuestos!$C$10="Triangular",IF(G459&lt;(Supuestos!$E$10-Supuestos!$D$10)/(Supuestos!$F$10-Supuestos!$D$10),Supuestos!$D$10+SQRT(G459*(Supuestos!$F$10-Supuestos!$D$10)*(Supuestos!$E$10-Supuestos!$D$10)),Supuestos!$F$10-SQRT((1-G459)*(Supuestos!$F$10-Supuestos!$D$10)*(Supuestos!$F$10-Supuestos!$E$10))),IF(Supuestos!$C$10="Uniforme",Supuestos!$D$10+G459*(Supuestos!$E$10-Supuestos!$D$10),IF(Supuestos!$C$10="Lognormal",LOGINV(G459,LN(Supuestos!$D$10)-LN(1+Supuestos!$E$10^2/Supuestos!$D$10^2)/2,SQRT(LN(1+Supuestos!$E$10^2/Supuestos!$D$10^2))),Supuestos!$D$10))))))</f>
        <v/>
      </c>
      <c r="O459" s="31">
        <f>MIN(IF(Supuestos!$H$11="",1E+99,Supuestos!$H$11),MAX(IF(Supuestos!$G$11="",-1E+99,Supuestos!$G$11),IF(Supuestos!$C$11="Normal",NORMINV(H459,Supuestos!$D$11,Supuestos!$E$11),IF(Supuestos!$C$11="Triangular",IF(H459&lt;(Supuestos!$E$11-Supuestos!$D$11)/(Supuestos!$F$11-Supuestos!$D$11),Supuestos!$D$11+SQRT(H459*(Supuestos!$F$11-Supuestos!$D$11)*(Supuestos!$E$11-Supuestos!$D$11)),Supuestos!$F$11-SQRT((1-H459)*(Supuestos!$F$11-Supuestos!$D$11)*(Supuestos!$F$11-Supuestos!$E$11))),IF(Supuestos!$C$11="Uniforme",Supuestos!$D$11+H459*(Supuestos!$E$11-Supuestos!$D$11),IF(Supuestos!$C$11="Lognormal",LOGINV(H459,LN(Supuestos!$D$11)-LN(1+Supuestos!$E$11^2/Supuestos!$D$11^2)/2,SQRT(LN(1+Supuestos!$E$11^2/Supuestos!$D$11^2))),Supuestos!$D$11))))))</f>
        <v/>
      </c>
      <c r="P459" s="33">
        <f>-I459</f>
        <v/>
      </c>
      <c r="Q459" s="33">
        <f>$J459*(1+$K459)^(1-1)*(1-$L459)*(1-$M459)</f>
        <v/>
      </c>
      <c r="R459" s="33">
        <f>$J459*(1+$K459)^(2-1)*(1-$L459)*(1-$M459)</f>
        <v/>
      </c>
      <c r="S459" s="33">
        <f>$J459*(1+$K459)^(3-1)*(1-$L459)*(1-$M459)</f>
        <v/>
      </c>
      <c r="T459" s="33">
        <f>$J459*(1+$K459)^(4-1)*(1-$L459)*(1-$M459)</f>
        <v/>
      </c>
      <c r="U459" s="33">
        <f>$J459*(1+$K459)^(5-1)*(1-$L459)*(1-$M459)+$O459</f>
        <v/>
      </c>
      <c r="V459" s="33">
        <f>P459+NPV($N459,Q459:U459)</f>
        <v/>
      </c>
      <c r="W459" s="32">
        <f>IFERROR(IRR(P459:U459,0.1),"")</f>
        <v/>
      </c>
    </row>
    <row r="460">
      <c r="A460" s="14" t="n">
        <v>456</v>
      </c>
      <c r="B460" s="30">
        <f>RAND()*(1-2E-6)+1E-6</f>
        <v/>
      </c>
      <c r="C460" s="30">
        <f>RAND()*(1-2E-6)+1E-6</f>
        <v/>
      </c>
      <c r="D460" s="30">
        <f>RAND()*(1-2E-6)+1E-6</f>
        <v/>
      </c>
      <c r="E460" s="30">
        <f>RAND()*(1-2E-6)+1E-6</f>
        <v/>
      </c>
      <c r="F460" s="30">
        <f>RAND()*(1-2E-6)+1E-6</f>
        <v/>
      </c>
      <c r="G460" s="30">
        <f>RAND()*(1-2E-6)+1E-6</f>
        <v/>
      </c>
      <c r="H460" s="30">
        <f>RAND()*(1-2E-6)+1E-6</f>
        <v/>
      </c>
      <c r="I460" s="31">
        <f>MIN(IF(Supuestos!$H$5="",1E+99,Supuestos!$H$5),MAX(IF(Supuestos!$G$5="",-1E+99,Supuestos!$G$5),IF(Supuestos!$C$5="Normal",NORMINV(B460,Supuestos!$D$5,Supuestos!$E$5),IF(Supuestos!$C$5="Triangular",IF(B460&lt;(Supuestos!$E$5-Supuestos!$D$5)/(Supuestos!$F$5-Supuestos!$D$5),Supuestos!$D$5+SQRT(B460*(Supuestos!$F$5-Supuestos!$D$5)*(Supuestos!$E$5-Supuestos!$D$5)),Supuestos!$F$5-SQRT((1-B460)*(Supuestos!$F$5-Supuestos!$D$5)*(Supuestos!$F$5-Supuestos!$E$5))),IF(Supuestos!$C$5="Uniforme",Supuestos!$D$5+B460*(Supuestos!$E$5-Supuestos!$D$5),IF(Supuestos!$C$5="Lognormal",LOGINV(B460,LN(Supuestos!$D$5)-LN(1+Supuestos!$E$5^2/Supuestos!$D$5^2)/2,SQRT(LN(1+Supuestos!$E$5^2/Supuestos!$D$5^2))),Supuestos!$D$5))))))</f>
        <v/>
      </c>
      <c r="J460" s="31">
        <f>MIN(IF(Supuestos!$H$6="",1E+99,Supuestos!$H$6),MAX(IF(Supuestos!$G$6="",-1E+99,Supuestos!$G$6),IF(Supuestos!$C$6="Normal",NORMINV(C460,Supuestos!$D$6,Supuestos!$E$6),IF(Supuestos!$C$6="Triangular",IF(C460&lt;(Supuestos!$E$6-Supuestos!$D$6)/(Supuestos!$F$6-Supuestos!$D$6),Supuestos!$D$6+SQRT(C460*(Supuestos!$F$6-Supuestos!$D$6)*(Supuestos!$E$6-Supuestos!$D$6)),Supuestos!$F$6-SQRT((1-C460)*(Supuestos!$F$6-Supuestos!$D$6)*(Supuestos!$F$6-Supuestos!$E$6))),IF(Supuestos!$C$6="Uniforme",Supuestos!$D$6+C460*(Supuestos!$E$6-Supuestos!$D$6),IF(Supuestos!$C$6="Lognormal",LOGINV(C460,LN(Supuestos!$D$6)-LN(1+Supuestos!$E$6^2/Supuestos!$D$6^2)/2,SQRT(LN(1+Supuestos!$E$6^2/Supuestos!$D$6^2))),Supuestos!$D$6))))))</f>
        <v/>
      </c>
      <c r="K460" s="32">
        <f>MIN(IF(Supuestos!$H$7="",1E+99,Supuestos!$H$7),MAX(IF(Supuestos!$G$7="",-1E+99,Supuestos!$G$7),IF(Supuestos!$C$7="Normal",NORMINV(D460,Supuestos!$D$7,Supuestos!$E$7),IF(Supuestos!$C$7="Triangular",IF(D460&lt;(Supuestos!$E$7-Supuestos!$D$7)/(Supuestos!$F$7-Supuestos!$D$7),Supuestos!$D$7+SQRT(D460*(Supuestos!$F$7-Supuestos!$D$7)*(Supuestos!$E$7-Supuestos!$D$7)),Supuestos!$F$7-SQRT((1-D460)*(Supuestos!$F$7-Supuestos!$D$7)*(Supuestos!$F$7-Supuestos!$E$7))),IF(Supuestos!$C$7="Uniforme",Supuestos!$D$7+D460*(Supuestos!$E$7-Supuestos!$D$7),IF(Supuestos!$C$7="Lognormal",LOGINV(D460,LN(Supuestos!$D$7)-LN(1+Supuestos!$E$7^2/Supuestos!$D$7^2)/2,SQRT(LN(1+Supuestos!$E$7^2/Supuestos!$D$7^2))),Supuestos!$D$7))))))</f>
        <v/>
      </c>
      <c r="L460" s="32">
        <f>MIN(IF(Supuestos!$H$8="",1E+99,Supuestos!$H$8),MAX(IF(Supuestos!$G$8="",-1E+99,Supuestos!$G$8),IF(Supuestos!$C$8="Normal",NORMINV(E460,Supuestos!$D$8,Supuestos!$E$8),IF(Supuestos!$C$8="Triangular",IF(E460&lt;(Supuestos!$E$8-Supuestos!$D$8)/(Supuestos!$F$8-Supuestos!$D$8),Supuestos!$D$8+SQRT(E460*(Supuestos!$F$8-Supuestos!$D$8)*(Supuestos!$E$8-Supuestos!$D$8)),Supuestos!$F$8-SQRT((1-E460)*(Supuestos!$F$8-Supuestos!$D$8)*(Supuestos!$F$8-Supuestos!$E$8))),IF(Supuestos!$C$8="Uniforme",Supuestos!$D$8+E460*(Supuestos!$E$8-Supuestos!$D$8),IF(Supuestos!$C$8="Lognormal",LOGINV(E460,LN(Supuestos!$D$8)-LN(1+Supuestos!$E$8^2/Supuestos!$D$8^2)/2,SQRT(LN(1+Supuestos!$E$8^2/Supuestos!$D$8^2))),Supuestos!$D$8))))))</f>
        <v/>
      </c>
      <c r="M460" s="32">
        <f>MIN(IF(Supuestos!$H$9="",1E+99,Supuestos!$H$9),MAX(IF(Supuestos!$G$9="",-1E+99,Supuestos!$G$9),IF(Supuestos!$C$9="Normal",NORMINV(F460,Supuestos!$D$9,Supuestos!$E$9),IF(Supuestos!$C$9="Triangular",IF(F460&lt;(Supuestos!$E$9-Supuestos!$D$9)/(Supuestos!$F$9-Supuestos!$D$9),Supuestos!$D$9+SQRT(F460*(Supuestos!$F$9-Supuestos!$D$9)*(Supuestos!$E$9-Supuestos!$D$9)),Supuestos!$F$9-SQRT((1-F460)*(Supuestos!$F$9-Supuestos!$D$9)*(Supuestos!$F$9-Supuestos!$E$9))),IF(Supuestos!$C$9="Uniforme",Supuestos!$D$9+F460*(Supuestos!$E$9-Supuestos!$D$9),IF(Supuestos!$C$9="Lognormal",LOGINV(F460,LN(Supuestos!$D$9)-LN(1+Supuestos!$E$9^2/Supuestos!$D$9^2)/2,SQRT(LN(1+Supuestos!$E$9^2/Supuestos!$D$9^2))),Supuestos!$D$9))))))</f>
        <v/>
      </c>
      <c r="N460" s="32">
        <f>MIN(IF(Supuestos!$H$10="",1E+99,Supuestos!$H$10),MAX(IF(Supuestos!$G$10="",-1E+99,Supuestos!$G$10),IF(Supuestos!$C$10="Normal",NORMINV(G460,Supuestos!$D$10,Supuestos!$E$10),IF(Supuestos!$C$10="Triangular",IF(G460&lt;(Supuestos!$E$10-Supuestos!$D$10)/(Supuestos!$F$10-Supuestos!$D$10),Supuestos!$D$10+SQRT(G460*(Supuestos!$F$10-Supuestos!$D$10)*(Supuestos!$E$10-Supuestos!$D$10)),Supuestos!$F$10-SQRT((1-G460)*(Supuestos!$F$10-Supuestos!$D$10)*(Supuestos!$F$10-Supuestos!$E$10))),IF(Supuestos!$C$10="Uniforme",Supuestos!$D$10+G460*(Supuestos!$E$10-Supuestos!$D$10),IF(Supuestos!$C$10="Lognormal",LOGINV(G460,LN(Supuestos!$D$10)-LN(1+Supuestos!$E$10^2/Supuestos!$D$10^2)/2,SQRT(LN(1+Supuestos!$E$10^2/Supuestos!$D$10^2))),Supuestos!$D$10))))))</f>
        <v/>
      </c>
      <c r="O460" s="31">
        <f>MIN(IF(Supuestos!$H$11="",1E+99,Supuestos!$H$11),MAX(IF(Supuestos!$G$11="",-1E+99,Supuestos!$G$11),IF(Supuestos!$C$11="Normal",NORMINV(H460,Supuestos!$D$11,Supuestos!$E$11),IF(Supuestos!$C$11="Triangular",IF(H460&lt;(Supuestos!$E$11-Supuestos!$D$11)/(Supuestos!$F$11-Supuestos!$D$11),Supuestos!$D$11+SQRT(H460*(Supuestos!$F$11-Supuestos!$D$11)*(Supuestos!$E$11-Supuestos!$D$11)),Supuestos!$F$11-SQRT((1-H460)*(Supuestos!$F$11-Supuestos!$D$11)*(Supuestos!$F$11-Supuestos!$E$11))),IF(Supuestos!$C$11="Uniforme",Supuestos!$D$11+H460*(Supuestos!$E$11-Supuestos!$D$11),IF(Supuestos!$C$11="Lognormal",LOGINV(H460,LN(Supuestos!$D$11)-LN(1+Supuestos!$E$11^2/Supuestos!$D$11^2)/2,SQRT(LN(1+Supuestos!$E$11^2/Supuestos!$D$11^2))),Supuestos!$D$11))))))</f>
        <v/>
      </c>
      <c r="P460" s="33">
        <f>-I460</f>
        <v/>
      </c>
      <c r="Q460" s="33">
        <f>$J460*(1+$K460)^(1-1)*(1-$L460)*(1-$M460)</f>
        <v/>
      </c>
      <c r="R460" s="33">
        <f>$J460*(1+$K460)^(2-1)*(1-$L460)*(1-$M460)</f>
        <v/>
      </c>
      <c r="S460" s="33">
        <f>$J460*(1+$K460)^(3-1)*(1-$L460)*(1-$M460)</f>
        <v/>
      </c>
      <c r="T460" s="33">
        <f>$J460*(1+$K460)^(4-1)*(1-$L460)*(1-$M460)</f>
        <v/>
      </c>
      <c r="U460" s="33">
        <f>$J460*(1+$K460)^(5-1)*(1-$L460)*(1-$M460)+$O460</f>
        <v/>
      </c>
      <c r="V460" s="33">
        <f>P460+NPV($N460,Q460:U460)</f>
        <v/>
      </c>
      <c r="W460" s="32">
        <f>IFERROR(IRR(P460:U460,0.1),"")</f>
        <v/>
      </c>
    </row>
    <row r="461">
      <c r="A461" s="14" t="n">
        <v>457</v>
      </c>
      <c r="B461" s="30">
        <f>RAND()*(1-2E-6)+1E-6</f>
        <v/>
      </c>
      <c r="C461" s="30">
        <f>RAND()*(1-2E-6)+1E-6</f>
        <v/>
      </c>
      <c r="D461" s="30">
        <f>RAND()*(1-2E-6)+1E-6</f>
        <v/>
      </c>
      <c r="E461" s="30">
        <f>RAND()*(1-2E-6)+1E-6</f>
        <v/>
      </c>
      <c r="F461" s="30">
        <f>RAND()*(1-2E-6)+1E-6</f>
        <v/>
      </c>
      <c r="G461" s="30">
        <f>RAND()*(1-2E-6)+1E-6</f>
        <v/>
      </c>
      <c r="H461" s="30">
        <f>RAND()*(1-2E-6)+1E-6</f>
        <v/>
      </c>
      <c r="I461" s="31">
        <f>MIN(IF(Supuestos!$H$5="",1E+99,Supuestos!$H$5),MAX(IF(Supuestos!$G$5="",-1E+99,Supuestos!$G$5),IF(Supuestos!$C$5="Normal",NORMINV(B461,Supuestos!$D$5,Supuestos!$E$5),IF(Supuestos!$C$5="Triangular",IF(B461&lt;(Supuestos!$E$5-Supuestos!$D$5)/(Supuestos!$F$5-Supuestos!$D$5),Supuestos!$D$5+SQRT(B461*(Supuestos!$F$5-Supuestos!$D$5)*(Supuestos!$E$5-Supuestos!$D$5)),Supuestos!$F$5-SQRT((1-B461)*(Supuestos!$F$5-Supuestos!$D$5)*(Supuestos!$F$5-Supuestos!$E$5))),IF(Supuestos!$C$5="Uniforme",Supuestos!$D$5+B461*(Supuestos!$E$5-Supuestos!$D$5),IF(Supuestos!$C$5="Lognormal",LOGINV(B461,LN(Supuestos!$D$5)-LN(1+Supuestos!$E$5^2/Supuestos!$D$5^2)/2,SQRT(LN(1+Supuestos!$E$5^2/Supuestos!$D$5^2))),Supuestos!$D$5))))))</f>
        <v/>
      </c>
      <c r="J461" s="31">
        <f>MIN(IF(Supuestos!$H$6="",1E+99,Supuestos!$H$6),MAX(IF(Supuestos!$G$6="",-1E+99,Supuestos!$G$6),IF(Supuestos!$C$6="Normal",NORMINV(C461,Supuestos!$D$6,Supuestos!$E$6),IF(Supuestos!$C$6="Triangular",IF(C461&lt;(Supuestos!$E$6-Supuestos!$D$6)/(Supuestos!$F$6-Supuestos!$D$6),Supuestos!$D$6+SQRT(C461*(Supuestos!$F$6-Supuestos!$D$6)*(Supuestos!$E$6-Supuestos!$D$6)),Supuestos!$F$6-SQRT((1-C461)*(Supuestos!$F$6-Supuestos!$D$6)*(Supuestos!$F$6-Supuestos!$E$6))),IF(Supuestos!$C$6="Uniforme",Supuestos!$D$6+C461*(Supuestos!$E$6-Supuestos!$D$6),IF(Supuestos!$C$6="Lognormal",LOGINV(C461,LN(Supuestos!$D$6)-LN(1+Supuestos!$E$6^2/Supuestos!$D$6^2)/2,SQRT(LN(1+Supuestos!$E$6^2/Supuestos!$D$6^2))),Supuestos!$D$6))))))</f>
        <v/>
      </c>
      <c r="K461" s="32">
        <f>MIN(IF(Supuestos!$H$7="",1E+99,Supuestos!$H$7),MAX(IF(Supuestos!$G$7="",-1E+99,Supuestos!$G$7),IF(Supuestos!$C$7="Normal",NORMINV(D461,Supuestos!$D$7,Supuestos!$E$7),IF(Supuestos!$C$7="Triangular",IF(D461&lt;(Supuestos!$E$7-Supuestos!$D$7)/(Supuestos!$F$7-Supuestos!$D$7),Supuestos!$D$7+SQRT(D461*(Supuestos!$F$7-Supuestos!$D$7)*(Supuestos!$E$7-Supuestos!$D$7)),Supuestos!$F$7-SQRT((1-D461)*(Supuestos!$F$7-Supuestos!$D$7)*(Supuestos!$F$7-Supuestos!$E$7))),IF(Supuestos!$C$7="Uniforme",Supuestos!$D$7+D461*(Supuestos!$E$7-Supuestos!$D$7),IF(Supuestos!$C$7="Lognormal",LOGINV(D461,LN(Supuestos!$D$7)-LN(1+Supuestos!$E$7^2/Supuestos!$D$7^2)/2,SQRT(LN(1+Supuestos!$E$7^2/Supuestos!$D$7^2))),Supuestos!$D$7))))))</f>
        <v/>
      </c>
      <c r="L461" s="32">
        <f>MIN(IF(Supuestos!$H$8="",1E+99,Supuestos!$H$8),MAX(IF(Supuestos!$G$8="",-1E+99,Supuestos!$G$8),IF(Supuestos!$C$8="Normal",NORMINV(E461,Supuestos!$D$8,Supuestos!$E$8),IF(Supuestos!$C$8="Triangular",IF(E461&lt;(Supuestos!$E$8-Supuestos!$D$8)/(Supuestos!$F$8-Supuestos!$D$8),Supuestos!$D$8+SQRT(E461*(Supuestos!$F$8-Supuestos!$D$8)*(Supuestos!$E$8-Supuestos!$D$8)),Supuestos!$F$8-SQRT((1-E461)*(Supuestos!$F$8-Supuestos!$D$8)*(Supuestos!$F$8-Supuestos!$E$8))),IF(Supuestos!$C$8="Uniforme",Supuestos!$D$8+E461*(Supuestos!$E$8-Supuestos!$D$8),IF(Supuestos!$C$8="Lognormal",LOGINV(E461,LN(Supuestos!$D$8)-LN(1+Supuestos!$E$8^2/Supuestos!$D$8^2)/2,SQRT(LN(1+Supuestos!$E$8^2/Supuestos!$D$8^2))),Supuestos!$D$8))))))</f>
        <v/>
      </c>
      <c r="M461" s="32">
        <f>MIN(IF(Supuestos!$H$9="",1E+99,Supuestos!$H$9),MAX(IF(Supuestos!$G$9="",-1E+99,Supuestos!$G$9),IF(Supuestos!$C$9="Normal",NORMINV(F461,Supuestos!$D$9,Supuestos!$E$9),IF(Supuestos!$C$9="Triangular",IF(F461&lt;(Supuestos!$E$9-Supuestos!$D$9)/(Supuestos!$F$9-Supuestos!$D$9),Supuestos!$D$9+SQRT(F461*(Supuestos!$F$9-Supuestos!$D$9)*(Supuestos!$E$9-Supuestos!$D$9)),Supuestos!$F$9-SQRT((1-F461)*(Supuestos!$F$9-Supuestos!$D$9)*(Supuestos!$F$9-Supuestos!$E$9))),IF(Supuestos!$C$9="Uniforme",Supuestos!$D$9+F461*(Supuestos!$E$9-Supuestos!$D$9),IF(Supuestos!$C$9="Lognormal",LOGINV(F461,LN(Supuestos!$D$9)-LN(1+Supuestos!$E$9^2/Supuestos!$D$9^2)/2,SQRT(LN(1+Supuestos!$E$9^2/Supuestos!$D$9^2))),Supuestos!$D$9))))))</f>
        <v/>
      </c>
      <c r="N461" s="32">
        <f>MIN(IF(Supuestos!$H$10="",1E+99,Supuestos!$H$10),MAX(IF(Supuestos!$G$10="",-1E+99,Supuestos!$G$10),IF(Supuestos!$C$10="Normal",NORMINV(G461,Supuestos!$D$10,Supuestos!$E$10),IF(Supuestos!$C$10="Triangular",IF(G461&lt;(Supuestos!$E$10-Supuestos!$D$10)/(Supuestos!$F$10-Supuestos!$D$10),Supuestos!$D$10+SQRT(G461*(Supuestos!$F$10-Supuestos!$D$10)*(Supuestos!$E$10-Supuestos!$D$10)),Supuestos!$F$10-SQRT((1-G461)*(Supuestos!$F$10-Supuestos!$D$10)*(Supuestos!$F$10-Supuestos!$E$10))),IF(Supuestos!$C$10="Uniforme",Supuestos!$D$10+G461*(Supuestos!$E$10-Supuestos!$D$10),IF(Supuestos!$C$10="Lognormal",LOGINV(G461,LN(Supuestos!$D$10)-LN(1+Supuestos!$E$10^2/Supuestos!$D$10^2)/2,SQRT(LN(1+Supuestos!$E$10^2/Supuestos!$D$10^2))),Supuestos!$D$10))))))</f>
        <v/>
      </c>
      <c r="O461" s="31">
        <f>MIN(IF(Supuestos!$H$11="",1E+99,Supuestos!$H$11),MAX(IF(Supuestos!$G$11="",-1E+99,Supuestos!$G$11),IF(Supuestos!$C$11="Normal",NORMINV(H461,Supuestos!$D$11,Supuestos!$E$11),IF(Supuestos!$C$11="Triangular",IF(H461&lt;(Supuestos!$E$11-Supuestos!$D$11)/(Supuestos!$F$11-Supuestos!$D$11),Supuestos!$D$11+SQRT(H461*(Supuestos!$F$11-Supuestos!$D$11)*(Supuestos!$E$11-Supuestos!$D$11)),Supuestos!$F$11-SQRT((1-H461)*(Supuestos!$F$11-Supuestos!$D$11)*(Supuestos!$F$11-Supuestos!$E$11))),IF(Supuestos!$C$11="Uniforme",Supuestos!$D$11+H461*(Supuestos!$E$11-Supuestos!$D$11),IF(Supuestos!$C$11="Lognormal",LOGINV(H461,LN(Supuestos!$D$11)-LN(1+Supuestos!$E$11^2/Supuestos!$D$11^2)/2,SQRT(LN(1+Supuestos!$E$11^2/Supuestos!$D$11^2))),Supuestos!$D$11))))))</f>
        <v/>
      </c>
      <c r="P461" s="33">
        <f>-I461</f>
        <v/>
      </c>
      <c r="Q461" s="33">
        <f>$J461*(1+$K461)^(1-1)*(1-$L461)*(1-$M461)</f>
        <v/>
      </c>
      <c r="R461" s="33">
        <f>$J461*(1+$K461)^(2-1)*(1-$L461)*(1-$M461)</f>
        <v/>
      </c>
      <c r="S461" s="33">
        <f>$J461*(1+$K461)^(3-1)*(1-$L461)*(1-$M461)</f>
        <v/>
      </c>
      <c r="T461" s="33">
        <f>$J461*(1+$K461)^(4-1)*(1-$L461)*(1-$M461)</f>
        <v/>
      </c>
      <c r="U461" s="33">
        <f>$J461*(1+$K461)^(5-1)*(1-$L461)*(1-$M461)+$O461</f>
        <v/>
      </c>
      <c r="V461" s="33">
        <f>P461+NPV($N461,Q461:U461)</f>
        <v/>
      </c>
      <c r="W461" s="32">
        <f>IFERROR(IRR(P461:U461,0.1),"")</f>
        <v/>
      </c>
    </row>
    <row r="462">
      <c r="A462" s="14" t="n">
        <v>458</v>
      </c>
      <c r="B462" s="30">
        <f>RAND()*(1-2E-6)+1E-6</f>
        <v/>
      </c>
      <c r="C462" s="30">
        <f>RAND()*(1-2E-6)+1E-6</f>
        <v/>
      </c>
      <c r="D462" s="30">
        <f>RAND()*(1-2E-6)+1E-6</f>
        <v/>
      </c>
      <c r="E462" s="30">
        <f>RAND()*(1-2E-6)+1E-6</f>
        <v/>
      </c>
      <c r="F462" s="30">
        <f>RAND()*(1-2E-6)+1E-6</f>
        <v/>
      </c>
      <c r="G462" s="30">
        <f>RAND()*(1-2E-6)+1E-6</f>
        <v/>
      </c>
      <c r="H462" s="30">
        <f>RAND()*(1-2E-6)+1E-6</f>
        <v/>
      </c>
      <c r="I462" s="31">
        <f>MIN(IF(Supuestos!$H$5="",1E+99,Supuestos!$H$5),MAX(IF(Supuestos!$G$5="",-1E+99,Supuestos!$G$5),IF(Supuestos!$C$5="Normal",NORMINV(B462,Supuestos!$D$5,Supuestos!$E$5),IF(Supuestos!$C$5="Triangular",IF(B462&lt;(Supuestos!$E$5-Supuestos!$D$5)/(Supuestos!$F$5-Supuestos!$D$5),Supuestos!$D$5+SQRT(B462*(Supuestos!$F$5-Supuestos!$D$5)*(Supuestos!$E$5-Supuestos!$D$5)),Supuestos!$F$5-SQRT((1-B462)*(Supuestos!$F$5-Supuestos!$D$5)*(Supuestos!$F$5-Supuestos!$E$5))),IF(Supuestos!$C$5="Uniforme",Supuestos!$D$5+B462*(Supuestos!$E$5-Supuestos!$D$5),IF(Supuestos!$C$5="Lognormal",LOGINV(B462,LN(Supuestos!$D$5)-LN(1+Supuestos!$E$5^2/Supuestos!$D$5^2)/2,SQRT(LN(1+Supuestos!$E$5^2/Supuestos!$D$5^2))),Supuestos!$D$5))))))</f>
        <v/>
      </c>
      <c r="J462" s="31">
        <f>MIN(IF(Supuestos!$H$6="",1E+99,Supuestos!$H$6),MAX(IF(Supuestos!$G$6="",-1E+99,Supuestos!$G$6),IF(Supuestos!$C$6="Normal",NORMINV(C462,Supuestos!$D$6,Supuestos!$E$6),IF(Supuestos!$C$6="Triangular",IF(C462&lt;(Supuestos!$E$6-Supuestos!$D$6)/(Supuestos!$F$6-Supuestos!$D$6),Supuestos!$D$6+SQRT(C462*(Supuestos!$F$6-Supuestos!$D$6)*(Supuestos!$E$6-Supuestos!$D$6)),Supuestos!$F$6-SQRT((1-C462)*(Supuestos!$F$6-Supuestos!$D$6)*(Supuestos!$F$6-Supuestos!$E$6))),IF(Supuestos!$C$6="Uniforme",Supuestos!$D$6+C462*(Supuestos!$E$6-Supuestos!$D$6),IF(Supuestos!$C$6="Lognormal",LOGINV(C462,LN(Supuestos!$D$6)-LN(1+Supuestos!$E$6^2/Supuestos!$D$6^2)/2,SQRT(LN(1+Supuestos!$E$6^2/Supuestos!$D$6^2))),Supuestos!$D$6))))))</f>
        <v/>
      </c>
      <c r="K462" s="32">
        <f>MIN(IF(Supuestos!$H$7="",1E+99,Supuestos!$H$7),MAX(IF(Supuestos!$G$7="",-1E+99,Supuestos!$G$7),IF(Supuestos!$C$7="Normal",NORMINV(D462,Supuestos!$D$7,Supuestos!$E$7),IF(Supuestos!$C$7="Triangular",IF(D462&lt;(Supuestos!$E$7-Supuestos!$D$7)/(Supuestos!$F$7-Supuestos!$D$7),Supuestos!$D$7+SQRT(D462*(Supuestos!$F$7-Supuestos!$D$7)*(Supuestos!$E$7-Supuestos!$D$7)),Supuestos!$F$7-SQRT((1-D462)*(Supuestos!$F$7-Supuestos!$D$7)*(Supuestos!$F$7-Supuestos!$E$7))),IF(Supuestos!$C$7="Uniforme",Supuestos!$D$7+D462*(Supuestos!$E$7-Supuestos!$D$7),IF(Supuestos!$C$7="Lognormal",LOGINV(D462,LN(Supuestos!$D$7)-LN(1+Supuestos!$E$7^2/Supuestos!$D$7^2)/2,SQRT(LN(1+Supuestos!$E$7^2/Supuestos!$D$7^2))),Supuestos!$D$7))))))</f>
        <v/>
      </c>
      <c r="L462" s="32">
        <f>MIN(IF(Supuestos!$H$8="",1E+99,Supuestos!$H$8),MAX(IF(Supuestos!$G$8="",-1E+99,Supuestos!$G$8),IF(Supuestos!$C$8="Normal",NORMINV(E462,Supuestos!$D$8,Supuestos!$E$8),IF(Supuestos!$C$8="Triangular",IF(E462&lt;(Supuestos!$E$8-Supuestos!$D$8)/(Supuestos!$F$8-Supuestos!$D$8),Supuestos!$D$8+SQRT(E462*(Supuestos!$F$8-Supuestos!$D$8)*(Supuestos!$E$8-Supuestos!$D$8)),Supuestos!$F$8-SQRT((1-E462)*(Supuestos!$F$8-Supuestos!$D$8)*(Supuestos!$F$8-Supuestos!$E$8))),IF(Supuestos!$C$8="Uniforme",Supuestos!$D$8+E462*(Supuestos!$E$8-Supuestos!$D$8),IF(Supuestos!$C$8="Lognormal",LOGINV(E462,LN(Supuestos!$D$8)-LN(1+Supuestos!$E$8^2/Supuestos!$D$8^2)/2,SQRT(LN(1+Supuestos!$E$8^2/Supuestos!$D$8^2))),Supuestos!$D$8))))))</f>
        <v/>
      </c>
      <c r="M462" s="32">
        <f>MIN(IF(Supuestos!$H$9="",1E+99,Supuestos!$H$9),MAX(IF(Supuestos!$G$9="",-1E+99,Supuestos!$G$9),IF(Supuestos!$C$9="Normal",NORMINV(F462,Supuestos!$D$9,Supuestos!$E$9),IF(Supuestos!$C$9="Triangular",IF(F462&lt;(Supuestos!$E$9-Supuestos!$D$9)/(Supuestos!$F$9-Supuestos!$D$9),Supuestos!$D$9+SQRT(F462*(Supuestos!$F$9-Supuestos!$D$9)*(Supuestos!$E$9-Supuestos!$D$9)),Supuestos!$F$9-SQRT((1-F462)*(Supuestos!$F$9-Supuestos!$D$9)*(Supuestos!$F$9-Supuestos!$E$9))),IF(Supuestos!$C$9="Uniforme",Supuestos!$D$9+F462*(Supuestos!$E$9-Supuestos!$D$9),IF(Supuestos!$C$9="Lognormal",LOGINV(F462,LN(Supuestos!$D$9)-LN(1+Supuestos!$E$9^2/Supuestos!$D$9^2)/2,SQRT(LN(1+Supuestos!$E$9^2/Supuestos!$D$9^2))),Supuestos!$D$9))))))</f>
        <v/>
      </c>
      <c r="N462" s="32">
        <f>MIN(IF(Supuestos!$H$10="",1E+99,Supuestos!$H$10),MAX(IF(Supuestos!$G$10="",-1E+99,Supuestos!$G$10),IF(Supuestos!$C$10="Normal",NORMINV(G462,Supuestos!$D$10,Supuestos!$E$10),IF(Supuestos!$C$10="Triangular",IF(G462&lt;(Supuestos!$E$10-Supuestos!$D$10)/(Supuestos!$F$10-Supuestos!$D$10),Supuestos!$D$10+SQRT(G462*(Supuestos!$F$10-Supuestos!$D$10)*(Supuestos!$E$10-Supuestos!$D$10)),Supuestos!$F$10-SQRT((1-G462)*(Supuestos!$F$10-Supuestos!$D$10)*(Supuestos!$F$10-Supuestos!$E$10))),IF(Supuestos!$C$10="Uniforme",Supuestos!$D$10+G462*(Supuestos!$E$10-Supuestos!$D$10),IF(Supuestos!$C$10="Lognormal",LOGINV(G462,LN(Supuestos!$D$10)-LN(1+Supuestos!$E$10^2/Supuestos!$D$10^2)/2,SQRT(LN(1+Supuestos!$E$10^2/Supuestos!$D$10^2))),Supuestos!$D$10))))))</f>
        <v/>
      </c>
      <c r="O462" s="31">
        <f>MIN(IF(Supuestos!$H$11="",1E+99,Supuestos!$H$11),MAX(IF(Supuestos!$G$11="",-1E+99,Supuestos!$G$11),IF(Supuestos!$C$11="Normal",NORMINV(H462,Supuestos!$D$11,Supuestos!$E$11),IF(Supuestos!$C$11="Triangular",IF(H462&lt;(Supuestos!$E$11-Supuestos!$D$11)/(Supuestos!$F$11-Supuestos!$D$11),Supuestos!$D$11+SQRT(H462*(Supuestos!$F$11-Supuestos!$D$11)*(Supuestos!$E$11-Supuestos!$D$11)),Supuestos!$F$11-SQRT((1-H462)*(Supuestos!$F$11-Supuestos!$D$11)*(Supuestos!$F$11-Supuestos!$E$11))),IF(Supuestos!$C$11="Uniforme",Supuestos!$D$11+H462*(Supuestos!$E$11-Supuestos!$D$11),IF(Supuestos!$C$11="Lognormal",LOGINV(H462,LN(Supuestos!$D$11)-LN(1+Supuestos!$E$11^2/Supuestos!$D$11^2)/2,SQRT(LN(1+Supuestos!$E$11^2/Supuestos!$D$11^2))),Supuestos!$D$11))))))</f>
        <v/>
      </c>
      <c r="P462" s="33">
        <f>-I462</f>
        <v/>
      </c>
      <c r="Q462" s="33">
        <f>$J462*(1+$K462)^(1-1)*(1-$L462)*(1-$M462)</f>
        <v/>
      </c>
      <c r="R462" s="33">
        <f>$J462*(1+$K462)^(2-1)*(1-$L462)*(1-$M462)</f>
        <v/>
      </c>
      <c r="S462" s="33">
        <f>$J462*(1+$K462)^(3-1)*(1-$L462)*(1-$M462)</f>
        <v/>
      </c>
      <c r="T462" s="33">
        <f>$J462*(1+$K462)^(4-1)*(1-$L462)*(1-$M462)</f>
        <v/>
      </c>
      <c r="U462" s="33">
        <f>$J462*(1+$K462)^(5-1)*(1-$L462)*(1-$M462)+$O462</f>
        <v/>
      </c>
      <c r="V462" s="33">
        <f>P462+NPV($N462,Q462:U462)</f>
        <v/>
      </c>
      <c r="W462" s="32">
        <f>IFERROR(IRR(P462:U462,0.1),"")</f>
        <v/>
      </c>
    </row>
    <row r="463">
      <c r="A463" s="14" t="n">
        <v>459</v>
      </c>
      <c r="B463" s="30">
        <f>RAND()*(1-2E-6)+1E-6</f>
        <v/>
      </c>
      <c r="C463" s="30">
        <f>RAND()*(1-2E-6)+1E-6</f>
        <v/>
      </c>
      <c r="D463" s="30">
        <f>RAND()*(1-2E-6)+1E-6</f>
        <v/>
      </c>
      <c r="E463" s="30">
        <f>RAND()*(1-2E-6)+1E-6</f>
        <v/>
      </c>
      <c r="F463" s="30">
        <f>RAND()*(1-2E-6)+1E-6</f>
        <v/>
      </c>
      <c r="G463" s="30">
        <f>RAND()*(1-2E-6)+1E-6</f>
        <v/>
      </c>
      <c r="H463" s="30">
        <f>RAND()*(1-2E-6)+1E-6</f>
        <v/>
      </c>
      <c r="I463" s="31">
        <f>MIN(IF(Supuestos!$H$5="",1E+99,Supuestos!$H$5),MAX(IF(Supuestos!$G$5="",-1E+99,Supuestos!$G$5),IF(Supuestos!$C$5="Normal",NORMINV(B463,Supuestos!$D$5,Supuestos!$E$5),IF(Supuestos!$C$5="Triangular",IF(B463&lt;(Supuestos!$E$5-Supuestos!$D$5)/(Supuestos!$F$5-Supuestos!$D$5),Supuestos!$D$5+SQRT(B463*(Supuestos!$F$5-Supuestos!$D$5)*(Supuestos!$E$5-Supuestos!$D$5)),Supuestos!$F$5-SQRT((1-B463)*(Supuestos!$F$5-Supuestos!$D$5)*(Supuestos!$F$5-Supuestos!$E$5))),IF(Supuestos!$C$5="Uniforme",Supuestos!$D$5+B463*(Supuestos!$E$5-Supuestos!$D$5),IF(Supuestos!$C$5="Lognormal",LOGINV(B463,LN(Supuestos!$D$5)-LN(1+Supuestos!$E$5^2/Supuestos!$D$5^2)/2,SQRT(LN(1+Supuestos!$E$5^2/Supuestos!$D$5^2))),Supuestos!$D$5))))))</f>
        <v/>
      </c>
      <c r="J463" s="31">
        <f>MIN(IF(Supuestos!$H$6="",1E+99,Supuestos!$H$6),MAX(IF(Supuestos!$G$6="",-1E+99,Supuestos!$G$6),IF(Supuestos!$C$6="Normal",NORMINV(C463,Supuestos!$D$6,Supuestos!$E$6),IF(Supuestos!$C$6="Triangular",IF(C463&lt;(Supuestos!$E$6-Supuestos!$D$6)/(Supuestos!$F$6-Supuestos!$D$6),Supuestos!$D$6+SQRT(C463*(Supuestos!$F$6-Supuestos!$D$6)*(Supuestos!$E$6-Supuestos!$D$6)),Supuestos!$F$6-SQRT((1-C463)*(Supuestos!$F$6-Supuestos!$D$6)*(Supuestos!$F$6-Supuestos!$E$6))),IF(Supuestos!$C$6="Uniforme",Supuestos!$D$6+C463*(Supuestos!$E$6-Supuestos!$D$6),IF(Supuestos!$C$6="Lognormal",LOGINV(C463,LN(Supuestos!$D$6)-LN(1+Supuestos!$E$6^2/Supuestos!$D$6^2)/2,SQRT(LN(1+Supuestos!$E$6^2/Supuestos!$D$6^2))),Supuestos!$D$6))))))</f>
        <v/>
      </c>
      <c r="K463" s="32">
        <f>MIN(IF(Supuestos!$H$7="",1E+99,Supuestos!$H$7),MAX(IF(Supuestos!$G$7="",-1E+99,Supuestos!$G$7),IF(Supuestos!$C$7="Normal",NORMINV(D463,Supuestos!$D$7,Supuestos!$E$7),IF(Supuestos!$C$7="Triangular",IF(D463&lt;(Supuestos!$E$7-Supuestos!$D$7)/(Supuestos!$F$7-Supuestos!$D$7),Supuestos!$D$7+SQRT(D463*(Supuestos!$F$7-Supuestos!$D$7)*(Supuestos!$E$7-Supuestos!$D$7)),Supuestos!$F$7-SQRT((1-D463)*(Supuestos!$F$7-Supuestos!$D$7)*(Supuestos!$F$7-Supuestos!$E$7))),IF(Supuestos!$C$7="Uniforme",Supuestos!$D$7+D463*(Supuestos!$E$7-Supuestos!$D$7),IF(Supuestos!$C$7="Lognormal",LOGINV(D463,LN(Supuestos!$D$7)-LN(1+Supuestos!$E$7^2/Supuestos!$D$7^2)/2,SQRT(LN(1+Supuestos!$E$7^2/Supuestos!$D$7^2))),Supuestos!$D$7))))))</f>
        <v/>
      </c>
      <c r="L463" s="32">
        <f>MIN(IF(Supuestos!$H$8="",1E+99,Supuestos!$H$8),MAX(IF(Supuestos!$G$8="",-1E+99,Supuestos!$G$8),IF(Supuestos!$C$8="Normal",NORMINV(E463,Supuestos!$D$8,Supuestos!$E$8),IF(Supuestos!$C$8="Triangular",IF(E463&lt;(Supuestos!$E$8-Supuestos!$D$8)/(Supuestos!$F$8-Supuestos!$D$8),Supuestos!$D$8+SQRT(E463*(Supuestos!$F$8-Supuestos!$D$8)*(Supuestos!$E$8-Supuestos!$D$8)),Supuestos!$F$8-SQRT((1-E463)*(Supuestos!$F$8-Supuestos!$D$8)*(Supuestos!$F$8-Supuestos!$E$8))),IF(Supuestos!$C$8="Uniforme",Supuestos!$D$8+E463*(Supuestos!$E$8-Supuestos!$D$8),IF(Supuestos!$C$8="Lognormal",LOGINV(E463,LN(Supuestos!$D$8)-LN(1+Supuestos!$E$8^2/Supuestos!$D$8^2)/2,SQRT(LN(1+Supuestos!$E$8^2/Supuestos!$D$8^2))),Supuestos!$D$8))))))</f>
        <v/>
      </c>
      <c r="M463" s="32">
        <f>MIN(IF(Supuestos!$H$9="",1E+99,Supuestos!$H$9),MAX(IF(Supuestos!$G$9="",-1E+99,Supuestos!$G$9),IF(Supuestos!$C$9="Normal",NORMINV(F463,Supuestos!$D$9,Supuestos!$E$9),IF(Supuestos!$C$9="Triangular",IF(F463&lt;(Supuestos!$E$9-Supuestos!$D$9)/(Supuestos!$F$9-Supuestos!$D$9),Supuestos!$D$9+SQRT(F463*(Supuestos!$F$9-Supuestos!$D$9)*(Supuestos!$E$9-Supuestos!$D$9)),Supuestos!$F$9-SQRT((1-F463)*(Supuestos!$F$9-Supuestos!$D$9)*(Supuestos!$F$9-Supuestos!$E$9))),IF(Supuestos!$C$9="Uniforme",Supuestos!$D$9+F463*(Supuestos!$E$9-Supuestos!$D$9),IF(Supuestos!$C$9="Lognormal",LOGINV(F463,LN(Supuestos!$D$9)-LN(1+Supuestos!$E$9^2/Supuestos!$D$9^2)/2,SQRT(LN(1+Supuestos!$E$9^2/Supuestos!$D$9^2))),Supuestos!$D$9))))))</f>
        <v/>
      </c>
      <c r="N463" s="32">
        <f>MIN(IF(Supuestos!$H$10="",1E+99,Supuestos!$H$10),MAX(IF(Supuestos!$G$10="",-1E+99,Supuestos!$G$10),IF(Supuestos!$C$10="Normal",NORMINV(G463,Supuestos!$D$10,Supuestos!$E$10),IF(Supuestos!$C$10="Triangular",IF(G463&lt;(Supuestos!$E$10-Supuestos!$D$10)/(Supuestos!$F$10-Supuestos!$D$10),Supuestos!$D$10+SQRT(G463*(Supuestos!$F$10-Supuestos!$D$10)*(Supuestos!$E$10-Supuestos!$D$10)),Supuestos!$F$10-SQRT((1-G463)*(Supuestos!$F$10-Supuestos!$D$10)*(Supuestos!$F$10-Supuestos!$E$10))),IF(Supuestos!$C$10="Uniforme",Supuestos!$D$10+G463*(Supuestos!$E$10-Supuestos!$D$10),IF(Supuestos!$C$10="Lognormal",LOGINV(G463,LN(Supuestos!$D$10)-LN(1+Supuestos!$E$10^2/Supuestos!$D$10^2)/2,SQRT(LN(1+Supuestos!$E$10^2/Supuestos!$D$10^2))),Supuestos!$D$10))))))</f>
        <v/>
      </c>
      <c r="O463" s="31">
        <f>MIN(IF(Supuestos!$H$11="",1E+99,Supuestos!$H$11),MAX(IF(Supuestos!$G$11="",-1E+99,Supuestos!$G$11),IF(Supuestos!$C$11="Normal",NORMINV(H463,Supuestos!$D$11,Supuestos!$E$11),IF(Supuestos!$C$11="Triangular",IF(H463&lt;(Supuestos!$E$11-Supuestos!$D$11)/(Supuestos!$F$11-Supuestos!$D$11),Supuestos!$D$11+SQRT(H463*(Supuestos!$F$11-Supuestos!$D$11)*(Supuestos!$E$11-Supuestos!$D$11)),Supuestos!$F$11-SQRT((1-H463)*(Supuestos!$F$11-Supuestos!$D$11)*(Supuestos!$F$11-Supuestos!$E$11))),IF(Supuestos!$C$11="Uniforme",Supuestos!$D$11+H463*(Supuestos!$E$11-Supuestos!$D$11),IF(Supuestos!$C$11="Lognormal",LOGINV(H463,LN(Supuestos!$D$11)-LN(1+Supuestos!$E$11^2/Supuestos!$D$11^2)/2,SQRT(LN(1+Supuestos!$E$11^2/Supuestos!$D$11^2))),Supuestos!$D$11))))))</f>
        <v/>
      </c>
      <c r="P463" s="33">
        <f>-I463</f>
        <v/>
      </c>
      <c r="Q463" s="33">
        <f>$J463*(1+$K463)^(1-1)*(1-$L463)*(1-$M463)</f>
        <v/>
      </c>
      <c r="R463" s="33">
        <f>$J463*(1+$K463)^(2-1)*(1-$L463)*(1-$M463)</f>
        <v/>
      </c>
      <c r="S463" s="33">
        <f>$J463*(1+$K463)^(3-1)*(1-$L463)*(1-$M463)</f>
        <v/>
      </c>
      <c r="T463" s="33">
        <f>$J463*(1+$K463)^(4-1)*(1-$L463)*(1-$M463)</f>
        <v/>
      </c>
      <c r="U463" s="33">
        <f>$J463*(1+$K463)^(5-1)*(1-$L463)*(1-$M463)+$O463</f>
        <v/>
      </c>
      <c r="V463" s="33">
        <f>P463+NPV($N463,Q463:U463)</f>
        <v/>
      </c>
      <c r="W463" s="32">
        <f>IFERROR(IRR(P463:U463,0.1),"")</f>
        <v/>
      </c>
    </row>
    <row r="464">
      <c r="A464" s="14" t="n">
        <v>460</v>
      </c>
      <c r="B464" s="30">
        <f>RAND()*(1-2E-6)+1E-6</f>
        <v/>
      </c>
      <c r="C464" s="30">
        <f>RAND()*(1-2E-6)+1E-6</f>
        <v/>
      </c>
      <c r="D464" s="30">
        <f>RAND()*(1-2E-6)+1E-6</f>
        <v/>
      </c>
      <c r="E464" s="30">
        <f>RAND()*(1-2E-6)+1E-6</f>
        <v/>
      </c>
      <c r="F464" s="30">
        <f>RAND()*(1-2E-6)+1E-6</f>
        <v/>
      </c>
      <c r="G464" s="30">
        <f>RAND()*(1-2E-6)+1E-6</f>
        <v/>
      </c>
      <c r="H464" s="30">
        <f>RAND()*(1-2E-6)+1E-6</f>
        <v/>
      </c>
      <c r="I464" s="31">
        <f>MIN(IF(Supuestos!$H$5="",1E+99,Supuestos!$H$5),MAX(IF(Supuestos!$G$5="",-1E+99,Supuestos!$G$5),IF(Supuestos!$C$5="Normal",NORMINV(B464,Supuestos!$D$5,Supuestos!$E$5),IF(Supuestos!$C$5="Triangular",IF(B464&lt;(Supuestos!$E$5-Supuestos!$D$5)/(Supuestos!$F$5-Supuestos!$D$5),Supuestos!$D$5+SQRT(B464*(Supuestos!$F$5-Supuestos!$D$5)*(Supuestos!$E$5-Supuestos!$D$5)),Supuestos!$F$5-SQRT((1-B464)*(Supuestos!$F$5-Supuestos!$D$5)*(Supuestos!$F$5-Supuestos!$E$5))),IF(Supuestos!$C$5="Uniforme",Supuestos!$D$5+B464*(Supuestos!$E$5-Supuestos!$D$5),IF(Supuestos!$C$5="Lognormal",LOGINV(B464,LN(Supuestos!$D$5)-LN(1+Supuestos!$E$5^2/Supuestos!$D$5^2)/2,SQRT(LN(1+Supuestos!$E$5^2/Supuestos!$D$5^2))),Supuestos!$D$5))))))</f>
        <v/>
      </c>
      <c r="J464" s="31">
        <f>MIN(IF(Supuestos!$H$6="",1E+99,Supuestos!$H$6),MAX(IF(Supuestos!$G$6="",-1E+99,Supuestos!$G$6),IF(Supuestos!$C$6="Normal",NORMINV(C464,Supuestos!$D$6,Supuestos!$E$6),IF(Supuestos!$C$6="Triangular",IF(C464&lt;(Supuestos!$E$6-Supuestos!$D$6)/(Supuestos!$F$6-Supuestos!$D$6),Supuestos!$D$6+SQRT(C464*(Supuestos!$F$6-Supuestos!$D$6)*(Supuestos!$E$6-Supuestos!$D$6)),Supuestos!$F$6-SQRT((1-C464)*(Supuestos!$F$6-Supuestos!$D$6)*(Supuestos!$F$6-Supuestos!$E$6))),IF(Supuestos!$C$6="Uniforme",Supuestos!$D$6+C464*(Supuestos!$E$6-Supuestos!$D$6),IF(Supuestos!$C$6="Lognormal",LOGINV(C464,LN(Supuestos!$D$6)-LN(1+Supuestos!$E$6^2/Supuestos!$D$6^2)/2,SQRT(LN(1+Supuestos!$E$6^2/Supuestos!$D$6^2))),Supuestos!$D$6))))))</f>
        <v/>
      </c>
      <c r="K464" s="32">
        <f>MIN(IF(Supuestos!$H$7="",1E+99,Supuestos!$H$7),MAX(IF(Supuestos!$G$7="",-1E+99,Supuestos!$G$7),IF(Supuestos!$C$7="Normal",NORMINV(D464,Supuestos!$D$7,Supuestos!$E$7),IF(Supuestos!$C$7="Triangular",IF(D464&lt;(Supuestos!$E$7-Supuestos!$D$7)/(Supuestos!$F$7-Supuestos!$D$7),Supuestos!$D$7+SQRT(D464*(Supuestos!$F$7-Supuestos!$D$7)*(Supuestos!$E$7-Supuestos!$D$7)),Supuestos!$F$7-SQRT((1-D464)*(Supuestos!$F$7-Supuestos!$D$7)*(Supuestos!$F$7-Supuestos!$E$7))),IF(Supuestos!$C$7="Uniforme",Supuestos!$D$7+D464*(Supuestos!$E$7-Supuestos!$D$7),IF(Supuestos!$C$7="Lognormal",LOGINV(D464,LN(Supuestos!$D$7)-LN(1+Supuestos!$E$7^2/Supuestos!$D$7^2)/2,SQRT(LN(1+Supuestos!$E$7^2/Supuestos!$D$7^2))),Supuestos!$D$7))))))</f>
        <v/>
      </c>
      <c r="L464" s="32">
        <f>MIN(IF(Supuestos!$H$8="",1E+99,Supuestos!$H$8),MAX(IF(Supuestos!$G$8="",-1E+99,Supuestos!$G$8),IF(Supuestos!$C$8="Normal",NORMINV(E464,Supuestos!$D$8,Supuestos!$E$8),IF(Supuestos!$C$8="Triangular",IF(E464&lt;(Supuestos!$E$8-Supuestos!$D$8)/(Supuestos!$F$8-Supuestos!$D$8),Supuestos!$D$8+SQRT(E464*(Supuestos!$F$8-Supuestos!$D$8)*(Supuestos!$E$8-Supuestos!$D$8)),Supuestos!$F$8-SQRT((1-E464)*(Supuestos!$F$8-Supuestos!$D$8)*(Supuestos!$F$8-Supuestos!$E$8))),IF(Supuestos!$C$8="Uniforme",Supuestos!$D$8+E464*(Supuestos!$E$8-Supuestos!$D$8),IF(Supuestos!$C$8="Lognormal",LOGINV(E464,LN(Supuestos!$D$8)-LN(1+Supuestos!$E$8^2/Supuestos!$D$8^2)/2,SQRT(LN(1+Supuestos!$E$8^2/Supuestos!$D$8^2))),Supuestos!$D$8))))))</f>
        <v/>
      </c>
      <c r="M464" s="32">
        <f>MIN(IF(Supuestos!$H$9="",1E+99,Supuestos!$H$9),MAX(IF(Supuestos!$G$9="",-1E+99,Supuestos!$G$9),IF(Supuestos!$C$9="Normal",NORMINV(F464,Supuestos!$D$9,Supuestos!$E$9),IF(Supuestos!$C$9="Triangular",IF(F464&lt;(Supuestos!$E$9-Supuestos!$D$9)/(Supuestos!$F$9-Supuestos!$D$9),Supuestos!$D$9+SQRT(F464*(Supuestos!$F$9-Supuestos!$D$9)*(Supuestos!$E$9-Supuestos!$D$9)),Supuestos!$F$9-SQRT((1-F464)*(Supuestos!$F$9-Supuestos!$D$9)*(Supuestos!$F$9-Supuestos!$E$9))),IF(Supuestos!$C$9="Uniforme",Supuestos!$D$9+F464*(Supuestos!$E$9-Supuestos!$D$9),IF(Supuestos!$C$9="Lognormal",LOGINV(F464,LN(Supuestos!$D$9)-LN(1+Supuestos!$E$9^2/Supuestos!$D$9^2)/2,SQRT(LN(1+Supuestos!$E$9^2/Supuestos!$D$9^2))),Supuestos!$D$9))))))</f>
        <v/>
      </c>
      <c r="N464" s="32">
        <f>MIN(IF(Supuestos!$H$10="",1E+99,Supuestos!$H$10),MAX(IF(Supuestos!$G$10="",-1E+99,Supuestos!$G$10),IF(Supuestos!$C$10="Normal",NORMINV(G464,Supuestos!$D$10,Supuestos!$E$10),IF(Supuestos!$C$10="Triangular",IF(G464&lt;(Supuestos!$E$10-Supuestos!$D$10)/(Supuestos!$F$10-Supuestos!$D$10),Supuestos!$D$10+SQRT(G464*(Supuestos!$F$10-Supuestos!$D$10)*(Supuestos!$E$10-Supuestos!$D$10)),Supuestos!$F$10-SQRT((1-G464)*(Supuestos!$F$10-Supuestos!$D$10)*(Supuestos!$F$10-Supuestos!$E$10))),IF(Supuestos!$C$10="Uniforme",Supuestos!$D$10+G464*(Supuestos!$E$10-Supuestos!$D$10),IF(Supuestos!$C$10="Lognormal",LOGINV(G464,LN(Supuestos!$D$10)-LN(1+Supuestos!$E$10^2/Supuestos!$D$10^2)/2,SQRT(LN(1+Supuestos!$E$10^2/Supuestos!$D$10^2))),Supuestos!$D$10))))))</f>
        <v/>
      </c>
      <c r="O464" s="31">
        <f>MIN(IF(Supuestos!$H$11="",1E+99,Supuestos!$H$11),MAX(IF(Supuestos!$G$11="",-1E+99,Supuestos!$G$11),IF(Supuestos!$C$11="Normal",NORMINV(H464,Supuestos!$D$11,Supuestos!$E$11),IF(Supuestos!$C$11="Triangular",IF(H464&lt;(Supuestos!$E$11-Supuestos!$D$11)/(Supuestos!$F$11-Supuestos!$D$11),Supuestos!$D$11+SQRT(H464*(Supuestos!$F$11-Supuestos!$D$11)*(Supuestos!$E$11-Supuestos!$D$11)),Supuestos!$F$11-SQRT((1-H464)*(Supuestos!$F$11-Supuestos!$D$11)*(Supuestos!$F$11-Supuestos!$E$11))),IF(Supuestos!$C$11="Uniforme",Supuestos!$D$11+H464*(Supuestos!$E$11-Supuestos!$D$11),IF(Supuestos!$C$11="Lognormal",LOGINV(H464,LN(Supuestos!$D$11)-LN(1+Supuestos!$E$11^2/Supuestos!$D$11^2)/2,SQRT(LN(1+Supuestos!$E$11^2/Supuestos!$D$11^2))),Supuestos!$D$11))))))</f>
        <v/>
      </c>
      <c r="P464" s="33">
        <f>-I464</f>
        <v/>
      </c>
      <c r="Q464" s="33">
        <f>$J464*(1+$K464)^(1-1)*(1-$L464)*(1-$M464)</f>
        <v/>
      </c>
      <c r="R464" s="33">
        <f>$J464*(1+$K464)^(2-1)*(1-$L464)*(1-$M464)</f>
        <v/>
      </c>
      <c r="S464" s="33">
        <f>$J464*(1+$K464)^(3-1)*(1-$L464)*(1-$M464)</f>
        <v/>
      </c>
      <c r="T464" s="33">
        <f>$J464*(1+$K464)^(4-1)*(1-$L464)*(1-$M464)</f>
        <v/>
      </c>
      <c r="U464" s="33">
        <f>$J464*(1+$K464)^(5-1)*(1-$L464)*(1-$M464)+$O464</f>
        <v/>
      </c>
      <c r="V464" s="33">
        <f>P464+NPV($N464,Q464:U464)</f>
        <v/>
      </c>
      <c r="W464" s="32">
        <f>IFERROR(IRR(P464:U464,0.1),"")</f>
        <v/>
      </c>
    </row>
    <row r="465">
      <c r="A465" s="14" t="n">
        <v>461</v>
      </c>
      <c r="B465" s="30">
        <f>RAND()*(1-2E-6)+1E-6</f>
        <v/>
      </c>
      <c r="C465" s="30">
        <f>RAND()*(1-2E-6)+1E-6</f>
        <v/>
      </c>
      <c r="D465" s="30">
        <f>RAND()*(1-2E-6)+1E-6</f>
        <v/>
      </c>
      <c r="E465" s="30">
        <f>RAND()*(1-2E-6)+1E-6</f>
        <v/>
      </c>
      <c r="F465" s="30">
        <f>RAND()*(1-2E-6)+1E-6</f>
        <v/>
      </c>
      <c r="G465" s="30">
        <f>RAND()*(1-2E-6)+1E-6</f>
        <v/>
      </c>
      <c r="H465" s="30">
        <f>RAND()*(1-2E-6)+1E-6</f>
        <v/>
      </c>
      <c r="I465" s="31">
        <f>MIN(IF(Supuestos!$H$5="",1E+99,Supuestos!$H$5),MAX(IF(Supuestos!$G$5="",-1E+99,Supuestos!$G$5),IF(Supuestos!$C$5="Normal",NORMINV(B465,Supuestos!$D$5,Supuestos!$E$5),IF(Supuestos!$C$5="Triangular",IF(B465&lt;(Supuestos!$E$5-Supuestos!$D$5)/(Supuestos!$F$5-Supuestos!$D$5),Supuestos!$D$5+SQRT(B465*(Supuestos!$F$5-Supuestos!$D$5)*(Supuestos!$E$5-Supuestos!$D$5)),Supuestos!$F$5-SQRT((1-B465)*(Supuestos!$F$5-Supuestos!$D$5)*(Supuestos!$F$5-Supuestos!$E$5))),IF(Supuestos!$C$5="Uniforme",Supuestos!$D$5+B465*(Supuestos!$E$5-Supuestos!$D$5),IF(Supuestos!$C$5="Lognormal",LOGINV(B465,LN(Supuestos!$D$5)-LN(1+Supuestos!$E$5^2/Supuestos!$D$5^2)/2,SQRT(LN(1+Supuestos!$E$5^2/Supuestos!$D$5^2))),Supuestos!$D$5))))))</f>
        <v/>
      </c>
      <c r="J465" s="31">
        <f>MIN(IF(Supuestos!$H$6="",1E+99,Supuestos!$H$6),MAX(IF(Supuestos!$G$6="",-1E+99,Supuestos!$G$6),IF(Supuestos!$C$6="Normal",NORMINV(C465,Supuestos!$D$6,Supuestos!$E$6),IF(Supuestos!$C$6="Triangular",IF(C465&lt;(Supuestos!$E$6-Supuestos!$D$6)/(Supuestos!$F$6-Supuestos!$D$6),Supuestos!$D$6+SQRT(C465*(Supuestos!$F$6-Supuestos!$D$6)*(Supuestos!$E$6-Supuestos!$D$6)),Supuestos!$F$6-SQRT((1-C465)*(Supuestos!$F$6-Supuestos!$D$6)*(Supuestos!$F$6-Supuestos!$E$6))),IF(Supuestos!$C$6="Uniforme",Supuestos!$D$6+C465*(Supuestos!$E$6-Supuestos!$D$6),IF(Supuestos!$C$6="Lognormal",LOGINV(C465,LN(Supuestos!$D$6)-LN(1+Supuestos!$E$6^2/Supuestos!$D$6^2)/2,SQRT(LN(1+Supuestos!$E$6^2/Supuestos!$D$6^2))),Supuestos!$D$6))))))</f>
        <v/>
      </c>
      <c r="K465" s="32">
        <f>MIN(IF(Supuestos!$H$7="",1E+99,Supuestos!$H$7),MAX(IF(Supuestos!$G$7="",-1E+99,Supuestos!$G$7),IF(Supuestos!$C$7="Normal",NORMINV(D465,Supuestos!$D$7,Supuestos!$E$7),IF(Supuestos!$C$7="Triangular",IF(D465&lt;(Supuestos!$E$7-Supuestos!$D$7)/(Supuestos!$F$7-Supuestos!$D$7),Supuestos!$D$7+SQRT(D465*(Supuestos!$F$7-Supuestos!$D$7)*(Supuestos!$E$7-Supuestos!$D$7)),Supuestos!$F$7-SQRT((1-D465)*(Supuestos!$F$7-Supuestos!$D$7)*(Supuestos!$F$7-Supuestos!$E$7))),IF(Supuestos!$C$7="Uniforme",Supuestos!$D$7+D465*(Supuestos!$E$7-Supuestos!$D$7),IF(Supuestos!$C$7="Lognormal",LOGINV(D465,LN(Supuestos!$D$7)-LN(1+Supuestos!$E$7^2/Supuestos!$D$7^2)/2,SQRT(LN(1+Supuestos!$E$7^2/Supuestos!$D$7^2))),Supuestos!$D$7))))))</f>
        <v/>
      </c>
      <c r="L465" s="32">
        <f>MIN(IF(Supuestos!$H$8="",1E+99,Supuestos!$H$8),MAX(IF(Supuestos!$G$8="",-1E+99,Supuestos!$G$8),IF(Supuestos!$C$8="Normal",NORMINV(E465,Supuestos!$D$8,Supuestos!$E$8),IF(Supuestos!$C$8="Triangular",IF(E465&lt;(Supuestos!$E$8-Supuestos!$D$8)/(Supuestos!$F$8-Supuestos!$D$8),Supuestos!$D$8+SQRT(E465*(Supuestos!$F$8-Supuestos!$D$8)*(Supuestos!$E$8-Supuestos!$D$8)),Supuestos!$F$8-SQRT((1-E465)*(Supuestos!$F$8-Supuestos!$D$8)*(Supuestos!$F$8-Supuestos!$E$8))),IF(Supuestos!$C$8="Uniforme",Supuestos!$D$8+E465*(Supuestos!$E$8-Supuestos!$D$8),IF(Supuestos!$C$8="Lognormal",LOGINV(E465,LN(Supuestos!$D$8)-LN(1+Supuestos!$E$8^2/Supuestos!$D$8^2)/2,SQRT(LN(1+Supuestos!$E$8^2/Supuestos!$D$8^2))),Supuestos!$D$8))))))</f>
        <v/>
      </c>
      <c r="M465" s="32">
        <f>MIN(IF(Supuestos!$H$9="",1E+99,Supuestos!$H$9),MAX(IF(Supuestos!$G$9="",-1E+99,Supuestos!$G$9),IF(Supuestos!$C$9="Normal",NORMINV(F465,Supuestos!$D$9,Supuestos!$E$9),IF(Supuestos!$C$9="Triangular",IF(F465&lt;(Supuestos!$E$9-Supuestos!$D$9)/(Supuestos!$F$9-Supuestos!$D$9),Supuestos!$D$9+SQRT(F465*(Supuestos!$F$9-Supuestos!$D$9)*(Supuestos!$E$9-Supuestos!$D$9)),Supuestos!$F$9-SQRT((1-F465)*(Supuestos!$F$9-Supuestos!$D$9)*(Supuestos!$F$9-Supuestos!$E$9))),IF(Supuestos!$C$9="Uniforme",Supuestos!$D$9+F465*(Supuestos!$E$9-Supuestos!$D$9),IF(Supuestos!$C$9="Lognormal",LOGINV(F465,LN(Supuestos!$D$9)-LN(1+Supuestos!$E$9^2/Supuestos!$D$9^2)/2,SQRT(LN(1+Supuestos!$E$9^2/Supuestos!$D$9^2))),Supuestos!$D$9))))))</f>
        <v/>
      </c>
      <c r="N465" s="32">
        <f>MIN(IF(Supuestos!$H$10="",1E+99,Supuestos!$H$10),MAX(IF(Supuestos!$G$10="",-1E+99,Supuestos!$G$10),IF(Supuestos!$C$10="Normal",NORMINV(G465,Supuestos!$D$10,Supuestos!$E$10),IF(Supuestos!$C$10="Triangular",IF(G465&lt;(Supuestos!$E$10-Supuestos!$D$10)/(Supuestos!$F$10-Supuestos!$D$10),Supuestos!$D$10+SQRT(G465*(Supuestos!$F$10-Supuestos!$D$10)*(Supuestos!$E$10-Supuestos!$D$10)),Supuestos!$F$10-SQRT((1-G465)*(Supuestos!$F$10-Supuestos!$D$10)*(Supuestos!$F$10-Supuestos!$E$10))),IF(Supuestos!$C$10="Uniforme",Supuestos!$D$10+G465*(Supuestos!$E$10-Supuestos!$D$10),IF(Supuestos!$C$10="Lognormal",LOGINV(G465,LN(Supuestos!$D$10)-LN(1+Supuestos!$E$10^2/Supuestos!$D$10^2)/2,SQRT(LN(1+Supuestos!$E$10^2/Supuestos!$D$10^2))),Supuestos!$D$10))))))</f>
        <v/>
      </c>
      <c r="O465" s="31">
        <f>MIN(IF(Supuestos!$H$11="",1E+99,Supuestos!$H$11),MAX(IF(Supuestos!$G$11="",-1E+99,Supuestos!$G$11),IF(Supuestos!$C$11="Normal",NORMINV(H465,Supuestos!$D$11,Supuestos!$E$11),IF(Supuestos!$C$11="Triangular",IF(H465&lt;(Supuestos!$E$11-Supuestos!$D$11)/(Supuestos!$F$11-Supuestos!$D$11),Supuestos!$D$11+SQRT(H465*(Supuestos!$F$11-Supuestos!$D$11)*(Supuestos!$E$11-Supuestos!$D$11)),Supuestos!$F$11-SQRT((1-H465)*(Supuestos!$F$11-Supuestos!$D$11)*(Supuestos!$F$11-Supuestos!$E$11))),IF(Supuestos!$C$11="Uniforme",Supuestos!$D$11+H465*(Supuestos!$E$11-Supuestos!$D$11),IF(Supuestos!$C$11="Lognormal",LOGINV(H465,LN(Supuestos!$D$11)-LN(1+Supuestos!$E$11^2/Supuestos!$D$11^2)/2,SQRT(LN(1+Supuestos!$E$11^2/Supuestos!$D$11^2))),Supuestos!$D$11))))))</f>
        <v/>
      </c>
      <c r="P465" s="33">
        <f>-I465</f>
        <v/>
      </c>
      <c r="Q465" s="33">
        <f>$J465*(1+$K465)^(1-1)*(1-$L465)*(1-$M465)</f>
        <v/>
      </c>
      <c r="R465" s="33">
        <f>$J465*(1+$K465)^(2-1)*(1-$L465)*(1-$M465)</f>
        <v/>
      </c>
      <c r="S465" s="33">
        <f>$J465*(1+$K465)^(3-1)*(1-$L465)*(1-$M465)</f>
        <v/>
      </c>
      <c r="T465" s="33">
        <f>$J465*(1+$K465)^(4-1)*(1-$L465)*(1-$M465)</f>
        <v/>
      </c>
      <c r="U465" s="33">
        <f>$J465*(1+$K465)^(5-1)*(1-$L465)*(1-$M465)+$O465</f>
        <v/>
      </c>
      <c r="V465" s="33">
        <f>P465+NPV($N465,Q465:U465)</f>
        <v/>
      </c>
      <c r="W465" s="32">
        <f>IFERROR(IRR(P465:U465,0.1),"")</f>
        <v/>
      </c>
    </row>
    <row r="466">
      <c r="A466" s="14" t="n">
        <v>462</v>
      </c>
      <c r="B466" s="30">
        <f>RAND()*(1-2E-6)+1E-6</f>
        <v/>
      </c>
      <c r="C466" s="30">
        <f>RAND()*(1-2E-6)+1E-6</f>
        <v/>
      </c>
      <c r="D466" s="30">
        <f>RAND()*(1-2E-6)+1E-6</f>
        <v/>
      </c>
      <c r="E466" s="30">
        <f>RAND()*(1-2E-6)+1E-6</f>
        <v/>
      </c>
      <c r="F466" s="30">
        <f>RAND()*(1-2E-6)+1E-6</f>
        <v/>
      </c>
      <c r="G466" s="30">
        <f>RAND()*(1-2E-6)+1E-6</f>
        <v/>
      </c>
      <c r="H466" s="30">
        <f>RAND()*(1-2E-6)+1E-6</f>
        <v/>
      </c>
      <c r="I466" s="31">
        <f>MIN(IF(Supuestos!$H$5="",1E+99,Supuestos!$H$5),MAX(IF(Supuestos!$G$5="",-1E+99,Supuestos!$G$5),IF(Supuestos!$C$5="Normal",NORMINV(B466,Supuestos!$D$5,Supuestos!$E$5),IF(Supuestos!$C$5="Triangular",IF(B466&lt;(Supuestos!$E$5-Supuestos!$D$5)/(Supuestos!$F$5-Supuestos!$D$5),Supuestos!$D$5+SQRT(B466*(Supuestos!$F$5-Supuestos!$D$5)*(Supuestos!$E$5-Supuestos!$D$5)),Supuestos!$F$5-SQRT((1-B466)*(Supuestos!$F$5-Supuestos!$D$5)*(Supuestos!$F$5-Supuestos!$E$5))),IF(Supuestos!$C$5="Uniforme",Supuestos!$D$5+B466*(Supuestos!$E$5-Supuestos!$D$5),IF(Supuestos!$C$5="Lognormal",LOGINV(B466,LN(Supuestos!$D$5)-LN(1+Supuestos!$E$5^2/Supuestos!$D$5^2)/2,SQRT(LN(1+Supuestos!$E$5^2/Supuestos!$D$5^2))),Supuestos!$D$5))))))</f>
        <v/>
      </c>
      <c r="J466" s="31">
        <f>MIN(IF(Supuestos!$H$6="",1E+99,Supuestos!$H$6),MAX(IF(Supuestos!$G$6="",-1E+99,Supuestos!$G$6),IF(Supuestos!$C$6="Normal",NORMINV(C466,Supuestos!$D$6,Supuestos!$E$6),IF(Supuestos!$C$6="Triangular",IF(C466&lt;(Supuestos!$E$6-Supuestos!$D$6)/(Supuestos!$F$6-Supuestos!$D$6),Supuestos!$D$6+SQRT(C466*(Supuestos!$F$6-Supuestos!$D$6)*(Supuestos!$E$6-Supuestos!$D$6)),Supuestos!$F$6-SQRT((1-C466)*(Supuestos!$F$6-Supuestos!$D$6)*(Supuestos!$F$6-Supuestos!$E$6))),IF(Supuestos!$C$6="Uniforme",Supuestos!$D$6+C466*(Supuestos!$E$6-Supuestos!$D$6),IF(Supuestos!$C$6="Lognormal",LOGINV(C466,LN(Supuestos!$D$6)-LN(1+Supuestos!$E$6^2/Supuestos!$D$6^2)/2,SQRT(LN(1+Supuestos!$E$6^2/Supuestos!$D$6^2))),Supuestos!$D$6))))))</f>
        <v/>
      </c>
      <c r="K466" s="32">
        <f>MIN(IF(Supuestos!$H$7="",1E+99,Supuestos!$H$7),MAX(IF(Supuestos!$G$7="",-1E+99,Supuestos!$G$7),IF(Supuestos!$C$7="Normal",NORMINV(D466,Supuestos!$D$7,Supuestos!$E$7),IF(Supuestos!$C$7="Triangular",IF(D466&lt;(Supuestos!$E$7-Supuestos!$D$7)/(Supuestos!$F$7-Supuestos!$D$7),Supuestos!$D$7+SQRT(D466*(Supuestos!$F$7-Supuestos!$D$7)*(Supuestos!$E$7-Supuestos!$D$7)),Supuestos!$F$7-SQRT((1-D466)*(Supuestos!$F$7-Supuestos!$D$7)*(Supuestos!$F$7-Supuestos!$E$7))),IF(Supuestos!$C$7="Uniforme",Supuestos!$D$7+D466*(Supuestos!$E$7-Supuestos!$D$7),IF(Supuestos!$C$7="Lognormal",LOGINV(D466,LN(Supuestos!$D$7)-LN(1+Supuestos!$E$7^2/Supuestos!$D$7^2)/2,SQRT(LN(1+Supuestos!$E$7^2/Supuestos!$D$7^2))),Supuestos!$D$7))))))</f>
        <v/>
      </c>
      <c r="L466" s="32">
        <f>MIN(IF(Supuestos!$H$8="",1E+99,Supuestos!$H$8),MAX(IF(Supuestos!$G$8="",-1E+99,Supuestos!$G$8),IF(Supuestos!$C$8="Normal",NORMINV(E466,Supuestos!$D$8,Supuestos!$E$8),IF(Supuestos!$C$8="Triangular",IF(E466&lt;(Supuestos!$E$8-Supuestos!$D$8)/(Supuestos!$F$8-Supuestos!$D$8),Supuestos!$D$8+SQRT(E466*(Supuestos!$F$8-Supuestos!$D$8)*(Supuestos!$E$8-Supuestos!$D$8)),Supuestos!$F$8-SQRT((1-E466)*(Supuestos!$F$8-Supuestos!$D$8)*(Supuestos!$F$8-Supuestos!$E$8))),IF(Supuestos!$C$8="Uniforme",Supuestos!$D$8+E466*(Supuestos!$E$8-Supuestos!$D$8),IF(Supuestos!$C$8="Lognormal",LOGINV(E466,LN(Supuestos!$D$8)-LN(1+Supuestos!$E$8^2/Supuestos!$D$8^2)/2,SQRT(LN(1+Supuestos!$E$8^2/Supuestos!$D$8^2))),Supuestos!$D$8))))))</f>
        <v/>
      </c>
      <c r="M466" s="32">
        <f>MIN(IF(Supuestos!$H$9="",1E+99,Supuestos!$H$9),MAX(IF(Supuestos!$G$9="",-1E+99,Supuestos!$G$9),IF(Supuestos!$C$9="Normal",NORMINV(F466,Supuestos!$D$9,Supuestos!$E$9),IF(Supuestos!$C$9="Triangular",IF(F466&lt;(Supuestos!$E$9-Supuestos!$D$9)/(Supuestos!$F$9-Supuestos!$D$9),Supuestos!$D$9+SQRT(F466*(Supuestos!$F$9-Supuestos!$D$9)*(Supuestos!$E$9-Supuestos!$D$9)),Supuestos!$F$9-SQRT((1-F466)*(Supuestos!$F$9-Supuestos!$D$9)*(Supuestos!$F$9-Supuestos!$E$9))),IF(Supuestos!$C$9="Uniforme",Supuestos!$D$9+F466*(Supuestos!$E$9-Supuestos!$D$9),IF(Supuestos!$C$9="Lognormal",LOGINV(F466,LN(Supuestos!$D$9)-LN(1+Supuestos!$E$9^2/Supuestos!$D$9^2)/2,SQRT(LN(1+Supuestos!$E$9^2/Supuestos!$D$9^2))),Supuestos!$D$9))))))</f>
        <v/>
      </c>
      <c r="N466" s="32">
        <f>MIN(IF(Supuestos!$H$10="",1E+99,Supuestos!$H$10),MAX(IF(Supuestos!$G$10="",-1E+99,Supuestos!$G$10),IF(Supuestos!$C$10="Normal",NORMINV(G466,Supuestos!$D$10,Supuestos!$E$10),IF(Supuestos!$C$10="Triangular",IF(G466&lt;(Supuestos!$E$10-Supuestos!$D$10)/(Supuestos!$F$10-Supuestos!$D$10),Supuestos!$D$10+SQRT(G466*(Supuestos!$F$10-Supuestos!$D$10)*(Supuestos!$E$10-Supuestos!$D$10)),Supuestos!$F$10-SQRT((1-G466)*(Supuestos!$F$10-Supuestos!$D$10)*(Supuestos!$F$10-Supuestos!$E$10))),IF(Supuestos!$C$10="Uniforme",Supuestos!$D$10+G466*(Supuestos!$E$10-Supuestos!$D$10),IF(Supuestos!$C$10="Lognormal",LOGINV(G466,LN(Supuestos!$D$10)-LN(1+Supuestos!$E$10^2/Supuestos!$D$10^2)/2,SQRT(LN(1+Supuestos!$E$10^2/Supuestos!$D$10^2))),Supuestos!$D$10))))))</f>
        <v/>
      </c>
      <c r="O466" s="31">
        <f>MIN(IF(Supuestos!$H$11="",1E+99,Supuestos!$H$11),MAX(IF(Supuestos!$G$11="",-1E+99,Supuestos!$G$11),IF(Supuestos!$C$11="Normal",NORMINV(H466,Supuestos!$D$11,Supuestos!$E$11),IF(Supuestos!$C$11="Triangular",IF(H466&lt;(Supuestos!$E$11-Supuestos!$D$11)/(Supuestos!$F$11-Supuestos!$D$11),Supuestos!$D$11+SQRT(H466*(Supuestos!$F$11-Supuestos!$D$11)*(Supuestos!$E$11-Supuestos!$D$11)),Supuestos!$F$11-SQRT((1-H466)*(Supuestos!$F$11-Supuestos!$D$11)*(Supuestos!$F$11-Supuestos!$E$11))),IF(Supuestos!$C$11="Uniforme",Supuestos!$D$11+H466*(Supuestos!$E$11-Supuestos!$D$11),IF(Supuestos!$C$11="Lognormal",LOGINV(H466,LN(Supuestos!$D$11)-LN(1+Supuestos!$E$11^2/Supuestos!$D$11^2)/2,SQRT(LN(1+Supuestos!$E$11^2/Supuestos!$D$11^2))),Supuestos!$D$11))))))</f>
        <v/>
      </c>
      <c r="P466" s="33">
        <f>-I466</f>
        <v/>
      </c>
      <c r="Q466" s="33">
        <f>$J466*(1+$K466)^(1-1)*(1-$L466)*(1-$M466)</f>
        <v/>
      </c>
      <c r="R466" s="33">
        <f>$J466*(1+$K466)^(2-1)*(1-$L466)*(1-$M466)</f>
        <v/>
      </c>
      <c r="S466" s="33">
        <f>$J466*(1+$K466)^(3-1)*(1-$L466)*(1-$M466)</f>
        <v/>
      </c>
      <c r="T466" s="33">
        <f>$J466*(1+$K466)^(4-1)*(1-$L466)*(1-$M466)</f>
        <v/>
      </c>
      <c r="U466" s="33">
        <f>$J466*(1+$K466)^(5-1)*(1-$L466)*(1-$M466)+$O466</f>
        <v/>
      </c>
      <c r="V466" s="33">
        <f>P466+NPV($N466,Q466:U466)</f>
        <v/>
      </c>
      <c r="W466" s="32">
        <f>IFERROR(IRR(P466:U466,0.1),"")</f>
        <v/>
      </c>
    </row>
    <row r="467">
      <c r="A467" s="14" t="n">
        <v>463</v>
      </c>
      <c r="B467" s="30">
        <f>RAND()*(1-2E-6)+1E-6</f>
        <v/>
      </c>
      <c r="C467" s="30">
        <f>RAND()*(1-2E-6)+1E-6</f>
        <v/>
      </c>
      <c r="D467" s="30">
        <f>RAND()*(1-2E-6)+1E-6</f>
        <v/>
      </c>
      <c r="E467" s="30">
        <f>RAND()*(1-2E-6)+1E-6</f>
        <v/>
      </c>
      <c r="F467" s="30">
        <f>RAND()*(1-2E-6)+1E-6</f>
        <v/>
      </c>
      <c r="G467" s="30">
        <f>RAND()*(1-2E-6)+1E-6</f>
        <v/>
      </c>
      <c r="H467" s="30">
        <f>RAND()*(1-2E-6)+1E-6</f>
        <v/>
      </c>
      <c r="I467" s="31">
        <f>MIN(IF(Supuestos!$H$5="",1E+99,Supuestos!$H$5),MAX(IF(Supuestos!$G$5="",-1E+99,Supuestos!$G$5),IF(Supuestos!$C$5="Normal",NORMINV(B467,Supuestos!$D$5,Supuestos!$E$5),IF(Supuestos!$C$5="Triangular",IF(B467&lt;(Supuestos!$E$5-Supuestos!$D$5)/(Supuestos!$F$5-Supuestos!$D$5),Supuestos!$D$5+SQRT(B467*(Supuestos!$F$5-Supuestos!$D$5)*(Supuestos!$E$5-Supuestos!$D$5)),Supuestos!$F$5-SQRT((1-B467)*(Supuestos!$F$5-Supuestos!$D$5)*(Supuestos!$F$5-Supuestos!$E$5))),IF(Supuestos!$C$5="Uniforme",Supuestos!$D$5+B467*(Supuestos!$E$5-Supuestos!$D$5),IF(Supuestos!$C$5="Lognormal",LOGINV(B467,LN(Supuestos!$D$5)-LN(1+Supuestos!$E$5^2/Supuestos!$D$5^2)/2,SQRT(LN(1+Supuestos!$E$5^2/Supuestos!$D$5^2))),Supuestos!$D$5))))))</f>
        <v/>
      </c>
      <c r="J467" s="31">
        <f>MIN(IF(Supuestos!$H$6="",1E+99,Supuestos!$H$6),MAX(IF(Supuestos!$G$6="",-1E+99,Supuestos!$G$6),IF(Supuestos!$C$6="Normal",NORMINV(C467,Supuestos!$D$6,Supuestos!$E$6),IF(Supuestos!$C$6="Triangular",IF(C467&lt;(Supuestos!$E$6-Supuestos!$D$6)/(Supuestos!$F$6-Supuestos!$D$6),Supuestos!$D$6+SQRT(C467*(Supuestos!$F$6-Supuestos!$D$6)*(Supuestos!$E$6-Supuestos!$D$6)),Supuestos!$F$6-SQRT((1-C467)*(Supuestos!$F$6-Supuestos!$D$6)*(Supuestos!$F$6-Supuestos!$E$6))),IF(Supuestos!$C$6="Uniforme",Supuestos!$D$6+C467*(Supuestos!$E$6-Supuestos!$D$6),IF(Supuestos!$C$6="Lognormal",LOGINV(C467,LN(Supuestos!$D$6)-LN(1+Supuestos!$E$6^2/Supuestos!$D$6^2)/2,SQRT(LN(1+Supuestos!$E$6^2/Supuestos!$D$6^2))),Supuestos!$D$6))))))</f>
        <v/>
      </c>
      <c r="K467" s="32">
        <f>MIN(IF(Supuestos!$H$7="",1E+99,Supuestos!$H$7),MAX(IF(Supuestos!$G$7="",-1E+99,Supuestos!$G$7),IF(Supuestos!$C$7="Normal",NORMINV(D467,Supuestos!$D$7,Supuestos!$E$7),IF(Supuestos!$C$7="Triangular",IF(D467&lt;(Supuestos!$E$7-Supuestos!$D$7)/(Supuestos!$F$7-Supuestos!$D$7),Supuestos!$D$7+SQRT(D467*(Supuestos!$F$7-Supuestos!$D$7)*(Supuestos!$E$7-Supuestos!$D$7)),Supuestos!$F$7-SQRT((1-D467)*(Supuestos!$F$7-Supuestos!$D$7)*(Supuestos!$F$7-Supuestos!$E$7))),IF(Supuestos!$C$7="Uniforme",Supuestos!$D$7+D467*(Supuestos!$E$7-Supuestos!$D$7),IF(Supuestos!$C$7="Lognormal",LOGINV(D467,LN(Supuestos!$D$7)-LN(1+Supuestos!$E$7^2/Supuestos!$D$7^2)/2,SQRT(LN(1+Supuestos!$E$7^2/Supuestos!$D$7^2))),Supuestos!$D$7))))))</f>
        <v/>
      </c>
      <c r="L467" s="32">
        <f>MIN(IF(Supuestos!$H$8="",1E+99,Supuestos!$H$8),MAX(IF(Supuestos!$G$8="",-1E+99,Supuestos!$G$8),IF(Supuestos!$C$8="Normal",NORMINV(E467,Supuestos!$D$8,Supuestos!$E$8),IF(Supuestos!$C$8="Triangular",IF(E467&lt;(Supuestos!$E$8-Supuestos!$D$8)/(Supuestos!$F$8-Supuestos!$D$8),Supuestos!$D$8+SQRT(E467*(Supuestos!$F$8-Supuestos!$D$8)*(Supuestos!$E$8-Supuestos!$D$8)),Supuestos!$F$8-SQRT((1-E467)*(Supuestos!$F$8-Supuestos!$D$8)*(Supuestos!$F$8-Supuestos!$E$8))),IF(Supuestos!$C$8="Uniforme",Supuestos!$D$8+E467*(Supuestos!$E$8-Supuestos!$D$8),IF(Supuestos!$C$8="Lognormal",LOGINV(E467,LN(Supuestos!$D$8)-LN(1+Supuestos!$E$8^2/Supuestos!$D$8^2)/2,SQRT(LN(1+Supuestos!$E$8^2/Supuestos!$D$8^2))),Supuestos!$D$8))))))</f>
        <v/>
      </c>
      <c r="M467" s="32">
        <f>MIN(IF(Supuestos!$H$9="",1E+99,Supuestos!$H$9),MAX(IF(Supuestos!$G$9="",-1E+99,Supuestos!$G$9),IF(Supuestos!$C$9="Normal",NORMINV(F467,Supuestos!$D$9,Supuestos!$E$9),IF(Supuestos!$C$9="Triangular",IF(F467&lt;(Supuestos!$E$9-Supuestos!$D$9)/(Supuestos!$F$9-Supuestos!$D$9),Supuestos!$D$9+SQRT(F467*(Supuestos!$F$9-Supuestos!$D$9)*(Supuestos!$E$9-Supuestos!$D$9)),Supuestos!$F$9-SQRT((1-F467)*(Supuestos!$F$9-Supuestos!$D$9)*(Supuestos!$F$9-Supuestos!$E$9))),IF(Supuestos!$C$9="Uniforme",Supuestos!$D$9+F467*(Supuestos!$E$9-Supuestos!$D$9),IF(Supuestos!$C$9="Lognormal",LOGINV(F467,LN(Supuestos!$D$9)-LN(1+Supuestos!$E$9^2/Supuestos!$D$9^2)/2,SQRT(LN(1+Supuestos!$E$9^2/Supuestos!$D$9^2))),Supuestos!$D$9))))))</f>
        <v/>
      </c>
      <c r="N467" s="32">
        <f>MIN(IF(Supuestos!$H$10="",1E+99,Supuestos!$H$10),MAX(IF(Supuestos!$G$10="",-1E+99,Supuestos!$G$10),IF(Supuestos!$C$10="Normal",NORMINV(G467,Supuestos!$D$10,Supuestos!$E$10),IF(Supuestos!$C$10="Triangular",IF(G467&lt;(Supuestos!$E$10-Supuestos!$D$10)/(Supuestos!$F$10-Supuestos!$D$10),Supuestos!$D$10+SQRT(G467*(Supuestos!$F$10-Supuestos!$D$10)*(Supuestos!$E$10-Supuestos!$D$10)),Supuestos!$F$10-SQRT((1-G467)*(Supuestos!$F$10-Supuestos!$D$10)*(Supuestos!$F$10-Supuestos!$E$10))),IF(Supuestos!$C$10="Uniforme",Supuestos!$D$10+G467*(Supuestos!$E$10-Supuestos!$D$10),IF(Supuestos!$C$10="Lognormal",LOGINV(G467,LN(Supuestos!$D$10)-LN(1+Supuestos!$E$10^2/Supuestos!$D$10^2)/2,SQRT(LN(1+Supuestos!$E$10^2/Supuestos!$D$10^2))),Supuestos!$D$10))))))</f>
        <v/>
      </c>
      <c r="O467" s="31">
        <f>MIN(IF(Supuestos!$H$11="",1E+99,Supuestos!$H$11),MAX(IF(Supuestos!$G$11="",-1E+99,Supuestos!$G$11),IF(Supuestos!$C$11="Normal",NORMINV(H467,Supuestos!$D$11,Supuestos!$E$11),IF(Supuestos!$C$11="Triangular",IF(H467&lt;(Supuestos!$E$11-Supuestos!$D$11)/(Supuestos!$F$11-Supuestos!$D$11),Supuestos!$D$11+SQRT(H467*(Supuestos!$F$11-Supuestos!$D$11)*(Supuestos!$E$11-Supuestos!$D$11)),Supuestos!$F$11-SQRT((1-H467)*(Supuestos!$F$11-Supuestos!$D$11)*(Supuestos!$F$11-Supuestos!$E$11))),IF(Supuestos!$C$11="Uniforme",Supuestos!$D$11+H467*(Supuestos!$E$11-Supuestos!$D$11),IF(Supuestos!$C$11="Lognormal",LOGINV(H467,LN(Supuestos!$D$11)-LN(1+Supuestos!$E$11^2/Supuestos!$D$11^2)/2,SQRT(LN(1+Supuestos!$E$11^2/Supuestos!$D$11^2))),Supuestos!$D$11))))))</f>
        <v/>
      </c>
      <c r="P467" s="33">
        <f>-I467</f>
        <v/>
      </c>
      <c r="Q467" s="33">
        <f>$J467*(1+$K467)^(1-1)*(1-$L467)*(1-$M467)</f>
        <v/>
      </c>
      <c r="R467" s="33">
        <f>$J467*(1+$K467)^(2-1)*(1-$L467)*(1-$M467)</f>
        <v/>
      </c>
      <c r="S467" s="33">
        <f>$J467*(1+$K467)^(3-1)*(1-$L467)*(1-$M467)</f>
        <v/>
      </c>
      <c r="T467" s="33">
        <f>$J467*(1+$K467)^(4-1)*(1-$L467)*(1-$M467)</f>
        <v/>
      </c>
      <c r="U467" s="33">
        <f>$J467*(1+$K467)^(5-1)*(1-$L467)*(1-$M467)+$O467</f>
        <v/>
      </c>
      <c r="V467" s="33">
        <f>P467+NPV($N467,Q467:U467)</f>
        <v/>
      </c>
      <c r="W467" s="32">
        <f>IFERROR(IRR(P467:U467,0.1),"")</f>
        <v/>
      </c>
    </row>
    <row r="468">
      <c r="A468" s="14" t="n">
        <v>464</v>
      </c>
      <c r="B468" s="30">
        <f>RAND()*(1-2E-6)+1E-6</f>
        <v/>
      </c>
      <c r="C468" s="30">
        <f>RAND()*(1-2E-6)+1E-6</f>
        <v/>
      </c>
      <c r="D468" s="30">
        <f>RAND()*(1-2E-6)+1E-6</f>
        <v/>
      </c>
      <c r="E468" s="30">
        <f>RAND()*(1-2E-6)+1E-6</f>
        <v/>
      </c>
      <c r="F468" s="30">
        <f>RAND()*(1-2E-6)+1E-6</f>
        <v/>
      </c>
      <c r="G468" s="30">
        <f>RAND()*(1-2E-6)+1E-6</f>
        <v/>
      </c>
      <c r="H468" s="30">
        <f>RAND()*(1-2E-6)+1E-6</f>
        <v/>
      </c>
      <c r="I468" s="31">
        <f>MIN(IF(Supuestos!$H$5="",1E+99,Supuestos!$H$5),MAX(IF(Supuestos!$G$5="",-1E+99,Supuestos!$G$5),IF(Supuestos!$C$5="Normal",NORMINV(B468,Supuestos!$D$5,Supuestos!$E$5),IF(Supuestos!$C$5="Triangular",IF(B468&lt;(Supuestos!$E$5-Supuestos!$D$5)/(Supuestos!$F$5-Supuestos!$D$5),Supuestos!$D$5+SQRT(B468*(Supuestos!$F$5-Supuestos!$D$5)*(Supuestos!$E$5-Supuestos!$D$5)),Supuestos!$F$5-SQRT((1-B468)*(Supuestos!$F$5-Supuestos!$D$5)*(Supuestos!$F$5-Supuestos!$E$5))),IF(Supuestos!$C$5="Uniforme",Supuestos!$D$5+B468*(Supuestos!$E$5-Supuestos!$D$5),IF(Supuestos!$C$5="Lognormal",LOGINV(B468,LN(Supuestos!$D$5)-LN(1+Supuestos!$E$5^2/Supuestos!$D$5^2)/2,SQRT(LN(1+Supuestos!$E$5^2/Supuestos!$D$5^2))),Supuestos!$D$5))))))</f>
        <v/>
      </c>
      <c r="J468" s="31">
        <f>MIN(IF(Supuestos!$H$6="",1E+99,Supuestos!$H$6),MAX(IF(Supuestos!$G$6="",-1E+99,Supuestos!$G$6),IF(Supuestos!$C$6="Normal",NORMINV(C468,Supuestos!$D$6,Supuestos!$E$6),IF(Supuestos!$C$6="Triangular",IF(C468&lt;(Supuestos!$E$6-Supuestos!$D$6)/(Supuestos!$F$6-Supuestos!$D$6),Supuestos!$D$6+SQRT(C468*(Supuestos!$F$6-Supuestos!$D$6)*(Supuestos!$E$6-Supuestos!$D$6)),Supuestos!$F$6-SQRT((1-C468)*(Supuestos!$F$6-Supuestos!$D$6)*(Supuestos!$F$6-Supuestos!$E$6))),IF(Supuestos!$C$6="Uniforme",Supuestos!$D$6+C468*(Supuestos!$E$6-Supuestos!$D$6),IF(Supuestos!$C$6="Lognormal",LOGINV(C468,LN(Supuestos!$D$6)-LN(1+Supuestos!$E$6^2/Supuestos!$D$6^2)/2,SQRT(LN(1+Supuestos!$E$6^2/Supuestos!$D$6^2))),Supuestos!$D$6))))))</f>
        <v/>
      </c>
      <c r="K468" s="32">
        <f>MIN(IF(Supuestos!$H$7="",1E+99,Supuestos!$H$7),MAX(IF(Supuestos!$G$7="",-1E+99,Supuestos!$G$7),IF(Supuestos!$C$7="Normal",NORMINV(D468,Supuestos!$D$7,Supuestos!$E$7),IF(Supuestos!$C$7="Triangular",IF(D468&lt;(Supuestos!$E$7-Supuestos!$D$7)/(Supuestos!$F$7-Supuestos!$D$7),Supuestos!$D$7+SQRT(D468*(Supuestos!$F$7-Supuestos!$D$7)*(Supuestos!$E$7-Supuestos!$D$7)),Supuestos!$F$7-SQRT((1-D468)*(Supuestos!$F$7-Supuestos!$D$7)*(Supuestos!$F$7-Supuestos!$E$7))),IF(Supuestos!$C$7="Uniforme",Supuestos!$D$7+D468*(Supuestos!$E$7-Supuestos!$D$7),IF(Supuestos!$C$7="Lognormal",LOGINV(D468,LN(Supuestos!$D$7)-LN(1+Supuestos!$E$7^2/Supuestos!$D$7^2)/2,SQRT(LN(1+Supuestos!$E$7^2/Supuestos!$D$7^2))),Supuestos!$D$7))))))</f>
        <v/>
      </c>
      <c r="L468" s="32">
        <f>MIN(IF(Supuestos!$H$8="",1E+99,Supuestos!$H$8),MAX(IF(Supuestos!$G$8="",-1E+99,Supuestos!$G$8),IF(Supuestos!$C$8="Normal",NORMINV(E468,Supuestos!$D$8,Supuestos!$E$8),IF(Supuestos!$C$8="Triangular",IF(E468&lt;(Supuestos!$E$8-Supuestos!$D$8)/(Supuestos!$F$8-Supuestos!$D$8),Supuestos!$D$8+SQRT(E468*(Supuestos!$F$8-Supuestos!$D$8)*(Supuestos!$E$8-Supuestos!$D$8)),Supuestos!$F$8-SQRT((1-E468)*(Supuestos!$F$8-Supuestos!$D$8)*(Supuestos!$F$8-Supuestos!$E$8))),IF(Supuestos!$C$8="Uniforme",Supuestos!$D$8+E468*(Supuestos!$E$8-Supuestos!$D$8),IF(Supuestos!$C$8="Lognormal",LOGINV(E468,LN(Supuestos!$D$8)-LN(1+Supuestos!$E$8^2/Supuestos!$D$8^2)/2,SQRT(LN(1+Supuestos!$E$8^2/Supuestos!$D$8^2))),Supuestos!$D$8))))))</f>
        <v/>
      </c>
      <c r="M468" s="32">
        <f>MIN(IF(Supuestos!$H$9="",1E+99,Supuestos!$H$9),MAX(IF(Supuestos!$G$9="",-1E+99,Supuestos!$G$9),IF(Supuestos!$C$9="Normal",NORMINV(F468,Supuestos!$D$9,Supuestos!$E$9),IF(Supuestos!$C$9="Triangular",IF(F468&lt;(Supuestos!$E$9-Supuestos!$D$9)/(Supuestos!$F$9-Supuestos!$D$9),Supuestos!$D$9+SQRT(F468*(Supuestos!$F$9-Supuestos!$D$9)*(Supuestos!$E$9-Supuestos!$D$9)),Supuestos!$F$9-SQRT((1-F468)*(Supuestos!$F$9-Supuestos!$D$9)*(Supuestos!$F$9-Supuestos!$E$9))),IF(Supuestos!$C$9="Uniforme",Supuestos!$D$9+F468*(Supuestos!$E$9-Supuestos!$D$9),IF(Supuestos!$C$9="Lognormal",LOGINV(F468,LN(Supuestos!$D$9)-LN(1+Supuestos!$E$9^2/Supuestos!$D$9^2)/2,SQRT(LN(1+Supuestos!$E$9^2/Supuestos!$D$9^2))),Supuestos!$D$9))))))</f>
        <v/>
      </c>
      <c r="N468" s="32">
        <f>MIN(IF(Supuestos!$H$10="",1E+99,Supuestos!$H$10),MAX(IF(Supuestos!$G$10="",-1E+99,Supuestos!$G$10),IF(Supuestos!$C$10="Normal",NORMINV(G468,Supuestos!$D$10,Supuestos!$E$10),IF(Supuestos!$C$10="Triangular",IF(G468&lt;(Supuestos!$E$10-Supuestos!$D$10)/(Supuestos!$F$10-Supuestos!$D$10),Supuestos!$D$10+SQRT(G468*(Supuestos!$F$10-Supuestos!$D$10)*(Supuestos!$E$10-Supuestos!$D$10)),Supuestos!$F$10-SQRT((1-G468)*(Supuestos!$F$10-Supuestos!$D$10)*(Supuestos!$F$10-Supuestos!$E$10))),IF(Supuestos!$C$10="Uniforme",Supuestos!$D$10+G468*(Supuestos!$E$10-Supuestos!$D$10),IF(Supuestos!$C$10="Lognormal",LOGINV(G468,LN(Supuestos!$D$10)-LN(1+Supuestos!$E$10^2/Supuestos!$D$10^2)/2,SQRT(LN(1+Supuestos!$E$10^2/Supuestos!$D$10^2))),Supuestos!$D$10))))))</f>
        <v/>
      </c>
      <c r="O468" s="31">
        <f>MIN(IF(Supuestos!$H$11="",1E+99,Supuestos!$H$11),MAX(IF(Supuestos!$G$11="",-1E+99,Supuestos!$G$11),IF(Supuestos!$C$11="Normal",NORMINV(H468,Supuestos!$D$11,Supuestos!$E$11),IF(Supuestos!$C$11="Triangular",IF(H468&lt;(Supuestos!$E$11-Supuestos!$D$11)/(Supuestos!$F$11-Supuestos!$D$11),Supuestos!$D$11+SQRT(H468*(Supuestos!$F$11-Supuestos!$D$11)*(Supuestos!$E$11-Supuestos!$D$11)),Supuestos!$F$11-SQRT((1-H468)*(Supuestos!$F$11-Supuestos!$D$11)*(Supuestos!$F$11-Supuestos!$E$11))),IF(Supuestos!$C$11="Uniforme",Supuestos!$D$11+H468*(Supuestos!$E$11-Supuestos!$D$11),IF(Supuestos!$C$11="Lognormal",LOGINV(H468,LN(Supuestos!$D$11)-LN(1+Supuestos!$E$11^2/Supuestos!$D$11^2)/2,SQRT(LN(1+Supuestos!$E$11^2/Supuestos!$D$11^2))),Supuestos!$D$11))))))</f>
        <v/>
      </c>
      <c r="P468" s="33">
        <f>-I468</f>
        <v/>
      </c>
      <c r="Q468" s="33">
        <f>$J468*(1+$K468)^(1-1)*(1-$L468)*(1-$M468)</f>
        <v/>
      </c>
      <c r="R468" s="33">
        <f>$J468*(1+$K468)^(2-1)*(1-$L468)*(1-$M468)</f>
        <v/>
      </c>
      <c r="S468" s="33">
        <f>$J468*(1+$K468)^(3-1)*(1-$L468)*(1-$M468)</f>
        <v/>
      </c>
      <c r="T468" s="33">
        <f>$J468*(1+$K468)^(4-1)*(1-$L468)*(1-$M468)</f>
        <v/>
      </c>
      <c r="U468" s="33">
        <f>$J468*(1+$K468)^(5-1)*(1-$L468)*(1-$M468)+$O468</f>
        <v/>
      </c>
      <c r="V468" s="33">
        <f>P468+NPV($N468,Q468:U468)</f>
        <v/>
      </c>
      <c r="W468" s="32">
        <f>IFERROR(IRR(P468:U468,0.1),"")</f>
        <v/>
      </c>
    </row>
    <row r="469">
      <c r="A469" s="14" t="n">
        <v>465</v>
      </c>
      <c r="B469" s="30">
        <f>RAND()*(1-2E-6)+1E-6</f>
        <v/>
      </c>
      <c r="C469" s="30">
        <f>RAND()*(1-2E-6)+1E-6</f>
        <v/>
      </c>
      <c r="D469" s="30">
        <f>RAND()*(1-2E-6)+1E-6</f>
        <v/>
      </c>
      <c r="E469" s="30">
        <f>RAND()*(1-2E-6)+1E-6</f>
        <v/>
      </c>
      <c r="F469" s="30">
        <f>RAND()*(1-2E-6)+1E-6</f>
        <v/>
      </c>
      <c r="G469" s="30">
        <f>RAND()*(1-2E-6)+1E-6</f>
        <v/>
      </c>
      <c r="H469" s="30">
        <f>RAND()*(1-2E-6)+1E-6</f>
        <v/>
      </c>
      <c r="I469" s="31">
        <f>MIN(IF(Supuestos!$H$5="",1E+99,Supuestos!$H$5),MAX(IF(Supuestos!$G$5="",-1E+99,Supuestos!$G$5),IF(Supuestos!$C$5="Normal",NORMINV(B469,Supuestos!$D$5,Supuestos!$E$5),IF(Supuestos!$C$5="Triangular",IF(B469&lt;(Supuestos!$E$5-Supuestos!$D$5)/(Supuestos!$F$5-Supuestos!$D$5),Supuestos!$D$5+SQRT(B469*(Supuestos!$F$5-Supuestos!$D$5)*(Supuestos!$E$5-Supuestos!$D$5)),Supuestos!$F$5-SQRT((1-B469)*(Supuestos!$F$5-Supuestos!$D$5)*(Supuestos!$F$5-Supuestos!$E$5))),IF(Supuestos!$C$5="Uniforme",Supuestos!$D$5+B469*(Supuestos!$E$5-Supuestos!$D$5),IF(Supuestos!$C$5="Lognormal",LOGINV(B469,LN(Supuestos!$D$5)-LN(1+Supuestos!$E$5^2/Supuestos!$D$5^2)/2,SQRT(LN(1+Supuestos!$E$5^2/Supuestos!$D$5^2))),Supuestos!$D$5))))))</f>
        <v/>
      </c>
      <c r="J469" s="31">
        <f>MIN(IF(Supuestos!$H$6="",1E+99,Supuestos!$H$6),MAX(IF(Supuestos!$G$6="",-1E+99,Supuestos!$G$6),IF(Supuestos!$C$6="Normal",NORMINV(C469,Supuestos!$D$6,Supuestos!$E$6),IF(Supuestos!$C$6="Triangular",IF(C469&lt;(Supuestos!$E$6-Supuestos!$D$6)/(Supuestos!$F$6-Supuestos!$D$6),Supuestos!$D$6+SQRT(C469*(Supuestos!$F$6-Supuestos!$D$6)*(Supuestos!$E$6-Supuestos!$D$6)),Supuestos!$F$6-SQRT((1-C469)*(Supuestos!$F$6-Supuestos!$D$6)*(Supuestos!$F$6-Supuestos!$E$6))),IF(Supuestos!$C$6="Uniforme",Supuestos!$D$6+C469*(Supuestos!$E$6-Supuestos!$D$6),IF(Supuestos!$C$6="Lognormal",LOGINV(C469,LN(Supuestos!$D$6)-LN(1+Supuestos!$E$6^2/Supuestos!$D$6^2)/2,SQRT(LN(1+Supuestos!$E$6^2/Supuestos!$D$6^2))),Supuestos!$D$6))))))</f>
        <v/>
      </c>
      <c r="K469" s="32">
        <f>MIN(IF(Supuestos!$H$7="",1E+99,Supuestos!$H$7),MAX(IF(Supuestos!$G$7="",-1E+99,Supuestos!$G$7),IF(Supuestos!$C$7="Normal",NORMINV(D469,Supuestos!$D$7,Supuestos!$E$7),IF(Supuestos!$C$7="Triangular",IF(D469&lt;(Supuestos!$E$7-Supuestos!$D$7)/(Supuestos!$F$7-Supuestos!$D$7),Supuestos!$D$7+SQRT(D469*(Supuestos!$F$7-Supuestos!$D$7)*(Supuestos!$E$7-Supuestos!$D$7)),Supuestos!$F$7-SQRT((1-D469)*(Supuestos!$F$7-Supuestos!$D$7)*(Supuestos!$F$7-Supuestos!$E$7))),IF(Supuestos!$C$7="Uniforme",Supuestos!$D$7+D469*(Supuestos!$E$7-Supuestos!$D$7),IF(Supuestos!$C$7="Lognormal",LOGINV(D469,LN(Supuestos!$D$7)-LN(1+Supuestos!$E$7^2/Supuestos!$D$7^2)/2,SQRT(LN(1+Supuestos!$E$7^2/Supuestos!$D$7^2))),Supuestos!$D$7))))))</f>
        <v/>
      </c>
      <c r="L469" s="32">
        <f>MIN(IF(Supuestos!$H$8="",1E+99,Supuestos!$H$8),MAX(IF(Supuestos!$G$8="",-1E+99,Supuestos!$G$8),IF(Supuestos!$C$8="Normal",NORMINV(E469,Supuestos!$D$8,Supuestos!$E$8),IF(Supuestos!$C$8="Triangular",IF(E469&lt;(Supuestos!$E$8-Supuestos!$D$8)/(Supuestos!$F$8-Supuestos!$D$8),Supuestos!$D$8+SQRT(E469*(Supuestos!$F$8-Supuestos!$D$8)*(Supuestos!$E$8-Supuestos!$D$8)),Supuestos!$F$8-SQRT((1-E469)*(Supuestos!$F$8-Supuestos!$D$8)*(Supuestos!$F$8-Supuestos!$E$8))),IF(Supuestos!$C$8="Uniforme",Supuestos!$D$8+E469*(Supuestos!$E$8-Supuestos!$D$8),IF(Supuestos!$C$8="Lognormal",LOGINV(E469,LN(Supuestos!$D$8)-LN(1+Supuestos!$E$8^2/Supuestos!$D$8^2)/2,SQRT(LN(1+Supuestos!$E$8^2/Supuestos!$D$8^2))),Supuestos!$D$8))))))</f>
        <v/>
      </c>
      <c r="M469" s="32">
        <f>MIN(IF(Supuestos!$H$9="",1E+99,Supuestos!$H$9),MAX(IF(Supuestos!$G$9="",-1E+99,Supuestos!$G$9),IF(Supuestos!$C$9="Normal",NORMINV(F469,Supuestos!$D$9,Supuestos!$E$9),IF(Supuestos!$C$9="Triangular",IF(F469&lt;(Supuestos!$E$9-Supuestos!$D$9)/(Supuestos!$F$9-Supuestos!$D$9),Supuestos!$D$9+SQRT(F469*(Supuestos!$F$9-Supuestos!$D$9)*(Supuestos!$E$9-Supuestos!$D$9)),Supuestos!$F$9-SQRT((1-F469)*(Supuestos!$F$9-Supuestos!$D$9)*(Supuestos!$F$9-Supuestos!$E$9))),IF(Supuestos!$C$9="Uniforme",Supuestos!$D$9+F469*(Supuestos!$E$9-Supuestos!$D$9),IF(Supuestos!$C$9="Lognormal",LOGINV(F469,LN(Supuestos!$D$9)-LN(1+Supuestos!$E$9^2/Supuestos!$D$9^2)/2,SQRT(LN(1+Supuestos!$E$9^2/Supuestos!$D$9^2))),Supuestos!$D$9))))))</f>
        <v/>
      </c>
      <c r="N469" s="32">
        <f>MIN(IF(Supuestos!$H$10="",1E+99,Supuestos!$H$10),MAX(IF(Supuestos!$G$10="",-1E+99,Supuestos!$G$10),IF(Supuestos!$C$10="Normal",NORMINV(G469,Supuestos!$D$10,Supuestos!$E$10),IF(Supuestos!$C$10="Triangular",IF(G469&lt;(Supuestos!$E$10-Supuestos!$D$10)/(Supuestos!$F$10-Supuestos!$D$10),Supuestos!$D$10+SQRT(G469*(Supuestos!$F$10-Supuestos!$D$10)*(Supuestos!$E$10-Supuestos!$D$10)),Supuestos!$F$10-SQRT((1-G469)*(Supuestos!$F$10-Supuestos!$D$10)*(Supuestos!$F$10-Supuestos!$E$10))),IF(Supuestos!$C$10="Uniforme",Supuestos!$D$10+G469*(Supuestos!$E$10-Supuestos!$D$10),IF(Supuestos!$C$10="Lognormal",LOGINV(G469,LN(Supuestos!$D$10)-LN(1+Supuestos!$E$10^2/Supuestos!$D$10^2)/2,SQRT(LN(1+Supuestos!$E$10^2/Supuestos!$D$10^2))),Supuestos!$D$10))))))</f>
        <v/>
      </c>
      <c r="O469" s="31">
        <f>MIN(IF(Supuestos!$H$11="",1E+99,Supuestos!$H$11),MAX(IF(Supuestos!$G$11="",-1E+99,Supuestos!$G$11),IF(Supuestos!$C$11="Normal",NORMINV(H469,Supuestos!$D$11,Supuestos!$E$11),IF(Supuestos!$C$11="Triangular",IF(H469&lt;(Supuestos!$E$11-Supuestos!$D$11)/(Supuestos!$F$11-Supuestos!$D$11),Supuestos!$D$11+SQRT(H469*(Supuestos!$F$11-Supuestos!$D$11)*(Supuestos!$E$11-Supuestos!$D$11)),Supuestos!$F$11-SQRT((1-H469)*(Supuestos!$F$11-Supuestos!$D$11)*(Supuestos!$F$11-Supuestos!$E$11))),IF(Supuestos!$C$11="Uniforme",Supuestos!$D$11+H469*(Supuestos!$E$11-Supuestos!$D$11),IF(Supuestos!$C$11="Lognormal",LOGINV(H469,LN(Supuestos!$D$11)-LN(1+Supuestos!$E$11^2/Supuestos!$D$11^2)/2,SQRT(LN(1+Supuestos!$E$11^2/Supuestos!$D$11^2))),Supuestos!$D$11))))))</f>
        <v/>
      </c>
      <c r="P469" s="33">
        <f>-I469</f>
        <v/>
      </c>
      <c r="Q469" s="33">
        <f>$J469*(1+$K469)^(1-1)*(1-$L469)*(1-$M469)</f>
        <v/>
      </c>
      <c r="R469" s="33">
        <f>$J469*(1+$K469)^(2-1)*(1-$L469)*(1-$M469)</f>
        <v/>
      </c>
      <c r="S469" s="33">
        <f>$J469*(1+$K469)^(3-1)*(1-$L469)*(1-$M469)</f>
        <v/>
      </c>
      <c r="T469" s="33">
        <f>$J469*(1+$K469)^(4-1)*(1-$L469)*(1-$M469)</f>
        <v/>
      </c>
      <c r="U469" s="33">
        <f>$J469*(1+$K469)^(5-1)*(1-$L469)*(1-$M469)+$O469</f>
        <v/>
      </c>
      <c r="V469" s="33">
        <f>P469+NPV($N469,Q469:U469)</f>
        <v/>
      </c>
      <c r="W469" s="32">
        <f>IFERROR(IRR(P469:U469,0.1),"")</f>
        <v/>
      </c>
    </row>
    <row r="470">
      <c r="A470" s="14" t="n">
        <v>466</v>
      </c>
      <c r="B470" s="30">
        <f>RAND()*(1-2E-6)+1E-6</f>
        <v/>
      </c>
      <c r="C470" s="30">
        <f>RAND()*(1-2E-6)+1E-6</f>
        <v/>
      </c>
      <c r="D470" s="30">
        <f>RAND()*(1-2E-6)+1E-6</f>
        <v/>
      </c>
      <c r="E470" s="30">
        <f>RAND()*(1-2E-6)+1E-6</f>
        <v/>
      </c>
      <c r="F470" s="30">
        <f>RAND()*(1-2E-6)+1E-6</f>
        <v/>
      </c>
      <c r="G470" s="30">
        <f>RAND()*(1-2E-6)+1E-6</f>
        <v/>
      </c>
      <c r="H470" s="30">
        <f>RAND()*(1-2E-6)+1E-6</f>
        <v/>
      </c>
      <c r="I470" s="31">
        <f>MIN(IF(Supuestos!$H$5="",1E+99,Supuestos!$H$5),MAX(IF(Supuestos!$G$5="",-1E+99,Supuestos!$G$5),IF(Supuestos!$C$5="Normal",NORMINV(B470,Supuestos!$D$5,Supuestos!$E$5),IF(Supuestos!$C$5="Triangular",IF(B470&lt;(Supuestos!$E$5-Supuestos!$D$5)/(Supuestos!$F$5-Supuestos!$D$5),Supuestos!$D$5+SQRT(B470*(Supuestos!$F$5-Supuestos!$D$5)*(Supuestos!$E$5-Supuestos!$D$5)),Supuestos!$F$5-SQRT((1-B470)*(Supuestos!$F$5-Supuestos!$D$5)*(Supuestos!$F$5-Supuestos!$E$5))),IF(Supuestos!$C$5="Uniforme",Supuestos!$D$5+B470*(Supuestos!$E$5-Supuestos!$D$5),IF(Supuestos!$C$5="Lognormal",LOGINV(B470,LN(Supuestos!$D$5)-LN(1+Supuestos!$E$5^2/Supuestos!$D$5^2)/2,SQRT(LN(1+Supuestos!$E$5^2/Supuestos!$D$5^2))),Supuestos!$D$5))))))</f>
        <v/>
      </c>
      <c r="J470" s="31">
        <f>MIN(IF(Supuestos!$H$6="",1E+99,Supuestos!$H$6),MAX(IF(Supuestos!$G$6="",-1E+99,Supuestos!$G$6),IF(Supuestos!$C$6="Normal",NORMINV(C470,Supuestos!$D$6,Supuestos!$E$6),IF(Supuestos!$C$6="Triangular",IF(C470&lt;(Supuestos!$E$6-Supuestos!$D$6)/(Supuestos!$F$6-Supuestos!$D$6),Supuestos!$D$6+SQRT(C470*(Supuestos!$F$6-Supuestos!$D$6)*(Supuestos!$E$6-Supuestos!$D$6)),Supuestos!$F$6-SQRT((1-C470)*(Supuestos!$F$6-Supuestos!$D$6)*(Supuestos!$F$6-Supuestos!$E$6))),IF(Supuestos!$C$6="Uniforme",Supuestos!$D$6+C470*(Supuestos!$E$6-Supuestos!$D$6),IF(Supuestos!$C$6="Lognormal",LOGINV(C470,LN(Supuestos!$D$6)-LN(1+Supuestos!$E$6^2/Supuestos!$D$6^2)/2,SQRT(LN(1+Supuestos!$E$6^2/Supuestos!$D$6^2))),Supuestos!$D$6))))))</f>
        <v/>
      </c>
      <c r="K470" s="32">
        <f>MIN(IF(Supuestos!$H$7="",1E+99,Supuestos!$H$7),MAX(IF(Supuestos!$G$7="",-1E+99,Supuestos!$G$7),IF(Supuestos!$C$7="Normal",NORMINV(D470,Supuestos!$D$7,Supuestos!$E$7),IF(Supuestos!$C$7="Triangular",IF(D470&lt;(Supuestos!$E$7-Supuestos!$D$7)/(Supuestos!$F$7-Supuestos!$D$7),Supuestos!$D$7+SQRT(D470*(Supuestos!$F$7-Supuestos!$D$7)*(Supuestos!$E$7-Supuestos!$D$7)),Supuestos!$F$7-SQRT((1-D470)*(Supuestos!$F$7-Supuestos!$D$7)*(Supuestos!$F$7-Supuestos!$E$7))),IF(Supuestos!$C$7="Uniforme",Supuestos!$D$7+D470*(Supuestos!$E$7-Supuestos!$D$7),IF(Supuestos!$C$7="Lognormal",LOGINV(D470,LN(Supuestos!$D$7)-LN(1+Supuestos!$E$7^2/Supuestos!$D$7^2)/2,SQRT(LN(1+Supuestos!$E$7^2/Supuestos!$D$7^2))),Supuestos!$D$7))))))</f>
        <v/>
      </c>
      <c r="L470" s="32">
        <f>MIN(IF(Supuestos!$H$8="",1E+99,Supuestos!$H$8),MAX(IF(Supuestos!$G$8="",-1E+99,Supuestos!$G$8),IF(Supuestos!$C$8="Normal",NORMINV(E470,Supuestos!$D$8,Supuestos!$E$8),IF(Supuestos!$C$8="Triangular",IF(E470&lt;(Supuestos!$E$8-Supuestos!$D$8)/(Supuestos!$F$8-Supuestos!$D$8),Supuestos!$D$8+SQRT(E470*(Supuestos!$F$8-Supuestos!$D$8)*(Supuestos!$E$8-Supuestos!$D$8)),Supuestos!$F$8-SQRT((1-E470)*(Supuestos!$F$8-Supuestos!$D$8)*(Supuestos!$F$8-Supuestos!$E$8))),IF(Supuestos!$C$8="Uniforme",Supuestos!$D$8+E470*(Supuestos!$E$8-Supuestos!$D$8),IF(Supuestos!$C$8="Lognormal",LOGINV(E470,LN(Supuestos!$D$8)-LN(1+Supuestos!$E$8^2/Supuestos!$D$8^2)/2,SQRT(LN(1+Supuestos!$E$8^2/Supuestos!$D$8^2))),Supuestos!$D$8))))))</f>
        <v/>
      </c>
      <c r="M470" s="32">
        <f>MIN(IF(Supuestos!$H$9="",1E+99,Supuestos!$H$9),MAX(IF(Supuestos!$G$9="",-1E+99,Supuestos!$G$9),IF(Supuestos!$C$9="Normal",NORMINV(F470,Supuestos!$D$9,Supuestos!$E$9),IF(Supuestos!$C$9="Triangular",IF(F470&lt;(Supuestos!$E$9-Supuestos!$D$9)/(Supuestos!$F$9-Supuestos!$D$9),Supuestos!$D$9+SQRT(F470*(Supuestos!$F$9-Supuestos!$D$9)*(Supuestos!$E$9-Supuestos!$D$9)),Supuestos!$F$9-SQRT((1-F470)*(Supuestos!$F$9-Supuestos!$D$9)*(Supuestos!$F$9-Supuestos!$E$9))),IF(Supuestos!$C$9="Uniforme",Supuestos!$D$9+F470*(Supuestos!$E$9-Supuestos!$D$9),IF(Supuestos!$C$9="Lognormal",LOGINV(F470,LN(Supuestos!$D$9)-LN(1+Supuestos!$E$9^2/Supuestos!$D$9^2)/2,SQRT(LN(1+Supuestos!$E$9^2/Supuestos!$D$9^2))),Supuestos!$D$9))))))</f>
        <v/>
      </c>
      <c r="N470" s="32">
        <f>MIN(IF(Supuestos!$H$10="",1E+99,Supuestos!$H$10),MAX(IF(Supuestos!$G$10="",-1E+99,Supuestos!$G$10),IF(Supuestos!$C$10="Normal",NORMINV(G470,Supuestos!$D$10,Supuestos!$E$10),IF(Supuestos!$C$10="Triangular",IF(G470&lt;(Supuestos!$E$10-Supuestos!$D$10)/(Supuestos!$F$10-Supuestos!$D$10),Supuestos!$D$10+SQRT(G470*(Supuestos!$F$10-Supuestos!$D$10)*(Supuestos!$E$10-Supuestos!$D$10)),Supuestos!$F$10-SQRT((1-G470)*(Supuestos!$F$10-Supuestos!$D$10)*(Supuestos!$F$10-Supuestos!$E$10))),IF(Supuestos!$C$10="Uniforme",Supuestos!$D$10+G470*(Supuestos!$E$10-Supuestos!$D$10),IF(Supuestos!$C$10="Lognormal",LOGINV(G470,LN(Supuestos!$D$10)-LN(1+Supuestos!$E$10^2/Supuestos!$D$10^2)/2,SQRT(LN(1+Supuestos!$E$10^2/Supuestos!$D$10^2))),Supuestos!$D$10))))))</f>
        <v/>
      </c>
      <c r="O470" s="31">
        <f>MIN(IF(Supuestos!$H$11="",1E+99,Supuestos!$H$11),MAX(IF(Supuestos!$G$11="",-1E+99,Supuestos!$G$11),IF(Supuestos!$C$11="Normal",NORMINV(H470,Supuestos!$D$11,Supuestos!$E$11),IF(Supuestos!$C$11="Triangular",IF(H470&lt;(Supuestos!$E$11-Supuestos!$D$11)/(Supuestos!$F$11-Supuestos!$D$11),Supuestos!$D$11+SQRT(H470*(Supuestos!$F$11-Supuestos!$D$11)*(Supuestos!$E$11-Supuestos!$D$11)),Supuestos!$F$11-SQRT((1-H470)*(Supuestos!$F$11-Supuestos!$D$11)*(Supuestos!$F$11-Supuestos!$E$11))),IF(Supuestos!$C$11="Uniforme",Supuestos!$D$11+H470*(Supuestos!$E$11-Supuestos!$D$11),IF(Supuestos!$C$11="Lognormal",LOGINV(H470,LN(Supuestos!$D$11)-LN(1+Supuestos!$E$11^2/Supuestos!$D$11^2)/2,SQRT(LN(1+Supuestos!$E$11^2/Supuestos!$D$11^2))),Supuestos!$D$11))))))</f>
        <v/>
      </c>
      <c r="P470" s="33">
        <f>-I470</f>
        <v/>
      </c>
      <c r="Q470" s="33">
        <f>$J470*(1+$K470)^(1-1)*(1-$L470)*(1-$M470)</f>
        <v/>
      </c>
      <c r="R470" s="33">
        <f>$J470*(1+$K470)^(2-1)*(1-$L470)*(1-$M470)</f>
        <v/>
      </c>
      <c r="S470" s="33">
        <f>$J470*(1+$K470)^(3-1)*(1-$L470)*(1-$M470)</f>
        <v/>
      </c>
      <c r="T470" s="33">
        <f>$J470*(1+$K470)^(4-1)*(1-$L470)*(1-$M470)</f>
        <v/>
      </c>
      <c r="U470" s="33">
        <f>$J470*(1+$K470)^(5-1)*(1-$L470)*(1-$M470)+$O470</f>
        <v/>
      </c>
      <c r="V470" s="33">
        <f>P470+NPV($N470,Q470:U470)</f>
        <v/>
      </c>
      <c r="W470" s="32">
        <f>IFERROR(IRR(P470:U470,0.1),"")</f>
        <v/>
      </c>
    </row>
    <row r="471">
      <c r="A471" s="14" t="n">
        <v>467</v>
      </c>
      <c r="B471" s="30">
        <f>RAND()*(1-2E-6)+1E-6</f>
        <v/>
      </c>
      <c r="C471" s="30">
        <f>RAND()*(1-2E-6)+1E-6</f>
        <v/>
      </c>
      <c r="D471" s="30">
        <f>RAND()*(1-2E-6)+1E-6</f>
        <v/>
      </c>
      <c r="E471" s="30">
        <f>RAND()*(1-2E-6)+1E-6</f>
        <v/>
      </c>
      <c r="F471" s="30">
        <f>RAND()*(1-2E-6)+1E-6</f>
        <v/>
      </c>
      <c r="G471" s="30">
        <f>RAND()*(1-2E-6)+1E-6</f>
        <v/>
      </c>
      <c r="H471" s="30">
        <f>RAND()*(1-2E-6)+1E-6</f>
        <v/>
      </c>
      <c r="I471" s="31">
        <f>MIN(IF(Supuestos!$H$5="",1E+99,Supuestos!$H$5),MAX(IF(Supuestos!$G$5="",-1E+99,Supuestos!$G$5),IF(Supuestos!$C$5="Normal",NORMINV(B471,Supuestos!$D$5,Supuestos!$E$5),IF(Supuestos!$C$5="Triangular",IF(B471&lt;(Supuestos!$E$5-Supuestos!$D$5)/(Supuestos!$F$5-Supuestos!$D$5),Supuestos!$D$5+SQRT(B471*(Supuestos!$F$5-Supuestos!$D$5)*(Supuestos!$E$5-Supuestos!$D$5)),Supuestos!$F$5-SQRT((1-B471)*(Supuestos!$F$5-Supuestos!$D$5)*(Supuestos!$F$5-Supuestos!$E$5))),IF(Supuestos!$C$5="Uniforme",Supuestos!$D$5+B471*(Supuestos!$E$5-Supuestos!$D$5),IF(Supuestos!$C$5="Lognormal",LOGINV(B471,LN(Supuestos!$D$5)-LN(1+Supuestos!$E$5^2/Supuestos!$D$5^2)/2,SQRT(LN(1+Supuestos!$E$5^2/Supuestos!$D$5^2))),Supuestos!$D$5))))))</f>
        <v/>
      </c>
      <c r="J471" s="31">
        <f>MIN(IF(Supuestos!$H$6="",1E+99,Supuestos!$H$6),MAX(IF(Supuestos!$G$6="",-1E+99,Supuestos!$G$6),IF(Supuestos!$C$6="Normal",NORMINV(C471,Supuestos!$D$6,Supuestos!$E$6),IF(Supuestos!$C$6="Triangular",IF(C471&lt;(Supuestos!$E$6-Supuestos!$D$6)/(Supuestos!$F$6-Supuestos!$D$6),Supuestos!$D$6+SQRT(C471*(Supuestos!$F$6-Supuestos!$D$6)*(Supuestos!$E$6-Supuestos!$D$6)),Supuestos!$F$6-SQRT((1-C471)*(Supuestos!$F$6-Supuestos!$D$6)*(Supuestos!$F$6-Supuestos!$E$6))),IF(Supuestos!$C$6="Uniforme",Supuestos!$D$6+C471*(Supuestos!$E$6-Supuestos!$D$6),IF(Supuestos!$C$6="Lognormal",LOGINV(C471,LN(Supuestos!$D$6)-LN(1+Supuestos!$E$6^2/Supuestos!$D$6^2)/2,SQRT(LN(1+Supuestos!$E$6^2/Supuestos!$D$6^2))),Supuestos!$D$6))))))</f>
        <v/>
      </c>
      <c r="K471" s="32">
        <f>MIN(IF(Supuestos!$H$7="",1E+99,Supuestos!$H$7),MAX(IF(Supuestos!$G$7="",-1E+99,Supuestos!$G$7),IF(Supuestos!$C$7="Normal",NORMINV(D471,Supuestos!$D$7,Supuestos!$E$7),IF(Supuestos!$C$7="Triangular",IF(D471&lt;(Supuestos!$E$7-Supuestos!$D$7)/(Supuestos!$F$7-Supuestos!$D$7),Supuestos!$D$7+SQRT(D471*(Supuestos!$F$7-Supuestos!$D$7)*(Supuestos!$E$7-Supuestos!$D$7)),Supuestos!$F$7-SQRT((1-D471)*(Supuestos!$F$7-Supuestos!$D$7)*(Supuestos!$F$7-Supuestos!$E$7))),IF(Supuestos!$C$7="Uniforme",Supuestos!$D$7+D471*(Supuestos!$E$7-Supuestos!$D$7),IF(Supuestos!$C$7="Lognormal",LOGINV(D471,LN(Supuestos!$D$7)-LN(1+Supuestos!$E$7^2/Supuestos!$D$7^2)/2,SQRT(LN(1+Supuestos!$E$7^2/Supuestos!$D$7^2))),Supuestos!$D$7))))))</f>
        <v/>
      </c>
      <c r="L471" s="32">
        <f>MIN(IF(Supuestos!$H$8="",1E+99,Supuestos!$H$8),MAX(IF(Supuestos!$G$8="",-1E+99,Supuestos!$G$8),IF(Supuestos!$C$8="Normal",NORMINV(E471,Supuestos!$D$8,Supuestos!$E$8),IF(Supuestos!$C$8="Triangular",IF(E471&lt;(Supuestos!$E$8-Supuestos!$D$8)/(Supuestos!$F$8-Supuestos!$D$8),Supuestos!$D$8+SQRT(E471*(Supuestos!$F$8-Supuestos!$D$8)*(Supuestos!$E$8-Supuestos!$D$8)),Supuestos!$F$8-SQRT((1-E471)*(Supuestos!$F$8-Supuestos!$D$8)*(Supuestos!$F$8-Supuestos!$E$8))),IF(Supuestos!$C$8="Uniforme",Supuestos!$D$8+E471*(Supuestos!$E$8-Supuestos!$D$8),IF(Supuestos!$C$8="Lognormal",LOGINV(E471,LN(Supuestos!$D$8)-LN(1+Supuestos!$E$8^2/Supuestos!$D$8^2)/2,SQRT(LN(1+Supuestos!$E$8^2/Supuestos!$D$8^2))),Supuestos!$D$8))))))</f>
        <v/>
      </c>
      <c r="M471" s="32">
        <f>MIN(IF(Supuestos!$H$9="",1E+99,Supuestos!$H$9),MAX(IF(Supuestos!$G$9="",-1E+99,Supuestos!$G$9),IF(Supuestos!$C$9="Normal",NORMINV(F471,Supuestos!$D$9,Supuestos!$E$9),IF(Supuestos!$C$9="Triangular",IF(F471&lt;(Supuestos!$E$9-Supuestos!$D$9)/(Supuestos!$F$9-Supuestos!$D$9),Supuestos!$D$9+SQRT(F471*(Supuestos!$F$9-Supuestos!$D$9)*(Supuestos!$E$9-Supuestos!$D$9)),Supuestos!$F$9-SQRT((1-F471)*(Supuestos!$F$9-Supuestos!$D$9)*(Supuestos!$F$9-Supuestos!$E$9))),IF(Supuestos!$C$9="Uniforme",Supuestos!$D$9+F471*(Supuestos!$E$9-Supuestos!$D$9),IF(Supuestos!$C$9="Lognormal",LOGINV(F471,LN(Supuestos!$D$9)-LN(1+Supuestos!$E$9^2/Supuestos!$D$9^2)/2,SQRT(LN(1+Supuestos!$E$9^2/Supuestos!$D$9^2))),Supuestos!$D$9))))))</f>
        <v/>
      </c>
      <c r="N471" s="32">
        <f>MIN(IF(Supuestos!$H$10="",1E+99,Supuestos!$H$10),MAX(IF(Supuestos!$G$10="",-1E+99,Supuestos!$G$10),IF(Supuestos!$C$10="Normal",NORMINV(G471,Supuestos!$D$10,Supuestos!$E$10),IF(Supuestos!$C$10="Triangular",IF(G471&lt;(Supuestos!$E$10-Supuestos!$D$10)/(Supuestos!$F$10-Supuestos!$D$10),Supuestos!$D$10+SQRT(G471*(Supuestos!$F$10-Supuestos!$D$10)*(Supuestos!$E$10-Supuestos!$D$10)),Supuestos!$F$10-SQRT((1-G471)*(Supuestos!$F$10-Supuestos!$D$10)*(Supuestos!$F$10-Supuestos!$E$10))),IF(Supuestos!$C$10="Uniforme",Supuestos!$D$10+G471*(Supuestos!$E$10-Supuestos!$D$10),IF(Supuestos!$C$10="Lognormal",LOGINV(G471,LN(Supuestos!$D$10)-LN(1+Supuestos!$E$10^2/Supuestos!$D$10^2)/2,SQRT(LN(1+Supuestos!$E$10^2/Supuestos!$D$10^2))),Supuestos!$D$10))))))</f>
        <v/>
      </c>
      <c r="O471" s="31">
        <f>MIN(IF(Supuestos!$H$11="",1E+99,Supuestos!$H$11),MAX(IF(Supuestos!$G$11="",-1E+99,Supuestos!$G$11),IF(Supuestos!$C$11="Normal",NORMINV(H471,Supuestos!$D$11,Supuestos!$E$11),IF(Supuestos!$C$11="Triangular",IF(H471&lt;(Supuestos!$E$11-Supuestos!$D$11)/(Supuestos!$F$11-Supuestos!$D$11),Supuestos!$D$11+SQRT(H471*(Supuestos!$F$11-Supuestos!$D$11)*(Supuestos!$E$11-Supuestos!$D$11)),Supuestos!$F$11-SQRT((1-H471)*(Supuestos!$F$11-Supuestos!$D$11)*(Supuestos!$F$11-Supuestos!$E$11))),IF(Supuestos!$C$11="Uniforme",Supuestos!$D$11+H471*(Supuestos!$E$11-Supuestos!$D$11),IF(Supuestos!$C$11="Lognormal",LOGINV(H471,LN(Supuestos!$D$11)-LN(1+Supuestos!$E$11^2/Supuestos!$D$11^2)/2,SQRT(LN(1+Supuestos!$E$11^2/Supuestos!$D$11^2))),Supuestos!$D$11))))))</f>
        <v/>
      </c>
      <c r="P471" s="33">
        <f>-I471</f>
        <v/>
      </c>
      <c r="Q471" s="33">
        <f>$J471*(1+$K471)^(1-1)*(1-$L471)*(1-$M471)</f>
        <v/>
      </c>
      <c r="R471" s="33">
        <f>$J471*(1+$K471)^(2-1)*(1-$L471)*(1-$M471)</f>
        <v/>
      </c>
      <c r="S471" s="33">
        <f>$J471*(1+$K471)^(3-1)*(1-$L471)*(1-$M471)</f>
        <v/>
      </c>
      <c r="T471" s="33">
        <f>$J471*(1+$K471)^(4-1)*(1-$L471)*(1-$M471)</f>
        <v/>
      </c>
      <c r="U471" s="33">
        <f>$J471*(1+$K471)^(5-1)*(1-$L471)*(1-$M471)+$O471</f>
        <v/>
      </c>
      <c r="V471" s="33">
        <f>P471+NPV($N471,Q471:U471)</f>
        <v/>
      </c>
      <c r="W471" s="32">
        <f>IFERROR(IRR(P471:U471,0.1),"")</f>
        <v/>
      </c>
    </row>
    <row r="472">
      <c r="A472" s="14" t="n">
        <v>468</v>
      </c>
      <c r="B472" s="30">
        <f>RAND()*(1-2E-6)+1E-6</f>
        <v/>
      </c>
      <c r="C472" s="30">
        <f>RAND()*(1-2E-6)+1E-6</f>
        <v/>
      </c>
      <c r="D472" s="30">
        <f>RAND()*(1-2E-6)+1E-6</f>
        <v/>
      </c>
      <c r="E472" s="30">
        <f>RAND()*(1-2E-6)+1E-6</f>
        <v/>
      </c>
      <c r="F472" s="30">
        <f>RAND()*(1-2E-6)+1E-6</f>
        <v/>
      </c>
      <c r="G472" s="30">
        <f>RAND()*(1-2E-6)+1E-6</f>
        <v/>
      </c>
      <c r="H472" s="30">
        <f>RAND()*(1-2E-6)+1E-6</f>
        <v/>
      </c>
      <c r="I472" s="31">
        <f>MIN(IF(Supuestos!$H$5="",1E+99,Supuestos!$H$5),MAX(IF(Supuestos!$G$5="",-1E+99,Supuestos!$G$5),IF(Supuestos!$C$5="Normal",NORMINV(B472,Supuestos!$D$5,Supuestos!$E$5),IF(Supuestos!$C$5="Triangular",IF(B472&lt;(Supuestos!$E$5-Supuestos!$D$5)/(Supuestos!$F$5-Supuestos!$D$5),Supuestos!$D$5+SQRT(B472*(Supuestos!$F$5-Supuestos!$D$5)*(Supuestos!$E$5-Supuestos!$D$5)),Supuestos!$F$5-SQRT((1-B472)*(Supuestos!$F$5-Supuestos!$D$5)*(Supuestos!$F$5-Supuestos!$E$5))),IF(Supuestos!$C$5="Uniforme",Supuestos!$D$5+B472*(Supuestos!$E$5-Supuestos!$D$5),IF(Supuestos!$C$5="Lognormal",LOGINV(B472,LN(Supuestos!$D$5)-LN(1+Supuestos!$E$5^2/Supuestos!$D$5^2)/2,SQRT(LN(1+Supuestos!$E$5^2/Supuestos!$D$5^2))),Supuestos!$D$5))))))</f>
        <v/>
      </c>
      <c r="J472" s="31">
        <f>MIN(IF(Supuestos!$H$6="",1E+99,Supuestos!$H$6),MAX(IF(Supuestos!$G$6="",-1E+99,Supuestos!$G$6),IF(Supuestos!$C$6="Normal",NORMINV(C472,Supuestos!$D$6,Supuestos!$E$6),IF(Supuestos!$C$6="Triangular",IF(C472&lt;(Supuestos!$E$6-Supuestos!$D$6)/(Supuestos!$F$6-Supuestos!$D$6),Supuestos!$D$6+SQRT(C472*(Supuestos!$F$6-Supuestos!$D$6)*(Supuestos!$E$6-Supuestos!$D$6)),Supuestos!$F$6-SQRT((1-C472)*(Supuestos!$F$6-Supuestos!$D$6)*(Supuestos!$F$6-Supuestos!$E$6))),IF(Supuestos!$C$6="Uniforme",Supuestos!$D$6+C472*(Supuestos!$E$6-Supuestos!$D$6),IF(Supuestos!$C$6="Lognormal",LOGINV(C472,LN(Supuestos!$D$6)-LN(1+Supuestos!$E$6^2/Supuestos!$D$6^2)/2,SQRT(LN(1+Supuestos!$E$6^2/Supuestos!$D$6^2))),Supuestos!$D$6))))))</f>
        <v/>
      </c>
      <c r="K472" s="32">
        <f>MIN(IF(Supuestos!$H$7="",1E+99,Supuestos!$H$7),MAX(IF(Supuestos!$G$7="",-1E+99,Supuestos!$G$7),IF(Supuestos!$C$7="Normal",NORMINV(D472,Supuestos!$D$7,Supuestos!$E$7),IF(Supuestos!$C$7="Triangular",IF(D472&lt;(Supuestos!$E$7-Supuestos!$D$7)/(Supuestos!$F$7-Supuestos!$D$7),Supuestos!$D$7+SQRT(D472*(Supuestos!$F$7-Supuestos!$D$7)*(Supuestos!$E$7-Supuestos!$D$7)),Supuestos!$F$7-SQRT((1-D472)*(Supuestos!$F$7-Supuestos!$D$7)*(Supuestos!$F$7-Supuestos!$E$7))),IF(Supuestos!$C$7="Uniforme",Supuestos!$D$7+D472*(Supuestos!$E$7-Supuestos!$D$7),IF(Supuestos!$C$7="Lognormal",LOGINV(D472,LN(Supuestos!$D$7)-LN(1+Supuestos!$E$7^2/Supuestos!$D$7^2)/2,SQRT(LN(1+Supuestos!$E$7^2/Supuestos!$D$7^2))),Supuestos!$D$7))))))</f>
        <v/>
      </c>
      <c r="L472" s="32">
        <f>MIN(IF(Supuestos!$H$8="",1E+99,Supuestos!$H$8),MAX(IF(Supuestos!$G$8="",-1E+99,Supuestos!$G$8),IF(Supuestos!$C$8="Normal",NORMINV(E472,Supuestos!$D$8,Supuestos!$E$8),IF(Supuestos!$C$8="Triangular",IF(E472&lt;(Supuestos!$E$8-Supuestos!$D$8)/(Supuestos!$F$8-Supuestos!$D$8),Supuestos!$D$8+SQRT(E472*(Supuestos!$F$8-Supuestos!$D$8)*(Supuestos!$E$8-Supuestos!$D$8)),Supuestos!$F$8-SQRT((1-E472)*(Supuestos!$F$8-Supuestos!$D$8)*(Supuestos!$F$8-Supuestos!$E$8))),IF(Supuestos!$C$8="Uniforme",Supuestos!$D$8+E472*(Supuestos!$E$8-Supuestos!$D$8),IF(Supuestos!$C$8="Lognormal",LOGINV(E472,LN(Supuestos!$D$8)-LN(1+Supuestos!$E$8^2/Supuestos!$D$8^2)/2,SQRT(LN(1+Supuestos!$E$8^2/Supuestos!$D$8^2))),Supuestos!$D$8))))))</f>
        <v/>
      </c>
      <c r="M472" s="32">
        <f>MIN(IF(Supuestos!$H$9="",1E+99,Supuestos!$H$9),MAX(IF(Supuestos!$G$9="",-1E+99,Supuestos!$G$9),IF(Supuestos!$C$9="Normal",NORMINV(F472,Supuestos!$D$9,Supuestos!$E$9),IF(Supuestos!$C$9="Triangular",IF(F472&lt;(Supuestos!$E$9-Supuestos!$D$9)/(Supuestos!$F$9-Supuestos!$D$9),Supuestos!$D$9+SQRT(F472*(Supuestos!$F$9-Supuestos!$D$9)*(Supuestos!$E$9-Supuestos!$D$9)),Supuestos!$F$9-SQRT((1-F472)*(Supuestos!$F$9-Supuestos!$D$9)*(Supuestos!$F$9-Supuestos!$E$9))),IF(Supuestos!$C$9="Uniforme",Supuestos!$D$9+F472*(Supuestos!$E$9-Supuestos!$D$9),IF(Supuestos!$C$9="Lognormal",LOGINV(F472,LN(Supuestos!$D$9)-LN(1+Supuestos!$E$9^2/Supuestos!$D$9^2)/2,SQRT(LN(1+Supuestos!$E$9^2/Supuestos!$D$9^2))),Supuestos!$D$9))))))</f>
        <v/>
      </c>
      <c r="N472" s="32">
        <f>MIN(IF(Supuestos!$H$10="",1E+99,Supuestos!$H$10),MAX(IF(Supuestos!$G$10="",-1E+99,Supuestos!$G$10),IF(Supuestos!$C$10="Normal",NORMINV(G472,Supuestos!$D$10,Supuestos!$E$10),IF(Supuestos!$C$10="Triangular",IF(G472&lt;(Supuestos!$E$10-Supuestos!$D$10)/(Supuestos!$F$10-Supuestos!$D$10),Supuestos!$D$10+SQRT(G472*(Supuestos!$F$10-Supuestos!$D$10)*(Supuestos!$E$10-Supuestos!$D$10)),Supuestos!$F$10-SQRT((1-G472)*(Supuestos!$F$10-Supuestos!$D$10)*(Supuestos!$F$10-Supuestos!$E$10))),IF(Supuestos!$C$10="Uniforme",Supuestos!$D$10+G472*(Supuestos!$E$10-Supuestos!$D$10),IF(Supuestos!$C$10="Lognormal",LOGINV(G472,LN(Supuestos!$D$10)-LN(1+Supuestos!$E$10^2/Supuestos!$D$10^2)/2,SQRT(LN(1+Supuestos!$E$10^2/Supuestos!$D$10^2))),Supuestos!$D$10))))))</f>
        <v/>
      </c>
      <c r="O472" s="31">
        <f>MIN(IF(Supuestos!$H$11="",1E+99,Supuestos!$H$11),MAX(IF(Supuestos!$G$11="",-1E+99,Supuestos!$G$11),IF(Supuestos!$C$11="Normal",NORMINV(H472,Supuestos!$D$11,Supuestos!$E$11),IF(Supuestos!$C$11="Triangular",IF(H472&lt;(Supuestos!$E$11-Supuestos!$D$11)/(Supuestos!$F$11-Supuestos!$D$11),Supuestos!$D$11+SQRT(H472*(Supuestos!$F$11-Supuestos!$D$11)*(Supuestos!$E$11-Supuestos!$D$11)),Supuestos!$F$11-SQRT((1-H472)*(Supuestos!$F$11-Supuestos!$D$11)*(Supuestos!$F$11-Supuestos!$E$11))),IF(Supuestos!$C$11="Uniforme",Supuestos!$D$11+H472*(Supuestos!$E$11-Supuestos!$D$11),IF(Supuestos!$C$11="Lognormal",LOGINV(H472,LN(Supuestos!$D$11)-LN(1+Supuestos!$E$11^2/Supuestos!$D$11^2)/2,SQRT(LN(1+Supuestos!$E$11^2/Supuestos!$D$11^2))),Supuestos!$D$11))))))</f>
        <v/>
      </c>
      <c r="P472" s="33">
        <f>-I472</f>
        <v/>
      </c>
      <c r="Q472" s="33">
        <f>$J472*(1+$K472)^(1-1)*(1-$L472)*(1-$M472)</f>
        <v/>
      </c>
      <c r="R472" s="33">
        <f>$J472*(1+$K472)^(2-1)*(1-$L472)*(1-$M472)</f>
        <v/>
      </c>
      <c r="S472" s="33">
        <f>$J472*(1+$K472)^(3-1)*(1-$L472)*(1-$M472)</f>
        <v/>
      </c>
      <c r="T472" s="33">
        <f>$J472*(1+$K472)^(4-1)*(1-$L472)*(1-$M472)</f>
        <v/>
      </c>
      <c r="U472" s="33">
        <f>$J472*(1+$K472)^(5-1)*(1-$L472)*(1-$M472)+$O472</f>
        <v/>
      </c>
      <c r="V472" s="33">
        <f>P472+NPV($N472,Q472:U472)</f>
        <v/>
      </c>
      <c r="W472" s="32">
        <f>IFERROR(IRR(P472:U472,0.1),"")</f>
        <v/>
      </c>
    </row>
    <row r="473">
      <c r="A473" s="14" t="n">
        <v>469</v>
      </c>
      <c r="B473" s="30">
        <f>RAND()*(1-2E-6)+1E-6</f>
        <v/>
      </c>
      <c r="C473" s="30">
        <f>RAND()*(1-2E-6)+1E-6</f>
        <v/>
      </c>
      <c r="D473" s="30">
        <f>RAND()*(1-2E-6)+1E-6</f>
        <v/>
      </c>
      <c r="E473" s="30">
        <f>RAND()*(1-2E-6)+1E-6</f>
        <v/>
      </c>
      <c r="F473" s="30">
        <f>RAND()*(1-2E-6)+1E-6</f>
        <v/>
      </c>
      <c r="G473" s="30">
        <f>RAND()*(1-2E-6)+1E-6</f>
        <v/>
      </c>
      <c r="H473" s="30">
        <f>RAND()*(1-2E-6)+1E-6</f>
        <v/>
      </c>
      <c r="I473" s="31">
        <f>MIN(IF(Supuestos!$H$5="",1E+99,Supuestos!$H$5),MAX(IF(Supuestos!$G$5="",-1E+99,Supuestos!$G$5),IF(Supuestos!$C$5="Normal",NORMINV(B473,Supuestos!$D$5,Supuestos!$E$5),IF(Supuestos!$C$5="Triangular",IF(B473&lt;(Supuestos!$E$5-Supuestos!$D$5)/(Supuestos!$F$5-Supuestos!$D$5),Supuestos!$D$5+SQRT(B473*(Supuestos!$F$5-Supuestos!$D$5)*(Supuestos!$E$5-Supuestos!$D$5)),Supuestos!$F$5-SQRT((1-B473)*(Supuestos!$F$5-Supuestos!$D$5)*(Supuestos!$F$5-Supuestos!$E$5))),IF(Supuestos!$C$5="Uniforme",Supuestos!$D$5+B473*(Supuestos!$E$5-Supuestos!$D$5),IF(Supuestos!$C$5="Lognormal",LOGINV(B473,LN(Supuestos!$D$5)-LN(1+Supuestos!$E$5^2/Supuestos!$D$5^2)/2,SQRT(LN(1+Supuestos!$E$5^2/Supuestos!$D$5^2))),Supuestos!$D$5))))))</f>
        <v/>
      </c>
      <c r="J473" s="31">
        <f>MIN(IF(Supuestos!$H$6="",1E+99,Supuestos!$H$6),MAX(IF(Supuestos!$G$6="",-1E+99,Supuestos!$G$6),IF(Supuestos!$C$6="Normal",NORMINV(C473,Supuestos!$D$6,Supuestos!$E$6),IF(Supuestos!$C$6="Triangular",IF(C473&lt;(Supuestos!$E$6-Supuestos!$D$6)/(Supuestos!$F$6-Supuestos!$D$6),Supuestos!$D$6+SQRT(C473*(Supuestos!$F$6-Supuestos!$D$6)*(Supuestos!$E$6-Supuestos!$D$6)),Supuestos!$F$6-SQRT((1-C473)*(Supuestos!$F$6-Supuestos!$D$6)*(Supuestos!$F$6-Supuestos!$E$6))),IF(Supuestos!$C$6="Uniforme",Supuestos!$D$6+C473*(Supuestos!$E$6-Supuestos!$D$6),IF(Supuestos!$C$6="Lognormal",LOGINV(C473,LN(Supuestos!$D$6)-LN(1+Supuestos!$E$6^2/Supuestos!$D$6^2)/2,SQRT(LN(1+Supuestos!$E$6^2/Supuestos!$D$6^2))),Supuestos!$D$6))))))</f>
        <v/>
      </c>
      <c r="K473" s="32">
        <f>MIN(IF(Supuestos!$H$7="",1E+99,Supuestos!$H$7),MAX(IF(Supuestos!$G$7="",-1E+99,Supuestos!$G$7),IF(Supuestos!$C$7="Normal",NORMINV(D473,Supuestos!$D$7,Supuestos!$E$7),IF(Supuestos!$C$7="Triangular",IF(D473&lt;(Supuestos!$E$7-Supuestos!$D$7)/(Supuestos!$F$7-Supuestos!$D$7),Supuestos!$D$7+SQRT(D473*(Supuestos!$F$7-Supuestos!$D$7)*(Supuestos!$E$7-Supuestos!$D$7)),Supuestos!$F$7-SQRT((1-D473)*(Supuestos!$F$7-Supuestos!$D$7)*(Supuestos!$F$7-Supuestos!$E$7))),IF(Supuestos!$C$7="Uniforme",Supuestos!$D$7+D473*(Supuestos!$E$7-Supuestos!$D$7),IF(Supuestos!$C$7="Lognormal",LOGINV(D473,LN(Supuestos!$D$7)-LN(1+Supuestos!$E$7^2/Supuestos!$D$7^2)/2,SQRT(LN(1+Supuestos!$E$7^2/Supuestos!$D$7^2))),Supuestos!$D$7))))))</f>
        <v/>
      </c>
      <c r="L473" s="32">
        <f>MIN(IF(Supuestos!$H$8="",1E+99,Supuestos!$H$8),MAX(IF(Supuestos!$G$8="",-1E+99,Supuestos!$G$8),IF(Supuestos!$C$8="Normal",NORMINV(E473,Supuestos!$D$8,Supuestos!$E$8),IF(Supuestos!$C$8="Triangular",IF(E473&lt;(Supuestos!$E$8-Supuestos!$D$8)/(Supuestos!$F$8-Supuestos!$D$8),Supuestos!$D$8+SQRT(E473*(Supuestos!$F$8-Supuestos!$D$8)*(Supuestos!$E$8-Supuestos!$D$8)),Supuestos!$F$8-SQRT((1-E473)*(Supuestos!$F$8-Supuestos!$D$8)*(Supuestos!$F$8-Supuestos!$E$8))),IF(Supuestos!$C$8="Uniforme",Supuestos!$D$8+E473*(Supuestos!$E$8-Supuestos!$D$8),IF(Supuestos!$C$8="Lognormal",LOGINV(E473,LN(Supuestos!$D$8)-LN(1+Supuestos!$E$8^2/Supuestos!$D$8^2)/2,SQRT(LN(1+Supuestos!$E$8^2/Supuestos!$D$8^2))),Supuestos!$D$8))))))</f>
        <v/>
      </c>
      <c r="M473" s="32">
        <f>MIN(IF(Supuestos!$H$9="",1E+99,Supuestos!$H$9),MAX(IF(Supuestos!$G$9="",-1E+99,Supuestos!$G$9),IF(Supuestos!$C$9="Normal",NORMINV(F473,Supuestos!$D$9,Supuestos!$E$9),IF(Supuestos!$C$9="Triangular",IF(F473&lt;(Supuestos!$E$9-Supuestos!$D$9)/(Supuestos!$F$9-Supuestos!$D$9),Supuestos!$D$9+SQRT(F473*(Supuestos!$F$9-Supuestos!$D$9)*(Supuestos!$E$9-Supuestos!$D$9)),Supuestos!$F$9-SQRT((1-F473)*(Supuestos!$F$9-Supuestos!$D$9)*(Supuestos!$F$9-Supuestos!$E$9))),IF(Supuestos!$C$9="Uniforme",Supuestos!$D$9+F473*(Supuestos!$E$9-Supuestos!$D$9),IF(Supuestos!$C$9="Lognormal",LOGINV(F473,LN(Supuestos!$D$9)-LN(1+Supuestos!$E$9^2/Supuestos!$D$9^2)/2,SQRT(LN(1+Supuestos!$E$9^2/Supuestos!$D$9^2))),Supuestos!$D$9))))))</f>
        <v/>
      </c>
      <c r="N473" s="32">
        <f>MIN(IF(Supuestos!$H$10="",1E+99,Supuestos!$H$10),MAX(IF(Supuestos!$G$10="",-1E+99,Supuestos!$G$10),IF(Supuestos!$C$10="Normal",NORMINV(G473,Supuestos!$D$10,Supuestos!$E$10),IF(Supuestos!$C$10="Triangular",IF(G473&lt;(Supuestos!$E$10-Supuestos!$D$10)/(Supuestos!$F$10-Supuestos!$D$10),Supuestos!$D$10+SQRT(G473*(Supuestos!$F$10-Supuestos!$D$10)*(Supuestos!$E$10-Supuestos!$D$10)),Supuestos!$F$10-SQRT((1-G473)*(Supuestos!$F$10-Supuestos!$D$10)*(Supuestos!$F$10-Supuestos!$E$10))),IF(Supuestos!$C$10="Uniforme",Supuestos!$D$10+G473*(Supuestos!$E$10-Supuestos!$D$10),IF(Supuestos!$C$10="Lognormal",LOGINV(G473,LN(Supuestos!$D$10)-LN(1+Supuestos!$E$10^2/Supuestos!$D$10^2)/2,SQRT(LN(1+Supuestos!$E$10^2/Supuestos!$D$10^2))),Supuestos!$D$10))))))</f>
        <v/>
      </c>
      <c r="O473" s="31">
        <f>MIN(IF(Supuestos!$H$11="",1E+99,Supuestos!$H$11),MAX(IF(Supuestos!$G$11="",-1E+99,Supuestos!$G$11),IF(Supuestos!$C$11="Normal",NORMINV(H473,Supuestos!$D$11,Supuestos!$E$11),IF(Supuestos!$C$11="Triangular",IF(H473&lt;(Supuestos!$E$11-Supuestos!$D$11)/(Supuestos!$F$11-Supuestos!$D$11),Supuestos!$D$11+SQRT(H473*(Supuestos!$F$11-Supuestos!$D$11)*(Supuestos!$E$11-Supuestos!$D$11)),Supuestos!$F$11-SQRT((1-H473)*(Supuestos!$F$11-Supuestos!$D$11)*(Supuestos!$F$11-Supuestos!$E$11))),IF(Supuestos!$C$11="Uniforme",Supuestos!$D$11+H473*(Supuestos!$E$11-Supuestos!$D$11),IF(Supuestos!$C$11="Lognormal",LOGINV(H473,LN(Supuestos!$D$11)-LN(1+Supuestos!$E$11^2/Supuestos!$D$11^2)/2,SQRT(LN(1+Supuestos!$E$11^2/Supuestos!$D$11^2))),Supuestos!$D$11))))))</f>
        <v/>
      </c>
      <c r="P473" s="33">
        <f>-I473</f>
        <v/>
      </c>
      <c r="Q473" s="33">
        <f>$J473*(1+$K473)^(1-1)*(1-$L473)*(1-$M473)</f>
        <v/>
      </c>
      <c r="R473" s="33">
        <f>$J473*(1+$K473)^(2-1)*(1-$L473)*(1-$M473)</f>
        <v/>
      </c>
      <c r="S473" s="33">
        <f>$J473*(1+$K473)^(3-1)*(1-$L473)*(1-$M473)</f>
        <v/>
      </c>
      <c r="T473" s="33">
        <f>$J473*(1+$K473)^(4-1)*(1-$L473)*(1-$M473)</f>
        <v/>
      </c>
      <c r="U473" s="33">
        <f>$J473*(1+$K473)^(5-1)*(1-$L473)*(1-$M473)+$O473</f>
        <v/>
      </c>
      <c r="V473" s="33">
        <f>P473+NPV($N473,Q473:U473)</f>
        <v/>
      </c>
      <c r="W473" s="32">
        <f>IFERROR(IRR(P473:U473,0.1),"")</f>
        <v/>
      </c>
    </row>
    <row r="474">
      <c r="A474" s="14" t="n">
        <v>470</v>
      </c>
      <c r="B474" s="30">
        <f>RAND()*(1-2E-6)+1E-6</f>
        <v/>
      </c>
      <c r="C474" s="30">
        <f>RAND()*(1-2E-6)+1E-6</f>
        <v/>
      </c>
      <c r="D474" s="30">
        <f>RAND()*(1-2E-6)+1E-6</f>
        <v/>
      </c>
      <c r="E474" s="30">
        <f>RAND()*(1-2E-6)+1E-6</f>
        <v/>
      </c>
      <c r="F474" s="30">
        <f>RAND()*(1-2E-6)+1E-6</f>
        <v/>
      </c>
      <c r="G474" s="30">
        <f>RAND()*(1-2E-6)+1E-6</f>
        <v/>
      </c>
      <c r="H474" s="30">
        <f>RAND()*(1-2E-6)+1E-6</f>
        <v/>
      </c>
      <c r="I474" s="31">
        <f>MIN(IF(Supuestos!$H$5="",1E+99,Supuestos!$H$5),MAX(IF(Supuestos!$G$5="",-1E+99,Supuestos!$G$5),IF(Supuestos!$C$5="Normal",NORMINV(B474,Supuestos!$D$5,Supuestos!$E$5),IF(Supuestos!$C$5="Triangular",IF(B474&lt;(Supuestos!$E$5-Supuestos!$D$5)/(Supuestos!$F$5-Supuestos!$D$5),Supuestos!$D$5+SQRT(B474*(Supuestos!$F$5-Supuestos!$D$5)*(Supuestos!$E$5-Supuestos!$D$5)),Supuestos!$F$5-SQRT((1-B474)*(Supuestos!$F$5-Supuestos!$D$5)*(Supuestos!$F$5-Supuestos!$E$5))),IF(Supuestos!$C$5="Uniforme",Supuestos!$D$5+B474*(Supuestos!$E$5-Supuestos!$D$5),IF(Supuestos!$C$5="Lognormal",LOGINV(B474,LN(Supuestos!$D$5)-LN(1+Supuestos!$E$5^2/Supuestos!$D$5^2)/2,SQRT(LN(1+Supuestos!$E$5^2/Supuestos!$D$5^2))),Supuestos!$D$5))))))</f>
        <v/>
      </c>
      <c r="J474" s="31">
        <f>MIN(IF(Supuestos!$H$6="",1E+99,Supuestos!$H$6),MAX(IF(Supuestos!$G$6="",-1E+99,Supuestos!$G$6),IF(Supuestos!$C$6="Normal",NORMINV(C474,Supuestos!$D$6,Supuestos!$E$6),IF(Supuestos!$C$6="Triangular",IF(C474&lt;(Supuestos!$E$6-Supuestos!$D$6)/(Supuestos!$F$6-Supuestos!$D$6),Supuestos!$D$6+SQRT(C474*(Supuestos!$F$6-Supuestos!$D$6)*(Supuestos!$E$6-Supuestos!$D$6)),Supuestos!$F$6-SQRT((1-C474)*(Supuestos!$F$6-Supuestos!$D$6)*(Supuestos!$F$6-Supuestos!$E$6))),IF(Supuestos!$C$6="Uniforme",Supuestos!$D$6+C474*(Supuestos!$E$6-Supuestos!$D$6),IF(Supuestos!$C$6="Lognormal",LOGINV(C474,LN(Supuestos!$D$6)-LN(1+Supuestos!$E$6^2/Supuestos!$D$6^2)/2,SQRT(LN(1+Supuestos!$E$6^2/Supuestos!$D$6^2))),Supuestos!$D$6))))))</f>
        <v/>
      </c>
      <c r="K474" s="32">
        <f>MIN(IF(Supuestos!$H$7="",1E+99,Supuestos!$H$7),MAX(IF(Supuestos!$G$7="",-1E+99,Supuestos!$G$7),IF(Supuestos!$C$7="Normal",NORMINV(D474,Supuestos!$D$7,Supuestos!$E$7),IF(Supuestos!$C$7="Triangular",IF(D474&lt;(Supuestos!$E$7-Supuestos!$D$7)/(Supuestos!$F$7-Supuestos!$D$7),Supuestos!$D$7+SQRT(D474*(Supuestos!$F$7-Supuestos!$D$7)*(Supuestos!$E$7-Supuestos!$D$7)),Supuestos!$F$7-SQRT((1-D474)*(Supuestos!$F$7-Supuestos!$D$7)*(Supuestos!$F$7-Supuestos!$E$7))),IF(Supuestos!$C$7="Uniforme",Supuestos!$D$7+D474*(Supuestos!$E$7-Supuestos!$D$7),IF(Supuestos!$C$7="Lognormal",LOGINV(D474,LN(Supuestos!$D$7)-LN(1+Supuestos!$E$7^2/Supuestos!$D$7^2)/2,SQRT(LN(1+Supuestos!$E$7^2/Supuestos!$D$7^2))),Supuestos!$D$7))))))</f>
        <v/>
      </c>
      <c r="L474" s="32">
        <f>MIN(IF(Supuestos!$H$8="",1E+99,Supuestos!$H$8),MAX(IF(Supuestos!$G$8="",-1E+99,Supuestos!$G$8),IF(Supuestos!$C$8="Normal",NORMINV(E474,Supuestos!$D$8,Supuestos!$E$8),IF(Supuestos!$C$8="Triangular",IF(E474&lt;(Supuestos!$E$8-Supuestos!$D$8)/(Supuestos!$F$8-Supuestos!$D$8),Supuestos!$D$8+SQRT(E474*(Supuestos!$F$8-Supuestos!$D$8)*(Supuestos!$E$8-Supuestos!$D$8)),Supuestos!$F$8-SQRT((1-E474)*(Supuestos!$F$8-Supuestos!$D$8)*(Supuestos!$F$8-Supuestos!$E$8))),IF(Supuestos!$C$8="Uniforme",Supuestos!$D$8+E474*(Supuestos!$E$8-Supuestos!$D$8),IF(Supuestos!$C$8="Lognormal",LOGINV(E474,LN(Supuestos!$D$8)-LN(1+Supuestos!$E$8^2/Supuestos!$D$8^2)/2,SQRT(LN(1+Supuestos!$E$8^2/Supuestos!$D$8^2))),Supuestos!$D$8))))))</f>
        <v/>
      </c>
      <c r="M474" s="32">
        <f>MIN(IF(Supuestos!$H$9="",1E+99,Supuestos!$H$9),MAX(IF(Supuestos!$G$9="",-1E+99,Supuestos!$G$9),IF(Supuestos!$C$9="Normal",NORMINV(F474,Supuestos!$D$9,Supuestos!$E$9),IF(Supuestos!$C$9="Triangular",IF(F474&lt;(Supuestos!$E$9-Supuestos!$D$9)/(Supuestos!$F$9-Supuestos!$D$9),Supuestos!$D$9+SQRT(F474*(Supuestos!$F$9-Supuestos!$D$9)*(Supuestos!$E$9-Supuestos!$D$9)),Supuestos!$F$9-SQRT((1-F474)*(Supuestos!$F$9-Supuestos!$D$9)*(Supuestos!$F$9-Supuestos!$E$9))),IF(Supuestos!$C$9="Uniforme",Supuestos!$D$9+F474*(Supuestos!$E$9-Supuestos!$D$9),IF(Supuestos!$C$9="Lognormal",LOGINV(F474,LN(Supuestos!$D$9)-LN(1+Supuestos!$E$9^2/Supuestos!$D$9^2)/2,SQRT(LN(1+Supuestos!$E$9^2/Supuestos!$D$9^2))),Supuestos!$D$9))))))</f>
        <v/>
      </c>
      <c r="N474" s="32">
        <f>MIN(IF(Supuestos!$H$10="",1E+99,Supuestos!$H$10),MAX(IF(Supuestos!$G$10="",-1E+99,Supuestos!$G$10),IF(Supuestos!$C$10="Normal",NORMINV(G474,Supuestos!$D$10,Supuestos!$E$10),IF(Supuestos!$C$10="Triangular",IF(G474&lt;(Supuestos!$E$10-Supuestos!$D$10)/(Supuestos!$F$10-Supuestos!$D$10),Supuestos!$D$10+SQRT(G474*(Supuestos!$F$10-Supuestos!$D$10)*(Supuestos!$E$10-Supuestos!$D$10)),Supuestos!$F$10-SQRT((1-G474)*(Supuestos!$F$10-Supuestos!$D$10)*(Supuestos!$F$10-Supuestos!$E$10))),IF(Supuestos!$C$10="Uniforme",Supuestos!$D$10+G474*(Supuestos!$E$10-Supuestos!$D$10),IF(Supuestos!$C$10="Lognormal",LOGINV(G474,LN(Supuestos!$D$10)-LN(1+Supuestos!$E$10^2/Supuestos!$D$10^2)/2,SQRT(LN(1+Supuestos!$E$10^2/Supuestos!$D$10^2))),Supuestos!$D$10))))))</f>
        <v/>
      </c>
      <c r="O474" s="31">
        <f>MIN(IF(Supuestos!$H$11="",1E+99,Supuestos!$H$11),MAX(IF(Supuestos!$G$11="",-1E+99,Supuestos!$G$11),IF(Supuestos!$C$11="Normal",NORMINV(H474,Supuestos!$D$11,Supuestos!$E$11),IF(Supuestos!$C$11="Triangular",IF(H474&lt;(Supuestos!$E$11-Supuestos!$D$11)/(Supuestos!$F$11-Supuestos!$D$11),Supuestos!$D$11+SQRT(H474*(Supuestos!$F$11-Supuestos!$D$11)*(Supuestos!$E$11-Supuestos!$D$11)),Supuestos!$F$11-SQRT((1-H474)*(Supuestos!$F$11-Supuestos!$D$11)*(Supuestos!$F$11-Supuestos!$E$11))),IF(Supuestos!$C$11="Uniforme",Supuestos!$D$11+H474*(Supuestos!$E$11-Supuestos!$D$11),IF(Supuestos!$C$11="Lognormal",LOGINV(H474,LN(Supuestos!$D$11)-LN(1+Supuestos!$E$11^2/Supuestos!$D$11^2)/2,SQRT(LN(1+Supuestos!$E$11^2/Supuestos!$D$11^2))),Supuestos!$D$11))))))</f>
        <v/>
      </c>
      <c r="P474" s="33">
        <f>-I474</f>
        <v/>
      </c>
      <c r="Q474" s="33">
        <f>$J474*(1+$K474)^(1-1)*(1-$L474)*(1-$M474)</f>
        <v/>
      </c>
      <c r="R474" s="33">
        <f>$J474*(1+$K474)^(2-1)*(1-$L474)*(1-$M474)</f>
        <v/>
      </c>
      <c r="S474" s="33">
        <f>$J474*(1+$K474)^(3-1)*(1-$L474)*(1-$M474)</f>
        <v/>
      </c>
      <c r="T474" s="33">
        <f>$J474*(1+$K474)^(4-1)*(1-$L474)*(1-$M474)</f>
        <v/>
      </c>
      <c r="U474" s="33">
        <f>$J474*(1+$K474)^(5-1)*(1-$L474)*(1-$M474)+$O474</f>
        <v/>
      </c>
      <c r="V474" s="33">
        <f>P474+NPV($N474,Q474:U474)</f>
        <v/>
      </c>
      <c r="W474" s="32">
        <f>IFERROR(IRR(P474:U474,0.1),"")</f>
        <v/>
      </c>
    </row>
    <row r="475">
      <c r="A475" s="14" t="n">
        <v>471</v>
      </c>
      <c r="B475" s="30">
        <f>RAND()*(1-2E-6)+1E-6</f>
        <v/>
      </c>
      <c r="C475" s="30">
        <f>RAND()*(1-2E-6)+1E-6</f>
        <v/>
      </c>
      <c r="D475" s="30">
        <f>RAND()*(1-2E-6)+1E-6</f>
        <v/>
      </c>
      <c r="E475" s="30">
        <f>RAND()*(1-2E-6)+1E-6</f>
        <v/>
      </c>
      <c r="F475" s="30">
        <f>RAND()*(1-2E-6)+1E-6</f>
        <v/>
      </c>
      <c r="G475" s="30">
        <f>RAND()*(1-2E-6)+1E-6</f>
        <v/>
      </c>
      <c r="H475" s="30">
        <f>RAND()*(1-2E-6)+1E-6</f>
        <v/>
      </c>
      <c r="I475" s="31">
        <f>MIN(IF(Supuestos!$H$5="",1E+99,Supuestos!$H$5),MAX(IF(Supuestos!$G$5="",-1E+99,Supuestos!$G$5),IF(Supuestos!$C$5="Normal",NORMINV(B475,Supuestos!$D$5,Supuestos!$E$5),IF(Supuestos!$C$5="Triangular",IF(B475&lt;(Supuestos!$E$5-Supuestos!$D$5)/(Supuestos!$F$5-Supuestos!$D$5),Supuestos!$D$5+SQRT(B475*(Supuestos!$F$5-Supuestos!$D$5)*(Supuestos!$E$5-Supuestos!$D$5)),Supuestos!$F$5-SQRT((1-B475)*(Supuestos!$F$5-Supuestos!$D$5)*(Supuestos!$F$5-Supuestos!$E$5))),IF(Supuestos!$C$5="Uniforme",Supuestos!$D$5+B475*(Supuestos!$E$5-Supuestos!$D$5),IF(Supuestos!$C$5="Lognormal",LOGINV(B475,LN(Supuestos!$D$5)-LN(1+Supuestos!$E$5^2/Supuestos!$D$5^2)/2,SQRT(LN(1+Supuestos!$E$5^2/Supuestos!$D$5^2))),Supuestos!$D$5))))))</f>
        <v/>
      </c>
      <c r="J475" s="31">
        <f>MIN(IF(Supuestos!$H$6="",1E+99,Supuestos!$H$6),MAX(IF(Supuestos!$G$6="",-1E+99,Supuestos!$G$6),IF(Supuestos!$C$6="Normal",NORMINV(C475,Supuestos!$D$6,Supuestos!$E$6),IF(Supuestos!$C$6="Triangular",IF(C475&lt;(Supuestos!$E$6-Supuestos!$D$6)/(Supuestos!$F$6-Supuestos!$D$6),Supuestos!$D$6+SQRT(C475*(Supuestos!$F$6-Supuestos!$D$6)*(Supuestos!$E$6-Supuestos!$D$6)),Supuestos!$F$6-SQRT((1-C475)*(Supuestos!$F$6-Supuestos!$D$6)*(Supuestos!$F$6-Supuestos!$E$6))),IF(Supuestos!$C$6="Uniforme",Supuestos!$D$6+C475*(Supuestos!$E$6-Supuestos!$D$6),IF(Supuestos!$C$6="Lognormal",LOGINV(C475,LN(Supuestos!$D$6)-LN(1+Supuestos!$E$6^2/Supuestos!$D$6^2)/2,SQRT(LN(1+Supuestos!$E$6^2/Supuestos!$D$6^2))),Supuestos!$D$6))))))</f>
        <v/>
      </c>
      <c r="K475" s="32">
        <f>MIN(IF(Supuestos!$H$7="",1E+99,Supuestos!$H$7),MAX(IF(Supuestos!$G$7="",-1E+99,Supuestos!$G$7),IF(Supuestos!$C$7="Normal",NORMINV(D475,Supuestos!$D$7,Supuestos!$E$7),IF(Supuestos!$C$7="Triangular",IF(D475&lt;(Supuestos!$E$7-Supuestos!$D$7)/(Supuestos!$F$7-Supuestos!$D$7),Supuestos!$D$7+SQRT(D475*(Supuestos!$F$7-Supuestos!$D$7)*(Supuestos!$E$7-Supuestos!$D$7)),Supuestos!$F$7-SQRT((1-D475)*(Supuestos!$F$7-Supuestos!$D$7)*(Supuestos!$F$7-Supuestos!$E$7))),IF(Supuestos!$C$7="Uniforme",Supuestos!$D$7+D475*(Supuestos!$E$7-Supuestos!$D$7),IF(Supuestos!$C$7="Lognormal",LOGINV(D475,LN(Supuestos!$D$7)-LN(1+Supuestos!$E$7^2/Supuestos!$D$7^2)/2,SQRT(LN(1+Supuestos!$E$7^2/Supuestos!$D$7^2))),Supuestos!$D$7))))))</f>
        <v/>
      </c>
      <c r="L475" s="32">
        <f>MIN(IF(Supuestos!$H$8="",1E+99,Supuestos!$H$8),MAX(IF(Supuestos!$G$8="",-1E+99,Supuestos!$G$8),IF(Supuestos!$C$8="Normal",NORMINV(E475,Supuestos!$D$8,Supuestos!$E$8),IF(Supuestos!$C$8="Triangular",IF(E475&lt;(Supuestos!$E$8-Supuestos!$D$8)/(Supuestos!$F$8-Supuestos!$D$8),Supuestos!$D$8+SQRT(E475*(Supuestos!$F$8-Supuestos!$D$8)*(Supuestos!$E$8-Supuestos!$D$8)),Supuestos!$F$8-SQRT((1-E475)*(Supuestos!$F$8-Supuestos!$D$8)*(Supuestos!$F$8-Supuestos!$E$8))),IF(Supuestos!$C$8="Uniforme",Supuestos!$D$8+E475*(Supuestos!$E$8-Supuestos!$D$8),IF(Supuestos!$C$8="Lognormal",LOGINV(E475,LN(Supuestos!$D$8)-LN(1+Supuestos!$E$8^2/Supuestos!$D$8^2)/2,SQRT(LN(1+Supuestos!$E$8^2/Supuestos!$D$8^2))),Supuestos!$D$8))))))</f>
        <v/>
      </c>
      <c r="M475" s="32">
        <f>MIN(IF(Supuestos!$H$9="",1E+99,Supuestos!$H$9),MAX(IF(Supuestos!$G$9="",-1E+99,Supuestos!$G$9),IF(Supuestos!$C$9="Normal",NORMINV(F475,Supuestos!$D$9,Supuestos!$E$9),IF(Supuestos!$C$9="Triangular",IF(F475&lt;(Supuestos!$E$9-Supuestos!$D$9)/(Supuestos!$F$9-Supuestos!$D$9),Supuestos!$D$9+SQRT(F475*(Supuestos!$F$9-Supuestos!$D$9)*(Supuestos!$E$9-Supuestos!$D$9)),Supuestos!$F$9-SQRT((1-F475)*(Supuestos!$F$9-Supuestos!$D$9)*(Supuestos!$F$9-Supuestos!$E$9))),IF(Supuestos!$C$9="Uniforme",Supuestos!$D$9+F475*(Supuestos!$E$9-Supuestos!$D$9),IF(Supuestos!$C$9="Lognormal",LOGINV(F475,LN(Supuestos!$D$9)-LN(1+Supuestos!$E$9^2/Supuestos!$D$9^2)/2,SQRT(LN(1+Supuestos!$E$9^2/Supuestos!$D$9^2))),Supuestos!$D$9))))))</f>
        <v/>
      </c>
      <c r="N475" s="32">
        <f>MIN(IF(Supuestos!$H$10="",1E+99,Supuestos!$H$10),MAX(IF(Supuestos!$G$10="",-1E+99,Supuestos!$G$10),IF(Supuestos!$C$10="Normal",NORMINV(G475,Supuestos!$D$10,Supuestos!$E$10),IF(Supuestos!$C$10="Triangular",IF(G475&lt;(Supuestos!$E$10-Supuestos!$D$10)/(Supuestos!$F$10-Supuestos!$D$10),Supuestos!$D$10+SQRT(G475*(Supuestos!$F$10-Supuestos!$D$10)*(Supuestos!$E$10-Supuestos!$D$10)),Supuestos!$F$10-SQRT((1-G475)*(Supuestos!$F$10-Supuestos!$D$10)*(Supuestos!$F$10-Supuestos!$E$10))),IF(Supuestos!$C$10="Uniforme",Supuestos!$D$10+G475*(Supuestos!$E$10-Supuestos!$D$10),IF(Supuestos!$C$10="Lognormal",LOGINV(G475,LN(Supuestos!$D$10)-LN(1+Supuestos!$E$10^2/Supuestos!$D$10^2)/2,SQRT(LN(1+Supuestos!$E$10^2/Supuestos!$D$10^2))),Supuestos!$D$10))))))</f>
        <v/>
      </c>
      <c r="O475" s="31">
        <f>MIN(IF(Supuestos!$H$11="",1E+99,Supuestos!$H$11),MAX(IF(Supuestos!$G$11="",-1E+99,Supuestos!$G$11),IF(Supuestos!$C$11="Normal",NORMINV(H475,Supuestos!$D$11,Supuestos!$E$11),IF(Supuestos!$C$11="Triangular",IF(H475&lt;(Supuestos!$E$11-Supuestos!$D$11)/(Supuestos!$F$11-Supuestos!$D$11),Supuestos!$D$11+SQRT(H475*(Supuestos!$F$11-Supuestos!$D$11)*(Supuestos!$E$11-Supuestos!$D$11)),Supuestos!$F$11-SQRT((1-H475)*(Supuestos!$F$11-Supuestos!$D$11)*(Supuestos!$F$11-Supuestos!$E$11))),IF(Supuestos!$C$11="Uniforme",Supuestos!$D$11+H475*(Supuestos!$E$11-Supuestos!$D$11),IF(Supuestos!$C$11="Lognormal",LOGINV(H475,LN(Supuestos!$D$11)-LN(1+Supuestos!$E$11^2/Supuestos!$D$11^2)/2,SQRT(LN(1+Supuestos!$E$11^2/Supuestos!$D$11^2))),Supuestos!$D$11))))))</f>
        <v/>
      </c>
      <c r="P475" s="33">
        <f>-I475</f>
        <v/>
      </c>
      <c r="Q475" s="33">
        <f>$J475*(1+$K475)^(1-1)*(1-$L475)*(1-$M475)</f>
        <v/>
      </c>
      <c r="R475" s="33">
        <f>$J475*(1+$K475)^(2-1)*(1-$L475)*(1-$M475)</f>
        <v/>
      </c>
      <c r="S475" s="33">
        <f>$J475*(1+$K475)^(3-1)*(1-$L475)*(1-$M475)</f>
        <v/>
      </c>
      <c r="T475" s="33">
        <f>$J475*(1+$K475)^(4-1)*(1-$L475)*(1-$M475)</f>
        <v/>
      </c>
      <c r="U475" s="33">
        <f>$J475*(1+$K475)^(5-1)*(1-$L475)*(1-$M475)+$O475</f>
        <v/>
      </c>
      <c r="V475" s="33">
        <f>P475+NPV($N475,Q475:U475)</f>
        <v/>
      </c>
      <c r="W475" s="32">
        <f>IFERROR(IRR(P475:U475,0.1),"")</f>
        <v/>
      </c>
    </row>
    <row r="476">
      <c r="A476" s="14" t="n">
        <v>472</v>
      </c>
      <c r="B476" s="30">
        <f>RAND()*(1-2E-6)+1E-6</f>
        <v/>
      </c>
      <c r="C476" s="30">
        <f>RAND()*(1-2E-6)+1E-6</f>
        <v/>
      </c>
      <c r="D476" s="30">
        <f>RAND()*(1-2E-6)+1E-6</f>
        <v/>
      </c>
      <c r="E476" s="30">
        <f>RAND()*(1-2E-6)+1E-6</f>
        <v/>
      </c>
      <c r="F476" s="30">
        <f>RAND()*(1-2E-6)+1E-6</f>
        <v/>
      </c>
      <c r="G476" s="30">
        <f>RAND()*(1-2E-6)+1E-6</f>
        <v/>
      </c>
      <c r="H476" s="30">
        <f>RAND()*(1-2E-6)+1E-6</f>
        <v/>
      </c>
      <c r="I476" s="31">
        <f>MIN(IF(Supuestos!$H$5="",1E+99,Supuestos!$H$5),MAX(IF(Supuestos!$G$5="",-1E+99,Supuestos!$G$5),IF(Supuestos!$C$5="Normal",NORMINV(B476,Supuestos!$D$5,Supuestos!$E$5),IF(Supuestos!$C$5="Triangular",IF(B476&lt;(Supuestos!$E$5-Supuestos!$D$5)/(Supuestos!$F$5-Supuestos!$D$5),Supuestos!$D$5+SQRT(B476*(Supuestos!$F$5-Supuestos!$D$5)*(Supuestos!$E$5-Supuestos!$D$5)),Supuestos!$F$5-SQRT((1-B476)*(Supuestos!$F$5-Supuestos!$D$5)*(Supuestos!$F$5-Supuestos!$E$5))),IF(Supuestos!$C$5="Uniforme",Supuestos!$D$5+B476*(Supuestos!$E$5-Supuestos!$D$5),IF(Supuestos!$C$5="Lognormal",LOGINV(B476,LN(Supuestos!$D$5)-LN(1+Supuestos!$E$5^2/Supuestos!$D$5^2)/2,SQRT(LN(1+Supuestos!$E$5^2/Supuestos!$D$5^2))),Supuestos!$D$5))))))</f>
        <v/>
      </c>
      <c r="J476" s="31">
        <f>MIN(IF(Supuestos!$H$6="",1E+99,Supuestos!$H$6),MAX(IF(Supuestos!$G$6="",-1E+99,Supuestos!$G$6),IF(Supuestos!$C$6="Normal",NORMINV(C476,Supuestos!$D$6,Supuestos!$E$6),IF(Supuestos!$C$6="Triangular",IF(C476&lt;(Supuestos!$E$6-Supuestos!$D$6)/(Supuestos!$F$6-Supuestos!$D$6),Supuestos!$D$6+SQRT(C476*(Supuestos!$F$6-Supuestos!$D$6)*(Supuestos!$E$6-Supuestos!$D$6)),Supuestos!$F$6-SQRT((1-C476)*(Supuestos!$F$6-Supuestos!$D$6)*(Supuestos!$F$6-Supuestos!$E$6))),IF(Supuestos!$C$6="Uniforme",Supuestos!$D$6+C476*(Supuestos!$E$6-Supuestos!$D$6),IF(Supuestos!$C$6="Lognormal",LOGINV(C476,LN(Supuestos!$D$6)-LN(1+Supuestos!$E$6^2/Supuestos!$D$6^2)/2,SQRT(LN(1+Supuestos!$E$6^2/Supuestos!$D$6^2))),Supuestos!$D$6))))))</f>
        <v/>
      </c>
      <c r="K476" s="32">
        <f>MIN(IF(Supuestos!$H$7="",1E+99,Supuestos!$H$7),MAX(IF(Supuestos!$G$7="",-1E+99,Supuestos!$G$7),IF(Supuestos!$C$7="Normal",NORMINV(D476,Supuestos!$D$7,Supuestos!$E$7),IF(Supuestos!$C$7="Triangular",IF(D476&lt;(Supuestos!$E$7-Supuestos!$D$7)/(Supuestos!$F$7-Supuestos!$D$7),Supuestos!$D$7+SQRT(D476*(Supuestos!$F$7-Supuestos!$D$7)*(Supuestos!$E$7-Supuestos!$D$7)),Supuestos!$F$7-SQRT((1-D476)*(Supuestos!$F$7-Supuestos!$D$7)*(Supuestos!$F$7-Supuestos!$E$7))),IF(Supuestos!$C$7="Uniforme",Supuestos!$D$7+D476*(Supuestos!$E$7-Supuestos!$D$7),IF(Supuestos!$C$7="Lognormal",LOGINV(D476,LN(Supuestos!$D$7)-LN(1+Supuestos!$E$7^2/Supuestos!$D$7^2)/2,SQRT(LN(1+Supuestos!$E$7^2/Supuestos!$D$7^2))),Supuestos!$D$7))))))</f>
        <v/>
      </c>
      <c r="L476" s="32">
        <f>MIN(IF(Supuestos!$H$8="",1E+99,Supuestos!$H$8),MAX(IF(Supuestos!$G$8="",-1E+99,Supuestos!$G$8),IF(Supuestos!$C$8="Normal",NORMINV(E476,Supuestos!$D$8,Supuestos!$E$8),IF(Supuestos!$C$8="Triangular",IF(E476&lt;(Supuestos!$E$8-Supuestos!$D$8)/(Supuestos!$F$8-Supuestos!$D$8),Supuestos!$D$8+SQRT(E476*(Supuestos!$F$8-Supuestos!$D$8)*(Supuestos!$E$8-Supuestos!$D$8)),Supuestos!$F$8-SQRT((1-E476)*(Supuestos!$F$8-Supuestos!$D$8)*(Supuestos!$F$8-Supuestos!$E$8))),IF(Supuestos!$C$8="Uniforme",Supuestos!$D$8+E476*(Supuestos!$E$8-Supuestos!$D$8),IF(Supuestos!$C$8="Lognormal",LOGINV(E476,LN(Supuestos!$D$8)-LN(1+Supuestos!$E$8^2/Supuestos!$D$8^2)/2,SQRT(LN(1+Supuestos!$E$8^2/Supuestos!$D$8^2))),Supuestos!$D$8))))))</f>
        <v/>
      </c>
      <c r="M476" s="32">
        <f>MIN(IF(Supuestos!$H$9="",1E+99,Supuestos!$H$9),MAX(IF(Supuestos!$G$9="",-1E+99,Supuestos!$G$9),IF(Supuestos!$C$9="Normal",NORMINV(F476,Supuestos!$D$9,Supuestos!$E$9),IF(Supuestos!$C$9="Triangular",IF(F476&lt;(Supuestos!$E$9-Supuestos!$D$9)/(Supuestos!$F$9-Supuestos!$D$9),Supuestos!$D$9+SQRT(F476*(Supuestos!$F$9-Supuestos!$D$9)*(Supuestos!$E$9-Supuestos!$D$9)),Supuestos!$F$9-SQRT((1-F476)*(Supuestos!$F$9-Supuestos!$D$9)*(Supuestos!$F$9-Supuestos!$E$9))),IF(Supuestos!$C$9="Uniforme",Supuestos!$D$9+F476*(Supuestos!$E$9-Supuestos!$D$9),IF(Supuestos!$C$9="Lognormal",LOGINV(F476,LN(Supuestos!$D$9)-LN(1+Supuestos!$E$9^2/Supuestos!$D$9^2)/2,SQRT(LN(1+Supuestos!$E$9^2/Supuestos!$D$9^2))),Supuestos!$D$9))))))</f>
        <v/>
      </c>
      <c r="N476" s="32">
        <f>MIN(IF(Supuestos!$H$10="",1E+99,Supuestos!$H$10),MAX(IF(Supuestos!$G$10="",-1E+99,Supuestos!$G$10),IF(Supuestos!$C$10="Normal",NORMINV(G476,Supuestos!$D$10,Supuestos!$E$10),IF(Supuestos!$C$10="Triangular",IF(G476&lt;(Supuestos!$E$10-Supuestos!$D$10)/(Supuestos!$F$10-Supuestos!$D$10),Supuestos!$D$10+SQRT(G476*(Supuestos!$F$10-Supuestos!$D$10)*(Supuestos!$E$10-Supuestos!$D$10)),Supuestos!$F$10-SQRT((1-G476)*(Supuestos!$F$10-Supuestos!$D$10)*(Supuestos!$F$10-Supuestos!$E$10))),IF(Supuestos!$C$10="Uniforme",Supuestos!$D$10+G476*(Supuestos!$E$10-Supuestos!$D$10),IF(Supuestos!$C$10="Lognormal",LOGINV(G476,LN(Supuestos!$D$10)-LN(1+Supuestos!$E$10^2/Supuestos!$D$10^2)/2,SQRT(LN(1+Supuestos!$E$10^2/Supuestos!$D$10^2))),Supuestos!$D$10))))))</f>
        <v/>
      </c>
      <c r="O476" s="31">
        <f>MIN(IF(Supuestos!$H$11="",1E+99,Supuestos!$H$11),MAX(IF(Supuestos!$G$11="",-1E+99,Supuestos!$G$11),IF(Supuestos!$C$11="Normal",NORMINV(H476,Supuestos!$D$11,Supuestos!$E$11),IF(Supuestos!$C$11="Triangular",IF(H476&lt;(Supuestos!$E$11-Supuestos!$D$11)/(Supuestos!$F$11-Supuestos!$D$11),Supuestos!$D$11+SQRT(H476*(Supuestos!$F$11-Supuestos!$D$11)*(Supuestos!$E$11-Supuestos!$D$11)),Supuestos!$F$11-SQRT((1-H476)*(Supuestos!$F$11-Supuestos!$D$11)*(Supuestos!$F$11-Supuestos!$E$11))),IF(Supuestos!$C$11="Uniforme",Supuestos!$D$11+H476*(Supuestos!$E$11-Supuestos!$D$11),IF(Supuestos!$C$11="Lognormal",LOGINV(H476,LN(Supuestos!$D$11)-LN(1+Supuestos!$E$11^2/Supuestos!$D$11^2)/2,SQRT(LN(1+Supuestos!$E$11^2/Supuestos!$D$11^2))),Supuestos!$D$11))))))</f>
        <v/>
      </c>
      <c r="P476" s="33">
        <f>-I476</f>
        <v/>
      </c>
      <c r="Q476" s="33">
        <f>$J476*(1+$K476)^(1-1)*(1-$L476)*(1-$M476)</f>
        <v/>
      </c>
      <c r="R476" s="33">
        <f>$J476*(1+$K476)^(2-1)*(1-$L476)*(1-$M476)</f>
        <v/>
      </c>
      <c r="S476" s="33">
        <f>$J476*(1+$K476)^(3-1)*(1-$L476)*(1-$M476)</f>
        <v/>
      </c>
      <c r="T476" s="33">
        <f>$J476*(1+$K476)^(4-1)*(1-$L476)*(1-$M476)</f>
        <v/>
      </c>
      <c r="U476" s="33">
        <f>$J476*(1+$K476)^(5-1)*(1-$L476)*(1-$M476)+$O476</f>
        <v/>
      </c>
      <c r="V476" s="33">
        <f>P476+NPV($N476,Q476:U476)</f>
        <v/>
      </c>
      <c r="W476" s="32">
        <f>IFERROR(IRR(P476:U476,0.1),"")</f>
        <v/>
      </c>
    </row>
    <row r="477">
      <c r="A477" s="14" t="n">
        <v>473</v>
      </c>
      <c r="B477" s="30">
        <f>RAND()*(1-2E-6)+1E-6</f>
        <v/>
      </c>
      <c r="C477" s="30">
        <f>RAND()*(1-2E-6)+1E-6</f>
        <v/>
      </c>
      <c r="D477" s="30">
        <f>RAND()*(1-2E-6)+1E-6</f>
        <v/>
      </c>
      <c r="E477" s="30">
        <f>RAND()*(1-2E-6)+1E-6</f>
        <v/>
      </c>
      <c r="F477" s="30">
        <f>RAND()*(1-2E-6)+1E-6</f>
        <v/>
      </c>
      <c r="G477" s="30">
        <f>RAND()*(1-2E-6)+1E-6</f>
        <v/>
      </c>
      <c r="H477" s="30">
        <f>RAND()*(1-2E-6)+1E-6</f>
        <v/>
      </c>
      <c r="I477" s="31">
        <f>MIN(IF(Supuestos!$H$5="",1E+99,Supuestos!$H$5),MAX(IF(Supuestos!$G$5="",-1E+99,Supuestos!$G$5),IF(Supuestos!$C$5="Normal",NORMINV(B477,Supuestos!$D$5,Supuestos!$E$5),IF(Supuestos!$C$5="Triangular",IF(B477&lt;(Supuestos!$E$5-Supuestos!$D$5)/(Supuestos!$F$5-Supuestos!$D$5),Supuestos!$D$5+SQRT(B477*(Supuestos!$F$5-Supuestos!$D$5)*(Supuestos!$E$5-Supuestos!$D$5)),Supuestos!$F$5-SQRT((1-B477)*(Supuestos!$F$5-Supuestos!$D$5)*(Supuestos!$F$5-Supuestos!$E$5))),IF(Supuestos!$C$5="Uniforme",Supuestos!$D$5+B477*(Supuestos!$E$5-Supuestos!$D$5),IF(Supuestos!$C$5="Lognormal",LOGINV(B477,LN(Supuestos!$D$5)-LN(1+Supuestos!$E$5^2/Supuestos!$D$5^2)/2,SQRT(LN(1+Supuestos!$E$5^2/Supuestos!$D$5^2))),Supuestos!$D$5))))))</f>
        <v/>
      </c>
      <c r="J477" s="31">
        <f>MIN(IF(Supuestos!$H$6="",1E+99,Supuestos!$H$6),MAX(IF(Supuestos!$G$6="",-1E+99,Supuestos!$G$6),IF(Supuestos!$C$6="Normal",NORMINV(C477,Supuestos!$D$6,Supuestos!$E$6),IF(Supuestos!$C$6="Triangular",IF(C477&lt;(Supuestos!$E$6-Supuestos!$D$6)/(Supuestos!$F$6-Supuestos!$D$6),Supuestos!$D$6+SQRT(C477*(Supuestos!$F$6-Supuestos!$D$6)*(Supuestos!$E$6-Supuestos!$D$6)),Supuestos!$F$6-SQRT((1-C477)*(Supuestos!$F$6-Supuestos!$D$6)*(Supuestos!$F$6-Supuestos!$E$6))),IF(Supuestos!$C$6="Uniforme",Supuestos!$D$6+C477*(Supuestos!$E$6-Supuestos!$D$6),IF(Supuestos!$C$6="Lognormal",LOGINV(C477,LN(Supuestos!$D$6)-LN(1+Supuestos!$E$6^2/Supuestos!$D$6^2)/2,SQRT(LN(1+Supuestos!$E$6^2/Supuestos!$D$6^2))),Supuestos!$D$6))))))</f>
        <v/>
      </c>
      <c r="K477" s="32">
        <f>MIN(IF(Supuestos!$H$7="",1E+99,Supuestos!$H$7),MAX(IF(Supuestos!$G$7="",-1E+99,Supuestos!$G$7),IF(Supuestos!$C$7="Normal",NORMINV(D477,Supuestos!$D$7,Supuestos!$E$7),IF(Supuestos!$C$7="Triangular",IF(D477&lt;(Supuestos!$E$7-Supuestos!$D$7)/(Supuestos!$F$7-Supuestos!$D$7),Supuestos!$D$7+SQRT(D477*(Supuestos!$F$7-Supuestos!$D$7)*(Supuestos!$E$7-Supuestos!$D$7)),Supuestos!$F$7-SQRT((1-D477)*(Supuestos!$F$7-Supuestos!$D$7)*(Supuestos!$F$7-Supuestos!$E$7))),IF(Supuestos!$C$7="Uniforme",Supuestos!$D$7+D477*(Supuestos!$E$7-Supuestos!$D$7),IF(Supuestos!$C$7="Lognormal",LOGINV(D477,LN(Supuestos!$D$7)-LN(1+Supuestos!$E$7^2/Supuestos!$D$7^2)/2,SQRT(LN(1+Supuestos!$E$7^2/Supuestos!$D$7^2))),Supuestos!$D$7))))))</f>
        <v/>
      </c>
      <c r="L477" s="32">
        <f>MIN(IF(Supuestos!$H$8="",1E+99,Supuestos!$H$8),MAX(IF(Supuestos!$G$8="",-1E+99,Supuestos!$G$8),IF(Supuestos!$C$8="Normal",NORMINV(E477,Supuestos!$D$8,Supuestos!$E$8),IF(Supuestos!$C$8="Triangular",IF(E477&lt;(Supuestos!$E$8-Supuestos!$D$8)/(Supuestos!$F$8-Supuestos!$D$8),Supuestos!$D$8+SQRT(E477*(Supuestos!$F$8-Supuestos!$D$8)*(Supuestos!$E$8-Supuestos!$D$8)),Supuestos!$F$8-SQRT((1-E477)*(Supuestos!$F$8-Supuestos!$D$8)*(Supuestos!$F$8-Supuestos!$E$8))),IF(Supuestos!$C$8="Uniforme",Supuestos!$D$8+E477*(Supuestos!$E$8-Supuestos!$D$8),IF(Supuestos!$C$8="Lognormal",LOGINV(E477,LN(Supuestos!$D$8)-LN(1+Supuestos!$E$8^2/Supuestos!$D$8^2)/2,SQRT(LN(1+Supuestos!$E$8^2/Supuestos!$D$8^2))),Supuestos!$D$8))))))</f>
        <v/>
      </c>
      <c r="M477" s="32">
        <f>MIN(IF(Supuestos!$H$9="",1E+99,Supuestos!$H$9),MAX(IF(Supuestos!$G$9="",-1E+99,Supuestos!$G$9),IF(Supuestos!$C$9="Normal",NORMINV(F477,Supuestos!$D$9,Supuestos!$E$9),IF(Supuestos!$C$9="Triangular",IF(F477&lt;(Supuestos!$E$9-Supuestos!$D$9)/(Supuestos!$F$9-Supuestos!$D$9),Supuestos!$D$9+SQRT(F477*(Supuestos!$F$9-Supuestos!$D$9)*(Supuestos!$E$9-Supuestos!$D$9)),Supuestos!$F$9-SQRT((1-F477)*(Supuestos!$F$9-Supuestos!$D$9)*(Supuestos!$F$9-Supuestos!$E$9))),IF(Supuestos!$C$9="Uniforme",Supuestos!$D$9+F477*(Supuestos!$E$9-Supuestos!$D$9),IF(Supuestos!$C$9="Lognormal",LOGINV(F477,LN(Supuestos!$D$9)-LN(1+Supuestos!$E$9^2/Supuestos!$D$9^2)/2,SQRT(LN(1+Supuestos!$E$9^2/Supuestos!$D$9^2))),Supuestos!$D$9))))))</f>
        <v/>
      </c>
      <c r="N477" s="32">
        <f>MIN(IF(Supuestos!$H$10="",1E+99,Supuestos!$H$10),MAX(IF(Supuestos!$G$10="",-1E+99,Supuestos!$G$10),IF(Supuestos!$C$10="Normal",NORMINV(G477,Supuestos!$D$10,Supuestos!$E$10),IF(Supuestos!$C$10="Triangular",IF(G477&lt;(Supuestos!$E$10-Supuestos!$D$10)/(Supuestos!$F$10-Supuestos!$D$10),Supuestos!$D$10+SQRT(G477*(Supuestos!$F$10-Supuestos!$D$10)*(Supuestos!$E$10-Supuestos!$D$10)),Supuestos!$F$10-SQRT((1-G477)*(Supuestos!$F$10-Supuestos!$D$10)*(Supuestos!$F$10-Supuestos!$E$10))),IF(Supuestos!$C$10="Uniforme",Supuestos!$D$10+G477*(Supuestos!$E$10-Supuestos!$D$10),IF(Supuestos!$C$10="Lognormal",LOGINV(G477,LN(Supuestos!$D$10)-LN(1+Supuestos!$E$10^2/Supuestos!$D$10^2)/2,SQRT(LN(1+Supuestos!$E$10^2/Supuestos!$D$10^2))),Supuestos!$D$10))))))</f>
        <v/>
      </c>
      <c r="O477" s="31">
        <f>MIN(IF(Supuestos!$H$11="",1E+99,Supuestos!$H$11),MAX(IF(Supuestos!$G$11="",-1E+99,Supuestos!$G$11),IF(Supuestos!$C$11="Normal",NORMINV(H477,Supuestos!$D$11,Supuestos!$E$11),IF(Supuestos!$C$11="Triangular",IF(H477&lt;(Supuestos!$E$11-Supuestos!$D$11)/(Supuestos!$F$11-Supuestos!$D$11),Supuestos!$D$11+SQRT(H477*(Supuestos!$F$11-Supuestos!$D$11)*(Supuestos!$E$11-Supuestos!$D$11)),Supuestos!$F$11-SQRT((1-H477)*(Supuestos!$F$11-Supuestos!$D$11)*(Supuestos!$F$11-Supuestos!$E$11))),IF(Supuestos!$C$11="Uniforme",Supuestos!$D$11+H477*(Supuestos!$E$11-Supuestos!$D$11),IF(Supuestos!$C$11="Lognormal",LOGINV(H477,LN(Supuestos!$D$11)-LN(1+Supuestos!$E$11^2/Supuestos!$D$11^2)/2,SQRT(LN(1+Supuestos!$E$11^2/Supuestos!$D$11^2))),Supuestos!$D$11))))))</f>
        <v/>
      </c>
      <c r="P477" s="33">
        <f>-I477</f>
        <v/>
      </c>
      <c r="Q477" s="33">
        <f>$J477*(1+$K477)^(1-1)*(1-$L477)*(1-$M477)</f>
        <v/>
      </c>
      <c r="R477" s="33">
        <f>$J477*(1+$K477)^(2-1)*(1-$L477)*(1-$M477)</f>
        <v/>
      </c>
      <c r="S477" s="33">
        <f>$J477*(1+$K477)^(3-1)*(1-$L477)*(1-$M477)</f>
        <v/>
      </c>
      <c r="T477" s="33">
        <f>$J477*(1+$K477)^(4-1)*(1-$L477)*(1-$M477)</f>
        <v/>
      </c>
      <c r="U477" s="33">
        <f>$J477*(1+$K477)^(5-1)*(1-$L477)*(1-$M477)+$O477</f>
        <v/>
      </c>
      <c r="V477" s="33">
        <f>P477+NPV($N477,Q477:U477)</f>
        <v/>
      </c>
      <c r="W477" s="32">
        <f>IFERROR(IRR(P477:U477,0.1),"")</f>
        <v/>
      </c>
    </row>
    <row r="478">
      <c r="A478" s="14" t="n">
        <v>474</v>
      </c>
      <c r="B478" s="30">
        <f>RAND()*(1-2E-6)+1E-6</f>
        <v/>
      </c>
      <c r="C478" s="30">
        <f>RAND()*(1-2E-6)+1E-6</f>
        <v/>
      </c>
      <c r="D478" s="30">
        <f>RAND()*(1-2E-6)+1E-6</f>
        <v/>
      </c>
      <c r="E478" s="30">
        <f>RAND()*(1-2E-6)+1E-6</f>
        <v/>
      </c>
      <c r="F478" s="30">
        <f>RAND()*(1-2E-6)+1E-6</f>
        <v/>
      </c>
      <c r="G478" s="30">
        <f>RAND()*(1-2E-6)+1E-6</f>
        <v/>
      </c>
      <c r="H478" s="30">
        <f>RAND()*(1-2E-6)+1E-6</f>
        <v/>
      </c>
      <c r="I478" s="31">
        <f>MIN(IF(Supuestos!$H$5="",1E+99,Supuestos!$H$5),MAX(IF(Supuestos!$G$5="",-1E+99,Supuestos!$G$5),IF(Supuestos!$C$5="Normal",NORMINV(B478,Supuestos!$D$5,Supuestos!$E$5),IF(Supuestos!$C$5="Triangular",IF(B478&lt;(Supuestos!$E$5-Supuestos!$D$5)/(Supuestos!$F$5-Supuestos!$D$5),Supuestos!$D$5+SQRT(B478*(Supuestos!$F$5-Supuestos!$D$5)*(Supuestos!$E$5-Supuestos!$D$5)),Supuestos!$F$5-SQRT((1-B478)*(Supuestos!$F$5-Supuestos!$D$5)*(Supuestos!$F$5-Supuestos!$E$5))),IF(Supuestos!$C$5="Uniforme",Supuestos!$D$5+B478*(Supuestos!$E$5-Supuestos!$D$5),IF(Supuestos!$C$5="Lognormal",LOGINV(B478,LN(Supuestos!$D$5)-LN(1+Supuestos!$E$5^2/Supuestos!$D$5^2)/2,SQRT(LN(1+Supuestos!$E$5^2/Supuestos!$D$5^2))),Supuestos!$D$5))))))</f>
        <v/>
      </c>
      <c r="J478" s="31">
        <f>MIN(IF(Supuestos!$H$6="",1E+99,Supuestos!$H$6),MAX(IF(Supuestos!$G$6="",-1E+99,Supuestos!$G$6),IF(Supuestos!$C$6="Normal",NORMINV(C478,Supuestos!$D$6,Supuestos!$E$6),IF(Supuestos!$C$6="Triangular",IF(C478&lt;(Supuestos!$E$6-Supuestos!$D$6)/(Supuestos!$F$6-Supuestos!$D$6),Supuestos!$D$6+SQRT(C478*(Supuestos!$F$6-Supuestos!$D$6)*(Supuestos!$E$6-Supuestos!$D$6)),Supuestos!$F$6-SQRT((1-C478)*(Supuestos!$F$6-Supuestos!$D$6)*(Supuestos!$F$6-Supuestos!$E$6))),IF(Supuestos!$C$6="Uniforme",Supuestos!$D$6+C478*(Supuestos!$E$6-Supuestos!$D$6),IF(Supuestos!$C$6="Lognormal",LOGINV(C478,LN(Supuestos!$D$6)-LN(1+Supuestos!$E$6^2/Supuestos!$D$6^2)/2,SQRT(LN(1+Supuestos!$E$6^2/Supuestos!$D$6^2))),Supuestos!$D$6))))))</f>
        <v/>
      </c>
      <c r="K478" s="32">
        <f>MIN(IF(Supuestos!$H$7="",1E+99,Supuestos!$H$7),MAX(IF(Supuestos!$G$7="",-1E+99,Supuestos!$G$7),IF(Supuestos!$C$7="Normal",NORMINV(D478,Supuestos!$D$7,Supuestos!$E$7),IF(Supuestos!$C$7="Triangular",IF(D478&lt;(Supuestos!$E$7-Supuestos!$D$7)/(Supuestos!$F$7-Supuestos!$D$7),Supuestos!$D$7+SQRT(D478*(Supuestos!$F$7-Supuestos!$D$7)*(Supuestos!$E$7-Supuestos!$D$7)),Supuestos!$F$7-SQRT((1-D478)*(Supuestos!$F$7-Supuestos!$D$7)*(Supuestos!$F$7-Supuestos!$E$7))),IF(Supuestos!$C$7="Uniforme",Supuestos!$D$7+D478*(Supuestos!$E$7-Supuestos!$D$7),IF(Supuestos!$C$7="Lognormal",LOGINV(D478,LN(Supuestos!$D$7)-LN(1+Supuestos!$E$7^2/Supuestos!$D$7^2)/2,SQRT(LN(1+Supuestos!$E$7^2/Supuestos!$D$7^2))),Supuestos!$D$7))))))</f>
        <v/>
      </c>
      <c r="L478" s="32">
        <f>MIN(IF(Supuestos!$H$8="",1E+99,Supuestos!$H$8),MAX(IF(Supuestos!$G$8="",-1E+99,Supuestos!$G$8),IF(Supuestos!$C$8="Normal",NORMINV(E478,Supuestos!$D$8,Supuestos!$E$8),IF(Supuestos!$C$8="Triangular",IF(E478&lt;(Supuestos!$E$8-Supuestos!$D$8)/(Supuestos!$F$8-Supuestos!$D$8),Supuestos!$D$8+SQRT(E478*(Supuestos!$F$8-Supuestos!$D$8)*(Supuestos!$E$8-Supuestos!$D$8)),Supuestos!$F$8-SQRT((1-E478)*(Supuestos!$F$8-Supuestos!$D$8)*(Supuestos!$F$8-Supuestos!$E$8))),IF(Supuestos!$C$8="Uniforme",Supuestos!$D$8+E478*(Supuestos!$E$8-Supuestos!$D$8),IF(Supuestos!$C$8="Lognormal",LOGINV(E478,LN(Supuestos!$D$8)-LN(1+Supuestos!$E$8^2/Supuestos!$D$8^2)/2,SQRT(LN(1+Supuestos!$E$8^2/Supuestos!$D$8^2))),Supuestos!$D$8))))))</f>
        <v/>
      </c>
      <c r="M478" s="32">
        <f>MIN(IF(Supuestos!$H$9="",1E+99,Supuestos!$H$9),MAX(IF(Supuestos!$G$9="",-1E+99,Supuestos!$G$9),IF(Supuestos!$C$9="Normal",NORMINV(F478,Supuestos!$D$9,Supuestos!$E$9),IF(Supuestos!$C$9="Triangular",IF(F478&lt;(Supuestos!$E$9-Supuestos!$D$9)/(Supuestos!$F$9-Supuestos!$D$9),Supuestos!$D$9+SQRT(F478*(Supuestos!$F$9-Supuestos!$D$9)*(Supuestos!$E$9-Supuestos!$D$9)),Supuestos!$F$9-SQRT((1-F478)*(Supuestos!$F$9-Supuestos!$D$9)*(Supuestos!$F$9-Supuestos!$E$9))),IF(Supuestos!$C$9="Uniforme",Supuestos!$D$9+F478*(Supuestos!$E$9-Supuestos!$D$9),IF(Supuestos!$C$9="Lognormal",LOGINV(F478,LN(Supuestos!$D$9)-LN(1+Supuestos!$E$9^2/Supuestos!$D$9^2)/2,SQRT(LN(1+Supuestos!$E$9^2/Supuestos!$D$9^2))),Supuestos!$D$9))))))</f>
        <v/>
      </c>
      <c r="N478" s="32">
        <f>MIN(IF(Supuestos!$H$10="",1E+99,Supuestos!$H$10),MAX(IF(Supuestos!$G$10="",-1E+99,Supuestos!$G$10),IF(Supuestos!$C$10="Normal",NORMINV(G478,Supuestos!$D$10,Supuestos!$E$10),IF(Supuestos!$C$10="Triangular",IF(G478&lt;(Supuestos!$E$10-Supuestos!$D$10)/(Supuestos!$F$10-Supuestos!$D$10),Supuestos!$D$10+SQRT(G478*(Supuestos!$F$10-Supuestos!$D$10)*(Supuestos!$E$10-Supuestos!$D$10)),Supuestos!$F$10-SQRT((1-G478)*(Supuestos!$F$10-Supuestos!$D$10)*(Supuestos!$F$10-Supuestos!$E$10))),IF(Supuestos!$C$10="Uniforme",Supuestos!$D$10+G478*(Supuestos!$E$10-Supuestos!$D$10),IF(Supuestos!$C$10="Lognormal",LOGINV(G478,LN(Supuestos!$D$10)-LN(1+Supuestos!$E$10^2/Supuestos!$D$10^2)/2,SQRT(LN(1+Supuestos!$E$10^2/Supuestos!$D$10^2))),Supuestos!$D$10))))))</f>
        <v/>
      </c>
      <c r="O478" s="31">
        <f>MIN(IF(Supuestos!$H$11="",1E+99,Supuestos!$H$11),MAX(IF(Supuestos!$G$11="",-1E+99,Supuestos!$G$11),IF(Supuestos!$C$11="Normal",NORMINV(H478,Supuestos!$D$11,Supuestos!$E$11),IF(Supuestos!$C$11="Triangular",IF(H478&lt;(Supuestos!$E$11-Supuestos!$D$11)/(Supuestos!$F$11-Supuestos!$D$11),Supuestos!$D$11+SQRT(H478*(Supuestos!$F$11-Supuestos!$D$11)*(Supuestos!$E$11-Supuestos!$D$11)),Supuestos!$F$11-SQRT((1-H478)*(Supuestos!$F$11-Supuestos!$D$11)*(Supuestos!$F$11-Supuestos!$E$11))),IF(Supuestos!$C$11="Uniforme",Supuestos!$D$11+H478*(Supuestos!$E$11-Supuestos!$D$11),IF(Supuestos!$C$11="Lognormal",LOGINV(H478,LN(Supuestos!$D$11)-LN(1+Supuestos!$E$11^2/Supuestos!$D$11^2)/2,SQRT(LN(1+Supuestos!$E$11^2/Supuestos!$D$11^2))),Supuestos!$D$11))))))</f>
        <v/>
      </c>
      <c r="P478" s="33">
        <f>-I478</f>
        <v/>
      </c>
      <c r="Q478" s="33">
        <f>$J478*(1+$K478)^(1-1)*(1-$L478)*(1-$M478)</f>
        <v/>
      </c>
      <c r="R478" s="33">
        <f>$J478*(1+$K478)^(2-1)*(1-$L478)*(1-$M478)</f>
        <v/>
      </c>
      <c r="S478" s="33">
        <f>$J478*(1+$K478)^(3-1)*(1-$L478)*(1-$M478)</f>
        <v/>
      </c>
      <c r="T478" s="33">
        <f>$J478*(1+$K478)^(4-1)*(1-$L478)*(1-$M478)</f>
        <v/>
      </c>
      <c r="U478" s="33">
        <f>$J478*(1+$K478)^(5-1)*(1-$L478)*(1-$M478)+$O478</f>
        <v/>
      </c>
      <c r="V478" s="33">
        <f>P478+NPV($N478,Q478:U478)</f>
        <v/>
      </c>
      <c r="W478" s="32">
        <f>IFERROR(IRR(P478:U478,0.1),"")</f>
        <v/>
      </c>
    </row>
    <row r="479">
      <c r="A479" s="14" t="n">
        <v>475</v>
      </c>
      <c r="B479" s="30">
        <f>RAND()*(1-2E-6)+1E-6</f>
        <v/>
      </c>
      <c r="C479" s="30">
        <f>RAND()*(1-2E-6)+1E-6</f>
        <v/>
      </c>
      <c r="D479" s="30">
        <f>RAND()*(1-2E-6)+1E-6</f>
        <v/>
      </c>
      <c r="E479" s="30">
        <f>RAND()*(1-2E-6)+1E-6</f>
        <v/>
      </c>
      <c r="F479" s="30">
        <f>RAND()*(1-2E-6)+1E-6</f>
        <v/>
      </c>
      <c r="G479" s="30">
        <f>RAND()*(1-2E-6)+1E-6</f>
        <v/>
      </c>
      <c r="H479" s="30">
        <f>RAND()*(1-2E-6)+1E-6</f>
        <v/>
      </c>
      <c r="I479" s="31">
        <f>MIN(IF(Supuestos!$H$5="",1E+99,Supuestos!$H$5),MAX(IF(Supuestos!$G$5="",-1E+99,Supuestos!$G$5),IF(Supuestos!$C$5="Normal",NORMINV(B479,Supuestos!$D$5,Supuestos!$E$5),IF(Supuestos!$C$5="Triangular",IF(B479&lt;(Supuestos!$E$5-Supuestos!$D$5)/(Supuestos!$F$5-Supuestos!$D$5),Supuestos!$D$5+SQRT(B479*(Supuestos!$F$5-Supuestos!$D$5)*(Supuestos!$E$5-Supuestos!$D$5)),Supuestos!$F$5-SQRT((1-B479)*(Supuestos!$F$5-Supuestos!$D$5)*(Supuestos!$F$5-Supuestos!$E$5))),IF(Supuestos!$C$5="Uniforme",Supuestos!$D$5+B479*(Supuestos!$E$5-Supuestos!$D$5),IF(Supuestos!$C$5="Lognormal",LOGINV(B479,LN(Supuestos!$D$5)-LN(1+Supuestos!$E$5^2/Supuestos!$D$5^2)/2,SQRT(LN(1+Supuestos!$E$5^2/Supuestos!$D$5^2))),Supuestos!$D$5))))))</f>
        <v/>
      </c>
      <c r="J479" s="31">
        <f>MIN(IF(Supuestos!$H$6="",1E+99,Supuestos!$H$6),MAX(IF(Supuestos!$G$6="",-1E+99,Supuestos!$G$6),IF(Supuestos!$C$6="Normal",NORMINV(C479,Supuestos!$D$6,Supuestos!$E$6),IF(Supuestos!$C$6="Triangular",IF(C479&lt;(Supuestos!$E$6-Supuestos!$D$6)/(Supuestos!$F$6-Supuestos!$D$6),Supuestos!$D$6+SQRT(C479*(Supuestos!$F$6-Supuestos!$D$6)*(Supuestos!$E$6-Supuestos!$D$6)),Supuestos!$F$6-SQRT((1-C479)*(Supuestos!$F$6-Supuestos!$D$6)*(Supuestos!$F$6-Supuestos!$E$6))),IF(Supuestos!$C$6="Uniforme",Supuestos!$D$6+C479*(Supuestos!$E$6-Supuestos!$D$6),IF(Supuestos!$C$6="Lognormal",LOGINV(C479,LN(Supuestos!$D$6)-LN(1+Supuestos!$E$6^2/Supuestos!$D$6^2)/2,SQRT(LN(1+Supuestos!$E$6^2/Supuestos!$D$6^2))),Supuestos!$D$6))))))</f>
        <v/>
      </c>
      <c r="K479" s="32">
        <f>MIN(IF(Supuestos!$H$7="",1E+99,Supuestos!$H$7),MAX(IF(Supuestos!$G$7="",-1E+99,Supuestos!$G$7),IF(Supuestos!$C$7="Normal",NORMINV(D479,Supuestos!$D$7,Supuestos!$E$7),IF(Supuestos!$C$7="Triangular",IF(D479&lt;(Supuestos!$E$7-Supuestos!$D$7)/(Supuestos!$F$7-Supuestos!$D$7),Supuestos!$D$7+SQRT(D479*(Supuestos!$F$7-Supuestos!$D$7)*(Supuestos!$E$7-Supuestos!$D$7)),Supuestos!$F$7-SQRT((1-D479)*(Supuestos!$F$7-Supuestos!$D$7)*(Supuestos!$F$7-Supuestos!$E$7))),IF(Supuestos!$C$7="Uniforme",Supuestos!$D$7+D479*(Supuestos!$E$7-Supuestos!$D$7),IF(Supuestos!$C$7="Lognormal",LOGINV(D479,LN(Supuestos!$D$7)-LN(1+Supuestos!$E$7^2/Supuestos!$D$7^2)/2,SQRT(LN(1+Supuestos!$E$7^2/Supuestos!$D$7^2))),Supuestos!$D$7))))))</f>
        <v/>
      </c>
      <c r="L479" s="32">
        <f>MIN(IF(Supuestos!$H$8="",1E+99,Supuestos!$H$8),MAX(IF(Supuestos!$G$8="",-1E+99,Supuestos!$G$8),IF(Supuestos!$C$8="Normal",NORMINV(E479,Supuestos!$D$8,Supuestos!$E$8),IF(Supuestos!$C$8="Triangular",IF(E479&lt;(Supuestos!$E$8-Supuestos!$D$8)/(Supuestos!$F$8-Supuestos!$D$8),Supuestos!$D$8+SQRT(E479*(Supuestos!$F$8-Supuestos!$D$8)*(Supuestos!$E$8-Supuestos!$D$8)),Supuestos!$F$8-SQRT((1-E479)*(Supuestos!$F$8-Supuestos!$D$8)*(Supuestos!$F$8-Supuestos!$E$8))),IF(Supuestos!$C$8="Uniforme",Supuestos!$D$8+E479*(Supuestos!$E$8-Supuestos!$D$8),IF(Supuestos!$C$8="Lognormal",LOGINV(E479,LN(Supuestos!$D$8)-LN(1+Supuestos!$E$8^2/Supuestos!$D$8^2)/2,SQRT(LN(1+Supuestos!$E$8^2/Supuestos!$D$8^2))),Supuestos!$D$8))))))</f>
        <v/>
      </c>
      <c r="M479" s="32">
        <f>MIN(IF(Supuestos!$H$9="",1E+99,Supuestos!$H$9),MAX(IF(Supuestos!$G$9="",-1E+99,Supuestos!$G$9),IF(Supuestos!$C$9="Normal",NORMINV(F479,Supuestos!$D$9,Supuestos!$E$9),IF(Supuestos!$C$9="Triangular",IF(F479&lt;(Supuestos!$E$9-Supuestos!$D$9)/(Supuestos!$F$9-Supuestos!$D$9),Supuestos!$D$9+SQRT(F479*(Supuestos!$F$9-Supuestos!$D$9)*(Supuestos!$E$9-Supuestos!$D$9)),Supuestos!$F$9-SQRT((1-F479)*(Supuestos!$F$9-Supuestos!$D$9)*(Supuestos!$F$9-Supuestos!$E$9))),IF(Supuestos!$C$9="Uniforme",Supuestos!$D$9+F479*(Supuestos!$E$9-Supuestos!$D$9),IF(Supuestos!$C$9="Lognormal",LOGINV(F479,LN(Supuestos!$D$9)-LN(1+Supuestos!$E$9^2/Supuestos!$D$9^2)/2,SQRT(LN(1+Supuestos!$E$9^2/Supuestos!$D$9^2))),Supuestos!$D$9))))))</f>
        <v/>
      </c>
      <c r="N479" s="32">
        <f>MIN(IF(Supuestos!$H$10="",1E+99,Supuestos!$H$10),MAX(IF(Supuestos!$G$10="",-1E+99,Supuestos!$G$10),IF(Supuestos!$C$10="Normal",NORMINV(G479,Supuestos!$D$10,Supuestos!$E$10),IF(Supuestos!$C$10="Triangular",IF(G479&lt;(Supuestos!$E$10-Supuestos!$D$10)/(Supuestos!$F$10-Supuestos!$D$10),Supuestos!$D$10+SQRT(G479*(Supuestos!$F$10-Supuestos!$D$10)*(Supuestos!$E$10-Supuestos!$D$10)),Supuestos!$F$10-SQRT((1-G479)*(Supuestos!$F$10-Supuestos!$D$10)*(Supuestos!$F$10-Supuestos!$E$10))),IF(Supuestos!$C$10="Uniforme",Supuestos!$D$10+G479*(Supuestos!$E$10-Supuestos!$D$10),IF(Supuestos!$C$10="Lognormal",LOGINV(G479,LN(Supuestos!$D$10)-LN(1+Supuestos!$E$10^2/Supuestos!$D$10^2)/2,SQRT(LN(1+Supuestos!$E$10^2/Supuestos!$D$10^2))),Supuestos!$D$10))))))</f>
        <v/>
      </c>
      <c r="O479" s="31">
        <f>MIN(IF(Supuestos!$H$11="",1E+99,Supuestos!$H$11),MAX(IF(Supuestos!$G$11="",-1E+99,Supuestos!$G$11),IF(Supuestos!$C$11="Normal",NORMINV(H479,Supuestos!$D$11,Supuestos!$E$11),IF(Supuestos!$C$11="Triangular",IF(H479&lt;(Supuestos!$E$11-Supuestos!$D$11)/(Supuestos!$F$11-Supuestos!$D$11),Supuestos!$D$11+SQRT(H479*(Supuestos!$F$11-Supuestos!$D$11)*(Supuestos!$E$11-Supuestos!$D$11)),Supuestos!$F$11-SQRT((1-H479)*(Supuestos!$F$11-Supuestos!$D$11)*(Supuestos!$F$11-Supuestos!$E$11))),IF(Supuestos!$C$11="Uniforme",Supuestos!$D$11+H479*(Supuestos!$E$11-Supuestos!$D$11),IF(Supuestos!$C$11="Lognormal",LOGINV(H479,LN(Supuestos!$D$11)-LN(1+Supuestos!$E$11^2/Supuestos!$D$11^2)/2,SQRT(LN(1+Supuestos!$E$11^2/Supuestos!$D$11^2))),Supuestos!$D$11))))))</f>
        <v/>
      </c>
      <c r="P479" s="33">
        <f>-I479</f>
        <v/>
      </c>
      <c r="Q479" s="33">
        <f>$J479*(1+$K479)^(1-1)*(1-$L479)*(1-$M479)</f>
        <v/>
      </c>
      <c r="R479" s="33">
        <f>$J479*(1+$K479)^(2-1)*(1-$L479)*(1-$M479)</f>
        <v/>
      </c>
      <c r="S479" s="33">
        <f>$J479*(1+$K479)^(3-1)*(1-$L479)*(1-$M479)</f>
        <v/>
      </c>
      <c r="T479" s="33">
        <f>$J479*(1+$K479)^(4-1)*(1-$L479)*(1-$M479)</f>
        <v/>
      </c>
      <c r="U479" s="33">
        <f>$J479*(1+$K479)^(5-1)*(1-$L479)*(1-$M479)+$O479</f>
        <v/>
      </c>
      <c r="V479" s="33">
        <f>P479+NPV($N479,Q479:U479)</f>
        <v/>
      </c>
      <c r="W479" s="32">
        <f>IFERROR(IRR(P479:U479,0.1),"")</f>
        <v/>
      </c>
    </row>
    <row r="480">
      <c r="A480" s="14" t="n">
        <v>476</v>
      </c>
      <c r="B480" s="30">
        <f>RAND()*(1-2E-6)+1E-6</f>
        <v/>
      </c>
      <c r="C480" s="30">
        <f>RAND()*(1-2E-6)+1E-6</f>
        <v/>
      </c>
      <c r="D480" s="30">
        <f>RAND()*(1-2E-6)+1E-6</f>
        <v/>
      </c>
      <c r="E480" s="30">
        <f>RAND()*(1-2E-6)+1E-6</f>
        <v/>
      </c>
      <c r="F480" s="30">
        <f>RAND()*(1-2E-6)+1E-6</f>
        <v/>
      </c>
      <c r="G480" s="30">
        <f>RAND()*(1-2E-6)+1E-6</f>
        <v/>
      </c>
      <c r="H480" s="30">
        <f>RAND()*(1-2E-6)+1E-6</f>
        <v/>
      </c>
      <c r="I480" s="31">
        <f>MIN(IF(Supuestos!$H$5="",1E+99,Supuestos!$H$5),MAX(IF(Supuestos!$G$5="",-1E+99,Supuestos!$G$5),IF(Supuestos!$C$5="Normal",NORMINV(B480,Supuestos!$D$5,Supuestos!$E$5),IF(Supuestos!$C$5="Triangular",IF(B480&lt;(Supuestos!$E$5-Supuestos!$D$5)/(Supuestos!$F$5-Supuestos!$D$5),Supuestos!$D$5+SQRT(B480*(Supuestos!$F$5-Supuestos!$D$5)*(Supuestos!$E$5-Supuestos!$D$5)),Supuestos!$F$5-SQRT((1-B480)*(Supuestos!$F$5-Supuestos!$D$5)*(Supuestos!$F$5-Supuestos!$E$5))),IF(Supuestos!$C$5="Uniforme",Supuestos!$D$5+B480*(Supuestos!$E$5-Supuestos!$D$5),IF(Supuestos!$C$5="Lognormal",LOGINV(B480,LN(Supuestos!$D$5)-LN(1+Supuestos!$E$5^2/Supuestos!$D$5^2)/2,SQRT(LN(1+Supuestos!$E$5^2/Supuestos!$D$5^2))),Supuestos!$D$5))))))</f>
        <v/>
      </c>
      <c r="J480" s="31">
        <f>MIN(IF(Supuestos!$H$6="",1E+99,Supuestos!$H$6),MAX(IF(Supuestos!$G$6="",-1E+99,Supuestos!$G$6),IF(Supuestos!$C$6="Normal",NORMINV(C480,Supuestos!$D$6,Supuestos!$E$6),IF(Supuestos!$C$6="Triangular",IF(C480&lt;(Supuestos!$E$6-Supuestos!$D$6)/(Supuestos!$F$6-Supuestos!$D$6),Supuestos!$D$6+SQRT(C480*(Supuestos!$F$6-Supuestos!$D$6)*(Supuestos!$E$6-Supuestos!$D$6)),Supuestos!$F$6-SQRT((1-C480)*(Supuestos!$F$6-Supuestos!$D$6)*(Supuestos!$F$6-Supuestos!$E$6))),IF(Supuestos!$C$6="Uniforme",Supuestos!$D$6+C480*(Supuestos!$E$6-Supuestos!$D$6),IF(Supuestos!$C$6="Lognormal",LOGINV(C480,LN(Supuestos!$D$6)-LN(1+Supuestos!$E$6^2/Supuestos!$D$6^2)/2,SQRT(LN(1+Supuestos!$E$6^2/Supuestos!$D$6^2))),Supuestos!$D$6))))))</f>
        <v/>
      </c>
      <c r="K480" s="32">
        <f>MIN(IF(Supuestos!$H$7="",1E+99,Supuestos!$H$7),MAX(IF(Supuestos!$G$7="",-1E+99,Supuestos!$G$7),IF(Supuestos!$C$7="Normal",NORMINV(D480,Supuestos!$D$7,Supuestos!$E$7),IF(Supuestos!$C$7="Triangular",IF(D480&lt;(Supuestos!$E$7-Supuestos!$D$7)/(Supuestos!$F$7-Supuestos!$D$7),Supuestos!$D$7+SQRT(D480*(Supuestos!$F$7-Supuestos!$D$7)*(Supuestos!$E$7-Supuestos!$D$7)),Supuestos!$F$7-SQRT((1-D480)*(Supuestos!$F$7-Supuestos!$D$7)*(Supuestos!$F$7-Supuestos!$E$7))),IF(Supuestos!$C$7="Uniforme",Supuestos!$D$7+D480*(Supuestos!$E$7-Supuestos!$D$7),IF(Supuestos!$C$7="Lognormal",LOGINV(D480,LN(Supuestos!$D$7)-LN(1+Supuestos!$E$7^2/Supuestos!$D$7^2)/2,SQRT(LN(1+Supuestos!$E$7^2/Supuestos!$D$7^2))),Supuestos!$D$7))))))</f>
        <v/>
      </c>
      <c r="L480" s="32">
        <f>MIN(IF(Supuestos!$H$8="",1E+99,Supuestos!$H$8),MAX(IF(Supuestos!$G$8="",-1E+99,Supuestos!$G$8),IF(Supuestos!$C$8="Normal",NORMINV(E480,Supuestos!$D$8,Supuestos!$E$8),IF(Supuestos!$C$8="Triangular",IF(E480&lt;(Supuestos!$E$8-Supuestos!$D$8)/(Supuestos!$F$8-Supuestos!$D$8),Supuestos!$D$8+SQRT(E480*(Supuestos!$F$8-Supuestos!$D$8)*(Supuestos!$E$8-Supuestos!$D$8)),Supuestos!$F$8-SQRT((1-E480)*(Supuestos!$F$8-Supuestos!$D$8)*(Supuestos!$F$8-Supuestos!$E$8))),IF(Supuestos!$C$8="Uniforme",Supuestos!$D$8+E480*(Supuestos!$E$8-Supuestos!$D$8),IF(Supuestos!$C$8="Lognormal",LOGINV(E480,LN(Supuestos!$D$8)-LN(1+Supuestos!$E$8^2/Supuestos!$D$8^2)/2,SQRT(LN(1+Supuestos!$E$8^2/Supuestos!$D$8^2))),Supuestos!$D$8))))))</f>
        <v/>
      </c>
      <c r="M480" s="32">
        <f>MIN(IF(Supuestos!$H$9="",1E+99,Supuestos!$H$9),MAX(IF(Supuestos!$G$9="",-1E+99,Supuestos!$G$9),IF(Supuestos!$C$9="Normal",NORMINV(F480,Supuestos!$D$9,Supuestos!$E$9),IF(Supuestos!$C$9="Triangular",IF(F480&lt;(Supuestos!$E$9-Supuestos!$D$9)/(Supuestos!$F$9-Supuestos!$D$9),Supuestos!$D$9+SQRT(F480*(Supuestos!$F$9-Supuestos!$D$9)*(Supuestos!$E$9-Supuestos!$D$9)),Supuestos!$F$9-SQRT((1-F480)*(Supuestos!$F$9-Supuestos!$D$9)*(Supuestos!$F$9-Supuestos!$E$9))),IF(Supuestos!$C$9="Uniforme",Supuestos!$D$9+F480*(Supuestos!$E$9-Supuestos!$D$9),IF(Supuestos!$C$9="Lognormal",LOGINV(F480,LN(Supuestos!$D$9)-LN(1+Supuestos!$E$9^2/Supuestos!$D$9^2)/2,SQRT(LN(1+Supuestos!$E$9^2/Supuestos!$D$9^2))),Supuestos!$D$9))))))</f>
        <v/>
      </c>
      <c r="N480" s="32">
        <f>MIN(IF(Supuestos!$H$10="",1E+99,Supuestos!$H$10),MAX(IF(Supuestos!$G$10="",-1E+99,Supuestos!$G$10),IF(Supuestos!$C$10="Normal",NORMINV(G480,Supuestos!$D$10,Supuestos!$E$10),IF(Supuestos!$C$10="Triangular",IF(G480&lt;(Supuestos!$E$10-Supuestos!$D$10)/(Supuestos!$F$10-Supuestos!$D$10),Supuestos!$D$10+SQRT(G480*(Supuestos!$F$10-Supuestos!$D$10)*(Supuestos!$E$10-Supuestos!$D$10)),Supuestos!$F$10-SQRT((1-G480)*(Supuestos!$F$10-Supuestos!$D$10)*(Supuestos!$F$10-Supuestos!$E$10))),IF(Supuestos!$C$10="Uniforme",Supuestos!$D$10+G480*(Supuestos!$E$10-Supuestos!$D$10),IF(Supuestos!$C$10="Lognormal",LOGINV(G480,LN(Supuestos!$D$10)-LN(1+Supuestos!$E$10^2/Supuestos!$D$10^2)/2,SQRT(LN(1+Supuestos!$E$10^2/Supuestos!$D$10^2))),Supuestos!$D$10))))))</f>
        <v/>
      </c>
      <c r="O480" s="31">
        <f>MIN(IF(Supuestos!$H$11="",1E+99,Supuestos!$H$11),MAX(IF(Supuestos!$G$11="",-1E+99,Supuestos!$G$11),IF(Supuestos!$C$11="Normal",NORMINV(H480,Supuestos!$D$11,Supuestos!$E$11),IF(Supuestos!$C$11="Triangular",IF(H480&lt;(Supuestos!$E$11-Supuestos!$D$11)/(Supuestos!$F$11-Supuestos!$D$11),Supuestos!$D$11+SQRT(H480*(Supuestos!$F$11-Supuestos!$D$11)*(Supuestos!$E$11-Supuestos!$D$11)),Supuestos!$F$11-SQRT((1-H480)*(Supuestos!$F$11-Supuestos!$D$11)*(Supuestos!$F$11-Supuestos!$E$11))),IF(Supuestos!$C$11="Uniforme",Supuestos!$D$11+H480*(Supuestos!$E$11-Supuestos!$D$11),IF(Supuestos!$C$11="Lognormal",LOGINV(H480,LN(Supuestos!$D$11)-LN(1+Supuestos!$E$11^2/Supuestos!$D$11^2)/2,SQRT(LN(1+Supuestos!$E$11^2/Supuestos!$D$11^2))),Supuestos!$D$11))))))</f>
        <v/>
      </c>
      <c r="P480" s="33">
        <f>-I480</f>
        <v/>
      </c>
      <c r="Q480" s="33">
        <f>$J480*(1+$K480)^(1-1)*(1-$L480)*(1-$M480)</f>
        <v/>
      </c>
      <c r="R480" s="33">
        <f>$J480*(1+$K480)^(2-1)*(1-$L480)*(1-$M480)</f>
        <v/>
      </c>
      <c r="S480" s="33">
        <f>$J480*(1+$K480)^(3-1)*(1-$L480)*(1-$M480)</f>
        <v/>
      </c>
      <c r="T480" s="33">
        <f>$J480*(1+$K480)^(4-1)*(1-$L480)*(1-$M480)</f>
        <v/>
      </c>
      <c r="U480" s="33">
        <f>$J480*(1+$K480)^(5-1)*(1-$L480)*(1-$M480)+$O480</f>
        <v/>
      </c>
      <c r="V480" s="33">
        <f>P480+NPV($N480,Q480:U480)</f>
        <v/>
      </c>
      <c r="W480" s="32">
        <f>IFERROR(IRR(P480:U480,0.1),"")</f>
        <v/>
      </c>
    </row>
    <row r="481">
      <c r="A481" s="14" t="n">
        <v>477</v>
      </c>
      <c r="B481" s="30">
        <f>RAND()*(1-2E-6)+1E-6</f>
        <v/>
      </c>
      <c r="C481" s="30">
        <f>RAND()*(1-2E-6)+1E-6</f>
        <v/>
      </c>
      <c r="D481" s="30">
        <f>RAND()*(1-2E-6)+1E-6</f>
        <v/>
      </c>
      <c r="E481" s="30">
        <f>RAND()*(1-2E-6)+1E-6</f>
        <v/>
      </c>
      <c r="F481" s="30">
        <f>RAND()*(1-2E-6)+1E-6</f>
        <v/>
      </c>
      <c r="G481" s="30">
        <f>RAND()*(1-2E-6)+1E-6</f>
        <v/>
      </c>
      <c r="H481" s="30">
        <f>RAND()*(1-2E-6)+1E-6</f>
        <v/>
      </c>
      <c r="I481" s="31">
        <f>MIN(IF(Supuestos!$H$5="",1E+99,Supuestos!$H$5),MAX(IF(Supuestos!$G$5="",-1E+99,Supuestos!$G$5),IF(Supuestos!$C$5="Normal",NORMINV(B481,Supuestos!$D$5,Supuestos!$E$5),IF(Supuestos!$C$5="Triangular",IF(B481&lt;(Supuestos!$E$5-Supuestos!$D$5)/(Supuestos!$F$5-Supuestos!$D$5),Supuestos!$D$5+SQRT(B481*(Supuestos!$F$5-Supuestos!$D$5)*(Supuestos!$E$5-Supuestos!$D$5)),Supuestos!$F$5-SQRT((1-B481)*(Supuestos!$F$5-Supuestos!$D$5)*(Supuestos!$F$5-Supuestos!$E$5))),IF(Supuestos!$C$5="Uniforme",Supuestos!$D$5+B481*(Supuestos!$E$5-Supuestos!$D$5),IF(Supuestos!$C$5="Lognormal",LOGINV(B481,LN(Supuestos!$D$5)-LN(1+Supuestos!$E$5^2/Supuestos!$D$5^2)/2,SQRT(LN(1+Supuestos!$E$5^2/Supuestos!$D$5^2))),Supuestos!$D$5))))))</f>
        <v/>
      </c>
      <c r="J481" s="31">
        <f>MIN(IF(Supuestos!$H$6="",1E+99,Supuestos!$H$6),MAX(IF(Supuestos!$G$6="",-1E+99,Supuestos!$G$6),IF(Supuestos!$C$6="Normal",NORMINV(C481,Supuestos!$D$6,Supuestos!$E$6),IF(Supuestos!$C$6="Triangular",IF(C481&lt;(Supuestos!$E$6-Supuestos!$D$6)/(Supuestos!$F$6-Supuestos!$D$6),Supuestos!$D$6+SQRT(C481*(Supuestos!$F$6-Supuestos!$D$6)*(Supuestos!$E$6-Supuestos!$D$6)),Supuestos!$F$6-SQRT((1-C481)*(Supuestos!$F$6-Supuestos!$D$6)*(Supuestos!$F$6-Supuestos!$E$6))),IF(Supuestos!$C$6="Uniforme",Supuestos!$D$6+C481*(Supuestos!$E$6-Supuestos!$D$6),IF(Supuestos!$C$6="Lognormal",LOGINV(C481,LN(Supuestos!$D$6)-LN(1+Supuestos!$E$6^2/Supuestos!$D$6^2)/2,SQRT(LN(1+Supuestos!$E$6^2/Supuestos!$D$6^2))),Supuestos!$D$6))))))</f>
        <v/>
      </c>
      <c r="K481" s="32">
        <f>MIN(IF(Supuestos!$H$7="",1E+99,Supuestos!$H$7),MAX(IF(Supuestos!$G$7="",-1E+99,Supuestos!$G$7),IF(Supuestos!$C$7="Normal",NORMINV(D481,Supuestos!$D$7,Supuestos!$E$7),IF(Supuestos!$C$7="Triangular",IF(D481&lt;(Supuestos!$E$7-Supuestos!$D$7)/(Supuestos!$F$7-Supuestos!$D$7),Supuestos!$D$7+SQRT(D481*(Supuestos!$F$7-Supuestos!$D$7)*(Supuestos!$E$7-Supuestos!$D$7)),Supuestos!$F$7-SQRT((1-D481)*(Supuestos!$F$7-Supuestos!$D$7)*(Supuestos!$F$7-Supuestos!$E$7))),IF(Supuestos!$C$7="Uniforme",Supuestos!$D$7+D481*(Supuestos!$E$7-Supuestos!$D$7),IF(Supuestos!$C$7="Lognormal",LOGINV(D481,LN(Supuestos!$D$7)-LN(1+Supuestos!$E$7^2/Supuestos!$D$7^2)/2,SQRT(LN(1+Supuestos!$E$7^2/Supuestos!$D$7^2))),Supuestos!$D$7))))))</f>
        <v/>
      </c>
      <c r="L481" s="32">
        <f>MIN(IF(Supuestos!$H$8="",1E+99,Supuestos!$H$8),MAX(IF(Supuestos!$G$8="",-1E+99,Supuestos!$G$8),IF(Supuestos!$C$8="Normal",NORMINV(E481,Supuestos!$D$8,Supuestos!$E$8),IF(Supuestos!$C$8="Triangular",IF(E481&lt;(Supuestos!$E$8-Supuestos!$D$8)/(Supuestos!$F$8-Supuestos!$D$8),Supuestos!$D$8+SQRT(E481*(Supuestos!$F$8-Supuestos!$D$8)*(Supuestos!$E$8-Supuestos!$D$8)),Supuestos!$F$8-SQRT((1-E481)*(Supuestos!$F$8-Supuestos!$D$8)*(Supuestos!$F$8-Supuestos!$E$8))),IF(Supuestos!$C$8="Uniforme",Supuestos!$D$8+E481*(Supuestos!$E$8-Supuestos!$D$8),IF(Supuestos!$C$8="Lognormal",LOGINV(E481,LN(Supuestos!$D$8)-LN(1+Supuestos!$E$8^2/Supuestos!$D$8^2)/2,SQRT(LN(1+Supuestos!$E$8^2/Supuestos!$D$8^2))),Supuestos!$D$8))))))</f>
        <v/>
      </c>
      <c r="M481" s="32">
        <f>MIN(IF(Supuestos!$H$9="",1E+99,Supuestos!$H$9),MAX(IF(Supuestos!$G$9="",-1E+99,Supuestos!$G$9),IF(Supuestos!$C$9="Normal",NORMINV(F481,Supuestos!$D$9,Supuestos!$E$9),IF(Supuestos!$C$9="Triangular",IF(F481&lt;(Supuestos!$E$9-Supuestos!$D$9)/(Supuestos!$F$9-Supuestos!$D$9),Supuestos!$D$9+SQRT(F481*(Supuestos!$F$9-Supuestos!$D$9)*(Supuestos!$E$9-Supuestos!$D$9)),Supuestos!$F$9-SQRT((1-F481)*(Supuestos!$F$9-Supuestos!$D$9)*(Supuestos!$F$9-Supuestos!$E$9))),IF(Supuestos!$C$9="Uniforme",Supuestos!$D$9+F481*(Supuestos!$E$9-Supuestos!$D$9),IF(Supuestos!$C$9="Lognormal",LOGINV(F481,LN(Supuestos!$D$9)-LN(1+Supuestos!$E$9^2/Supuestos!$D$9^2)/2,SQRT(LN(1+Supuestos!$E$9^2/Supuestos!$D$9^2))),Supuestos!$D$9))))))</f>
        <v/>
      </c>
      <c r="N481" s="32">
        <f>MIN(IF(Supuestos!$H$10="",1E+99,Supuestos!$H$10),MAX(IF(Supuestos!$G$10="",-1E+99,Supuestos!$G$10),IF(Supuestos!$C$10="Normal",NORMINV(G481,Supuestos!$D$10,Supuestos!$E$10),IF(Supuestos!$C$10="Triangular",IF(G481&lt;(Supuestos!$E$10-Supuestos!$D$10)/(Supuestos!$F$10-Supuestos!$D$10),Supuestos!$D$10+SQRT(G481*(Supuestos!$F$10-Supuestos!$D$10)*(Supuestos!$E$10-Supuestos!$D$10)),Supuestos!$F$10-SQRT((1-G481)*(Supuestos!$F$10-Supuestos!$D$10)*(Supuestos!$F$10-Supuestos!$E$10))),IF(Supuestos!$C$10="Uniforme",Supuestos!$D$10+G481*(Supuestos!$E$10-Supuestos!$D$10),IF(Supuestos!$C$10="Lognormal",LOGINV(G481,LN(Supuestos!$D$10)-LN(1+Supuestos!$E$10^2/Supuestos!$D$10^2)/2,SQRT(LN(1+Supuestos!$E$10^2/Supuestos!$D$10^2))),Supuestos!$D$10))))))</f>
        <v/>
      </c>
      <c r="O481" s="31">
        <f>MIN(IF(Supuestos!$H$11="",1E+99,Supuestos!$H$11),MAX(IF(Supuestos!$G$11="",-1E+99,Supuestos!$G$11),IF(Supuestos!$C$11="Normal",NORMINV(H481,Supuestos!$D$11,Supuestos!$E$11),IF(Supuestos!$C$11="Triangular",IF(H481&lt;(Supuestos!$E$11-Supuestos!$D$11)/(Supuestos!$F$11-Supuestos!$D$11),Supuestos!$D$11+SQRT(H481*(Supuestos!$F$11-Supuestos!$D$11)*(Supuestos!$E$11-Supuestos!$D$11)),Supuestos!$F$11-SQRT((1-H481)*(Supuestos!$F$11-Supuestos!$D$11)*(Supuestos!$F$11-Supuestos!$E$11))),IF(Supuestos!$C$11="Uniforme",Supuestos!$D$11+H481*(Supuestos!$E$11-Supuestos!$D$11),IF(Supuestos!$C$11="Lognormal",LOGINV(H481,LN(Supuestos!$D$11)-LN(1+Supuestos!$E$11^2/Supuestos!$D$11^2)/2,SQRT(LN(1+Supuestos!$E$11^2/Supuestos!$D$11^2))),Supuestos!$D$11))))))</f>
        <v/>
      </c>
      <c r="P481" s="33">
        <f>-I481</f>
        <v/>
      </c>
      <c r="Q481" s="33">
        <f>$J481*(1+$K481)^(1-1)*(1-$L481)*(1-$M481)</f>
        <v/>
      </c>
      <c r="R481" s="33">
        <f>$J481*(1+$K481)^(2-1)*(1-$L481)*(1-$M481)</f>
        <v/>
      </c>
      <c r="S481" s="33">
        <f>$J481*(1+$K481)^(3-1)*(1-$L481)*(1-$M481)</f>
        <v/>
      </c>
      <c r="T481" s="33">
        <f>$J481*(1+$K481)^(4-1)*(1-$L481)*(1-$M481)</f>
        <v/>
      </c>
      <c r="U481" s="33">
        <f>$J481*(1+$K481)^(5-1)*(1-$L481)*(1-$M481)+$O481</f>
        <v/>
      </c>
      <c r="V481" s="33">
        <f>P481+NPV($N481,Q481:U481)</f>
        <v/>
      </c>
      <c r="W481" s="32">
        <f>IFERROR(IRR(P481:U481,0.1),"")</f>
        <v/>
      </c>
    </row>
    <row r="482">
      <c r="A482" s="14" t="n">
        <v>478</v>
      </c>
      <c r="B482" s="30">
        <f>RAND()*(1-2E-6)+1E-6</f>
        <v/>
      </c>
      <c r="C482" s="30">
        <f>RAND()*(1-2E-6)+1E-6</f>
        <v/>
      </c>
      <c r="D482" s="30">
        <f>RAND()*(1-2E-6)+1E-6</f>
        <v/>
      </c>
      <c r="E482" s="30">
        <f>RAND()*(1-2E-6)+1E-6</f>
        <v/>
      </c>
      <c r="F482" s="30">
        <f>RAND()*(1-2E-6)+1E-6</f>
        <v/>
      </c>
      <c r="G482" s="30">
        <f>RAND()*(1-2E-6)+1E-6</f>
        <v/>
      </c>
      <c r="H482" s="30">
        <f>RAND()*(1-2E-6)+1E-6</f>
        <v/>
      </c>
      <c r="I482" s="31">
        <f>MIN(IF(Supuestos!$H$5="",1E+99,Supuestos!$H$5),MAX(IF(Supuestos!$G$5="",-1E+99,Supuestos!$G$5),IF(Supuestos!$C$5="Normal",NORMINV(B482,Supuestos!$D$5,Supuestos!$E$5),IF(Supuestos!$C$5="Triangular",IF(B482&lt;(Supuestos!$E$5-Supuestos!$D$5)/(Supuestos!$F$5-Supuestos!$D$5),Supuestos!$D$5+SQRT(B482*(Supuestos!$F$5-Supuestos!$D$5)*(Supuestos!$E$5-Supuestos!$D$5)),Supuestos!$F$5-SQRT((1-B482)*(Supuestos!$F$5-Supuestos!$D$5)*(Supuestos!$F$5-Supuestos!$E$5))),IF(Supuestos!$C$5="Uniforme",Supuestos!$D$5+B482*(Supuestos!$E$5-Supuestos!$D$5),IF(Supuestos!$C$5="Lognormal",LOGINV(B482,LN(Supuestos!$D$5)-LN(1+Supuestos!$E$5^2/Supuestos!$D$5^2)/2,SQRT(LN(1+Supuestos!$E$5^2/Supuestos!$D$5^2))),Supuestos!$D$5))))))</f>
        <v/>
      </c>
      <c r="J482" s="31">
        <f>MIN(IF(Supuestos!$H$6="",1E+99,Supuestos!$H$6),MAX(IF(Supuestos!$G$6="",-1E+99,Supuestos!$G$6),IF(Supuestos!$C$6="Normal",NORMINV(C482,Supuestos!$D$6,Supuestos!$E$6),IF(Supuestos!$C$6="Triangular",IF(C482&lt;(Supuestos!$E$6-Supuestos!$D$6)/(Supuestos!$F$6-Supuestos!$D$6),Supuestos!$D$6+SQRT(C482*(Supuestos!$F$6-Supuestos!$D$6)*(Supuestos!$E$6-Supuestos!$D$6)),Supuestos!$F$6-SQRT((1-C482)*(Supuestos!$F$6-Supuestos!$D$6)*(Supuestos!$F$6-Supuestos!$E$6))),IF(Supuestos!$C$6="Uniforme",Supuestos!$D$6+C482*(Supuestos!$E$6-Supuestos!$D$6),IF(Supuestos!$C$6="Lognormal",LOGINV(C482,LN(Supuestos!$D$6)-LN(1+Supuestos!$E$6^2/Supuestos!$D$6^2)/2,SQRT(LN(1+Supuestos!$E$6^2/Supuestos!$D$6^2))),Supuestos!$D$6))))))</f>
        <v/>
      </c>
      <c r="K482" s="32">
        <f>MIN(IF(Supuestos!$H$7="",1E+99,Supuestos!$H$7),MAX(IF(Supuestos!$G$7="",-1E+99,Supuestos!$G$7),IF(Supuestos!$C$7="Normal",NORMINV(D482,Supuestos!$D$7,Supuestos!$E$7),IF(Supuestos!$C$7="Triangular",IF(D482&lt;(Supuestos!$E$7-Supuestos!$D$7)/(Supuestos!$F$7-Supuestos!$D$7),Supuestos!$D$7+SQRT(D482*(Supuestos!$F$7-Supuestos!$D$7)*(Supuestos!$E$7-Supuestos!$D$7)),Supuestos!$F$7-SQRT((1-D482)*(Supuestos!$F$7-Supuestos!$D$7)*(Supuestos!$F$7-Supuestos!$E$7))),IF(Supuestos!$C$7="Uniforme",Supuestos!$D$7+D482*(Supuestos!$E$7-Supuestos!$D$7),IF(Supuestos!$C$7="Lognormal",LOGINV(D482,LN(Supuestos!$D$7)-LN(1+Supuestos!$E$7^2/Supuestos!$D$7^2)/2,SQRT(LN(1+Supuestos!$E$7^2/Supuestos!$D$7^2))),Supuestos!$D$7))))))</f>
        <v/>
      </c>
      <c r="L482" s="32">
        <f>MIN(IF(Supuestos!$H$8="",1E+99,Supuestos!$H$8),MAX(IF(Supuestos!$G$8="",-1E+99,Supuestos!$G$8),IF(Supuestos!$C$8="Normal",NORMINV(E482,Supuestos!$D$8,Supuestos!$E$8),IF(Supuestos!$C$8="Triangular",IF(E482&lt;(Supuestos!$E$8-Supuestos!$D$8)/(Supuestos!$F$8-Supuestos!$D$8),Supuestos!$D$8+SQRT(E482*(Supuestos!$F$8-Supuestos!$D$8)*(Supuestos!$E$8-Supuestos!$D$8)),Supuestos!$F$8-SQRT((1-E482)*(Supuestos!$F$8-Supuestos!$D$8)*(Supuestos!$F$8-Supuestos!$E$8))),IF(Supuestos!$C$8="Uniforme",Supuestos!$D$8+E482*(Supuestos!$E$8-Supuestos!$D$8),IF(Supuestos!$C$8="Lognormal",LOGINV(E482,LN(Supuestos!$D$8)-LN(1+Supuestos!$E$8^2/Supuestos!$D$8^2)/2,SQRT(LN(1+Supuestos!$E$8^2/Supuestos!$D$8^2))),Supuestos!$D$8))))))</f>
        <v/>
      </c>
      <c r="M482" s="32">
        <f>MIN(IF(Supuestos!$H$9="",1E+99,Supuestos!$H$9),MAX(IF(Supuestos!$G$9="",-1E+99,Supuestos!$G$9),IF(Supuestos!$C$9="Normal",NORMINV(F482,Supuestos!$D$9,Supuestos!$E$9),IF(Supuestos!$C$9="Triangular",IF(F482&lt;(Supuestos!$E$9-Supuestos!$D$9)/(Supuestos!$F$9-Supuestos!$D$9),Supuestos!$D$9+SQRT(F482*(Supuestos!$F$9-Supuestos!$D$9)*(Supuestos!$E$9-Supuestos!$D$9)),Supuestos!$F$9-SQRT((1-F482)*(Supuestos!$F$9-Supuestos!$D$9)*(Supuestos!$F$9-Supuestos!$E$9))),IF(Supuestos!$C$9="Uniforme",Supuestos!$D$9+F482*(Supuestos!$E$9-Supuestos!$D$9),IF(Supuestos!$C$9="Lognormal",LOGINV(F482,LN(Supuestos!$D$9)-LN(1+Supuestos!$E$9^2/Supuestos!$D$9^2)/2,SQRT(LN(1+Supuestos!$E$9^2/Supuestos!$D$9^2))),Supuestos!$D$9))))))</f>
        <v/>
      </c>
      <c r="N482" s="32">
        <f>MIN(IF(Supuestos!$H$10="",1E+99,Supuestos!$H$10),MAX(IF(Supuestos!$G$10="",-1E+99,Supuestos!$G$10),IF(Supuestos!$C$10="Normal",NORMINV(G482,Supuestos!$D$10,Supuestos!$E$10),IF(Supuestos!$C$10="Triangular",IF(G482&lt;(Supuestos!$E$10-Supuestos!$D$10)/(Supuestos!$F$10-Supuestos!$D$10),Supuestos!$D$10+SQRT(G482*(Supuestos!$F$10-Supuestos!$D$10)*(Supuestos!$E$10-Supuestos!$D$10)),Supuestos!$F$10-SQRT((1-G482)*(Supuestos!$F$10-Supuestos!$D$10)*(Supuestos!$F$10-Supuestos!$E$10))),IF(Supuestos!$C$10="Uniforme",Supuestos!$D$10+G482*(Supuestos!$E$10-Supuestos!$D$10),IF(Supuestos!$C$10="Lognormal",LOGINV(G482,LN(Supuestos!$D$10)-LN(1+Supuestos!$E$10^2/Supuestos!$D$10^2)/2,SQRT(LN(1+Supuestos!$E$10^2/Supuestos!$D$10^2))),Supuestos!$D$10))))))</f>
        <v/>
      </c>
      <c r="O482" s="31">
        <f>MIN(IF(Supuestos!$H$11="",1E+99,Supuestos!$H$11),MAX(IF(Supuestos!$G$11="",-1E+99,Supuestos!$G$11),IF(Supuestos!$C$11="Normal",NORMINV(H482,Supuestos!$D$11,Supuestos!$E$11),IF(Supuestos!$C$11="Triangular",IF(H482&lt;(Supuestos!$E$11-Supuestos!$D$11)/(Supuestos!$F$11-Supuestos!$D$11),Supuestos!$D$11+SQRT(H482*(Supuestos!$F$11-Supuestos!$D$11)*(Supuestos!$E$11-Supuestos!$D$11)),Supuestos!$F$11-SQRT((1-H482)*(Supuestos!$F$11-Supuestos!$D$11)*(Supuestos!$F$11-Supuestos!$E$11))),IF(Supuestos!$C$11="Uniforme",Supuestos!$D$11+H482*(Supuestos!$E$11-Supuestos!$D$11),IF(Supuestos!$C$11="Lognormal",LOGINV(H482,LN(Supuestos!$D$11)-LN(1+Supuestos!$E$11^2/Supuestos!$D$11^2)/2,SQRT(LN(1+Supuestos!$E$11^2/Supuestos!$D$11^2))),Supuestos!$D$11))))))</f>
        <v/>
      </c>
      <c r="P482" s="33">
        <f>-I482</f>
        <v/>
      </c>
      <c r="Q482" s="33">
        <f>$J482*(1+$K482)^(1-1)*(1-$L482)*(1-$M482)</f>
        <v/>
      </c>
      <c r="R482" s="33">
        <f>$J482*(1+$K482)^(2-1)*(1-$L482)*(1-$M482)</f>
        <v/>
      </c>
      <c r="S482" s="33">
        <f>$J482*(1+$K482)^(3-1)*(1-$L482)*(1-$M482)</f>
        <v/>
      </c>
      <c r="T482" s="33">
        <f>$J482*(1+$K482)^(4-1)*(1-$L482)*(1-$M482)</f>
        <v/>
      </c>
      <c r="U482" s="33">
        <f>$J482*(1+$K482)^(5-1)*(1-$L482)*(1-$M482)+$O482</f>
        <v/>
      </c>
      <c r="V482" s="33">
        <f>P482+NPV($N482,Q482:U482)</f>
        <v/>
      </c>
      <c r="W482" s="32">
        <f>IFERROR(IRR(P482:U482,0.1),"")</f>
        <v/>
      </c>
    </row>
    <row r="483">
      <c r="A483" s="14" t="n">
        <v>479</v>
      </c>
      <c r="B483" s="30">
        <f>RAND()*(1-2E-6)+1E-6</f>
        <v/>
      </c>
      <c r="C483" s="30">
        <f>RAND()*(1-2E-6)+1E-6</f>
        <v/>
      </c>
      <c r="D483" s="30">
        <f>RAND()*(1-2E-6)+1E-6</f>
        <v/>
      </c>
      <c r="E483" s="30">
        <f>RAND()*(1-2E-6)+1E-6</f>
        <v/>
      </c>
      <c r="F483" s="30">
        <f>RAND()*(1-2E-6)+1E-6</f>
        <v/>
      </c>
      <c r="G483" s="30">
        <f>RAND()*(1-2E-6)+1E-6</f>
        <v/>
      </c>
      <c r="H483" s="30">
        <f>RAND()*(1-2E-6)+1E-6</f>
        <v/>
      </c>
      <c r="I483" s="31">
        <f>MIN(IF(Supuestos!$H$5="",1E+99,Supuestos!$H$5),MAX(IF(Supuestos!$G$5="",-1E+99,Supuestos!$G$5),IF(Supuestos!$C$5="Normal",NORMINV(B483,Supuestos!$D$5,Supuestos!$E$5),IF(Supuestos!$C$5="Triangular",IF(B483&lt;(Supuestos!$E$5-Supuestos!$D$5)/(Supuestos!$F$5-Supuestos!$D$5),Supuestos!$D$5+SQRT(B483*(Supuestos!$F$5-Supuestos!$D$5)*(Supuestos!$E$5-Supuestos!$D$5)),Supuestos!$F$5-SQRT((1-B483)*(Supuestos!$F$5-Supuestos!$D$5)*(Supuestos!$F$5-Supuestos!$E$5))),IF(Supuestos!$C$5="Uniforme",Supuestos!$D$5+B483*(Supuestos!$E$5-Supuestos!$D$5),IF(Supuestos!$C$5="Lognormal",LOGINV(B483,LN(Supuestos!$D$5)-LN(1+Supuestos!$E$5^2/Supuestos!$D$5^2)/2,SQRT(LN(1+Supuestos!$E$5^2/Supuestos!$D$5^2))),Supuestos!$D$5))))))</f>
        <v/>
      </c>
      <c r="J483" s="31">
        <f>MIN(IF(Supuestos!$H$6="",1E+99,Supuestos!$H$6),MAX(IF(Supuestos!$G$6="",-1E+99,Supuestos!$G$6),IF(Supuestos!$C$6="Normal",NORMINV(C483,Supuestos!$D$6,Supuestos!$E$6),IF(Supuestos!$C$6="Triangular",IF(C483&lt;(Supuestos!$E$6-Supuestos!$D$6)/(Supuestos!$F$6-Supuestos!$D$6),Supuestos!$D$6+SQRT(C483*(Supuestos!$F$6-Supuestos!$D$6)*(Supuestos!$E$6-Supuestos!$D$6)),Supuestos!$F$6-SQRT((1-C483)*(Supuestos!$F$6-Supuestos!$D$6)*(Supuestos!$F$6-Supuestos!$E$6))),IF(Supuestos!$C$6="Uniforme",Supuestos!$D$6+C483*(Supuestos!$E$6-Supuestos!$D$6),IF(Supuestos!$C$6="Lognormal",LOGINV(C483,LN(Supuestos!$D$6)-LN(1+Supuestos!$E$6^2/Supuestos!$D$6^2)/2,SQRT(LN(1+Supuestos!$E$6^2/Supuestos!$D$6^2))),Supuestos!$D$6))))))</f>
        <v/>
      </c>
      <c r="K483" s="32">
        <f>MIN(IF(Supuestos!$H$7="",1E+99,Supuestos!$H$7),MAX(IF(Supuestos!$G$7="",-1E+99,Supuestos!$G$7),IF(Supuestos!$C$7="Normal",NORMINV(D483,Supuestos!$D$7,Supuestos!$E$7),IF(Supuestos!$C$7="Triangular",IF(D483&lt;(Supuestos!$E$7-Supuestos!$D$7)/(Supuestos!$F$7-Supuestos!$D$7),Supuestos!$D$7+SQRT(D483*(Supuestos!$F$7-Supuestos!$D$7)*(Supuestos!$E$7-Supuestos!$D$7)),Supuestos!$F$7-SQRT((1-D483)*(Supuestos!$F$7-Supuestos!$D$7)*(Supuestos!$F$7-Supuestos!$E$7))),IF(Supuestos!$C$7="Uniforme",Supuestos!$D$7+D483*(Supuestos!$E$7-Supuestos!$D$7),IF(Supuestos!$C$7="Lognormal",LOGINV(D483,LN(Supuestos!$D$7)-LN(1+Supuestos!$E$7^2/Supuestos!$D$7^2)/2,SQRT(LN(1+Supuestos!$E$7^2/Supuestos!$D$7^2))),Supuestos!$D$7))))))</f>
        <v/>
      </c>
      <c r="L483" s="32">
        <f>MIN(IF(Supuestos!$H$8="",1E+99,Supuestos!$H$8),MAX(IF(Supuestos!$G$8="",-1E+99,Supuestos!$G$8),IF(Supuestos!$C$8="Normal",NORMINV(E483,Supuestos!$D$8,Supuestos!$E$8),IF(Supuestos!$C$8="Triangular",IF(E483&lt;(Supuestos!$E$8-Supuestos!$D$8)/(Supuestos!$F$8-Supuestos!$D$8),Supuestos!$D$8+SQRT(E483*(Supuestos!$F$8-Supuestos!$D$8)*(Supuestos!$E$8-Supuestos!$D$8)),Supuestos!$F$8-SQRT((1-E483)*(Supuestos!$F$8-Supuestos!$D$8)*(Supuestos!$F$8-Supuestos!$E$8))),IF(Supuestos!$C$8="Uniforme",Supuestos!$D$8+E483*(Supuestos!$E$8-Supuestos!$D$8),IF(Supuestos!$C$8="Lognormal",LOGINV(E483,LN(Supuestos!$D$8)-LN(1+Supuestos!$E$8^2/Supuestos!$D$8^2)/2,SQRT(LN(1+Supuestos!$E$8^2/Supuestos!$D$8^2))),Supuestos!$D$8))))))</f>
        <v/>
      </c>
      <c r="M483" s="32">
        <f>MIN(IF(Supuestos!$H$9="",1E+99,Supuestos!$H$9),MAX(IF(Supuestos!$G$9="",-1E+99,Supuestos!$G$9),IF(Supuestos!$C$9="Normal",NORMINV(F483,Supuestos!$D$9,Supuestos!$E$9),IF(Supuestos!$C$9="Triangular",IF(F483&lt;(Supuestos!$E$9-Supuestos!$D$9)/(Supuestos!$F$9-Supuestos!$D$9),Supuestos!$D$9+SQRT(F483*(Supuestos!$F$9-Supuestos!$D$9)*(Supuestos!$E$9-Supuestos!$D$9)),Supuestos!$F$9-SQRT((1-F483)*(Supuestos!$F$9-Supuestos!$D$9)*(Supuestos!$F$9-Supuestos!$E$9))),IF(Supuestos!$C$9="Uniforme",Supuestos!$D$9+F483*(Supuestos!$E$9-Supuestos!$D$9),IF(Supuestos!$C$9="Lognormal",LOGINV(F483,LN(Supuestos!$D$9)-LN(1+Supuestos!$E$9^2/Supuestos!$D$9^2)/2,SQRT(LN(1+Supuestos!$E$9^2/Supuestos!$D$9^2))),Supuestos!$D$9))))))</f>
        <v/>
      </c>
      <c r="N483" s="32">
        <f>MIN(IF(Supuestos!$H$10="",1E+99,Supuestos!$H$10),MAX(IF(Supuestos!$G$10="",-1E+99,Supuestos!$G$10),IF(Supuestos!$C$10="Normal",NORMINV(G483,Supuestos!$D$10,Supuestos!$E$10),IF(Supuestos!$C$10="Triangular",IF(G483&lt;(Supuestos!$E$10-Supuestos!$D$10)/(Supuestos!$F$10-Supuestos!$D$10),Supuestos!$D$10+SQRT(G483*(Supuestos!$F$10-Supuestos!$D$10)*(Supuestos!$E$10-Supuestos!$D$10)),Supuestos!$F$10-SQRT((1-G483)*(Supuestos!$F$10-Supuestos!$D$10)*(Supuestos!$F$10-Supuestos!$E$10))),IF(Supuestos!$C$10="Uniforme",Supuestos!$D$10+G483*(Supuestos!$E$10-Supuestos!$D$10),IF(Supuestos!$C$10="Lognormal",LOGINV(G483,LN(Supuestos!$D$10)-LN(1+Supuestos!$E$10^2/Supuestos!$D$10^2)/2,SQRT(LN(1+Supuestos!$E$10^2/Supuestos!$D$10^2))),Supuestos!$D$10))))))</f>
        <v/>
      </c>
      <c r="O483" s="31">
        <f>MIN(IF(Supuestos!$H$11="",1E+99,Supuestos!$H$11),MAX(IF(Supuestos!$G$11="",-1E+99,Supuestos!$G$11),IF(Supuestos!$C$11="Normal",NORMINV(H483,Supuestos!$D$11,Supuestos!$E$11),IF(Supuestos!$C$11="Triangular",IF(H483&lt;(Supuestos!$E$11-Supuestos!$D$11)/(Supuestos!$F$11-Supuestos!$D$11),Supuestos!$D$11+SQRT(H483*(Supuestos!$F$11-Supuestos!$D$11)*(Supuestos!$E$11-Supuestos!$D$11)),Supuestos!$F$11-SQRT((1-H483)*(Supuestos!$F$11-Supuestos!$D$11)*(Supuestos!$F$11-Supuestos!$E$11))),IF(Supuestos!$C$11="Uniforme",Supuestos!$D$11+H483*(Supuestos!$E$11-Supuestos!$D$11),IF(Supuestos!$C$11="Lognormal",LOGINV(H483,LN(Supuestos!$D$11)-LN(1+Supuestos!$E$11^2/Supuestos!$D$11^2)/2,SQRT(LN(1+Supuestos!$E$11^2/Supuestos!$D$11^2))),Supuestos!$D$11))))))</f>
        <v/>
      </c>
      <c r="P483" s="33">
        <f>-I483</f>
        <v/>
      </c>
      <c r="Q483" s="33">
        <f>$J483*(1+$K483)^(1-1)*(1-$L483)*(1-$M483)</f>
        <v/>
      </c>
      <c r="R483" s="33">
        <f>$J483*(1+$K483)^(2-1)*(1-$L483)*(1-$M483)</f>
        <v/>
      </c>
      <c r="S483" s="33">
        <f>$J483*(1+$K483)^(3-1)*(1-$L483)*(1-$M483)</f>
        <v/>
      </c>
      <c r="T483" s="33">
        <f>$J483*(1+$K483)^(4-1)*(1-$L483)*(1-$M483)</f>
        <v/>
      </c>
      <c r="U483" s="33">
        <f>$J483*(1+$K483)^(5-1)*(1-$L483)*(1-$M483)+$O483</f>
        <v/>
      </c>
      <c r="V483" s="33">
        <f>P483+NPV($N483,Q483:U483)</f>
        <v/>
      </c>
      <c r="W483" s="32">
        <f>IFERROR(IRR(P483:U483,0.1),"")</f>
        <v/>
      </c>
    </row>
    <row r="484">
      <c r="A484" s="14" t="n">
        <v>480</v>
      </c>
      <c r="B484" s="30">
        <f>RAND()*(1-2E-6)+1E-6</f>
        <v/>
      </c>
      <c r="C484" s="30">
        <f>RAND()*(1-2E-6)+1E-6</f>
        <v/>
      </c>
      <c r="D484" s="30">
        <f>RAND()*(1-2E-6)+1E-6</f>
        <v/>
      </c>
      <c r="E484" s="30">
        <f>RAND()*(1-2E-6)+1E-6</f>
        <v/>
      </c>
      <c r="F484" s="30">
        <f>RAND()*(1-2E-6)+1E-6</f>
        <v/>
      </c>
      <c r="G484" s="30">
        <f>RAND()*(1-2E-6)+1E-6</f>
        <v/>
      </c>
      <c r="H484" s="30">
        <f>RAND()*(1-2E-6)+1E-6</f>
        <v/>
      </c>
      <c r="I484" s="31">
        <f>MIN(IF(Supuestos!$H$5="",1E+99,Supuestos!$H$5),MAX(IF(Supuestos!$G$5="",-1E+99,Supuestos!$G$5),IF(Supuestos!$C$5="Normal",NORMINV(B484,Supuestos!$D$5,Supuestos!$E$5),IF(Supuestos!$C$5="Triangular",IF(B484&lt;(Supuestos!$E$5-Supuestos!$D$5)/(Supuestos!$F$5-Supuestos!$D$5),Supuestos!$D$5+SQRT(B484*(Supuestos!$F$5-Supuestos!$D$5)*(Supuestos!$E$5-Supuestos!$D$5)),Supuestos!$F$5-SQRT((1-B484)*(Supuestos!$F$5-Supuestos!$D$5)*(Supuestos!$F$5-Supuestos!$E$5))),IF(Supuestos!$C$5="Uniforme",Supuestos!$D$5+B484*(Supuestos!$E$5-Supuestos!$D$5),IF(Supuestos!$C$5="Lognormal",LOGINV(B484,LN(Supuestos!$D$5)-LN(1+Supuestos!$E$5^2/Supuestos!$D$5^2)/2,SQRT(LN(1+Supuestos!$E$5^2/Supuestos!$D$5^2))),Supuestos!$D$5))))))</f>
        <v/>
      </c>
      <c r="J484" s="31">
        <f>MIN(IF(Supuestos!$H$6="",1E+99,Supuestos!$H$6),MAX(IF(Supuestos!$G$6="",-1E+99,Supuestos!$G$6),IF(Supuestos!$C$6="Normal",NORMINV(C484,Supuestos!$D$6,Supuestos!$E$6),IF(Supuestos!$C$6="Triangular",IF(C484&lt;(Supuestos!$E$6-Supuestos!$D$6)/(Supuestos!$F$6-Supuestos!$D$6),Supuestos!$D$6+SQRT(C484*(Supuestos!$F$6-Supuestos!$D$6)*(Supuestos!$E$6-Supuestos!$D$6)),Supuestos!$F$6-SQRT((1-C484)*(Supuestos!$F$6-Supuestos!$D$6)*(Supuestos!$F$6-Supuestos!$E$6))),IF(Supuestos!$C$6="Uniforme",Supuestos!$D$6+C484*(Supuestos!$E$6-Supuestos!$D$6),IF(Supuestos!$C$6="Lognormal",LOGINV(C484,LN(Supuestos!$D$6)-LN(1+Supuestos!$E$6^2/Supuestos!$D$6^2)/2,SQRT(LN(1+Supuestos!$E$6^2/Supuestos!$D$6^2))),Supuestos!$D$6))))))</f>
        <v/>
      </c>
      <c r="K484" s="32">
        <f>MIN(IF(Supuestos!$H$7="",1E+99,Supuestos!$H$7),MAX(IF(Supuestos!$G$7="",-1E+99,Supuestos!$G$7),IF(Supuestos!$C$7="Normal",NORMINV(D484,Supuestos!$D$7,Supuestos!$E$7),IF(Supuestos!$C$7="Triangular",IF(D484&lt;(Supuestos!$E$7-Supuestos!$D$7)/(Supuestos!$F$7-Supuestos!$D$7),Supuestos!$D$7+SQRT(D484*(Supuestos!$F$7-Supuestos!$D$7)*(Supuestos!$E$7-Supuestos!$D$7)),Supuestos!$F$7-SQRT((1-D484)*(Supuestos!$F$7-Supuestos!$D$7)*(Supuestos!$F$7-Supuestos!$E$7))),IF(Supuestos!$C$7="Uniforme",Supuestos!$D$7+D484*(Supuestos!$E$7-Supuestos!$D$7),IF(Supuestos!$C$7="Lognormal",LOGINV(D484,LN(Supuestos!$D$7)-LN(1+Supuestos!$E$7^2/Supuestos!$D$7^2)/2,SQRT(LN(1+Supuestos!$E$7^2/Supuestos!$D$7^2))),Supuestos!$D$7))))))</f>
        <v/>
      </c>
      <c r="L484" s="32">
        <f>MIN(IF(Supuestos!$H$8="",1E+99,Supuestos!$H$8),MAX(IF(Supuestos!$G$8="",-1E+99,Supuestos!$G$8),IF(Supuestos!$C$8="Normal",NORMINV(E484,Supuestos!$D$8,Supuestos!$E$8),IF(Supuestos!$C$8="Triangular",IF(E484&lt;(Supuestos!$E$8-Supuestos!$D$8)/(Supuestos!$F$8-Supuestos!$D$8),Supuestos!$D$8+SQRT(E484*(Supuestos!$F$8-Supuestos!$D$8)*(Supuestos!$E$8-Supuestos!$D$8)),Supuestos!$F$8-SQRT((1-E484)*(Supuestos!$F$8-Supuestos!$D$8)*(Supuestos!$F$8-Supuestos!$E$8))),IF(Supuestos!$C$8="Uniforme",Supuestos!$D$8+E484*(Supuestos!$E$8-Supuestos!$D$8),IF(Supuestos!$C$8="Lognormal",LOGINV(E484,LN(Supuestos!$D$8)-LN(1+Supuestos!$E$8^2/Supuestos!$D$8^2)/2,SQRT(LN(1+Supuestos!$E$8^2/Supuestos!$D$8^2))),Supuestos!$D$8))))))</f>
        <v/>
      </c>
      <c r="M484" s="32">
        <f>MIN(IF(Supuestos!$H$9="",1E+99,Supuestos!$H$9),MAX(IF(Supuestos!$G$9="",-1E+99,Supuestos!$G$9),IF(Supuestos!$C$9="Normal",NORMINV(F484,Supuestos!$D$9,Supuestos!$E$9),IF(Supuestos!$C$9="Triangular",IF(F484&lt;(Supuestos!$E$9-Supuestos!$D$9)/(Supuestos!$F$9-Supuestos!$D$9),Supuestos!$D$9+SQRT(F484*(Supuestos!$F$9-Supuestos!$D$9)*(Supuestos!$E$9-Supuestos!$D$9)),Supuestos!$F$9-SQRT((1-F484)*(Supuestos!$F$9-Supuestos!$D$9)*(Supuestos!$F$9-Supuestos!$E$9))),IF(Supuestos!$C$9="Uniforme",Supuestos!$D$9+F484*(Supuestos!$E$9-Supuestos!$D$9),IF(Supuestos!$C$9="Lognormal",LOGINV(F484,LN(Supuestos!$D$9)-LN(1+Supuestos!$E$9^2/Supuestos!$D$9^2)/2,SQRT(LN(1+Supuestos!$E$9^2/Supuestos!$D$9^2))),Supuestos!$D$9))))))</f>
        <v/>
      </c>
      <c r="N484" s="32">
        <f>MIN(IF(Supuestos!$H$10="",1E+99,Supuestos!$H$10),MAX(IF(Supuestos!$G$10="",-1E+99,Supuestos!$G$10),IF(Supuestos!$C$10="Normal",NORMINV(G484,Supuestos!$D$10,Supuestos!$E$10),IF(Supuestos!$C$10="Triangular",IF(G484&lt;(Supuestos!$E$10-Supuestos!$D$10)/(Supuestos!$F$10-Supuestos!$D$10),Supuestos!$D$10+SQRT(G484*(Supuestos!$F$10-Supuestos!$D$10)*(Supuestos!$E$10-Supuestos!$D$10)),Supuestos!$F$10-SQRT((1-G484)*(Supuestos!$F$10-Supuestos!$D$10)*(Supuestos!$F$10-Supuestos!$E$10))),IF(Supuestos!$C$10="Uniforme",Supuestos!$D$10+G484*(Supuestos!$E$10-Supuestos!$D$10),IF(Supuestos!$C$10="Lognormal",LOGINV(G484,LN(Supuestos!$D$10)-LN(1+Supuestos!$E$10^2/Supuestos!$D$10^2)/2,SQRT(LN(1+Supuestos!$E$10^2/Supuestos!$D$10^2))),Supuestos!$D$10))))))</f>
        <v/>
      </c>
      <c r="O484" s="31">
        <f>MIN(IF(Supuestos!$H$11="",1E+99,Supuestos!$H$11),MAX(IF(Supuestos!$G$11="",-1E+99,Supuestos!$G$11),IF(Supuestos!$C$11="Normal",NORMINV(H484,Supuestos!$D$11,Supuestos!$E$11),IF(Supuestos!$C$11="Triangular",IF(H484&lt;(Supuestos!$E$11-Supuestos!$D$11)/(Supuestos!$F$11-Supuestos!$D$11),Supuestos!$D$11+SQRT(H484*(Supuestos!$F$11-Supuestos!$D$11)*(Supuestos!$E$11-Supuestos!$D$11)),Supuestos!$F$11-SQRT((1-H484)*(Supuestos!$F$11-Supuestos!$D$11)*(Supuestos!$F$11-Supuestos!$E$11))),IF(Supuestos!$C$11="Uniforme",Supuestos!$D$11+H484*(Supuestos!$E$11-Supuestos!$D$11),IF(Supuestos!$C$11="Lognormal",LOGINV(H484,LN(Supuestos!$D$11)-LN(1+Supuestos!$E$11^2/Supuestos!$D$11^2)/2,SQRT(LN(1+Supuestos!$E$11^2/Supuestos!$D$11^2))),Supuestos!$D$11))))))</f>
        <v/>
      </c>
      <c r="P484" s="33">
        <f>-I484</f>
        <v/>
      </c>
      <c r="Q484" s="33">
        <f>$J484*(1+$K484)^(1-1)*(1-$L484)*(1-$M484)</f>
        <v/>
      </c>
      <c r="R484" s="33">
        <f>$J484*(1+$K484)^(2-1)*(1-$L484)*(1-$M484)</f>
        <v/>
      </c>
      <c r="S484" s="33">
        <f>$J484*(1+$K484)^(3-1)*(1-$L484)*(1-$M484)</f>
        <v/>
      </c>
      <c r="T484" s="33">
        <f>$J484*(1+$K484)^(4-1)*(1-$L484)*(1-$M484)</f>
        <v/>
      </c>
      <c r="U484" s="33">
        <f>$J484*(1+$K484)^(5-1)*(1-$L484)*(1-$M484)+$O484</f>
        <v/>
      </c>
      <c r="V484" s="33">
        <f>P484+NPV($N484,Q484:U484)</f>
        <v/>
      </c>
      <c r="W484" s="32">
        <f>IFERROR(IRR(P484:U484,0.1),"")</f>
        <v/>
      </c>
    </row>
    <row r="485">
      <c r="A485" s="14" t="n">
        <v>481</v>
      </c>
      <c r="B485" s="30">
        <f>RAND()*(1-2E-6)+1E-6</f>
        <v/>
      </c>
      <c r="C485" s="30">
        <f>RAND()*(1-2E-6)+1E-6</f>
        <v/>
      </c>
      <c r="D485" s="30">
        <f>RAND()*(1-2E-6)+1E-6</f>
        <v/>
      </c>
      <c r="E485" s="30">
        <f>RAND()*(1-2E-6)+1E-6</f>
        <v/>
      </c>
      <c r="F485" s="30">
        <f>RAND()*(1-2E-6)+1E-6</f>
        <v/>
      </c>
      <c r="G485" s="30">
        <f>RAND()*(1-2E-6)+1E-6</f>
        <v/>
      </c>
      <c r="H485" s="30">
        <f>RAND()*(1-2E-6)+1E-6</f>
        <v/>
      </c>
      <c r="I485" s="31">
        <f>MIN(IF(Supuestos!$H$5="",1E+99,Supuestos!$H$5),MAX(IF(Supuestos!$G$5="",-1E+99,Supuestos!$G$5),IF(Supuestos!$C$5="Normal",NORMINV(B485,Supuestos!$D$5,Supuestos!$E$5),IF(Supuestos!$C$5="Triangular",IF(B485&lt;(Supuestos!$E$5-Supuestos!$D$5)/(Supuestos!$F$5-Supuestos!$D$5),Supuestos!$D$5+SQRT(B485*(Supuestos!$F$5-Supuestos!$D$5)*(Supuestos!$E$5-Supuestos!$D$5)),Supuestos!$F$5-SQRT((1-B485)*(Supuestos!$F$5-Supuestos!$D$5)*(Supuestos!$F$5-Supuestos!$E$5))),IF(Supuestos!$C$5="Uniforme",Supuestos!$D$5+B485*(Supuestos!$E$5-Supuestos!$D$5),IF(Supuestos!$C$5="Lognormal",LOGINV(B485,LN(Supuestos!$D$5)-LN(1+Supuestos!$E$5^2/Supuestos!$D$5^2)/2,SQRT(LN(1+Supuestos!$E$5^2/Supuestos!$D$5^2))),Supuestos!$D$5))))))</f>
        <v/>
      </c>
      <c r="J485" s="31">
        <f>MIN(IF(Supuestos!$H$6="",1E+99,Supuestos!$H$6),MAX(IF(Supuestos!$G$6="",-1E+99,Supuestos!$G$6),IF(Supuestos!$C$6="Normal",NORMINV(C485,Supuestos!$D$6,Supuestos!$E$6),IF(Supuestos!$C$6="Triangular",IF(C485&lt;(Supuestos!$E$6-Supuestos!$D$6)/(Supuestos!$F$6-Supuestos!$D$6),Supuestos!$D$6+SQRT(C485*(Supuestos!$F$6-Supuestos!$D$6)*(Supuestos!$E$6-Supuestos!$D$6)),Supuestos!$F$6-SQRT((1-C485)*(Supuestos!$F$6-Supuestos!$D$6)*(Supuestos!$F$6-Supuestos!$E$6))),IF(Supuestos!$C$6="Uniforme",Supuestos!$D$6+C485*(Supuestos!$E$6-Supuestos!$D$6),IF(Supuestos!$C$6="Lognormal",LOGINV(C485,LN(Supuestos!$D$6)-LN(1+Supuestos!$E$6^2/Supuestos!$D$6^2)/2,SQRT(LN(1+Supuestos!$E$6^2/Supuestos!$D$6^2))),Supuestos!$D$6))))))</f>
        <v/>
      </c>
      <c r="K485" s="32">
        <f>MIN(IF(Supuestos!$H$7="",1E+99,Supuestos!$H$7),MAX(IF(Supuestos!$G$7="",-1E+99,Supuestos!$G$7),IF(Supuestos!$C$7="Normal",NORMINV(D485,Supuestos!$D$7,Supuestos!$E$7),IF(Supuestos!$C$7="Triangular",IF(D485&lt;(Supuestos!$E$7-Supuestos!$D$7)/(Supuestos!$F$7-Supuestos!$D$7),Supuestos!$D$7+SQRT(D485*(Supuestos!$F$7-Supuestos!$D$7)*(Supuestos!$E$7-Supuestos!$D$7)),Supuestos!$F$7-SQRT((1-D485)*(Supuestos!$F$7-Supuestos!$D$7)*(Supuestos!$F$7-Supuestos!$E$7))),IF(Supuestos!$C$7="Uniforme",Supuestos!$D$7+D485*(Supuestos!$E$7-Supuestos!$D$7),IF(Supuestos!$C$7="Lognormal",LOGINV(D485,LN(Supuestos!$D$7)-LN(1+Supuestos!$E$7^2/Supuestos!$D$7^2)/2,SQRT(LN(1+Supuestos!$E$7^2/Supuestos!$D$7^2))),Supuestos!$D$7))))))</f>
        <v/>
      </c>
      <c r="L485" s="32">
        <f>MIN(IF(Supuestos!$H$8="",1E+99,Supuestos!$H$8),MAX(IF(Supuestos!$G$8="",-1E+99,Supuestos!$G$8),IF(Supuestos!$C$8="Normal",NORMINV(E485,Supuestos!$D$8,Supuestos!$E$8),IF(Supuestos!$C$8="Triangular",IF(E485&lt;(Supuestos!$E$8-Supuestos!$D$8)/(Supuestos!$F$8-Supuestos!$D$8),Supuestos!$D$8+SQRT(E485*(Supuestos!$F$8-Supuestos!$D$8)*(Supuestos!$E$8-Supuestos!$D$8)),Supuestos!$F$8-SQRT((1-E485)*(Supuestos!$F$8-Supuestos!$D$8)*(Supuestos!$F$8-Supuestos!$E$8))),IF(Supuestos!$C$8="Uniforme",Supuestos!$D$8+E485*(Supuestos!$E$8-Supuestos!$D$8),IF(Supuestos!$C$8="Lognormal",LOGINV(E485,LN(Supuestos!$D$8)-LN(1+Supuestos!$E$8^2/Supuestos!$D$8^2)/2,SQRT(LN(1+Supuestos!$E$8^2/Supuestos!$D$8^2))),Supuestos!$D$8))))))</f>
        <v/>
      </c>
      <c r="M485" s="32">
        <f>MIN(IF(Supuestos!$H$9="",1E+99,Supuestos!$H$9),MAX(IF(Supuestos!$G$9="",-1E+99,Supuestos!$G$9),IF(Supuestos!$C$9="Normal",NORMINV(F485,Supuestos!$D$9,Supuestos!$E$9),IF(Supuestos!$C$9="Triangular",IF(F485&lt;(Supuestos!$E$9-Supuestos!$D$9)/(Supuestos!$F$9-Supuestos!$D$9),Supuestos!$D$9+SQRT(F485*(Supuestos!$F$9-Supuestos!$D$9)*(Supuestos!$E$9-Supuestos!$D$9)),Supuestos!$F$9-SQRT((1-F485)*(Supuestos!$F$9-Supuestos!$D$9)*(Supuestos!$F$9-Supuestos!$E$9))),IF(Supuestos!$C$9="Uniforme",Supuestos!$D$9+F485*(Supuestos!$E$9-Supuestos!$D$9),IF(Supuestos!$C$9="Lognormal",LOGINV(F485,LN(Supuestos!$D$9)-LN(1+Supuestos!$E$9^2/Supuestos!$D$9^2)/2,SQRT(LN(1+Supuestos!$E$9^2/Supuestos!$D$9^2))),Supuestos!$D$9))))))</f>
        <v/>
      </c>
      <c r="N485" s="32">
        <f>MIN(IF(Supuestos!$H$10="",1E+99,Supuestos!$H$10),MAX(IF(Supuestos!$G$10="",-1E+99,Supuestos!$G$10),IF(Supuestos!$C$10="Normal",NORMINV(G485,Supuestos!$D$10,Supuestos!$E$10),IF(Supuestos!$C$10="Triangular",IF(G485&lt;(Supuestos!$E$10-Supuestos!$D$10)/(Supuestos!$F$10-Supuestos!$D$10),Supuestos!$D$10+SQRT(G485*(Supuestos!$F$10-Supuestos!$D$10)*(Supuestos!$E$10-Supuestos!$D$10)),Supuestos!$F$10-SQRT((1-G485)*(Supuestos!$F$10-Supuestos!$D$10)*(Supuestos!$F$10-Supuestos!$E$10))),IF(Supuestos!$C$10="Uniforme",Supuestos!$D$10+G485*(Supuestos!$E$10-Supuestos!$D$10),IF(Supuestos!$C$10="Lognormal",LOGINV(G485,LN(Supuestos!$D$10)-LN(1+Supuestos!$E$10^2/Supuestos!$D$10^2)/2,SQRT(LN(1+Supuestos!$E$10^2/Supuestos!$D$10^2))),Supuestos!$D$10))))))</f>
        <v/>
      </c>
      <c r="O485" s="31">
        <f>MIN(IF(Supuestos!$H$11="",1E+99,Supuestos!$H$11),MAX(IF(Supuestos!$G$11="",-1E+99,Supuestos!$G$11),IF(Supuestos!$C$11="Normal",NORMINV(H485,Supuestos!$D$11,Supuestos!$E$11),IF(Supuestos!$C$11="Triangular",IF(H485&lt;(Supuestos!$E$11-Supuestos!$D$11)/(Supuestos!$F$11-Supuestos!$D$11),Supuestos!$D$11+SQRT(H485*(Supuestos!$F$11-Supuestos!$D$11)*(Supuestos!$E$11-Supuestos!$D$11)),Supuestos!$F$11-SQRT((1-H485)*(Supuestos!$F$11-Supuestos!$D$11)*(Supuestos!$F$11-Supuestos!$E$11))),IF(Supuestos!$C$11="Uniforme",Supuestos!$D$11+H485*(Supuestos!$E$11-Supuestos!$D$11),IF(Supuestos!$C$11="Lognormal",LOGINV(H485,LN(Supuestos!$D$11)-LN(1+Supuestos!$E$11^2/Supuestos!$D$11^2)/2,SQRT(LN(1+Supuestos!$E$11^2/Supuestos!$D$11^2))),Supuestos!$D$11))))))</f>
        <v/>
      </c>
      <c r="P485" s="33">
        <f>-I485</f>
        <v/>
      </c>
      <c r="Q485" s="33">
        <f>$J485*(1+$K485)^(1-1)*(1-$L485)*(1-$M485)</f>
        <v/>
      </c>
      <c r="R485" s="33">
        <f>$J485*(1+$K485)^(2-1)*(1-$L485)*(1-$M485)</f>
        <v/>
      </c>
      <c r="S485" s="33">
        <f>$J485*(1+$K485)^(3-1)*(1-$L485)*(1-$M485)</f>
        <v/>
      </c>
      <c r="T485" s="33">
        <f>$J485*(1+$K485)^(4-1)*(1-$L485)*(1-$M485)</f>
        <v/>
      </c>
      <c r="U485" s="33">
        <f>$J485*(1+$K485)^(5-1)*(1-$L485)*(1-$M485)+$O485</f>
        <v/>
      </c>
      <c r="V485" s="33">
        <f>P485+NPV($N485,Q485:U485)</f>
        <v/>
      </c>
      <c r="W485" s="32">
        <f>IFERROR(IRR(P485:U485,0.1),"")</f>
        <v/>
      </c>
    </row>
    <row r="486">
      <c r="A486" s="14" t="n">
        <v>482</v>
      </c>
      <c r="B486" s="30">
        <f>RAND()*(1-2E-6)+1E-6</f>
        <v/>
      </c>
      <c r="C486" s="30">
        <f>RAND()*(1-2E-6)+1E-6</f>
        <v/>
      </c>
      <c r="D486" s="30">
        <f>RAND()*(1-2E-6)+1E-6</f>
        <v/>
      </c>
      <c r="E486" s="30">
        <f>RAND()*(1-2E-6)+1E-6</f>
        <v/>
      </c>
      <c r="F486" s="30">
        <f>RAND()*(1-2E-6)+1E-6</f>
        <v/>
      </c>
      <c r="G486" s="30">
        <f>RAND()*(1-2E-6)+1E-6</f>
        <v/>
      </c>
      <c r="H486" s="30">
        <f>RAND()*(1-2E-6)+1E-6</f>
        <v/>
      </c>
      <c r="I486" s="31">
        <f>MIN(IF(Supuestos!$H$5="",1E+99,Supuestos!$H$5),MAX(IF(Supuestos!$G$5="",-1E+99,Supuestos!$G$5),IF(Supuestos!$C$5="Normal",NORMINV(B486,Supuestos!$D$5,Supuestos!$E$5),IF(Supuestos!$C$5="Triangular",IF(B486&lt;(Supuestos!$E$5-Supuestos!$D$5)/(Supuestos!$F$5-Supuestos!$D$5),Supuestos!$D$5+SQRT(B486*(Supuestos!$F$5-Supuestos!$D$5)*(Supuestos!$E$5-Supuestos!$D$5)),Supuestos!$F$5-SQRT((1-B486)*(Supuestos!$F$5-Supuestos!$D$5)*(Supuestos!$F$5-Supuestos!$E$5))),IF(Supuestos!$C$5="Uniforme",Supuestos!$D$5+B486*(Supuestos!$E$5-Supuestos!$D$5),IF(Supuestos!$C$5="Lognormal",LOGINV(B486,LN(Supuestos!$D$5)-LN(1+Supuestos!$E$5^2/Supuestos!$D$5^2)/2,SQRT(LN(1+Supuestos!$E$5^2/Supuestos!$D$5^2))),Supuestos!$D$5))))))</f>
        <v/>
      </c>
      <c r="J486" s="31">
        <f>MIN(IF(Supuestos!$H$6="",1E+99,Supuestos!$H$6),MAX(IF(Supuestos!$G$6="",-1E+99,Supuestos!$G$6),IF(Supuestos!$C$6="Normal",NORMINV(C486,Supuestos!$D$6,Supuestos!$E$6),IF(Supuestos!$C$6="Triangular",IF(C486&lt;(Supuestos!$E$6-Supuestos!$D$6)/(Supuestos!$F$6-Supuestos!$D$6),Supuestos!$D$6+SQRT(C486*(Supuestos!$F$6-Supuestos!$D$6)*(Supuestos!$E$6-Supuestos!$D$6)),Supuestos!$F$6-SQRT((1-C486)*(Supuestos!$F$6-Supuestos!$D$6)*(Supuestos!$F$6-Supuestos!$E$6))),IF(Supuestos!$C$6="Uniforme",Supuestos!$D$6+C486*(Supuestos!$E$6-Supuestos!$D$6),IF(Supuestos!$C$6="Lognormal",LOGINV(C486,LN(Supuestos!$D$6)-LN(1+Supuestos!$E$6^2/Supuestos!$D$6^2)/2,SQRT(LN(1+Supuestos!$E$6^2/Supuestos!$D$6^2))),Supuestos!$D$6))))))</f>
        <v/>
      </c>
      <c r="K486" s="32">
        <f>MIN(IF(Supuestos!$H$7="",1E+99,Supuestos!$H$7),MAX(IF(Supuestos!$G$7="",-1E+99,Supuestos!$G$7),IF(Supuestos!$C$7="Normal",NORMINV(D486,Supuestos!$D$7,Supuestos!$E$7),IF(Supuestos!$C$7="Triangular",IF(D486&lt;(Supuestos!$E$7-Supuestos!$D$7)/(Supuestos!$F$7-Supuestos!$D$7),Supuestos!$D$7+SQRT(D486*(Supuestos!$F$7-Supuestos!$D$7)*(Supuestos!$E$7-Supuestos!$D$7)),Supuestos!$F$7-SQRT((1-D486)*(Supuestos!$F$7-Supuestos!$D$7)*(Supuestos!$F$7-Supuestos!$E$7))),IF(Supuestos!$C$7="Uniforme",Supuestos!$D$7+D486*(Supuestos!$E$7-Supuestos!$D$7),IF(Supuestos!$C$7="Lognormal",LOGINV(D486,LN(Supuestos!$D$7)-LN(1+Supuestos!$E$7^2/Supuestos!$D$7^2)/2,SQRT(LN(1+Supuestos!$E$7^2/Supuestos!$D$7^2))),Supuestos!$D$7))))))</f>
        <v/>
      </c>
      <c r="L486" s="32">
        <f>MIN(IF(Supuestos!$H$8="",1E+99,Supuestos!$H$8),MAX(IF(Supuestos!$G$8="",-1E+99,Supuestos!$G$8),IF(Supuestos!$C$8="Normal",NORMINV(E486,Supuestos!$D$8,Supuestos!$E$8),IF(Supuestos!$C$8="Triangular",IF(E486&lt;(Supuestos!$E$8-Supuestos!$D$8)/(Supuestos!$F$8-Supuestos!$D$8),Supuestos!$D$8+SQRT(E486*(Supuestos!$F$8-Supuestos!$D$8)*(Supuestos!$E$8-Supuestos!$D$8)),Supuestos!$F$8-SQRT((1-E486)*(Supuestos!$F$8-Supuestos!$D$8)*(Supuestos!$F$8-Supuestos!$E$8))),IF(Supuestos!$C$8="Uniforme",Supuestos!$D$8+E486*(Supuestos!$E$8-Supuestos!$D$8),IF(Supuestos!$C$8="Lognormal",LOGINV(E486,LN(Supuestos!$D$8)-LN(1+Supuestos!$E$8^2/Supuestos!$D$8^2)/2,SQRT(LN(1+Supuestos!$E$8^2/Supuestos!$D$8^2))),Supuestos!$D$8))))))</f>
        <v/>
      </c>
      <c r="M486" s="32">
        <f>MIN(IF(Supuestos!$H$9="",1E+99,Supuestos!$H$9),MAX(IF(Supuestos!$G$9="",-1E+99,Supuestos!$G$9),IF(Supuestos!$C$9="Normal",NORMINV(F486,Supuestos!$D$9,Supuestos!$E$9),IF(Supuestos!$C$9="Triangular",IF(F486&lt;(Supuestos!$E$9-Supuestos!$D$9)/(Supuestos!$F$9-Supuestos!$D$9),Supuestos!$D$9+SQRT(F486*(Supuestos!$F$9-Supuestos!$D$9)*(Supuestos!$E$9-Supuestos!$D$9)),Supuestos!$F$9-SQRT((1-F486)*(Supuestos!$F$9-Supuestos!$D$9)*(Supuestos!$F$9-Supuestos!$E$9))),IF(Supuestos!$C$9="Uniforme",Supuestos!$D$9+F486*(Supuestos!$E$9-Supuestos!$D$9),IF(Supuestos!$C$9="Lognormal",LOGINV(F486,LN(Supuestos!$D$9)-LN(1+Supuestos!$E$9^2/Supuestos!$D$9^2)/2,SQRT(LN(1+Supuestos!$E$9^2/Supuestos!$D$9^2))),Supuestos!$D$9))))))</f>
        <v/>
      </c>
      <c r="N486" s="32">
        <f>MIN(IF(Supuestos!$H$10="",1E+99,Supuestos!$H$10),MAX(IF(Supuestos!$G$10="",-1E+99,Supuestos!$G$10),IF(Supuestos!$C$10="Normal",NORMINV(G486,Supuestos!$D$10,Supuestos!$E$10),IF(Supuestos!$C$10="Triangular",IF(G486&lt;(Supuestos!$E$10-Supuestos!$D$10)/(Supuestos!$F$10-Supuestos!$D$10),Supuestos!$D$10+SQRT(G486*(Supuestos!$F$10-Supuestos!$D$10)*(Supuestos!$E$10-Supuestos!$D$10)),Supuestos!$F$10-SQRT((1-G486)*(Supuestos!$F$10-Supuestos!$D$10)*(Supuestos!$F$10-Supuestos!$E$10))),IF(Supuestos!$C$10="Uniforme",Supuestos!$D$10+G486*(Supuestos!$E$10-Supuestos!$D$10),IF(Supuestos!$C$10="Lognormal",LOGINV(G486,LN(Supuestos!$D$10)-LN(1+Supuestos!$E$10^2/Supuestos!$D$10^2)/2,SQRT(LN(1+Supuestos!$E$10^2/Supuestos!$D$10^2))),Supuestos!$D$10))))))</f>
        <v/>
      </c>
      <c r="O486" s="31">
        <f>MIN(IF(Supuestos!$H$11="",1E+99,Supuestos!$H$11),MAX(IF(Supuestos!$G$11="",-1E+99,Supuestos!$G$11),IF(Supuestos!$C$11="Normal",NORMINV(H486,Supuestos!$D$11,Supuestos!$E$11),IF(Supuestos!$C$11="Triangular",IF(H486&lt;(Supuestos!$E$11-Supuestos!$D$11)/(Supuestos!$F$11-Supuestos!$D$11),Supuestos!$D$11+SQRT(H486*(Supuestos!$F$11-Supuestos!$D$11)*(Supuestos!$E$11-Supuestos!$D$11)),Supuestos!$F$11-SQRT((1-H486)*(Supuestos!$F$11-Supuestos!$D$11)*(Supuestos!$F$11-Supuestos!$E$11))),IF(Supuestos!$C$11="Uniforme",Supuestos!$D$11+H486*(Supuestos!$E$11-Supuestos!$D$11),IF(Supuestos!$C$11="Lognormal",LOGINV(H486,LN(Supuestos!$D$11)-LN(1+Supuestos!$E$11^2/Supuestos!$D$11^2)/2,SQRT(LN(1+Supuestos!$E$11^2/Supuestos!$D$11^2))),Supuestos!$D$11))))))</f>
        <v/>
      </c>
      <c r="P486" s="33">
        <f>-I486</f>
        <v/>
      </c>
      <c r="Q486" s="33">
        <f>$J486*(1+$K486)^(1-1)*(1-$L486)*(1-$M486)</f>
        <v/>
      </c>
      <c r="R486" s="33">
        <f>$J486*(1+$K486)^(2-1)*(1-$L486)*(1-$M486)</f>
        <v/>
      </c>
      <c r="S486" s="33">
        <f>$J486*(1+$K486)^(3-1)*(1-$L486)*(1-$M486)</f>
        <v/>
      </c>
      <c r="T486" s="33">
        <f>$J486*(1+$K486)^(4-1)*(1-$L486)*(1-$M486)</f>
        <v/>
      </c>
      <c r="U486" s="33">
        <f>$J486*(1+$K486)^(5-1)*(1-$L486)*(1-$M486)+$O486</f>
        <v/>
      </c>
      <c r="V486" s="33">
        <f>P486+NPV($N486,Q486:U486)</f>
        <v/>
      </c>
      <c r="W486" s="32">
        <f>IFERROR(IRR(P486:U486,0.1),"")</f>
        <v/>
      </c>
    </row>
    <row r="487">
      <c r="A487" s="14" t="n">
        <v>483</v>
      </c>
      <c r="B487" s="30">
        <f>RAND()*(1-2E-6)+1E-6</f>
        <v/>
      </c>
      <c r="C487" s="30">
        <f>RAND()*(1-2E-6)+1E-6</f>
        <v/>
      </c>
      <c r="D487" s="30">
        <f>RAND()*(1-2E-6)+1E-6</f>
        <v/>
      </c>
      <c r="E487" s="30">
        <f>RAND()*(1-2E-6)+1E-6</f>
        <v/>
      </c>
      <c r="F487" s="30">
        <f>RAND()*(1-2E-6)+1E-6</f>
        <v/>
      </c>
      <c r="G487" s="30">
        <f>RAND()*(1-2E-6)+1E-6</f>
        <v/>
      </c>
      <c r="H487" s="30">
        <f>RAND()*(1-2E-6)+1E-6</f>
        <v/>
      </c>
      <c r="I487" s="31">
        <f>MIN(IF(Supuestos!$H$5="",1E+99,Supuestos!$H$5),MAX(IF(Supuestos!$G$5="",-1E+99,Supuestos!$G$5),IF(Supuestos!$C$5="Normal",NORMINV(B487,Supuestos!$D$5,Supuestos!$E$5),IF(Supuestos!$C$5="Triangular",IF(B487&lt;(Supuestos!$E$5-Supuestos!$D$5)/(Supuestos!$F$5-Supuestos!$D$5),Supuestos!$D$5+SQRT(B487*(Supuestos!$F$5-Supuestos!$D$5)*(Supuestos!$E$5-Supuestos!$D$5)),Supuestos!$F$5-SQRT((1-B487)*(Supuestos!$F$5-Supuestos!$D$5)*(Supuestos!$F$5-Supuestos!$E$5))),IF(Supuestos!$C$5="Uniforme",Supuestos!$D$5+B487*(Supuestos!$E$5-Supuestos!$D$5),IF(Supuestos!$C$5="Lognormal",LOGINV(B487,LN(Supuestos!$D$5)-LN(1+Supuestos!$E$5^2/Supuestos!$D$5^2)/2,SQRT(LN(1+Supuestos!$E$5^2/Supuestos!$D$5^2))),Supuestos!$D$5))))))</f>
        <v/>
      </c>
      <c r="J487" s="31">
        <f>MIN(IF(Supuestos!$H$6="",1E+99,Supuestos!$H$6),MAX(IF(Supuestos!$G$6="",-1E+99,Supuestos!$G$6),IF(Supuestos!$C$6="Normal",NORMINV(C487,Supuestos!$D$6,Supuestos!$E$6),IF(Supuestos!$C$6="Triangular",IF(C487&lt;(Supuestos!$E$6-Supuestos!$D$6)/(Supuestos!$F$6-Supuestos!$D$6),Supuestos!$D$6+SQRT(C487*(Supuestos!$F$6-Supuestos!$D$6)*(Supuestos!$E$6-Supuestos!$D$6)),Supuestos!$F$6-SQRT((1-C487)*(Supuestos!$F$6-Supuestos!$D$6)*(Supuestos!$F$6-Supuestos!$E$6))),IF(Supuestos!$C$6="Uniforme",Supuestos!$D$6+C487*(Supuestos!$E$6-Supuestos!$D$6),IF(Supuestos!$C$6="Lognormal",LOGINV(C487,LN(Supuestos!$D$6)-LN(1+Supuestos!$E$6^2/Supuestos!$D$6^2)/2,SQRT(LN(1+Supuestos!$E$6^2/Supuestos!$D$6^2))),Supuestos!$D$6))))))</f>
        <v/>
      </c>
      <c r="K487" s="32">
        <f>MIN(IF(Supuestos!$H$7="",1E+99,Supuestos!$H$7),MAX(IF(Supuestos!$G$7="",-1E+99,Supuestos!$G$7),IF(Supuestos!$C$7="Normal",NORMINV(D487,Supuestos!$D$7,Supuestos!$E$7),IF(Supuestos!$C$7="Triangular",IF(D487&lt;(Supuestos!$E$7-Supuestos!$D$7)/(Supuestos!$F$7-Supuestos!$D$7),Supuestos!$D$7+SQRT(D487*(Supuestos!$F$7-Supuestos!$D$7)*(Supuestos!$E$7-Supuestos!$D$7)),Supuestos!$F$7-SQRT((1-D487)*(Supuestos!$F$7-Supuestos!$D$7)*(Supuestos!$F$7-Supuestos!$E$7))),IF(Supuestos!$C$7="Uniforme",Supuestos!$D$7+D487*(Supuestos!$E$7-Supuestos!$D$7),IF(Supuestos!$C$7="Lognormal",LOGINV(D487,LN(Supuestos!$D$7)-LN(1+Supuestos!$E$7^2/Supuestos!$D$7^2)/2,SQRT(LN(1+Supuestos!$E$7^2/Supuestos!$D$7^2))),Supuestos!$D$7))))))</f>
        <v/>
      </c>
      <c r="L487" s="32">
        <f>MIN(IF(Supuestos!$H$8="",1E+99,Supuestos!$H$8),MAX(IF(Supuestos!$G$8="",-1E+99,Supuestos!$G$8),IF(Supuestos!$C$8="Normal",NORMINV(E487,Supuestos!$D$8,Supuestos!$E$8),IF(Supuestos!$C$8="Triangular",IF(E487&lt;(Supuestos!$E$8-Supuestos!$D$8)/(Supuestos!$F$8-Supuestos!$D$8),Supuestos!$D$8+SQRT(E487*(Supuestos!$F$8-Supuestos!$D$8)*(Supuestos!$E$8-Supuestos!$D$8)),Supuestos!$F$8-SQRT((1-E487)*(Supuestos!$F$8-Supuestos!$D$8)*(Supuestos!$F$8-Supuestos!$E$8))),IF(Supuestos!$C$8="Uniforme",Supuestos!$D$8+E487*(Supuestos!$E$8-Supuestos!$D$8),IF(Supuestos!$C$8="Lognormal",LOGINV(E487,LN(Supuestos!$D$8)-LN(1+Supuestos!$E$8^2/Supuestos!$D$8^2)/2,SQRT(LN(1+Supuestos!$E$8^2/Supuestos!$D$8^2))),Supuestos!$D$8))))))</f>
        <v/>
      </c>
      <c r="M487" s="32">
        <f>MIN(IF(Supuestos!$H$9="",1E+99,Supuestos!$H$9),MAX(IF(Supuestos!$G$9="",-1E+99,Supuestos!$G$9),IF(Supuestos!$C$9="Normal",NORMINV(F487,Supuestos!$D$9,Supuestos!$E$9),IF(Supuestos!$C$9="Triangular",IF(F487&lt;(Supuestos!$E$9-Supuestos!$D$9)/(Supuestos!$F$9-Supuestos!$D$9),Supuestos!$D$9+SQRT(F487*(Supuestos!$F$9-Supuestos!$D$9)*(Supuestos!$E$9-Supuestos!$D$9)),Supuestos!$F$9-SQRT((1-F487)*(Supuestos!$F$9-Supuestos!$D$9)*(Supuestos!$F$9-Supuestos!$E$9))),IF(Supuestos!$C$9="Uniforme",Supuestos!$D$9+F487*(Supuestos!$E$9-Supuestos!$D$9),IF(Supuestos!$C$9="Lognormal",LOGINV(F487,LN(Supuestos!$D$9)-LN(1+Supuestos!$E$9^2/Supuestos!$D$9^2)/2,SQRT(LN(1+Supuestos!$E$9^2/Supuestos!$D$9^2))),Supuestos!$D$9))))))</f>
        <v/>
      </c>
      <c r="N487" s="32">
        <f>MIN(IF(Supuestos!$H$10="",1E+99,Supuestos!$H$10),MAX(IF(Supuestos!$G$10="",-1E+99,Supuestos!$G$10),IF(Supuestos!$C$10="Normal",NORMINV(G487,Supuestos!$D$10,Supuestos!$E$10),IF(Supuestos!$C$10="Triangular",IF(G487&lt;(Supuestos!$E$10-Supuestos!$D$10)/(Supuestos!$F$10-Supuestos!$D$10),Supuestos!$D$10+SQRT(G487*(Supuestos!$F$10-Supuestos!$D$10)*(Supuestos!$E$10-Supuestos!$D$10)),Supuestos!$F$10-SQRT((1-G487)*(Supuestos!$F$10-Supuestos!$D$10)*(Supuestos!$F$10-Supuestos!$E$10))),IF(Supuestos!$C$10="Uniforme",Supuestos!$D$10+G487*(Supuestos!$E$10-Supuestos!$D$10),IF(Supuestos!$C$10="Lognormal",LOGINV(G487,LN(Supuestos!$D$10)-LN(1+Supuestos!$E$10^2/Supuestos!$D$10^2)/2,SQRT(LN(1+Supuestos!$E$10^2/Supuestos!$D$10^2))),Supuestos!$D$10))))))</f>
        <v/>
      </c>
      <c r="O487" s="31">
        <f>MIN(IF(Supuestos!$H$11="",1E+99,Supuestos!$H$11),MAX(IF(Supuestos!$G$11="",-1E+99,Supuestos!$G$11),IF(Supuestos!$C$11="Normal",NORMINV(H487,Supuestos!$D$11,Supuestos!$E$11),IF(Supuestos!$C$11="Triangular",IF(H487&lt;(Supuestos!$E$11-Supuestos!$D$11)/(Supuestos!$F$11-Supuestos!$D$11),Supuestos!$D$11+SQRT(H487*(Supuestos!$F$11-Supuestos!$D$11)*(Supuestos!$E$11-Supuestos!$D$11)),Supuestos!$F$11-SQRT((1-H487)*(Supuestos!$F$11-Supuestos!$D$11)*(Supuestos!$F$11-Supuestos!$E$11))),IF(Supuestos!$C$11="Uniforme",Supuestos!$D$11+H487*(Supuestos!$E$11-Supuestos!$D$11),IF(Supuestos!$C$11="Lognormal",LOGINV(H487,LN(Supuestos!$D$11)-LN(1+Supuestos!$E$11^2/Supuestos!$D$11^2)/2,SQRT(LN(1+Supuestos!$E$11^2/Supuestos!$D$11^2))),Supuestos!$D$11))))))</f>
        <v/>
      </c>
      <c r="P487" s="33">
        <f>-I487</f>
        <v/>
      </c>
      <c r="Q487" s="33">
        <f>$J487*(1+$K487)^(1-1)*(1-$L487)*(1-$M487)</f>
        <v/>
      </c>
      <c r="R487" s="33">
        <f>$J487*(1+$K487)^(2-1)*(1-$L487)*(1-$M487)</f>
        <v/>
      </c>
      <c r="S487" s="33">
        <f>$J487*(1+$K487)^(3-1)*(1-$L487)*(1-$M487)</f>
        <v/>
      </c>
      <c r="T487" s="33">
        <f>$J487*(1+$K487)^(4-1)*(1-$L487)*(1-$M487)</f>
        <v/>
      </c>
      <c r="U487" s="33">
        <f>$J487*(1+$K487)^(5-1)*(1-$L487)*(1-$M487)+$O487</f>
        <v/>
      </c>
      <c r="V487" s="33">
        <f>P487+NPV($N487,Q487:U487)</f>
        <v/>
      </c>
      <c r="W487" s="32">
        <f>IFERROR(IRR(P487:U487,0.1),"")</f>
        <v/>
      </c>
    </row>
    <row r="488">
      <c r="A488" s="14" t="n">
        <v>484</v>
      </c>
      <c r="B488" s="30">
        <f>RAND()*(1-2E-6)+1E-6</f>
        <v/>
      </c>
      <c r="C488" s="30">
        <f>RAND()*(1-2E-6)+1E-6</f>
        <v/>
      </c>
      <c r="D488" s="30">
        <f>RAND()*(1-2E-6)+1E-6</f>
        <v/>
      </c>
      <c r="E488" s="30">
        <f>RAND()*(1-2E-6)+1E-6</f>
        <v/>
      </c>
      <c r="F488" s="30">
        <f>RAND()*(1-2E-6)+1E-6</f>
        <v/>
      </c>
      <c r="G488" s="30">
        <f>RAND()*(1-2E-6)+1E-6</f>
        <v/>
      </c>
      <c r="H488" s="30">
        <f>RAND()*(1-2E-6)+1E-6</f>
        <v/>
      </c>
      <c r="I488" s="31">
        <f>MIN(IF(Supuestos!$H$5="",1E+99,Supuestos!$H$5),MAX(IF(Supuestos!$G$5="",-1E+99,Supuestos!$G$5),IF(Supuestos!$C$5="Normal",NORMINV(B488,Supuestos!$D$5,Supuestos!$E$5),IF(Supuestos!$C$5="Triangular",IF(B488&lt;(Supuestos!$E$5-Supuestos!$D$5)/(Supuestos!$F$5-Supuestos!$D$5),Supuestos!$D$5+SQRT(B488*(Supuestos!$F$5-Supuestos!$D$5)*(Supuestos!$E$5-Supuestos!$D$5)),Supuestos!$F$5-SQRT((1-B488)*(Supuestos!$F$5-Supuestos!$D$5)*(Supuestos!$F$5-Supuestos!$E$5))),IF(Supuestos!$C$5="Uniforme",Supuestos!$D$5+B488*(Supuestos!$E$5-Supuestos!$D$5),IF(Supuestos!$C$5="Lognormal",LOGINV(B488,LN(Supuestos!$D$5)-LN(1+Supuestos!$E$5^2/Supuestos!$D$5^2)/2,SQRT(LN(1+Supuestos!$E$5^2/Supuestos!$D$5^2))),Supuestos!$D$5))))))</f>
        <v/>
      </c>
      <c r="J488" s="31">
        <f>MIN(IF(Supuestos!$H$6="",1E+99,Supuestos!$H$6),MAX(IF(Supuestos!$G$6="",-1E+99,Supuestos!$G$6),IF(Supuestos!$C$6="Normal",NORMINV(C488,Supuestos!$D$6,Supuestos!$E$6),IF(Supuestos!$C$6="Triangular",IF(C488&lt;(Supuestos!$E$6-Supuestos!$D$6)/(Supuestos!$F$6-Supuestos!$D$6),Supuestos!$D$6+SQRT(C488*(Supuestos!$F$6-Supuestos!$D$6)*(Supuestos!$E$6-Supuestos!$D$6)),Supuestos!$F$6-SQRT((1-C488)*(Supuestos!$F$6-Supuestos!$D$6)*(Supuestos!$F$6-Supuestos!$E$6))),IF(Supuestos!$C$6="Uniforme",Supuestos!$D$6+C488*(Supuestos!$E$6-Supuestos!$D$6),IF(Supuestos!$C$6="Lognormal",LOGINV(C488,LN(Supuestos!$D$6)-LN(1+Supuestos!$E$6^2/Supuestos!$D$6^2)/2,SQRT(LN(1+Supuestos!$E$6^2/Supuestos!$D$6^2))),Supuestos!$D$6))))))</f>
        <v/>
      </c>
      <c r="K488" s="32">
        <f>MIN(IF(Supuestos!$H$7="",1E+99,Supuestos!$H$7),MAX(IF(Supuestos!$G$7="",-1E+99,Supuestos!$G$7),IF(Supuestos!$C$7="Normal",NORMINV(D488,Supuestos!$D$7,Supuestos!$E$7),IF(Supuestos!$C$7="Triangular",IF(D488&lt;(Supuestos!$E$7-Supuestos!$D$7)/(Supuestos!$F$7-Supuestos!$D$7),Supuestos!$D$7+SQRT(D488*(Supuestos!$F$7-Supuestos!$D$7)*(Supuestos!$E$7-Supuestos!$D$7)),Supuestos!$F$7-SQRT((1-D488)*(Supuestos!$F$7-Supuestos!$D$7)*(Supuestos!$F$7-Supuestos!$E$7))),IF(Supuestos!$C$7="Uniforme",Supuestos!$D$7+D488*(Supuestos!$E$7-Supuestos!$D$7),IF(Supuestos!$C$7="Lognormal",LOGINV(D488,LN(Supuestos!$D$7)-LN(1+Supuestos!$E$7^2/Supuestos!$D$7^2)/2,SQRT(LN(1+Supuestos!$E$7^2/Supuestos!$D$7^2))),Supuestos!$D$7))))))</f>
        <v/>
      </c>
      <c r="L488" s="32">
        <f>MIN(IF(Supuestos!$H$8="",1E+99,Supuestos!$H$8),MAX(IF(Supuestos!$G$8="",-1E+99,Supuestos!$G$8),IF(Supuestos!$C$8="Normal",NORMINV(E488,Supuestos!$D$8,Supuestos!$E$8),IF(Supuestos!$C$8="Triangular",IF(E488&lt;(Supuestos!$E$8-Supuestos!$D$8)/(Supuestos!$F$8-Supuestos!$D$8),Supuestos!$D$8+SQRT(E488*(Supuestos!$F$8-Supuestos!$D$8)*(Supuestos!$E$8-Supuestos!$D$8)),Supuestos!$F$8-SQRT((1-E488)*(Supuestos!$F$8-Supuestos!$D$8)*(Supuestos!$F$8-Supuestos!$E$8))),IF(Supuestos!$C$8="Uniforme",Supuestos!$D$8+E488*(Supuestos!$E$8-Supuestos!$D$8),IF(Supuestos!$C$8="Lognormal",LOGINV(E488,LN(Supuestos!$D$8)-LN(1+Supuestos!$E$8^2/Supuestos!$D$8^2)/2,SQRT(LN(1+Supuestos!$E$8^2/Supuestos!$D$8^2))),Supuestos!$D$8))))))</f>
        <v/>
      </c>
      <c r="M488" s="32">
        <f>MIN(IF(Supuestos!$H$9="",1E+99,Supuestos!$H$9),MAX(IF(Supuestos!$G$9="",-1E+99,Supuestos!$G$9),IF(Supuestos!$C$9="Normal",NORMINV(F488,Supuestos!$D$9,Supuestos!$E$9),IF(Supuestos!$C$9="Triangular",IF(F488&lt;(Supuestos!$E$9-Supuestos!$D$9)/(Supuestos!$F$9-Supuestos!$D$9),Supuestos!$D$9+SQRT(F488*(Supuestos!$F$9-Supuestos!$D$9)*(Supuestos!$E$9-Supuestos!$D$9)),Supuestos!$F$9-SQRT((1-F488)*(Supuestos!$F$9-Supuestos!$D$9)*(Supuestos!$F$9-Supuestos!$E$9))),IF(Supuestos!$C$9="Uniforme",Supuestos!$D$9+F488*(Supuestos!$E$9-Supuestos!$D$9),IF(Supuestos!$C$9="Lognormal",LOGINV(F488,LN(Supuestos!$D$9)-LN(1+Supuestos!$E$9^2/Supuestos!$D$9^2)/2,SQRT(LN(1+Supuestos!$E$9^2/Supuestos!$D$9^2))),Supuestos!$D$9))))))</f>
        <v/>
      </c>
      <c r="N488" s="32">
        <f>MIN(IF(Supuestos!$H$10="",1E+99,Supuestos!$H$10),MAX(IF(Supuestos!$G$10="",-1E+99,Supuestos!$G$10),IF(Supuestos!$C$10="Normal",NORMINV(G488,Supuestos!$D$10,Supuestos!$E$10),IF(Supuestos!$C$10="Triangular",IF(G488&lt;(Supuestos!$E$10-Supuestos!$D$10)/(Supuestos!$F$10-Supuestos!$D$10),Supuestos!$D$10+SQRT(G488*(Supuestos!$F$10-Supuestos!$D$10)*(Supuestos!$E$10-Supuestos!$D$10)),Supuestos!$F$10-SQRT((1-G488)*(Supuestos!$F$10-Supuestos!$D$10)*(Supuestos!$F$10-Supuestos!$E$10))),IF(Supuestos!$C$10="Uniforme",Supuestos!$D$10+G488*(Supuestos!$E$10-Supuestos!$D$10),IF(Supuestos!$C$10="Lognormal",LOGINV(G488,LN(Supuestos!$D$10)-LN(1+Supuestos!$E$10^2/Supuestos!$D$10^2)/2,SQRT(LN(1+Supuestos!$E$10^2/Supuestos!$D$10^2))),Supuestos!$D$10))))))</f>
        <v/>
      </c>
      <c r="O488" s="31">
        <f>MIN(IF(Supuestos!$H$11="",1E+99,Supuestos!$H$11),MAX(IF(Supuestos!$G$11="",-1E+99,Supuestos!$G$11),IF(Supuestos!$C$11="Normal",NORMINV(H488,Supuestos!$D$11,Supuestos!$E$11),IF(Supuestos!$C$11="Triangular",IF(H488&lt;(Supuestos!$E$11-Supuestos!$D$11)/(Supuestos!$F$11-Supuestos!$D$11),Supuestos!$D$11+SQRT(H488*(Supuestos!$F$11-Supuestos!$D$11)*(Supuestos!$E$11-Supuestos!$D$11)),Supuestos!$F$11-SQRT((1-H488)*(Supuestos!$F$11-Supuestos!$D$11)*(Supuestos!$F$11-Supuestos!$E$11))),IF(Supuestos!$C$11="Uniforme",Supuestos!$D$11+H488*(Supuestos!$E$11-Supuestos!$D$11),IF(Supuestos!$C$11="Lognormal",LOGINV(H488,LN(Supuestos!$D$11)-LN(1+Supuestos!$E$11^2/Supuestos!$D$11^2)/2,SQRT(LN(1+Supuestos!$E$11^2/Supuestos!$D$11^2))),Supuestos!$D$11))))))</f>
        <v/>
      </c>
      <c r="P488" s="33">
        <f>-I488</f>
        <v/>
      </c>
      <c r="Q488" s="33">
        <f>$J488*(1+$K488)^(1-1)*(1-$L488)*(1-$M488)</f>
        <v/>
      </c>
      <c r="R488" s="33">
        <f>$J488*(1+$K488)^(2-1)*(1-$L488)*(1-$M488)</f>
        <v/>
      </c>
      <c r="S488" s="33">
        <f>$J488*(1+$K488)^(3-1)*(1-$L488)*(1-$M488)</f>
        <v/>
      </c>
      <c r="T488" s="33">
        <f>$J488*(1+$K488)^(4-1)*(1-$L488)*(1-$M488)</f>
        <v/>
      </c>
      <c r="U488" s="33">
        <f>$J488*(1+$K488)^(5-1)*(1-$L488)*(1-$M488)+$O488</f>
        <v/>
      </c>
      <c r="V488" s="33">
        <f>P488+NPV($N488,Q488:U488)</f>
        <v/>
      </c>
      <c r="W488" s="32">
        <f>IFERROR(IRR(P488:U488,0.1),"")</f>
        <v/>
      </c>
    </row>
    <row r="489">
      <c r="A489" s="14" t="n">
        <v>485</v>
      </c>
      <c r="B489" s="30">
        <f>RAND()*(1-2E-6)+1E-6</f>
        <v/>
      </c>
      <c r="C489" s="30">
        <f>RAND()*(1-2E-6)+1E-6</f>
        <v/>
      </c>
      <c r="D489" s="30">
        <f>RAND()*(1-2E-6)+1E-6</f>
        <v/>
      </c>
      <c r="E489" s="30">
        <f>RAND()*(1-2E-6)+1E-6</f>
        <v/>
      </c>
      <c r="F489" s="30">
        <f>RAND()*(1-2E-6)+1E-6</f>
        <v/>
      </c>
      <c r="G489" s="30">
        <f>RAND()*(1-2E-6)+1E-6</f>
        <v/>
      </c>
      <c r="H489" s="30">
        <f>RAND()*(1-2E-6)+1E-6</f>
        <v/>
      </c>
      <c r="I489" s="31">
        <f>MIN(IF(Supuestos!$H$5="",1E+99,Supuestos!$H$5),MAX(IF(Supuestos!$G$5="",-1E+99,Supuestos!$G$5),IF(Supuestos!$C$5="Normal",NORMINV(B489,Supuestos!$D$5,Supuestos!$E$5),IF(Supuestos!$C$5="Triangular",IF(B489&lt;(Supuestos!$E$5-Supuestos!$D$5)/(Supuestos!$F$5-Supuestos!$D$5),Supuestos!$D$5+SQRT(B489*(Supuestos!$F$5-Supuestos!$D$5)*(Supuestos!$E$5-Supuestos!$D$5)),Supuestos!$F$5-SQRT((1-B489)*(Supuestos!$F$5-Supuestos!$D$5)*(Supuestos!$F$5-Supuestos!$E$5))),IF(Supuestos!$C$5="Uniforme",Supuestos!$D$5+B489*(Supuestos!$E$5-Supuestos!$D$5),IF(Supuestos!$C$5="Lognormal",LOGINV(B489,LN(Supuestos!$D$5)-LN(1+Supuestos!$E$5^2/Supuestos!$D$5^2)/2,SQRT(LN(1+Supuestos!$E$5^2/Supuestos!$D$5^2))),Supuestos!$D$5))))))</f>
        <v/>
      </c>
      <c r="J489" s="31">
        <f>MIN(IF(Supuestos!$H$6="",1E+99,Supuestos!$H$6),MAX(IF(Supuestos!$G$6="",-1E+99,Supuestos!$G$6),IF(Supuestos!$C$6="Normal",NORMINV(C489,Supuestos!$D$6,Supuestos!$E$6),IF(Supuestos!$C$6="Triangular",IF(C489&lt;(Supuestos!$E$6-Supuestos!$D$6)/(Supuestos!$F$6-Supuestos!$D$6),Supuestos!$D$6+SQRT(C489*(Supuestos!$F$6-Supuestos!$D$6)*(Supuestos!$E$6-Supuestos!$D$6)),Supuestos!$F$6-SQRT((1-C489)*(Supuestos!$F$6-Supuestos!$D$6)*(Supuestos!$F$6-Supuestos!$E$6))),IF(Supuestos!$C$6="Uniforme",Supuestos!$D$6+C489*(Supuestos!$E$6-Supuestos!$D$6),IF(Supuestos!$C$6="Lognormal",LOGINV(C489,LN(Supuestos!$D$6)-LN(1+Supuestos!$E$6^2/Supuestos!$D$6^2)/2,SQRT(LN(1+Supuestos!$E$6^2/Supuestos!$D$6^2))),Supuestos!$D$6))))))</f>
        <v/>
      </c>
      <c r="K489" s="32">
        <f>MIN(IF(Supuestos!$H$7="",1E+99,Supuestos!$H$7),MAX(IF(Supuestos!$G$7="",-1E+99,Supuestos!$G$7),IF(Supuestos!$C$7="Normal",NORMINV(D489,Supuestos!$D$7,Supuestos!$E$7),IF(Supuestos!$C$7="Triangular",IF(D489&lt;(Supuestos!$E$7-Supuestos!$D$7)/(Supuestos!$F$7-Supuestos!$D$7),Supuestos!$D$7+SQRT(D489*(Supuestos!$F$7-Supuestos!$D$7)*(Supuestos!$E$7-Supuestos!$D$7)),Supuestos!$F$7-SQRT((1-D489)*(Supuestos!$F$7-Supuestos!$D$7)*(Supuestos!$F$7-Supuestos!$E$7))),IF(Supuestos!$C$7="Uniforme",Supuestos!$D$7+D489*(Supuestos!$E$7-Supuestos!$D$7),IF(Supuestos!$C$7="Lognormal",LOGINV(D489,LN(Supuestos!$D$7)-LN(1+Supuestos!$E$7^2/Supuestos!$D$7^2)/2,SQRT(LN(1+Supuestos!$E$7^2/Supuestos!$D$7^2))),Supuestos!$D$7))))))</f>
        <v/>
      </c>
      <c r="L489" s="32">
        <f>MIN(IF(Supuestos!$H$8="",1E+99,Supuestos!$H$8),MAX(IF(Supuestos!$G$8="",-1E+99,Supuestos!$G$8),IF(Supuestos!$C$8="Normal",NORMINV(E489,Supuestos!$D$8,Supuestos!$E$8),IF(Supuestos!$C$8="Triangular",IF(E489&lt;(Supuestos!$E$8-Supuestos!$D$8)/(Supuestos!$F$8-Supuestos!$D$8),Supuestos!$D$8+SQRT(E489*(Supuestos!$F$8-Supuestos!$D$8)*(Supuestos!$E$8-Supuestos!$D$8)),Supuestos!$F$8-SQRT((1-E489)*(Supuestos!$F$8-Supuestos!$D$8)*(Supuestos!$F$8-Supuestos!$E$8))),IF(Supuestos!$C$8="Uniforme",Supuestos!$D$8+E489*(Supuestos!$E$8-Supuestos!$D$8),IF(Supuestos!$C$8="Lognormal",LOGINV(E489,LN(Supuestos!$D$8)-LN(1+Supuestos!$E$8^2/Supuestos!$D$8^2)/2,SQRT(LN(1+Supuestos!$E$8^2/Supuestos!$D$8^2))),Supuestos!$D$8))))))</f>
        <v/>
      </c>
      <c r="M489" s="32">
        <f>MIN(IF(Supuestos!$H$9="",1E+99,Supuestos!$H$9),MAX(IF(Supuestos!$G$9="",-1E+99,Supuestos!$G$9),IF(Supuestos!$C$9="Normal",NORMINV(F489,Supuestos!$D$9,Supuestos!$E$9),IF(Supuestos!$C$9="Triangular",IF(F489&lt;(Supuestos!$E$9-Supuestos!$D$9)/(Supuestos!$F$9-Supuestos!$D$9),Supuestos!$D$9+SQRT(F489*(Supuestos!$F$9-Supuestos!$D$9)*(Supuestos!$E$9-Supuestos!$D$9)),Supuestos!$F$9-SQRT((1-F489)*(Supuestos!$F$9-Supuestos!$D$9)*(Supuestos!$F$9-Supuestos!$E$9))),IF(Supuestos!$C$9="Uniforme",Supuestos!$D$9+F489*(Supuestos!$E$9-Supuestos!$D$9),IF(Supuestos!$C$9="Lognormal",LOGINV(F489,LN(Supuestos!$D$9)-LN(1+Supuestos!$E$9^2/Supuestos!$D$9^2)/2,SQRT(LN(1+Supuestos!$E$9^2/Supuestos!$D$9^2))),Supuestos!$D$9))))))</f>
        <v/>
      </c>
      <c r="N489" s="32">
        <f>MIN(IF(Supuestos!$H$10="",1E+99,Supuestos!$H$10),MAX(IF(Supuestos!$G$10="",-1E+99,Supuestos!$G$10),IF(Supuestos!$C$10="Normal",NORMINV(G489,Supuestos!$D$10,Supuestos!$E$10),IF(Supuestos!$C$10="Triangular",IF(G489&lt;(Supuestos!$E$10-Supuestos!$D$10)/(Supuestos!$F$10-Supuestos!$D$10),Supuestos!$D$10+SQRT(G489*(Supuestos!$F$10-Supuestos!$D$10)*(Supuestos!$E$10-Supuestos!$D$10)),Supuestos!$F$10-SQRT((1-G489)*(Supuestos!$F$10-Supuestos!$D$10)*(Supuestos!$F$10-Supuestos!$E$10))),IF(Supuestos!$C$10="Uniforme",Supuestos!$D$10+G489*(Supuestos!$E$10-Supuestos!$D$10),IF(Supuestos!$C$10="Lognormal",LOGINV(G489,LN(Supuestos!$D$10)-LN(1+Supuestos!$E$10^2/Supuestos!$D$10^2)/2,SQRT(LN(1+Supuestos!$E$10^2/Supuestos!$D$10^2))),Supuestos!$D$10))))))</f>
        <v/>
      </c>
      <c r="O489" s="31">
        <f>MIN(IF(Supuestos!$H$11="",1E+99,Supuestos!$H$11),MAX(IF(Supuestos!$G$11="",-1E+99,Supuestos!$G$11),IF(Supuestos!$C$11="Normal",NORMINV(H489,Supuestos!$D$11,Supuestos!$E$11),IF(Supuestos!$C$11="Triangular",IF(H489&lt;(Supuestos!$E$11-Supuestos!$D$11)/(Supuestos!$F$11-Supuestos!$D$11),Supuestos!$D$11+SQRT(H489*(Supuestos!$F$11-Supuestos!$D$11)*(Supuestos!$E$11-Supuestos!$D$11)),Supuestos!$F$11-SQRT((1-H489)*(Supuestos!$F$11-Supuestos!$D$11)*(Supuestos!$F$11-Supuestos!$E$11))),IF(Supuestos!$C$11="Uniforme",Supuestos!$D$11+H489*(Supuestos!$E$11-Supuestos!$D$11),IF(Supuestos!$C$11="Lognormal",LOGINV(H489,LN(Supuestos!$D$11)-LN(1+Supuestos!$E$11^2/Supuestos!$D$11^2)/2,SQRT(LN(1+Supuestos!$E$11^2/Supuestos!$D$11^2))),Supuestos!$D$11))))))</f>
        <v/>
      </c>
      <c r="P489" s="33">
        <f>-I489</f>
        <v/>
      </c>
      <c r="Q489" s="33">
        <f>$J489*(1+$K489)^(1-1)*(1-$L489)*(1-$M489)</f>
        <v/>
      </c>
      <c r="R489" s="33">
        <f>$J489*(1+$K489)^(2-1)*(1-$L489)*(1-$M489)</f>
        <v/>
      </c>
      <c r="S489" s="33">
        <f>$J489*(1+$K489)^(3-1)*(1-$L489)*(1-$M489)</f>
        <v/>
      </c>
      <c r="T489" s="33">
        <f>$J489*(1+$K489)^(4-1)*(1-$L489)*(1-$M489)</f>
        <v/>
      </c>
      <c r="U489" s="33">
        <f>$J489*(1+$K489)^(5-1)*(1-$L489)*(1-$M489)+$O489</f>
        <v/>
      </c>
      <c r="V489" s="33">
        <f>P489+NPV($N489,Q489:U489)</f>
        <v/>
      </c>
      <c r="W489" s="32">
        <f>IFERROR(IRR(P489:U489,0.1),"")</f>
        <v/>
      </c>
    </row>
    <row r="490">
      <c r="A490" s="14" t="n">
        <v>486</v>
      </c>
      <c r="B490" s="30">
        <f>RAND()*(1-2E-6)+1E-6</f>
        <v/>
      </c>
      <c r="C490" s="30">
        <f>RAND()*(1-2E-6)+1E-6</f>
        <v/>
      </c>
      <c r="D490" s="30">
        <f>RAND()*(1-2E-6)+1E-6</f>
        <v/>
      </c>
      <c r="E490" s="30">
        <f>RAND()*(1-2E-6)+1E-6</f>
        <v/>
      </c>
      <c r="F490" s="30">
        <f>RAND()*(1-2E-6)+1E-6</f>
        <v/>
      </c>
      <c r="G490" s="30">
        <f>RAND()*(1-2E-6)+1E-6</f>
        <v/>
      </c>
      <c r="H490" s="30">
        <f>RAND()*(1-2E-6)+1E-6</f>
        <v/>
      </c>
      <c r="I490" s="31">
        <f>MIN(IF(Supuestos!$H$5="",1E+99,Supuestos!$H$5),MAX(IF(Supuestos!$G$5="",-1E+99,Supuestos!$G$5),IF(Supuestos!$C$5="Normal",NORMINV(B490,Supuestos!$D$5,Supuestos!$E$5),IF(Supuestos!$C$5="Triangular",IF(B490&lt;(Supuestos!$E$5-Supuestos!$D$5)/(Supuestos!$F$5-Supuestos!$D$5),Supuestos!$D$5+SQRT(B490*(Supuestos!$F$5-Supuestos!$D$5)*(Supuestos!$E$5-Supuestos!$D$5)),Supuestos!$F$5-SQRT((1-B490)*(Supuestos!$F$5-Supuestos!$D$5)*(Supuestos!$F$5-Supuestos!$E$5))),IF(Supuestos!$C$5="Uniforme",Supuestos!$D$5+B490*(Supuestos!$E$5-Supuestos!$D$5),IF(Supuestos!$C$5="Lognormal",LOGINV(B490,LN(Supuestos!$D$5)-LN(1+Supuestos!$E$5^2/Supuestos!$D$5^2)/2,SQRT(LN(1+Supuestos!$E$5^2/Supuestos!$D$5^2))),Supuestos!$D$5))))))</f>
        <v/>
      </c>
      <c r="J490" s="31">
        <f>MIN(IF(Supuestos!$H$6="",1E+99,Supuestos!$H$6),MAX(IF(Supuestos!$G$6="",-1E+99,Supuestos!$G$6),IF(Supuestos!$C$6="Normal",NORMINV(C490,Supuestos!$D$6,Supuestos!$E$6),IF(Supuestos!$C$6="Triangular",IF(C490&lt;(Supuestos!$E$6-Supuestos!$D$6)/(Supuestos!$F$6-Supuestos!$D$6),Supuestos!$D$6+SQRT(C490*(Supuestos!$F$6-Supuestos!$D$6)*(Supuestos!$E$6-Supuestos!$D$6)),Supuestos!$F$6-SQRT((1-C490)*(Supuestos!$F$6-Supuestos!$D$6)*(Supuestos!$F$6-Supuestos!$E$6))),IF(Supuestos!$C$6="Uniforme",Supuestos!$D$6+C490*(Supuestos!$E$6-Supuestos!$D$6),IF(Supuestos!$C$6="Lognormal",LOGINV(C490,LN(Supuestos!$D$6)-LN(1+Supuestos!$E$6^2/Supuestos!$D$6^2)/2,SQRT(LN(1+Supuestos!$E$6^2/Supuestos!$D$6^2))),Supuestos!$D$6))))))</f>
        <v/>
      </c>
      <c r="K490" s="32">
        <f>MIN(IF(Supuestos!$H$7="",1E+99,Supuestos!$H$7),MAX(IF(Supuestos!$G$7="",-1E+99,Supuestos!$G$7),IF(Supuestos!$C$7="Normal",NORMINV(D490,Supuestos!$D$7,Supuestos!$E$7),IF(Supuestos!$C$7="Triangular",IF(D490&lt;(Supuestos!$E$7-Supuestos!$D$7)/(Supuestos!$F$7-Supuestos!$D$7),Supuestos!$D$7+SQRT(D490*(Supuestos!$F$7-Supuestos!$D$7)*(Supuestos!$E$7-Supuestos!$D$7)),Supuestos!$F$7-SQRT((1-D490)*(Supuestos!$F$7-Supuestos!$D$7)*(Supuestos!$F$7-Supuestos!$E$7))),IF(Supuestos!$C$7="Uniforme",Supuestos!$D$7+D490*(Supuestos!$E$7-Supuestos!$D$7),IF(Supuestos!$C$7="Lognormal",LOGINV(D490,LN(Supuestos!$D$7)-LN(1+Supuestos!$E$7^2/Supuestos!$D$7^2)/2,SQRT(LN(1+Supuestos!$E$7^2/Supuestos!$D$7^2))),Supuestos!$D$7))))))</f>
        <v/>
      </c>
      <c r="L490" s="32">
        <f>MIN(IF(Supuestos!$H$8="",1E+99,Supuestos!$H$8),MAX(IF(Supuestos!$G$8="",-1E+99,Supuestos!$G$8),IF(Supuestos!$C$8="Normal",NORMINV(E490,Supuestos!$D$8,Supuestos!$E$8),IF(Supuestos!$C$8="Triangular",IF(E490&lt;(Supuestos!$E$8-Supuestos!$D$8)/(Supuestos!$F$8-Supuestos!$D$8),Supuestos!$D$8+SQRT(E490*(Supuestos!$F$8-Supuestos!$D$8)*(Supuestos!$E$8-Supuestos!$D$8)),Supuestos!$F$8-SQRT((1-E490)*(Supuestos!$F$8-Supuestos!$D$8)*(Supuestos!$F$8-Supuestos!$E$8))),IF(Supuestos!$C$8="Uniforme",Supuestos!$D$8+E490*(Supuestos!$E$8-Supuestos!$D$8),IF(Supuestos!$C$8="Lognormal",LOGINV(E490,LN(Supuestos!$D$8)-LN(1+Supuestos!$E$8^2/Supuestos!$D$8^2)/2,SQRT(LN(1+Supuestos!$E$8^2/Supuestos!$D$8^2))),Supuestos!$D$8))))))</f>
        <v/>
      </c>
      <c r="M490" s="32">
        <f>MIN(IF(Supuestos!$H$9="",1E+99,Supuestos!$H$9),MAX(IF(Supuestos!$G$9="",-1E+99,Supuestos!$G$9),IF(Supuestos!$C$9="Normal",NORMINV(F490,Supuestos!$D$9,Supuestos!$E$9),IF(Supuestos!$C$9="Triangular",IF(F490&lt;(Supuestos!$E$9-Supuestos!$D$9)/(Supuestos!$F$9-Supuestos!$D$9),Supuestos!$D$9+SQRT(F490*(Supuestos!$F$9-Supuestos!$D$9)*(Supuestos!$E$9-Supuestos!$D$9)),Supuestos!$F$9-SQRT((1-F490)*(Supuestos!$F$9-Supuestos!$D$9)*(Supuestos!$F$9-Supuestos!$E$9))),IF(Supuestos!$C$9="Uniforme",Supuestos!$D$9+F490*(Supuestos!$E$9-Supuestos!$D$9),IF(Supuestos!$C$9="Lognormal",LOGINV(F490,LN(Supuestos!$D$9)-LN(1+Supuestos!$E$9^2/Supuestos!$D$9^2)/2,SQRT(LN(1+Supuestos!$E$9^2/Supuestos!$D$9^2))),Supuestos!$D$9))))))</f>
        <v/>
      </c>
      <c r="N490" s="32">
        <f>MIN(IF(Supuestos!$H$10="",1E+99,Supuestos!$H$10),MAX(IF(Supuestos!$G$10="",-1E+99,Supuestos!$G$10),IF(Supuestos!$C$10="Normal",NORMINV(G490,Supuestos!$D$10,Supuestos!$E$10),IF(Supuestos!$C$10="Triangular",IF(G490&lt;(Supuestos!$E$10-Supuestos!$D$10)/(Supuestos!$F$10-Supuestos!$D$10),Supuestos!$D$10+SQRT(G490*(Supuestos!$F$10-Supuestos!$D$10)*(Supuestos!$E$10-Supuestos!$D$10)),Supuestos!$F$10-SQRT((1-G490)*(Supuestos!$F$10-Supuestos!$D$10)*(Supuestos!$F$10-Supuestos!$E$10))),IF(Supuestos!$C$10="Uniforme",Supuestos!$D$10+G490*(Supuestos!$E$10-Supuestos!$D$10),IF(Supuestos!$C$10="Lognormal",LOGINV(G490,LN(Supuestos!$D$10)-LN(1+Supuestos!$E$10^2/Supuestos!$D$10^2)/2,SQRT(LN(1+Supuestos!$E$10^2/Supuestos!$D$10^2))),Supuestos!$D$10))))))</f>
        <v/>
      </c>
      <c r="O490" s="31">
        <f>MIN(IF(Supuestos!$H$11="",1E+99,Supuestos!$H$11),MAX(IF(Supuestos!$G$11="",-1E+99,Supuestos!$G$11),IF(Supuestos!$C$11="Normal",NORMINV(H490,Supuestos!$D$11,Supuestos!$E$11),IF(Supuestos!$C$11="Triangular",IF(H490&lt;(Supuestos!$E$11-Supuestos!$D$11)/(Supuestos!$F$11-Supuestos!$D$11),Supuestos!$D$11+SQRT(H490*(Supuestos!$F$11-Supuestos!$D$11)*(Supuestos!$E$11-Supuestos!$D$11)),Supuestos!$F$11-SQRT((1-H490)*(Supuestos!$F$11-Supuestos!$D$11)*(Supuestos!$F$11-Supuestos!$E$11))),IF(Supuestos!$C$11="Uniforme",Supuestos!$D$11+H490*(Supuestos!$E$11-Supuestos!$D$11),IF(Supuestos!$C$11="Lognormal",LOGINV(H490,LN(Supuestos!$D$11)-LN(1+Supuestos!$E$11^2/Supuestos!$D$11^2)/2,SQRT(LN(1+Supuestos!$E$11^2/Supuestos!$D$11^2))),Supuestos!$D$11))))))</f>
        <v/>
      </c>
      <c r="P490" s="33">
        <f>-I490</f>
        <v/>
      </c>
      <c r="Q490" s="33">
        <f>$J490*(1+$K490)^(1-1)*(1-$L490)*(1-$M490)</f>
        <v/>
      </c>
      <c r="R490" s="33">
        <f>$J490*(1+$K490)^(2-1)*(1-$L490)*(1-$M490)</f>
        <v/>
      </c>
      <c r="S490" s="33">
        <f>$J490*(1+$K490)^(3-1)*(1-$L490)*(1-$M490)</f>
        <v/>
      </c>
      <c r="T490" s="33">
        <f>$J490*(1+$K490)^(4-1)*(1-$L490)*(1-$M490)</f>
        <v/>
      </c>
      <c r="U490" s="33">
        <f>$J490*(1+$K490)^(5-1)*(1-$L490)*(1-$M490)+$O490</f>
        <v/>
      </c>
      <c r="V490" s="33">
        <f>P490+NPV($N490,Q490:U490)</f>
        <v/>
      </c>
      <c r="W490" s="32">
        <f>IFERROR(IRR(P490:U490,0.1),"")</f>
        <v/>
      </c>
    </row>
    <row r="491">
      <c r="A491" s="14" t="n">
        <v>487</v>
      </c>
      <c r="B491" s="30">
        <f>RAND()*(1-2E-6)+1E-6</f>
        <v/>
      </c>
      <c r="C491" s="30">
        <f>RAND()*(1-2E-6)+1E-6</f>
        <v/>
      </c>
      <c r="D491" s="30">
        <f>RAND()*(1-2E-6)+1E-6</f>
        <v/>
      </c>
      <c r="E491" s="30">
        <f>RAND()*(1-2E-6)+1E-6</f>
        <v/>
      </c>
      <c r="F491" s="30">
        <f>RAND()*(1-2E-6)+1E-6</f>
        <v/>
      </c>
      <c r="G491" s="30">
        <f>RAND()*(1-2E-6)+1E-6</f>
        <v/>
      </c>
      <c r="H491" s="30">
        <f>RAND()*(1-2E-6)+1E-6</f>
        <v/>
      </c>
      <c r="I491" s="31">
        <f>MIN(IF(Supuestos!$H$5="",1E+99,Supuestos!$H$5),MAX(IF(Supuestos!$G$5="",-1E+99,Supuestos!$G$5),IF(Supuestos!$C$5="Normal",NORMINV(B491,Supuestos!$D$5,Supuestos!$E$5),IF(Supuestos!$C$5="Triangular",IF(B491&lt;(Supuestos!$E$5-Supuestos!$D$5)/(Supuestos!$F$5-Supuestos!$D$5),Supuestos!$D$5+SQRT(B491*(Supuestos!$F$5-Supuestos!$D$5)*(Supuestos!$E$5-Supuestos!$D$5)),Supuestos!$F$5-SQRT((1-B491)*(Supuestos!$F$5-Supuestos!$D$5)*(Supuestos!$F$5-Supuestos!$E$5))),IF(Supuestos!$C$5="Uniforme",Supuestos!$D$5+B491*(Supuestos!$E$5-Supuestos!$D$5),IF(Supuestos!$C$5="Lognormal",LOGINV(B491,LN(Supuestos!$D$5)-LN(1+Supuestos!$E$5^2/Supuestos!$D$5^2)/2,SQRT(LN(1+Supuestos!$E$5^2/Supuestos!$D$5^2))),Supuestos!$D$5))))))</f>
        <v/>
      </c>
      <c r="J491" s="31">
        <f>MIN(IF(Supuestos!$H$6="",1E+99,Supuestos!$H$6),MAX(IF(Supuestos!$G$6="",-1E+99,Supuestos!$G$6),IF(Supuestos!$C$6="Normal",NORMINV(C491,Supuestos!$D$6,Supuestos!$E$6),IF(Supuestos!$C$6="Triangular",IF(C491&lt;(Supuestos!$E$6-Supuestos!$D$6)/(Supuestos!$F$6-Supuestos!$D$6),Supuestos!$D$6+SQRT(C491*(Supuestos!$F$6-Supuestos!$D$6)*(Supuestos!$E$6-Supuestos!$D$6)),Supuestos!$F$6-SQRT((1-C491)*(Supuestos!$F$6-Supuestos!$D$6)*(Supuestos!$F$6-Supuestos!$E$6))),IF(Supuestos!$C$6="Uniforme",Supuestos!$D$6+C491*(Supuestos!$E$6-Supuestos!$D$6),IF(Supuestos!$C$6="Lognormal",LOGINV(C491,LN(Supuestos!$D$6)-LN(1+Supuestos!$E$6^2/Supuestos!$D$6^2)/2,SQRT(LN(1+Supuestos!$E$6^2/Supuestos!$D$6^2))),Supuestos!$D$6))))))</f>
        <v/>
      </c>
      <c r="K491" s="32">
        <f>MIN(IF(Supuestos!$H$7="",1E+99,Supuestos!$H$7),MAX(IF(Supuestos!$G$7="",-1E+99,Supuestos!$G$7),IF(Supuestos!$C$7="Normal",NORMINV(D491,Supuestos!$D$7,Supuestos!$E$7),IF(Supuestos!$C$7="Triangular",IF(D491&lt;(Supuestos!$E$7-Supuestos!$D$7)/(Supuestos!$F$7-Supuestos!$D$7),Supuestos!$D$7+SQRT(D491*(Supuestos!$F$7-Supuestos!$D$7)*(Supuestos!$E$7-Supuestos!$D$7)),Supuestos!$F$7-SQRT((1-D491)*(Supuestos!$F$7-Supuestos!$D$7)*(Supuestos!$F$7-Supuestos!$E$7))),IF(Supuestos!$C$7="Uniforme",Supuestos!$D$7+D491*(Supuestos!$E$7-Supuestos!$D$7),IF(Supuestos!$C$7="Lognormal",LOGINV(D491,LN(Supuestos!$D$7)-LN(1+Supuestos!$E$7^2/Supuestos!$D$7^2)/2,SQRT(LN(1+Supuestos!$E$7^2/Supuestos!$D$7^2))),Supuestos!$D$7))))))</f>
        <v/>
      </c>
      <c r="L491" s="32">
        <f>MIN(IF(Supuestos!$H$8="",1E+99,Supuestos!$H$8),MAX(IF(Supuestos!$G$8="",-1E+99,Supuestos!$G$8),IF(Supuestos!$C$8="Normal",NORMINV(E491,Supuestos!$D$8,Supuestos!$E$8),IF(Supuestos!$C$8="Triangular",IF(E491&lt;(Supuestos!$E$8-Supuestos!$D$8)/(Supuestos!$F$8-Supuestos!$D$8),Supuestos!$D$8+SQRT(E491*(Supuestos!$F$8-Supuestos!$D$8)*(Supuestos!$E$8-Supuestos!$D$8)),Supuestos!$F$8-SQRT((1-E491)*(Supuestos!$F$8-Supuestos!$D$8)*(Supuestos!$F$8-Supuestos!$E$8))),IF(Supuestos!$C$8="Uniforme",Supuestos!$D$8+E491*(Supuestos!$E$8-Supuestos!$D$8),IF(Supuestos!$C$8="Lognormal",LOGINV(E491,LN(Supuestos!$D$8)-LN(1+Supuestos!$E$8^2/Supuestos!$D$8^2)/2,SQRT(LN(1+Supuestos!$E$8^2/Supuestos!$D$8^2))),Supuestos!$D$8))))))</f>
        <v/>
      </c>
      <c r="M491" s="32">
        <f>MIN(IF(Supuestos!$H$9="",1E+99,Supuestos!$H$9),MAX(IF(Supuestos!$G$9="",-1E+99,Supuestos!$G$9),IF(Supuestos!$C$9="Normal",NORMINV(F491,Supuestos!$D$9,Supuestos!$E$9),IF(Supuestos!$C$9="Triangular",IF(F491&lt;(Supuestos!$E$9-Supuestos!$D$9)/(Supuestos!$F$9-Supuestos!$D$9),Supuestos!$D$9+SQRT(F491*(Supuestos!$F$9-Supuestos!$D$9)*(Supuestos!$E$9-Supuestos!$D$9)),Supuestos!$F$9-SQRT((1-F491)*(Supuestos!$F$9-Supuestos!$D$9)*(Supuestos!$F$9-Supuestos!$E$9))),IF(Supuestos!$C$9="Uniforme",Supuestos!$D$9+F491*(Supuestos!$E$9-Supuestos!$D$9),IF(Supuestos!$C$9="Lognormal",LOGINV(F491,LN(Supuestos!$D$9)-LN(1+Supuestos!$E$9^2/Supuestos!$D$9^2)/2,SQRT(LN(1+Supuestos!$E$9^2/Supuestos!$D$9^2))),Supuestos!$D$9))))))</f>
        <v/>
      </c>
      <c r="N491" s="32">
        <f>MIN(IF(Supuestos!$H$10="",1E+99,Supuestos!$H$10),MAX(IF(Supuestos!$G$10="",-1E+99,Supuestos!$G$10),IF(Supuestos!$C$10="Normal",NORMINV(G491,Supuestos!$D$10,Supuestos!$E$10),IF(Supuestos!$C$10="Triangular",IF(G491&lt;(Supuestos!$E$10-Supuestos!$D$10)/(Supuestos!$F$10-Supuestos!$D$10),Supuestos!$D$10+SQRT(G491*(Supuestos!$F$10-Supuestos!$D$10)*(Supuestos!$E$10-Supuestos!$D$10)),Supuestos!$F$10-SQRT((1-G491)*(Supuestos!$F$10-Supuestos!$D$10)*(Supuestos!$F$10-Supuestos!$E$10))),IF(Supuestos!$C$10="Uniforme",Supuestos!$D$10+G491*(Supuestos!$E$10-Supuestos!$D$10),IF(Supuestos!$C$10="Lognormal",LOGINV(G491,LN(Supuestos!$D$10)-LN(1+Supuestos!$E$10^2/Supuestos!$D$10^2)/2,SQRT(LN(1+Supuestos!$E$10^2/Supuestos!$D$10^2))),Supuestos!$D$10))))))</f>
        <v/>
      </c>
      <c r="O491" s="31">
        <f>MIN(IF(Supuestos!$H$11="",1E+99,Supuestos!$H$11),MAX(IF(Supuestos!$G$11="",-1E+99,Supuestos!$G$11),IF(Supuestos!$C$11="Normal",NORMINV(H491,Supuestos!$D$11,Supuestos!$E$11),IF(Supuestos!$C$11="Triangular",IF(H491&lt;(Supuestos!$E$11-Supuestos!$D$11)/(Supuestos!$F$11-Supuestos!$D$11),Supuestos!$D$11+SQRT(H491*(Supuestos!$F$11-Supuestos!$D$11)*(Supuestos!$E$11-Supuestos!$D$11)),Supuestos!$F$11-SQRT((1-H491)*(Supuestos!$F$11-Supuestos!$D$11)*(Supuestos!$F$11-Supuestos!$E$11))),IF(Supuestos!$C$11="Uniforme",Supuestos!$D$11+H491*(Supuestos!$E$11-Supuestos!$D$11),IF(Supuestos!$C$11="Lognormal",LOGINV(H491,LN(Supuestos!$D$11)-LN(1+Supuestos!$E$11^2/Supuestos!$D$11^2)/2,SQRT(LN(1+Supuestos!$E$11^2/Supuestos!$D$11^2))),Supuestos!$D$11))))))</f>
        <v/>
      </c>
      <c r="P491" s="33">
        <f>-I491</f>
        <v/>
      </c>
      <c r="Q491" s="33">
        <f>$J491*(1+$K491)^(1-1)*(1-$L491)*(1-$M491)</f>
        <v/>
      </c>
      <c r="R491" s="33">
        <f>$J491*(1+$K491)^(2-1)*(1-$L491)*(1-$M491)</f>
        <v/>
      </c>
      <c r="S491" s="33">
        <f>$J491*(1+$K491)^(3-1)*(1-$L491)*(1-$M491)</f>
        <v/>
      </c>
      <c r="T491" s="33">
        <f>$J491*(1+$K491)^(4-1)*(1-$L491)*(1-$M491)</f>
        <v/>
      </c>
      <c r="U491" s="33">
        <f>$J491*(1+$K491)^(5-1)*(1-$L491)*(1-$M491)+$O491</f>
        <v/>
      </c>
      <c r="V491" s="33">
        <f>P491+NPV($N491,Q491:U491)</f>
        <v/>
      </c>
      <c r="W491" s="32">
        <f>IFERROR(IRR(P491:U491,0.1),"")</f>
        <v/>
      </c>
    </row>
    <row r="492">
      <c r="A492" s="14" t="n">
        <v>488</v>
      </c>
      <c r="B492" s="30">
        <f>RAND()*(1-2E-6)+1E-6</f>
        <v/>
      </c>
      <c r="C492" s="30">
        <f>RAND()*(1-2E-6)+1E-6</f>
        <v/>
      </c>
      <c r="D492" s="30">
        <f>RAND()*(1-2E-6)+1E-6</f>
        <v/>
      </c>
      <c r="E492" s="30">
        <f>RAND()*(1-2E-6)+1E-6</f>
        <v/>
      </c>
      <c r="F492" s="30">
        <f>RAND()*(1-2E-6)+1E-6</f>
        <v/>
      </c>
      <c r="G492" s="30">
        <f>RAND()*(1-2E-6)+1E-6</f>
        <v/>
      </c>
      <c r="H492" s="30">
        <f>RAND()*(1-2E-6)+1E-6</f>
        <v/>
      </c>
      <c r="I492" s="31">
        <f>MIN(IF(Supuestos!$H$5="",1E+99,Supuestos!$H$5),MAX(IF(Supuestos!$G$5="",-1E+99,Supuestos!$G$5),IF(Supuestos!$C$5="Normal",NORMINV(B492,Supuestos!$D$5,Supuestos!$E$5),IF(Supuestos!$C$5="Triangular",IF(B492&lt;(Supuestos!$E$5-Supuestos!$D$5)/(Supuestos!$F$5-Supuestos!$D$5),Supuestos!$D$5+SQRT(B492*(Supuestos!$F$5-Supuestos!$D$5)*(Supuestos!$E$5-Supuestos!$D$5)),Supuestos!$F$5-SQRT((1-B492)*(Supuestos!$F$5-Supuestos!$D$5)*(Supuestos!$F$5-Supuestos!$E$5))),IF(Supuestos!$C$5="Uniforme",Supuestos!$D$5+B492*(Supuestos!$E$5-Supuestos!$D$5),IF(Supuestos!$C$5="Lognormal",LOGINV(B492,LN(Supuestos!$D$5)-LN(1+Supuestos!$E$5^2/Supuestos!$D$5^2)/2,SQRT(LN(1+Supuestos!$E$5^2/Supuestos!$D$5^2))),Supuestos!$D$5))))))</f>
        <v/>
      </c>
      <c r="J492" s="31">
        <f>MIN(IF(Supuestos!$H$6="",1E+99,Supuestos!$H$6),MAX(IF(Supuestos!$G$6="",-1E+99,Supuestos!$G$6),IF(Supuestos!$C$6="Normal",NORMINV(C492,Supuestos!$D$6,Supuestos!$E$6),IF(Supuestos!$C$6="Triangular",IF(C492&lt;(Supuestos!$E$6-Supuestos!$D$6)/(Supuestos!$F$6-Supuestos!$D$6),Supuestos!$D$6+SQRT(C492*(Supuestos!$F$6-Supuestos!$D$6)*(Supuestos!$E$6-Supuestos!$D$6)),Supuestos!$F$6-SQRT((1-C492)*(Supuestos!$F$6-Supuestos!$D$6)*(Supuestos!$F$6-Supuestos!$E$6))),IF(Supuestos!$C$6="Uniforme",Supuestos!$D$6+C492*(Supuestos!$E$6-Supuestos!$D$6),IF(Supuestos!$C$6="Lognormal",LOGINV(C492,LN(Supuestos!$D$6)-LN(1+Supuestos!$E$6^2/Supuestos!$D$6^2)/2,SQRT(LN(1+Supuestos!$E$6^2/Supuestos!$D$6^2))),Supuestos!$D$6))))))</f>
        <v/>
      </c>
      <c r="K492" s="32">
        <f>MIN(IF(Supuestos!$H$7="",1E+99,Supuestos!$H$7),MAX(IF(Supuestos!$G$7="",-1E+99,Supuestos!$G$7),IF(Supuestos!$C$7="Normal",NORMINV(D492,Supuestos!$D$7,Supuestos!$E$7),IF(Supuestos!$C$7="Triangular",IF(D492&lt;(Supuestos!$E$7-Supuestos!$D$7)/(Supuestos!$F$7-Supuestos!$D$7),Supuestos!$D$7+SQRT(D492*(Supuestos!$F$7-Supuestos!$D$7)*(Supuestos!$E$7-Supuestos!$D$7)),Supuestos!$F$7-SQRT((1-D492)*(Supuestos!$F$7-Supuestos!$D$7)*(Supuestos!$F$7-Supuestos!$E$7))),IF(Supuestos!$C$7="Uniforme",Supuestos!$D$7+D492*(Supuestos!$E$7-Supuestos!$D$7),IF(Supuestos!$C$7="Lognormal",LOGINV(D492,LN(Supuestos!$D$7)-LN(1+Supuestos!$E$7^2/Supuestos!$D$7^2)/2,SQRT(LN(1+Supuestos!$E$7^2/Supuestos!$D$7^2))),Supuestos!$D$7))))))</f>
        <v/>
      </c>
      <c r="L492" s="32">
        <f>MIN(IF(Supuestos!$H$8="",1E+99,Supuestos!$H$8),MAX(IF(Supuestos!$G$8="",-1E+99,Supuestos!$G$8),IF(Supuestos!$C$8="Normal",NORMINV(E492,Supuestos!$D$8,Supuestos!$E$8),IF(Supuestos!$C$8="Triangular",IF(E492&lt;(Supuestos!$E$8-Supuestos!$D$8)/(Supuestos!$F$8-Supuestos!$D$8),Supuestos!$D$8+SQRT(E492*(Supuestos!$F$8-Supuestos!$D$8)*(Supuestos!$E$8-Supuestos!$D$8)),Supuestos!$F$8-SQRT((1-E492)*(Supuestos!$F$8-Supuestos!$D$8)*(Supuestos!$F$8-Supuestos!$E$8))),IF(Supuestos!$C$8="Uniforme",Supuestos!$D$8+E492*(Supuestos!$E$8-Supuestos!$D$8),IF(Supuestos!$C$8="Lognormal",LOGINV(E492,LN(Supuestos!$D$8)-LN(1+Supuestos!$E$8^2/Supuestos!$D$8^2)/2,SQRT(LN(1+Supuestos!$E$8^2/Supuestos!$D$8^2))),Supuestos!$D$8))))))</f>
        <v/>
      </c>
      <c r="M492" s="32">
        <f>MIN(IF(Supuestos!$H$9="",1E+99,Supuestos!$H$9),MAX(IF(Supuestos!$G$9="",-1E+99,Supuestos!$G$9),IF(Supuestos!$C$9="Normal",NORMINV(F492,Supuestos!$D$9,Supuestos!$E$9),IF(Supuestos!$C$9="Triangular",IF(F492&lt;(Supuestos!$E$9-Supuestos!$D$9)/(Supuestos!$F$9-Supuestos!$D$9),Supuestos!$D$9+SQRT(F492*(Supuestos!$F$9-Supuestos!$D$9)*(Supuestos!$E$9-Supuestos!$D$9)),Supuestos!$F$9-SQRT((1-F492)*(Supuestos!$F$9-Supuestos!$D$9)*(Supuestos!$F$9-Supuestos!$E$9))),IF(Supuestos!$C$9="Uniforme",Supuestos!$D$9+F492*(Supuestos!$E$9-Supuestos!$D$9),IF(Supuestos!$C$9="Lognormal",LOGINV(F492,LN(Supuestos!$D$9)-LN(1+Supuestos!$E$9^2/Supuestos!$D$9^2)/2,SQRT(LN(1+Supuestos!$E$9^2/Supuestos!$D$9^2))),Supuestos!$D$9))))))</f>
        <v/>
      </c>
      <c r="N492" s="32">
        <f>MIN(IF(Supuestos!$H$10="",1E+99,Supuestos!$H$10),MAX(IF(Supuestos!$G$10="",-1E+99,Supuestos!$G$10),IF(Supuestos!$C$10="Normal",NORMINV(G492,Supuestos!$D$10,Supuestos!$E$10),IF(Supuestos!$C$10="Triangular",IF(G492&lt;(Supuestos!$E$10-Supuestos!$D$10)/(Supuestos!$F$10-Supuestos!$D$10),Supuestos!$D$10+SQRT(G492*(Supuestos!$F$10-Supuestos!$D$10)*(Supuestos!$E$10-Supuestos!$D$10)),Supuestos!$F$10-SQRT((1-G492)*(Supuestos!$F$10-Supuestos!$D$10)*(Supuestos!$F$10-Supuestos!$E$10))),IF(Supuestos!$C$10="Uniforme",Supuestos!$D$10+G492*(Supuestos!$E$10-Supuestos!$D$10),IF(Supuestos!$C$10="Lognormal",LOGINV(G492,LN(Supuestos!$D$10)-LN(1+Supuestos!$E$10^2/Supuestos!$D$10^2)/2,SQRT(LN(1+Supuestos!$E$10^2/Supuestos!$D$10^2))),Supuestos!$D$10))))))</f>
        <v/>
      </c>
      <c r="O492" s="31">
        <f>MIN(IF(Supuestos!$H$11="",1E+99,Supuestos!$H$11),MAX(IF(Supuestos!$G$11="",-1E+99,Supuestos!$G$11),IF(Supuestos!$C$11="Normal",NORMINV(H492,Supuestos!$D$11,Supuestos!$E$11),IF(Supuestos!$C$11="Triangular",IF(H492&lt;(Supuestos!$E$11-Supuestos!$D$11)/(Supuestos!$F$11-Supuestos!$D$11),Supuestos!$D$11+SQRT(H492*(Supuestos!$F$11-Supuestos!$D$11)*(Supuestos!$E$11-Supuestos!$D$11)),Supuestos!$F$11-SQRT((1-H492)*(Supuestos!$F$11-Supuestos!$D$11)*(Supuestos!$F$11-Supuestos!$E$11))),IF(Supuestos!$C$11="Uniforme",Supuestos!$D$11+H492*(Supuestos!$E$11-Supuestos!$D$11),IF(Supuestos!$C$11="Lognormal",LOGINV(H492,LN(Supuestos!$D$11)-LN(1+Supuestos!$E$11^2/Supuestos!$D$11^2)/2,SQRT(LN(1+Supuestos!$E$11^2/Supuestos!$D$11^2))),Supuestos!$D$11))))))</f>
        <v/>
      </c>
      <c r="P492" s="33">
        <f>-I492</f>
        <v/>
      </c>
      <c r="Q492" s="33">
        <f>$J492*(1+$K492)^(1-1)*(1-$L492)*(1-$M492)</f>
        <v/>
      </c>
      <c r="R492" s="33">
        <f>$J492*(1+$K492)^(2-1)*(1-$L492)*(1-$M492)</f>
        <v/>
      </c>
      <c r="S492" s="33">
        <f>$J492*(1+$K492)^(3-1)*(1-$L492)*(1-$M492)</f>
        <v/>
      </c>
      <c r="T492" s="33">
        <f>$J492*(1+$K492)^(4-1)*(1-$L492)*(1-$M492)</f>
        <v/>
      </c>
      <c r="U492" s="33">
        <f>$J492*(1+$K492)^(5-1)*(1-$L492)*(1-$M492)+$O492</f>
        <v/>
      </c>
      <c r="V492" s="33">
        <f>P492+NPV($N492,Q492:U492)</f>
        <v/>
      </c>
      <c r="W492" s="32">
        <f>IFERROR(IRR(P492:U492,0.1),"")</f>
        <v/>
      </c>
    </row>
    <row r="493">
      <c r="A493" s="14" t="n">
        <v>489</v>
      </c>
      <c r="B493" s="30">
        <f>RAND()*(1-2E-6)+1E-6</f>
        <v/>
      </c>
      <c r="C493" s="30">
        <f>RAND()*(1-2E-6)+1E-6</f>
        <v/>
      </c>
      <c r="D493" s="30">
        <f>RAND()*(1-2E-6)+1E-6</f>
        <v/>
      </c>
      <c r="E493" s="30">
        <f>RAND()*(1-2E-6)+1E-6</f>
        <v/>
      </c>
      <c r="F493" s="30">
        <f>RAND()*(1-2E-6)+1E-6</f>
        <v/>
      </c>
      <c r="G493" s="30">
        <f>RAND()*(1-2E-6)+1E-6</f>
        <v/>
      </c>
      <c r="H493" s="30">
        <f>RAND()*(1-2E-6)+1E-6</f>
        <v/>
      </c>
      <c r="I493" s="31">
        <f>MIN(IF(Supuestos!$H$5="",1E+99,Supuestos!$H$5),MAX(IF(Supuestos!$G$5="",-1E+99,Supuestos!$G$5),IF(Supuestos!$C$5="Normal",NORMINV(B493,Supuestos!$D$5,Supuestos!$E$5),IF(Supuestos!$C$5="Triangular",IF(B493&lt;(Supuestos!$E$5-Supuestos!$D$5)/(Supuestos!$F$5-Supuestos!$D$5),Supuestos!$D$5+SQRT(B493*(Supuestos!$F$5-Supuestos!$D$5)*(Supuestos!$E$5-Supuestos!$D$5)),Supuestos!$F$5-SQRT((1-B493)*(Supuestos!$F$5-Supuestos!$D$5)*(Supuestos!$F$5-Supuestos!$E$5))),IF(Supuestos!$C$5="Uniforme",Supuestos!$D$5+B493*(Supuestos!$E$5-Supuestos!$D$5),IF(Supuestos!$C$5="Lognormal",LOGINV(B493,LN(Supuestos!$D$5)-LN(1+Supuestos!$E$5^2/Supuestos!$D$5^2)/2,SQRT(LN(1+Supuestos!$E$5^2/Supuestos!$D$5^2))),Supuestos!$D$5))))))</f>
        <v/>
      </c>
      <c r="J493" s="31">
        <f>MIN(IF(Supuestos!$H$6="",1E+99,Supuestos!$H$6),MAX(IF(Supuestos!$G$6="",-1E+99,Supuestos!$G$6),IF(Supuestos!$C$6="Normal",NORMINV(C493,Supuestos!$D$6,Supuestos!$E$6),IF(Supuestos!$C$6="Triangular",IF(C493&lt;(Supuestos!$E$6-Supuestos!$D$6)/(Supuestos!$F$6-Supuestos!$D$6),Supuestos!$D$6+SQRT(C493*(Supuestos!$F$6-Supuestos!$D$6)*(Supuestos!$E$6-Supuestos!$D$6)),Supuestos!$F$6-SQRT((1-C493)*(Supuestos!$F$6-Supuestos!$D$6)*(Supuestos!$F$6-Supuestos!$E$6))),IF(Supuestos!$C$6="Uniforme",Supuestos!$D$6+C493*(Supuestos!$E$6-Supuestos!$D$6),IF(Supuestos!$C$6="Lognormal",LOGINV(C493,LN(Supuestos!$D$6)-LN(1+Supuestos!$E$6^2/Supuestos!$D$6^2)/2,SQRT(LN(1+Supuestos!$E$6^2/Supuestos!$D$6^2))),Supuestos!$D$6))))))</f>
        <v/>
      </c>
      <c r="K493" s="32">
        <f>MIN(IF(Supuestos!$H$7="",1E+99,Supuestos!$H$7),MAX(IF(Supuestos!$G$7="",-1E+99,Supuestos!$G$7),IF(Supuestos!$C$7="Normal",NORMINV(D493,Supuestos!$D$7,Supuestos!$E$7),IF(Supuestos!$C$7="Triangular",IF(D493&lt;(Supuestos!$E$7-Supuestos!$D$7)/(Supuestos!$F$7-Supuestos!$D$7),Supuestos!$D$7+SQRT(D493*(Supuestos!$F$7-Supuestos!$D$7)*(Supuestos!$E$7-Supuestos!$D$7)),Supuestos!$F$7-SQRT((1-D493)*(Supuestos!$F$7-Supuestos!$D$7)*(Supuestos!$F$7-Supuestos!$E$7))),IF(Supuestos!$C$7="Uniforme",Supuestos!$D$7+D493*(Supuestos!$E$7-Supuestos!$D$7),IF(Supuestos!$C$7="Lognormal",LOGINV(D493,LN(Supuestos!$D$7)-LN(1+Supuestos!$E$7^2/Supuestos!$D$7^2)/2,SQRT(LN(1+Supuestos!$E$7^2/Supuestos!$D$7^2))),Supuestos!$D$7))))))</f>
        <v/>
      </c>
      <c r="L493" s="32">
        <f>MIN(IF(Supuestos!$H$8="",1E+99,Supuestos!$H$8),MAX(IF(Supuestos!$G$8="",-1E+99,Supuestos!$G$8),IF(Supuestos!$C$8="Normal",NORMINV(E493,Supuestos!$D$8,Supuestos!$E$8),IF(Supuestos!$C$8="Triangular",IF(E493&lt;(Supuestos!$E$8-Supuestos!$D$8)/(Supuestos!$F$8-Supuestos!$D$8),Supuestos!$D$8+SQRT(E493*(Supuestos!$F$8-Supuestos!$D$8)*(Supuestos!$E$8-Supuestos!$D$8)),Supuestos!$F$8-SQRT((1-E493)*(Supuestos!$F$8-Supuestos!$D$8)*(Supuestos!$F$8-Supuestos!$E$8))),IF(Supuestos!$C$8="Uniforme",Supuestos!$D$8+E493*(Supuestos!$E$8-Supuestos!$D$8),IF(Supuestos!$C$8="Lognormal",LOGINV(E493,LN(Supuestos!$D$8)-LN(1+Supuestos!$E$8^2/Supuestos!$D$8^2)/2,SQRT(LN(1+Supuestos!$E$8^2/Supuestos!$D$8^2))),Supuestos!$D$8))))))</f>
        <v/>
      </c>
      <c r="M493" s="32">
        <f>MIN(IF(Supuestos!$H$9="",1E+99,Supuestos!$H$9),MAX(IF(Supuestos!$G$9="",-1E+99,Supuestos!$G$9),IF(Supuestos!$C$9="Normal",NORMINV(F493,Supuestos!$D$9,Supuestos!$E$9),IF(Supuestos!$C$9="Triangular",IF(F493&lt;(Supuestos!$E$9-Supuestos!$D$9)/(Supuestos!$F$9-Supuestos!$D$9),Supuestos!$D$9+SQRT(F493*(Supuestos!$F$9-Supuestos!$D$9)*(Supuestos!$E$9-Supuestos!$D$9)),Supuestos!$F$9-SQRT((1-F493)*(Supuestos!$F$9-Supuestos!$D$9)*(Supuestos!$F$9-Supuestos!$E$9))),IF(Supuestos!$C$9="Uniforme",Supuestos!$D$9+F493*(Supuestos!$E$9-Supuestos!$D$9),IF(Supuestos!$C$9="Lognormal",LOGINV(F493,LN(Supuestos!$D$9)-LN(1+Supuestos!$E$9^2/Supuestos!$D$9^2)/2,SQRT(LN(1+Supuestos!$E$9^2/Supuestos!$D$9^2))),Supuestos!$D$9))))))</f>
        <v/>
      </c>
      <c r="N493" s="32">
        <f>MIN(IF(Supuestos!$H$10="",1E+99,Supuestos!$H$10),MAX(IF(Supuestos!$G$10="",-1E+99,Supuestos!$G$10),IF(Supuestos!$C$10="Normal",NORMINV(G493,Supuestos!$D$10,Supuestos!$E$10),IF(Supuestos!$C$10="Triangular",IF(G493&lt;(Supuestos!$E$10-Supuestos!$D$10)/(Supuestos!$F$10-Supuestos!$D$10),Supuestos!$D$10+SQRT(G493*(Supuestos!$F$10-Supuestos!$D$10)*(Supuestos!$E$10-Supuestos!$D$10)),Supuestos!$F$10-SQRT((1-G493)*(Supuestos!$F$10-Supuestos!$D$10)*(Supuestos!$F$10-Supuestos!$E$10))),IF(Supuestos!$C$10="Uniforme",Supuestos!$D$10+G493*(Supuestos!$E$10-Supuestos!$D$10),IF(Supuestos!$C$10="Lognormal",LOGINV(G493,LN(Supuestos!$D$10)-LN(1+Supuestos!$E$10^2/Supuestos!$D$10^2)/2,SQRT(LN(1+Supuestos!$E$10^2/Supuestos!$D$10^2))),Supuestos!$D$10))))))</f>
        <v/>
      </c>
      <c r="O493" s="31">
        <f>MIN(IF(Supuestos!$H$11="",1E+99,Supuestos!$H$11),MAX(IF(Supuestos!$G$11="",-1E+99,Supuestos!$G$11),IF(Supuestos!$C$11="Normal",NORMINV(H493,Supuestos!$D$11,Supuestos!$E$11),IF(Supuestos!$C$11="Triangular",IF(H493&lt;(Supuestos!$E$11-Supuestos!$D$11)/(Supuestos!$F$11-Supuestos!$D$11),Supuestos!$D$11+SQRT(H493*(Supuestos!$F$11-Supuestos!$D$11)*(Supuestos!$E$11-Supuestos!$D$11)),Supuestos!$F$11-SQRT((1-H493)*(Supuestos!$F$11-Supuestos!$D$11)*(Supuestos!$F$11-Supuestos!$E$11))),IF(Supuestos!$C$11="Uniforme",Supuestos!$D$11+H493*(Supuestos!$E$11-Supuestos!$D$11),IF(Supuestos!$C$11="Lognormal",LOGINV(H493,LN(Supuestos!$D$11)-LN(1+Supuestos!$E$11^2/Supuestos!$D$11^2)/2,SQRT(LN(1+Supuestos!$E$11^2/Supuestos!$D$11^2))),Supuestos!$D$11))))))</f>
        <v/>
      </c>
      <c r="P493" s="33">
        <f>-I493</f>
        <v/>
      </c>
      <c r="Q493" s="33">
        <f>$J493*(1+$K493)^(1-1)*(1-$L493)*(1-$M493)</f>
        <v/>
      </c>
      <c r="R493" s="33">
        <f>$J493*(1+$K493)^(2-1)*(1-$L493)*(1-$M493)</f>
        <v/>
      </c>
      <c r="S493" s="33">
        <f>$J493*(1+$K493)^(3-1)*(1-$L493)*(1-$M493)</f>
        <v/>
      </c>
      <c r="T493" s="33">
        <f>$J493*(1+$K493)^(4-1)*(1-$L493)*(1-$M493)</f>
        <v/>
      </c>
      <c r="U493" s="33">
        <f>$J493*(1+$K493)^(5-1)*(1-$L493)*(1-$M493)+$O493</f>
        <v/>
      </c>
      <c r="V493" s="33">
        <f>P493+NPV($N493,Q493:U493)</f>
        <v/>
      </c>
      <c r="W493" s="32">
        <f>IFERROR(IRR(P493:U493,0.1),"")</f>
        <v/>
      </c>
    </row>
    <row r="494">
      <c r="A494" s="14" t="n">
        <v>490</v>
      </c>
      <c r="B494" s="30">
        <f>RAND()*(1-2E-6)+1E-6</f>
        <v/>
      </c>
      <c r="C494" s="30">
        <f>RAND()*(1-2E-6)+1E-6</f>
        <v/>
      </c>
      <c r="D494" s="30">
        <f>RAND()*(1-2E-6)+1E-6</f>
        <v/>
      </c>
      <c r="E494" s="30">
        <f>RAND()*(1-2E-6)+1E-6</f>
        <v/>
      </c>
      <c r="F494" s="30">
        <f>RAND()*(1-2E-6)+1E-6</f>
        <v/>
      </c>
      <c r="G494" s="30">
        <f>RAND()*(1-2E-6)+1E-6</f>
        <v/>
      </c>
      <c r="H494" s="30">
        <f>RAND()*(1-2E-6)+1E-6</f>
        <v/>
      </c>
      <c r="I494" s="31">
        <f>MIN(IF(Supuestos!$H$5="",1E+99,Supuestos!$H$5),MAX(IF(Supuestos!$G$5="",-1E+99,Supuestos!$G$5),IF(Supuestos!$C$5="Normal",NORMINV(B494,Supuestos!$D$5,Supuestos!$E$5),IF(Supuestos!$C$5="Triangular",IF(B494&lt;(Supuestos!$E$5-Supuestos!$D$5)/(Supuestos!$F$5-Supuestos!$D$5),Supuestos!$D$5+SQRT(B494*(Supuestos!$F$5-Supuestos!$D$5)*(Supuestos!$E$5-Supuestos!$D$5)),Supuestos!$F$5-SQRT((1-B494)*(Supuestos!$F$5-Supuestos!$D$5)*(Supuestos!$F$5-Supuestos!$E$5))),IF(Supuestos!$C$5="Uniforme",Supuestos!$D$5+B494*(Supuestos!$E$5-Supuestos!$D$5),IF(Supuestos!$C$5="Lognormal",LOGINV(B494,LN(Supuestos!$D$5)-LN(1+Supuestos!$E$5^2/Supuestos!$D$5^2)/2,SQRT(LN(1+Supuestos!$E$5^2/Supuestos!$D$5^2))),Supuestos!$D$5))))))</f>
        <v/>
      </c>
      <c r="J494" s="31">
        <f>MIN(IF(Supuestos!$H$6="",1E+99,Supuestos!$H$6),MAX(IF(Supuestos!$G$6="",-1E+99,Supuestos!$G$6),IF(Supuestos!$C$6="Normal",NORMINV(C494,Supuestos!$D$6,Supuestos!$E$6),IF(Supuestos!$C$6="Triangular",IF(C494&lt;(Supuestos!$E$6-Supuestos!$D$6)/(Supuestos!$F$6-Supuestos!$D$6),Supuestos!$D$6+SQRT(C494*(Supuestos!$F$6-Supuestos!$D$6)*(Supuestos!$E$6-Supuestos!$D$6)),Supuestos!$F$6-SQRT((1-C494)*(Supuestos!$F$6-Supuestos!$D$6)*(Supuestos!$F$6-Supuestos!$E$6))),IF(Supuestos!$C$6="Uniforme",Supuestos!$D$6+C494*(Supuestos!$E$6-Supuestos!$D$6),IF(Supuestos!$C$6="Lognormal",LOGINV(C494,LN(Supuestos!$D$6)-LN(1+Supuestos!$E$6^2/Supuestos!$D$6^2)/2,SQRT(LN(1+Supuestos!$E$6^2/Supuestos!$D$6^2))),Supuestos!$D$6))))))</f>
        <v/>
      </c>
      <c r="K494" s="32">
        <f>MIN(IF(Supuestos!$H$7="",1E+99,Supuestos!$H$7),MAX(IF(Supuestos!$G$7="",-1E+99,Supuestos!$G$7),IF(Supuestos!$C$7="Normal",NORMINV(D494,Supuestos!$D$7,Supuestos!$E$7),IF(Supuestos!$C$7="Triangular",IF(D494&lt;(Supuestos!$E$7-Supuestos!$D$7)/(Supuestos!$F$7-Supuestos!$D$7),Supuestos!$D$7+SQRT(D494*(Supuestos!$F$7-Supuestos!$D$7)*(Supuestos!$E$7-Supuestos!$D$7)),Supuestos!$F$7-SQRT((1-D494)*(Supuestos!$F$7-Supuestos!$D$7)*(Supuestos!$F$7-Supuestos!$E$7))),IF(Supuestos!$C$7="Uniforme",Supuestos!$D$7+D494*(Supuestos!$E$7-Supuestos!$D$7),IF(Supuestos!$C$7="Lognormal",LOGINV(D494,LN(Supuestos!$D$7)-LN(1+Supuestos!$E$7^2/Supuestos!$D$7^2)/2,SQRT(LN(1+Supuestos!$E$7^2/Supuestos!$D$7^2))),Supuestos!$D$7))))))</f>
        <v/>
      </c>
      <c r="L494" s="32">
        <f>MIN(IF(Supuestos!$H$8="",1E+99,Supuestos!$H$8),MAX(IF(Supuestos!$G$8="",-1E+99,Supuestos!$G$8),IF(Supuestos!$C$8="Normal",NORMINV(E494,Supuestos!$D$8,Supuestos!$E$8),IF(Supuestos!$C$8="Triangular",IF(E494&lt;(Supuestos!$E$8-Supuestos!$D$8)/(Supuestos!$F$8-Supuestos!$D$8),Supuestos!$D$8+SQRT(E494*(Supuestos!$F$8-Supuestos!$D$8)*(Supuestos!$E$8-Supuestos!$D$8)),Supuestos!$F$8-SQRT((1-E494)*(Supuestos!$F$8-Supuestos!$D$8)*(Supuestos!$F$8-Supuestos!$E$8))),IF(Supuestos!$C$8="Uniforme",Supuestos!$D$8+E494*(Supuestos!$E$8-Supuestos!$D$8),IF(Supuestos!$C$8="Lognormal",LOGINV(E494,LN(Supuestos!$D$8)-LN(1+Supuestos!$E$8^2/Supuestos!$D$8^2)/2,SQRT(LN(1+Supuestos!$E$8^2/Supuestos!$D$8^2))),Supuestos!$D$8))))))</f>
        <v/>
      </c>
      <c r="M494" s="32">
        <f>MIN(IF(Supuestos!$H$9="",1E+99,Supuestos!$H$9),MAX(IF(Supuestos!$G$9="",-1E+99,Supuestos!$G$9),IF(Supuestos!$C$9="Normal",NORMINV(F494,Supuestos!$D$9,Supuestos!$E$9),IF(Supuestos!$C$9="Triangular",IF(F494&lt;(Supuestos!$E$9-Supuestos!$D$9)/(Supuestos!$F$9-Supuestos!$D$9),Supuestos!$D$9+SQRT(F494*(Supuestos!$F$9-Supuestos!$D$9)*(Supuestos!$E$9-Supuestos!$D$9)),Supuestos!$F$9-SQRT((1-F494)*(Supuestos!$F$9-Supuestos!$D$9)*(Supuestos!$F$9-Supuestos!$E$9))),IF(Supuestos!$C$9="Uniforme",Supuestos!$D$9+F494*(Supuestos!$E$9-Supuestos!$D$9),IF(Supuestos!$C$9="Lognormal",LOGINV(F494,LN(Supuestos!$D$9)-LN(1+Supuestos!$E$9^2/Supuestos!$D$9^2)/2,SQRT(LN(1+Supuestos!$E$9^2/Supuestos!$D$9^2))),Supuestos!$D$9))))))</f>
        <v/>
      </c>
      <c r="N494" s="32">
        <f>MIN(IF(Supuestos!$H$10="",1E+99,Supuestos!$H$10),MAX(IF(Supuestos!$G$10="",-1E+99,Supuestos!$G$10),IF(Supuestos!$C$10="Normal",NORMINV(G494,Supuestos!$D$10,Supuestos!$E$10),IF(Supuestos!$C$10="Triangular",IF(G494&lt;(Supuestos!$E$10-Supuestos!$D$10)/(Supuestos!$F$10-Supuestos!$D$10),Supuestos!$D$10+SQRT(G494*(Supuestos!$F$10-Supuestos!$D$10)*(Supuestos!$E$10-Supuestos!$D$10)),Supuestos!$F$10-SQRT((1-G494)*(Supuestos!$F$10-Supuestos!$D$10)*(Supuestos!$F$10-Supuestos!$E$10))),IF(Supuestos!$C$10="Uniforme",Supuestos!$D$10+G494*(Supuestos!$E$10-Supuestos!$D$10),IF(Supuestos!$C$10="Lognormal",LOGINV(G494,LN(Supuestos!$D$10)-LN(1+Supuestos!$E$10^2/Supuestos!$D$10^2)/2,SQRT(LN(1+Supuestos!$E$10^2/Supuestos!$D$10^2))),Supuestos!$D$10))))))</f>
        <v/>
      </c>
      <c r="O494" s="31">
        <f>MIN(IF(Supuestos!$H$11="",1E+99,Supuestos!$H$11),MAX(IF(Supuestos!$G$11="",-1E+99,Supuestos!$G$11),IF(Supuestos!$C$11="Normal",NORMINV(H494,Supuestos!$D$11,Supuestos!$E$11),IF(Supuestos!$C$11="Triangular",IF(H494&lt;(Supuestos!$E$11-Supuestos!$D$11)/(Supuestos!$F$11-Supuestos!$D$11),Supuestos!$D$11+SQRT(H494*(Supuestos!$F$11-Supuestos!$D$11)*(Supuestos!$E$11-Supuestos!$D$11)),Supuestos!$F$11-SQRT((1-H494)*(Supuestos!$F$11-Supuestos!$D$11)*(Supuestos!$F$11-Supuestos!$E$11))),IF(Supuestos!$C$11="Uniforme",Supuestos!$D$11+H494*(Supuestos!$E$11-Supuestos!$D$11),IF(Supuestos!$C$11="Lognormal",LOGINV(H494,LN(Supuestos!$D$11)-LN(1+Supuestos!$E$11^2/Supuestos!$D$11^2)/2,SQRT(LN(1+Supuestos!$E$11^2/Supuestos!$D$11^2))),Supuestos!$D$11))))))</f>
        <v/>
      </c>
      <c r="P494" s="33">
        <f>-I494</f>
        <v/>
      </c>
      <c r="Q494" s="33">
        <f>$J494*(1+$K494)^(1-1)*(1-$L494)*(1-$M494)</f>
        <v/>
      </c>
      <c r="R494" s="33">
        <f>$J494*(1+$K494)^(2-1)*(1-$L494)*(1-$M494)</f>
        <v/>
      </c>
      <c r="S494" s="33">
        <f>$J494*(1+$K494)^(3-1)*(1-$L494)*(1-$M494)</f>
        <v/>
      </c>
      <c r="T494" s="33">
        <f>$J494*(1+$K494)^(4-1)*(1-$L494)*(1-$M494)</f>
        <v/>
      </c>
      <c r="U494" s="33">
        <f>$J494*(1+$K494)^(5-1)*(1-$L494)*(1-$M494)+$O494</f>
        <v/>
      </c>
      <c r="V494" s="33">
        <f>P494+NPV($N494,Q494:U494)</f>
        <v/>
      </c>
      <c r="W494" s="32">
        <f>IFERROR(IRR(P494:U494,0.1),"")</f>
        <v/>
      </c>
    </row>
    <row r="495">
      <c r="A495" s="14" t="n">
        <v>491</v>
      </c>
      <c r="B495" s="30">
        <f>RAND()*(1-2E-6)+1E-6</f>
        <v/>
      </c>
      <c r="C495" s="30">
        <f>RAND()*(1-2E-6)+1E-6</f>
        <v/>
      </c>
      <c r="D495" s="30">
        <f>RAND()*(1-2E-6)+1E-6</f>
        <v/>
      </c>
      <c r="E495" s="30">
        <f>RAND()*(1-2E-6)+1E-6</f>
        <v/>
      </c>
      <c r="F495" s="30">
        <f>RAND()*(1-2E-6)+1E-6</f>
        <v/>
      </c>
      <c r="G495" s="30">
        <f>RAND()*(1-2E-6)+1E-6</f>
        <v/>
      </c>
      <c r="H495" s="30">
        <f>RAND()*(1-2E-6)+1E-6</f>
        <v/>
      </c>
      <c r="I495" s="31">
        <f>MIN(IF(Supuestos!$H$5="",1E+99,Supuestos!$H$5),MAX(IF(Supuestos!$G$5="",-1E+99,Supuestos!$G$5),IF(Supuestos!$C$5="Normal",NORMINV(B495,Supuestos!$D$5,Supuestos!$E$5),IF(Supuestos!$C$5="Triangular",IF(B495&lt;(Supuestos!$E$5-Supuestos!$D$5)/(Supuestos!$F$5-Supuestos!$D$5),Supuestos!$D$5+SQRT(B495*(Supuestos!$F$5-Supuestos!$D$5)*(Supuestos!$E$5-Supuestos!$D$5)),Supuestos!$F$5-SQRT((1-B495)*(Supuestos!$F$5-Supuestos!$D$5)*(Supuestos!$F$5-Supuestos!$E$5))),IF(Supuestos!$C$5="Uniforme",Supuestos!$D$5+B495*(Supuestos!$E$5-Supuestos!$D$5),IF(Supuestos!$C$5="Lognormal",LOGINV(B495,LN(Supuestos!$D$5)-LN(1+Supuestos!$E$5^2/Supuestos!$D$5^2)/2,SQRT(LN(1+Supuestos!$E$5^2/Supuestos!$D$5^2))),Supuestos!$D$5))))))</f>
        <v/>
      </c>
      <c r="J495" s="31">
        <f>MIN(IF(Supuestos!$H$6="",1E+99,Supuestos!$H$6),MAX(IF(Supuestos!$G$6="",-1E+99,Supuestos!$G$6),IF(Supuestos!$C$6="Normal",NORMINV(C495,Supuestos!$D$6,Supuestos!$E$6),IF(Supuestos!$C$6="Triangular",IF(C495&lt;(Supuestos!$E$6-Supuestos!$D$6)/(Supuestos!$F$6-Supuestos!$D$6),Supuestos!$D$6+SQRT(C495*(Supuestos!$F$6-Supuestos!$D$6)*(Supuestos!$E$6-Supuestos!$D$6)),Supuestos!$F$6-SQRT((1-C495)*(Supuestos!$F$6-Supuestos!$D$6)*(Supuestos!$F$6-Supuestos!$E$6))),IF(Supuestos!$C$6="Uniforme",Supuestos!$D$6+C495*(Supuestos!$E$6-Supuestos!$D$6),IF(Supuestos!$C$6="Lognormal",LOGINV(C495,LN(Supuestos!$D$6)-LN(1+Supuestos!$E$6^2/Supuestos!$D$6^2)/2,SQRT(LN(1+Supuestos!$E$6^2/Supuestos!$D$6^2))),Supuestos!$D$6))))))</f>
        <v/>
      </c>
      <c r="K495" s="32">
        <f>MIN(IF(Supuestos!$H$7="",1E+99,Supuestos!$H$7),MAX(IF(Supuestos!$G$7="",-1E+99,Supuestos!$G$7),IF(Supuestos!$C$7="Normal",NORMINV(D495,Supuestos!$D$7,Supuestos!$E$7),IF(Supuestos!$C$7="Triangular",IF(D495&lt;(Supuestos!$E$7-Supuestos!$D$7)/(Supuestos!$F$7-Supuestos!$D$7),Supuestos!$D$7+SQRT(D495*(Supuestos!$F$7-Supuestos!$D$7)*(Supuestos!$E$7-Supuestos!$D$7)),Supuestos!$F$7-SQRT((1-D495)*(Supuestos!$F$7-Supuestos!$D$7)*(Supuestos!$F$7-Supuestos!$E$7))),IF(Supuestos!$C$7="Uniforme",Supuestos!$D$7+D495*(Supuestos!$E$7-Supuestos!$D$7),IF(Supuestos!$C$7="Lognormal",LOGINV(D495,LN(Supuestos!$D$7)-LN(1+Supuestos!$E$7^2/Supuestos!$D$7^2)/2,SQRT(LN(1+Supuestos!$E$7^2/Supuestos!$D$7^2))),Supuestos!$D$7))))))</f>
        <v/>
      </c>
      <c r="L495" s="32">
        <f>MIN(IF(Supuestos!$H$8="",1E+99,Supuestos!$H$8),MAX(IF(Supuestos!$G$8="",-1E+99,Supuestos!$G$8),IF(Supuestos!$C$8="Normal",NORMINV(E495,Supuestos!$D$8,Supuestos!$E$8),IF(Supuestos!$C$8="Triangular",IF(E495&lt;(Supuestos!$E$8-Supuestos!$D$8)/(Supuestos!$F$8-Supuestos!$D$8),Supuestos!$D$8+SQRT(E495*(Supuestos!$F$8-Supuestos!$D$8)*(Supuestos!$E$8-Supuestos!$D$8)),Supuestos!$F$8-SQRT((1-E495)*(Supuestos!$F$8-Supuestos!$D$8)*(Supuestos!$F$8-Supuestos!$E$8))),IF(Supuestos!$C$8="Uniforme",Supuestos!$D$8+E495*(Supuestos!$E$8-Supuestos!$D$8),IF(Supuestos!$C$8="Lognormal",LOGINV(E495,LN(Supuestos!$D$8)-LN(1+Supuestos!$E$8^2/Supuestos!$D$8^2)/2,SQRT(LN(1+Supuestos!$E$8^2/Supuestos!$D$8^2))),Supuestos!$D$8))))))</f>
        <v/>
      </c>
      <c r="M495" s="32">
        <f>MIN(IF(Supuestos!$H$9="",1E+99,Supuestos!$H$9),MAX(IF(Supuestos!$G$9="",-1E+99,Supuestos!$G$9),IF(Supuestos!$C$9="Normal",NORMINV(F495,Supuestos!$D$9,Supuestos!$E$9),IF(Supuestos!$C$9="Triangular",IF(F495&lt;(Supuestos!$E$9-Supuestos!$D$9)/(Supuestos!$F$9-Supuestos!$D$9),Supuestos!$D$9+SQRT(F495*(Supuestos!$F$9-Supuestos!$D$9)*(Supuestos!$E$9-Supuestos!$D$9)),Supuestos!$F$9-SQRT((1-F495)*(Supuestos!$F$9-Supuestos!$D$9)*(Supuestos!$F$9-Supuestos!$E$9))),IF(Supuestos!$C$9="Uniforme",Supuestos!$D$9+F495*(Supuestos!$E$9-Supuestos!$D$9),IF(Supuestos!$C$9="Lognormal",LOGINV(F495,LN(Supuestos!$D$9)-LN(1+Supuestos!$E$9^2/Supuestos!$D$9^2)/2,SQRT(LN(1+Supuestos!$E$9^2/Supuestos!$D$9^2))),Supuestos!$D$9))))))</f>
        <v/>
      </c>
      <c r="N495" s="32">
        <f>MIN(IF(Supuestos!$H$10="",1E+99,Supuestos!$H$10),MAX(IF(Supuestos!$G$10="",-1E+99,Supuestos!$G$10),IF(Supuestos!$C$10="Normal",NORMINV(G495,Supuestos!$D$10,Supuestos!$E$10),IF(Supuestos!$C$10="Triangular",IF(G495&lt;(Supuestos!$E$10-Supuestos!$D$10)/(Supuestos!$F$10-Supuestos!$D$10),Supuestos!$D$10+SQRT(G495*(Supuestos!$F$10-Supuestos!$D$10)*(Supuestos!$E$10-Supuestos!$D$10)),Supuestos!$F$10-SQRT((1-G495)*(Supuestos!$F$10-Supuestos!$D$10)*(Supuestos!$F$10-Supuestos!$E$10))),IF(Supuestos!$C$10="Uniforme",Supuestos!$D$10+G495*(Supuestos!$E$10-Supuestos!$D$10),IF(Supuestos!$C$10="Lognormal",LOGINV(G495,LN(Supuestos!$D$10)-LN(1+Supuestos!$E$10^2/Supuestos!$D$10^2)/2,SQRT(LN(1+Supuestos!$E$10^2/Supuestos!$D$10^2))),Supuestos!$D$10))))))</f>
        <v/>
      </c>
      <c r="O495" s="31">
        <f>MIN(IF(Supuestos!$H$11="",1E+99,Supuestos!$H$11),MAX(IF(Supuestos!$G$11="",-1E+99,Supuestos!$G$11),IF(Supuestos!$C$11="Normal",NORMINV(H495,Supuestos!$D$11,Supuestos!$E$11),IF(Supuestos!$C$11="Triangular",IF(H495&lt;(Supuestos!$E$11-Supuestos!$D$11)/(Supuestos!$F$11-Supuestos!$D$11),Supuestos!$D$11+SQRT(H495*(Supuestos!$F$11-Supuestos!$D$11)*(Supuestos!$E$11-Supuestos!$D$11)),Supuestos!$F$11-SQRT((1-H495)*(Supuestos!$F$11-Supuestos!$D$11)*(Supuestos!$F$11-Supuestos!$E$11))),IF(Supuestos!$C$11="Uniforme",Supuestos!$D$11+H495*(Supuestos!$E$11-Supuestos!$D$11),IF(Supuestos!$C$11="Lognormal",LOGINV(H495,LN(Supuestos!$D$11)-LN(1+Supuestos!$E$11^2/Supuestos!$D$11^2)/2,SQRT(LN(1+Supuestos!$E$11^2/Supuestos!$D$11^2))),Supuestos!$D$11))))))</f>
        <v/>
      </c>
      <c r="P495" s="33">
        <f>-I495</f>
        <v/>
      </c>
      <c r="Q495" s="33">
        <f>$J495*(1+$K495)^(1-1)*(1-$L495)*(1-$M495)</f>
        <v/>
      </c>
      <c r="R495" s="33">
        <f>$J495*(1+$K495)^(2-1)*(1-$L495)*(1-$M495)</f>
        <v/>
      </c>
      <c r="S495" s="33">
        <f>$J495*(1+$K495)^(3-1)*(1-$L495)*(1-$M495)</f>
        <v/>
      </c>
      <c r="T495" s="33">
        <f>$J495*(1+$K495)^(4-1)*(1-$L495)*(1-$M495)</f>
        <v/>
      </c>
      <c r="U495" s="33">
        <f>$J495*(1+$K495)^(5-1)*(1-$L495)*(1-$M495)+$O495</f>
        <v/>
      </c>
      <c r="V495" s="33">
        <f>P495+NPV($N495,Q495:U495)</f>
        <v/>
      </c>
      <c r="W495" s="32">
        <f>IFERROR(IRR(P495:U495,0.1),"")</f>
        <v/>
      </c>
    </row>
    <row r="496">
      <c r="A496" s="14" t="n">
        <v>492</v>
      </c>
      <c r="B496" s="30">
        <f>RAND()*(1-2E-6)+1E-6</f>
        <v/>
      </c>
      <c r="C496" s="30">
        <f>RAND()*(1-2E-6)+1E-6</f>
        <v/>
      </c>
      <c r="D496" s="30">
        <f>RAND()*(1-2E-6)+1E-6</f>
        <v/>
      </c>
      <c r="E496" s="30">
        <f>RAND()*(1-2E-6)+1E-6</f>
        <v/>
      </c>
      <c r="F496" s="30">
        <f>RAND()*(1-2E-6)+1E-6</f>
        <v/>
      </c>
      <c r="G496" s="30">
        <f>RAND()*(1-2E-6)+1E-6</f>
        <v/>
      </c>
      <c r="H496" s="30">
        <f>RAND()*(1-2E-6)+1E-6</f>
        <v/>
      </c>
      <c r="I496" s="31">
        <f>MIN(IF(Supuestos!$H$5="",1E+99,Supuestos!$H$5),MAX(IF(Supuestos!$G$5="",-1E+99,Supuestos!$G$5),IF(Supuestos!$C$5="Normal",NORMINV(B496,Supuestos!$D$5,Supuestos!$E$5),IF(Supuestos!$C$5="Triangular",IF(B496&lt;(Supuestos!$E$5-Supuestos!$D$5)/(Supuestos!$F$5-Supuestos!$D$5),Supuestos!$D$5+SQRT(B496*(Supuestos!$F$5-Supuestos!$D$5)*(Supuestos!$E$5-Supuestos!$D$5)),Supuestos!$F$5-SQRT((1-B496)*(Supuestos!$F$5-Supuestos!$D$5)*(Supuestos!$F$5-Supuestos!$E$5))),IF(Supuestos!$C$5="Uniforme",Supuestos!$D$5+B496*(Supuestos!$E$5-Supuestos!$D$5),IF(Supuestos!$C$5="Lognormal",LOGINV(B496,LN(Supuestos!$D$5)-LN(1+Supuestos!$E$5^2/Supuestos!$D$5^2)/2,SQRT(LN(1+Supuestos!$E$5^2/Supuestos!$D$5^2))),Supuestos!$D$5))))))</f>
        <v/>
      </c>
      <c r="J496" s="31">
        <f>MIN(IF(Supuestos!$H$6="",1E+99,Supuestos!$H$6),MAX(IF(Supuestos!$G$6="",-1E+99,Supuestos!$G$6),IF(Supuestos!$C$6="Normal",NORMINV(C496,Supuestos!$D$6,Supuestos!$E$6),IF(Supuestos!$C$6="Triangular",IF(C496&lt;(Supuestos!$E$6-Supuestos!$D$6)/(Supuestos!$F$6-Supuestos!$D$6),Supuestos!$D$6+SQRT(C496*(Supuestos!$F$6-Supuestos!$D$6)*(Supuestos!$E$6-Supuestos!$D$6)),Supuestos!$F$6-SQRT((1-C496)*(Supuestos!$F$6-Supuestos!$D$6)*(Supuestos!$F$6-Supuestos!$E$6))),IF(Supuestos!$C$6="Uniforme",Supuestos!$D$6+C496*(Supuestos!$E$6-Supuestos!$D$6),IF(Supuestos!$C$6="Lognormal",LOGINV(C496,LN(Supuestos!$D$6)-LN(1+Supuestos!$E$6^2/Supuestos!$D$6^2)/2,SQRT(LN(1+Supuestos!$E$6^2/Supuestos!$D$6^2))),Supuestos!$D$6))))))</f>
        <v/>
      </c>
      <c r="K496" s="32">
        <f>MIN(IF(Supuestos!$H$7="",1E+99,Supuestos!$H$7),MAX(IF(Supuestos!$G$7="",-1E+99,Supuestos!$G$7),IF(Supuestos!$C$7="Normal",NORMINV(D496,Supuestos!$D$7,Supuestos!$E$7),IF(Supuestos!$C$7="Triangular",IF(D496&lt;(Supuestos!$E$7-Supuestos!$D$7)/(Supuestos!$F$7-Supuestos!$D$7),Supuestos!$D$7+SQRT(D496*(Supuestos!$F$7-Supuestos!$D$7)*(Supuestos!$E$7-Supuestos!$D$7)),Supuestos!$F$7-SQRT((1-D496)*(Supuestos!$F$7-Supuestos!$D$7)*(Supuestos!$F$7-Supuestos!$E$7))),IF(Supuestos!$C$7="Uniforme",Supuestos!$D$7+D496*(Supuestos!$E$7-Supuestos!$D$7),IF(Supuestos!$C$7="Lognormal",LOGINV(D496,LN(Supuestos!$D$7)-LN(1+Supuestos!$E$7^2/Supuestos!$D$7^2)/2,SQRT(LN(1+Supuestos!$E$7^2/Supuestos!$D$7^2))),Supuestos!$D$7))))))</f>
        <v/>
      </c>
      <c r="L496" s="32">
        <f>MIN(IF(Supuestos!$H$8="",1E+99,Supuestos!$H$8),MAX(IF(Supuestos!$G$8="",-1E+99,Supuestos!$G$8),IF(Supuestos!$C$8="Normal",NORMINV(E496,Supuestos!$D$8,Supuestos!$E$8),IF(Supuestos!$C$8="Triangular",IF(E496&lt;(Supuestos!$E$8-Supuestos!$D$8)/(Supuestos!$F$8-Supuestos!$D$8),Supuestos!$D$8+SQRT(E496*(Supuestos!$F$8-Supuestos!$D$8)*(Supuestos!$E$8-Supuestos!$D$8)),Supuestos!$F$8-SQRT((1-E496)*(Supuestos!$F$8-Supuestos!$D$8)*(Supuestos!$F$8-Supuestos!$E$8))),IF(Supuestos!$C$8="Uniforme",Supuestos!$D$8+E496*(Supuestos!$E$8-Supuestos!$D$8),IF(Supuestos!$C$8="Lognormal",LOGINV(E496,LN(Supuestos!$D$8)-LN(1+Supuestos!$E$8^2/Supuestos!$D$8^2)/2,SQRT(LN(1+Supuestos!$E$8^2/Supuestos!$D$8^2))),Supuestos!$D$8))))))</f>
        <v/>
      </c>
      <c r="M496" s="32">
        <f>MIN(IF(Supuestos!$H$9="",1E+99,Supuestos!$H$9),MAX(IF(Supuestos!$G$9="",-1E+99,Supuestos!$G$9),IF(Supuestos!$C$9="Normal",NORMINV(F496,Supuestos!$D$9,Supuestos!$E$9),IF(Supuestos!$C$9="Triangular",IF(F496&lt;(Supuestos!$E$9-Supuestos!$D$9)/(Supuestos!$F$9-Supuestos!$D$9),Supuestos!$D$9+SQRT(F496*(Supuestos!$F$9-Supuestos!$D$9)*(Supuestos!$E$9-Supuestos!$D$9)),Supuestos!$F$9-SQRT((1-F496)*(Supuestos!$F$9-Supuestos!$D$9)*(Supuestos!$F$9-Supuestos!$E$9))),IF(Supuestos!$C$9="Uniforme",Supuestos!$D$9+F496*(Supuestos!$E$9-Supuestos!$D$9),IF(Supuestos!$C$9="Lognormal",LOGINV(F496,LN(Supuestos!$D$9)-LN(1+Supuestos!$E$9^2/Supuestos!$D$9^2)/2,SQRT(LN(1+Supuestos!$E$9^2/Supuestos!$D$9^2))),Supuestos!$D$9))))))</f>
        <v/>
      </c>
      <c r="N496" s="32">
        <f>MIN(IF(Supuestos!$H$10="",1E+99,Supuestos!$H$10),MAX(IF(Supuestos!$G$10="",-1E+99,Supuestos!$G$10),IF(Supuestos!$C$10="Normal",NORMINV(G496,Supuestos!$D$10,Supuestos!$E$10),IF(Supuestos!$C$10="Triangular",IF(G496&lt;(Supuestos!$E$10-Supuestos!$D$10)/(Supuestos!$F$10-Supuestos!$D$10),Supuestos!$D$10+SQRT(G496*(Supuestos!$F$10-Supuestos!$D$10)*(Supuestos!$E$10-Supuestos!$D$10)),Supuestos!$F$10-SQRT((1-G496)*(Supuestos!$F$10-Supuestos!$D$10)*(Supuestos!$F$10-Supuestos!$E$10))),IF(Supuestos!$C$10="Uniforme",Supuestos!$D$10+G496*(Supuestos!$E$10-Supuestos!$D$10),IF(Supuestos!$C$10="Lognormal",LOGINV(G496,LN(Supuestos!$D$10)-LN(1+Supuestos!$E$10^2/Supuestos!$D$10^2)/2,SQRT(LN(1+Supuestos!$E$10^2/Supuestos!$D$10^2))),Supuestos!$D$10))))))</f>
        <v/>
      </c>
      <c r="O496" s="31">
        <f>MIN(IF(Supuestos!$H$11="",1E+99,Supuestos!$H$11),MAX(IF(Supuestos!$G$11="",-1E+99,Supuestos!$G$11),IF(Supuestos!$C$11="Normal",NORMINV(H496,Supuestos!$D$11,Supuestos!$E$11),IF(Supuestos!$C$11="Triangular",IF(H496&lt;(Supuestos!$E$11-Supuestos!$D$11)/(Supuestos!$F$11-Supuestos!$D$11),Supuestos!$D$11+SQRT(H496*(Supuestos!$F$11-Supuestos!$D$11)*(Supuestos!$E$11-Supuestos!$D$11)),Supuestos!$F$11-SQRT((1-H496)*(Supuestos!$F$11-Supuestos!$D$11)*(Supuestos!$F$11-Supuestos!$E$11))),IF(Supuestos!$C$11="Uniforme",Supuestos!$D$11+H496*(Supuestos!$E$11-Supuestos!$D$11),IF(Supuestos!$C$11="Lognormal",LOGINV(H496,LN(Supuestos!$D$11)-LN(1+Supuestos!$E$11^2/Supuestos!$D$11^2)/2,SQRT(LN(1+Supuestos!$E$11^2/Supuestos!$D$11^2))),Supuestos!$D$11))))))</f>
        <v/>
      </c>
      <c r="P496" s="33">
        <f>-I496</f>
        <v/>
      </c>
      <c r="Q496" s="33">
        <f>$J496*(1+$K496)^(1-1)*(1-$L496)*(1-$M496)</f>
        <v/>
      </c>
      <c r="R496" s="33">
        <f>$J496*(1+$K496)^(2-1)*(1-$L496)*(1-$M496)</f>
        <v/>
      </c>
      <c r="S496" s="33">
        <f>$J496*(1+$K496)^(3-1)*(1-$L496)*(1-$M496)</f>
        <v/>
      </c>
      <c r="T496" s="33">
        <f>$J496*(1+$K496)^(4-1)*(1-$L496)*(1-$M496)</f>
        <v/>
      </c>
      <c r="U496" s="33">
        <f>$J496*(1+$K496)^(5-1)*(1-$L496)*(1-$M496)+$O496</f>
        <v/>
      </c>
      <c r="V496" s="33">
        <f>P496+NPV($N496,Q496:U496)</f>
        <v/>
      </c>
      <c r="W496" s="32">
        <f>IFERROR(IRR(P496:U496,0.1),"")</f>
        <v/>
      </c>
    </row>
    <row r="497">
      <c r="A497" s="14" t="n">
        <v>493</v>
      </c>
      <c r="B497" s="30">
        <f>RAND()*(1-2E-6)+1E-6</f>
        <v/>
      </c>
      <c r="C497" s="30">
        <f>RAND()*(1-2E-6)+1E-6</f>
        <v/>
      </c>
      <c r="D497" s="30">
        <f>RAND()*(1-2E-6)+1E-6</f>
        <v/>
      </c>
      <c r="E497" s="30">
        <f>RAND()*(1-2E-6)+1E-6</f>
        <v/>
      </c>
      <c r="F497" s="30">
        <f>RAND()*(1-2E-6)+1E-6</f>
        <v/>
      </c>
      <c r="G497" s="30">
        <f>RAND()*(1-2E-6)+1E-6</f>
        <v/>
      </c>
      <c r="H497" s="30">
        <f>RAND()*(1-2E-6)+1E-6</f>
        <v/>
      </c>
      <c r="I497" s="31">
        <f>MIN(IF(Supuestos!$H$5="",1E+99,Supuestos!$H$5),MAX(IF(Supuestos!$G$5="",-1E+99,Supuestos!$G$5),IF(Supuestos!$C$5="Normal",NORMINV(B497,Supuestos!$D$5,Supuestos!$E$5),IF(Supuestos!$C$5="Triangular",IF(B497&lt;(Supuestos!$E$5-Supuestos!$D$5)/(Supuestos!$F$5-Supuestos!$D$5),Supuestos!$D$5+SQRT(B497*(Supuestos!$F$5-Supuestos!$D$5)*(Supuestos!$E$5-Supuestos!$D$5)),Supuestos!$F$5-SQRT((1-B497)*(Supuestos!$F$5-Supuestos!$D$5)*(Supuestos!$F$5-Supuestos!$E$5))),IF(Supuestos!$C$5="Uniforme",Supuestos!$D$5+B497*(Supuestos!$E$5-Supuestos!$D$5),IF(Supuestos!$C$5="Lognormal",LOGINV(B497,LN(Supuestos!$D$5)-LN(1+Supuestos!$E$5^2/Supuestos!$D$5^2)/2,SQRT(LN(1+Supuestos!$E$5^2/Supuestos!$D$5^2))),Supuestos!$D$5))))))</f>
        <v/>
      </c>
      <c r="J497" s="31">
        <f>MIN(IF(Supuestos!$H$6="",1E+99,Supuestos!$H$6),MAX(IF(Supuestos!$G$6="",-1E+99,Supuestos!$G$6),IF(Supuestos!$C$6="Normal",NORMINV(C497,Supuestos!$D$6,Supuestos!$E$6),IF(Supuestos!$C$6="Triangular",IF(C497&lt;(Supuestos!$E$6-Supuestos!$D$6)/(Supuestos!$F$6-Supuestos!$D$6),Supuestos!$D$6+SQRT(C497*(Supuestos!$F$6-Supuestos!$D$6)*(Supuestos!$E$6-Supuestos!$D$6)),Supuestos!$F$6-SQRT((1-C497)*(Supuestos!$F$6-Supuestos!$D$6)*(Supuestos!$F$6-Supuestos!$E$6))),IF(Supuestos!$C$6="Uniforme",Supuestos!$D$6+C497*(Supuestos!$E$6-Supuestos!$D$6),IF(Supuestos!$C$6="Lognormal",LOGINV(C497,LN(Supuestos!$D$6)-LN(1+Supuestos!$E$6^2/Supuestos!$D$6^2)/2,SQRT(LN(1+Supuestos!$E$6^2/Supuestos!$D$6^2))),Supuestos!$D$6))))))</f>
        <v/>
      </c>
      <c r="K497" s="32">
        <f>MIN(IF(Supuestos!$H$7="",1E+99,Supuestos!$H$7),MAX(IF(Supuestos!$G$7="",-1E+99,Supuestos!$G$7),IF(Supuestos!$C$7="Normal",NORMINV(D497,Supuestos!$D$7,Supuestos!$E$7),IF(Supuestos!$C$7="Triangular",IF(D497&lt;(Supuestos!$E$7-Supuestos!$D$7)/(Supuestos!$F$7-Supuestos!$D$7),Supuestos!$D$7+SQRT(D497*(Supuestos!$F$7-Supuestos!$D$7)*(Supuestos!$E$7-Supuestos!$D$7)),Supuestos!$F$7-SQRT((1-D497)*(Supuestos!$F$7-Supuestos!$D$7)*(Supuestos!$F$7-Supuestos!$E$7))),IF(Supuestos!$C$7="Uniforme",Supuestos!$D$7+D497*(Supuestos!$E$7-Supuestos!$D$7),IF(Supuestos!$C$7="Lognormal",LOGINV(D497,LN(Supuestos!$D$7)-LN(1+Supuestos!$E$7^2/Supuestos!$D$7^2)/2,SQRT(LN(1+Supuestos!$E$7^2/Supuestos!$D$7^2))),Supuestos!$D$7))))))</f>
        <v/>
      </c>
      <c r="L497" s="32">
        <f>MIN(IF(Supuestos!$H$8="",1E+99,Supuestos!$H$8),MAX(IF(Supuestos!$G$8="",-1E+99,Supuestos!$G$8),IF(Supuestos!$C$8="Normal",NORMINV(E497,Supuestos!$D$8,Supuestos!$E$8),IF(Supuestos!$C$8="Triangular",IF(E497&lt;(Supuestos!$E$8-Supuestos!$D$8)/(Supuestos!$F$8-Supuestos!$D$8),Supuestos!$D$8+SQRT(E497*(Supuestos!$F$8-Supuestos!$D$8)*(Supuestos!$E$8-Supuestos!$D$8)),Supuestos!$F$8-SQRT((1-E497)*(Supuestos!$F$8-Supuestos!$D$8)*(Supuestos!$F$8-Supuestos!$E$8))),IF(Supuestos!$C$8="Uniforme",Supuestos!$D$8+E497*(Supuestos!$E$8-Supuestos!$D$8),IF(Supuestos!$C$8="Lognormal",LOGINV(E497,LN(Supuestos!$D$8)-LN(1+Supuestos!$E$8^2/Supuestos!$D$8^2)/2,SQRT(LN(1+Supuestos!$E$8^2/Supuestos!$D$8^2))),Supuestos!$D$8))))))</f>
        <v/>
      </c>
      <c r="M497" s="32">
        <f>MIN(IF(Supuestos!$H$9="",1E+99,Supuestos!$H$9),MAX(IF(Supuestos!$G$9="",-1E+99,Supuestos!$G$9),IF(Supuestos!$C$9="Normal",NORMINV(F497,Supuestos!$D$9,Supuestos!$E$9),IF(Supuestos!$C$9="Triangular",IF(F497&lt;(Supuestos!$E$9-Supuestos!$D$9)/(Supuestos!$F$9-Supuestos!$D$9),Supuestos!$D$9+SQRT(F497*(Supuestos!$F$9-Supuestos!$D$9)*(Supuestos!$E$9-Supuestos!$D$9)),Supuestos!$F$9-SQRT((1-F497)*(Supuestos!$F$9-Supuestos!$D$9)*(Supuestos!$F$9-Supuestos!$E$9))),IF(Supuestos!$C$9="Uniforme",Supuestos!$D$9+F497*(Supuestos!$E$9-Supuestos!$D$9),IF(Supuestos!$C$9="Lognormal",LOGINV(F497,LN(Supuestos!$D$9)-LN(1+Supuestos!$E$9^2/Supuestos!$D$9^2)/2,SQRT(LN(1+Supuestos!$E$9^2/Supuestos!$D$9^2))),Supuestos!$D$9))))))</f>
        <v/>
      </c>
      <c r="N497" s="32">
        <f>MIN(IF(Supuestos!$H$10="",1E+99,Supuestos!$H$10),MAX(IF(Supuestos!$G$10="",-1E+99,Supuestos!$G$10),IF(Supuestos!$C$10="Normal",NORMINV(G497,Supuestos!$D$10,Supuestos!$E$10),IF(Supuestos!$C$10="Triangular",IF(G497&lt;(Supuestos!$E$10-Supuestos!$D$10)/(Supuestos!$F$10-Supuestos!$D$10),Supuestos!$D$10+SQRT(G497*(Supuestos!$F$10-Supuestos!$D$10)*(Supuestos!$E$10-Supuestos!$D$10)),Supuestos!$F$10-SQRT((1-G497)*(Supuestos!$F$10-Supuestos!$D$10)*(Supuestos!$F$10-Supuestos!$E$10))),IF(Supuestos!$C$10="Uniforme",Supuestos!$D$10+G497*(Supuestos!$E$10-Supuestos!$D$10),IF(Supuestos!$C$10="Lognormal",LOGINV(G497,LN(Supuestos!$D$10)-LN(1+Supuestos!$E$10^2/Supuestos!$D$10^2)/2,SQRT(LN(1+Supuestos!$E$10^2/Supuestos!$D$10^2))),Supuestos!$D$10))))))</f>
        <v/>
      </c>
      <c r="O497" s="31">
        <f>MIN(IF(Supuestos!$H$11="",1E+99,Supuestos!$H$11),MAX(IF(Supuestos!$G$11="",-1E+99,Supuestos!$G$11),IF(Supuestos!$C$11="Normal",NORMINV(H497,Supuestos!$D$11,Supuestos!$E$11),IF(Supuestos!$C$11="Triangular",IF(H497&lt;(Supuestos!$E$11-Supuestos!$D$11)/(Supuestos!$F$11-Supuestos!$D$11),Supuestos!$D$11+SQRT(H497*(Supuestos!$F$11-Supuestos!$D$11)*(Supuestos!$E$11-Supuestos!$D$11)),Supuestos!$F$11-SQRT((1-H497)*(Supuestos!$F$11-Supuestos!$D$11)*(Supuestos!$F$11-Supuestos!$E$11))),IF(Supuestos!$C$11="Uniforme",Supuestos!$D$11+H497*(Supuestos!$E$11-Supuestos!$D$11),IF(Supuestos!$C$11="Lognormal",LOGINV(H497,LN(Supuestos!$D$11)-LN(1+Supuestos!$E$11^2/Supuestos!$D$11^2)/2,SQRT(LN(1+Supuestos!$E$11^2/Supuestos!$D$11^2))),Supuestos!$D$11))))))</f>
        <v/>
      </c>
      <c r="P497" s="33">
        <f>-I497</f>
        <v/>
      </c>
      <c r="Q497" s="33">
        <f>$J497*(1+$K497)^(1-1)*(1-$L497)*(1-$M497)</f>
        <v/>
      </c>
      <c r="R497" s="33">
        <f>$J497*(1+$K497)^(2-1)*(1-$L497)*(1-$M497)</f>
        <v/>
      </c>
      <c r="S497" s="33">
        <f>$J497*(1+$K497)^(3-1)*(1-$L497)*(1-$M497)</f>
        <v/>
      </c>
      <c r="T497" s="33">
        <f>$J497*(1+$K497)^(4-1)*(1-$L497)*(1-$M497)</f>
        <v/>
      </c>
      <c r="U497" s="33">
        <f>$J497*(1+$K497)^(5-1)*(1-$L497)*(1-$M497)+$O497</f>
        <v/>
      </c>
      <c r="V497" s="33">
        <f>P497+NPV($N497,Q497:U497)</f>
        <v/>
      </c>
      <c r="W497" s="32">
        <f>IFERROR(IRR(P497:U497,0.1),"")</f>
        <v/>
      </c>
    </row>
    <row r="498">
      <c r="A498" s="14" t="n">
        <v>494</v>
      </c>
      <c r="B498" s="30">
        <f>RAND()*(1-2E-6)+1E-6</f>
        <v/>
      </c>
      <c r="C498" s="30">
        <f>RAND()*(1-2E-6)+1E-6</f>
        <v/>
      </c>
      <c r="D498" s="30">
        <f>RAND()*(1-2E-6)+1E-6</f>
        <v/>
      </c>
      <c r="E498" s="30">
        <f>RAND()*(1-2E-6)+1E-6</f>
        <v/>
      </c>
      <c r="F498" s="30">
        <f>RAND()*(1-2E-6)+1E-6</f>
        <v/>
      </c>
      <c r="G498" s="30">
        <f>RAND()*(1-2E-6)+1E-6</f>
        <v/>
      </c>
      <c r="H498" s="30">
        <f>RAND()*(1-2E-6)+1E-6</f>
        <v/>
      </c>
      <c r="I498" s="31">
        <f>MIN(IF(Supuestos!$H$5="",1E+99,Supuestos!$H$5),MAX(IF(Supuestos!$G$5="",-1E+99,Supuestos!$G$5),IF(Supuestos!$C$5="Normal",NORMINV(B498,Supuestos!$D$5,Supuestos!$E$5),IF(Supuestos!$C$5="Triangular",IF(B498&lt;(Supuestos!$E$5-Supuestos!$D$5)/(Supuestos!$F$5-Supuestos!$D$5),Supuestos!$D$5+SQRT(B498*(Supuestos!$F$5-Supuestos!$D$5)*(Supuestos!$E$5-Supuestos!$D$5)),Supuestos!$F$5-SQRT((1-B498)*(Supuestos!$F$5-Supuestos!$D$5)*(Supuestos!$F$5-Supuestos!$E$5))),IF(Supuestos!$C$5="Uniforme",Supuestos!$D$5+B498*(Supuestos!$E$5-Supuestos!$D$5),IF(Supuestos!$C$5="Lognormal",LOGINV(B498,LN(Supuestos!$D$5)-LN(1+Supuestos!$E$5^2/Supuestos!$D$5^2)/2,SQRT(LN(1+Supuestos!$E$5^2/Supuestos!$D$5^2))),Supuestos!$D$5))))))</f>
        <v/>
      </c>
      <c r="J498" s="31">
        <f>MIN(IF(Supuestos!$H$6="",1E+99,Supuestos!$H$6),MAX(IF(Supuestos!$G$6="",-1E+99,Supuestos!$G$6),IF(Supuestos!$C$6="Normal",NORMINV(C498,Supuestos!$D$6,Supuestos!$E$6),IF(Supuestos!$C$6="Triangular",IF(C498&lt;(Supuestos!$E$6-Supuestos!$D$6)/(Supuestos!$F$6-Supuestos!$D$6),Supuestos!$D$6+SQRT(C498*(Supuestos!$F$6-Supuestos!$D$6)*(Supuestos!$E$6-Supuestos!$D$6)),Supuestos!$F$6-SQRT((1-C498)*(Supuestos!$F$6-Supuestos!$D$6)*(Supuestos!$F$6-Supuestos!$E$6))),IF(Supuestos!$C$6="Uniforme",Supuestos!$D$6+C498*(Supuestos!$E$6-Supuestos!$D$6),IF(Supuestos!$C$6="Lognormal",LOGINV(C498,LN(Supuestos!$D$6)-LN(1+Supuestos!$E$6^2/Supuestos!$D$6^2)/2,SQRT(LN(1+Supuestos!$E$6^2/Supuestos!$D$6^2))),Supuestos!$D$6))))))</f>
        <v/>
      </c>
      <c r="K498" s="32">
        <f>MIN(IF(Supuestos!$H$7="",1E+99,Supuestos!$H$7),MAX(IF(Supuestos!$G$7="",-1E+99,Supuestos!$G$7),IF(Supuestos!$C$7="Normal",NORMINV(D498,Supuestos!$D$7,Supuestos!$E$7),IF(Supuestos!$C$7="Triangular",IF(D498&lt;(Supuestos!$E$7-Supuestos!$D$7)/(Supuestos!$F$7-Supuestos!$D$7),Supuestos!$D$7+SQRT(D498*(Supuestos!$F$7-Supuestos!$D$7)*(Supuestos!$E$7-Supuestos!$D$7)),Supuestos!$F$7-SQRT((1-D498)*(Supuestos!$F$7-Supuestos!$D$7)*(Supuestos!$F$7-Supuestos!$E$7))),IF(Supuestos!$C$7="Uniforme",Supuestos!$D$7+D498*(Supuestos!$E$7-Supuestos!$D$7),IF(Supuestos!$C$7="Lognormal",LOGINV(D498,LN(Supuestos!$D$7)-LN(1+Supuestos!$E$7^2/Supuestos!$D$7^2)/2,SQRT(LN(1+Supuestos!$E$7^2/Supuestos!$D$7^2))),Supuestos!$D$7))))))</f>
        <v/>
      </c>
      <c r="L498" s="32">
        <f>MIN(IF(Supuestos!$H$8="",1E+99,Supuestos!$H$8),MAX(IF(Supuestos!$G$8="",-1E+99,Supuestos!$G$8),IF(Supuestos!$C$8="Normal",NORMINV(E498,Supuestos!$D$8,Supuestos!$E$8),IF(Supuestos!$C$8="Triangular",IF(E498&lt;(Supuestos!$E$8-Supuestos!$D$8)/(Supuestos!$F$8-Supuestos!$D$8),Supuestos!$D$8+SQRT(E498*(Supuestos!$F$8-Supuestos!$D$8)*(Supuestos!$E$8-Supuestos!$D$8)),Supuestos!$F$8-SQRT((1-E498)*(Supuestos!$F$8-Supuestos!$D$8)*(Supuestos!$F$8-Supuestos!$E$8))),IF(Supuestos!$C$8="Uniforme",Supuestos!$D$8+E498*(Supuestos!$E$8-Supuestos!$D$8),IF(Supuestos!$C$8="Lognormal",LOGINV(E498,LN(Supuestos!$D$8)-LN(1+Supuestos!$E$8^2/Supuestos!$D$8^2)/2,SQRT(LN(1+Supuestos!$E$8^2/Supuestos!$D$8^2))),Supuestos!$D$8))))))</f>
        <v/>
      </c>
      <c r="M498" s="32">
        <f>MIN(IF(Supuestos!$H$9="",1E+99,Supuestos!$H$9),MAX(IF(Supuestos!$G$9="",-1E+99,Supuestos!$G$9),IF(Supuestos!$C$9="Normal",NORMINV(F498,Supuestos!$D$9,Supuestos!$E$9),IF(Supuestos!$C$9="Triangular",IF(F498&lt;(Supuestos!$E$9-Supuestos!$D$9)/(Supuestos!$F$9-Supuestos!$D$9),Supuestos!$D$9+SQRT(F498*(Supuestos!$F$9-Supuestos!$D$9)*(Supuestos!$E$9-Supuestos!$D$9)),Supuestos!$F$9-SQRT((1-F498)*(Supuestos!$F$9-Supuestos!$D$9)*(Supuestos!$F$9-Supuestos!$E$9))),IF(Supuestos!$C$9="Uniforme",Supuestos!$D$9+F498*(Supuestos!$E$9-Supuestos!$D$9),IF(Supuestos!$C$9="Lognormal",LOGINV(F498,LN(Supuestos!$D$9)-LN(1+Supuestos!$E$9^2/Supuestos!$D$9^2)/2,SQRT(LN(1+Supuestos!$E$9^2/Supuestos!$D$9^2))),Supuestos!$D$9))))))</f>
        <v/>
      </c>
      <c r="N498" s="32">
        <f>MIN(IF(Supuestos!$H$10="",1E+99,Supuestos!$H$10),MAX(IF(Supuestos!$G$10="",-1E+99,Supuestos!$G$10),IF(Supuestos!$C$10="Normal",NORMINV(G498,Supuestos!$D$10,Supuestos!$E$10),IF(Supuestos!$C$10="Triangular",IF(G498&lt;(Supuestos!$E$10-Supuestos!$D$10)/(Supuestos!$F$10-Supuestos!$D$10),Supuestos!$D$10+SQRT(G498*(Supuestos!$F$10-Supuestos!$D$10)*(Supuestos!$E$10-Supuestos!$D$10)),Supuestos!$F$10-SQRT((1-G498)*(Supuestos!$F$10-Supuestos!$D$10)*(Supuestos!$F$10-Supuestos!$E$10))),IF(Supuestos!$C$10="Uniforme",Supuestos!$D$10+G498*(Supuestos!$E$10-Supuestos!$D$10),IF(Supuestos!$C$10="Lognormal",LOGINV(G498,LN(Supuestos!$D$10)-LN(1+Supuestos!$E$10^2/Supuestos!$D$10^2)/2,SQRT(LN(1+Supuestos!$E$10^2/Supuestos!$D$10^2))),Supuestos!$D$10))))))</f>
        <v/>
      </c>
      <c r="O498" s="31">
        <f>MIN(IF(Supuestos!$H$11="",1E+99,Supuestos!$H$11),MAX(IF(Supuestos!$G$11="",-1E+99,Supuestos!$G$11),IF(Supuestos!$C$11="Normal",NORMINV(H498,Supuestos!$D$11,Supuestos!$E$11),IF(Supuestos!$C$11="Triangular",IF(H498&lt;(Supuestos!$E$11-Supuestos!$D$11)/(Supuestos!$F$11-Supuestos!$D$11),Supuestos!$D$11+SQRT(H498*(Supuestos!$F$11-Supuestos!$D$11)*(Supuestos!$E$11-Supuestos!$D$11)),Supuestos!$F$11-SQRT((1-H498)*(Supuestos!$F$11-Supuestos!$D$11)*(Supuestos!$F$11-Supuestos!$E$11))),IF(Supuestos!$C$11="Uniforme",Supuestos!$D$11+H498*(Supuestos!$E$11-Supuestos!$D$11),IF(Supuestos!$C$11="Lognormal",LOGINV(H498,LN(Supuestos!$D$11)-LN(1+Supuestos!$E$11^2/Supuestos!$D$11^2)/2,SQRT(LN(1+Supuestos!$E$11^2/Supuestos!$D$11^2))),Supuestos!$D$11))))))</f>
        <v/>
      </c>
      <c r="P498" s="33">
        <f>-I498</f>
        <v/>
      </c>
      <c r="Q498" s="33">
        <f>$J498*(1+$K498)^(1-1)*(1-$L498)*(1-$M498)</f>
        <v/>
      </c>
      <c r="R498" s="33">
        <f>$J498*(1+$K498)^(2-1)*(1-$L498)*(1-$M498)</f>
        <v/>
      </c>
      <c r="S498" s="33">
        <f>$J498*(1+$K498)^(3-1)*(1-$L498)*(1-$M498)</f>
        <v/>
      </c>
      <c r="T498" s="33">
        <f>$J498*(1+$K498)^(4-1)*(1-$L498)*(1-$M498)</f>
        <v/>
      </c>
      <c r="U498" s="33">
        <f>$J498*(1+$K498)^(5-1)*(1-$L498)*(1-$M498)+$O498</f>
        <v/>
      </c>
      <c r="V498" s="33">
        <f>P498+NPV($N498,Q498:U498)</f>
        <v/>
      </c>
      <c r="W498" s="32">
        <f>IFERROR(IRR(P498:U498,0.1),"")</f>
        <v/>
      </c>
    </row>
    <row r="499">
      <c r="A499" s="14" t="n">
        <v>495</v>
      </c>
      <c r="B499" s="30">
        <f>RAND()*(1-2E-6)+1E-6</f>
        <v/>
      </c>
      <c r="C499" s="30">
        <f>RAND()*(1-2E-6)+1E-6</f>
        <v/>
      </c>
      <c r="D499" s="30">
        <f>RAND()*(1-2E-6)+1E-6</f>
        <v/>
      </c>
      <c r="E499" s="30">
        <f>RAND()*(1-2E-6)+1E-6</f>
        <v/>
      </c>
      <c r="F499" s="30">
        <f>RAND()*(1-2E-6)+1E-6</f>
        <v/>
      </c>
      <c r="G499" s="30">
        <f>RAND()*(1-2E-6)+1E-6</f>
        <v/>
      </c>
      <c r="H499" s="30">
        <f>RAND()*(1-2E-6)+1E-6</f>
        <v/>
      </c>
      <c r="I499" s="31">
        <f>MIN(IF(Supuestos!$H$5="",1E+99,Supuestos!$H$5),MAX(IF(Supuestos!$G$5="",-1E+99,Supuestos!$G$5),IF(Supuestos!$C$5="Normal",NORMINV(B499,Supuestos!$D$5,Supuestos!$E$5),IF(Supuestos!$C$5="Triangular",IF(B499&lt;(Supuestos!$E$5-Supuestos!$D$5)/(Supuestos!$F$5-Supuestos!$D$5),Supuestos!$D$5+SQRT(B499*(Supuestos!$F$5-Supuestos!$D$5)*(Supuestos!$E$5-Supuestos!$D$5)),Supuestos!$F$5-SQRT((1-B499)*(Supuestos!$F$5-Supuestos!$D$5)*(Supuestos!$F$5-Supuestos!$E$5))),IF(Supuestos!$C$5="Uniforme",Supuestos!$D$5+B499*(Supuestos!$E$5-Supuestos!$D$5),IF(Supuestos!$C$5="Lognormal",LOGINV(B499,LN(Supuestos!$D$5)-LN(1+Supuestos!$E$5^2/Supuestos!$D$5^2)/2,SQRT(LN(1+Supuestos!$E$5^2/Supuestos!$D$5^2))),Supuestos!$D$5))))))</f>
        <v/>
      </c>
      <c r="J499" s="31">
        <f>MIN(IF(Supuestos!$H$6="",1E+99,Supuestos!$H$6),MAX(IF(Supuestos!$G$6="",-1E+99,Supuestos!$G$6),IF(Supuestos!$C$6="Normal",NORMINV(C499,Supuestos!$D$6,Supuestos!$E$6),IF(Supuestos!$C$6="Triangular",IF(C499&lt;(Supuestos!$E$6-Supuestos!$D$6)/(Supuestos!$F$6-Supuestos!$D$6),Supuestos!$D$6+SQRT(C499*(Supuestos!$F$6-Supuestos!$D$6)*(Supuestos!$E$6-Supuestos!$D$6)),Supuestos!$F$6-SQRT((1-C499)*(Supuestos!$F$6-Supuestos!$D$6)*(Supuestos!$F$6-Supuestos!$E$6))),IF(Supuestos!$C$6="Uniforme",Supuestos!$D$6+C499*(Supuestos!$E$6-Supuestos!$D$6),IF(Supuestos!$C$6="Lognormal",LOGINV(C499,LN(Supuestos!$D$6)-LN(1+Supuestos!$E$6^2/Supuestos!$D$6^2)/2,SQRT(LN(1+Supuestos!$E$6^2/Supuestos!$D$6^2))),Supuestos!$D$6))))))</f>
        <v/>
      </c>
      <c r="K499" s="32">
        <f>MIN(IF(Supuestos!$H$7="",1E+99,Supuestos!$H$7),MAX(IF(Supuestos!$G$7="",-1E+99,Supuestos!$G$7),IF(Supuestos!$C$7="Normal",NORMINV(D499,Supuestos!$D$7,Supuestos!$E$7),IF(Supuestos!$C$7="Triangular",IF(D499&lt;(Supuestos!$E$7-Supuestos!$D$7)/(Supuestos!$F$7-Supuestos!$D$7),Supuestos!$D$7+SQRT(D499*(Supuestos!$F$7-Supuestos!$D$7)*(Supuestos!$E$7-Supuestos!$D$7)),Supuestos!$F$7-SQRT((1-D499)*(Supuestos!$F$7-Supuestos!$D$7)*(Supuestos!$F$7-Supuestos!$E$7))),IF(Supuestos!$C$7="Uniforme",Supuestos!$D$7+D499*(Supuestos!$E$7-Supuestos!$D$7),IF(Supuestos!$C$7="Lognormal",LOGINV(D499,LN(Supuestos!$D$7)-LN(1+Supuestos!$E$7^2/Supuestos!$D$7^2)/2,SQRT(LN(1+Supuestos!$E$7^2/Supuestos!$D$7^2))),Supuestos!$D$7))))))</f>
        <v/>
      </c>
      <c r="L499" s="32">
        <f>MIN(IF(Supuestos!$H$8="",1E+99,Supuestos!$H$8),MAX(IF(Supuestos!$G$8="",-1E+99,Supuestos!$G$8),IF(Supuestos!$C$8="Normal",NORMINV(E499,Supuestos!$D$8,Supuestos!$E$8),IF(Supuestos!$C$8="Triangular",IF(E499&lt;(Supuestos!$E$8-Supuestos!$D$8)/(Supuestos!$F$8-Supuestos!$D$8),Supuestos!$D$8+SQRT(E499*(Supuestos!$F$8-Supuestos!$D$8)*(Supuestos!$E$8-Supuestos!$D$8)),Supuestos!$F$8-SQRT((1-E499)*(Supuestos!$F$8-Supuestos!$D$8)*(Supuestos!$F$8-Supuestos!$E$8))),IF(Supuestos!$C$8="Uniforme",Supuestos!$D$8+E499*(Supuestos!$E$8-Supuestos!$D$8),IF(Supuestos!$C$8="Lognormal",LOGINV(E499,LN(Supuestos!$D$8)-LN(1+Supuestos!$E$8^2/Supuestos!$D$8^2)/2,SQRT(LN(1+Supuestos!$E$8^2/Supuestos!$D$8^2))),Supuestos!$D$8))))))</f>
        <v/>
      </c>
      <c r="M499" s="32">
        <f>MIN(IF(Supuestos!$H$9="",1E+99,Supuestos!$H$9),MAX(IF(Supuestos!$G$9="",-1E+99,Supuestos!$G$9),IF(Supuestos!$C$9="Normal",NORMINV(F499,Supuestos!$D$9,Supuestos!$E$9),IF(Supuestos!$C$9="Triangular",IF(F499&lt;(Supuestos!$E$9-Supuestos!$D$9)/(Supuestos!$F$9-Supuestos!$D$9),Supuestos!$D$9+SQRT(F499*(Supuestos!$F$9-Supuestos!$D$9)*(Supuestos!$E$9-Supuestos!$D$9)),Supuestos!$F$9-SQRT((1-F499)*(Supuestos!$F$9-Supuestos!$D$9)*(Supuestos!$F$9-Supuestos!$E$9))),IF(Supuestos!$C$9="Uniforme",Supuestos!$D$9+F499*(Supuestos!$E$9-Supuestos!$D$9),IF(Supuestos!$C$9="Lognormal",LOGINV(F499,LN(Supuestos!$D$9)-LN(1+Supuestos!$E$9^2/Supuestos!$D$9^2)/2,SQRT(LN(1+Supuestos!$E$9^2/Supuestos!$D$9^2))),Supuestos!$D$9))))))</f>
        <v/>
      </c>
      <c r="N499" s="32">
        <f>MIN(IF(Supuestos!$H$10="",1E+99,Supuestos!$H$10),MAX(IF(Supuestos!$G$10="",-1E+99,Supuestos!$G$10),IF(Supuestos!$C$10="Normal",NORMINV(G499,Supuestos!$D$10,Supuestos!$E$10),IF(Supuestos!$C$10="Triangular",IF(G499&lt;(Supuestos!$E$10-Supuestos!$D$10)/(Supuestos!$F$10-Supuestos!$D$10),Supuestos!$D$10+SQRT(G499*(Supuestos!$F$10-Supuestos!$D$10)*(Supuestos!$E$10-Supuestos!$D$10)),Supuestos!$F$10-SQRT((1-G499)*(Supuestos!$F$10-Supuestos!$D$10)*(Supuestos!$F$10-Supuestos!$E$10))),IF(Supuestos!$C$10="Uniforme",Supuestos!$D$10+G499*(Supuestos!$E$10-Supuestos!$D$10),IF(Supuestos!$C$10="Lognormal",LOGINV(G499,LN(Supuestos!$D$10)-LN(1+Supuestos!$E$10^2/Supuestos!$D$10^2)/2,SQRT(LN(1+Supuestos!$E$10^2/Supuestos!$D$10^2))),Supuestos!$D$10))))))</f>
        <v/>
      </c>
      <c r="O499" s="31">
        <f>MIN(IF(Supuestos!$H$11="",1E+99,Supuestos!$H$11),MAX(IF(Supuestos!$G$11="",-1E+99,Supuestos!$G$11),IF(Supuestos!$C$11="Normal",NORMINV(H499,Supuestos!$D$11,Supuestos!$E$11),IF(Supuestos!$C$11="Triangular",IF(H499&lt;(Supuestos!$E$11-Supuestos!$D$11)/(Supuestos!$F$11-Supuestos!$D$11),Supuestos!$D$11+SQRT(H499*(Supuestos!$F$11-Supuestos!$D$11)*(Supuestos!$E$11-Supuestos!$D$11)),Supuestos!$F$11-SQRT((1-H499)*(Supuestos!$F$11-Supuestos!$D$11)*(Supuestos!$F$11-Supuestos!$E$11))),IF(Supuestos!$C$11="Uniforme",Supuestos!$D$11+H499*(Supuestos!$E$11-Supuestos!$D$11),IF(Supuestos!$C$11="Lognormal",LOGINV(H499,LN(Supuestos!$D$11)-LN(1+Supuestos!$E$11^2/Supuestos!$D$11^2)/2,SQRT(LN(1+Supuestos!$E$11^2/Supuestos!$D$11^2))),Supuestos!$D$11))))))</f>
        <v/>
      </c>
      <c r="P499" s="33">
        <f>-I499</f>
        <v/>
      </c>
      <c r="Q499" s="33">
        <f>$J499*(1+$K499)^(1-1)*(1-$L499)*(1-$M499)</f>
        <v/>
      </c>
      <c r="R499" s="33">
        <f>$J499*(1+$K499)^(2-1)*(1-$L499)*(1-$M499)</f>
        <v/>
      </c>
      <c r="S499" s="33">
        <f>$J499*(1+$K499)^(3-1)*(1-$L499)*(1-$M499)</f>
        <v/>
      </c>
      <c r="T499" s="33">
        <f>$J499*(1+$K499)^(4-1)*(1-$L499)*(1-$M499)</f>
        <v/>
      </c>
      <c r="U499" s="33">
        <f>$J499*(1+$K499)^(5-1)*(1-$L499)*(1-$M499)+$O499</f>
        <v/>
      </c>
      <c r="V499" s="33">
        <f>P499+NPV($N499,Q499:U499)</f>
        <v/>
      </c>
      <c r="W499" s="32">
        <f>IFERROR(IRR(P499:U499,0.1),"")</f>
        <v/>
      </c>
    </row>
    <row r="500">
      <c r="A500" s="14" t="n">
        <v>496</v>
      </c>
      <c r="B500" s="30">
        <f>RAND()*(1-2E-6)+1E-6</f>
        <v/>
      </c>
      <c r="C500" s="30">
        <f>RAND()*(1-2E-6)+1E-6</f>
        <v/>
      </c>
      <c r="D500" s="30">
        <f>RAND()*(1-2E-6)+1E-6</f>
        <v/>
      </c>
      <c r="E500" s="30">
        <f>RAND()*(1-2E-6)+1E-6</f>
        <v/>
      </c>
      <c r="F500" s="30">
        <f>RAND()*(1-2E-6)+1E-6</f>
        <v/>
      </c>
      <c r="G500" s="30">
        <f>RAND()*(1-2E-6)+1E-6</f>
        <v/>
      </c>
      <c r="H500" s="30">
        <f>RAND()*(1-2E-6)+1E-6</f>
        <v/>
      </c>
      <c r="I500" s="31">
        <f>MIN(IF(Supuestos!$H$5="",1E+99,Supuestos!$H$5),MAX(IF(Supuestos!$G$5="",-1E+99,Supuestos!$G$5),IF(Supuestos!$C$5="Normal",NORMINV(B500,Supuestos!$D$5,Supuestos!$E$5),IF(Supuestos!$C$5="Triangular",IF(B500&lt;(Supuestos!$E$5-Supuestos!$D$5)/(Supuestos!$F$5-Supuestos!$D$5),Supuestos!$D$5+SQRT(B500*(Supuestos!$F$5-Supuestos!$D$5)*(Supuestos!$E$5-Supuestos!$D$5)),Supuestos!$F$5-SQRT((1-B500)*(Supuestos!$F$5-Supuestos!$D$5)*(Supuestos!$F$5-Supuestos!$E$5))),IF(Supuestos!$C$5="Uniforme",Supuestos!$D$5+B500*(Supuestos!$E$5-Supuestos!$D$5),IF(Supuestos!$C$5="Lognormal",LOGINV(B500,LN(Supuestos!$D$5)-LN(1+Supuestos!$E$5^2/Supuestos!$D$5^2)/2,SQRT(LN(1+Supuestos!$E$5^2/Supuestos!$D$5^2))),Supuestos!$D$5))))))</f>
        <v/>
      </c>
      <c r="J500" s="31">
        <f>MIN(IF(Supuestos!$H$6="",1E+99,Supuestos!$H$6),MAX(IF(Supuestos!$G$6="",-1E+99,Supuestos!$G$6),IF(Supuestos!$C$6="Normal",NORMINV(C500,Supuestos!$D$6,Supuestos!$E$6),IF(Supuestos!$C$6="Triangular",IF(C500&lt;(Supuestos!$E$6-Supuestos!$D$6)/(Supuestos!$F$6-Supuestos!$D$6),Supuestos!$D$6+SQRT(C500*(Supuestos!$F$6-Supuestos!$D$6)*(Supuestos!$E$6-Supuestos!$D$6)),Supuestos!$F$6-SQRT((1-C500)*(Supuestos!$F$6-Supuestos!$D$6)*(Supuestos!$F$6-Supuestos!$E$6))),IF(Supuestos!$C$6="Uniforme",Supuestos!$D$6+C500*(Supuestos!$E$6-Supuestos!$D$6),IF(Supuestos!$C$6="Lognormal",LOGINV(C500,LN(Supuestos!$D$6)-LN(1+Supuestos!$E$6^2/Supuestos!$D$6^2)/2,SQRT(LN(1+Supuestos!$E$6^2/Supuestos!$D$6^2))),Supuestos!$D$6))))))</f>
        <v/>
      </c>
      <c r="K500" s="32">
        <f>MIN(IF(Supuestos!$H$7="",1E+99,Supuestos!$H$7),MAX(IF(Supuestos!$G$7="",-1E+99,Supuestos!$G$7),IF(Supuestos!$C$7="Normal",NORMINV(D500,Supuestos!$D$7,Supuestos!$E$7),IF(Supuestos!$C$7="Triangular",IF(D500&lt;(Supuestos!$E$7-Supuestos!$D$7)/(Supuestos!$F$7-Supuestos!$D$7),Supuestos!$D$7+SQRT(D500*(Supuestos!$F$7-Supuestos!$D$7)*(Supuestos!$E$7-Supuestos!$D$7)),Supuestos!$F$7-SQRT((1-D500)*(Supuestos!$F$7-Supuestos!$D$7)*(Supuestos!$F$7-Supuestos!$E$7))),IF(Supuestos!$C$7="Uniforme",Supuestos!$D$7+D500*(Supuestos!$E$7-Supuestos!$D$7),IF(Supuestos!$C$7="Lognormal",LOGINV(D500,LN(Supuestos!$D$7)-LN(1+Supuestos!$E$7^2/Supuestos!$D$7^2)/2,SQRT(LN(1+Supuestos!$E$7^2/Supuestos!$D$7^2))),Supuestos!$D$7))))))</f>
        <v/>
      </c>
      <c r="L500" s="32">
        <f>MIN(IF(Supuestos!$H$8="",1E+99,Supuestos!$H$8),MAX(IF(Supuestos!$G$8="",-1E+99,Supuestos!$G$8),IF(Supuestos!$C$8="Normal",NORMINV(E500,Supuestos!$D$8,Supuestos!$E$8),IF(Supuestos!$C$8="Triangular",IF(E500&lt;(Supuestos!$E$8-Supuestos!$D$8)/(Supuestos!$F$8-Supuestos!$D$8),Supuestos!$D$8+SQRT(E500*(Supuestos!$F$8-Supuestos!$D$8)*(Supuestos!$E$8-Supuestos!$D$8)),Supuestos!$F$8-SQRT((1-E500)*(Supuestos!$F$8-Supuestos!$D$8)*(Supuestos!$F$8-Supuestos!$E$8))),IF(Supuestos!$C$8="Uniforme",Supuestos!$D$8+E500*(Supuestos!$E$8-Supuestos!$D$8),IF(Supuestos!$C$8="Lognormal",LOGINV(E500,LN(Supuestos!$D$8)-LN(1+Supuestos!$E$8^2/Supuestos!$D$8^2)/2,SQRT(LN(1+Supuestos!$E$8^2/Supuestos!$D$8^2))),Supuestos!$D$8))))))</f>
        <v/>
      </c>
      <c r="M500" s="32">
        <f>MIN(IF(Supuestos!$H$9="",1E+99,Supuestos!$H$9),MAX(IF(Supuestos!$G$9="",-1E+99,Supuestos!$G$9),IF(Supuestos!$C$9="Normal",NORMINV(F500,Supuestos!$D$9,Supuestos!$E$9),IF(Supuestos!$C$9="Triangular",IF(F500&lt;(Supuestos!$E$9-Supuestos!$D$9)/(Supuestos!$F$9-Supuestos!$D$9),Supuestos!$D$9+SQRT(F500*(Supuestos!$F$9-Supuestos!$D$9)*(Supuestos!$E$9-Supuestos!$D$9)),Supuestos!$F$9-SQRT((1-F500)*(Supuestos!$F$9-Supuestos!$D$9)*(Supuestos!$F$9-Supuestos!$E$9))),IF(Supuestos!$C$9="Uniforme",Supuestos!$D$9+F500*(Supuestos!$E$9-Supuestos!$D$9),IF(Supuestos!$C$9="Lognormal",LOGINV(F500,LN(Supuestos!$D$9)-LN(1+Supuestos!$E$9^2/Supuestos!$D$9^2)/2,SQRT(LN(1+Supuestos!$E$9^2/Supuestos!$D$9^2))),Supuestos!$D$9))))))</f>
        <v/>
      </c>
      <c r="N500" s="32">
        <f>MIN(IF(Supuestos!$H$10="",1E+99,Supuestos!$H$10),MAX(IF(Supuestos!$G$10="",-1E+99,Supuestos!$G$10),IF(Supuestos!$C$10="Normal",NORMINV(G500,Supuestos!$D$10,Supuestos!$E$10),IF(Supuestos!$C$10="Triangular",IF(G500&lt;(Supuestos!$E$10-Supuestos!$D$10)/(Supuestos!$F$10-Supuestos!$D$10),Supuestos!$D$10+SQRT(G500*(Supuestos!$F$10-Supuestos!$D$10)*(Supuestos!$E$10-Supuestos!$D$10)),Supuestos!$F$10-SQRT((1-G500)*(Supuestos!$F$10-Supuestos!$D$10)*(Supuestos!$F$10-Supuestos!$E$10))),IF(Supuestos!$C$10="Uniforme",Supuestos!$D$10+G500*(Supuestos!$E$10-Supuestos!$D$10),IF(Supuestos!$C$10="Lognormal",LOGINV(G500,LN(Supuestos!$D$10)-LN(1+Supuestos!$E$10^2/Supuestos!$D$10^2)/2,SQRT(LN(1+Supuestos!$E$10^2/Supuestos!$D$10^2))),Supuestos!$D$10))))))</f>
        <v/>
      </c>
      <c r="O500" s="31">
        <f>MIN(IF(Supuestos!$H$11="",1E+99,Supuestos!$H$11),MAX(IF(Supuestos!$G$11="",-1E+99,Supuestos!$G$11),IF(Supuestos!$C$11="Normal",NORMINV(H500,Supuestos!$D$11,Supuestos!$E$11),IF(Supuestos!$C$11="Triangular",IF(H500&lt;(Supuestos!$E$11-Supuestos!$D$11)/(Supuestos!$F$11-Supuestos!$D$11),Supuestos!$D$11+SQRT(H500*(Supuestos!$F$11-Supuestos!$D$11)*(Supuestos!$E$11-Supuestos!$D$11)),Supuestos!$F$11-SQRT((1-H500)*(Supuestos!$F$11-Supuestos!$D$11)*(Supuestos!$F$11-Supuestos!$E$11))),IF(Supuestos!$C$11="Uniforme",Supuestos!$D$11+H500*(Supuestos!$E$11-Supuestos!$D$11),IF(Supuestos!$C$11="Lognormal",LOGINV(H500,LN(Supuestos!$D$11)-LN(1+Supuestos!$E$11^2/Supuestos!$D$11^2)/2,SQRT(LN(1+Supuestos!$E$11^2/Supuestos!$D$11^2))),Supuestos!$D$11))))))</f>
        <v/>
      </c>
      <c r="P500" s="33">
        <f>-I500</f>
        <v/>
      </c>
      <c r="Q500" s="33">
        <f>$J500*(1+$K500)^(1-1)*(1-$L500)*(1-$M500)</f>
        <v/>
      </c>
      <c r="R500" s="33">
        <f>$J500*(1+$K500)^(2-1)*(1-$L500)*(1-$M500)</f>
        <v/>
      </c>
      <c r="S500" s="33">
        <f>$J500*(1+$K500)^(3-1)*(1-$L500)*(1-$M500)</f>
        <v/>
      </c>
      <c r="T500" s="33">
        <f>$J500*(1+$K500)^(4-1)*(1-$L500)*(1-$M500)</f>
        <v/>
      </c>
      <c r="U500" s="33">
        <f>$J500*(1+$K500)^(5-1)*(1-$L500)*(1-$M500)+$O500</f>
        <v/>
      </c>
      <c r="V500" s="33">
        <f>P500+NPV($N500,Q500:U500)</f>
        <v/>
      </c>
      <c r="W500" s="32">
        <f>IFERROR(IRR(P500:U500,0.1),"")</f>
        <v/>
      </c>
    </row>
    <row r="501">
      <c r="A501" s="14" t="n">
        <v>497</v>
      </c>
      <c r="B501" s="30">
        <f>RAND()*(1-2E-6)+1E-6</f>
        <v/>
      </c>
      <c r="C501" s="30">
        <f>RAND()*(1-2E-6)+1E-6</f>
        <v/>
      </c>
      <c r="D501" s="30">
        <f>RAND()*(1-2E-6)+1E-6</f>
        <v/>
      </c>
      <c r="E501" s="30">
        <f>RAND()*(1-2E-6)+1E-6</f>
        <v/>
      </c>
      <c r="F501" s="30">
        <f>RAND()*(1-2E-6)+1E-6</f>
        <v/>
      </c>
      <c r="G501" s="30">
        <f>RAND()*(1-2E-6)+1E-6</f>
        <v/>
      </c>
      <c r="H501" s="30">
        <f>RAND()*(1-2E-6)+1E-6</f>
        <v/>
      </c>
      <c r="I501" s="31">
        <f>MIN(IF(Supuestos!$H$5="",1E+99,Supuestos!$H$5),MAX(IF(Supuestos!$G$5="",-1E+99,Supuestos!$G$5),IF(Supuestos!$C$5="Normal",NORMINV(B501,Supuestos!$D$5,Supuestos!$E$5),IF(Supuestos!$C$5="Triangular",IF(B501&lt;(Supuestos!$E$5-Supuestos!$D$5)/(Supuestos!$F$5-Supuestos!$D$5),Supuestos!$D$5+SQRT(B501*(Supuestos!$F$5-Supuestos!$D$5)*(Supuestos!$E$5-Supuestos!$D$5)),Supuestos!$F$5-SQRT((1-B501)*(Supuestos!$F$5-Supuestos!$D$5)*(Supuestos!$F$5-Supuestos!$E$5))),IF(Supuestos!$C$5="Uniforme",Supuestos!$D$5+B501*(Supuestos!$E$5-Supuestos!$D$5),IF(Supuestos!$C$5="Lognormal",LOGINV(B501,LN(Supuestos!$D$5)-LN(1+Supuestos!$E$5^2/Supuestos!$D$5^2)/2,SQRT(LN(1+Supuestos!$E$5^2/Supuestos!$D$5^2))),Supuestos!$D$5))))))</f>
        <v/>
      </c>
      <c r="J501" s="31">
        <f>MIN(IF(Supuestos!$H$6="",1E+99,Supuestos!$H$6),MAX(IF(Supuestos!$G$6="",-1E+99,Supuestos!$G$6),IF(Supuestos!$C$6="Normal",NORMINV(C501,Supuestos!$D$6,Supuestos!$E$6),IF(Supuestos!$C$6="Triangular",IF(C501&lt;(Supuestos!$E$6-Supuestos!$D$6)/(Supuestos!$F$6-Supuestos!$D$6),Supuestos!$D$6+SQRT(C501*(Supuestos!$F$6-Supuestos!$D$6)*(Supuestos!$E$6-Supuestos!$D$6)),Supuestos!$F$6-SQRT((1-C501)*(Supuestos!$F$6-Supuestos!$D$6)*(Supuestos!$F$6-Supuestos!$E$6))),IF(Supuestos!$C$6="Uniforme",Supuestos!$D$6+C501*(Supuestos!$E$6-Supuestos!$D$6),IF(Supuestos!$C$6="Lognormal",LOGINV(C501,LN(Supuestos!$D$6)-LN(1+Supuestos!$E$6^2/Supuestos!$D$6^2)/2,SQRT(LN(1+Supuestos!$E$6^2/Supuestos!$D$6^2))),Supuestos!$D$6))))))</f>
        <v/>
      </c>
      <c r="K501" s="32">
        <f>MIN(IF(Supuestos!$H$7="",1E+99,Supuestos!$H$7),MAX(IF(Supuestos!$G$7="",-1E+99,Supuestos!$G$7),IF(Supuestos!$C$7="Normal",NORMINV(D501,Supuestos!$D$7,Supuestos!$E$7),IF(Supuestos!$C$7="Triangular",IF(D501&lt;(Supuestos!$E$7-Supuestos!$D$7)/(Supuestos!$F$7-Supuestos!$D$7),Supuestos!$D$7+SQRT(D501*(Supuestos!$F$7-Supuestos!$D$7)*(Supuestos!$E$7-Supuestos!$D$7)),Supuestos!$F$7-SQRT((1-D501)*(Supuestos!$F$7-Supuestos!$D$7)*(Supuestos!$F$7-Supuestos!$E$7))),IF(Supuestos!$C$7="Uniforme",Supuestos!$D$7+D501*(Supuestos!$E$7-Supuestos!$D$7),IF(Supuestos!$C$7="Lognormal",LOGINV(D501,LN(Supuestos!$D$7)-LN(1+Supuestos!$E$7^2/Supuestos!$D$7^2)/2,SQRT(LN(1+Supuestos!$E$7^2/Supuestos!$D$7^2))),Supuestos!$D$7))))))</f>
        <v/>
      </c>
      <c r="L501" s="32">
        <f>MIN(IF(Supuestos!$H$8="",1E+99,Supuestos!$H$8),MAX(IF(Supuestos!$G$8="",-1E+99,Supuestos!$G$8),IF(Supuestos!$C$8="Normal",NORMINV(E501,Supuestos!$D$8,Supuestos!$E$8),IF(Supuestos!$C$8="Triangular",IF(E501&lt;(Supuestos!$E$8-Supuestos!$D$8)/(Supuestos!$F$8-Supuestos!$D$8),Supuestos!$D$8+SQRT(E501*(Supuestos!$F$8-Supuestos!$D$8)*(Supuestos!$E$8-Supuestos!$D$8)),Supuestos!$F$8-SQRT((1-E501)*(Supuestos!$F$8-Supuestos!$D$8)*(Supuestos!$F$8-Supuestos!$E$8))),IF(Supuestos!$C$8="Uniforme",Supuestos!$D$8+E501*(Supuestos!$E$8-Supuestos!$D$8),IF(Supuestos!$C$8="Lognormal",LOGINV(E501,LN(Supuestos!$D$8)-LN(1+Supuestos!$E$8^2/Supuestos!$D$8^2)/2,SQRT(LN(1+Supuestos!$E$8^2/Supuestos!$D$8^2))),Supuestos!$D$8))))))</f>
        <v/>
      </c>
      <c r="M501" s="32">
        <f>MIN(IF(Supuestos!$H$9="",1E+99,Supuestos!$H$9),MAX(IF(Supuestos!$G$9="",-1E+99,Supuestos!$G$9),IF(Supuestos!$C$9="Normal",NORMINV(F501,Supuestos!$D$9,Supuestos!$E$9),IF(Supuestos!$C$9="Triangular",IF(F501&lt;(Supuestos!$E$9-Supuestos!$D$9)/(Supuestos!$F$9-Supuestos!$D$9),Supuestos!$D$9+SQRT(F501*(Supuestos!$F$9-Supuestos!$D$9)*(Supuestos!$E$9-Supuestos!$D$9)),Supuestos!$F$9-SQRT((1-F501)*(Supuestos!$F$9-Supuestos!$D$9)*(Supuestos!$F$9-Supuestos!$E$9))),IF(Supuestos!$C$9="Uniforme",Supuestos!$D$9+F501*(Supuestos!$E$9-Supuestos!$D$9),IF(Supuestos!$C$9="Lognormal",LOGINV(F501,LN(Supuestos!$D$9)-LN(1+Supuestos!$E$9^2/Supuestos!$D$9^2)/2,SQRT(LN(1+Supuestos!$E$9^2/Supuestos!$D$9^2))),Supuestos!$D$9))))))</f>
        <v/>
      </c>
      <c r="N501" s="32">
        <f>MIN(IF(Supuestos!$H$10="",1E+99,Supuestos!$H$10),MAX(IF(Supuestos!$G$10="",-1E+99,Supuestos!$G$10),IF(Supuestos!$C$10="Normal",NORMINV(G501,Supuestos!$D$10,Supuestos!$E$10),IF(Supuestos!$C$10="Triangular",IF(G501&lt;(Supuestos!$E$10-Supuestos!$D$10)/(Supuestos!$F$10-Supuestos!$D$10),Supuestos!$D$10+SQRT(G501*(Supuestos!$F$10-Supuestos!$D$10)*(Supuestos!$E$10-Supuestos!$D$10)),Supuestos!$F$10-SQRT((1-G501)*(Supuestos!$F$10-Supuestos!$D$10)*(Supuestos!$F$10-Supuestos!$E$10))),IF(Supuestos!$C$10="Uniforme",Supuestos!$D$10+G501*(Supuestos!$E$10-Supuestos!$D$10),IF(Supuestos!$C$10="Lognormal",LOGINV(G501,LN(Supuestos!$D$10)-LN(1+Supuestos!$E$10^2/Supuestos!$D$10^2)/2,SQRT(LN(1+Supuestos!$E$10^2/Supuestos!$D$10^2))),Supuestos!$D$10))))))</f>
        <v/>
      </c>
      <c r="O501" s="31">
        <f>MIN(IF(Supuestos!$H$11="",1E+99,Supuestos!$H$11),MAX(IF(Supuestos!$G$11="",-1E+99,Supuestos!$G$11),IF(Supuestos!$C$11="Normal",NORMINV(H501,Supuestos!$D$11,Supuestos!$E$11),IF(Supuestos!$C$11="Triangular",IF(H501&lt;(Supuestos!$E$11-Supuestos!$D$11)/(Supuestos!$F$11-Supuestos!$D$11),Supuestos!$D$11+SQRT(H501*(Supuestos!$F$11-Supuestos!$D$11)*(Supuestos!$E$11-Supuestos!$D$11)),Supuestos!$F$11-SQRT((1-H501)*(Supuestos!$F$11-Supuestos!$D$11)*(Supuestos!$F$11-Supuestos!$E$11))),IF(Supuestos!$C$11="Uniforme",Supuestos!$D$11+H501*(Supuestos!$E$11-Supuestos!$D$11),IF(Supuestos!$C$11="Lognormal",LOGINV(H501,LN(Supuestos!$D$11)-LN(1+Supuestos!$E$11^2/Supuestos!$D$11^2)/2,SQRT(LN(1+Supuestos!$E$11^2/Supuestos!$D$11^2))),Supuestos!$D$11))))))</f>
        <v/>
      </c>
      <c r="P501" s="33">
        <f>-I501</f>
        <v/>
      </c>
      <c r="Q501" s="33">
        <f>$J501*(1+$K501)^(1-1)*(1-$L501)*(1-$M501)</f>
        <v/>
      </c>
      <c r="R501" s="33">
        <f>$J501*(1+$K501)^(2-1)*(1-$L501)*(1-$M501)</f>
        <v/>
      </c>
      <c r="S501" s="33">
        <f>$J501*(1+$K501)^(3-1)*(1-$L501)*(1-$M501)</f>
        <v/>
      </c>
      <c r="T501" s="33">
        <f>$J501*(1+$K501)^(4-1)*(1-$L501)*(1-$M501)</f>
        <v/>
      </c>
      <c r="U501" s="33">
        <f>$J501*(1+$K501)^(5-1)*(1-$L501)*(1-$M501)+$O501</f>
        <v/>
      </c>
      <c r="V501" s="33">
        <f>P501+NPV($N501,Q501:U501)</f>
        <v/>
      </c>
      <c r="W501" s="32">
        <f>IFERROR(IRR(P501:U501,0.1),"")</f>
        <v/>
      </c>
    </row>
    <row r="502">
      <c r="A502" s="14" t="n">
        <v>498</v>
      </c>
      <c r="B502" s="30">
        <f>RAND()*(1-2E-6)+1E-6</f>
        <v/>
      </c>
      <c r="C502" s="30">
        <f>RAND()*(1-2E-6)+1E-6</f>
        <v/>
      </c>
      <c r="D502" s="30">
        <f>RAND()*(1-2E-6)+1E-6</f>
        <v/>
      </c>
      <c r="E502" s="30">
        <f>RAND()*(1-2E-6)+1E-6</f>
        <v/>
      </c>
      <c r="F502" s="30">
        <f>RAND()*(1-2E-6)+1E-6</f>
        <v/>
      </c>
      <c r="G502" s="30">
        <f>RAND()*(1-2E-6)+1E-6</f>
        <v/>
      </c>
      <c r="H502" s="30">
        <f>RAND()*(1-2E-6)+1E-6</f>
        <v/>
      </c>
      <c r="I502" s="31">
        <f>MIN(IF(Supuestos!$H$5="",1E+99,Supuestos!$H$5),MAX(IF(Supuestos!$G$5="",-1E+99,Supuestos!$G$5),IF(Supuestos!$C$5="Normal",NORMINV(B502,Supuestos!$D$5,Supuestos!$E$5),IF(Supuestos!$C$5="Triangular",IF(B502&lt;(Supuestos!$E$5-Supuestos!$D$5)/(Supuestos!$F$5-Supuestos!$D$5),Supuestos!$D$5+SQRT(B502*(Supuestos!$F$5-Supuestos!$D$5)*(Supuestos!$E$5-Supuestos!$D$5)),Supuestos!$F$5-SQRT((1-B502)*(Supuestos!$F$5-Supuestos!$D$5)*(Supuestos!$F$5-Supuestos!$E$5))),IF(Supuestos!$C$5="Uniforme",Supuestos!$D$5+B502*(Supuestos!$E$5-Supuestos!$D$5),IF(Supuestos!$C$5="Lognormal",LOGINV(B502,LN(Supuestos!$D$5)-LN(1+Supuestos!$E$5^2/Supuestos!$D$5^2)/2,SQRT(LN(1+Supuestos!$E$5^2/Supuestos!$D$5^2))),Supuestos!$D$5))))))</f>
        <v/>
      </c>
      <c r="J502" s="31">
        <f>MIN(IF(Supuestos!$H$6="",1E+99,Supuestos!$H$6),MAX(IF(Supuestos!$G$6="",-1E+99,Supuestos!$G$6),IF(Supuestos!$C$6="Normal",NORMINV(C502,Supuestos!$D$6,Supuestos!$E$6),IF(Supuestos!$C$6="Triangular",IF(C502&lt;(Supuestos!$E$6-Supuestos!$D$6)/(Supuestos!$F$6-Supuestos!$D$6),Supuestos!$D$6+SQRT(C502*(Supuestos!$F$6-Supuestos!$D$6)*(Supuestos!$E$6-Supuestos!$D$6)),Supuestos!$F$6-SQRT((1-C502)*(Supuestos!$F$6-Supuestos!$D$6)*(Supuestos!$F$6-Supuestos!$E$6))),IF(Supuestos!$C$6="Uniforme",Supuestos!$D$6+C502*(Supuestos!$E$6-Supuestos!$D$6),IF(Supuestos!$C$6="Lognormal",LOGINV(C502,LN(Supuestos!$D$6)-LN(1+Supuestos!$E$6^2/Supuestos!$D$6^2)/2,SQRT(LN(1+Supuestos!$E$6^2/Supuestos!$D$6^2))),Supuestos!$D$6))))))</f>
        <v/>
      </c>
      <c r="K502" s="32">
        <f>MIN(IF(Supuestos!$H$7="",1E+99,Supuestos!$H$7),MAX(IF(Supuestos!$G$7="",-1E+99,Supuestos!$G$7),IF(Supuestos!$C$7="Normal",NORMINV(D502,Supuestos!$D$7,Supuestos!$E$7),IF(Supuestos!$C$7="Triangular",IF(D502&lt;(Supuestos!$E$7-Supuestos!$D$7)/(Supuestos!$F$7-Supuestos!$D$7),Supuestos!$D$7+SQRT(D502*(Supuestos!$F$7-Supuestos!$D$7)*(Supuestos!$E$7-Supuestos!$D$7)),Supuestos!$F$7-SQRT((1-D502)*(Supuestos!$F$7-Supuestos!$D$7)*(Supuestos!$F$7-Supuestos!$E$7))),IF(Supuestos!$C$7="Uniforme",Supuestos!$D$7+D502*(Supuestos!$E$7-Supuestos!$D$7),IF(Supuestos!$C$7="Lognormal",LOGINV(D502,LN(Supuestos!$D$7)-LN(1+Supuestos!$E$7^2/Supuestos!$D$7^2)/2,SQRT(LN(1+Supuestos!$E$7^2/Supuestos!$D$7^2))),Supuestos!$D$7))))))</f>
        <v/>
      </c>
      <c r="L502" s="32">
        <f>MIN(IF(Supuestos!$H$8="",1E+99,Supuestos!$H$8),MAX(IF(Supuestos!$G$8="",-1E+99,Supuestos!$G$8),IF(Supuestos!$C$8="Normal",NORMINV(E502,Supuestos!$D$8,Supuestos!$E$8),IF(Supuestos!$C$8="Triangular",IF(E502&lt;(Supuestos!$E$8-Supuestos!$D$8)/(Supuestos!$F$8-Supuestos!$D$8),Supuestos!$D$8+SQRT(E502*(Supuestos!$F$8-Supuestos!$D$8)*(Supuestos!$E$8-Supuestos!$D$8)),Supuestos!$F$8-SQRT((1-E502)*(Supuestos!$F$8-Supuestos!$D$8)*(Supuestos!$F$8-Supuestos!$E$8))),IF(Supuestos!$C$8="Uniforme",Supuestos!$D$8+E502*(Supuestos!$E$8-Supuestos!$D$8),IF(Supuestos!$C$8="Lognormal",LOGINV(E502,LN(Supuestos!$D$8)-LN(1+Supuestos!$E$8^2/Supuestos!$D$8^2)/2,SQRT(LN(1+Supuestos!$E$8^2/Supuestos!$D$8^2))),Supuestos!$D$8))))))</f>
        <v/>
      </c>
      <c r="M502" s="32">
        <f>MIN(IF(Supuestos!$H$9="",1E+99,Supuestos!$H$9),MAX(IF(Supuestos!$G$9="",-1E+99,Supuestos!$G$9),IF(Supuestos!$C$9="Normal",NORMINV(F502,Supuestos!$D$9,Supuestos!$E$9),IF(Supuestos!$C$9="Triangular",IF(F502&lt;(Supuestos!$E$9-Supuestos!$D$9)/(Supuestos!$F$9-Supuestos!$D$9),Supuestos!$D$9+SQRT(F502*(Supuestos!$F$9-Supuestos!$D$9)*(Supuestos!$E$9-Supuestos!$D$9)),Supuestos!$F$9-SQRT((1-F502)*(Supuestos!$F$9-Supuestos!$D$9)*(Supuestos!$F$9-Supuestos!$E$9))),IF(Supuestos!$C$9="Uniforme",Supuestos!$D$9+F502*(Supuestos!$E$9-Supuestos!$D$9),IF(Supuestos!$C$9="Lognormal",LOGINV(F502,LN(Supuestos!$D$9)-LN(1+Supuestos!$E$9^2/Supuestos!$D$9^2)/2,SQRT(LN(1+Supuestos!$E$9^2/Supuestos!$D$9^2))),Supuestos!$D$9))))))</f>
        <v/>
      </c>
      <c r="N502" s="32">
        <f>MIN(IF(Supuestos!$H$10="",1E+99,Supuestos!$H$10),MAX(IF(Supuestos!$G$10="",-1E+99,Supuestos!$G$10),IF(Supuestos!$C$10="Normal",NORMINV(G502,Supuestos!$D$10,Supuestos!$E$10),IF(Supuestos!$C$10="Triangular",IF(G502&lt;(Supuestos!$E$10-Supuestos!$D$10)/(Supuestos!$F$10-Supuestos!$D$10),Supuestos!$D$10+SQRT(G502*(Supuestos!$F$10-Supuestos!$D$10)*(Supuestos!$E$10-Supuestos!$D$10)),Supuestos!$F$10-SQRT((1-G502)*(Supuestos!$F$10-Supuestos!$D$10)*(Supuestos!$F$10-Supuestos!$E$10))),IF(Supuestos!$C$10="Uniforme",Supuestos!$D$10+G502*(Supuestos!$E$10-Supuestos!$D$10),IF(Supuestos!$C$10="Lognormal",LOGINV(G502,LN(Supuestos!$D$10)-LN(1+Supuestos!$E$10^2/Supuestos!$D$10^2)/2,SQRT(LN(1+Supuestos!$E$10^2/Supuestos!$D$10^2))),Supuestos!$D$10))))))</f>
        <v/>
      </c>
      <c r="O502" s="31">
        <f>MIN(IF(Supuestos!$H$11="",1E+99,Supuestos!$H$11),MAX(IF(Supuestos!$G$11="",-1E+99,Supuestos!$G$11),IF(Supuestos!$C$11="Normal",NORMINV(H502,Supuestos!$D$11,Supuestos!$E$11),IF(Supuestos!$C$11="Triangular",IF(H502&lt;(Supuestos!$E$11-Supuestos!$D$11)/(Supuestos!$F$11-Supuestos!$D$11),Supuestos!$D$11+SQRT(H502*(Supuestos!$F$11-Supuestos!$D$11)*(Supuestos!$E$11-Supuestos!$D$11)),Supuestos!$F$11-SQRT((1-H502)*(Supuestos!$F$11-Supuestos!$D$11)*(Supuestos!$F$11-Supuestos!$E$11))),IF(Supuestos!$C$11="Uniforme",Supuestos!$D$11+H502*(Supuestos!$E$11-Supuestos!$D$11),IF(Supuestos!$C$11="Lognormal",LOGINV(H502,LN(Supuestos!$D$11)-LN(1+Supuestos!$E$11^2/Supuestos!$D$11^2)/2,SQRT(LN(1+Supuestos!$E$11^2/Supuestos!$D$11^2))),Supuestos!$D$11))))))</f>
        <v/>
      </c>
      <c r="P502" s="33">
        <f>-I502</f>
        <v/>
      </c>
      <c r="Q502" s="33">
        <f>$J502*(1+$K502)^(1-1)*(1-$L502)*(1-$M502)</f>
        <v/>
      </c>
      <c r="R502" s="33">
        <f>$J502*(1+$K502)^(2-1)*(1-$L502)*(1-$M502)</f>
        <v/>
      </c>
      <c r="S502" s="33">
        <f>$J502*(1+$K502)^(3-1)*(1-$L502)*(1-$M502)</f>
        <v/>
      </c>
      <c r="T502" s="33">
        <f>$J502*(1+$K502)^(4-1)*(1-$L502)*(1-$M502)</f>
        <v/>
      </c>
      <c r="U502" s="33">
        <f>$J502*(1+$K502)^(5-1)*(1-$L502)*(1-$M502)+$O502</f>
        <v/>
      </c>
      <c r="V502" s="33">
        <f>P502+NPV($N502,Q502:U502)</f>
        <v/>
      </c>
      <c r="W502" s="32">
        <f>IFERROR(IRR(P502:U502,0.1),"")</f>
        <v/>
      </c>
    </row>
    <row r="503">
      <c r="A503" s="14" t="n">
        <v>499</v>
      </c>
      <c r="B503" s="30">
        <f>RAND()*(1-2E-6)+1E-6</f>
        <v/>
      </c>
      <c r="C503" s="30">
        <f>RAND()*(1-2E-6)+1E-6</f>
        <v/>
      </c>
      <c r="D503" s="30">
        <f>RAND()*(1-2E-6)+1E-6</f>
        <v/>
      </c>
      <c r="E503" s="30">
        <f>RAND()*(1-2E-6)+1E-6</f>
        <v/>
      </c>
      <c r="F503" s="30">
        <f>RAND()*(1-2E-6)+1E-6</f>
        <v/>
      </c>
      <c r="G503" s="30">
        <f>RAND()*(1-2E-6)+1E-6</f>
        <v/>
      </c>
      <c r="H503" s="30">
        <f>RAND()*(1-2E-6)+1E-6</f>
        <v/>
      </c>
      <c r="I503" s="31">
        <f>MIN(IF(Supuestos!$H$5="",1E+99,Supuestos!$H$5),MAX(IF(Supuestos!$G$5="",-1E+99,Supuestos!$G$5),IF(Supuestos!$C$5="Normal",NORMINV(B503,Supuestos!$D$5,Supuestos!$E$5),IF(Supuestos!$C$5="Triangular",IF(B503&lt;(Supuestos!$E$5-Supuestos!$D$5)/(Supuestos!$F$5-Supuestos!$D$5),Supuestos!$D$5+SQRT(B503*(Supuestos!$F$5-Supuestos!$D$5)*(Supuestos!$E$5-Supuestos!$D$5)),Supuestos!$F$5-SQRT((1-B503)*(Supuestos!$F$5-Supuestos!$D$5)*(Supuestos!$F$5-Supuestos!$E$5))),IF(Supuestos!$C$5="Uniforme",Supuestos!$D$5+B503*(Supuestos!$E$5-Supuestos!$D$5),IF(Supuestos!$C$5="Lognormal",LOGINV(B503,LN(Supuestos!$D$5)-LN(1+Supuestos!$E$5^2/Supuestos!$D$5^2)/2,SQRT(LN(1+Supuestos!$E$5^2/Supuestos!$D$5^2))),Supuestos!$D$5))))))</f>
        <v/>
      </c>
      <c r="J503" s="31">
        <f>MIN(IF(Supuestos!$H$6="",1E+99,Supuestos!$H$6),MAX(IF(Supuestos!$G$6="",-1E+99,Supuestos!$G$6),IF(Supuestos!$C$6="Normal",NORMINV(C503,Supuestos!$D$6,Supuestos!$E$6),IF(Supuestos!$C$6="Triangular",IF(C503&lt;(Supuestos!$E$6-Supuestos!$D$6)/(Supuestos!$F$6-Supuestos!$D$6),Supuestos!$D$6+SQRT(C503*(Supuestos!$F$6-Supuestos!$D$6)*(Supuestos!$E$6-Supuestos!$D$6)),Supuestos!$F$6-SQRT((1-C503)*(Supuestos!$F$6-Supuestos!$D$6)*(Supuestos!$F$6-Supuestos!$E$6))),IF(Supuestos!$C$6="Uniforme",Supuestos!$D$6+C503*(Supuestos!$E$6-Supuestos!$D$6),IF(Supuestos!$C$6="Lognormal",LOGINV(C503,LN(Supuestos!$D$6)-LN(1+Supuestos!$E$6^2/Supuestos!$D$6^2)/2,SQRT(LN(1+Supuestos!$E$6^2/Supuestos!$D$6^2))),Supuestos!$D$6))))))</f>
        <v/>
      </c>
      <c r="K503" s="32">
        <f>MIN(IF(Supuestos!$H$7="",1E+99,Supuestos!$H$7),MAX(IF(Supuestos!$G$7="",-1E+99,Supuestos!$G$7),IF(Supuestos!$C$7="Normal",NORMINV(D503,Supuestos!$D$7,Supuestos!$E$7),IF(Supuestos!$C$7="Triangular",IF(D503&lt;(Supuestos!$E$7-Supuestos!$D$7)/(Supuestos!$F$7-Supuestos!$D$7),Supuestos!$D$7+SQRT(D503*(Supuestos!$F$7-Supuestos!$D$7)*(Supuestos!$E$7-Supuestos!$D$7)),Supuestos!$F$7-SQRT((1-D503)*(Supuestos!$F$7-Supuestos!$D$7)*(Supuestos!$F$7-Supuestos!$E$7))),IF(Supuestos!$C$7="Uniforme",Supuestos!$D$7+D503*(Supuestos!$E$7-Supuestos!$D$7),IF(Supuestos!$C$7="Lognormal",LOGINV(D503,LN(Supuestos!$D$7)-LN(1+Supuestos!$E$7^2/Supuestos!$D$7^2)/2,SQRT(LN(1+Supuestos!$E$7^2/Supuestos!$D$7^2))),Supuestos!$D$7))))))</f>
        <v/>
      </c>
      <c r="L503" s="32">
        <f>MIN(IF(Supuestos!$H$8="",1E+99,Supuestos!$H$8),MAX(IF(Supuestos!$G$8="",-1E+99,Supuestos!$G$8),IF(Supuestos!$C$8="Normal",NORMINV(E503,Supuestos!$D$8,Supuestos!$E$8),IF(Supuestos!$C$8="Triangular",IF(E503&lt;(Supuestos!$E$8-Supuestos!$D$8)/(Supuestos!$F$8-Supuestos!$D$8),Supuestos!$D$8+SQRT(E503*(Supuestos!$F$8-Supuestos!$D$8)*(Supuestos!$E$8-Supuestos!$D$8)),Supuestos!$F$8-SQRT((1-E503)*(Supuestos!$F$8-Supuestos!$D$8)*(Supuestos!$F$8-Supuestos!$E$8))),IF(Supuestos!$C$8="Uniforme",Supuestos!$D$8+E503*(Supuestos!$E$8-Supuestos!$D$8),IF(Supuestos!$C$8="Lognormal",LOGINV(E503,LN(Supuestos!$D$8)-LN(1+Supuestos!$E$8^2/Supuestos!$D$8^2)/2,SQRT(LN(1+Supuestos!$E$8^2/Supuestos!$D$8^2))),Supuestos!$D$8))))))</f>
        <v/>
      </c>
      <c r="M503" s="32">
        <f>MIN(IF(Supuestos!$H$9="",1E+99,Supuestos!$H$9),MAX(IF(Supuestos!$G$9="",-1E+99,Supuestos!$G$9),IF(Supuestos!$C$9="Normal",NORMINV(F503,Supuestos!$D$9,Supuestos!$E$9),IF(Supuestos!$C$9="Triangular",IF(F503&lt;(Supuestos!$E$9-Supuestos!$D$9)/(Supuestos!$F$9-Supuestos!$D$9),Supuestos!$D$9+SQRT(F503*(Supuestos!$F$9-Supuestos!$D$9)*(Supuestos!$E$9-Supuestos!$D$9)),Supuestos!$F$9-SQRT((1-F503)*(Supuestos!$F$9-Supuestos!$D$9)*(Supuestos!$F$9-Supuestos!$E$9))),IF(Supuestos!$C$9="Uniforme",Supuestos!$D$9+F503*(Supuestos!$E$9-Supuestos!$D$9),IF(Supuestos!$C$9="Lognormal",LOGINV(F503,LN(Supuestos!$D$9)-LN(1+Supuestos!$E$9^2/Supuestos!$D$9^2)/2,SQRT(LN(1+Supuestos!$E$9^2/Supuestos!$D$9^2))),Supuestos!$D$9))))))</f>
        <v/>
      </c>
      <c r="N503" s="32">
        <f>MIN(IF(Supuestos!$H$10="",1E+99,Supuestos!$H$10),MAX(IF(Supuestos!$G$10="",-1E+99,Supuestos!$G$10),IF(Supuestos!$C$10="Normal",NORMINV(G503,Supuestos!$D$10,Supuestos!$E$10),IF(Supuestos!$C$10="Triangular",IF(G503&lt;(Supuestos!$E$10-Supuestos!$D$10)/(Supuestos!$F$10-Supuestos!$D$10),Supuestos!$D$10+SQRT(G503*(Supuestos!$F$10-Supuestos!$D$10)*(Supuestos!$E$10-Supuestos!$D$10)),Supuestos!$F$10-SQRT((1-G503)*(Supuestos!$F$10-Supuestos!$D$10)*(Supuestos!$F$10-Supuestos!$E$10))),IF(Supuestos!$C$10="Uniforme",Supuestos!$D$10+G503*(Supuestos!$E$10-Supuestos!$D$10),IF(Supuestos!$C$10="Lognormal",LOGINV(G503,LN(Supuestos!$D$10)-LN(1+Supuestos!$E$10^2/Supuestos!$D$10^2)/2,SQRT(LN(1+Supuestos!$E$10^2/Supuestos!$D$10^2))),Supuestos!$D$10))))))</f>
        <v/>
      </c>
      <c r="O503" s="31">
        <f>MIN(IF(Supuestos!$H$11="",1E+99,Supuestos!$H$11),MAX(IF(Supuestos!$G$11="",-1E+99,Supuestos!$G$11),IF(Supuestos!$C$11="Normal",NORMINV(H503,Supuestos!$D$11,Supuestos!$E$11),IF(Supuestos!$C$11="Triangular",IF(H503&lt;(Supuestos!$E$11-Supuestos!$D$11)/(Supuestos!$F$11-Supuestos!$D$11),Supuestos!$D$11+SQRT(H503*(Supuestos!$F$11-Supuestos!$D$11)*(Supuestos!$E$11-Supuestos!$D$11)),Supuestos!$F$11-SQRT((1-H503)*(Supuestos!$F$11-Supuestos!$D$11)*(Supuestos!$F$11-Supuestos!$E$11))),IF(Supuestos!$C$11="Uniforme",Supuestos!$D$11+H503*(Supuestos!$E$11-Supuestos!$D$11),IF(Supuestos!$C$11="Lognormal",LOGINV(H503,LN(Supuestos!$D$11)-LN(1+Supuestos!$E$11^2/Supuestos!$D$11^2)/2,SQRT(LN(1+Supuestos!$E$11^2/Supuestos!$D$11^2))),Supuestos!$D$11))))))</f>
        <v/>
      </c>
      <c r="P503" s="33">
        <f>-I503</f>
        <v/>
      </c>
      <c r="Q503" s="33">
        <f>$J503*(1+$K503)^(1-1)*(1-$L503)*(1-$M503)</f>
        <v/>
      </c>
      <c r="R503" s="33">
        <f>$J503*(1+$K503)^(2-1)*(1-$L503)*(1-$M503)</f>
        <v/>
      </c>
      <c r="S503" s="33">
        <f>$J503*(1+$K503)^(3-1)*(1-$L503)*(1-$M503)</f>
        <v/>
      </c>
      <c r="T503" s="33">
        <f>$J503*(1+$K503)^(4-1)*(1-$L503)*(1-$M503)</f>
        <v/>
      </c>
      <c r="U503" s="33">
        <f>$J503*(1+$K503)^(5-1)*(1-$L503)*(1-$M503)+$O503</f>
        <v/>
      </c>
      <c r="V503" s="33">
        <f>P503+NPV($N503,Q503:U503)</f>
        <v/>
      </c>
      <c r="W503" s="32">
        <f>IFERROR(IRR(P503:U503,0.1),"")</f>
        <v/>
      </c>
    </row>
    <row r="504">
      <c r="A504" s="14" t="n">
        <v>500</v>
      </c>
      <c r="B504" s="30">
        <f>RAND()*(1-2E-6)+1E-6</f>
        <v/>
      </c>
      <c r="C504" s="30">
        <f>RAND()*(1-2E-6)+1E-6</f>
        <v/>
      </c>
      <c r="D504" s="30">
        <f>RAND()*(1-2E-6)+1E-6</f>
        <v/>
      </c>
      <c r="E504" s="30">
        <f>RAND()*(1-2E-6)+1E-6</f>
        <v/>
      </c>
      <c r="F504" s="30">
        <f>RAND()*(1-2E-6)+1E-6</f>
        <v/>
      </c>
      <c r="G504" s="30">
        <f>RAND()*(1-2E-6)+1E-6</f>
        <v/>
      </c>
      <c r="H504" s="30">
        <f>RAND()*(1-2E-6)+1E-6</f>
        <v/>
      </c>
      <c r="I504" s="31">
        <f>MIN(IF(Supuestos!$H$5="",1E+99,Supuestos!$H$5),MAX(IF(Supuestos!$G$5="",-1E+99,Supuestos!$G$5),IF(Supuestos!$C$5="Normal",NORMINV(B504,Supuestos!$D$5,Supuestos!$E$5),IF(Supuestos!$C$5="Triangular",IF(B504&lt;(Supuestos!$E$5-Supuestos!$D$5)/(Supuestos!$F$5-Supuestos!$D$5),Supuestos!$D$5+SQRT(B504*(Supuestos!$F$5-Supuestos!$D$5)*(Supuestos!$E$5-Supuestos!$D$5)),Supuestos!$F$5-SQRT((1-B504)*(Supuestos!$F$5-Supuestos!$D$5)*(Supuestos!$F$5-Supuestos!$E$5))),IF(Supuestos!$C$5="Uniforme",Supuestos!$D$5+B504*(Supuestos!$E$5-Supuestos!$D$5),IF(Supuestos!$C$5="Lognormal",LOGINV(B504,LN(Supuestos!$D$5)-LN(1+Supuestos!$E$5^2/Supuestos!$D$5^2)/2,SQRT(LN(1+Supuestos!$E$5^2/Supuestos!$D$5^2))),Supuestos!$D$5))))))</f>
        <v/>
      </c>
      <c r="J504" s="31">
        <f>MIN(IF(Supuestos!$H$6="",1E+99,Supuestos!$H$6),MAX(IF(Supuestos!$G$6="",-1E+99,Supuestos!$G$6),IF(Supuestos!$C$6="Normal",NORMINV(C504,Supuestos!$D$6,Supuestos!$E$6),IF(Supuestos!$C$6="Triangular",IF(C504&lt;(Supuestos!$E$6-Supuestos!$D$6)/(Supuestos!$F$6-Supuestos!$D$6),Supuestos!$D$6+SQRT(C504*(Supuestos!$F$6-Supuestos!$D$6)*(Supuestos!$E$6-Supuestos!$D$6)),Supuestos!$F$6-SQRT((1-C504)*(Supuestos!$F$6-Supuestos!$D$6)*(Supuestos!$F$6-Supuestos!$E$6))),IF(Supuestos!$C$6="Uniforme",Supuestos!$D$6+C504*(Supuestos!$E$6-Supuestos!$D$6),IF(Supuestos!$C$6="Lognormal",LOGINV(C504,LN(Supuestos!$D$6)-LN(1+Supuestos!$E$6^2/Supuestos!$D$6^2)/2,SQRT(LN(1+Supuestos!$E$6^2/Supuestos!$D$6^2))),Supuestos!$D$6))))))</f>
        <v/>
      </c>
      <c r="K504" s="32">
        <f>MIN(IF(Supuestos!$H$7="",1E+99,Supuestos!$H$7),MAX(IF(Supuestos!$G$7="",-1E+99,Supuestos!$G$7),IF(Supuestos!$C$7="Normal",NORMINV(D504,Supuestos!$D$7,Supuestos!$E$7),IF(Supuestos!$C$7="Triangular",IF(D504&lt;(Supuestos!$E$7-Supuestos!$D$7)/(Supuestos!$F$7-Supuestos!$D$7),Supuestos!$D$7+SQRT(D504*(Supuestos!$F$7-Supuestos!$D$7)*(Supuestos!$E$7-Supuestos!$D$7)),Supuestos!$F$7-SQRT((1-D504)*(Supuestos!$F$7-Supuestos!$D$7)*(Supuestos!$F$7-Supuestos!$E$7))),IF(Supuestos!$C$7="Uniforme",Supuestos!$D$7+D504*(Supuestos!$E$7-Supuestos!$D$7),IF(Supuestos!$C$7="Lognormal",LOGINV(D504,LN(Supuestos!$D$7)-LN(1+Supuestos!$E$7^2/Supuestos!$D$7^2)/2,SQRT(LN(1+Supuestos!$E$7^2/Supuestos!$D$7^2))),Supuestos!$D$7))))))</f>
        <v/>
      </c>
      <c r="L504" s="32">
        <f>MIN(IF(Supuestos!$H$8="",1E+99,Supuestos!$H$8),MAX(IF(Supuestos!$G$8="",-1E+99,Supuestos!$G$8),IF(Supuestos!$C$8="Normal",NORMINV(E504,Supuestos!$D$8,Supuestos!$E$8),IF(Supuestos!$C$8="Triangular",IF(E504&lt;(Supuestos!$E$8-Supuestos!$D$8)/(Supuestos!$F$8-Supuestos!$D$8),Supuestos!$D$8+SQRT(E504*(Supuestos!$F$8-Supuestos!$D$8)*(Supuestos!$E$8-Supuestos!$D$8)),Supuestos!$F$8-SQRT((1-E504)*(Supuestos!$F$8-Supuestos!$D$8)*(Supuestos!$F$8-Supuestos!$E$8))),IF(Supuestos!$C$8="Uniforme",Supuestos!$D$8+E504*(Supuestos!$E$8-Supuestos!$D$8),IF(Supuestos!$C$8="Lognormal",LOGINV(E504,LN(Supuestos!$D$8)-LN(1+Supuestos!$E$8^2/Supuestos!$D$8^2)/2,SQRT(LN(1+Supuestos!$E$8^2/Supuestos!$D$8^2))),Supuestos!$D$8))))))</f>
        <v/>
      </c>
      <c r="M504" s="32">
        <f>MIN(IF(Supuestos!$H$9="",1E+99,Supuestos!$H$9),MAX(IF(Supuestos!$G$9="",-1E+99,Supuestos!$G$9),IF(Supuestos!$C$9="Normal",NORMINV(F504,Supuestos!$D$9,Supuestos!$E$9),IF(Supuestos!$C$9="Triangular",IF(F504&lt;(Supuestos!$E$9-Supuestos!$D$9)/(Supuestos!$F$9-Supuestos!$D$9),Supuestos!$D$9+SQRT(F504*(Supuestos!$F$9-Supuestos!$D$9)*(Supuestos!$E$9-Supuestos!$D$9)),Supuestos!$F$9-SQRT((1-F504)*(Supuestos!$F$9-Supuestos!$D$9)*(Supuestos!$F$9-Supuestos!$E$9))),IF(Supuestos!$C$9="Uniforme",Supuestos!$D$9+F504*(Supuestos!$E$9-Supuestos!$D$9),IF(Supuestos!$C$9="Lognormal",LOGINV(F504,LN(Supuestos!$D$9)-LN(1+Supuestos!$E$9^2/Supuestos!$D$9^2)/2,SQRT(LN(1+Supuestos!$E$9^2/Supuestos!$D$9^2))),Supuestos!$D$9))))))</f>
        <v/>
      </c>
      <c r="N504" s="32">
        <f>MIN(IF(Supuestos!$H$10="",1E+99,Supuestos!$H$10),MAX(IF(Supuestos!$G$10="",-1E+99,Supuestos!$G$10),IF(Supuestos!$C$10="Normal",NORMINV(G504,Supuestos!$D$10,Supuestos!$E$10),IF(Supuestos!$C$10="Triangular",IF(G504&lt;(Supuestos!$E$10-Supuestos!$D$10)/(Supuestos!$F$10-Supuestos!$D$10),Supuestos!$D$10+SQRT(G504*(Supuestos!$F$10-Supuestos!$D$10)*(Supuestos!$E$10-Supuestos!$D$10)),Supuestos!$F$10-SQRT((1-G504)*(Supuestos!$F$10-Supuestos!$D$10)*(Supuestos!$F$10-Supuestos!$E$10))),IF(Supuestos!$C$10="Uniforme",Supuestos!$D$10+G504*(Supuestos!$E$10-Supuestos!$D$10),IF(Supuestos!$C$10="Lognormal",LOGINV(G504,LN(Supuestos!$D$10)-LN(1+Supuestos!$E$10^2/Supuestos!$D$10^2)/2,SQRT(LN(1+Supuestos!$E$10^2/Supuestos!$D$10^2))),Supuestos!$D$10))))))</f>
        <v/>
      </c>
      <c r="O504" s="31">
        <f>MIN(IF(Supuestos!$H$11="",1E+99,Supuestos!$H$11),MAX(IF(Supuestos!$G$11="",-1E+99,Supuestos!$G$11),IF(Supuestos!$C$11="Normal",NORMINV(H504,Supuestos!$D$11,Supuestos!$E$11),IF(Supuestos!$C$11="Triangular",IF(H504&lt;(Supuestos!$E$11-Supuestos!$D$11)/(Supuestos!$F$11-Supuestos!$D$11),Supuestos!$D$11+SQRT(H504*(Supuestos!$F$11-Supuestos!$D$11)*(Supuestos!$E$11-Supuestos!$D$11)),Supuestos!$F$11-SQRT((1-H504)*(Supuestos!$F$11-Supuestos!$D$11)*(Supuestos!$F$11-Supuestos!$E$11))),IF(Supuestos!$C$11="Uniforme",Supuestos!$D$11+H504*(Supuestos!$E$11-Supuestos!$D$11),IF(Supuestos!$C$11="Lognormal",LOGINV(H504,LN(Supuestos!$D$11)-LN(1+Supuestos!$E$11^2/Supuestos!$D$11^2)/2,SQRT(LN(1+Supuestos!$E$11^2/Supuestos!$D$11^2))),Supuestos!$D$11))))))</f>
        <v/>
      </c>
      <c r="P504" s="33">
        <f>-I504</f>
        <v/>
      </c>
      <c r="Q504" s="33">
        <f>$J504*(1+$K504)^(1-1)*(1-$L504)*(1-$M504)</f>
        <v/>
      </c>
      <c r="R504" s="33">
        <f>$J504*(1+$K504)^(2-1)*(1-$L504)*(1-$M504)</f>
        <v/>
      </c>
      <c r="S504" s="33">
        <f>$J504*(1+$K504)^(3-1)*(1-$L504)*(1-$M504)</f>
        <v/>
      </c>
      <c r="T504" s="33">
        <f>$J504*(1+$K504)^(4-1)*(1-$L504)*(1-$M504)</f>
        <v/>
      </c>
      <c r="U504" s="33">
        <f>$J504*(1+$K504)^(5-1)*(1-$L504)*(1-$M504)+$O504</f>
        <v/>
      </c>
      <c r="V504" s="33">
        <f>P504+NPV($N504,Q504:U504)</f>
        <v/>
      </c>
      <c r="W504" s="32">
        <f>IFERROR(IRR(P504:U504,0.1),"")</f>
        <v/>
      </c>
    </row>
    <row r="505">
      <c r="A505" s="14" t="n">
        <v>501</v>
      </c>
      <c r="B505" s="30">
        <f>RAND()*(1-2E-6)+1E-6</f>
        <v/>
      </c>
      <c r="C505" s="30">
        <f>RAND()*(1-2E-6)+1E-6</f>
        <v/>
      </c>
      <c r="D505" s="30">
        <f>RAND()*(1-2E-6)+1E-6</f>
        <v/>
      </c>
      <c r="E505" s="30">
        <f>RAND()*(1-2E-6)+1E-6</f>
        <v/>
      </c>
      <c r="F505" s="30">
        <f>RAND()*(1-2E-6)+1E-6</f>
        <v/>
      </c>
      <c r="G505" s="30">
        <f>RAND()*(1-2E-6)+1E-6</f>
        <v/>
      </c>
      <c r="H505" s="30">
        <f>RAND()*(1-2E-6)+1E-6</f>
        <v/>
      </c>
      <c r="I505" s="31">
        <f>MIN(IF(Supuestos!$H$5="",1E+99,Supuestos!$H$5),MAX(IF(Supuestos!$G$5="",-1E+99,Supuestos!$G$5),IF(Supuestos!$C$5="Normal",NORMINV(B505,Supuestos!$D$5,Supuestos!$E$5),IF(Supuestos!$C$5="Triangular",IF(B505&lt;(Supuestos!$E$5-Supuestos!$D$5)/(Supuestos!$F$5-Supuestos!$D$5),Supuestos!$D$5+SQRT(B505*(Supuestos!$F$5-Supuestos!$D$5)*(Supuestos!$E$5-Supuestos!$D$5)),Supuestos!$F$5-SQRT((1-B505)*(Supuestos!$F$5-Supuestos!$D$5)*(Supuestos!$F$5-Supuestos!$E$5))),IF(Supuestos!$C$5="Uniforme",Supuestos!$D$5+B505*(Supuestos!$E$5-Supuestos!$D$5),IF(Supuestos!$C$5="Lognormal",LOGINV(B505,LN(Supuestos!$D$5)-LN(1+Supuestos!$E$5^2/Supuestos!$D$5^2)/2,SQRT(LN(1+Supuestos!$E$5^2/Supuestos!$D$5^2))),Supuestos!$D$5))))))</f>
        <v/>
      </c>
      <c r="J505" s="31">
        <f>MIN(IF(Supuestos!$H$6="",1E+99,Supuestos!$H$6),MAX(IF(Supuestos!$G$6="",-1E+99,Supuestos!$G$6),IF(Supuestos!$C$6="Normal",NORMINV(C505,Supuestos!$D$6,Supuestos!$E$6),IF(Supuestos!$C$6="Triangular",IF(C505&lt;(Supuestos!$E$6-Supuestos!$D$6)/(Supuestos!$F$6-Supuestos!$D$6),Supuestos!$D$6+SQRT(C505*(Supuestos!$F$6-Supuestos!$D$6)*(Supuestos!$E$6-Supuestos!$D$6)),Supuestos!$F$6-SQRT((1-C505)*(Supuestos!$F$6-Supuestos!$D$6)*(Supuestos!$F$6-Supuestos!$E$6))),IF(Supuestos!$C$6="Uniforme",Supuestos!$D$6+C505*(Supuestos!$E$6-Supuestos!$D$6),IF(Supuestos!$C$6="Lognormal",LOGINV(C505,LN(Supuestos!$D$6)-LN(1+Supuestos!$E$6^2/Supuestos!$D$6^2)/2,SQRT(LN(1+Supuestos!$E$6^2/Supuestos!$D$6^2))),Supuestos!$D$6))))))</f>
        <v/>
      </c>
      <c r="K505" s="32">
        <f>MIN(IF(Supuestos!$H$7="",1E+99,Supuestos!$H$7),MAX(IF(Supuestos!$G$7="",-1E+99,Supuestos!$G$7),IF(Supuestos!$C$7="Normal",NORMINV(D505,Supuestos!$D$7,Supuestos!$E$7),IF(Supuestos!$C$7="Triangular",IF(D505&lt;(Supuestos!$E$7-Supuestos!$D$7)/(Supuestos!$F$7-Supuestos!$D$7),Supuestos!$D$7+SQRT(D505*(Supuestos!$F$7-Supuestos!$D$7)*(Supuestos!$E$7-Supuestos!$D$7)),Supuestos!$F$7-SQRT((1-D505)*(Supuestos!$F$7-Supuestos!$D$7)*(Supuestos!$F$7-Supuestos!$E$7))),IF(Supuestos!$C$7="Uniforme",Supuestos!$D$7+D505*(Supuestos!$E$7-Supuestos!$D$7),IF(Supuestos!$C$7="Lognormal",LOGINV(D505,LN(Supuestos!$D$7)-LN(1+Supuestos!$E$7^2/Supuestos!$D$7^2)/2,SQRT(LN(1+Supuestos!$E$7^2/Supuestos!$D$7^2))),Supuestos!$D$7))))))</f>
        <v/>
      </c>
      <c r="L505" s="32">
        <f>MIN(IF(Supuestos!$H$8="",1E+99,Supuestos!$H$8),MAX(IF(Supuestos!$G$8="",-1E+99,Supuestos!$G$8),IF(Supuestos!$C$8="Normal",NORMINV(E505,Supuestos!$D$8,Supuestos!$E$8),IF(Supuestos!$C$8="Triangular",IF(E505&lt;(Supuestos!$E$8-Supuestos!$D$8)/(Supuestos!$F$8-Supuestos!$D$8),Supuestos!$D$8+SQRT(E505*(Supuestos!$F$8-Supuestos!$D$8)*(Supuestos!$E$8-Supuestos!$D$8)),Supuestos!$F$8-SQRT((1-E505)*(Supuestos!$F$8-Supuestos!$D$8)*(Supuestos!$F$8-Supuestos!$E$8))),IF(Supuestos!$C$8="Uniforme",Supuestos!$D$8+E505*(Supuestos!$E$8-Supuestos!$D$8),IF(Supuestos!$C$8="Lognormal",LOGINV(E505,LN(Supuestos!$D$8)-LN(1+Supuestos!$E$8^2/Supuestos!$D$8^2)/2,SQRT(LN(1+Supuestos!$E$8^2/Supuestos!$D$8^2))),Supuestos!$D$8))))))</f>
        <v/>
      </c>
      <c r="M505" s="32">
        <f>MIN(IF(Supuestos!$H$9="",1E+99,Supuestos!$H$9),MAX(IF(Supuestos!$G$9="",-1E+99,Supuestos!$G$9),IF(Supuestos!$C$9="Normal",NORMINV(F505,Supuestos!$D$9,Supuestos!$E$9),IF(Supuestos!$C$9="Triangular",IF(F505&lt;(Supuestos!$E$9-Supuestos!$D$9)/(Supuestos!$F$9-Supuestos!$D$9),Supuestos!$D$9+SQRT(F505*(Supuestos!$F$9-Supuestos!$D$9)*(Supuestos!$E$9-Supuestos!$D$9)),Supuestos!$F$9-SQRT((1-F505)*(Supuestos!$F$9-Supuestos!$D$9)*(Supuestos!$F$9-Supuestos!$E$9))),IF(Supuestos!$C$9="Uniforme",Supuestos!$D$9+F505*(Supuestos!$E$9-Supuestos!$D$9),IF(Supuestos!$C$9="Lognormal",LOGINV(F505,LN(Supuestos!$D$9)-LN(1+Supuestos!$E$9^2/Supuestos!$D$9^2)/2,SQRT(LN(1+Supuestos!$E$9^2/Supuestos!$D$9^2))),Supuestos!$D$9))))))</f>
        <v/>
      </c>
      <c r="N505" s="32">
        <f>MIN(IF(Supuestos!$H$10="",1E+99,Supuestos!$H$10),MAX(IF(Supuestos!$G$10="",-1E+99,Supuestos!$G$10),IF(Supuestos!$C$10="Normal",NORMINV(G505,Supuestos!$D$10,Supuestos!$E$10),IF(Supuestos!$C$10="Triangular",IF(G505&lt;(Supuestos!$E$10-Supuestos!$D$10)/(Supuestos!$F$10-Supuestos!$D$10),Supuestos!$D$10+SQRT(G505*(Supuestos!$F$10-Supuestos!$D$10)*(Supuestos!$E$10-Supuestos!$D$10)),Supuestos!$F$10-SQRT((1-G505)*(Supuestos!$F$10-Supuestos!$D$10)*(Supuestos!$F$10-Supuestos!$E$10))),IF(Supuestos!$C$10="Uniforme",Supuestos!$D$10+G505*(Supuestos!$E$10-Supuestos!$D$10),IF(Supuestos!$C$10="Lognormal",LOGINV(G505,LN(Supuestos!$D$10)-LN(1+Supuestos!$E$10^2/Supuestos!$D$10^2)/2,SQRT(LN(1+Supuestos!$E$10^2/Supuestos!$D$10^2))),Supuestos!$D$10))))))</f>
        <v/>
      </c>
      <c r="O505" s="31">
        <f>MIN(IF(Supuestos!$H$11="",1E+99,Supuestos!$H$11),MAX(IF(Supuestos!$G$11="",-1E+99,Supuestos!$G$11),IF(Supuestos!$C$11="Normal",NORMINV(H505,Supuestos!$D$11,Supuestos!$E$11),IF(Supuestos!$C$11="Triangular",IF(H505&lt;(Supuestos!$E$11-Supuestos!$D$11)/(Supuestos!$F$11-Supuestos!$D$11),Supuestos!$D$11+SQRT(H505*(Supuestos!$F$11-Supuestos!$D$11)*(Supuestos!$E$11-Supuestos!$D$11)),Supuestos!$F$11-SQRT((1-H505)*(Supuestos!$F$11-Supuestos!$D$11)*(Supuestos!$F$11-Supuestos!$E$11))),IF(Supuestos!$C$11="Uniforme",Supuestos!$D$11+H505*(Supuestos!$E$11-Supuestos!$D$11),IF(Supuestos!$C$11="Lognormal",LOGINV(H505,LN(Supuestos!$D$11)-LN(1+Supuestos!$E$11^2/Supuestos!$D$11^2)/2,SQRT(LN(1+Supuestos!$E$11^2/Supuestos!$D$11^2))),Supuestos!$D$11))))))</f>
        <v/>
      </c>
      <c r="P505" s="33">
        <f>-I505</f>
        <v/>
      </c>
      <c r="Q505" s="33">
        <f>$J505*(1+$K505)^(1-1)*(1-$L505)*(1-$M505)</f>
        <v/>
      </c>
      <c r="R505" s="33">
        <f>$J505*(1+$K505)^(2-1)*(1-$L505)*(1-$M505)</f>
        <v/>
      </c>
      <c r="S505" s="33">
        <f>$J505*(1+$K505)^(3-1)*(1-$L505)*(1-$M505)</f>
        <v/>
      </c>
      <c r="T505" s="33">
        <f>$J505*(1+$K505)^(4-1)*(1-$L505)*(1-$M505)</f>
        <v/>
      </c>
      <c r="U505" s="33">
        <f>$J505*(1+$K505)^(5-1)*(1-$L505)*(1-$M505)+$O505</f>
        <v/>
      </c>
      <c r="V505" s="33">
        <f>P505+NPV($N505,Q505:U505)</f>
        <v/>
      </c>
      <c r="W505" s="32">
        <f>IFERROR(IRR(P505:U505,0.1),"")</f>
        <v/>
      </c>
    </row>
    <row r="506">
      <c r="A506" s="14" t="n">
        <v>502</v>
      </c>
      <c r="B506" s="30">
        <f>RAND()*(1-2E-6)+1E-6</f>
        <v/>
      </c>
      <c r="C506" s="30">
        <f>RAND()*(1-2E-6)+1E-6</f>
        <v/>
      </c>
      <c r="D506" s="30">
        <f>RAND()*(1-2E-6)+1E-6</f>
        <v/>
      </c>
      <c r="E506" s="30">
        <f>RAND()*(1-2E-6)+1E-6</f>
        <v/>
      </c>
      <c r="F506" s="30">
        <f>RAND()*(1-2E-6)+1E-6</f>
        <v/>
      </c>
      <c r="G506" s="30">
        <f>RAND()*(1-2E-6)+1E-6</f>
        <v/>
      </c>
      <c r="H506" s="30">
        <f>RAND()*(1-2E-6)+1E-6</f>
        <v/>
      </c>
      <c r="I506" s="31">
        <f>MIN(IF(Supuestos!$H$5="",1E+99,Supuestos!$H$5),MAX(IF(Supuestos!$G$5="",-1E+99,Supuestos!$G$5),IF(Supuestos!$C$5="Normal",NORMINV(B506,Supuestos!$D$5,Supuestos!$E$5),IF(Supuestos!$C$5="Triangular",IF(B506&lt;(Supuestos!$E$5-Supuestos!$D$5)/(Supuestos!$F$5-Supuestos!$D$5),Supuestos!$D$5+SQRT(B506*(Supuestos!$F$5-Supuestos!$D$5)*(Supuestos!$E$5-Supuestos!$D$5)),Supuestos!$F$5-SQRT((1-B506)*(Supuestos!$F$5-Supuestos!$D$5)*(Supuestos!$F$5-Supuestos!$E$5))),IF(Supuestos!$C$5="Uniforme",Supuestos!$D$5+B506*(Supuestos!$E$5-Supuestos!$D$5),IF(Supuestos!$C$5="Lognormal",LOGINV(B506,LN(Supuestos!$D$5)-LN(1+Supuestos!$E$5^2/Supuestos!$D$5^2)/2,SQRT(LN(1+Supuestos!$E$5^2/Supuestos!$D$5^2))),Supuestos!$D$5))))))</f>
        <v/>
      </c>
      <c r="J506" s="31">
        <f>MIN(IF(Supuestos!$H$6="",1E+99,Supuestos!$H$6),MAX(IF(Supuestos!$G$6="",-1E+99,Supuestos!$G$6),IF(Supuestos!$C$6="Normal",NORMINV(C506,Supuestos!$D$6,Supuestos!$E$6),IF(Supuestos!$C$6="Triangular",IF(C506&lt;(Supuestos!$E$6-Supuestos!$D$6)/(Supuestos!$F$6-Supuestos!$D$6),Supuestos!$D$6+SQRT(C506*(Supuestos!$F$6-Supuestos!$D$6)*(Supuestos!$E$6-Supuestos!$D$6)),Supuestos!$F$6-SQRT((1-C506)*(Supuestos!$F$6-Supuestos!$D$6)*(Supuestos!$F$6-Supuestos!$E$6))),IF(Supuestos!$C$6="Uniforme",Supuestos!$D$6+C506*(Supuestos!$E$6-Supuestos!$D$6),IF(Supuestos!$C$6="Lognormal",LOGINV(C506,LN(Supuestos!$D$6)-LN(1+Supuestos!$E$6^2/Supuestos!$D$6^2)/2,SQRT(LN(1+Supuestos!$E$6^2/Supuestos!$D$6^2))),Supuestos!$D$6))))))</f>
        <v/>
      </c>
      <c r="K506" s="32">
        <f>MIN(IF(Supuestos!$H$7="",1E+99,Supuestos!$H$7),MAX(IF(Supuestos!$G$7="",-1E+99,Supuestos!$G$7),IF(Supuestos!$C$7="Normal",NORMINV(D506,Supuestos!$D$7,Supuestos!$E$7),IF(Supuestos!$C$7="Triangular",IF(D506&lt;(Supuestos!$E$7-Supuestos!$D$7)/(Supuestos!$F$7-Supuestos!$D$7),Supuestos!$D$7+SQRT(D506*(Supuestos!$F$7-Supuestos!$D$7)*(Supuestos!$E$7-Supuestos!$D$7)),Supuestos!$F$7-SQRT((1-D506)*(Supuestos!$F$7-Supuestos!$D$7)*(Supuestos!$F$7-Supuestos!$E$7))),IF(Supuestos!$C$7="Uniforme",Supuestos!$D$7+D506*(Supuestos!$E$7-Supuestos!$D$7),IF(Supuestos!$C$7="Lognormal",LOGINV(D506,LN(Supuestos!$D$7)-LN(1+Supuestos!$E$7^2/Supuestos!$D$7^2)/2,SQRT(LN(1+Supuestos!$E$7^2/Supuestos!$D$7^2))),Supuestos!$D$7))))))</f>
        <v/>
      </c>
      <c r="L506" s="32">
        <f>MIN(IF(Supuestos!$H$8="",1E+99,Supuestos!$H$8),MAX(IF(Supuestos!$G$8="",-1E+99,Supuestos!$G$8),IF(Supuestos!$C$8="Normal",NORMINV(E506,Supuestos!$D$8,Supuestos!$E$8),IF(Supuestos!$C$8="Triangular",IF(E506&lt;(Supuestos!$E$8-Supuestos!$D$8)/(Supuestos!$F$8-Supuestos!$D$8),Supuestos!$D$8+SQRT(E506*(Supuestos!$F$8-Supuestos!$D$8)*(Supuestos!$E$8-Supuestos!$D$8)),Supuestos!$F$8-SQRT((1-E506)*(Supuestos!$F$8-Supuestos!$D$8)*(Supuestos!$F$8-Supuestos!$E$8))),IF(Supuestos!$C$8="Uniforme",Supuestos!$D$8+E506*(Supuestos!$E$8-Supuestos!$D$8),IF(Supuestos!$C$8="Lognormal",LOGINV(E506,LN(Supuestos!$D$8)-LN(1+Supuestos!$E$8^2/Supuestos!$D$8^2)/2,SQRT(LN(1+Supuestos!$E$8^2/Supuestos!$D$8^2))),Supuestos!$D$8))))))</f>
        <v/>
      </c>
      <c r="M506" s="32">
        <f>MIN(IF(Supuestos!$H$9="",1E+99,Supuestos!$H$9),MAX(IF(Supuestos!$G$9="",-1E+99,Supuestos!$G$9),IF(Supuestos!$C$9="Normal",NORMINV(F506,Supuestos!$D$9,Supuestos!$E$9),IF(Supuestos!$C$9="Triangular",IF(F506&lt;(Supuestos!$E$9-Supuestos!$D$9)/(Supuestos!$F$9-Supuestos!$D$9),Supuestos!$D$9+SQRT(F506*(Supuestos!$F$9-Supuestos!$D$9)*(Supuestos!$E$9-Supuestos!$D$9)),Supuestos!$F$9-SQRT((1-F506)*(Supuestos!$F$9-Supuestos!$D$9)*(Supuestos!$F$9-Supuestos!$E$9))),IF(Supuestos!$C$9="Uniforme",Supuestos!$D$9+F506*(Supuestos!$E$9-Supuestos!$D$9),IF(Supuestos!$C$9="Lognormal",LOGINV(F506,LN(Supuestos!$D$9)-LN(1+Supuestos!$E$9^2/Supuestos!$D$9^2)/2,SQRT(LN(1+Supuestos!$E$9^2/Supuestos!$D$9^2))),Supuestos!$D$9))))))</f>
        <v/>
      </c>
      <c r="N506" s="32">
        <f>MIN(IF(Supuestos!$H$10="",1E+99,Supuestos!$H$10),MAX(IF(Supuestos!$G$10="",-1E+99,Supuestos!$G$10),IF(Supuestos!$C$10="Normal",NORMINV(G506,Supuestos!$D$10,Supuestos!$E$10),IF(Supuestos!$C$10="Triangular",IF(G506&lt;(Supuestos!$E$10-Supuestos!$D$10)/(Supuestos!$F$10-Supuestos!$D$10),Supuestos!$D$10+SQRT(G506*(Supuestos!$F$10-Supuestos!$D$10)*(Supuestos!$E$10-Supuestos!$D$10)),Supuestos!$F$10-SQRT((1-G506)*(Supuestos!$F$10-Supuestos!$D$10)*(Supuestos!$F$10-Supuestos!$E$10))),IF(Supuestos!$C$10="Uniforme",Supuestos!$D$10+G506*(Supuestos!$E$10-Supuestos!$D$10),IF(Supuestos!$C$10="Lognormal",LOGINV(G506,LN(Supuestos!$D$10)-LN(1+Supuestos!$E$10^2/Supuestos!$D$10^2)/2,SQRT(LN(1+Supuestos!$E$10^2/Supuestos!$D$10^2))),Supuestos!$D$10))))))</f>
        <v/>
      </c>
      <c r="O506" s="31">
        <f>MIN(IF(Supuestos!$H$11="",1E+99,Supuestos!$H$11),MAX(IF(Supuestos!$G$11="",-1E+99,Supuestos!$G$11),IF(Supuestos!$C$11="Normal",NORMINV(H506,Supuestos!$D$11,Supuestos!$E$11),IF(Supuestos!$C$11="Triangular",IF(H506&lt;(Supuestos!$E$11-Supuestos!$D$11)/(Supuestos!$F$11-Supuestos!$D$11),Supuestos!$D$11+SQRT(H506*(Supuestos!$F$11-Supuestos!$D$11)*(Supuestos!$E$11-Supuestos!$D$11)),Supuestos!$F$11-SQRT((1-H506)*(Supuestos!$F$11-Supuestos!$D$11)*(Supuestos!$F$11-Supuestos!$E$11))),IF(Supuestos!$C$11="Uniforme",Supuestos!$D$11+H506*(Supuestos!$E$11-Supuestos!$D$11),IF(Supuestos!$C$11="Lognormal",LOGINV(H506,LN(Supuestos!$D$11)-LN(1+Supuestos!$E$11^2/Supuestos!$D$11^2)/2,SQRT(LN(1+Supuestos!$E$11^2/Supuestos!$D$11^2))),Supuestos!$D$11))))))</f>
        <v/>
      </c>
      <c r="P506" s="33">
        <f>-I506</f>
        <v/>
      </c>
      <c r="Q506" s="33">
        <f>$J506*(1+$K506)^(1-1)*(1-$L506)*(1-$M506)</f>
        <v/>
      </c>
      <c r="R506" s="33">
        <f>$J506*(1+$K506)^(2-1)*(1-$L506)*(1-$M506)</f>
        <v/>
      </c>
      <c r="S506" s="33">
        <f>$J506*(1+$K506)^(3-1)*(1-$L506)*(1-$M506)</f>
        <v/>
      </c>
      <c r="T506" s="33">
        <f>$J506*(1+$K506)^(4-1)*(1-$L506)*(1-$M506)</f>
        <v/>
      </c>
      <c r="U506" s="33">
        <f>$J506*(1+$K506)^(5-1)*(1-$L506)*(1-$M506)+$O506</f>
        <v/>
      </c>
      <c r="V506" s="33">
        <f>P506+NPV($N506,Q506:U506)</f>
        <v/>
      </c>
      <c r="W506" s="32">
        <f>IFERROR(IRR(P506:U506,0.1),"")</f>
        <v/>
      </c>
    </row>
    <row r="507">
      <c r="A507" s="14" t="n">
        <v>503</v>
      </c>
      <c r="B507" s="30">
        <f>RAND()*(1-2E-6)+1E-6</f>
        <v/>
      </c>
      <c r="C507" s="30">
        <f>RAND()*(1-2E-6)+1E-6</f>
        <v/>
      </c>
      <c r="D507" s="30">
        <f>RAND()*(1-2E-6)+1E-6</f>
        <v/>
      </c>
      <c r="E507" s="30">
        <f>RAND()*(1-2E-6)+1E-6</f>
        <v/>
      </c>
      <c r="F507" s="30">
        <f>RAND()*(1-2E-6)+1E-6</f>
        <v/>
      </c>
      <c r="G507" s="30">
        <f>RAND()*(1-2E-6)+1E-6</f>
        <v/>
      </c>
      <c r="H507" s="30">
        <f>RAND()*(1-2E-6)+1E-6</f>
        <v/>
      </c>
      <c r="I507" s="31">
        <f>MIN(IF(Supuestos!$H$5="",1E+99,Supuestos!$H$5),MAX(IF(Supuestos!$G$5="",-1E+99,Supuestos!$G$5),IF(Supuestos!$C$5="Normal",NORMINV(B507,Supuestos!$D$5,Supuestos!$E$5),IF(Supuestos!$C$5="Triangular",IF(B507&lt;(Supuestos!$E$5-Supuestos!$D$5)/(Supuestos!$F$5-Supuestos!$D$5),Supuestos!$D$5+SQRT(B507*(Supuestos!$F$5-Supuestos!$D$5)*(Supuestos!$E$5-Supuestos!$D$5)),Supuestos!$F$5-SQRT((1-B507)*(Supuestos!$F$5-Supuestos!$D$5)*(Supuestos!$F$5-Supuestos!$E$5))),IF(Supuestos!$C$5="Uniforme",Supuestos!$D$5+B507*(Supuestos!$E$5-Supuestos!$D$5),IF(Supuestos!$C$5="Lognormal",LOGINV(B507,LN(Supuestos!$D$5)-LN(1+Supuestos!$E$5^2/Supuestos!$D$5^2)/2,SQRT(LN(1+Supuestos!$E$5^2/Supuestos!$D$5^2))),Supuestos!$D$5))))))</f>
        <v/>
      </c>
      <c r="J507" s="31">
        <f>MIN(IF(Supuestos!$H$6="",1E+99,Supuestos!$H$6),MAX(IF(Supuestos!$G$6="",-1E+99,Supuestos!$G$6),IF(Supuestos!$C$6="Normal",NORMINV(C507,Supuestos!$D$6,Supuestos!$E$6),IF(Supuestos!$C$6="Triangular",IF(C507&lt;(Supuestos!$E$6-Supuestos!$D$6)/(Supuestos!$F$6-Supuestos!$D$6),Supuestos!$D$6+SQRT(C507*(Supuestos!$F$6-Supuestos!$D$6)*(Supuestos!$E$6-Supuestos!$D$6)),Supuestos!$F$6-SQRT((1-C507)*(Supuestos!$F$6-Supuestos!$D$6)*(Supuestos!$F$6-Supuestos!$E$6))),IF(Supuestos!$C$6="Uniforme",Supuestos!$D$6+C507*(Supuestos!$E$6-Supuestos!$D$6),IF(Supuestos!$C$6="Lognormal",LOGINV(C507,LN(Supuestos!$D$6)-LN(1+Supuestos!$E$6^2/Supuestos!$D$6^2)/2,SQRT(LN(1+Supuestos!$E$6^2/Supuestos!$D$6^2))),Supuestos!$D$6))))))</f>
        <v/>
      </c>
      <c r="K507" s="32">
        <f>MIN(IF(Supuestos!$H$7="",1E+99,Supuestos!$H$7),MAX(IF(Supuestos!$G$7="",-1E+99,Supuestos!$G$7),IF(Supuestos!$C$7="Normal",NORMINV(D507,Supuestos!$D$7,Supuestos!$E$7),IF(Supuestos!$C$7="Triangular",IF(D507&lt;(Supuestos!$E$7-Supuestos!$D$7)/(Supuestos!$F$7-Supuestos!$D$7),Supuestos!$D$7+SQRT(D507*(Supuestos!$F$7-Supuestos!$D$7)*(Supuestos!$E$7-Supuestos!$D$7)),Supuestos!$F$7-SQRT((1-D507)*(Supuestos!$F$7-Supuestos!$D$7)*(Supuestos!$F$7-Supuestos!$E$7))),IF(Supuestos!$C$7="Uniforme",Supuestos!$D$7+D507*(Supuestos!$E$7-Supuestos!$D$7),IF(Supuestos!$C$7="Lognormal",LOGINV(D507,LN(Supuestos!$D$7)-LN(1+Supuestos!$E$7^2/Supuestos!$D$7^2)/2,SQRT(LN(1+Supuestos!$E$7^2/Supuestos!$D$7^2))),Supuestos!$D$7))))))</f>
        <v/>
      </c>
      <c r="L507" s="32">
        <f>MIN(IF(Supuestos!$H$8="",1E+99,Supuestos!$H$8),MAX(IF(Supuestos!$G$8="",-1E+99,Supuestos!$G$8),IF(Supuestos!$C$8="Normal",NORMINV(E507,Supuestos!$D$8,Supuestos!$E$8),IF(Supuestos!$C$8="Triangular",IF(E507&lt;(Supuestos!$E$8-Supuestos!$D$8)/(Supuestos!$F$8-Supuestos!$D$8),Supuestos!$D$8+SQRT(E507*(Supuestos!$F$8-Supuestos!$D$8)*(Supuestos!$E$8-Supuestos!$D$8)),Supuestos!$F$8-SQRT((1-E507)*(Supuestos!$F$8-Supuestos!$D$8)*(Supuestos!$F$8-Supuestos!$E$8))),IF(Supuestos!$C$8="Uniforme",Supuestos!$D$8+E507*(Supuestos!$E$8-Supuestos!$D$8),IF(Supuestos!$C$8="Lognormal",LOGINV(E507,LN(Supuestos!$D$8)-LN(1+Supuestos!$E$8^2/Supuestos!$D$8^2)/2,SQRT(LN(1+Supuestos!$E$8^2/Supuestos!$D$8^2))),Supuestos!$D$8))))))</f>
        <v/>
      </c>
      <c r="M507" s="32">
        <f>MIN(IF(Supuestos!$H$9="",1E+99,Supuestos!$H$9),MAX(IF(Supuestos!$G$9="",-1E+99,Supuestos!$G$9),IF(Supuestos!$C$9="Normal",NORMINV(F507,Supuestos!$D$9,Supuestos!$E$9),IF(Supuestos!$C$9="Triangular",IF(F507&lt;(Supuestos!$E$9-Supuestos!$D$9)/(Supuestos!$F$9-Supuestos!$D$9),Supuestos!$D$9+SQRT(F507*(Supuestos!$F$9-Supuestos!$D$9)*(Supuestos!$E$9-Supuestos!$D$9)),Supuestos!$F$9-SQRT((1-F507)*(Supuestos!$F$9-Supuestos!$D$9)*(Supuestos!$F$9-Supuestos!$E$9))),IF(Supuestos!$C$9="Uniforme",Supuestos!$D$9+F507*(Supuestos!$E$9-Supuestos!$D$9),IF(Supuestos!$C$9="Lognormal",LOGINV(F507,LN(Supuestos!$D$9)-LN(1+Supuestos!$E$9^2/Supuestos!$D$9^2)/2,SQRT(LN(1+Supuestos!$E$9^2/Supuestos!$D$9^2))),Supuestos!$D$9))))))</f>
        <v/>
      </c>
      <c r="N507" s="32">
        <f>MIN(IF(Supuestos!$H$10="",1E+99,Supuestos!$H$10),MAX(IF(Supuestos!$G$10="",-1E+99,Supuestos!$G$10),IF(Supuestos!$C$10="Normal",NORMINV(G507,Supuestos!$D$10,Supuestos!$E$10),IF(Supuestos!$C$10="Triangular",IF(G507&lt;(Supuestos!$E$10-Supuestos!$D$10)/(Supuestos!$F$10-Supuestos!$D$10),Supuestos!$D$10+SQRT(G507*(Supuestos!$F$10-Supuestos!$D$10)*(Supuestos!$E$10-Supuestos!$D$10)),Supuestos!$F$10-SQRT((1-G507)*(Supuestos!$F$10-Supuestos!$D$10)*(Supuestos!$F$10-Supuestos!$E$10))),IF(Supuestos!$C$10="Uniforme",Supuestos!$D$10+G507*(Supuestos!$E$10-Supuestos!$D$10),IF(Supuestos!$C$10="Lognormal",LOGINV(G507,LN(Supuestos!$D$10)-LN(1+Supuestos!$E$10^2/Supuestos!$D$10^2)/2,SQRT(LN(1+Supuestos!$E$10^2/Supuestos!$D$10^2))),Supuestos!$D$10))))))</f>
        <v/>
      </c>
      <c r="O507" s="31">
        <f>MIN(IF(Supuestos!$H$11="",1E+99,Supuestos!$H$11),MAX(IF(Supuestos!$G$11="",-1E+99,Supuestos!$G$11),IF(Supuestos!$C$11="Normal",NORMINV(H507,Supuestos!$D$11,Supuestos!$E$11),IF(Supuestos!$C$11="Triangular",IF(H507&lt;(Supuestos!$E$11-Supuestos!$D$11)/(Supuestos!$F$11-Supuestos!$D$11),Supuestos!$D$11+SQRT(H507*(Supuestos!$F$11-Supuestos!$D$11)*(Supuestos!$E$11-Supuestos!$D$11)),Supuestos!$F$11-SQRT((1-H507)*(Supuestos!$F$11-Supuestos!$D$11)*(Supuestos!$F$11-Supuestos!$E$11))),IF(Supuestos!$C$11="Uniforme",Supuestos!$D$11+H507*(Supuestos!$E$11-Supuestos!$D$11),IF(Supuestos!$C$11="Lognormal",LOGINV(H507,LN(Supuestos!$D$11)-LN(1+Supuestos!$E$11^2/Supuestos!$D$11^2)/2,SQRT(LN(1+Supuestos!$E$11^2/Supuestos!$D$11^2))),Supuestos!$D$11))))))</f>
        <v/>
      </c>
      <c r="P507" s="33">
        <f>-I507</f>
        <v/>
      </c>
      <c r="Q507" s="33">
        <f>$J507*(1+$K507)^(1-1)*(1-$L507)*(1-$M507)</f>
        <v/>
      </c>
      <c r="R507" s="33">
        <f>$J507*(1+$K507)^(2-1)*(1-$L507)*(1-$M507)</f>
        <v/>
      </c>
      <c r="S507" s="33">
        <f>$J507*(1+$K507)^(3-1)*(1-$L507)*(1-$M507)</f>
        <v/>
      </c>
      <c r="T507" s="33">
        <f>$J507*(1+$K507)^(4-1)*(1-$L507)*(1-$M507)</f>
        <v/>
      </c>
      <c r="U507" s="33">
        <f>$J507*(1+$K507)^(5-1)*(1-$L507)*(1-$M507)+$O507</f>
        <v/>
      </c>
      <c r="V507" s="33">
        <f>P507+NPV($N507,Q507:U507)</f>
        <v/>
      </c>
      <c r="W507" s="32">
        <f>IFERROR(IRR(P507:U507,0.1),"")</f>
        <v/>
      </c>
    </row>
    <row r="508">
      <c r="A508" s="14" t="n">
        <v>504</v>
      </c>
      <c r="B508" s="30">
        <f>RAND()*(1-2E-6)+1E-6</f>
        <v/>
      </c>
      <c r="C508" s="30">
        <f>RAND()*(1-2E-6)+1E-6</f>
        <v/>
      </c>
      <c r="D508" s="30">
        <f>RAND()*(1-2E-6)+1E-6</f>
        <v/>
      </c>
      <c r="E508" s="30">
        <f>RAND()*(1-2E-6)+1E-6</f>
        <v/>
      </c>
      <c r="F508" s="30">
        <f>RAND()*(1-2E-6)+1E-6</f>
        <v/>
      </c>
      <c r="G508" s="30">
        <f>RAND()*(1-2E-6)+1E-6</f>
        <v/>
      </c>
      <c r="H508" s="30">
        <f>RAND()*(1-2E-6)+1E-6</f>
        <v/>
      </c>
      <c r="I508" s="31">
        <f>MIN(IF(Supuestos!$H$5="",1E+99,Supuestos!$H$5),MAX(IF(Supuestos!$G$5="",-1E+99,Supuestos!$G$5),IF(Supuestos!$C$5="Normal",NORMINV(B508,Supuestos!$D$5,Supuestos!$E$5),IF(Supuestos!$C$5="Triangular",IF(B508&lt;(Supuestos!$E$5-Supuestos!$D$5)/(Supuestos!$F$5-Supuestos!$D$5),Supuestos!$D$5+SQRT(B508*(Supuestos!$F$5-Supuestos!$D$5)*(Supuestos!$E$5-Supuestos!$D$5)),Supuestos!$F$5-SQRT((1-B508)*(Supuestos!$F$5-Supuestos!$D$5)*(Supuestos!$F$5-Supuestos!$E$5))),IF(Supuestos!$C$5="Uniforme",Supuestos!$D$5+B508*(Supuestos!$E$5-Supuestos!$D$5),IF(Supuestos!$C$5="Lognormal",LOGINV(B508,LN(Supuestos!$D$5)-LN(1+Supuestos!$E$5^2/Supuestos!$D$5^2)/2,SQRT(LN(1+Supuestos!$E$5^2/Supuestos!$D$5^2))),Supuestos!$D$5))))))</f>
        <v/>
      </c>
      <c r="J508" s="31">
        <f>MIN(IF(Supuestos!$H$6="",1E+99,Supuestos!$H$6),MAX(IF(Supuestos!$G$6="",-1E+99,Supuestos!$G$6),IF(Supuestos!$C$6="Normal",NORMINV(C508,Supuestos!$D$6,Supuestos!$E$6),IF(Supuestos!$C$6="Triangular",IF(C508&lt;(Supuestos!$E$6-Supuestos!$D$6)/(Supuestos!$F$6-Supuestos!$D$6),Supuestos!$D$6+SQRT(C508*(Supuestos!$F$6-Supuestos!$D$6)*(Supuestos!$E$6-Supuestos!$D$6)),Supuestos!$F$6-SQRT((1-C508)*(Supuestos!$F$6-Supuestos!$D$6)*(Supuestos!$F$6-Supuestos!$E$6))),IF(Supuestos!$C$6="Uniforme",Supuestos!$D$6+C508*(Supuestos!$E$6-Supuestos!$D$6),IF(Supuestos!$C$6="Lognormal",LOGINV(C508,LN(Supuestos!$D$6)-LN(1+Supuestos!$E$6^2/Supuestos!$D$6^2)/2,SQRT(LN(1+Supuestos!$E$6^2/Supuestos!$D$6^2))),Supuestos!$D$6))))))</f>
        <v/>
      </c>
      <c r="K508" s="32">
        <f>MIN(IF(Supuestos!$H$7="",1E+99,Supuestos!$H$7),MAX(IF(Supuestos!$G$7="",-1E+99,Supuestos!$G$7),IF(Supuestos!$C$7="Normal",NORMINV(D508,Supuestos!$D$7,Supuestos!$E$7),IF(Supuestos!$C$7="Triangular",IF(D508&lt;(Supuestos!$E$7-Supuestos!$D$7)/(Supuestos!$F$7-Supuestos!$D$7),Supuestos!$D$7+SQRT(D508*(Supuestos!$F$7-Supuestos!$D$7)*(Supuestos!$E$7-Supuestos!$D$7)),Supuestos!$F$7-SQRT((1-D508)*(Supuestos!$F$7-Supuestos!$D$7)*(Supuestos!$F$7-Supuestos!$E$7))),IF(Supuestos!$C$7="Uniforme",Supuestos!$D$7+D508*(Supuestos!$E$7-Supuestos!$D$7),IF(Supuestos!$C$7="Lognormal",LOGINV(D508,LN(Supuestos!$D$7)-LN(1+Supuestos!$E$7^2/Supuestos!$D$7^2)/2,SQRT(LN(1+Supuestos!$E$7^2/Supuestos!$D$7^2))),Supuestos!$D$7))))))</f>
        <v/>
      </c>
      <c r="L508" s="32">
        <f>MIN(IF(Supuestos!$H$8="",1E+99,Supuestos!$H$8),MAX(IF(Supuestos!$G$8="",-1E+99,Supuestos!$G$8),IF(Supuestos!$C$8="Normal",NORMINV(E508,Supuestos!$D$8,Supuestos!$E$8),IF(Supuestos!$C$8="Triangular",IF(E508&lt;(Supuestos!$E$8-Supuestos!$D$8)/(Supuestos!$F$8-Supuestos!$D$8),Supuestos!$D$8+SQRT(E508*(Supuestos!$F$8-Supuestos!$D$8)*(Supuestos!$E$8-Supuestos!$D$8)),Supuestos!$F$8-SQRT((1-E508)*(Supuestos!$F$8-Supuestos!$D$8)*(Supuestos!$F$8-Supuestos!$E$8))),IF(Supuestos!$C$8="Uniforme",Supuestos!$D$8+E508*(Supuestos!$E$8-Supuestos!$D$8),IF(Supuestos!$C$8="Lognormal",LOGINV(E508,LN(Supuestos!$D$8)-LN(1+Supuestos!$E$8^2/Supuestos!$D$8^2)/2,SQRT(LN(1+Supuestos!$E$8^2/Supuestos!$D$8^2))),Supuestos!$D$8))))))</f>
        <v/>
      </c>
      <c r="M508" s="32">
        <f>MIN(IF(Supuestos!$H$9="",1E+99,Supuestos!$H$9),MAX(IF(Supuestos!$G$9="",-1E+99,Supuestos!$G$9),IF(Supuestos!$C$9="Normal",NORMINV(F508,Supuestos!$D$9,Supuestos!$E$9),IF(Supuestos!$C$9="Triangular",IF(F508&lt;(Supuestos!$E$9-Supuestos!$D$9)/(Supuestos!$F$9-Supuestos!$D$9),Supuestos!$D$9+SQRT(F508*(Supuestos!$F$9-Supuestos!$D$9)*(Supuestos!$E$9-Supuestos!$D$9)),Supuestos!$F$9-SQRT((1-F508)*(Supuestos!$F$9-Supuestos!$D$9)*(Supuestos!$F$9-Supuestos!$E$9))),IF(Supuestos!$C$9="Uniforme",Supuestos!$D$9+F508*(Supuestos!$E$9-Supuestos!$D$9),IF(Supuestos!$C$9="Lognormal",LOGINV(F508,LN(Supuestos!$D$9)-LN(1+Supuestos!$E$9^2/Supuestos!$D$9^2)/2,SQRT(LN(1+Supuestos!$E$9^2/Supuestos!$D$9^2))),Supuestos!$D$9))))))</f>
        <v/>
      </c>
      <c r="N508" s="32">
        <f>MIN(IF(Supuestos!$H$10="",1E+99,Supuestos!$H$10),MAX(IF(Supuestos!$G$10="",-1E+99,Supuestos!$G$10),IF(Supuestos!$C$10="Normal",NORMINV(G508,Supuestos!$D$10,Supuestos!$E$10),IF(Supuestos!$C$10="Triangular",IF(G508&lt;(Supuestos!$E$10-Supuestos!$D$10)/(Supuestos!$F$10-Supuestos!$D$10),Supuestos!$D$10+SQRT(G508*(Supuestos!$F$10-Supuestos!$D$10)*(Supuestos!$E$10-Supuestos!$D$10)),Supuestos!$F$10-SQRT((1-G508)*(Supuestos!$F$10-Supuestos!$D$10)*(Supuestos!$F$10-Supuestos!$E$10))),IF(Supuestos!$C$10="Uniforme",Supuestos!$D$10+G508*(Supuestos!$E$10-Supuestos!$D$10),IF(Supuestos!$C$10="Lognormal",LOGINV(G508,LN(Supuestos!$D$10)-LN(1+Supuestos!$E$10^2/Supuestos!$D$10^2)/2,SQRT(LN(1+Supuestos!$E$10^2/Supuestos!$D$10^2))),Supuestos!$D$10))))))</f>
        <v/>
      </c>
      <c r="O508" s="31">
        <f>MIN(IF(Supuestos!$H$11="",1E+99,Supuestos!$H$11),MAX(IF(Supuestos!$G$11="",-1E+99,Supuestos!$G$11),IF(Supuestos!$C$11="Normal",NORMINV(H508,Supuestos!$D$11,Supuestos!$E$11),IF(Supuestos!$C$11="Triangular",IF(H508&lt;(Supuestos!$E$11-Supuestos!$D$11)/(Supuestos!$F$11-Supuestos!$D$11),Supuestos!$D$11+SQRT(H508*(Supuestos!$F$11-Supuestos!$D$11)*(Supuestos!$E$11-Supuestos!$D$11)),Supuestos!$F$11-SQRT((1-H508)*(Supuestos!$F$11-Supuestos!$D$11)*(Supuestos!$F$11-Supuestos!$E$11))),IF(Supuestos!$C$11="Uniforme",Supuestos!$D$11+H508*(Supuestos!$E$11-Supuestos!$D$11),IF(Supuestos!$C$11="Lognormal",LOGINV(H508,LN(Supuestos!$D$11)-LN(1+Supuestos!$E$11^2/Supuestos!$D$11^2)/2,SQRT(LN(1+Supuestos!$E$11^2/Supuestos!$D$11^2))),Supuestos!$D$11))))))</f>
        <v/>
      </c>
      <c r="P508" s="33">
        <f>-I508</f>
        <v/>
      </c>
      <c r="Q508" s="33">
        <f>$J508*(1+$K508)^(1-1)*(1-$L508)*(1-$M508)</f>
        <v/>
      </c>
      <c r="R508" s="33">
        <f>$J508*(1+$K508)^(2-1)*(1-$L508)*(1-$M508)</f>
        <v/>
      </c>
      <c r="S508" s="33">
        <f>$J508*(1+$K508)^(3-1)*(1-$L508)*(1-$M508)</f>
        <v/>
      </c>
      <c r="T508" s="33">
        <f>$J508*(1+$K508)^(4-1)*(1-$L508)*(1-$M508)</f>
        <v/>
      </c>
      <c r="U508" s="33">
        <f>$J508*(1+$K508)^(5-1)*(1-$L508)*(1-$M508)+$O508</f>
        <v/>
      </c>
      <c r="V508" s="33">
        <f>P508+NPV($N508,Q508:U508)</f>
        <v/>
      </c>
      <c r="W508" s="32">
        <f>IFERROR(IRR(P508:U508,0.1),"")</f>
        <v/>
      </c>
    </row>
    <row r="509">
      <c r="A509" s="14" t="n">
        <v>505</v>
      </c>
      <c r="B509" s="30">
        <f>RAND()*(1-2E-6)+1E-6</f>
        <v/>
      </c>
      <c r="C509" s="30">
        <f>RAND()*(1-2E-6)+1E-6</f>
        <v/>
      </c>
      <c r="D509" s="30">
        <f>RAND()*(1-2E-6)+1E-6</f>
        <v/>
      </c>
      <c r="E509" s="30">
        <f>RAND()*(1-2E-6)+1E-6</f>
        <v/>
      </c>
      <c r="F509" s="30">
        <f>RAND()*(1-2E-6)+1E-6</f>
        <v/>
      </c>
      <c r="G509" s="30">
        <f>RAND()*(1-2E-6)+1E-6</f>
        <v/>
      </c>
      <c r="H509" s="30">
        <f>RAND()*(1-2E-6)+1E-6</f>
        <v/>
      </c>
      <c r="I509" s="31">
        <f>MIN(IF(Supuestos!$H$5="",1E+99,Supuestos!$H$5),MAX(IF(Supuestos!$G$5="",-1E+99,Supuestos!$G$5),IF(Supuestos!$C$5="Normal",NORMINV(B509,Supuestos!$D$5,Supuestos!$E$5),IF(Supuestos!$C$5="Triangular",IF(B509&lt;(Supuestos!$E$5-Supuestos!$D$5)/(Supuestos!$F$5-Supuestos!$D$5),Supuestos!$D$5+SQRT(B509*(Supuestos!$F$5-Supuestos!$D$5)*(Supuestos!$E$5-Supuestos!$D$5)),Supuestos!$F$5-SQRT((1-B509)*(Supuestos!$F$5-Supuestos!$D$5)*(Supuestos!$F$5-Supuestos!$E$5))),IF(Supuestos!$C$5="Uniforme",Supuestos!$D$5+B509*(Supuestos!$E$5-Supuestos!$D$5),IF(Supuestos!$C$5="Lognormal",LOGINV(B509,LN(Supuestos!$D$5)-LN(1+Supuestos!$E$5^2/Supuestos!$D$5^2)/2,SQRT(LN(1+Supuestos!$E$5^2/Supuestos!$D$5^2))),Supuestos!$D$5))))))</f>
        <v/>
      </c>
      <c r="J509" s="31">
        <f>MIN(IF(Supuestos!$H$6="",1E+99,Supuestos!$H$6),MAX(IF(Supuestos!$G$6="",-1E+99,Supuestos!$G$6),IF(Supuestos!$C$6="Normal",NORMINV(C509,Supuestos!$D$6,Supuestos!$E$6),IF(Supuestos!$C$6="Triangular",IF(C509&lt;(Supuestos!$E$6-Supuestos!$D$6)/(Supuestos!$F$6-Supuestos!$D$6),Supuestos!$D$6+SQRT(C509*(Supuestos!$F$6-Supuestos!$D$6)*(Supuestos!$E$6-Supuestos!$D$6)),Supuestos!$F$6-SQRT((1-C509)*(Supuestos!$F$6-Supuestos!$D$6)*(Supuestos!$F$6-Supuestos!$E$6))),IF(Supuestos!$C$6="Uniforme",Supuestos!$D$6+C509*(Supuestos!$E$6-Supuestos!$D$6),IF(Supuestos!$C$6="Lognormal",LOGINV(C509,LN(Supuestos!$D$6)-LN(1+Supuestos!$E$6^2/Supuestos!$D$6^2)/2,SQRT(LN(1+Supuestos!$E$6^2/Supuestos!$D$6^2))),Supuestos!$D$6))))))</f>
        <v/>
      </c>
      <c r="K509" s="32">
        <f>MIN(IF(Supuestos!$H$7="",1E+99,Supuestos!$H$7),MAX(IF(Supuestos!$G$7="",-1E+99,Supuestos!$G$7),IF(Supuestos!$C$7="Normal",NORMINV(D509,Supuestos!$D$7,Supuestos!$E$7),IF(Supuestos!$C$7="Triangular",IF(D509&lt;(Supuestos!$E$7-Supuestos!$D$7)/(Supuestos!$F$7-Supuestos!$D$7),Supuestos!$D$7+SQRT(D509*(Supuestos!$F$7-Supuestos!$D$7)*(Supuestos!$E$7-Supuestos!$D$7)),Supuestos!$F$7-SQRT((1-D509)*(Supuestos!$F$7-Supuestos!$D$7)*(Supuestos!$F$7-Supuestos!$E$7))),IF(Supuestos!$C$7="Uniforme",Supuestos!$D$7+D509*(Supuestos!$E$7-Supuestos!$D$7),IF(Supuestos!$C$7="Lognormal",LOGINV(D509,LN(Supuestos!$D$7)-LN(1+Supuestos!$E$7^2/Supuestos!$D$7^2)/2,SQRT(LN(1+Supuestos!$E$7^2/Supuestos!$D$7^2))),Supuestos!$D$7))))))</f>
        <v/>
      </c>
      <c r="L509" s="32">
        <f>MIN(IF(Supuestos!$H$8="",1E+99,Supuestos!$H$8),MAX(IF(Supuestos!$G$8="",-1E+99,Supuestos!$G$8),IF(Supuestos!$C$8="Normal",NORMINV(E509,Supuestos!$D$8,Supuestos!$E$8),IF(Supuestos!$C$8="Triangular",IF(E509&lt;(Supuestos!$E$8-Supuestos!$D$8)/(Supuestos!$F$8-Supuestos!$D$8),Supuestos!$D$8+SQRT(E509*(Supuestos!$F$8-Supuestos!$D$8)*(Supuestos!$E$8-Supuestos!$D$8)),Supuestos!$F$8-SQRT((1-E509)*(Supuestos!$F$8-Supuestos!$D$8)*(Supuestos!$F$8-Supuestos!$E$8))),IF(Supuestos!$C$8="Uniforme",Supuestos!$D$8+E509*(Supuestos!$E$8-Supuestos!$D$8),IF(Supuestos!$C$8="Lognormal",LOGINV(E509,LN(Supuestos!$D$8)-LN(1+Supuestos!$E$8^2/Supuestos!$D$8^2)/2,SQRT(LN(1+Supuestos!$E$8^2/Supuestos!$D$8^2))),Supuestos!$D$8))))))</f>
        <v/>
      </c>
      <c r="M509" s="32">
        <f>MIN(IF(Supuestos!$H$9="",1E+99,Supuestos!$H$9),MAX(IF(Supuestos!$G$9="",-1E+99,Supuestos!$G$9),IF(Supuestos!$C$9="Normal",NORMINV(F509,Supuestos!$D$9,Supuestos!$E$9),IF(Supuestos!$C$9="Triangular",IF(F509&lt;(Supuestos!$E$9-Supuestos!$D$9)/(Supuestos!$F$9-Supuestos!$D$9),Supuestos!$D$9+SQRT(F509*(Supuestos!$F$9-Supuestos!$D$9)*(Supuestos!$E$9-Supuestos!$D$9)),Supuestos!$F$9-SQRT((1-F509)*(Supuestos!$F$9-Supuestos!$D$9)*(Supuestos!$F$9-Supuestos!$E$9))),IF(Supuestos!$C$9="Uniforme",Supuestos!$D$9+F509*(Supuestos!$E$9-Supuestos!$D$9),IF(Supuestos!$C$9="Lognormal",LOGINV(F509,LN(Supuestos!$D$9)-LN(1+Supuestos!$E$9^2/Supuestos!$D$9^2)/2,SQRT(LN(1+Supuestos!$E$9^2/Supuestos!$D$9^2))),Supuestos!$D$9))))))</f>
        <v/>
      </c>
      <c r="N509" s="32">
        <f>MIN(IF(Supuestos!$H$10="",1E+99,Supuestos!$H$10),MAX(IF(Supuestos!$G$10="",-1E+99,Supuestos!$G$10),IF(Supuestos!$C$10="Normal",NORMINV(G509,Supuestos!$D$10,Supuestos!$E$10),IF(Supuestos!$C$10="Triangular",IF(G509&lt;(Supuestos!$E$10-Supuestos!$D$10)/(Supuestos!$F$10-Supuestos!$D$10),Supuestos!$D$10+SQRT(G509*(Supuestos!$F$10-Supuestos!$D$10)*(Supuestos!$E$10-Supuestos!$D$10)),Supuestos!$F$10-SQRT((1-G509)*(Supuestos!$F$10-Supuestos!$D$10)*(Supuestos!$F$10-Supuestos!$E$10))),IF(Supuestos!$C$10="Uniforme",Supuestos!$D$10+G509*(Supuestos!$E$10-Supuestos!$D$10),IF(Supuestos!$C$10="Lognormal",LOGINV(G509,LN(Supuestos!$D$10)-LN(1+Supuestos!$E$10^2/Supuestos!$D$10^2)/2,SQRT(LN(1+Supuestos!$E$10^2/Supuestos!$D$10^2))),Supuestos!$D$10))))))</f>
        <v/>
      </c>
      <c r="O509" s="31">
        <f>MIN(IF(Supuestos!$H$11="",1E+99,Supuestos!$H$11),MAX(IF(Supuestos!$G$11="",-1E+99,Supuestos!$G$11),IF(Supuestos!$C$11="Normal",NORMINV(H509,Supuestos!$D$11,Supuestos!$E$11),IF(Supuestos!$C$11="Triangular",IF(H509&lt;(Supuestos!$E$11-Supuestos!$D$11)/(Supuestos!$F$11-Supuestos!$D$11),Supuestos!$D$11+SQRT(H509*(Supuestos!$F$11-Supuestos!$D$11)*(Supuestos!$E$11-Supuestos!$D$11)),Supuestos!$F$11-SQRT((1-H509)*(Supuestos!$F$11-Supuestos!$D$11)*(Supuestos!$F$11-Supuestos!$E$11))),IF(Supuestos!$C$11="Uniforme",Supuestos!$D$11+H509*(Supuestos!$E$11-Supuestos!$D$11),IF(Supuestos!$C$11="Lognormal",LOGINV(H509,LN(Supuestos!$D$11)-LN(1+Supuestos!$E$11^2/Supuestos!$D$11^2)/2,SQRT(LN(1+Supuestos!$E$11^2/Supuestos!$D$11^2))),Supuestos!$D$11))))))</f>
        <v/>
      </c>
      <c r="P509" s="33">
        <f>-I509</f>
        <v/>
      </c>
      <c r="Q509" s="33">
        <f>$J509*(1+$K509)^(1-1)*(1-$L509)*(1-$M509)</f>
        <v/>
      </c>
      <c r="R509" s="33">
        <f>$J509*(1+$K509)^(2-1)*(1-$L509)*(1-$M509)</f>
        <v/>
      </c>
      <c r="S509" s="33">
        <f>$J509*(1+$K509)^(3-1)*(1-$L509)*(1-$M509)</f>
        <v/>
      </c>
      <c r="T509" s="33">
        <f>$J509*(1+$K509)^(4-1)*(1-$L509)*(1-$M509)</f>
        <v/>
      </c>
      <c r="U509" s="33">
        <f>$J509*(1+$K509)^(5-1)*(1-$L509)*(1-$M509)+$O509</f>
        <v/>
      </c>
      <c r="V509" s="33">
        <f>P509+NPV($N509,Q509:U509)</f>
        <v/>
      </c>
      <c r="W509" s="32">
        <f>IFERROR(IRR(P509:U509,0.1),"")</f>
        <v/>
      </c>
    </row>
    <row r="510">
      <c r="A510" s="14" t="n">
        <v>506</v>
      </c>
      <c r="B510" s="30">
        <f>RAND()*(1-2E-6)+1E-6</f>
        <v/>
      </c>
      <c r="C510" s="30">
        <f>RAND()*(1-2E-6)+1E-6</f>
        <v/>
      </c>
      <c r="D510" s="30">
        <f>RAND()*(1-2E-6)+1E-6</f>
        <v/>
      </c>
      <c r="E510" s="30">
        <f>RAND()*(1-2E-6)+1E-6</f>
        <v/>
      </c>
      <c r="F510" s="30">
        <f>RAND()*(1-2E-6)+1E-6</f>
        <v/>
      </c>
      <c r="G510" s="30">
        <f>RAND()*(1-2E-6)+1E-6</f>
        <v/>
      </c>
      <c r="H510" s="30">
        <f>RAND()*(1-2E-6)+1E-6</f>
        <v/>
      </c>
      <c r="I510" s="31">
        <f>MIN(IF(Supuestos!$H$5="",1E+99,Supuestos!$H$5),MAX(IF(Supuestos!$G$5="",-1E+99,Supuestos!$G$5),IF(Supuestos!$C$5="Normal",NORMINV(B510,Supuestos!$D$5,Supuestos!$E$5),IF(Supuestos!$C$5="Triangular",IF(B510&lt;(Supuestos!$E$5-Supuestos!$D$5)/(Supuestos!$F$5-Supuestos!$D$5),Supuestos!$D$5+SQRT(B510*(Supuestos!$F$5-Supuestos!$D$5)*(Supuestos!$E$5-Supuestos!$D$5)),Supuestos!$F$5-SQRT((1-B510)*(Supuestos!$F$5-Supuestos!$D$5)*(Supuestos!$F$5-Supuestos!$E$5))),IF(Supuestos!$C$5="Uniforme",Supuestos!$D$5+B510*(Supuestos!$E$5-Supuestos!$D$5),IF(Supuestos!$C$5="Lognormal",LOGINV(B510,LN(Supuestos!$D$5)-LN(1+Supuestos!$E$5^2/Supuestos!$D$5^2)/2,SQRT(LN(1+Supuestos!$E$5^2/Supuestos!$D$5^2))),Supuestos!$D$5))))))</f>
        <v/>
      </c>
      <c r="J510" s="31">
        <f>MIN(IF(Supuestos!$H$6="",1E+99,Supuestos!$H$6),MAX(IF(Supuestos!$G$6="",-1E+99,Supuestos!$G$6),IF(Supuestos!$C$6="Normal",NORMINV(C510,Supuestos!$D$6,Supuestos!$E$6),IF(Supuestos!$C$6="Triangular",IF(C510&lt;(Supuestos!$E$6-Supuestos!$D$6)/(Supuestos!$F$6-Supuestos!$D$6),Supuestos!$D$6+SQRT(C510*(Supuestos!$F$6-Supuestos!$D$6)*(Supuestos!$E$6-Supuestos!$D$6)),Supuestos!$F$6-SQRT((1-C510)*(Supuestos!$F$6-Supuestos!$D$6)*(Supuestos!$F$6-Supuestos!$E$6))),IF(Supuestos!$C$6="Uniforme",Supuestos!$D$6+C510*(Supuestos!$E$6-Supuestos!$D$6),IF(Supuestos!$C$6="Lognormal",LOGINV(C510,LN(Supuestos!$D$6)-LN(1+Supuestos!$E$6^2/Supuestos!$D$6^2)/2,SQRT(LN(1+Supuestos!$E$6^2/Supuestos!$D$6^2))),Supuestos!$D$6))))))</f>
        <v/>
      </c>
      <c r="K510" s="32">
        <f>MIN(IF(Supuestos!$H$7="",1E+99,Supuestos!$H$7),MAX(IF(Supuestos!$G$7="",-1E+99,Supuestos!$G$7),IF(Supuestos!$C$7="Normal",NORMINV(D510,Supuestos!$D$7,Supuestos!$E$7),IF(Supuestos!$C$7="Triangular",IF(D510&lt;(Supuestos!$E$7-Supuestos!$D$7)/(Supuestos!$F$7-Supuestos!$D$7),Supuestos!$D$7+SQRT(D510*(Supuestos!$F$7-Supuestos!$D$7)*(Supuestos!$E$7-Supuestos!$D$7)),Supuestos!$F$7-SQRT((1-D510)*(Supuestos!$F$7-Supuestos!$D$7)*(Supuestos!$F$7-Supuestos!$E$7))),IF(Supuestos!$C$7="Uniforme",Supuestos!$D$7+D510*(Supuestos!$E$7-Supuestos!$D$7),IF(Supuestos!$C$7="Lognormal",LOGINV(D510,LN(Supuestos!$D$7)-LN(1+Supuestos!$E$7^2/Supuestos!$D$7^2)/2,SQRT(LN(1+Supuestos!$E$7^2/Supuestos!$D$7^2))),Supuestos!$D$7))))))</f>
        <v/>
      </c>
      <c r="L510" s="32">
        <f>MIN(IF(Supuestos!$H$8="",1E+99,Supuestos!$H$8),MAX(IF(Supuestos!$G$8="",-1E+99,Supuestos!$G$8),IF(Supuestos!$C$8="Normal",NORMINV(E510,Supuestos!$D$8,Supuestos!$E$8),IF(Supuestos!$C$8="Triangular",IF(E510&lt;(Supuestos!$E$8-Supuestos!$D$8)/(Supuestos!$F$8-Supuestos!$D$8),Supuestos!$D$8+SQRT(E510*(Supuestos!$F$8-Supuestos!$D$8)*(Supuestos!$E$8-Supuestos!$D$8)),Supuestos!$F$8-SQRT((1-E510)*(Supuestos!$F$8-Supuestos!$D$8)*(Supuestos!$F$8-Supuestos!$E$8))),IF(Supuestos!$C$8="Uniforme",Supuestos!$D$8+E510*(Supuestos!$E$8-Supuestos!$D$8),IF(Supuestos!$C$8="Lognormal",LOGINV(E510,LN(Supuestos!$D$8)-LN(1+Supuestos!$E$8^2/Supuestos!$D$8^2)/2,SQRT(LN(1+Supuestos!$E$8^2/Supuestos!$D$8^2))),Supuestos!$D$8))))))</f>
        <v/>
      </c>
      <c r="M510" s="32">
        <f>MIN(IF(Supuestos!$H$9="",1E+99,Supuestos!$H$9),MAX(IF(Supuestos!$G$9="",-1E+99,Supuestos!$G$9),IF(Supuestos!$C$9="Normal",NORMINV(F510,Supuestos!$D$9,Supuestos!$E$9),IF(Supuestos!$C$9="Triangular",IF(F510&lt;(Supuestos!$E$9-Supuestos!$D$9)/(Supuestos!$F$9-Supuestos!$D$9),Supuestos!$D$9+SQRT(F510*(Supuestos!$F$9-Supuestos!$D$9)*(Supuestos!$E$9-Supuestos!$D$9)),Supuestos!$F$9-SQRT((1-F510)*(Supuestos!$F$9-Supuestos!$D$9)*(Supuestos!$F$9-Supuestos!$E$9))),IF(Supuestos!$C$9="Uniforme",Supuestos!$D$9+F510*(Supuestos!$E$9-Supuestos!$D$9),IF(Supuestos!$C$9="Lognormal",LOGINV(F510,LN(Supuestos!$D$9)-LN(1+Supuestos!$E$9^2/Supuestos!$D$9^2)/2,SQRT(LN(1+Supuestos!$E$9^2/Supuestos!$D$9^2))),Supuestos!$D$9))))))</f>
        <v/>
      </c>
      <c r="N510" s="32">
        <f>MIN(IF(Supuestos!$H$10="",1E+99,Supuestos!$H$10),MAX(IF(Supuestos!$G$10="",-1E+99,Supuestos!$G$10),IF(Supuestos!$C$10="Normal",NORMINV(G510,Supuestos!$D$10,Supuestos!$E$10),IF(Supuestos!$C$10="Triangular",IF(G510&lt;(Supuestos!$E$10-Supuestos!$D$10)/(Supuestos!$F$10-Supuestos!$D$10),Supuestos!$D$10+SQRT(G510*(Supuestos!$F$10-Supuestos!$D$10)*(Supuestos!$E$10-Supuestos!$D$10)),Supuestos!$F$10-SQRT((1-G510)*(Supuestos!$F$10-Supuestos!$D$10)*(Supuestos!$F$10-Supuestos!$E$10))),IF(Supuestos!$C$10="Uniforme",Supuestos!$D$10+G510*(Supuestos!$E$10-Supuestos!$D$10),IF(Supuestos!$C$10="Lognormal",LOGINV(G510,LN(Supuestos!$D$10)-LN(1+Supuestos!$E$10^2/Supuestos!$D$10^2)/2,SQRT(LN(1+Supuestos!$E$10^2/Supuestos!$D$10^2))),Supuestos!$D$10))))))</f>
        <v/>
      </c>
      <c r="O510" s="31">
        <f>MIN(IF(Supuestos!$H$11="",1E+99,Supuestos!$H$11),MAX(IF(Supuestos!$G$11="",-1E+99,Supuestos!$G$11),IF(Supuestos!$C$11="Normal",NORMINV(H510,Supuestos!$D$11,Supuestos!$E$11),IF(Supuestos!$C$11="Triangular",IF(H510&lt;(Supuestos!$E$11-Supuestos!$D$11)/(Supuestos!$F$11-Supuestos!$D$11),Supuestos!$D$11+SQRT(H510*(Supuestos!$F$11-Supuestos!$D$11)*(Supuestos!$E$11-Supuestos!$D$11)),Supuestos!$F$11-SQRT((1-H510)*(Supuestos!$F$11-Supuestos!$D$11)*(Supuestos!$F$11-Supuestos!$E$11))),IF(Supuestos!$C$11="Uniforme",Supuestos!$D$11+H510*(Supuestos!$E$11-Supuestos!$D$11),IF(Supuestos!$C$11="Lognormal",LOGINV(H510,LN(Supuestos!$D$11)-LN(1+Supuestos!$E$11^2/Supuestos!$D$11^2)/2,SQRT(LN(1+Supuestos!$E$11^2/Supuestos!$D$11^2))),Supuestos!$D$11))))))</f>
        <v/>
      </c>
      <c r="P510" s="33">
        <f>-I510</f>
        <v/>
      </c>
      <c r="Q510" s="33">
        <f>$J510*(1+$K510)^(1-1)*(1-$L510)*(1-$M510)</f>
        <v/>
      </c>
      <c r="R510" s="33">
        <f>$J510*(1+$K510)^(2-1)*(1-$L510)*(1-$M510)</f>
        <v/>
      </c>
      <c r="S510" s="33">
        <f>$J510*(1+$K510)^(3-1)*(1-$L510)*(1-$M510)</f>
        <v/>
      </c>
      <c r="T510" s="33">
        <f>$J510*(1+$K510)^(4-1)*(1-$L510)*(1-$M510)</f>
        <v/>
      </c>
      <c r="U510" s="33">
        <f>$J510*(1+$K510)^(5-1)*(1-$L510)*(1-$M510)+$O510</f>
        <v/>
      </c>
      <c r="V510" s="33">
        <f>P510+NPV($N510,Q510:U510)</f>
        <v/>
      </c>
      <c r="W510" s="32">
        <f>IFERROR(IRR(P510:U510,0.1),"")</f>
        <v/>
      </c>
    </row>
    <row r="511">
      <c r="A511" s="14" t="n">
        <v>507</v>
      </c>
      <c r="B511" s="30">
        <f>RAND()*(1-2E-6)+1E-6</f>
        <v/>
      </c>
      <c r="C511" s="30">
        <f>RAND()*(1-2E-6)+1E-6</f>
        <v/>
      </c>
      <c r="D511" s="30">
        <f>RAND()*(1-2E-6)+1E-6</f>
        <v/>
      </c>
      <c r="E511" s="30">
        <f>RAND()*(1-2E-6)+1E-6</f>
        <v/>
      </c>
      <c r="F511" s="30">
        <f>RAND()*(1-2E-6)+1E-6</f>
        <v/>
      </c>
      <c r="G511" s="30">
        <f>RAND()*(1-2E-6)+1E-6</f>
        <v/>
      </c>
      <c r="H511" s="30">
        <f>RAND()*(1-2E-6)+1E-6</f>
        <v/>
      </c>
      <c r="I511" s="31">
        <f>MIN(IF(Supuestos!$H$5="",1E+99,Supuestos!$H$5),MAX(IF(Supuestos!$G$5="",-1E+99,Supuestos!$G$5),IF(Supuestos!$C$5="Normal",NORMINV(B511,Supuestos!$D$5,Supuestos!$E$5),IF(Supuestos!$C$5="Triangular",IF(B511&lt;(Supuestos!$E$5-Supuestos!$D$5)/(Supuestos!$F$5-Supuestos!$D$5),Supuestos!$D$5+SQRT(B511*(Supuestos!$F$5-Supuestos!$D$5)*(Supuestos!$E$5-Supuestos!$D$5)),Supuestos!$F$5-SQRT((1-B511)*(Supuestos!$F$5-Supuestos!$D$5)*(Supuestos!$F$5-Supuestos!$E$5))),IF(Supuestos!$C$5="Uniforme",Supuestos!$D$5+B511*(Supuestos!$E$5-Supuestos!$D$5),IF(Supuestos!$C$5="Lognormal",LOGINV(B511,LN(Supuestos!$D$5)-LN(1+Supuestos!$E$5^2/Supuestos!$D$5^2)/2,SQRT(LN(1+Supuestos!$E$5^2/Supuestos!$D$5^2))),Supuestos!$D$5))))))</f>
        <v/>
      </c>
      <c r="J511" s="31">
        <f>MIN(IF(Supuestos!$H$6="",1E+99,Supuestos!$H$6),MAX(IF(Supuestos!$G$6="",-1E+99,Supuestos!$G$6),IF(Supuestos!$C$6="Normal",NORMINV(C511,Supuestos!$D$6,Supuestos!$E$6),IF(Supuestos!$C$6="Triangular",IF(C511&lt;(Supuestos!$E$6-Supuestos!$D$6)/(Supuestos!$F$6-Supuestos!$D$6),Supuestos!$D$6+SQRT(C511*(Supuestos!$F$6-Supuestos!$D$6)*(Supuestos!$E$6-Supuestos!$D$6)),Supuestos!$F$6-SQRT((1-C511)*(Supuestos!$F$6-Supuestos!$D$6)*(Supuestos!$F$6-Supuestos!$E$6))),IF(Supuestos!$C$6="Uniforme",Supuestos!$D$6+C511*(Supuestos!$E$6-Supuestos!$D$6),IF(Supuestos!$C$6="Lognormal",LOGINV(C511,LN(Supuestos!$D$6)-LN(1+Supuestos!$E$6^2/Supuestos!$D$6^2)/2,SQRT(LN(1+Supuestos!$E$6^2/Supuestos!$D$6^2))),Supuestos!$D$6))))))</f>
        <v/>
      </c>
      <c r="K511" s="32">
        <f>MIN(IF(Supuestos!$H$7="",1E+99,Supuestos!$H$7),MAX(IF(Supuestos!$G$7="",-1E+99,Supuestos!$G$7),IF(Supuestos!$C$7="Normal",NORMINV(D511,Supuestos!$D$7,Supuestos!$E$7),IF(Supuestos!$C$7="Triangular",IF(D511&lt;(Supuestos!$E$7-Supuestos!$D$7)/(Supuestos!$F$7-Supuestos!$D$7),Supuestos!$D$7+SQRT(D511*(Supuestos!$F$7-Supuestos!$D$7)*(Supuestos!$E$7-Supuestos!$D$7)),Supuestos!$F$7-SQRT((1-D511)*(Supuestos!$F$7-Supuestos!$D$7)*(Supuestos!$F$7-Supuestos!$E$7))),IF(Supuestos!$C$7="Uniforme",Supuestos!$D$7+D511*(Supuestos!$E$7-Supuestos!$D$7),IF(Supuestos!$C$7="Lognormal",LOGINV(D511,LN(Supuestos!$D$7)-LN(1+Supuestos!$E$7^2/Supuestos!$D$7^2)/2,SQRT(LN(1+Supuestos!$E$7^2/Supuestos!$D$7^2))),Supuestos!$D$7))))))</f>
        <v/>
      </c>
      <c r="L511" s="32">
        <f>MIN(IF(Supuestos!$H$8="",1E+99,Supuestos!$H$8),MAX(IF(Supuestos!$G$8="",-1E+99,Supuestos!$G$8),IF(Supuestos!$C$8="Normal",NORMINV(E511,Supuestos!$D$8,Supuestos!$E$8),IF(Supuestos!$C$8="Triangular",IF(E511&lt;(Supuestos!$E$8-Supuestos!$D$8)/(Supuestos!$F$8-Supuestos!$D$8),Supuestos!$D$8+SQRT(E511*(Supuestos!$F$8-Supuestos!$D$8)*(Supuestos!$E$8-Supuestos!$D$8)),Supuestos!$F$8-SQRT((1-E511)*(Supuestos!$F$8-Supuestos!$D$8)*(Supuestos!$F$8-Supuestos!$E$8))),IF(Supuestos!$C$8="Uniforme",Supuestos!$D$8+E511*(Supuestos!$E$8-Supuestos!$D$8),IF(Supuestos!$C$8="Lognormal",LOGINV(E511,LN(Supuestos!$D$8)-LN(1+Supuestos!$E$8^2/Supuestos!$D$8^2)/2,SQRT(LN(1+Supuestos!$E$8^2/Supuestos!$D$8^2))),Supuestos!$D$8))))))</f>
        <v/>
      </c>
      <c r="M511" s="32">
        <f>MIN(IF(Supuestos!$H$9="",1E+99,Supuestos!$H$9),MAX(IF(Supuestos!$G$9="",-1E+99,Supuestos!$G$9),IF(Supuestos!$C$9="Normal",NORMINV(F511,Supuestos!$D$9,Supuestos!$E$9),IF(Supuestos!$C$9="Triangular",IF(F511&lt;(Supuestos!$E$9-Supuestos!$D$9)/(Supuestos!$F$9-Supuestos!$D$9),Supuestos!$D$9+SQRT(F511*(Supuestos!$F$9-Supuestos!$D$9)*(Supuestos!$E$9-Supuestos!$D$9)),Supuestos!$F$9-SQRT((1-F511)*(Supuestos!$F$9-Supuestos!$D$9)*(Supuestos!$F$9-Supuestos!$E$9))),IF(Supuestos!$C$9="Uniforme",Supuestos!$D$9+F511*(Supuestos!$E$9-Supuestos!$D$9),IF(Supuestos!$C$9="Lognormal",LOGINV(F511,LN(Supuestos!$D$9)-LN(1+Supuestos!$E$9^2/Supuestos!$D$9^2)/2,SQRT(LN(1+Supuestos!$E$9^2/Supuestos!$D$9^2))),Supuestos!$D$9))))))</f>
        <v/>
      </c>
      <c r="N511" s="32">
        <f>MIN(IF(Supuestos!$H$10="",1E+99,Supuestos!$H$10),MAX(IF(Supuestos!$G$10="",-1E+99,Supuestos!$G$10),IF(Supuestos!$C$10="Normal",NORMINV(G511,Supuestos!$D$10,Supuestos!$E$10),IF(Supuestos!$C$10="Triangular",IF(G511&lt;(Supuestos!$E$10-Supuestos!$D$10)/(Supuestos!$F$10-Supuestos!$D$10),Supuestos!$D$10+SQRT(G511*(Supuestos!$F$10-Supuestos!$D$10)*(Supuestos!$E$10-Supuestos!$D$10)),Supuestos!$F$10-SQRT((1-G511)*(Supuestos!$F$10-Supuestos!$D$10)*(Supuestos!$F$10-Supuestos!$E$10))),IF(Supuestos!$C$10="Uniforme",Supuestos!$D$10+G511*(Supuestos!$E$10-Supuestos!$D$10),IF(Supuestos!$C$10="Lognormal",LOGINV(G511,LN(Supuestos!$D$10)-LN(1+Supuestos!$E$10^2/Supuestos!$D$10^2)/2,SQRT(LN(1+Supuestos!$E$10^2/Supuestos!$D$10^2))),Supuestos!$D$10))))))</f>
        <v/>
      </c>
      <c r="O511" s="31">
        <f>MIN(IF(Supuestos!$H$11="",1E+99,Supuestos!$H$11),MAX(IF(Supuestos!$G$11="",-1E+99,Supuestos!$G$11),IF(Supuestos!$C$11="Normal",NORMINV(H511,Supuestos!$D$11,Supuestos!$E$11),IF(Supuestos!$C$11="Triangular",IF(H511&lt;(Supuestos!$E$11-Supuestos!$D$11)/(Supuestos!$F$11-Supuestos!$D$11),Supuestos!$D$11+SQRT(H511*(Supuestos!$F$11-Supuestos!$D$11)*(Supuestos!$E$11-Supuestos!$D$11)),Supuestos!$F$11-SQRT((1-H511)*(Supuestos!$F$11-Supuestos!$D$11)*(Supuestos!$F$11-Supuestos!$E$11))),IF(Supuestos!$C$11="Uniforme",Supuestos!$D$11+H511*(Supuestos!$E$11-Supuestos!$D$11),IF(Supuestos!$C$11="Lognormal",LOGINV(H511,LN(Supuestos!$D$11)-LN(1+Supuestos!$E$11^2/Supuestos!$D$11^2)/2,SQRT(LN(1+Supuestos!$E$11^2/Supuestos!$D$11^2))),Supuestos!$D$11))))))</f>
        <v/>
      </c>
      <c r="P511" s="33">
        <f>-I511</f>
        <v/>
      </c>
      <c r="Q511" s="33">
        <f>$J511*(1+$K511)^(1-1)*(1-$L511)*(1-$M511)</f>
        <v/>
      </c>
      <c r="R511" s="33">
        <f>$J511*(1+$K511)^(2-1)*(1-$L511)*(1-$M511)</f>
        <v/>
      </c>
      <c r="S511" s="33">
        <f>$J511*(1+$K511)^(3-1)*(1-$L511)*(1-$M511)</f>
        <v/>
      </c>
      <c r="T511" s="33">
        <f>$J511*(1+$K511)^(4-1)*(1-$L511)*(1-$M511)</f>
        <v/>
      </c>
      <c r="U511" s="33">
        <f>$J511*(1+$K511)^(5-1)*(1-$L511)*(1-$M511)+$O511</f>
        <v/>
      </c>
      <c r="V511" s="33">
        <f>P511+NPV($N511,Q511:U511)</f>
        <v/>
      </c>
      <c r="W511" s="32">
        <f>IFERROR(IRR(P511:U511,0.1),"")</f>
        <v/>
      </c>
    </row>
    <row r="512">
      <c r="A512" s="14" t="n">
        <v>508</v>
      </c>
      <c r="B512" s="30">
        <f>RAND()*(1-2E-6)+1E-6</f>
        <v/>
      </c>
      <c r="C512" s="30">
        <f>RAND()*(1-2E-6)+1E-6</f>
        <v/>
      </c>
      <c r="D512" s="30">
        <f>RAND()*(1-2E-6)+1E-6</f>
        <v/>
      </c>
      <c r="E512" s="30">
        <f>RAND()*(1-2E-6)+1E-6</f>
        <v/>
      </c>
      <c r="F512" s="30">
        <f>RAND()*(1-2E-6)+1E-6</f>
        <v/>
      </c>
      <c r="G512" s="30">
        <f>RAND()*(1-2E-6)+1E-6</f>
        <v/>
      </c>
      <c r="H512" s="30">
        <f>RAND()*(1-2E-6)+1E-6</f>
        <v/>
      </c>
      <c r="I512" s="31">
        <f>MIN(IF(Supuestos!$H$5="",1E+99,Supuestos!$H$5),MAX(IF(Supuestos!$G$5="",-1E+99,Supuestos!$G$5),IF(Supuestos!$C$5="Normal",NORMINV(B512,Supuestos!$D$5,Supuestos!$E$5),IF(Supuestos!$C$5="Triangular",IF(B512&lt;(Supuestos!$E$5-Supuestos!$D$5)/(Supuestos!$F$5-Supuestos!$D$5),Supuestos!$D$5+SQRT(B512*(Supuestos!$F$5-Supuestos!$D$5)*(Supuestos!$E$5-Supuestos!$D$5)),Supuestos!$F$5-SQRT((1-B512)*(Supuestos!$F$5-Supuestos!$D$5)*(Supuestos!$F$5-Supuestos!$E$5))),IF(Supuestos!$C$5="Uniforme",Supuestos!$D$5+B512*(Supuestos!$E$5-Supuestos!$D$5),IF(Supuestos!$C$5="Lognormal",LOGINV(B512,LN(Supuestos!$D$5)-LN(1+Supuestos!$E$5^2/Supuestos!$D$5^2)/2,SQRT(LN(1+Supuestos!$E$5^2/Supuestos!$D$5^2))),Supuestos!$D$5))))))</f>
        <v/>
      </c>
      <c r="J512" s="31">
        <f>MIN(IF(Supuestos!$H$6="",1E+99,Supuestos!$H$6),MAX(IF(Supuestos!$G$6="",-1E+99,Supuestos!$G$6),IF(Supuestos!$C$6="Normal",NORMINV(C512,Supuestos!$D$6,Supuestos!$E$6),IF(Supuestos!$C$6="Triangular",IF(C512&lt;(Supuestos!$E$6-Supuestos!$D$6)/(Supuestos!$F$6-Supuestos!$D$6),Supuestos!$D$6+SQRT(C512*(Supuestos!$F$6-Supuestos!$D$6)*(Supuestos!$E$6-Supuestos!$D$6)),Supuestos!$F$6-SQRT((1-C512)*(Supuestos!$F$6-Supuestos!$D$6)*(Supuestos!$F$6-Supuestos!$E$6))),IF(Supuestos!$C$6="Uniforme",Supuestos!$D$6+C512*(Supuestos!$E$6-Supuestos!$D$6),IF(Supuestos!$C$6="Lognormal",LOGINV(C512,LN(Supuestos!$D$6)-LN(1+Supuestos!$E$6^2/Supuestos!$D$6^2)/2,SQRT(LN(1+Supuestos!$E$6^2/Supuestos!$D$6^2))),Supuestos!$D$6))))))</f>
        <v/>
      </c>
      <c r="K512" s="32">
        <f>MIN(IF(Supuestos!$H$7="",1E+99,Supuestos!$H$7),MAX(IF(Supuestos!$G$7="",-1E+99,Supuestos!$G$7),IF(Supuestos!$C$7="Normal",NORMINV(D512,Supuestos!$D$7,Supuestos!$E$7),IF(Supuestos!$C$7="Triangular",IF(D512&lt;(Supuestos!$E$7-Supuestos!$D$7)/(Supuestos!$F$7-Supuestos!$D$7),Supuestos!$D$7+SQRT(D512*(Supuestos!$F$7-Supuestos!$D$7)*(Supuestos!$E$7-Supuestos!$D$7)),Supuestos!$F$7-SQRT((1-D512)*(Supuestos!$F$7-Supuestos!$D$7)*(Supuestos!$F$7-Supuestos!$E$7))),IF(Supuestos!$C$7="Uniforme",Supuestos!$D$7+D512*(Supuestos!$E$7-Supuestos!$D$7),IF(Supuestos!$C$7="Lognormal",LOGINV(D512,LN(Supuestos!$D$7)-LN(1+Supuestos!$E$7^2/Supuestos!$D$7^2)/2,SQRT(LN(1+Supuestos!$E$7^2/Supuestos!$D$7^2))),Supuestos!$D$7))))))</f>
        <v/>
      </c>
      <c r="L512" s="32">
        <f>MIN(IF(Supuestos!$H$8="",1E+99,Supuestos!$H$8),MAX(IF(Supuestos!$G$8="",-1E+99,Supuestos!$G$8),IF(Supuestos!$C$8="Normal",NORMINV(E512,Supuestos!$D$8,Supuestos!$E$8),IF(Supuestos!$C$8="Triangular",IF(E512&lt;(Supuestos!$E$8-Supuestos!$D$8)/(Supuestos!$F$8-Supuestos!$D$8),Supuestos!$D$8+SQRT(E512*(Supuestos!$F$8-Supuestos!$D$8)*(Supuestos!$E$8-Supuestos!$D$8)),Supuestos!$F$8-SQRT((1-E512)*(Supuestos!$F$8-Supuestos!$D$8)*(Supuestos!$F$8-Supuestos!$E$8))),IF(Supuestos!$C$8="Uniforme",Supuestos!$D$8+E512*(Supuestos!$E$8-Supuestos!$D$8),IF(Supuestos!$C$8="Lognormal",LOGINV(E512,LN(Supuestos!$D$8)-LN(1+Supuestos!$E$8^2/Supuestos!$D$8^2)/2,SQRT(LN(1+Supuestos!$E$8^2/Supuestos!$D$8^2))),Supuestos!$D$8))))))</f>
        <v/>
      </c>
      <c r="M512" s="32">
        <f>MIN(IF(Supuestos!$H$9="",1E+99,Supuestos!$H$9),MAX(IF(Supuestos!$G$9="",-1E+99,Supuestos!$G$9),IF(Supuestos!$C$9="Normal",NORMINV(F512,Supuestos!$D$9,Supuestos!$E$9),IF(Supuestos!$C$9="Triangular",IF(F512&lt;(Supuestos!$E$9-Supuestos!$D$9)/(Supuestos!$F$9-Supuestos!$D$9),Supuestos!$D$9+SQRT(F512*(Supuestos!$F$9-Supuestos!$D$9)*(Supuestos!$E$9-Supuestos!$D$9)),Supuestos!$F$9-SQRT((1-F512)*(Supuestos!$F$9-Supuestos!$D$9)*(Supuestos!$F$9-Supuestos!$E$9))),IF(Supuestos!$C$9="Uniforme",Supuestos!$D$9+F512*(Supuestos!$E$9-Supuestos!$D$9),IF(Supuestos!$C$9="Lognormal",LOGINV(F512,LN(Supuestos!$D$9)-LN(1+Supuestos!$E$9^2/Supuestos!$D$9^2)/2,SQRT(LN(1+Supuestos!$E$9^2/Supuestos!$D$9^2))),Supuestos!$D$9))))))</f>
        <v/>
      </c>
      <c r="N512" s="32">
        <f>MIN(IF(Supuestos!$H$10="",1E+99,Supuestos!$H$10),MAX(IF(Supuestos!$G$10="",-1E+99,Supuestos!$G$10),IF(Supuestos!$C$10="Normal",NORMINV(G512,Supuestos!$D$10,Supuestos!$E$10),IF(Supuestos!$C$10="Triangular",IF(G512&lt;(Supuestos!$E$10-Supuestos!$D$10)/(Supuestos!$F$10-Supuestos!$D$10),Supuestos!$D$10+SQRT(G512*(Supuestos!$F$10-Supuestos!$D$10)*(Supuestos!$E$10-Supuestos!$D$10)),Supuestos!$F$10-SQRT((1-G512)*(Supuestos!$F$10-Supuestos!$D$10)*(Supuestos!$F$10-Supuestos!$E$10))),IF(Supuestos!$C$10="Uniforme",Supuestos!$D$10+G512*(Supuestos!$E$10-Supuestos!$D$10),IF(Supuestos!$C$10="Lognormal",LOGINV(G512,LN(Supuestos!$D$10)-LN(1+Supuestos!$E$10^2/Supuestos!$D$10^2)/2,SQRT(LN(1+Supuestos!$E$10^2/Supuestos!$D$10^2))),Supuestos!$D$10))))))</f>
        <v/>
      </c>
      <c r="O512" s="31">
        <f>MIN(IF(Supuestos!$H$11="",1E+99,Supuestos!$H$11),MAX(IF(Supuestos!$G$11="",-1E+99,Supuestos!$G$11),IF(Supuestos!$C$11="Normal",NORMINV(H512,Supuestos!$D$11,Supuestos!$E$11),IF(Supuestos!$C$11="Triangular",IF(H512&lt;(Supuestos!$E$11-Supuestos!$D$11)/(Supuestos!$F$11-Supuestos!$D$11),Supuestos!$D$11+SQRT(H512*(Supuestos!$F$11-Supuestos!$D$11)*(Supuestos!$E$11-Supuestos!$D$11)),Supuestos!$F$11-SQRT((1-H512)*(Supuestos!$F$11-Supuestos!$D$11)*(Supuestos!$F$11-Supuestos!$E$11))),IF(Supuestos!$C$11="Uniforme",Supuestos!$D$11+H512*(Supuestos!$E$11-Supuestos!$D$11),IF(Supuestos!$C$11="Lognormal",LOGINV(H512,LN(Supuestos!$D$11)-LN(1+Supuestos!$E$11^2/Supuestos!$D$11^2)/2,SQRT(LN(1+Supuestos!$E$11^2/Supuestos!$D$11^2))),Supuestos!$D$11))))))</f>
        <v/>
      </c>
      <c r="P512" s="33">
        <f>-I512</f>
        <v/>
      </c>
      <c r="Q512" s="33">
        <f>$J512*(1+$K512)^(1-1)*(1-$L512)*(1-$M512)</f>
        <v/>
      </c>
      <c r="R512" s="33">
        <f>$J512*(1+$K512)^(2-1)*(1-$L512)*(1-$M512)</f>
        <v/>
      </c>
      <c r="S512" s="33">
        <f>$J512*(1+$K512)^(3-1)*(1-$L512)*(1-$M512)</f>
        <v/>
      </c>
      <c r="T512" s="33">
        <f>$J512*(1+$K512)^(4-1)*(1-$L512)*(1-$M512)</f>
        <v/>
      </c>
      <c r="U512" s="33">
        <f>$J512*(1+$K512)^(5-1)*(1-$L512)*(1-$M512)+$O512</f>
        <v/>
      </c>
      <c r="V512" s="33">
        <f>P512+NPV($N512,Q512:U512)</f>
        <v/>
      </c>
      <c r="W512" s="32">
        <f>IFERROR(IRR(P512:U512,0.1),"")</f>
        <v/>
      </c>
    </row>
    <row r="513">
      <c r="A513" s="14" t="n">
        <v>509</v>
      </c>
      <c r="B513" s="30">
        <f>RAND()*(1-2E-6)+1E-6</f>
        <v/>
      </c>
      <c r="C513" s="30">
        <f>RAND()*(1-2E-6)+1E-6</f>
        <v/>
      </c>
      <c r="D513" s="30">
        <f>RAND()*(1-2E-6)+1E-6</f>
        <v/>
      </c>
      <c r="E513" s="30">
        <f>RAND()*(1-2E-6)+1E-6</f>
        <v/>
      </c>
      <c r="F513" s="30">
        <f>RAND()*(1-2E-6)+1E-6</f>
        <v/>
      </c>
      <c r="G513" s="30">
        <f>RAND()*(1-2E-6)+1E-6</f>
        <v/>
      </c>
      <c r="H513" s="30">
        <f>RAND()*(1-2E-6)+1E-6</f>
        <v/>
      </c>
      <c r="I513" s="31">
        <f>MIN(IF(Supuestos!$H$5="",1E+99,Supuestos!$H$5),MAX(IF(Supuestos!$G$5="",-1E+99,Supuestos!$G$5),IF(Supuestos!$C$5="Normal",NORMINV(B513,Supuestos!$D$5,Supuestos!$E$5),IF(Supuestos!$C$5="Triangular",IF(B513&lt;(Supuestos!$E$5-Supuestos!$D$5)/(Supuestos!$F$5-Supuestos!$D$5),Supuestos!$D$5+SQRT(B513*(Supuestos!$F$5-Supuestos!$D$5)*(Supuestos!$E$5-Supuestos!$D$5)),Supuestos!$F$5-SQRT((1-B513)*(Supuestos!$F$5-Supuestos!$D$5)*(Supuestos!$F$5-Supuestos!$E$5))),IF(Supuestos!$C$5="Uniforme",Supuestos!$D$5+B513*(Supuestos!$E$5-Supuestos!$D$5),IF(Supuestos!$C$5="Lognormal",LOGINV(B513,LN(Supuestos!$D$5)-LN(1+Supuestos!$E$5^2/Supuestos!$D$5^2)/2,SQRT(LN(1+Supuestos!$E$5^2/Supuestos!$D$5^2))),Supuestos!$D$5))))))</f>
        <v/>
      </c>
      <c r="J513" s="31">
        <f>MIN(IF(Supuestos!$H$6="",1E+99,Supuestos!$H$6),MAX(IF(Supuestos!$G$6="",-1E+99,Supuestos!$G$6),IF(Supuestos!$C$6="Normal",NORMINV(C513,Supuestos!$D$6,Supuestos!$E$6),IF(Supuestos!$C$6="Triangular",IF(C513&lt;(Supuestos!$E$6-Supuestos!$D$6)/(Supuestos!$F$6-Supuestos!$D$6),Supuestos!$D$6+SQRT(C513*(Supuestos!$F$6-Supuestos!$D$6)*(Supuestos!$E$6-Supuestos!$D$6)),Supuestos!$F$6-SQRT((1-C513)*(Supuestos!$F$6-Supuestos!$D$6)*(Supuestos!$F$6-Supuestos!$E$6))),IF(Supuestos!$C$6="Uniforme",Supuestos!$D$6+C513*(Supuestos!$E$6-Supuestos!$D$6),IF(Supuestos!$C$6="Lognormal",LOGINV(C513,LN(Supuestos!$D$6)-LN(1+Supuestos!$E$6^2/Supuestos!$D$6^2)/2,SQRT(LN(1+Supuestos!$E$6^2/Supuestos!$D$6^2))),Supuestos!$D$6))))))</f>
        <v/>
      </c>
      <c r="K513" s="32">
        <f>MIN(IF(Supuestos!$H$7="",1E+99,Supuestos!$H$7),MAX(IF(Supuestos!$G$7="",-1E+99,Supuestos!$G$7),IF(Supuestos!$C$7="Normal",NORMINV(D513,Supuestos!$D$7,Supuestos!$E$7),IF(Supuestos!$C$7="Triangular",IF(D513&lt;(Supuestos!$E$7-Supuestos!$D$7)/(Supuestos!$F$7-Supuestos!$D$7),Supuestos!$D$7+SQRT(D513*(Supuestos!$F$7-Supuestos!$D$7)*(Supuestos!$E$7-Supuestos!$D$7)),Supuestos!$F$7-SQRT((1-D513)*(Supuestos!$F$7-Supuestos!$D$7)*(Supuestos!$F$7-Supuestos!$E$7))),IF(Supuestos!$C$7="Uniforme",Supuestos!$D$7+D513*(Supuestos!$E$7-Supuestos!$D$7),IF(Supuestos!$C$7="Lognormal",LOGINV(D513,LN(Supuestos!$D$7)-LN(1+Supuestos!$E$7^2/Supuestos!$D$7^2)/2,SQRT(LN(1+Supuestos!$E$7^2/Supuestos!$D$7^2))),Supuestos!$D$7))))))</f>
        <v/>
      </c>
      <c r="L513" s="32">
        <f>MIN(IF(Supuestos!$H$8="",1E+99,Supuestos!$H$8),MAX(IF(Supuestos!$G$8="",-1E+99,Supuestos!$G$8),IF(Supuestos!$C$8="Normal",NORMINV(E513,Supuestos!$D$8,Supuestos!$E$8),IF(Supuestos!$C$8="Triangular",IF(E513&lt;(Supuestos!$E$8-Supuestos!$D$8)/(Supuestos!$F$8-Supuestos!$D$8),Supuestos!$D$8+SQRT(E513*(Supuestos!$F$8-Supuestos!$D$8)*(Supuestos!$E$8-Supuestos!$D$8)),Supuestos!$F$8-SQRT((1-E513)*(Supuestos!$F$8-Supuestos!$D$8)*(Supuestos!$F$8-Supuestos!$E$8))),IF(Supuestos!$C$8="Uniforme",Supuestos!$D$8+E513*(Supuestos!$E$8-Supuestos!$D$8),IF(Supuestos!$C$8="Lognormal",LOGINV(E513,LN(Supuestos!$D$8)-LN(1+Supuestos!$E$8^2/Supuestos!$D$8^2)/2,SQRT(LN(1+Supuestos!$E$8^2/Supuestos!$D$8^2))),Supuestos!$D$8))))))</f>
        <v/>
      </c>
      <c r="M513" s="32">
        <f>MIN(IF(Supuestos!$H$9="",1E+99,Supuestos!$H$9),MAX(IF(Supuestos!$G$9="",-1E+99,Supuestos!$G$9),IF(Supuestos!$C$9="Normal",NORMINV(F513,Supuestos!$D$9,Supuestos!$E$9),IF(Supuestos!$C$9="Triangular",IF(F513&lt;(Supuestos!$E$9-Supuestos!$D$9)/(Supuestos!$F$9-Supuestos!$D$9),Supuestos!$D$9+SQRT(F513*(Supuestos!$F$9-Supuestos!$D$9)*(Supuestos!$E$9-Supuestos!$D$9)),Supuestos!$F$9-SQRT((1-F513)*(Supuestos!$F$9-Supuestos!$D$9)*(Supuestos!$F$9-Supuestos!$E$9))),IF(Supuestos!$C$9="Uniforme",Supuestos!$D$9+F513*(Supuestos!$E$9-Supuestos!$D$9),IF(Supuestos!$C$9="Lognormal",LOGINV(F513,LN(Supuestos!$D$9)-LN(1+Supuestos!$E$9^2/Supuestos!$D$9^2)/2,SQRT(LN(1+Supuestos!$E$9^2/Supuestos!$D$9^2))),Supuestos!$D$9))))))</f>
        <v/>
      </c>
      <c r="N513" s="32">
        <f>MIN(IF(Supuestos!$H$10="",1E+99,Supuestos!$H$10),MAX(IF(Supuestos!$G$10="",-1E+99,Supuestos!$G$10),IF(Supuestos!$C$10="Normal",NORMINV(G513,Supuestos!$D$10,Supuestos!$E$10),IF(Supuestos!$C$10="Triangular",IF(G513&lt;(Supuestos!$E$10-Supuestos!$D$10)/(Supuestos!$F$10-Supuestos!$D$10),Supuestos!$D$10+SQRT(G513*(Supuestos!$F$10-Supuestos!$D$10)*(Supuestos!$E$10-Supuestos!$D$10)),Supuestos!$F$10-SQRT((1-G513)*(Supuestos!$F$10-Supuestos!$D$10)*(Supuestos!$F$10-Supuestos!$E$10))),IF(Supuestos!$C$10="Uniforme",Supuestos!$D$10+G513*(Supuestos!$E$10-Supuestos!$D$10),IF(Supuestos!$C$10="Lognormal",LOGINV(G513,LN(Supuestos!$D$10)-LN(1+Supuestos!$E$10^2/Supuestos!$D$10^2)/2,SQRT(LN(1+Supuestos!$E$10^2/Supuestos!$D$10^2))),Supuestos!$D$10))))))</f>
        <v/>
      </c>
      <c r="O513" s="31">
        <f>MIN(IF(Supuestos!$H$11="",1E+99,Supuestos!$H$11),MAX(IF(Supuestos!$G$11="",-1E+99,Supuestos!$G$11),IF(Supuestos!$C$11="Normal",NORMINV(H513,Supuestos!$D$11,Supuestos!$E$11),IF(Supuestos!$C$11="Triangular",IF(H513&lt;(Supuestos!$E$11-Supuestos!$D$11)/(Supuestos!$F$11-Supuestos!$D$11),Supuestos!$D$11+SQRT(H513*(Supuestos!$F$11-Supuestos!$D$11)*(Supuestos!$E$11-Supuestos!$D$11)),Supuestos!$F$11-SQRT((1-H513)*(Supuestos!$F$11-Supuestos!$D$11)*(Supuestos!$F$11-Supuestos!$E$11))),IF(Supuestos!$C$11="Uniforme",Supuestos!$D$11+H513*(Supuestos!$E$11-Supuestos!$D$11),IF(Supuestos!$C$11="Lognormal",LOGINV(H513,LN(Supuestos!$D$11)-LN(1+Supuestos!$E$11^2/Supuestos!$D$11^2)/2,SQRT(LN(1+Supuestos!$E$11^2/Supuestos!$D$11^2))),Supuestos!$D$11))))))</f>
        <v/>
      </c>
      <c r="P513" s="33">
        <f>-I513</f>
        <v/>
      </c>
      <c r="Q513" s="33">
        <f>$J513*(1+$K513)^(1-1)*(1-$L513)*(1-$M513)</f>
        <v/>
      </c>
      <c r="R513" s="33">
        <f>$J513*(1+$K513)^(2-1)*(1-$L513)*(1-$M513)</f>
        <v/>
      </c>
      <c r="S513" s="33">
        <f>$J513*(1+$K513)^(3-1)*(1-$L513)*(1-$M513)</f>
        <v/>
      </c>
      <c r="T513" s="33">
        <f>$J513*(1+$K513)^(4-1)*(1-$L513)*(1-$M513)</f>
        <v/>
      </c>
      <c r="U513" s="33">
        <f>$J513*(1+$K513)^(5-1)*(1-$L513)*(1-$M513)+$O513</f>
        <v/>
      </c>
      <c r="V513" s="33">
        <f>P513+NPV($N513,Q513:U513)</f>
        <v/>
      </c>
      <c r="W513" s="32">
        <f>IFERROR(IRR(P513:U513,0.1),"")</f>
        <v/>
      </c>
    </row>
    <row r="514">
      <c r="A514" s="14" t="n">
        <v>510</v>
      </c>
      <c r="B514" s="30">
        <f>RAND()*(1-2E-6)+1E-6</f>
        <v/>
      </c>
      <c r="C514" s="30">
        <f>RAND()*(1-2E-6)+1E-6</f>
        <v/>
      </c>
      <c r="D514" s="30">
        <f>RAND()*(1-2E-6)+1E-6</f>
        <v/>
      </c>
      <c r="E514" s="30">
        <f>RAND()*(1-2E-6)+1E-6</f>
        <v/>
      </c>
      <c r="F514" s="30">
        <f>RAND()*(1-2E-6)+1E-6</f>
        <v/>
      </c>
      <c r="G514" s="30">
        <f>RAND()*(1-2E-6)+1E-6</f>
        <v/>
      </c>
      <c r="H514" s="30">
        <f>RAND()*(1-2E-6)+1E-6</f>
        <v/>
      </c>
      <c r="I514" s="31">
        <f>MIN(IF(Supuestos!$H$5="",1E+99,Supuestos!$H$5),MAX(IF(Supuestos!$G$5="",-1E+99,Supuestos!$G$5),IF(Supuestos!$C$5="Normal",NORMINV(B514,Supuestos!$D$5,Supuestos!$E$5),IF(Supuestos!$C$5="Triangular",IF(B514&lt;(Supuestos!$E$5-Supuestos!$D$5)/(Supuestos!$F$5-Supuestos!$D$5),Supuestos!$D$5+SQRT(B514*(Supuestos!$F$5-Supuestos!$D$5)*(Supuestos!$E$5-Supuestos!$D$5)),Supuestos!$F$5-SQRT((1-B514)*(Supuestos!$F$5-Supuestos!$D$5)*(Supuestos!$F$5-Supuestos!$E$5))),IF(Supuestos!$C$5="Uniforme",Supuestos!$D$5+B514*(Supuestos!$E$5-Supuestos!$D$5),IF(Supuestos!$C$5="Lognormal",LOGINV(B514,LN(Supuestos!$D$5)-LN(1+Supuestos!$E$5^2/Supuestos!$D$5^2)/2,SQRT(LN(1+Supuestos!$E$5^2/Supuestos!$D$5^2))),Supuestos!$D$5))))))</f>
        <v/>
      </c>
      <c r="J514" s="31">
        <f>MIN(IF(Supuestos!$H$6="",1E+99,Supuestos!$H$6),MAX(IF(Supuestos!$G$6="",-1E+99,Supuestos!$G$6),IF(Supuestos!$C$6="Normal",NORMINV(C514,Supuestos!$D$6,Supuestos!$E$6),IF(Supuestos!$C$6="Triangular",IF(C514&lt;(Supuestos!$E$6-Supuestos!$D$6)/(Supuestos!$F$6-Supuestos!$D$6),Supuestos!$D$6+SQRT(C514*(Supuestos!$F$6-Supuestos!$D$6)*(Supuestos!$E$6-Supuestos!$D$6)),Supuestos!$F$6-SQRT((1-C514)*(Supuestos!$F$6-Supuestos!$D$6)*(Supuestos!$F$6-Supuestos!$E$6))),IF(Supuestos!$C$6="Uniforme",Supuestos!$D$6+C514*(Supuestos!$E$6-Supuestos!$D$6),IF(Supuestos!$C$6="Lognormal",LOGINV(C514,LN(Supuestos!$D$6)-LN(1+Supuestos!$E$6^2/Supuestos!$D$6^2)/2,SQRT(LN(1+Supuestos!$E$6^2/Supuestos!$D$6^2))),Supuestos!$D$6))))))</f>
        <v/>
      </c>
      <c r="K514" s="32">
        <f>MIN(IF(Supuestos!$H$7="",1E+99,Supuestos!$H$7),MAX(IF(Supuestos!$G$7="",-1E+99,Supuestos!$G$7),IF(Supuestos!$C$7="Normal",NORMINV(D514,Supuestos!$D$7,Supuestos!$E$7),IF(Supuestos!$C$7="Triangular",IF(D514&lt;(Supuestos!$E$7-Supuestos!$D$7)/(Supuestos!$F$7-Supuestos!$D$7),Supuestos!$D$7+SQRT(D514*(Supuestos!$F$7-Supuestos!$D$7)*(Supuestos!$E$7-Supuestos!$D$7)),Supuestos!$F$7-SQRT((1-D514)*(Supuestos!$F$7-Supuestos!$D$7)*(Supuestos!$F$7-Supuestos!$E$7))),IF(Supuestos!$C$7="Uniforme",Supuestos!$D$7+D514*(Supuestos!$E$7-Supuestos!$D$7),IF(Supuestos!$C$7="Lognormal",LOGINV(D514,LN(Supuestos!$D$7)-LN(1+Supuestos!$E$7^2/Supuestos!$D$7^2)/2,SQRT(LN(1+Supuestos!$E$7^2/Supuestos!$D$7^2))),Supuestos!$D$7))))))</f>
        <v/>
      </c>
      <c r="L514" s="32">
        <f>MIN(IF(Supuestos!$H$8="",1E+99,Supuestos!$H$8),MAX(IF(Supuestos!$G$8="",-1E+99,Supuestos!$G$8),IF(Supuestos!$C$8="Normal",NORMINV(E514,Supuestos!$D$8,Supuestos!$E$8),IF(Supuestos!$C$8="Triangular",IF(E514&lt;(Supuestos!$E$8-Supuestos!$D$8)/(Supuestos!$F$8-Supuestos!$D$8),Supuestos!$D$8+SQRT(E514*(Supuestos!$F$8-Supuestos!$D$8)*(Supuestos!$E$8-Supuestos!$D$8)),Supuestos!$F$8-SQRT((1-E514)*(Supuestos!$F$8-Supuestos!$D$8)*(Supuestos!$F$8-Supuestos!$E$8))),IF(Supuestos!$C$8="Uniforme",Supuestos!$D$8+E514*(Supuestos!$E$8-Supuestos!$D$8),IF(Supuestos!$C$8="Lognormal",LOGINV(E514,LN(Supuestos!$D$8)-LN(1+Supuestos!$E$8^2/Supuestos!$D$8^2)/2,SQRT(LN(1+Supuestos!$E$8^2/Supuestos!$D$8^2))),Supuestos!$D$8))))))</f>
        <v/>
      </c>
      <c r="M514" s="32">
        <f>MIN(IF(Supuestos!$H$9="",1E+99,Supuestos!$H$9),MAX(IF(Supuestos!$G$9="",-1E+99,Supuestos!$G$9),IF(Supuestos!$C$9="Normal",NORMINV(F514,Supuestos!$D$9,Supuestos!$E$9),IF(Supuestos!$C$9="Triangular",IF(F514&lt;(Supuestos!$E$9-Supuestos!$D$9)/(Supuestos!$F$9-Supuestos!$D$9),Supuestos!$D$9+SQRT(F514*(Supuestos!$F$9-Supuestos!$D$9)*(Supuestos!$E$9-Supuestos!$D$9)),Supuestos!$F$9-SQRT((1-F514)*(Supuestos!$F$9-Supuestos!$D$9)*(Supuestos!$F$9-Supuestos!$E$9))),IF(Supuestos!$C$9="Uniforme",Supuestos!$D$9+F514*(Supuestos!$E$9-Supuestos!$D$9),IF(Supuestos!$C$9="Lognormal",LOGINV(F514,LN(Supuestos!$D$9)-LN(1+Supuestos!$E$9^2/Supuestos!$D$9^2)/2,SQRT(LN(1+Supuestos!$E$9^2/Supuestos!$D$9^2))),Supuestos!$D$9))))))</f>
        <v/>
      </c>
      <c r="N514" s="32">
        <f>MIN(IF(Supuestos!$H$10="",1E+99,Supuestos!$H$10),MAX(IF(Supuestos!$G$10="",-1E+99,Supuestos!$G$10),IF(Supuestos!$C$10="Normal",NORMINV(G514,Supuestos!$D$10,Supuestos!$E$10),IF(Supuestos!$C$10="Triangular",IF(G514&lt;(Supuestos!$E$10-Supuestos!$D$10)/(Supuestos!$F$10-Supuestos!$D$10),Supuestos!$D$10+SQRT(G514*(Supuestos!$F$10-Supuestos!$D$10)*(Supuestos!$E$10-Supuestos!$D$10)),Supuestos!$F$10-SQRT((1-G514)*(Supuestos!$F$10-Supuestos!$D$10)*(Supuestos!$F$10-Supuestos!$E$10))),IF(Supuestos!$C$10="Uniforme",Supuestos!$D$10+G514*(Supuestos!$E$10-Supuestos!$D$10),IF(Supuestos!$C$10="Lognormal",LOGINV(G514,LN(Supuestos!$D$10)-LN(1+Supuestos!$E$10^2/Supuestos!$D$10^2)/2,SQRT(LN(1+Supuestos!$E$10^2/Supuestos!$D$10^2))),Supuestos!$D$10))))))</f>
        <v/>
      </c>
      <c r="O514" s="31">
        <f>MIN(IF(Supuestos!$H$11="",1E+99,Supuestos!$H$11),MAX(IF(Supuestos!$G$11="",-1E+99,Supuestos!$G$11),IF(Supuestos!$C$11="Normal",NORMINV(H514,Supuestos!$D$11,Supuestos!$E$11),IF(Supuestos!$C$11="Triangular",IF(H514&lt;(Supuestos!$E$11-Supuestos!$D$11)/(Supuestos!$F$11-Supuestos!$D$11),Supuestos!$D$11+SQRT(H514*(Supuestos!$F$11-Supuestos!$D$11)*(Supuestos!$E$11-Supuestos!$D$11)),Supuestos!$F$11-SQRT((1-H514)*(Supuestos!$F$11-Supuestos!$D$11)*(Supuestos!$F$11-Supuestos!$E$11))),IF(Supuestos!$C$11="Uniforme",Supuestos!$D$11+H514*(Supuestos!$E$11-Supuestos!$D$11),IF(Supuestos!$C$11="Lognormal",LOGINV(H514,LN(Supuestos!$D$11)-LN(1+Supuestos!$E$11^2/Supuestos!$D$11^2)/2,SQRT(LN(1+Supuestos!$E$11^2/Supuestos!$D$11^2))),Supuestos!$D$11))))))</f>
        <v/>
      </c>
      <c r="P514" s="33">
        <f>-I514</f>
        <v/>
      </c>
      <c r="Q514" s="33">
        <f>$J514*(1+$K514)^(1-1)*(1-$L514)*(1-$M514)</f>
        <v/>
      </c>
      <c r="R514" s="33">
        <f>$J514*(1+$K514)^(2-1)*(1-$L514)*(1-$M514)</f>
        <v/>
      </c>
      <c r="S514" s="33">
        <f>$J514*(1+$K514)^(3-1)*(1-$L514)*(1-$M514)</f>
        <v/>
      </c>
      <c r="T514" s="33">
        <f>$J514*(1+$K514)^(4-1)*(1-$L514)*(1-$M514)</f>
        <v/>
      </c>
      <c r="U514" s="33">
        <f>$J514*(1+$K514)^(5-1)*(1-$L514)*(1-$M514)+$O514</f>
        <v/>
      </c>
      <c r="V514" s="33">
        <f>P514+NPV($N514,Q514:U514)</f>
        <v/>
      </c>
      <c r="W514" s="32">
        <f>IFERROR(IRR(P514:U514,0.1),"")</f>
        <v/>
      </c>
    </row>
    <row r="515">
      <c r="A515" s="14" t="n">
        <v>511</v>
      </c>
      <c r="B515" s="30">
        <f>RAND()*(1-2E-6)+1E-6</f>
        <v/>
      </c>
      <c r="C515" s="30">
        <f>RAND()*(1-2E-6)+1E-6</f>
        <v/>
      </c>
      <c r="D515" s="30">
        <f>RAND()*(1-2E-6)+1E-6</f>
        <v/>
      </c>
      <c r="E515" s="30">
        <f>RAND()*(1-2E-6)+1E-6</f>
        <v/>
      </c>
      <c r="F515" s="30">
        <f>RAND()*(1-2E-6)+1E-6</f>
        <v/>
      </c>
      <c r="G515" s="30">
        <f>RAND()*(1-2E-6)+1E-6</f>
        <v/>
      </c>
      <c r="H515" s="30">
        <f>RAND()*(1-2E-6)+1E-6</f>
        <v/>
      </c>
      <c r="I515" s="31">
        <f>MIN(IF(Supuestos!$H$5="",1E+99,Supuestos!$H$5),MAX(IF(Supuestos!$G$5="",-1E+99,Supuestos!$G$5),IF(Supuestos!$C$5="Normal",NORMINV(B515,Supuestos!$D$5,Supuestos!$E$5),IF(Supuestos!$C$5="Triangular",IF(B515&lt;(Supuestos!$E$5-Supuestos!$D$5)/(Supuestos!$F$5-Supuestos!$D$5),Supuestos!$D$5+SQRT(B515*(Supuestos!$F$5-Supuestos!$D$5)*(Supuestos!$E$5-Supuestos!$D$5)),Supuestos!$F$5-SQRT((1-B515)*(Supuestos!$F$5-Supuestos!$D$5)*(Supuestos!$F$5-Supuestos!$E$5))),IF(Supuestos!$C$5="Uniforme",Supuestos!$D$5+B515*(Supuestos!$E$5-Supuestos!$D$5),IF(Supuestos!$C$5="Lognormal",LOGINV(B515,LN(Supuestos!$D$5)-LN(1+Supuestos!$E$5^2/Supuestos!$D$5^2)/2,SQRT(LN(1+Supuestos!$E$5^2/Supuestos!$D$5^2))),Supuestos!$D$5))))))</f>
        <v/>
      </c>
      <c r="J515" s="31">
        <f>MIN(IF(Supuestos!$H$6="",1E+99,Supuestos!$H$6),MAX(IF(Supuestos!$G$6="",-1E+99,Supuestos!$G$6),IF(Supuestos!$C$6="Normal",NORMINV(C515,Supuestos!$D$6,Supuestos!$E$6),IF(Supuestos!$C$6="Triangular",IF(C515&lt;(Supuestos!$E$6-Supuestos!$D$6)/(Supuestos!$F$6-Supuestos!$D$6),Supuestos!$D$6+SQRT(C515*(Supuestos!$F$6-Supuestos!$D$6)*(Supuestos!$E$6-Supuestos!$D$6)),Supuestos!$F$6-SQRT((1-C515)*(Supuestos!$F$6-Supuestos!$D$6)*(Supuestos!$F$6-Supuestos!$E$6))),IF(Supuestos!$C$6="Uniforme",Supuestos!$D$6+C515*(Supuestos!$E$6-Supuestos!$D$6),IF(Supuestos!$C$6="Lognormal",LOGINV(C515,LN(Supuestos!$D$6)-LN(1+Supuestos!$E$6^2/Supuestos!$D$6^2)/2,SQRT(LN(1+Supuestos!$E$6^2/Supuestos!$D$6^2))),Supuestos!$D$6))))))</f>
        <v/>
      </c>
      <c r="K515" s="32">
        <f>MIN(IF(Supuestos!$H$7="",1E+99,Supuestos!$H$7),MAX(IF(Supuestos!$G$7="",-1E+99,Supuestos!$G$7),IF(Supuestos!$C$7="Normal",NORMINV(D515,Supuestos!$D$7,Supuestos!$E$7),IF(Supuestos!$C$7="Triangular",IF(D515&lt;(Supuestos!$E$7-Supuestos!$D$7)/(Supuestos!$F$7-Supuestos!$D$7),Supuestos!$D$7+SQRT(D515*(Supuestos!$F$7-Supuestos!$D$7)*(Supuestos!$E$7-Supuestos!$D$7)),Supuestos!$F$7-SQRT((1-D515)*(Supuestos!$F$7-Supuestos!$D$7)*(Supuestos!$F$7-Supuestos!$E$7))),IF(Supuestos!$C$7="Uniforme",Supuestos!$D$7+D515*(Supuestos!$E$7-Supuestos!$D$7),IF(Supuestos!$C$7="Lognormal",LOGINV(D515,LN(Supuestos!$D$7)-LN(1+Supuestos!$E$7^2/Supuestos!$D$7^2)/2,SQRT(LN(1+Supuestos!$E$7^2/Supuestos!$D$7^2))),Supuestos!$D$7))))))</f>
        <v/>
      </c>
      <c r="L515" s="32">
        <f>MIN(IF(Supuestos!$H$8="",1E+99,Supuestos!$H$8),MAX(IF(Supuestos!$G$8="",-1E+99,Supuestos!$G$8),IF(Supuestos!$C$8="Normal",NORMINV(E515,Supuestos!$D$8,Supuestos!$E$8),IF(Supuestos!$C$8="Triangular",IF(E515&lt;(Supuestos!$E$8-Supuestos!$D$8)/(Supuestos!$F$8-Supuestos!$D$8),Supuestos!$D$8+SQRT(E515*(Supuestos!$F$8-Supuestos!$D$8)*(Supuestos!$E$8-Supuestos!$D$8)),Supuestos!$F$8-SQRT((1-E515)*(Supuestos!$F$8-Supuestos!$D$8)*(Supuestos!$F$8-Supuestos!$E$8))),IF(Supuestos!$C$8="Uniforme",Supuestos!$D$8+E515*(Supuestos!$E$8-Supuestos!$D$8),IF(Supuestos!$C$8="Lognormal",LOGINV(E515,LN(Supuestos!$D$8)-LN(1+Supuestos!$E$8^2/Supuestos!$D$8^2)/2,SQRT(LN(1+Supuestos!$E$8^2/Supuestos!$D$8^2))),Supuestos!$D$8))))))</f>
        <v/>
      </c>
      <c r="M515" s="32">
        <f>MIN(IF(Supuestos!$H$9="",1E+99,Supuestos!$H$9),MAX(IF(Supuestos!$G$9="",-1E+99,Supuestos!$G$9),IF(Supuestos!$C$9="Normal",NORMINV(F515,Supuestos!$D$9,Supuestos!$E$9),IF(Supuestos!$C$9="Triangular",IF(F515&lt;(Supuestos!$E$9-Supuestos!$D$9)/(Supuestos!$F$9-Supuestos!$D$9),Supuestos!$D$9+SQRT(F515*(Supuestos!$F$9-Supuestos!$D$9)*(Supuestos!$E$9-Supuestos!$D$9)),Supuestos!$F$9-SQRT((1-F515)*(Supuestos!$F$9-Supuestos!$D$9)*(Supuestos!$F$9-Supuestos!$E$9))),IF(Supuestos!$C$9="Uniforme",Supuestos!$D$9+F515*(Supuestos!$E$9-Supuestos!$D$9),IF(Supuestos!$C$9="Lognormal",LOGINV(F515,LN(Supuestos!$D$9)-LN(1+Supuestos!$E$9^2/Supuestos!$D$9^2)/2,SQRT(LN(1+Supuestos!$E$9^2/Supuestos!$D$9^2))),Supuestos!$D$9))))))</f>
        <v/>
      </c>
      <c r="N515" s="32">
        <f>MIN(IF(Supuestos!$H$10="",1E+99,Supuestos!$H$10),MAX(IF(Supuestos!$G$10="",-1E+99,Supuestos!$G$10),IF(Supuestos!$C$10="Normal",NORMINV(G515,Supuestos!$D$10,Supuestos!$E$10),IF(Supuestos!$C$10="Triangular",IF(G515&lt;(Supuestos!$E$10-Supuestos!$D$10)/(Supuestos!$F$10-Supuestos!$D$10),Supuestos!$D$10+SQRT(G515*(Supuestos!$F$10-Supuestos!$D$10)*(Supuestos!$E$10-Supuestos!$D$10)),Supuestos!$F$10-SQRT((1-G515)*(Supuestos!$F$10-Supuestos!$D$10)*(Supuestos!$F$10-Supuestos!$E$10))),IF(Supuestos!$C$10="Uniforme",Supuestos!$D$10+G515*(Supuestos!$E$10-Supuestos!$D$10),IF(Supuestos!$C$10="Lognormal",LOGINV(G515,LN(Supuestos!$D$10)-LN(1+Supuestos!$E$10^2/Supuestos!$D$10^2)/2,SQRT(LN(1+Supuestos!$E$10^2/Supuestos!$D$10^2))),Supuestos!$D$10))))))</f>
        <v/>
      </c>
      <c r="O515" s="31">
        <f>MIN(IF(Supuestos!$H$11="",1E+99,Supuestos!$H$11),MAX(IF(Supuestos!$G$11="",-1E+99,Supuestos!$G$11),IF(Supuestos!$C$11="Normal",NORMINV(H515,Supuestos!$D$11,Supuestos!$E$11),IF(Supuestos!$C$11="Triangular",IF(H515&lt;(Supuestos!$E$11-Supuestos!$D$11)/(Supuestos!$F$11-Supuestos!$D$11),Supuestos!$D$11+SQRT(H515*(Supuestos!$F$11-Supuestos!$D$11)*(Supuestos!$E$11-Supuestos!$D$11)),Supuestos!$F$11-SQRT((1-H515)*(Supuestos!$F$11-Supuestos!$D$11)*(Supuestos!$F$11-Supuestos!$E$11))),IF(Supuestos!$C$11="Uniforme",Supuestos!$D$11+H515*(Supuestos!$E$11-Supuestos!$D$11),IF(Supuestos!$C$11="Lognormal",LOGINV(H515,LN(Supuestos!$D$11)-LN(1+Supuestos!$E$11^2/Supuestos!$D$11^2)/2,SQRT(LN(1+Supuestos!$E$11^2/Supuestos!$D$11^2))),Supuestos!$D$11))))))</f>
        <v/>
      </c>
      <c r="P515" s="33">
        <f>-I515</f>
        <v/>
      </c>
      <c r="Q515" s="33">
        <f>$J515*(1+$K515)^(1-1)*(1-$L515)*(1-$M515)</f>
        <v/>
      </c>
      <c r="R515" s="33">
        <f>$J515*(1+$K515)^(2-1)*(1-$L515)*(1-$M515)</f>
        <v/>
      </c>
      <c r="S515" s="33">
        <f>$J515*(1+$K515)^(3-1)*(1-$L515)*(1-$M515)</f>
        <v/>
      </c>
      <c r="T515" s="33">
        <f>$J515*(1+$K515)^(4-1)*(1-$L515)*(1-$M515)</f>
        <v/>
      </c>
      <c r="U515" s="33">
        <f>$J515*(1+$K515)^(5-1)*(1-$L515)*(1-$M515)+$O515</f>
        <v/>
      </c>
      <c r="V515" s="33">
        <f>P515+NPV($N515,Q515:U515)</f>
        <v/>
      </c>
      <c r="W515" s="32">
        <f>IFERROR(IRR(P515:U515,0.1),"")</f>
        <v/>
      </c>
    </row>
    <row r="516">
      <c r="A516" s="14" t="n">
        <v>512</v>
      </c>
      <c r="B516" s="30">
        <f>RAND()*(1-2E-6)+1E-6</f>
        <v/>
      </c>
      <c r="C516" s="30">
        <f>RAND()*(1-2E-6)+1E-6</f>
        <v/>
      </c>
      <c r="D516" s="30">
        <f>RAND()*(1-2E-6)+1E-6</f>
        <v/>
      </c>
      <c r="E516" s="30">
        <f>RAND()*(1-2E-6)+1E-6</f>
        <v/>
      </c>
      <c r="F516" s="30">
        <f>RAND()*(1-2E-6)+1E-6</f>
        <v/>
      </c>
      <c r="G516" s="30">
        <f>RAND()*(1-2E-6)+1E-6</f>
        <v/>
      </c>
      <c r="H516" s="30">
        <f>RAND()*(1-2E-6)+1E-6</f>
        <v/>
      </c>
      <c r="I516" s="31">
        <f>MIN(IF(Supuestos!$H$5="",1E+99,Supuestos!$H$5),MAX(IF(Supuestos!$G$5="",-1E+99,Supuestos!$G$5),IF(Supuestos!$C$5="Normal",NORMINV(B516,Supuestos!$D$5,Supuestos!$E$5),IF(Supuestos!$C$5="Triangular",IF(B516&lt;(Supuestos!$E$5-Supuestos!$D$5)/(Supuestos!$F$5-Supuestos!$D$5),Supuestos!$D$5+SQRT(B516*(Supuestos!$F$5-Supuestos!$D$5)*(Supuestos!$E$5-Supuestos!$D$5)),Supuestos!$F$5-SQRT((1-B516)*(Supuestos!$F$5-Supuestos!$D$5)*(Supuestos!$F$5-Supuestos!$E$5))),IF(Supuestos!$C$5="Uniforme",Supuestos!$D$5+B516*(Supuestos!$E$5-Supuestos!$D$5),IF(Supuestos!$C$5="Lognormal",LOGINV(B516,LN(Supuestos!$D$5)-LN(1+Supuestos!$E$5^2/Supuestos!$D$5^2)/2,SQRT(LN(1+Supuestos!$E$5^2/Supuestos!$D$5^2))),Supuestos!$D$5))))))</f>
        <v/>
      </c>
      <c r="J516" s="31">
        <f>MIN(IF(Supuestos!$H$6="",1E+99,Supuestos!$H$6),MAX(IF(Supuestos!$G$6="",-1E+99,Supuestos!$G$6),IF(Supuestos!$C$6="Normal",NORMINV(C516,Supuestos!$D$6,Supuestos!$E$6),IF(Supuestos!$C$6="Triangular",IF(C516&lt;(Supuestos!$E$6-Supuestos!$D$6)/(Supuestos!$F$6-Supuestos!$D$6),Supuestos!$D$6+SQRT(C516*(Supuestos!$F$6-Supuestos!$D$6)*(Supuestos!$E$6-Supuestos!$D$6)),Supuestos!$F$6-SQRT((1-C516)*(Supuestos!$F$6-Supuestos!$D$6)*(Supuestos!$F$6-Supuestos!$E$6))),IF(Supuestos!$C$6="Uniforme",Supuestos!$D$6+C516*(Supuestos!$E$6-Supuestos!$D$6),IF(Supuestos!$C$6="Lognormal",LOGINV(C516,LN(Supuestos!$D$6)-LN(1+Supuestos!$E$6^2/Supuestos!$D$6^2)/2,SQRT(LN(1+Supuestos!$E$6^2/Supuestos!$D$6^2))),Supuestos!$D$6))))))</f>
        <v/>
      </c>
      <c r="K516" s="32">
        <f>MIN(IF(Supuestos!$H$7="",1E+99,Supuestos!$H$7),MAX(IF(Supuestos!$G$7="",-1E+99,Supuestos!$G$7),IF(Supuestos!$C$7="Normal",NORMINV(D516,Supuestos!$D$7,Supuestos!$E$7),IF(Supuestos!$C$7="Triangular",IF(D516&lt;(Supuestos!$E$7-Supuestos!$D$7)/(Supuestos!$F$7-Supuestos!$D$7),Supuestos!$D$7+SQRT(D516*(Supuestos!$F$7-Supuestos!$D$7)*(Supuestos!$E$7-Supuestos!$D$7)),Supuestos!$F$7-SQRT((1-D516)*(Supuestos!$F$7-Supuestos!$D$7)*(Supuestos!$F$7-Supuestos!$E$7))),IF(Supuestos!$C$7="Uniforme",Supuestos!$D$7+D516*(Supuestos!$E$7-Supuestos!$D$7),IF(Supuestos!$C$7="Lognormal",LOGINV(D516,LN(Supuestos!$D$7)-LN(1+Supuestos!$E$7^2/Supuestos!$D$7^2)/2,SQRT(LN(1+Supuestos!$E$7^2/Supuestos!$D$7^2))),Supuestos!$D$7))))))</f>
        <v/>
      </c>
      <c r="L516" s="32">
        <f>MIN(IF(Supuestos!$H$8="",1E+99,Supuestos!$H$8),MAX(IF(Supuestos!$G$8="",-1E+99,Supuestos!$G$8),IF(Supuestos!$C$8="Normal",NORMINV(E516,Supuestos!$D$8,Supuestos!$E$8),IF(Supuestos!$C$8="Triangular",IF(E516&lt;(Supuestos!$E$8-Supuestos!$D$8)/(Supuestos!$F$8-Supuestos!$D$8),Supuestos!$D$8+SQRT(E516*(Supuestos!$F$8-Supuestos!$D$8)*(Supuestos!$E$8-Supuestos!$D$8)),Supuestos!$F$8-SQRT((1-E516)*(Supuestos!$F$8-Supuestos!$D$8)*(Supuestos!$F$8-Supuestos!$E$8))),IF(Supuestos!$C$8="Uniforme",Supuestos!$D$8+E516*(Supuestos!$E$8-Supuestos!$D$8),IF(Supuestos!$C$8="Lognormal",LOGINV(E516,LN(Supuestos!$D$8)-LN(1+Supuestos!$E$8^2/Supuestos!$D$8^2)/2,SQRT(LN(1+Supuestos!$E$8^2/Supuestos!$D$8^2))),Supuestos!$D$8))))))</f>
        <v/>
      </c>
      <c r="M516" s="32">
        <f>MIN(IF(Supuestos!$H$9="",1E+99,Supuestos!$H$9),MAX(IF(Supuestos!$G$9="",-1E+99,Supuestos!$G$9),IF(Supuestos!$C$9="Normal",NORMINV(F516,Supuestos!$D$9,Supuestos!$E$9),IF(Supuestos!$C$9="Triangular",IF(F516&lt;(Supuestos!$E$9-Supuestos!$D$9)/(Supuestos!$F$9-Supuestos!$D$9),Supuestos!$D$9+SQRT(F516*(Supuestos!$F$9-Supuestos!$D$9)*(Supuestos!$E$9-Supuestos!$D$9)),Supuestos!$F$9-SQRT((1-F516)*(Supuestos!$F$9-Supuestos!$D$9)*(Supuestos!$F$9-Supuestos!$E$9))),IF(Supuestos!$C$9="Uniforme",Supuestos!$D$9+F516*(Supuestos!$E$9-Supuestos!$D$9),IF(Supuestos!$C$9="Lognormal",LOGINV(F516,LN(Supuestos!$D$9)-LN(1+Supuestos!$E$9^2/Supuestos!$D$9^2)/2,SQRT(LN(1+Supuestos!$E$9^2/Supuestos!$D$9^2))),Supuestos!$D$9))))))</f>
        <v/>
      </c>
      <c r="N516" s="32">
        <f>MIN(IF(Supuestos!$H$10="",1E+99,Supuestos!$H$10),MAX(IF(Supuestos!$G$10="",-1E+99,Supuestos!$G$10),IF(Supuestos!$C$10="Normal",NORMINV(G516,Supuestos!$D$10,Supuestos!$E$10),IF(Supuestos!$C$10="Triangular",IF(G516&lt;(Supuestos!$E$10-Supuestos!$D$10)/(Supuestos!$F$10-Supuestos!$D$10),Supuestos!$D$10+SQRT(G516*(Supuestos!$F$10-Supuestos!$D$10)*(Supuestos!$E$10-Supuestos!$D$10)),Supuestos!$F$10-SQRT((1-G516)*(Supuestos!$F$10-Supuestos!$D$10)*(Supuestos!$F$10-Supuestos!$E$10))),IF(Supuestos!$C$10="Uniforme",Supuestos!$D$10+G516*(Supuestos!$E$10-Supuestos!$D$10),IF(Supuestos!$C$10="Lognormal",LOGINV(G516,LN(Supuestos!$D$10)-LN(1+Supuestos!$E$10^2/Supuestos!$D$10^2)/2,SQRT(LN(1+Supuestos!$E$10^2/Supuestos!$D$10^2))),Supuestos!$D$10))))))</f>
        <v/>
      </c>
      <c r="O516" s="31">
        <f>MIN(IF(Supuestos!$H$11="",1E+99,Supuestos!$H$11),MAX(IF(Supuestos!$G$11="",-1E+99,Supuestos!$G$11),IF(Supuestos!$C$11="Normal",NORMINV(H516,Supuestos!$D$11,Supuestos!$E$11),IF(Supuestos!$C$11="Triangular",IF(H516&lt;(Supuestos!$E$11-Supuestos!$D$11)/(Supuestos!$F$11-Supuestos!$D$11),Supuestos!$D$11+SQRT(H516*(Supuestos!$F$11-Supuestos!$D$11)*(Supuestos!$E$11-Supuestos!$D$11)),Supuestos!$F$11-SQRT((1-H516)*(Supuestos!$F$11-Supuestos!$D$11)*(Supuestos!$F$11-Supuestos!$E$11))),IF(Supuestos!$C$11="Uniforme",Supuestos!$D$11+H516*(Supuestos!$E$11-Supuestos!$D$11),IF(Supuestos!$C$11="Lognormal",LOGINV(H516,LN(Supuestos!$D$11)-LN(1+Supuestos!$E$11^2/Supuestos!$D$11^2)/2,SQRT(LN(1+Supuestos!$E$11^2/Supuestos!$D$11^2))),Supuestos!$D$11))))))</f>
        <v/>
      </c>
      <c r="P516" s="33">
        <f>-I516</f>
        <v/>
      </c>
      <c r="Q516" s="33">
        <f>$J516*(1+$K516)^(1-1)*(1-$L516)*(1-$M516)</f>
        <v/>
      </c>
      <c r="R516" s="33">
        <f>$J516*(1+$K516)^(2-1)*(1-$L516)*(1-$M516)</f>
        <v/>
      </c>
      <c r="S516" s="33">
        <f>$J516*(1+$K516)^(3-1)*(1-$L516)*(1-$M516)</f>
        <v/>
      </c>
      <c r="T516" s="33">
        <f>$J516*(1+$K516)^(4-1)*(1-$L516)*(1-$M516)</f>
        <v/>
      </c>
      <c r="U516" s="33">
        <f>$J516*(1+$K516)^(5-1)*(1-$L516)*(1-$M516)+$O516</f>
        <v/>
      </c>
      <c r="V516" s="33">
        <f>P516+NPV($N516,Q516:U516)</f>
        <v/>
      </c>
      <c r="W516" s="32">
        <f>IFERROR(IRR(P516:U516,0.1),"")</f>
        <v/>
      </c>
    </row>
    <row r="517">
      <c r="A517" s="14" t="n">
        <v>513</v>
      </c>
      <c r="B517" s="30">
        <f>RAND()*(1-2E-6)+1E-6</f>
        <v/>
      </c>
      <c r="C517" s="30">
        <f>RAND()*(1-2E-6)+1E-6</f>
        <v/>
      </c>
      <c r="D517" s="30">
        <f>RAND()*(1-2E-6)+1E-6</f>
        <v/>
      </c>
      <c r="E517" s="30">
        <f>RAND()*(1-2E-6)+1E-6</f>
        <v/>
      </c>
      <c r="F517" s="30">
        <f>RAND()*(1-2E-6)+1E-6</f>
        <v/>
      </c>
      <c r="G517" s="30">
        <f>RAND()*(1-2E-6)+1E-6</f>
        <v/>
      </c>
      <c r="H517" s="30">
        <f>RAND()*(1-2E-6)+1E-6</f>
        <v/>
      </c>
      <c r="I517" s="31">
        <f>MIN(IF(Supuestos!$H$5="",1E+99,Supuestos!$H$5),MAX(IF(Supuestos!$G$5="",-1E+99,Supuestos!$G$5),IF(Supuestos!$C$5="Normal",NORMINV(B517,Supuestos!$D$5,Supuestos!$E$5),IF(Supuestos!$C$5="Triangular",IF(B517&lt;(Supuestos!$E$5-Supuestos!$D$5)/(Supuestos!$F$5-Supuestos!$D$5),Supuestos!$D$5+SQRT(B517*(Supuestos!$F$5-Supuestos!$D$5)*(Supuestos!$E$5-Supuestos!$D$5)),Supuestos!$F$5-SQRT((1-B517)*(Supuestos!$F$5-Supuestos!$D$5)*(Supuestos!$F$5-Supuestos!$E$5))),IF(Supuestos!$C$5="Uniforme",Supuestos!$D$5+B517*(Supuestos!$E$5-Supuestos!$D$5),IF(Supuestos!$C$5="Lognormal",LOGINV(B517,LN(Supuestos!$D$5)-LN(1+Supuestos!$E$5^2/Supuestos!$D$5^2)/2,SQRT(LN(1+Supuestos!$E$5^2/Supuestos!$D$5^2))),Supuestos!$D$5))))))</f>
        <v/>
      </c>
      <c r="J517" s="31">
        <f>MIN(IF(Supuestos!$H$6="",1E+99,Supuestos!$H$6),MAX(IF(Supuestos!$G$6="",-1E+99,Supuestos!$G$6),IF(Supuestos!$C$6="Normal",NORMINV(C517,Supuestos!$D$6,Supuestos!$E$6),IF(Supuestos!$C$6="Triangular",IF(C517&lt;(Supuestos!$E$6-Supuestos!$D$6)/(Supuestos!$F$6-Supuestos!$D$6),Supuestos!$D$6+SQRT(C517*(Supuestos!$F$6-Supuestos!$D$6)*(Supuestos!$E$6-Supuestos!$D$6)),Supuestos!$F$6-SQRT((1-C517)*(Supuestos!$F$6-Supuestos!$D$6)*(Supuestos!$F$6-Supuestos!$E$6))),IF(Supuestos!$C$6="Uniforme",Supuestos!$D$6+C517*(Supuestos!$E$6-Supuestos!$D$6),IF(Supuestos!$C$6="Lognormal",LOGINV(C517,LN(Supuestos!$D$6)-LN(1+Supuestos!$E$6^2/Supuestos!$D$6^2)/2,SQRT(LN(1+Supuestos!$E$6^2/Supuestos!$D$6^2))),Supuestos!$D$6))))))</f>
        <v/>
      </c>
      <c r="K517" s="32">
        <f>MIN(IF(Supuestos!$H$7="",1E+99,Supuestos!$H$7),MAX(IF(Supuestos!$G$7="",-1E+99,Supuestos!$G$7),IF(Supuestos!$C$7="Normal",NORMINV(D517,Supuestos!$D$7,Supuestos!$E$7),IF(Supuestos!$C$7="Triangular",IF(D517&lt;(Supuestos!$E$7-Supuestos!$D$7)/(Supuestos!$F$7-Supuestos!$D$7),Supuestos!$D$7+SQRT(D517*(Supuestos!$F$7-Supuestos!$D$7)*(Supuestos!$E$7-Supuestos!$D$7)),Supuestos!$F$7-SQRT((1-D517)*(Supuestos!$F$7-Supuestos!$D$7)*(Supuestos!$F$7-Supuestos!$E$7))),IF(Supuestos!$C$7="Uniforme",Supuestos!$D$7+D517*(Supuestos!$E$7-Supuestos!$D$7),IF(Supuestos!$C$7="Lognormal",LOGINV(D517,LN(Supuestos!$D$7)-LN(1+Supuestos!$E$7^2/Supuestos!$D$7^2)/2,SQRT(LN(1+Supuestos!$E$7^2/Supuestos!$D$7^2))),Supuestos!$D$7))))))</f>
        <v/>
      </c>
      <c r="L517" s="32">
        <f>MIN(IF(Supuestos!$H$8="",1E+99,Supuestos!$H$8),MAX(IF(Supuestos!$G$8="",-1E+99,Supuestos!$G$8),IF(Supuestos!$C$8="Normal",NORMINV(E517,Supuestos!$D$8,Supuestos!$E$8),IF(Supuestos!$C$8="Triangular",IF(E517&lt;(Supuestos!$E$8-Supuestos!$D$8)/(Supuestos!$F$8-Supuestos!$D$8),Supuestos!$D$8+SQRT(E517*(Supuestos!$F$8-Supuestos!$D$8)*(Supuestos!$E$8-Supuestos!$D$8)),Supuestos!$F$8-SQRT((1-E517)*(Supuestos!$F$8-Supuestos!$D$8)*(Supuestos!$F$8-Supuestos!$E$8))),IF(Supuestos!$C$8="Uniforme",Supuestos!$D$8+E517*(Supuestos!$E$8-Supuestos!$D$8),IF(Supuestos!$C$8="Lognormal",LOGINV(E517,LN(Supuestos!$D$8)-LN(1+Supuestos!$E$8^2/Supuestos!$D$8^2)/2,SQRT(LN(1+Supuestos!$E$8^2/Supuestos!$D$8^2))),Supuestos!$D$8))))))</f>
        <v/>
      </c>
      <c r="M517" s="32">
        <f>MIN(IF(Supuestos!$H$9="",1E+99,Supuestos!$H$9),MAX(IF(Supuestos!$G$9="",-1E+99,Supuestos!$G$9),IF(Supuestos!$C$9="Normal",NORMINV(F517,Supuestos!$D$9,Supuestos!$E$9),IF(Supuestos!$C$9="Triangular",IF(F517&lt;(Supuestos!$E$9-Supuestos!$D$9)/(Supuestos!$F$9-Supuestos!$D$9),Supuestos!$D$9+SQRT(F517*(Supuestos!$F$9-Supuestos!$D$9)*(Supuestos!$E$9-Supuestos!$D$9)),Supuestos!$F$9-SQRT((1-F517)*(Supuestos!$F$9-Supuestos!$D$9)*(Supuestos!$F$9-Supuestos!$E$9))),IF(Supuestos!$C$9="Uniforme",Supuestos!$D$9+F517*(Supuestos!$E$9-Supuestos!$D$9),IF(Supuestos!$C$9="Lognormal",LOGINV(F517,LN(Supuestos!$D$9)-LN(1+Supuestos!$E$9^2/Supuestos!$D$9^2)/2,SQRT(LN(1+Supuestos!$E$9^2/Supuestos!$D$9^2))),Supuestos!$D$9))))))</f>
        <v/>
      </c>
      <c r="N517" s="32">
        <f>MIN(IF(Supuestos!$H$10="",1E+99,Supuestos!$H$10),MAX(IF(Supuestos!$G$10="",-1E+99,Supuestos!$G$10),IF(Supuestos!$C$10="Normal",NORMINV(G517,Supuestos!$D$10,Supuestos!$E$10),IF(Supuestos!$C$10="Triangular",IF(G517&lt;(Supuestos!$E$10-Supuestos!$D$10)/(Supuestos!$F$10-Supuestos!$D$10),Supuestos!$D$10+SQRT(G517*(Supuestos!$F$10-Supuestos!$D$10)*(Supuestos!$E$10-Supuestos!$D$10)),Supuestos!$F$10-SQRT((1-G517)*(Supuestos!$F$10-Supuestos!$D$10)*(Supuestos!$F$10-Supuestos!$E$10))),IF(Supuestos!$C$10="Uniforme",Supuestos!$D$10+G517*(Supuestos!$E$10-Supuestos!$D$10),IF(Supuestos!$C$10="Lognormal",LOGINV(G517,LN(Supuestos!$D$10)-LN(1+Supuestos!$E$10^2/Supuestos!$D$10^2)/2,SQRT(LN(1+Supuestos!$E$10^2/Supuestos!$D$10^2))),Supuestos!$D$10))))))</f>
        <v/>
      </c>
      <c r="O517" s="31">
        <f>MIN(IF(Supuestos!$H$11="",1E+99,Supuestos!$H$11),MAX(IF(Supuestos!$G$11="",-1E+99,Supuestos!$G$11),IF(Supuestos!$C$11="Normal",NORMINV(H517,Supuestos!$D$11,Supuestos!$E$11),IF(Supuestos!$C$11="Triangular",IF(H517&lt;(Supuestos!$E$11-Supuestos!$D$11)/(Supuestos!$F$11-Supuestos!$D$11),Supuestos!$D$11+SQRT(H517*(Supuestos!$F$11-Supuestos!$D$11)*(Supuestos!$E$11-Supuestos!$D$11)),Supuestos!$F$11-SQRT((1-H517)*(Supuestos!$F$11-Supuestos!$D$11)*(Supuestos!$F$11-Supuestos!$E$11))),IF(Supuestos!$C$11="Uniforme",Supuestos!$D$11+H517*(Supuestos!$E$11-Supuestos!$D$11),IF(Supuestos!$C$11="Lognormal",LOGINV(H517,LN(Supuestos!$D$11)-LN(1+Supuestos!$E$11^2/Supuestos!$D$11^2)/2,SQRT(LN(1+Supuestos!$E$11^2/Supuestos!$D$11^2))),Supuestos!$D$11))))))</f>
        <v/>
      </c>
      <c r="P517" s="33">
        <f>-I517</f>
        <v/>
      </c>
      <c r="Q517" s="33">
        <f>$J517*(1+$K517)^(1-1)*(1-$L517)*(1-$M517)</f>
        <v/>
      </c>
      <c r="R517" s="33">
        <f>$J517*(1+$K517)^(2-1)*(1-$L517)*(1-$M517)</f>
        <v/>
      </c>
      <c r="S517" s="33">
        <f>$J517*(1+$K517)^(3-1)*(1-$L517)*(1-$M517)</f>
        <v/>
      </c>
      <c r="T517" s="33">
        <f>$J517*(1+$K517)^(4-1)*(1-$L517)*(1-$M517)</f>
        <v/>
      </c>
      <c r="U517" s="33">
        <f>$J517*(1+$K517)^(5-1)*(1-$L517)*(1-$M517)+$O517</f>
        <v/>
      </c>
      <c r="V517" s="33">
        <f>P517+NPV($N517,Q517:U517)</f>
        <v/>
      </c>
      <c r="W517" s="32">
        <f>IFERROR(IRR(P517:U517,0.1),"")</f>
        <v/>
      </c>
    </row>
    <row r="518">
      <c r="A518" s="14" t="n">
        <v>514</v>
      </c>
      <c r="B518" s="30">
        <f>RAND()*(1-2E-6)+1E-6</f>
        <v/>
      </c>
      <c r="C518" s="30">
        <f>RAND()*(1-2E-6)+1E-6</f>
        <v/>
      </c>
      <c r="D518" s="30">
        <f>RAND()*(1-2E-6)+1E-6</f>
        <v/>
      </c>
      <c r="E518" s="30">
        <f>RAND()*(1-2E-6)+1E-6</f>
        <v/>
      </c>
      <c r="F518" s="30">
        <f>RAND()*(1-2E-6)+1E-6</f>
        <v/>
      </c>
      <c r="G518" s="30">
        <f>RAND()*(1-2E-6)+1E-6</f>
        <v/>
      </c>
      <c r="H518" s="30">
        <f>RAND()*(1-2E-6)+1E-6</f>
        <v/>
      </c>
      <c r="I518" s="31">
        <f>MIN(IF(Supuestos!$H$5="",1E+99,Supuestos!$H$5),MAX(IF(Supuestos!$G$5="",-1E+99,Supuestos!$G$5),IF(Supuestos!$C$5="Normal",NORMINV(B518,Supuestos!$D$5,Supuestos!$E$5),IF(Supuestos!$C$5="Triangular",IF(B518&lt;(Supuestos!$E$5-Supuestos!$D$5)/(Supuestos!$F$5-Supuestos!$D$5),Supuestos!$D$5+SQRT(B518*(Supuestos!$F$5-Supuestos!$D$5)*(Supuestos!$E$5-Supuestos!$D$5)),Supuestos!$F$5-SQRT((1-B518)*(Supuestos!$F$5-Supuestos!$D$5)*(Supuestos!$F$5-Supuestos!$E$5))),IF(Supuestos!$C$5="Uniforme",Supuestos!$D$5+B518*(Supuestos!$E$5-Supuestos!$D$5),IF(Supuestos!$C$5="Lognormal",LOGINV(B518,LN(Supuestos!$D$5)-LN(1+Supuestos!$E$5^2/Supuestos!$D$5^2)/2,SQRT(LN(1+Supuestos!$E$5^2/Supuestos!$D$5^2))),Supuestos!$D$5))))))</f>
        <v/>
      </c>
      <c r="J518" s="31">
        <f>MIN(IF(Supuestos!$H$6="",1E+99,Supuestos!$H$6),MAX(IF(Supuestos!$G$6="",-1E+99,Supuestos!$G$6),IF(Supuestos!$C$6="Normal",NORMINV(C518,Supuestos!$D$6,Supuestos!$E$6),IF(Supuestos!$C$6="Triangular",IF(C518&lt;(Supuestos!$E$6-Supuestos!$D$6)/(Supuestos!$F$6-Supuestos!$D$6),Supuestos!$D$6+SQRT(C518*(Supuestos!$F$6-Supuestos!$D$6)*(Supuestos!$E$6-Supuestos!$D$6)),Supuestos!$F$6-SQRT((1-C518)*(Supuestos!$F$6-Supuestos!$D$6)*(Supuestos!$F$6-Supuestos!$E$6))),IF(Supuestos!$C$6="Uniforme",Supuestos!$D$6+C518*(Supuestos!$E$6-Supuestos!$D$6),IF(Supuestos!$C$6="Lognormal",LOGINV(C518,LN(Supuestos!$D$6)-LN(1+Supuestos!$E$6^2/Supuestos!$D$6^2)/2,SQRT(LN(1+Supuestos!$E$6^2/Supuestos!$D$6^2))),Supuestos!$D$6))))))</f>
        <v/>
      </c>
      <c r="K518" s="32">
        <f>MIN(IF(Supuestos!$H$7="",1E+99,Supuestos!$H$7),MAX(IF(Supuestos!$G$7="",-1E+99,Supuestos!$G$7),IF(Supuestos!$C$7="Normal",NORMINV(D518,Supuestos!$D$7,Supuestos!$E$7),IF(Supuestos!$C$7="Triangular",IF(D518&lt;(Supuestos!$E$7-Supuestos!$D$7)/(Supuestos!$F$7-Supuestos!$D$7),Supuestos!$D$7+SQRT(D518*(Supuestos!$F$7-Supuestos!$D$7)*(Supuestos!$E$7-Supuestos!$D$7)),Supuestos!$F$7-SQRT((1-D518)*(Supuestos!$F$7-Supuestos!$D$7)*(Supuestos!$F$7-Supuestos!$E$7))),IF(Supuestos!$C$7="Uniforme",Supuestos!$D$7+D518*(Supuestos!$E$7-Supuestos!$D$7),IF(Supuestos!$C$7="Lognormal",LOGINV(D518,LN(Supuestos!$D$7)-LN(1+Supuestos!$E$7^2/Supuestos!$D$7^2)/2,SQRT(LN(1+Supuestos!$E$7^2/Supuestos!$D$7^2))),Supuestos!$D$7))))))</f>
        <v/>
      </c>
      <c r="L518" s="32">
        <f>MIN(IF(Supuestos!$H$8="",1E+99,Supuestos!$H$8),MAX(IF(Supuestos!$G$8="",-1E+99,Supuestos!$G$8),IF(Supuestos!$C$8="Normal",NORMINV(E518,Supuestos!$D$8,Supuestos!$E$8),IF(Supuestos!$C$8="Triangular",IF(E518&lt;(Supuestos!$E$8-Supuestos!$D$8)/(Supuestos!$F$8-Supuestos!$D$8),Supuestos!$D$8+SQRT(E518*(Supuestos!$F$8-Supuestos!$D$8)*(Supuestos!$E$8-Supuestos!$D$8)),Supuestos!$F$8-SQRT((1-E518)*(Supuestos!$F$8-Supuestos!$D$8)*(Supuestos!$F$8-Supuestos!$E$8))),IF(Supuestos!$C$8="Uniforme",Supuestos!$D$8+E518*(Supuestos!$E$8-Supuestos!$D$8),IF(Supuestos!$C$8="Lognormal",LOGINV(E518,LN(Supuestos!$D$8)-LN(1+Supuestos!$E$8^2/Supuestos!$D$8^2)/2,SQRT(LN(1+Supuestos!$E$8^2/Supuestos!$D$8^2))),Supuestos!$D$8))))))</f>
        <v/>
      </c>
      <c r="M518" s="32">
        <f>MIN(IF(Supuestos!$H$9="",1E+99,Supuestos!$H$9),MAX(IF(Supuestos!$G$9="",-1E+99,Supuestos!$G$9),IF(Supuestos!$C$9="Normal",NORMINV(F518,Supuestos!$D$9,Supuestos!$E$9),IF(Supuestos!$C$9="Triangular",IF(F518&lt;(Supuestos!$E$9-Supuestos!$D$9)/(Supuestos!$F$9-Supuestos!$D$9),Supuestos!$D$9+SQRT(F518*(Supuestos!$F$9-Supuestos!$D$9)*(Supuestos!$E$9-Supuestos!$D$9)),Supuestos!$F$9-SQRT((1-F518)*(Supuestos!$F$9-Supuestos!$D$9)*(Supuestos!$F$9-Supuestos!$E$9))),IF(Supuestos!$C$9="Uniforme",Supuestos!$D$9+F518*(Supuestos!$E$9-Supuestos!$D$9),IF(Supuestos!$C$9="Lognormal",LOGINV(F518,LN(Supuestos!$D$9)-LN(1+Supuestos!$E$9^2/Supuestos!$D$9^2)/2,SQRT(LN(1+Supuestos!$E$9^2/Supuestos!$D$9^2))),Supuestos!$D$9))))))</f>
        <v/>
      </c>
      <c r="N518" s="32">
        <f>MIN(IF(Supuestos!$H$10="",1E+99,Supuestos!$H$10),MAX(IF(Supuestos!$G$10="",-1E+99,Supuestos!$G$10),IF(Supuestos!$C$10="Normal",NORMINV(G518,Supuestos!$D$10,Supuestos!$E$10),IF(Supuestos!$C$10="Triangular",IF(G518&lt;(Supuestos!$E$10-Supuestos!$D$10)/(Supuestos!$F$10-Supuestos!$D$10),Supuestos!$D$10+SQRT(G518*(Supuestos!$F$10-Supuestos!$D$10)*(Supuestos!$E$10-Supuestos!$D$10)),Supuestos!$F$10-SQRT((1-G518)*(Supuestos!$F$10-Supuestos!$D$10)*(Supuestos!$F$10-Supuestos!$E$10))),IF(Supuestos!$C$10="Uniforme",Supuestos!$D$10+G518*(Supuestos!$E$10-Supuestos!$D$10),IF(Supuestos!$C$10="Lognormal",LOGINV(G518,LN(Supuestos!$D$10)-LN(1+Supuestos!$E$10^2/Supuestos!$D$10^2)/2,SQRT(LN(1+Supuestos!$E$10^2/Supuestos!$D$10^2))),Supuestos!$D$10))))))</f>
        <v/>
      </c>
      <c r="O518" s="31">
        <f>MIN(IF(Supuestos!$H$11="",1E+99,Supuestos!$H$11),MAX(IF(Supuestos!$G$11="",-1E+99,Supuestos!$G$11),IF(Supuestos!$C$11="Normal",NORMINV(H518,Supuestos!$D$11,Supuestos!$E$11),IF(Supuestos!$C$11="Triangular",IF(H518&lt;(Supuestos!$E$11-Supuestos!$D$11)/(Supuestos!$F$11-Supuestos!$D$11),Supuestos!$D$11+SQRT(H518*(Supuestos!$F$11-Supuestos!$D$11)*(Supuestos!$E$11-Supuestos!$D$11)),Supuestos!$F$11-SQRT((1-H518)*(Supuestos!$F$11-Supuestos!$D$11)*(Supuestos!$F$11-Supuestos!$E$11))),IF(Supuestos!$C$11="Uniforme",Supuestos!$D$11+H518*(Supuestos!$E$11-Supuestos!$D$11),IF(Supuestos!$C$11="Lognormal",LOGINV(H518,LN(Supuestos!$D$11)-LN(1+Supuestos!$E$11^2/Supuestos!$D$11^2)/2,SQRT(LN(1+Supuestos!$E$11^2/Supuestos!$D$11^2))),Supuestos!$D$11))))))</f>
        <v/>
      </c>
      <c r="P518" s="33">
        <f>-I518</f>
        <v/>
      </c>
      <c r="Q518" s="33">
        <f>$J518*(1+$K518)^(1-1)*(1-$L518)*(1-$M518)</f>
        <v/>
      </c>
      <c r="R518" s="33">
        <f>$J518*(1+$K518)^(2-1)*(1-$L518)*(1-$M518)</f>
        <v/>
      </c>
      <c r="S518" s="33">
        <f>$J518*(1+$K518)^(3-1)*(1-$L518)*(1-$M518)</f>
        <v/>
      </c>
      <c r="T518" s="33">
        <f>$J518*(1+$K518)^(4-1)*(1-$L518)*(1-$M518)</f>
        <v/>
      </c>
      <c r="U518" s="33">
        <f>$J518*(1+$K518)^(5-1)*(1-$L518)*(1-$M518)+$O518</f>
        <v/>
      </c>
      <c r="V518" s="33">
        <f>P518+NPV($N518,Q518:U518)</f>
        <v/>
      </c>
      <c r="W518" s="32">
        <f>IFERROR(IRR(P518:U518,0.1),"")</f>
        <v/>
      </c>
    </row>
    <row r="519">
      <c r="A519" s="14" t="n">
        <v>515</v>
      </c>
      <c r="B519" s="30">
        <f>RAND()*(1-2E-6)+1E-6</f>
        <v/>
      </c>
      <c r="C519" s="30">
        <f>RAND()*(1-2E-6)+1E-6</f>
        <v/>
      </c>
      <c r="D519" s="30">
        <f>RAND()*(1-2E-6)+1E-6</f>
        <v/>
      </c>
      <c r="E519" s="30">
        <f>RAND()*(1-2E-6)+1E-6</f>
        <v/>
      </c>
      <c r="F519" s="30">
        <f>RAND()*(1-2E-6)+1E-6</f>
        <v/>
      </c>
      <c r="G519" s="30">
        <f>RAND()*(1-2E-6)+1E-6</f>
        <v/>
      </c>
      <c r="H519" s="30">
        <f>RAND()*(1-2E-6)+1E-6</f>
        <v/>
      </c>
      <c r="I519" s="31">
        <f>MIN(IF(Supuestos!$H$5="",1E+99,Supuestos!$H$5),MAX(IF(Supuestos!$G$5="",-1E+99,Supuestos!$G$5),IF(Supuestos!$C$5="Normal",NORMINV(B519,Supuestos!$D$5,Supuestos!$E$5),IF(Supuestos!$C$5="Triangular",IF(B519&lt;(Supuestos!$E$5-Supuestos!$D$5)/(Supuestos!$F$5-Supuestos!$D$5),Supuestos!$D$5+SQRT(B519*(Supuestos!$F$5-Supuestos!$D$5)*(Supuestos!$E$5-Supuestos!$D$5)),Supuestos!$F$5-SQRT((1-B519)*(Supuestos!$F$5-Supuestos!$D$5)*(Supuestos!$F$5-Supuestos!$E$5))),IF(Supuestos!$C$5="Uniforme",Supuestos!$D$5+B519*(Supuestos!$E$5-Supuestos!$D$5),IF(Supuestos!$C$5="Lognormal",LOGINV(B519,LN(Supuestos!$D$5)-LN(1+Supuestos!$E$5^2/Supuestos!$D$5^2)/2,SQRT(LN(1+Supuestos!$E$5^2/Supuestos!$D$5^2))),Supuestos!$D$5))))))</f>
        <v/>
      </c>
      <c r="J519" s="31">
        <f>MIN(IF(Supuestos!$H$6="",1E+99,Supuestos!$H$6),MAX(IF(Supuestos!$G$6="",-1E+99,Supuestos!$G$6),IF(Supuestos!$C$6="Normal",NORMINV(C519,Supuestos!$D$6,Supuestos!$E$6),IF(Supuestos!$C$6="Triangular",IF(C519&lt;(Supuestos!$E$6-Supuestos!$D$6)/(Supuestos!$F$6-Supuestos!$D$6),Supuestos!$D$6+SQRT(C519*(Supuestos!$F$6-Supuestos!$D$6)*(Supuestos!$E$6-Supuestos!$D$6)),Supuestos!$F$6-SQRT((1-C519)*(Supuestos!$F$6-Supuestos!$D$6)*(Supuestos!$F$6-Supuestos!$E$6))),IF(Supuestos!$C$6="Uniforme",Supuestos!$D$6+C519*(Supuestos!$E$6-Supuestos!$D$6),IF(Supuestos!$C$6="Lognormal",LOGINV(C519,LN(Supuestos!$D$6)-LN(1+Supuestos!$E$6^2/Supuestos!$D$6^2)/2,SQRT(LN(1+Supuestos!$E$6^2/Supuestos!$D$6^2))),Supuestos!$D$6))))))</f>
        <v/>
      </c>
      <c r="K519" s="32">
        <f>MIN(IF(Supuestos!$H$7="",1E+99,Supuestos!$H$7),MAX(IF(Supuestos!$G$7="",-1E+99,Supuestos!$G$7),IF(Supuestos!$C$7="Normal",NORMINV(D519,Supuestos!$D$7,Supuestos!$E$7),IF(Supuestos!$C$7="Triangular",IF(D519&lt;(Supuestos!$E$7-Supuestos!$D$7)/(Supuestos!$F$7-Supuestos!$D$7),Supuestos!$D$7+SQRT(D519*(Supuestos!$F$7-Supuestos!$D$7)*(Supuestos!$E$7-Supuestos!$D$7)),Supuestos!$F$7-SQRT((1-D519)*(Supuestos!$F$7-Supuestos!$D$7)*(Supuestos!$F$7-Supuestos!$E$7))),IF(Supuestos!$C$7="Uniforme",Supuestos!$D$7+D519*(Supuestos!$E$7-Supuestos!$D$7),IF(Supuestos!$C$7="Lognormal",LOGINV(D519,LN(Supuestos!$D$7)-LN(1+Supuestos!$E$7^2/Supuestos!$D$7^2)/2,SQRT(LN(1+Supuestos!$E$7^2/Supuestos!$D$7^2))),Supuestos!$D$7))))))</f>
        <v/>
      </c>
      <c r="L519" s="32">
        <f>MIN(IF(Supuestos!$H$8="",1E+99,Supuestos!$H$8),MAX(IF(Supuestos!$G$8="",-1E+99,Supuestos!$G$8),IF(Supuestos!$C$8="Normal",NORMINV(E519,Supuestos!$D$8,Supuestos!$E$8),IF(Supuestos!$C$8="Triangular",IF(E519&lt;(Supuestos!$E$8-Supuestos!$D$8)/(Supuestos!$F$8-Supuestos!$D$8),Supuestos!$D$8+SQRT(E519*(Supuestos!$F$8-Supuestos!$D$8)*(Supuestos!$E$8-Supuestos!$D$8)),Supuestos!$F$8-SQRT((1-E519)*(Supuestos!$F$8-Supuestos!$D$8)*(Supuestos!$F$8-Supuestos!$E$8))),IF(Supuestos!$C$8="Uniforme",Supuestos!$D$8+E519*(Supuestos!$E$8-Supuestos!$D$8),IF(Supuestos!$C$8="Lognormal",LOGINV(E519,LN(Supuestos!$D$8)-LN(1+Supuestos!$E$8^2/Supuestos!$D$8^2)/2,SQRT(LN(1+Supuestos!$E$8^2/Supuestos!$D$8^2))),Supuestos!$D$8))))))</f>
        <v/>
      </c>
      <c r="M519" s="32">
        <f>MIN(IF(Supuestos!$H$9="",1E+99,Supuestos!$H$9),MAX(IF(Supuestos!$G$9="",-1E+99,Supuestos!$G$9),IF(Supuestos!$C$9="Normal",NORMINV(F519,Supuestos!$D$9,Supuestos!$E$9),IF(Supuestos!$C$9="Triangular",IF(F519&lt;(Supuestos!$E$9-Supuestos!$D$9)/(Supuestos!$F$9-Supuestos!$D$9),Supuestos!$D$9+SQRT(F519*(Supuestos!$F$9-Supuestos!$D$9)*(Supuestos!$E$9-Supuestos!$D$9)),Supuestos!$F$9-SQRT((1-F519)*(Supuestos!$F$9-Supuestos!$D$9)*(Supuestos!$F$9-Supuestos!$E$9))),IF(Supuestos!$C$9="Uniforme",Supuestos!$D$9+F519*(Supuestos!$E$9-Supuestos!$D$9),IF(Supuestos!$C$9="Lognormal",LOGINV(F519,LN(Supuestos!$D$9)-LN(1+Supuestos!$E$9^2/Supuestos!$D$9^2)/2,SQRT(LN(1+Supuestos!$E$9^2/Supuestos!$D$9^2))),Supuestos!$D$9))))))</f>
        <v/>
      </c>
      <c r="N519" s="32">
        <f>MIN(IF(Supuestos!$H$10="",1E+99,Supuestos!$H$10),MAX(IF(Supuestos!$G$10="",-1E+99,Supuestos!$G$10),IF(Supuestos!$C$10="Normal",NORMINV(G519,Supuestos!$D$10,Supuestos!$E$10),IF(Supuestos!$C$10="Triangular",IF(G519&lt;(Supuestos!$E$10-Supuestos!$D$10)/(Supuestos!$F$10-Supuestos!$D$10),Supuestos!$D$10+SQRT(G519*(Supuestos!$F$10-Supuestos!$D$10)*(Supuestos!$E$10-Supuestos!$D$10)),Supuestos!$F$10-SQRT((1-G519)*(Supuestos!$F$10-Supuestos!$D$10)*(Supuestos!$F$10-Supuestos!$E$10))),IF(Supuestos!$C$10="Uniforme",Supuestos!$D$10+G519*(Supuestos!$E$10-Supuestos!$D$10),IF(Supuestos!$C$10="Lognormal",LOGINV(G519,LN(Supuestos!$D$10)-LN(1+Supuestos!$E$10^2/Supuestos!$D$10^2)/2,SQRT(LN(1+Supuestos!$E$10^2/Supuestos!$D$10^2))),Supuestos!$D$10))))))</f>
        <v/>
      </c>
      <c r="O519" s="31">
        <f>MIN(IF(Supuestos!$H$11="",1E+99,Supuestos!$H$11),MAX(IF(Supuestos!$G$11="",-1E+99,Supuestos!$G$11),IF(Supuestos!$C$11="Normal",NORMINV(H519,Supuestos!$D$11,Supuestos!$E$11),IF(Supuestos!$C$11="Triangular",IF(H519&lt;(Supuestos!$E$11-Supuestos!$D$11)/(Supuestos!$F$11-Supuestos!$D$11),Supuestos!$D$11+SQRT(H519*(Supuestos!$F$11-Supuestos!$D$11)*(Supuestos!$E$11-Supuestos!$D$11)),Supuestos!$F$11-SQRT((1-H519)*(Supuestos!$F$11-Supuestos!$D$11)*(Supuestos!$F$11-Supuestos!$E$11))),IF(Supuestos!$C$11="Uniforme",Supuestos!$D$11+H519*(Supuestos!$E$11-Supuestos!$D$11),IF(Supuestos!$C$11="Lognormal",LOGINV(H519,LN(Supuestos!$D$11)-LN(1+Supuestos!$E$11^2/Supuestos!$D$11^2)/2,SQRT(LN(1+Supuestos!$E$11^2/Supuestos!$D$11^2))),Supuestos!$D$11))))))</f>
        <v/>
      </c>
      <c r="P519" s="33">
        <f>-I519</f>
        <v/>
      </c>
      <c r="Q519" s="33">
        <f>$J519*(1+$K519)^(1-1)*(1-$L519)*(1-$M519)</f>
        <v/>
      </c>
      <c r="R519" s="33">
        <f>$J519*(1+$K519)^(2-1)*(1-$L519)*(1-$M519)</f>
        <v/>
      </c>
      <c r="S519" s="33">
        <f>$J519*(1+$K519)^(3-1)*(1-$L519)*(1-$M519)</f>
        <v/>
      </c>
      <c r="T519" s="33">
        <f>$J519*(1+$K519)^(4-1)*(1-$L519)*(1-$M519)</f>
        <v/>
      </c>
      <c r="U519" s="33">
        <f>$J519*(1+$K519)^(5-1)*(1-$L519)*(1-$M519)+$O519</f>
        <v/>
      </c>
      <c r="V519" s="33">
        <f>P519+NPV($N519,Q519:U519)</f>
        <v/>
      </c>
      <c r="W519" s="32">
        <f>IFERROR(IRR(P519:U519,0.1),"")</f>
        <v/>
      </c>
    </row>
    <row r="520">
      <c r="A520" s="14" t="n">
        <v>516</v>
      </c>
      <c r="B520" s="30">
        <f>RAND()*(1-2E-6)+1E-6</f>
        <v/>
      </c>
      <c r="C520" s="30">
        <f>RAND()*(1-2E-6)+1E-6</f>
        <v/>
      </c>
      <c r="D520" s="30">
        <f>RAND()*(1-2E-6)+1E-6</f>
        <v/>
      </c>
      <c r="E520" s="30">
        <f>RAND()*(1-2E-6)+1E-6</f>
        <v/>
      </c>
      <c r="F520" s="30">
        <f>RAND()*(1-2E-6)+1E-6</f>
        <v/>
      </c>
      <c r="G520" s="30">
        <f>RAND()*(1-2E-6)+1E-6</f>
        <v/>
      </c>
      <c r="H520" s="30">
        <f>RAND()*(1-2E-6)+1E-6</f>
        <v/>
      </c>
      <c r="I520" s="31">
        <f>MIN(IF(Supuestos!$H$5="",1E+99,Supuestos!$H$5),MAX(IF(Supuestos!$G$5="",-1E+99,Supuestos!$G$5),IF(Supuestos!$C$5="Normal",NORMINV(B520,Supuestos!$D$5,Supuestos!$E$5),IF(Supuestos!$C$5="Triangular",IF(B520&lt;(Supuestos!$E$5-Supuestos!$D$5)/(Supuestos!$F$5-Supuestos!$D$5),Supuestos!$D$5+SQRT(B520*(Supuestos!$F$5-Supuestos!$D$5)*(Supuestos!$E$5-Supuestos!$D$5)),Supuestos!$F$5-SQRT((1-B520)*(Supuestos!$F$5-Supuestos!$D$5)*(Supuestos!$F$5-Supuestos!$E$5))),IF(Supuestos!$C$5="Uniforme",Supuestos!$D$5+B520*(Supuestos!$E$5-Supuestos!$D$5),IF(Supuestos!$C$5="Lognormal",LOGINV(B520,LN(Supuestos!$D$5)-LN(1+Supuestos!$E$5^2/Supuestos!$D$5^2)/2,SQRT(LN(1+Supuestos!$E$5^2/Supuestos!$D$5^2))),Supuestos!$D$5))))))</f>
        <v/>
      </c>
      <c r="J520" s="31">
        <f>MIN(IF(Supuestos!$H$6="",1E+99,Supuestos!$H$6),MAX(IF(Supuestos!$G$6="",-1E+99,Supuestos!$G$6),IF(Supuestos!$C$6="Normal",NORMINV(C520,Supuestos!$D$6,Supuestos!$E$6),IF(Supuestos!$C$6="Triangular",IF(C520&lt;(Supuestos!$E$6-Supuestos!$D$6)/(Supuestos!$F$6-Supuestos!$D$6),Supuestos!$D$6+SQRT(C520*(Supuestos!$F$6-Supuestos!$D$6)*(Supuestos!$E$6-Supuestos!$D$6)),Supuestos!$F$6-SQRT((1-C520)*(Supuestos!$F$6-Supuestos!$D$6)*(Supuestos!$F$6-Supuestos!$E$6))),IF(Supuestos!$C$6="Uniforme",Supuestos!$D$6+C520*(Supuestos!$E$6-Supuestos!$D$6),IF(Supuestos!$C$6="Lognormal",LOGINV(C520,LN(Supuestos!$D$6)-LN(1+Supuestos!$E$6^2/Supuestos!$D$6^2)/2,SQRT(LN(1+Supuestos!$E$6^2/Supuestos!$D$6^2))),Supuestos!$D$6))))))</f>
        <v/>
      </c>
      <c r="K520" s="32">
        <f>MIN(IF(Supuestos!$H$7="",1E+99,Supuestos!$H$7),MAX(IF(Supuestos!$G$7="",-1E+99,Supuestos!$G$7),IF(Supuestos!$C$7="Normal",NORMINV(D520,Supuestos!$D$7,Supuestos!$E$7),IF(Supuestos!$C$7="Triangular",IF(D520&lt;(Supuestos!$E$7-Supuestos!$D$7)/(Supuestos!$F$7-Supuestos!$D$7),Supuestos!$D$7+SQRT(D520*(Supuestos!$F$7-Supuestos!$D$7)*(Supuestos!$E$7-Supuestos!$D$7)),Supuestos!$F$7-SQRT((1-D520)*(Supuestos!$F$7-Supuestos!$D$7)*(Supuestos!$F$7-Supuestos!$E$7))),IF(Supuestos!$C$7="Uniforme",Supuestos!$D$7+D520*(Supuestos!$E$7-Supuestos!$D$7),IF(Supuestos!$C$7="Lognormal",LOGINV(D520,LN(Supuestos!$D$7)-LN(1+Supuestos!$E$7^2/Supuestos!$D$7^2)/2,SQRT(LN(1+Supuestos!$E$7^2/Supuestos!$D$7^2))),Supuestos!$D$7))))))</f>
        <v/>
      </c>
      <c r="L520" s="32">
        <f>MIN(IF(Supuestos!$H$8="",1E+99,Supuestos!$H$8),MAX(IF(Supuestos!$G$8="",-1E+99,Supuestos!$G$8),IF(Supuestos!$C$8="Normal",NORMINV(E520,Supuestos!$D$8,Supuestos!$E$8),IF(Supuestos!$C$8="Triangular",IF(E520&lt;(Supuestos!$E$8-Supuestos!$D$8)/(Supuestos!$F$8-Supuestos!$D$8),Supuestos!$D$8+SQRT(E520*(Supuestos!$F$8-Supuestos!$D$8)*(Supuestos!$E$8-Supuestos!$D$8)),Supuestos!$F$8-SQRT((1-E520)*(Supuestos!$F$8-Supuestos!$D$8)*(Supuestos!$F$8-Supuestos!$E$8))),IF(Supuestos!$C$8="Uniforme",Supuestos!$D$8+E520*(Supuestos!$E$8-Supuestos!$D$8),IF(Supuestos!$C$8="Lognormal",LOGINV(E520,LN(Supuestos!$D$8)-LN(1+Supuestos!$E$8^2/Supuestos!$D$8^2)/2,SQRT(LN(1+Supuestos!$E$8^2/Supuestos!$D$8^2))),Supuestos!$D$8))))))</f>
        <v/>
      </c>
      <c r="M520" s="32">
        <f>MIN(IF(Supuestos!$H$9="",1E+99,Supuestos!$H$9),MAX(IF(Supuestos!$G$9="",-1E+99,Supuestos!$G$9),IF(Supuestos!$C$9="Normal",NORMINV(F520,Supuestos!$D$9,Supuestos!$E$9),IF(Supuestos!$C$9="Triangular",IF(F520&lt;(Supuestos!$E$9-Supuestos!$D$9)/(Supuestos!$F$9-Supuestos!$D$9),Supuestos!$D$9+SQRT(F520*(Supuestos!$F$9-Supuestos!$D$9)*(Supuestos!$E$9-Supuestos!$D$9)),Supuestos!$F$9-SQRT((1-F520)*(Supuestos!$F$9-Supuestos!$D$9)*(Supuestos!$F$9-Supuestos!$E$9))),IF(Supuestos!$C$9="Uniforme",Supuestos!$D$9+F520*(Supuestos!$E$9-Supuestos!$D$9),IF(Supuestos!$C$9="Lognormal",LOGINV(F520,LN(Supuestos!$D$9)-LN(1+Supuestos!$E$9^2/Supuestos!$D$9^2)/2,SQRT(LN(1+Supuestos!$E$9^2/Supuestos!$D$9^2))),Supuestos!$D$9))))))</f>
        <v/>
      </c>
      <c r="N520" s="32">
        <f>MIN(IF(Supuestos!$H$10="",1E+99,Supuestos!$H$10),MAX(IF(Supuestos!$G$10="",-1E+99,Supuestos!$G$10),IF(Supuestos!$C$10="Normal",NORMINV(G520,Supuestos!$D$10,Supuestos!$E$10),IF(Supuestos!$C$10="Triangular",IF(G520&lt;(Supuestos!$E$10-Supuestos!$D$10)/(Supuestos!$F$10-Supuestos!$D$10),Supuestos!$D$10+SQRT(G520*(Supuestos!$F$10-Supuestos!$D$10)*(Supuestos!$E$10-Supuestos!$D$10)),Supuestos!$F$10-SQRT((1-G520)*(Supuestos!$F$10-Supuestos!$D$10)*(Supuestos!$F$10-Supuestos!$E$10))),IF(Supuestos!$C$10="Uniforme",Supuestos!$D$10+G520*(Supuestos!$E$10-Supuestos!$D$10),IF(Supuestos!$C$10="Lognormal",LOGINV(G520,LN(Supuestos!$D$10)-LN(1+Supuestos!$E$10^2/Supuestos!$D$10^2)/2,SQRT(LN(1+Supuestos!$E$10^2/Supuestos!$D$10^2))),Supuestos!$D$10))))))</f>
        <v/>
      </c>
      <c r="O520" s="31">
        <f>MIN(IF(Supuestos!$H$11="",1E+99,Supuestos!$H$11),MAX(IF(Supuestos!$G$11="",-1E+99,Supuestos!$G$11),IF(Supuestos!$C$11="Normal",NORMINV(H520,Supuestos!$D$11,Supuestos!$E$11),IF(Supuestos!$C$11="Triangular",IF(H520&lt;(Supuestos!$E$11-Supuestos!$D$11)/(Supuestos!$F$11-Supuestos!$D$11),Supuestos!$D$11+SQRT(H520*(Supuestos!$F$11-Supuestos!$D$11)*(Supuestos!$E$11-Supuestos!$D$11)),Supuestos!$F$11-SQRT((1-H520)*(Supuestos!$F$11-Supuestos!$D$11)*(Supuestos!$F$11-Supuestos!$E$11))),IF(Supuestos!$C$11="Uniforme",Supuestos!$D$11+H520*(Supuestos!$E$11-Supuestos!$D$11),IF(Supuestos!$C$11="Lognormal",LOGINV(H520,LN(Supuestos!$D$11)-LN(1+Supuestos!$E$11^2/Supuestos!$D$11^2)/2,SQRT(LN(1+Supuestos!$E$11^2/Supuestos!$D$11^2))),Supuestos!$D$11))))))</f>
        <v/>
      </c>
      <c r="P520" s="33">
        <f>-I520</f>
        <v/>
      </c>
      <c r="Q520" s="33">
        <f>$J520*(1+$K520)^(1-1)*(1-$L520)*(1-$M520)</f>
        <v/>
      </c>
      <c r="R520" s="33">
        <f>$J520*(1+$K520)^(2-1)*(1-$L520)*(1-$M520)</f>
        <v/>
      </c>
      <c r="S520" s="33">
        <f>$J520*(1+$K520)^(3-1)*(1-$L520)*(1-$M520)</f>
        <v/>
      </c>
      <c r="T520" s="33">
        <f>$J520*(1+$K520)^(4-1)*(1-$L520)*(1-$M520)</f>
        <v/>
      </c>
      <c r="U520" s="33">
        <f>$J520*(1+$K520)^(5-1)*(1-$L520)*(1-$M520)+$O520</f>
        <v/>
      </c>
      <c r="V520" s="33">
        <f>P520+NPV($N520,Q520:U520)</f>
        <v/>
      </c>
      <c r="W520" s="32">
        <f>IFERROR(IRR(P520:U520,0.1),"")</f>
        <v/>
      </c>
    </row>
    <row r="521">
      <c r="A521" s="14" t="n">
        <v>517</v>
      </c>
      <c r="B521" s="30">
        <f>RAND()*(1-2E-6)+1E-6</f>
        <v/>
      </c>
      <c r="C521" s="30">
        <f>RAND()*(1-2E-6)+1E-6</f>
        <v/>
      </c>
      <c r="D521" s="30">
        <f>RAND()*(1-2E-6)+1E-6</f>
        <v/>
      </c>
      <c r="E521" s="30">
        <f>RAND()*(1-2E-6)+1E-6</f>
        <v/>
      </c>
      <c r="F521" s="30">
        <f>RAND()*(1-2E-6)+1E-6</f>
        <v/>
      </c>
      <c r="G521" s="30">
        <f>RAND()*(1-2E-6)+1E-6</f>
        <v/>
      </c>
      <c r="H521" s="30">
        <f>RAND()*(1-2E-6)+1E-6</f>
        <v/>
      </c>
      <c r="I521" s="31">
        <f>MIN(IF(Supuestos!$H$5="",1E+99,Supuestos!$H$5),MAX(IF(Supuestos!$G$5="",-1E+99,Supuestos!$G$5),IF(Supuestos!$C$5="Normal",NORMINV(B521,Supuestos!$D$5,Supuestos!$E$5),IF(Supuestos!$C$5="Triangular",IF(B521&lt;(Supuestos!$E$5-Supuestos!$D$5)/(Supuestos!$F$5-Supuestos!$D$5),Supuestos!$D$5+SQRT(B521*(Supuestos!$F$5-Supuestos!$D$5)*(Supuestos!$E$5-Supuestos!$D$5)),Supuestos!$F$5-SQRT((1-B521)*(Supuestos!$F$5-Supuestos!$D$5)*(Supuestos!$F$5-Supuestos!$E$5))),IF(Supuestos!$C$5="Uniforme",Supuestos!$D$5+B521*(Supuestos!$E$5-Supuestos!$D$5),IF(Supuestos!$C$5="Lognormal",LOGINV(B521,LN(Supuestos!$D$5)-LN(1+Supuestos!$E$5^2/Supuestos!$D$5^2)/2,SQRT(LN(1+Supuestos!$E$5^2/Supuestos!$D$5^2))),Supuestos!$D$5))))))</f>
        <v/>
      </c>
      <c r="J521" s="31">
        <f>MIN(IF(Supuestos!$H$6="",1E+99,Supuestos!$H$6),MAX(IF(Supuestos!$G$6="",-1E+99,Supuestos!$G$6),IF(Supuestos!$C$6="Normal",NORMINV(C521,Supuestos!$D$6,Supuestos!$E$6),IF(Supuestos!$C$6="Triangular",IF(C521&lt;(Supuestos!$E$6-Supuestos!$D$6)/(Supuestos!$F$6-Supuestos!$D$6),Supuestos!$D$6+SQRT(C521*(Supuestos!$F$6-Supuestos!$D$6)*(Supuestos!$E$6-Supuestos!$D$6)),Supuestos!$F$6-SQRT((1-C521)*(Supuestos!$F$6-Supuestos!$D$6)*(Supuestos!$F$6-Supuestos!$E$6))),IF(Supuestos!$C$6="Uniforme",Supuestos!$D$6+C521*(Supuestos!$E$6-Supuestos!$D$6),IF(Supuestos!$C$6="Lognormal",LOGINV(C521,LN(Supuestos!$D$6)-LN(1+Supuestos!$E$6^2/Supuestos!$D$6^2)/2,SQRT(LN(1+Supuestos!$E$6^2/Supuestos!$D$6^2))),Supuestos!$D$6))))))</f>
        <v/>
      </c>
      <c r="K521" s="32">
        <f>MIN(IF(Supuestos!$H$7="",1E+99,Supuestos!$H$7),MAX(IF(Supuestos!$G$7="",-1E+99,Supuestos!$G$7),IF(Supuestos!$C$7="Normal",NORMINV(D521,Supuestos!$D$7,Supuestos!$E$7),IF(Supuestos!$C$7="Triangular",IF(D521&lt;(Supuestos!$E$7-Supuestos!$D$7)/(Supuestos!$F$7-Supuestos!$D$7),Supuestos!$D$7+SQRT(D521*(Supuestos!$F$7-Supuestos!$D$7)*(Supuestos!$E$7-Supuestos!$D$7)),Supuestos!$F$7-SQRT((1-D521)*(Supuestos!$F$7-Supuestos!$D$7)*(Supuestos!$F$7-Supuestos!$E$7))),IF(Supuestos!$C$7="Uniforme",Supuestos!$D$7+D521*(Supuestos!$E$7-Supuestos!$D$7),IF(Supuestos!$C$7="Lognormal",LOGINV(D521,LN(Supuestos!$D$7)-LN(1+Supuestos!$E$7^2/Supuestos!$D$7^2)/2,SQRT(LN(1+Supuestos!$E$7^2/Supuestos!$D$7^2))),Supuestos!$D$7))))))</f>
        <v/>
      </c>
      <c r="L521" s="32">
        <f>MIN(IF(Supuestos!$H$8="",1E+99,Supuestos!$H$8),MAX(IF(Supuestos!$G$8="",-1E+99,Supuestos!$G$8),IF(Supuestos!$C$8="Normal",NORMINV(E521,Supuestos!$D$8,Supuestos!$E$8),IF(Supuestos!$C$8="Triangular",IF(E521&lt;(Supuestos!$E$8-Supuestos!$D$8)/(Supuestos!$F$8-Supuestos!$D$8),Supuestos!$D$8+SQRT(E521*(Supuestos!$F$8-Supuestos!$D$8)*(Supuestos!$E$8-Supuestos!$D$8)),Supuestos!$F$8-SQRT((1-E521)*(Supuestos!$F$8-Supuestos!$D$8)*(Supuestos!$F$8-Supuestos!$E$8))),IF(Supuestos!$C$8="Uniforme",Supuestos!$D$8+E521*(Supuestos!$E$8-Supuestos!$D$8),IF(Supuestos!$C$8="Lognormal",LOGINV(E521,LN(Supuestos!$D$8)-LN(1+Supuestos!$E$8^2/Supuestos!$D$8^2)/2,SQRT(LN(1+Supuestos!$E$8^2/Supuestos!$D$8^2))),Supuestos!$D$8))))))</f>
        <v/>
      </c>
      <c r="M521" s="32">
        <f>MIN(IF(Supuestos!$H$9="",1E+99,Supuestos!$H$9),MAX(IF(Supuestos!$G$9="",-1E+99,Supuestos!$G$9),IF(Supuestos!$C$9="Normal",NORMINV(F521,Supuestos!$D$9,Supuestos!$E$9),IF(Supuestos!$C$9="Triangular",IF(F521&lt;(Supuestos!$E$9-Supuestos!$D$9)/(Supuestos!$F$9-Supuestos!$D$9),Supuestos!$D$9+SQRT(F521*(Supuestos!$F$9-Supuestos!$D$9)*(Supuestos!$E$9-Supuestos!$D$9)),Supuestos!$F$9-SQRT((1-F521)*(Supuestos!$F$9-Supuestos!$D$9)*(Supuestos!$F$9-Supuestos!$E$9))),IF(Supuestos!$C$9="Uniforme",Supuestos!$D$9+F521*(Supuestos!$E$9-Supuestos!$D$9),IF(Supuestos!$C$9="Lognormal",LOGINV(F521,LN(Supuestos!$D$9)-LN(1+Supuestos!$E$9^2/Supuestos!$D$9^2)/2,SQRT(LN(1+Supuestos!$E$9^2/Supuestos!$D$9^2))),Supuestos!$D$9))))))</f>
        <v/>
      </c>
      <c r="N521" s="32">
        <f>MIN(IF(Supuestos!$H$10="",1E+99,Supuestos!$H$10),MAX(IF(Supuestos!$G$10="",-1E+99,Supuestos!$G$10),IF(Supuestos!$C$10="Normal",NORMINV(G521,Supuestos!$D$10,Supuestos!$E$10),IF(Supuestos!$C$10="Triangular",IF(G521&lt;(Supuestos!$E$10-Supuestos!$D$10)/(Supuestos!$F$10-Supuestos!$D$10),Supuestos!$D$10+SQRT(G521*(Supuestos!$F$10-Supuestos!$D$10)*(Supuestos!$E$10-Supuestos!$D$10)),Supuestos!$F$10-SQRT((1-G521)*(Supuestos!$F$10-Supuestos!$D$10)*(Supuestos!$F$10-Supuestos!$E$10))),IF(Supuestos!$C$10="Uniforme",Supuestos!$D$10+G521*(Supuestos!$E$10-Supuestos!$D$10),IF(Supuestos!$C$10="Lognormal",LOGINV(G521,LN(Supuestos!$D$10)-LN(1+Supuestos!$E$10^2/Supuestos!$D$10^2)/2,SQRT(LN(1+Supuestos!$E$10^2/Supuestos!$D$10^2))),Supuestos!$D$10))))))</f>
        <v/>
      </c>
      <c r="O521" s="31">
        <f>MIN(IF(Supuestos!$H$11="",1E+99,Supuestos!$H$11),MAX(IF(Supuestos!$G$11="",-1E+99,Supuestos!$G$11),IF(Supuestos!$C$11="Normal",NORMINV(H521,Supuestos!$D$11,Supuestos!$E$11),IF(Supuestos!$C$11="Triangular",IF(H521&lt;(Supuestos!$E$11-Supuestos!$D$11)/(Supuestos!$F$11-Supuestos!$D$11),Supuestos!$D$11+SQRT(H521*(Supuestos!$F$11-Supuestos!$D$11)*(Supuestos!$E$11-Supuestos!$D$11)),Supuestos!$F$11-SQRT((1-H521)*(Supuestos!$F$11-Supuestos!$D$11)*(Supuestos!$F$11-Supuestos!$E$11))),IF(Supuestos!$C$11="Uniforme",Supuestos!$D$11+H521*(Supuestos!$E$11-Supuestos!$D$11),IF(Supuestos!$C$11="Lognormal",LOGINV(H521,LN(Supuestos!$D$11)-LN(1+Supuestos!$E$11^2/Supuestos!$D$11^2)/2,SQRT(LN(1+Supuestos!$E$11^2/Supuestos!$D$11^2))),Supuestos!$D$11))))))</f>
        <v/>
      </c>
      <c r="P521" s="33">
        <f>-I521</f>
        <v/>
      </c>
      <c r="Q521" s="33">
        <f>$J521*(1+$K521)^(1-1)*(1-$L521)*(1-$M521)</f>
        <v/>
      </c>
      <c r="R521" s="33">
        <f>$J521*(1+$K521)^(2-1)*(1-$L521)*(1-$M521)</f>
        <v/>
      </c>
      <c r="S521" s="33">
        <f>$J521*(1+$K521)^(3-1)*(1-$L521)*(1-$M521)</f>
        <v/>
      </c>
      <c r="T521" s="33">
        <f>$J521*(1+$K521)^(4-1)*(1-$L521)*(1-$M521)</f>
        <v/>
      </c>
      <c r="U521" s="33">
        <f>$J521*(1+$K521)^(5-1)*(1-$L521)*(1-$M521)+$O521</f>
        <v/>
      </c>
      <c r="V521" s="33">
        <f>P521+NPV($N521,Q521:U521)</f>
        <v/>
      </c>
      <c r="W521" s="32">
        <f>IFERROR(IRR(P521:U521,0.1),"")</f>
        <v/>
      </c>
    </row>
    <row r="522">
      <c r="A522" s="14" t="n">
        <v>518</v>
      </c>
      <c r="B522" s="30">
        <f>RAND()*(1-2E-6)+1E-6</f>
        <v/>
      </c>
      <c r="C522" s="30">
        <f>RAND()*(1-2E-6)+1E-6</f>
        <v/>
      </c>
      <c r="D522" s="30">
        <f>RAND()*(1-2E-6)+1E-6</f>
        <v/>
      </c>
      <c r="E522" s="30">
        <f>RAND()*(1-2E-6)+1E-6</f>
        <v/>
      </c>
      <c r="F522" s="30">
        <f>RAND()*(1-2E-6)+1E-6</f>
        <v/>
      </c>
      <c r="G522" s="30">
        <f>RAND()*(1-2E-6)+1E-6</f>
        <v/>
      </c>
      <c r="H522" s="30">
        <f>RAND()*(1-2E-6)+1E-6</f>
        <v/>
      </c>
      <c r="I522" s="31">
        <f>MIN(IF(Supuestos!$H$5="",1E+99,Supuestos!$H$5),MAX(IF(Supuestos!$G$5="",-1E+99,Supuestos!$G$5),IF(Supuestos!$C$5="Normal",NORMINV(B522,Supuestos!$D$5,Supuestos!$E$5),IF(Supuestos!$C$5="Triangular",IF(B522&lt;(Supuestos!$E$5-Supuestos!$D$5)/(Supuestos!$F$5-Supuestos!$D$5),Supuestos!$D$5+SQRT(B522*(Supuestos!$F$5-Supuestos!$D$5)*(Supuestos!$E$5-Supuestos!$D$5)),Supuestos!$F$5-SQRT((1-B522)*(Supuestos!$F$5-Supuestos!$D$5)*(Supuestos!$F$5-Supuestos!$E$5))),IF(Supuestos!$C$5="Uniforme",Supuestos!$D$5+B522*(Supuestos!$E$5-Supuestos!$D$5),IF(Supuestos!$C$5="Lognormal",LOGINV(B522,LN(Supuestos!$D$5)-LN(1+Supuestos!$E$5^2/Supuestos!$D$5^2)/2,SQRT(LN(1+Supuestos!$E$5^2/Supuestos!$D$5^2))),Supuestos!$D$5))))))</f>
        <v/>
      </c>
      <c r="J522" s="31">
        <f>MIN(IF(Supuestos!$H$6="",1E+99,Supuestos!$H$6),MAX(IF(Supuestos!$G$6="",-1E+99,Supuestos!$G$6),IF(Supuestos!$C$6="Normal",NORMINV(C522,Supuestos!$D$6,Supuestos!$E$6),IF(Supuestos!$C$6="Triangular",IF(C522&lt;(Supuestos!$E$6-Supuestos!$D$6)/(Supuestos!$F$6-Supuestos!$D$6),Supuestos!$D$6+SQRT(C522*(Supuestos!$F$6-Supuestos!$D$6)*(Supuestos!$E$6-Supuestos!$D$6)),Supuestos!$F$6-SQRT((1-C522)*(Supuestos!$F$6-Supuestos!$D$6)*(Supuestos!$F$6-Supuestos!$E$6))),IF(Supuestos!$C$6="Uniforme",Supuestos!$D$6+C522*(Supuestos!$E$6-Supuestos!$D$6),IF(Supuestos!$C$6="Lognormal",LOGINV(C522,LN(Supuestos!$D$6)-LN(1+Supuestos!$E$6^2/Supuestos!$D$6^2)/2,SQRT(LN(1+Supuestos!$E$6^2/Supuestos!$D$6^2))),Supuestos!$D$6))))))</f>
        <v/>
      </c>
      <c r="K522" s="32">
        <f>MIN(IF(Supuestos!$H$7="",1E+99,Supuestos!$H$7),MAX(IF(Supuestos!$G$7="",-1E+99,Supuestos!$G$7),IF(Supuestos!$C$7="Normal",NORMINV(D522,Supuestos!$D$7,Supuestos!$E$7),IF(Supuestos!$C$7="Triangular",IF(D522&lt;(Supuestos!$E$7-Supuestos!$D$7)/(Supuestos!$F$7-Supuestos!$D$7),Supuestos!$D$7+SQRT(D522*(Supuestos!$F$7-Supuestos!$D$7)*(Supuestos!$E$7-Supuestos!$D$7)),Supuestos!$F$7-SQRT((1-D522)*(Supuestos!$F$7-Supuestos!$D$7)*(Supuestos!$F$7-Supuestos!$E$7))),IF(Supuestos!$C$7="Uniforme",Supuestos!$D$7+D522*(Supuestos!$E$7-Supuestos!$D$7),IF(Supuestos!$C$7="Lognormal",LOGINV(D522,LN(Supuestos!$D$7)-LN(1+Supuestos!$E$7^2/Supuestos!$D$7^2)/2,SQRT(LN(1+Supuestos!$E$7^2/Supuestos!$D$7^2))),Supuestos!$D$7))))))</f>
        <v/>
      </c>
      <c r="L522" s="32">
        <f>MIN(IF(Supuestos!$H$8="",1E+99,Supuestos!$H$8),MAX(IF(Supuestos!$G$8="",-1E+99,Supuestos!$G$8),IF(Supuestos!$C$8="Normal",NORMINV(E522,Supuestos!$D$8,Supuestos!$E$8),IF(Supuestos!$C$8="Triangular",IF(E522&lt;(Supuestos!$E$8-Supuestos!$D$8)/(Supuestos!$F$8-Supuestos!$D$8),Supuestos!$D$8+SQRT(E522*(Supuestos!$F$8-Supuestos!$D$8)*(Supuestos!$E$8-Supuestos!$D$8)),Supuestos!$F$8-SQRT((1-E522)*(Supuestos!$F$8-Supuestos!$D$8)*(Supuestos!$F$8-Supuestos!$E$8))),IF(Supuestos!$C$8="Uniforme",Supuestos!$D$8+E522*(Supuestos!$E$8-Supuestos!$D$8),IF(Supuestos!$C$8="Lognormal",LOGINV(E522,LN(Supuestos!$D$8)-LN(1+Supuestos!$E$8^2/Supuestos!$D$8^2)/2,SQRT(LN(1+Supuestos!$E$8^2/Supuestos!$D$8^2))),Supuestos!$D$8))))))</f>
        <v/>
      </c>
      <c r="M522" s="32">
        <f>MIN(IF(Supuestos!$H$9="",1E+99,Supuestos!$H$9),MAX(IF(Supuestos!$G$9="",-1E+99,Supuestos!$G$9),IF(Supuestos!$C$9="Normal",NORMINV(F522,Supuestos!$D$9,Supuestos!$E$9),IF(Supuestos!$C$9="Triangular",IF(F522&lt;(Supuestos!$E$9-Supuestos!$D$9)/(Supuestos!$F$9-Supuestos!$D$9),Supuestos!$D$9+SQRT(F522*(Supuestos!$F$9-Supuestos!$D$9)*(Supuestos!$E$9-Supuestos!$D$9)),Supuestos!$F$9-SQRT((1-F522)*(Supuestos!$F$9-Supuestos!$D$9)*(Supuestos!$F$9-Supuestos!$E$9))),IF(Supuestos!$C$9="Uniforme",Supuestos!$D$9+F522*(Supuestos!$E$9-Supuestos!$D$9),IF(Supuestos!$C$9="Lognormal",LOGINV(F522,LN(Supuestos!$D$9)-LN(1+Supuestos!$E$9^2/Supuestos!$D$9^2)/2,SQRT(LN(1+Supuestos!$E$9^2/Supuestos!$D$9^2))),Supuestos!$D$9))))))</f>
        <v/>
      </c>
      <c r="N522" s="32">
        <f>MIN(IF(Supuestos!$H$10="",1E+99,Supuestos!$H$10),MAX(IF(Supuestos!$G$10="",-1E+99,Supuestos!$G$10),IF(Supuestos!$C$10="Normal",NORMINV(G522,Supuestos!$D$10,Supuestos!$E$10),IF(Supuestos!$C$10="Triangular",IF(G522&lt;(Supuestos!$E$10-Supuestos!$D$10)/(Supuestos!$F$10-Supuestos!$D$10),Supuestos!$D$10+SQRT(G522*(Supuestos!$F$10-Supuestos!$D$10)*(Supuestos!$E$10-Supuestos!$D$10)),Supuestos!$F$10-SQRT((1-G522)*(Supuestos!$F$10-Supuestos!$D$10)*(Supuestos!$F$10-Supuestos!$E$10))),IF(Supuestos!$C$10="Uniforme",Supuestos!$D$10+G522*(Supuestos!$E$10-Supuestos!$D$10),IF(Supuestos!$C$10="Lognormal",LOGINV(G522,LN(Supuestos!$D$10)-LN(1+Supuestos!$E$10^2/Supuestos!$D$10^2)/2,SQRT(LN(1+Supuestos!$E$10^2/Supuestos!$D$10^2))),Supuestos!$D$10))))))</f>
        <v/>
      </c>
      <c r="O522" s="31">
        <f>MIN(IF(Supuestos!$H$11="",1E+99,Supuestos!$H$11),MAX(IF(Supuestos!$G$11="",-1E+99,Supuestos!$G$11),IF(Supuestos!$C$11="Normal",NORMINV(H522,Supuestos!$D$11,Supuestos!$E$11),IF(Supuestos!$C$11="Triangular",IF(H522&lt;(Supuestos!$E$11-Supuestos!$D$11)/(Supuestos!$F$11-Supuestos!$D$11),Supuestos!$D$11+SQRT(H522*(Supuestos!$F$11-Supuestos!$D$11)*(Supuestos!$E$11-Supuestos!$D$11)),Supuestos!$F$11-SQRT((1-H522)*(Supuestos!$F$11-Supuestos!$D$11)*(Supuestos!$F$11-Supuestos!$E$11))),IF(Supuestos!$C$11="Uniforme",Supuestos!$D$11+H522*(Supuestos!$E$11-Supuestos!$D$11),IF(Supuestos!$C$11="Lognormal",LOGINV(H522,LN(Supuestos!$D$11)-LN(1+Supuestos!$E$11^2/Supuestos!$D$11^2)/2,SQRT(LN(1+Supuestos!$E$11^2/Supuestos!$D$11^2))),Supuestos!$D$11))))))</f>
        <v/>
      </c>
      <c r="P522" s="33">
        <f>-I522</f>
        <v/>
      </c>
      <c r="Q522" s="33">
        <f>$J522*(1+$K522)^(1-1)*(1-$L522)*(1-$M522)</f>
        <v/>
      </c>
      <c r="R522" s="33">
        <f>$J522*(1+$K522)^(2-1)*(1-$L522)*(1-$M522)</f>
        <v/>
      </c>
      <c r="S522" s="33">
        <f>$J522*(1+$K522)^(3-1)*(1-$L522)*(1-$M522)</f>
        <v/>
      </c>
      <c r="T522" s="33">
        <f>$J522*(1+$K522)^(4-1)*(1-$L522)*(1-$M522)</f>
        <v/>
      </c>
      <c r="U522" s="33">
        <f>$J522*(1+$K522)^(5-1)*(1-$L522)*(1-$M522)+$O522</f>
        <v/>
      </c>
      <c r="V522" s="33">
        <f>P522+NPV($N522,Q522:U522)</f>
        <v/>
      </c>
      <c r="W522" s="32">
        <f>IFERROR(IRR(P522:U522,0.1),"")</f>
        <v/>
      </c>
    </row>
    <row r="523">
      <c r="A523" s="14" t="n">
        <v>519</v>
      </c>
      <c r="B523" s="30">
        <f>RAND()*(1-2E-6)+1E-6</f>
        <v/>
      </c>
      <c r="C523" s="30">
        <f>RAND()*(1-2E-6)+1E-6</f>
        <v/>
      </c>
      <c r="D523" s="30">
        <f>RAND()*(1-2E-6)+1E-6</f>
        <v/>
      </c>
      <c r="E523" s="30">
        <f>RAND()*(1-2E-6)+1E-6</f>
        <v/>
      </c>
      <c r="F523" s="30">
        <f>RAND()*(1-2E-6)+1E-6</f>
        <v/>
      </c>
      <c r="G523" s="30">
        <f>RAND()*(1-2E-6)+1E-6</f>
        <v/>
      </c>
      <c r="H523" s="30">
        <f>RAND()*(1-2E-6)+1E-6</f>
        <v/>
      </c>
      <c r="I523" s="31">
        <f>MIN(IF(Supuestos!$H$5="",1E+99,Supuestos!$H$5),MAX(IF(Supuestos!$G$5="",-1E+99,Supuestos!$G$5),IF(Supuestos!$C$5="Normal",NORMINV(B523,Supuestos!$D$5,Supuestos!$E$5),IF(Supuestos!$C$5="Triangular",IF(B523&lt;(Supuestos!$E$5-Supuestos!$D$5)/(Supuestos!$F$5-Supuestos!$D$5),Supuestos!$D$5+SQRT(B523*(Supuestos!$F$5-Supuestos!$D$5)*(Supuestos!$E$5-Supuestos!$D$5)),Supuestos!$F$5-SQRT((1-B523)*(Supuestos!$F$5-Supuestos!$D$5)*(Supuestos!$F$5-Supuestos!$E$5))),IF(Supuestos!$C$5="Uniforme",Supuestos!$D$5+B523*(Supuestos!$E$5-Supuestos!$D$5),IF(Supuestos!$C$5="Lognormal",LOGINV(B523,LN(Supuestos!$D$5)-LN(1+Supuestos!$E$5^2/Supuestos!$D$5^2)/2,SQRT(LN(1+Supuestos!$E$5^2/Supuestos!$D$5^2))),Supuestos!$D$5))))))</f>
        <v/>
      </c>
      <c r="J523" s="31">
        <f>MIN(IF(Supuestos!$H$6="",1E+99,Supuestos!$H$6),MAX(IF(Supuestos!$G$6="",-1E+99,Supuestos!$G$6),IF(Supuestos!$C$6="Normal",NORMINV(C523,Supuestos!$D$6,Supuestos!$E$6),IF(Supuestos!$C$6="Triangular",IF(C523&lt;(Supuestos!$E$6-Supuestos!$D$6)/(Supuestos!$F$6-Supuestos!$D$6),Supuestos!$D$6+SQRT(C523*(Supuestos!$F$6-Supuestos!$D$6)*(Supuestos!$E$6-Supuestos!$D$6)),Supuestos!$F$6-SQRT((1-C523)*(Supuestos!$F$6-Supuestos!$D$6)*(Supuestos!$F$6-Supuestos!$E$6))),IF(Supuestos!$C$6="Uniforme",Supuestos!$D$6+C523*(Supuestos!$E$6-Supuestos!$D$6),IF(Supuestos!$C$6="Lognormal",LOGINV(C523,LN(Supuestos!$D$6)-LN(1+Supuestos!$E$6^2/Supuestos!$D$6^2)/2,SQRT(LN(1+Supuestos!$E$6^2/Supuestos!$D$6^2))),Supuestos!$D$6))))))</f>
        <v/>
      </c>
      <c r="K523" s="32">
        <f>MIN(IF(Supuestos!$H$7="",1E+99,Supuestos!$H$7),MAX(IF(Supuestos!$G$7="",-1E+99,Supuestos!$G$7),IF(Supuestos!$C$7="Normal",NORMINV(D523,Supuestos!$D$7,Supuestos!$E$7),IF(Supuestos!$C$7="Triangular",IF(D523&lt;(Supuestos!$E$7-Supuestos!$D$7)/(Supuestos!$F$7-Supuestos!$D$7),Supuestos!$D$7+SQRT(D523*(Supuestos!$F$7-Supuestos!$D$7)*(Supuestos!$E$7-Supuestos!$D$7)),Supuestos!$F$7-SQRT((1-D523)*(Supuestos!$F$7-Supuestos!$D$7)*(Supuestos!$F$7-Supuestos!$E$7))),IF(Supuestos!$C$7="Uniforme",Supuestos!$D$7+D523*(Supuestos!$E$7-Supuestos!$D$7),IF(Supuestos!$C$7="Lognormal",LOGINV(D523,LN(Supuestos!$D$7)-LN(1+Supuestos!$E$7^2/Supuestos!$D$7^2)/2,SQRT(LN(1+Supuestos!$E$7^2/Supuestos!$D$7^2))),Supuestos!$D$7))))))</f>
        <v/>
      </c>
      <c r="L523" s="32">
        <f>MIN(IF(Supuestos!$H$8="",1E+99,Supuestos!$H$8),MAX(IF(Supuestos!$G$8="",-1E+99,Supuestos!$G$8),IF(Supuestos!$C$8="Normal",NORMINV(E523,Supuestos!$D$8,Supuestos!$E$8),IF(Supuestos!$C$8="Triangular",IF(E523&lt;(Supuestos!$E$8-Supuestos!$D$8)/(Supuestos!$F$8-Supuestos!$D$8),Supuestos!$D$8+SQRT(E523*(Supuestos!$F$8-Supuestos!$D$8)*(Supuestos!$E$8-Supuestos!$D$8)),Supuestos!$F$8-SQRT((1-E523)*(Supuestos!$F$8-Supuestos!$D$8)*(Supuestos!$F$8-Supuestos!$E$8))),IF(Supuestos!$C$8="Uniforme",Supuestos!$D$8+E523*(Supuestos!$E$8-Supuestos!$D$8),IF(Supuestos!$C$8="Lognormal",LOGINV(E523,LN(Supuestos!$D$8)-LN(1+Supuestos!$E$8^2/Supuestos!$D$8^2)/2,SQRT(LN(1+Supuestos!$E$8^2/Supuestos!$D$8^2))),Supuestos!$D$8))))))</f>
        <v/>
      </c>
      <c r="M523" s="32">
        <f>MIN(IF(Supuestos!$H$9="",1E+99,Supuestos!$H$9),MAX(IF(Supuestos!$G$9="",-1E+99,Supuestos!$G$9),IF(Supuestos!$C$9="Normal",NORMINV(F523,Supuestos!$D$9,Supuestos!$E$9),IF(Supuestos!$C$9="Triangular",IF(F523&lt;(Supuestos!$E$9-Supuestos!$D$9)/(Supuestos!$F$9-Supuestos!$D$9),Supuestos!$D$9+SQRT(F523*(Supuestos!$F$9-Supuestos!$D$9)*(Supuestos!$E$9-Supuestos!$D$9)),Supuestos!$F$9-SQRT((1-F523)*(Supuestos!$F$9-Supuestos!$D$9)*(Supuestos!$F$9-Supuestos!$E$9))),IF(Supuestos!$C$9="Uniforme",Supuestos!$D$9+F523*(Supuestos!$E$9-Supuestos!$D$9),IF(Supuestos!$C$9="Lognormal",LOGINV(F523,LN(Supuestos!$D$9)-LN(1+Supuestos!$E$9^2/Supuestos!$D$9^2)/2,SQRT(LN(1+Supuestos!$E$9^2/Supuestos!$D$9^2))),Supuestos!$D$9))))))</f>
        <v/>
      </c>
      <c r="N523" s="32">
        <f>MIN(IF(Supuestos!$H$10="",1E+99,Supuestos!$H$10),MAX(IF(Supuestos!$G$10="",-1E+99,Supuestos!$G$10),IF(Supuestos!$C$10="Normal",NORMINV(G523,Supuestos!$D$10,Supuestos!$E$10),IF(Supuestos!$C$10="Triangular",IF(G523&lt;(Supuestos!$E$10-Supuestos!$D$10)/(Supuestos!$F$10-Supuestos!$D$10),Supuestos!$D$10+SQRT(G523*(Supuestos!$F$10-Supuestos!$D$10)*(Supuestos!$E$10-Supuestos!$D$10)),Supuestos!$F$10-SQRT((1-G523)*(Supuestos!$F$10-Supuestos!$D$10)*(Supuestos!$F$10-Supuestos!$E$10))),IF(Supuestos!$C$10="Uniforme",Supuestos!$D$10+G523*(Supuestos!$E$10-Supuestos!$D$10),IF(Supuestos!$C$10="Lognormal",LOGINV(G523,LN(Supuestos!$D$10)-LN(1+Supuestos!$E$10^2/Supuestos!$D$10^2)/2,SQRT(LN(1+Supuestos!$E$10^2/Supuestos!$D$10^2))),Supuestos!$D$10))))))</f>
        <v/>
      </c>
      <c r="O523" s="31">
        <f>MIN(IF(Supuestos!$H$11="",1E+99,Supuestos!$H$11),MAX(IF(Supuestos!$G$11="",-1E+99,Supuestos!$G$11),IF(Supuestos!$C$11="Normal",NORMINV(H523,Supuestos!$D$11,Supuestos!$E$11),IF(Supuestos!$C$11="Triangular",IF(H523&lt;(Supuestos!$E$11-Supuestos!$D$11)/(Supuestos!$F$11-Supuestos!$D$11),Supuestos!$D$11+SQRT(H523*(Supuestos!$F$11-Supuestos!$D$11)*(Supuestos!$E$11-Supuestos!$D$11)),Supuestos!$F$11-SQRT((1-H523)*(Supuestos!$F$11-Supuestos!$D$11)*(Supuestos!$F$11-Supuestos!$E$11))),IF(Supuestos!$C$11="Uniforme",Supuestos!$D$11+H523*(Supuestos!$E$11-Supuestos!$D$11),IF(Supuestos!$C$11="Lognormal",LOGINV(H523,LN(Supuestos!$D$11)-LN(1+Supuestos!$E$11^2/Supuestos!$D$11^2)/2,SQRT(LN(1+Supuestos!$E$11^2/Supuestos!$D$11^2))),Supuestos!$D$11))))))</f>
        <v/>
      </c>
      <c r="P523" s="33">
        <f>-I523</f>
        <v/>
      </c>
      <c r="Q523" s="33">
        <f>$J523*(1+$K523)^(1-1)*(1-$L523)*(1-$M523)</f>
        <v/>
      </c>
      <c r="R523" s="33">
        <f>$J523*(1+$K523)^(2-1)*(1-$L523)*(1-$M523)</f>
        <v/>
      </c>
      <c r="S523" s="33">
        <f>$J523*(1+$K523)^(3-1)*(1-$L523)*(1-$M523)</f>
        <v/>
      </c>
      <c r="T523" s="33">
        <f>$J523*(1+$K523)^(4-1)*(1-$L523)*(1-$M523)</f>
        <v/>
      </c>
      <c r="U523" s="33">
        <f>$J523*(1+$K523)^(5-1)*(1-$L523)*(1-$M523)+$O523</f>
        <v/>
      </c>
      <c r="V523" s="33">
        <f>P523+NPV($N523,Q523:U523)</f>
        <v/>
      </c>
      <c r="W523" s="32">
        <f>IFERROR(IRR(P523:U523,0.1),"")</f>
        <v/>
      </c>
    </row>
    <row r="524">
      <c r="A524" s="14" t="n">
        <v>520</v>
      </c>
      <c r="B524" s="30">
        <f>RAND()*(1-2E-6)+1E-6</f>
        <v/>
      </c>
      <c r="C524" s="30">
        <f>RAND()*(1-2E-6)+1E-6</f>
        <v/>
      </c>
      <c r="D524" s="30">
        <f>RAND()*(1-2E-6)+1E-6</f>
        <v/>
      </c>
      <c r="E524" s="30">
        <f>RAND()*(1-2E-6)+1E-6</f>
        <v/>
      </c>
      <c r="F524" s="30">
        <f>RAND()*(1-2E-6)+1E-6</f>
        <v/>
      </c>
      <c r="G524" s="30">
        <f>RAND()*(1-2E-6)+1E-6</f>
        <v/>
      </c>
      <c r="H524" s="30">
        <f>RAND()*(1-2E-6)+1E-6</f>
        <v/>
      </c>
      <c r="I524" s="31">
        <f>MIN(IF(Supuestos!$H$5="",1E+99,Supuestos!$H$5),MAX(IF(Supuestos!$G$5="",-1E+99,Supuestos!$G$5),IF(Supuestos!$C$5="Normal",NORMINV(B524,Supuestos!$D$5,Supuestos!$E$5),IF(Supuestos!$C$5="Triangular",IF(B524&lt;(Supuestos!$E$5-Supuestos!$D$5)/(Supuestos!$F$5-Supuestos!$D$5),Supuestos!$D$5+SQRT(B524*(Supuestos!$F$5-Supuestos!$D$5)*(Supuestos!$E$5-Supuestos!$D$5)),Supuestos!$F$5-SQRT((1-B524)*(Supuestos!$F$5-Supuestos!$D$5)*(Supuestos!$F$5-Supuestos!$E$5))),IF(Supuestos!$C$5="Uniforme",Supuestos!$D$5+B524*(Supuestos!$E$5-Supuestos!$D$5),IF(Supuestos!$C$5="Lognormal",LOGINV(B524,LN(Supuestos!$D$5)-LN(1+Supuestos!$E$5^2/Supuestos!$D$5^2)/2,SQRT(LN(1+Supuestos!$E$5^2/Supuestos!$D$5^2))),Supuestos!$D$5))))))</f>
        <v/>
      </c>
      <c r="J524" s="31">
        <f>MIN(IF(Supuestos!$H$6="",1E+99,Supuestos!$H$6),MAX(IF(Supuestos!$G$6="",-1E+99,Supuestos!$G$6),IF(Supuestos!$C$6="Normal",NORMINV(C524,Supuestos!$D$6,Supuestos!$E$6),IF(Supuestos!$C$6="Triangular",IF(C524&lt;(Supuestos!$E$6-Supuestos!$D$6)/(Supuestos!$F$6-Supuestos!$D$6),Supuestos!$D$6+SQRT(C524*(Supuestos!$F$6-Supuestos!$D$6)*(Supuestos!$E$6-Supuestos!$D$6)),Supuestos!$F$6-SQRT((1-C524)*(Supuestos!$F$6-Supuestos!$D$6)*(Supuestos!$F$6-Supuestos!$E$6))),IF(Supuestos!$C$6="Uniforme",Supuestos!$D$6+C524*(Supuestos!$E$6-Supuestos!$D$6),IF(Supuestos!$C$6="Lognormal",LOGINV(C524,LN(Supuestos!$D$6)-LN(1+Supuestos!$E$6^2/Supuestos!$D$6^2)/2,SQRT(LN(1+Supuestos!$E$6^2/Supuestos!$D$6^2))),Supuestos!$D$6))))))</f>
        <v/>
      </c>
      <c r="K524" s="32">
        <f>MIN(IF(Supuestos!$H$7="",1E+99,Supuestos!$H$7),MAX(IF(Supuestos!$G$7="",-1E+99,Supuestos!$G$7),IF(Supuestos!$C$7="Normal",NORMINV(D524,Supuestos!$D$7,Supuestos!$E$7),IF(Supuestos!$C$7="Triangular",IF(D524&lt;(Supuestos!$E$7-Supuestos!$D$7)/(Supuestos!$F$7-Supuestos!$D$7),Supuestos!$D$7+SQRT(D524*(Supuestos!$F$7-Supuestos!$D$7)*(Supuestos!$E$7-Supuestos!$D$7)),Supuestos!$F$7-SQRT((1-D524)*(Supuestos!$F$7-Supuestos!$D$7)*(Supuestos!$F$7-Supuestos!$E$7))),IF(Supuestos!$C$7="Uniforme",Supuestos!$D$7+D524*(Supuestos!$E$7-Supuestos!$D$7),IF(Supuestos!$C$7="Lognormal",LOGINV(D524,LN(Supuestos!$D$7)-LN(1+Supuestos!$E$7^2/Supuestos!$D$7^2)/2,SQRT(LN(1+Supuestos!$E$7^2/Supuestos!$D$7^2))),Supuestos!$D$7))))))</f>
        <v/>
      </c>
      <c r="L524" s="32">
        <f>MIN(IF(Supuestos!$H$8="",1E+99,Supuestos!$H$8),MAX(IF(Supuestos!$G$8="",-1E+99,Supuestos!$G$8),IF(Supuestos!$C$8="Normal",NORMINV(E524,Supuestos!$D$8,Supuestos!$E$8),IF(Supuestos!$C$8="Triangular",IF(E524&lt;(Supuestos!$E$8-Supuestos!$D$8)/(Supuestos!$F$8-Supuestos!$D$8),Supuestos!$D$8+SQRT(E524*(Supuestos!$F$8-Supuestos!$D$8)*(Supuestos!$E$8-Supuestos!$D$8)),Supuestos!$F$8-SQRT((1-E524)*(Supuestos!$F$8-Supuestos!$D$8)*(Supuestos!$F$8-Supuestos!$E$8))),IF(Supuestos!$C$8="Uniforme",Supuestos!$D$8+E524*(Supuestos!$E$8-Supuestos!$D$8),IF(Supuestos!$C$8="Lognormal",LOGINV(E524,LN(Supuestos!$D$8)-LN(1+Supuestos!$E$8^2/Supuestos!$D$8^2)/2,SQRT(LN(1+Supuestos!$E$8^2/Supuestos!$D$8^2))),Supuestos!$D$8))))))</f>
        <v/>
      </c>
      <c r="M524" s="32">
        <f>MIN(IF(Supuestos!$H$9="",1E+99,Supuestos!$H$9),MAX(IF(Supuestos!$G$9="",-1E+99,Supuestos!$G$9),IF(Supuestos!$C$9="Normal",NORMINV(F524,Supuestos!$D$9,Supuestos!$E$9),IF(Supuestos!$C$9="Triangular",IF(F524&lt;(Supuestos!$E$9-Supuestos!$D$9)/(Supuestos!$F$9-Supuestos!$D$9),Supuestos!$D$9+SQRT(F524*(Supuestos!$F$9-Supuestos!$D$9)*(Supuestos!$E$9-Supuestos!$D$9)),Supuestos!$F$9-SQRT((1-F524)*(Supuestos!$F$9-Supuestos!$D$9)*(Supuestos!$F$9-Supuestos!$E$9))),IF(Supuestos!$C$9="Uniforme",Supuestos!$D$9+F524*(Supuestos!$E$9-Supuestos!$D$9),IF(Supuestos!$C$9="Lognormal",LOGINV(F524,LN(Supuestos!$D$9)-LN(1+Supuestos!$E$9^2/Supuestos!$D$9^2)/2,SQRT(LN(1+Supuestos!$E$9^2/Supuestos!$D$9^2))),Supuestos!$D$9))))))</f>
        <v/>
      </c>
      <c r="N524" s="32">
        <f>MIN(IF(Supuestos!$H$10="",1E+99,Supuestos!$H$10),MAX(IF(Supuestos!$G$10="",-1E+99,Supuestos!$G$10),IF(Supuestos!$C$10="Normal",NORMINV(G524,Supuestos!$D$10,Supuestos!$E$10),IF(Supuestos!$C$10="Triangular",IF(G524&lt;(Supuestos!$E$10-Supuestos!$D$10)/(Supuestos!$F$10-Supuestos!$D$10),Supuestos!$D$10+SQRT(G524*(Supuestos!$F$10-Supuestos!$D$10)*(Supuestos!$E$10-Supuestos!$D$10)),Supuestos!$F$10-SQRT((1-G524)*(Supuestos!$F$10-Supuestos!$D$10)*(Supuestos!$F$10-Supuestos!$E$10))),IF(Supuestos!$C$10="Uniforme",Supuestos!$D$10+G524*(Supuestos!$E$10-Supuestos!$D$10),IF(Supuestos!$C$10="Lognormal",LOGINV(G524,LN(Supuestos!$D$10)-LN(1+Supuestos!$E$10^2/Supuestos!$D$10^2)/2,SQRT(LN(1+Supuestos!$E$10^2/Supuestos!$D$10^2))),Supuestos!$D$10))))))</f>
        <v/>
      </c>
      <c r="O524" s="31">
        <f>MIN(IF(Supuestos!$H$11="",1E+99,Supuestos!$H$11),MAX(IF(Supuestos!$G$11="",-1E+99,Supuestos!$G$11),IF(Supuestos!$C$11="Normal",NORMINV(H524,Supuestos!$D$11,Supuestos!$E$11),IF(Supuestos!$C$11="Triangular",IF(H524&lt;(Supuestos!$E$11-Supuestos!$D$11)/(Supuestos!$F$11-Supuestos!$D$11),Supuestos!$D$11+SQRT(H524*(Supuestos!$F$11-Supuestos!$D$11)*(Supuestos!$E$11-Supuestos!$D$11)),Supuestos!$F$11-SQRT((1-H524)*(Supuestos!$F$11-Supuestos!$D$11)*(Supuestos!$F$11-Supuestos!$E$11))),IF(Supuestos!$C$11="Uniforme",Supuestos!$D$11+H524*(Supuestos!$E$11-Supuestos!$D$11),IF(Supuestos!$C$11="Lognormal",LOGINV(H524,LN(Supuestos!$D$11)-LN(1+Supuestos!$E$11^2/Supuestos!$D$11^2)/2,SQRT(LN(1+Supuestos!$E$11^2/Supuestos!$D$11^2))),Supuestos!$D$11))))))</f>
        <v/>
      </c>
      <c r="P524" s="33">
        <f>-I524</f>
        <v/>
      </c>
      <c r="Q524" s="33">
        <f>$J524*(1+$K524)^(1-1)*(1-$L524)*(1-$M524)</f>
        <v/>
      </c>
      <c r="R524" s="33">
        <f>$J524*(1+$K524)^(2-1)*(1-$L524)*(1-$M524)</f>
        <v/>
      </c>
      <c r="S524" s="33">
        <f>$J524*(1+$K524)^(3-1)*(1-$L524)*(1-$M524)</f>
        <v/>
      </c>
      <c r="T524" s="33">
        <f>$J524*(1+$K524)^(4-1)*(1-$L524)*(1-$M524)</f>
        <v/>
      </c>
      <c r="U524" s="33">
        <f>$J524*(1+$K524)^(5-1)*(1-$L524)*(1-$M524)+$O524</f>
        <v/>
      </c>
      <c r="V524" s="33">
        <f>P524+NPV($N524,Q524:U524)</f>
        <v/>
      </c>
      <c r="W524" s="32">
        <f>IFERROR(IRR(P524:U524,0.1),"")</f>
        <v/>
      </c>
    </row>
    <row r="525">
      <c r="A525" s="14" t="n">
        <v>521</v>
      </c>
      <c r="B525" s="30">
        <f>RAND()*(1-2E-6)+1E-6</f>
        <v/>
      </c>
      <c r="C525" s="30">
        <f>RAND()*(1-2E-6)+1E-6</f>
        <v/>
      </c>
      <c r="D525" s="30">
        <f>RAND()*(1-2E-6)+1E-6</f>
        <v/>
      </c>
      <c r="E525" s="30">
        <f>RAND()*(1-2E-6)+1E-6</f>
        <v/>
      </c>
      <c r="F525" s="30">
        <f>RAND()*(1-2E-6)+1E-6</f>
        <v/>
      </c>
      <c r="G525" s="30">
        <f>RAND()*(1-2E-6)+1E-6</f>
        <v/>
      </c>
      <c r="H525" s="30">
        <f>RAND()*(1-2E-6)+1E-6</f>
        <v/>
      </c>
      <c r="I525" s="31">
        <f>MIN(IF(Supuestos!$H$5="",1E+99,Supuestos!$H$5),MAX(IF(Supuestos!$G$5="",-1E+99,Supuestos!$G$5),IF(Supuestos!$C$5="Normal",NORMINV(B525,Supuestos!$D$5,Supuestos!$E$5),IF(Supuestos!$C$5="Triangular",IF(B525&lt;(Supuestos!$E$5-Supuestos!$D$5)/(Supuestos!$F$5-Supuestos!$D$5),Supuestos!$D$5+SQRT(B525*(Supuestos!$F$5-Supuestos!$D$5)*(Supuestos!$E$5-Supuestos!$D$5)),Supuestos!$F$5-SQRT((1-B525)*(Supuestos!$F$5-Supuestos!$D$5)*(Supuestos!$F$5-Supuestos!$E$5))),IF(Supuestos!$C$5="Uniforme",Supuestos!$D$5+B525*(Supuestos!$E$5-Supuestos!$D$5),IF(Supuestos!$C$5="Lognormal",LOGINV(B525,LN(Supuestos!$D$5)-LN(1+Supuestos!$E$5^2/Supuestos!$D$5^2)/2,SQRT(LN(1+Supuestos!$E$5^2/Supuestos!$D$5^2))),Supuestos!$D$5))))))</f>
        <v/>
      </c>
      <c r="J525" s="31">
        <f>MIN(IF(Supuestos!$H$6="",1E+99,Supuestos!$H$6),MAX(IF(Supuestos!$G$6="",-1E+99,Supuestos!$G$6),IF(Supuestos!$C$6="Normal",NORMINV(C525,Supuestos!$D$6,Supuestos!$E$6),IF(Supuestos!$C$6="Triangular",IF(C525&lt;(Supuestos!$E$6-Supuestos!$D$6)/(Supuestos!$F$6-Supuestos!$D$6),Supuestos!$D$6+SQRT(C525*(Supuestos!$F$6-Supuestos!$D$6)*(Supuestos!$E$6-Supuestos!$D$6)),Supuestos!$F$6-SQRT((1-C525)*(Supuestos!$F$6-Supuestos!$D$6)*(Supuestos!$F$6-Supuestos!$E$6))),IF(Supuestos!$C$6="Uniforme",Supuestos!$D$6+C525*(Supuestos!$E$6-Supuestos!$D$6),IF(Supuestos!$C$6="Lognormal",LOGINV(C525,LN(Supuestos!$D$6)-LN(1+Supuestos!$E$6^2/Supuestos!$D$6^2)/2,SQRT(LN(1+Supuestos!$E$6^2/Supuestos!$D$6^2))),Supuestos!$D$6))))))</f>
        <v/>
      </c>
      <c r="K525" s="32">
        <f>MIN(IF(Supuestos!$H$7="",1E+99,Supuestos!$H$7),MAX(IF(Supuestos!$G$7="",-1E+99,Supuestos!$G$7),IF(Supuestos!$C$7="Normal",NORMINV(D525,Supuestos!$D$7,Supuestos!$E$7),IF(Supuestos!$C$7="Triangular",IF(D525&lt;(Supuestos!$E$7-Supuestos!$D$7)/(Supuestos!$F$7-Supuestos!$D$7),Supuestos!$D$7+SQRT(D525*(Supuestos!$F$7-Supuestos!$D$7)*(Supuestos!$E$7-Supuestos!$D$7)),Supuestos!$F$7-SQRT((1-D525)*(Supuestos!$F$7-Supuestos!$D$7)*(Supuestos!$F$7-Supuestos!$E$7))),IF(Supuestos!$C$7="Uniforme",Supuestos!$D$7+D525*(Supuestos!$E$7-Supuestos!$D$7),IF(Supuestos!$C$7="Lognormal",LOGINV(D525,LN(Supuestos!$D$7)-LN(1+Supuestos!$E$7^2/Supuestos!$D$7^2)/2,SQRT(LN(1+Supuestos!$E$7^2/Supuestos!$D$7^2))),Supuestos!$D$7))))))</f>
        <v/>
      </c>
      <c r="L525" s="32">
        <f>MIN(IF(Supuestos!$H$8="",1E+99,Supuestos!$H$8),MAX(IF(Supuestos!$G$8="",-1E+99,Supuestos!$G$8),IF(Supuestos!$C$8="Normal",NORMINV(E525,Supuestos!$D$8,Supuestos!$E$8),IF(Supuestos!$C$8="Triangular",IF(E525&lt;(Supuestos!$E$8-Supuestos!$D$8)/(Supuestos!$F$8-Supuestos!$D$8),Supuestos!$D$8+SQRT(E525*(Supuestos!$F$8-Supuestos!$D$8)*(Supuestos!$E$8-Supuestos!$D$8)),Supuestos!$F$8-SQRT((1-E525)*(Supuestos!$F$8-Supuestos!$D$8)*(Supuestos!$F$8-Supuestos!$E$8))),IF(Supuestos!$C$8="Uniforme",Supuestos!$D$8+E525*(Supuestos!$E$8-Supuestos!$D$8),IF(Supuestos!$C$8="Lognormal",LOGINV(E525,LN(Supuestos!$D$8)-LN(1+Supuestos!$E$8^2/Supuestos!$D$8^2)/2,SQRT(LN(1+Supuestos!$E$8^2/Supuestos!$D$8^2))),Supuestos!$D$8))))))</f>
        <v/>
      </c>
      <c r="M525" s="32">
        <f>MIN(IF(Supuestos!$H$9="",1E+99,Supuestos!$H$9),MAX(IF(Supuestos!$G$9="",-1E+99,Supuestos!$G$9),IF(Supuestos!$C$9="Normal",NORMINV(F525,Supuestos!$D$9,Supuestos!$E$9),IF(Supuestos!$C$9="Triangular",IF(F525&lt;(Supuestos!$E$9-Supuestos!$D$9)/(Supuestos!$F$9-Supuestos!$D$9),Supuestos!$D$9+SQRT(F525*(Supuestos!$F$9-Supuestos!$D$9)*(Supuestos!$E$9-Supuestos!$D$9)),Supuestos!$F$9-SQRT((1-F525)*(Supuestos!$F$9-Supuestos!$D$9)*(Supuestos!$F$9-Supuestos!$E$9))),IF(Supuestos!$C$9="Uniforme",Supuestos!$D$9+F525*(Supuestos!$E$9-Supuestos!$D$9),IF(Supuestos!$C$9="Lognormal",LOGINV(F525,LN(Supuestos!$D$9)-LN(1+Supuestos!$E$9^2/Supuestos!$D$9^2)/2,SQRT(LN(1+Supuestos!$E$9^2/Supuestos!$D$9^2))),Supuestos!$D$9))))))</f>
        <v/>
      </c>
      <c r="N525" s="32">
        <f>MIN(IF(Supuestos!$H$10="",1E+99,Supuestos!$H$10),MAX(IF(Supuestos!$G$10="",-1E+99,Supuestos!$G$10),IF(Supuestos!$C$10="Normal",NORMINV(G525,Supuestos!$D$10,Supuestos!$E$10),IF(Supuestos!$C$10="Triangular",IF(G525&lt;(Supuestos!$E$10-Supuestos!$D$10)/(Supuestos!$F$10-Supuestos!$D$10),Supuestos!$D$10+SQRT(G525*(Supuestos!$F$10-Supuestos!$D$10)*(Supuestos!$E$10-Supuestos!$D$10)),Supuestos!$F$10-SQRT((1-G525)*(Supuestos!$F$10-Supuestos!$D$10)*(Supuestos!$F$10-Supuestos!$E$10))),IF(Supuestos!$C$10="Uniforme",Supuestos!$D$10+G525*(Supuestos!$E$10-Supuestos!$D$10),IF(Supuestos!$C$10="Lognormal",LOGINV(G525,LN(Supuestos!$D$10)-LN(1+Supuestos!$E$10^2/Supuestos!$D$10^2)/2,SQRT(LN(1+Supuestos!$E$10^2/Supuestos!$D$10^2))),Supuestos!$D$10))))))</f>
        <v/>
      </c>
      <c r="O525" s="31">
        <f>MIN(IF(Supuestos!$H$11="",1E+99,Supuestos!$H$11),MAX(IF(Supuestos!$G$11="",-1E+99,Supuestos!$G$11),IF(Supuestos!$C$11="Normal",NORMINV(H525,Supuestos!$D$11,Supuestos!$E$11),IF(Supuestos!$C$11="Triangular",IF(H525&lt;(Supuestos!$E$11-Supuestos!$D$11)/(Supuestos!$F$11-Supuestos!$D$11),Supuestos!$D$11+SQRT(H525*(Supuestos!$F$11-Supuestos!$D$11)*(Supuestos!$E$11-Supuestos!$D$11)),Supuestos!$F$11-SQRT((1-H525)*(Supuestos!$F$11-Supuestos!$D$11)*(Supuestos!$F$11-Supuestos!$E$11))),IF(Supuestos!$C$11="Uniforme",Supuestos!$D$11+H525*(Supuestos!$E$11-Supuestos!$D$11),IF(Supuestos!$C$11="Lognormal",LOGINV(H525,LN(Supuestos!$D$11)-LN(1+Supuestos!$E$11^2/Supuestos!$D$11^2)/2,SQRT(LN(1+Supuestos!$E$11^2/Supuestos!$D$11^2))),Supuestos!$D$11))))))</f>
        <v/>
      </c>
      <c r="P525" s="33">
        <f>-I525</f>
        <v/>
      </c>
      <c r="Q525" s="33">
        <f>$J525*(1+$K525)^(1-1)*(1-$L525)*(1-$M525)</f>
        <v/>
      </c>
      <c r="R525" s="33">
        <f>$J525*(1+$K525)^(2-1)*(1-$L525)*(1-$M525)</f>
        <v/>
      </c>
      <c r="S525" s="33">
        <f>$J525*(1+$K525)^(3-1)*(1-$L525)*(1-$M525)</f>
        <v/>
      </c>
      <c r="T525" s="33">
        <f>$J525*(1+$K525)^(4-1)*(1-$L525)*(1-$M525)</f>
        <v/>
      </c>
      <c r="U525" s="33">
        <f>$J525*(1+$K525)^(5-1)*(1-$L525)*(1-$M525)+$O525</f>
        <v/>
      </c>
      <c r="V525" s="33">
        <f>P525+NPV($N525,Q525:U525)</f>
        <v/>
      </c>
      <c r="W525" s="32">
        <f>IFERROR(IRR(P525:U525,0.1),"")</f>
        <v/>
      </c>
    </row>
    <row r="526">
      <c r="A526" s="14" t="n">
        <v>522</v>
      </c>
      <c r="B526" s="30">
        <f>RAND()*(1-2E-6)+1E-6</f>
        <v/>
      </c>
      <c r="C526" s="30">
        <f>RAND()*(1-2E-6)+1E-6</f>
        <v/>
      </c>
      <c r="D526" s="30">
        <f>RAND()*(1-2E-6)+1E-6</f>
        <v/>
      </c>
      <c r="E526" s="30">
        <f>RAND()*(1-2E-6)+1E-6</f>
        <v/>
      </c>
      <c r="F526" s="30">
        <f>RAND()*(1-2E-6)+1E-6</f>
        <v/>
      </c>
      <c r="G526" s="30">
        <f>RAND()*(1-2E-6)+1E-6</f>
        <v/>
      </c>
      <c r="H526" s="30">
        <f>RAND()*(1-2E-6)+1E-6</f>
        <v/>
      </c>
      <c r="I526" s="31">
        <f>MIN(IF(Supuestos!$H$5="",1E+99,Supuestos!$H$5),MAX(IF(Supuestos!$G$5="",-1E+99,Supuestos!$G$5),IF(Supuestos!$C$5="Normal",NORMINV(B526,Supuestos!$D$5,Supuestos!$E$5),IF(Supuestos!$C$5="Triangular",IF(B526&lt;(Supuestos!$E$5-Supuestos!$D$5)/(Supuestos!$F$5-Supuestos!$D$5),Supuestos!$D$5+SQRT(B526*(Supuestos!$F$5-Supuestos!$D$5)*(Supuestos!$E$5-Supuestos!$D$5)),Supuestos!$F$5-SQRT((1-B526)*(Supuestos!$F$5-Supuestos!$D$5)*(Supuestos!$F$5-Supuestos!$E$5))),IF(Supuestos!$C$5="Uniforme",Supuestos!$D$5+B526*(Supuestos!$E$5-Supuestos!$D$5),IF(Supuestos!$C$5="Lognormal",LOGINV(B526,LN(Supuestos!$D$5)-LN(1+Supuestos!$E$5^2/Supuestos!$D$5^2)/2,SQRT(LN(1+Supuestos!$E$5^2/Supuestos!$D$5^2))),Supuestos!$D$5))))))</f>
        <v/>
      </c>
      <c r="J526" s="31">
        <f>MIN(IF(Supuestos!$H$6="",1E+99,Supuestos!$H$6),MAX(IF(Supuestos!$G$6="",-1E+99,Supuestos!$G$6),IF(Supuestos!$C$6="Normal",NORMINV(C526,Supuestos!$D$6,Supuestos!$E$6),IF(Supuestos!$C$6="Triangular",IF(C526&lt;(Supuestos!$E$6-Supuestos!$D$6)/(Supuestos!$F$6-Supuestos!$D$6),Supuestos!$D$6+SQRT(C526*(Supuestos!$F$6-Supuestos!$D$6)*(Supuestos!$E$6-Supuestos!$D$6)),Supuestos!$F$6-SQRT((1-C526)*(Supuestos!$F$6-Supuestos!$D$6)*(Supuestos!$F$6-Supuestos!$E$6))),IF(Supuestos!$C$6="Uniforme",Supuestos!$D$6+C526*(Supuestos!$E$6-Supuestos!$D$6),IF(Supuestos!$C$6="Lognormal",LOGINV(C526,LN(Supuestos!$D$6)-LN(1+Supuestos!$E$6^2/Supuestos!$D$6^2)/2,SQRT(LN(1+Supuestos!$E$6^2/Supuestos!$D$6^2))),Supuestos!$D$6))))))</f>
        <v/>
      </c>
      <c r="K526" s="32">
        <f>MIN(IF(Supuestos!$H$7="",1E+99,Supuestos!$H$7),MAX(IF(Supuestos!$G$7="",-1E+99,Supuestos!$G$7),IF(Supuestos!$C$7="Normal",NORMINV(D526,Supuestos!$D$7,Supuestos!$E$7),IF(Supuestos!$C$7="Triangular",IF(D526&lt;(Supuestos!$E$7-Supuestos!$D$7)/(Supuestos!$F$7-Supuestos!$D$7),Supuestos!$D$7+SQRT(D526*(Supuestos!$F$7-Supuestos!$D$7)*(Supuestos!$E$7-Supuestos!$D$7)),Supuestos!$F$7-SQRT((1-D526)*(Supuestos!$F$7-Supuestos!$D$7)*(Supuestos!$F$7-Supuestos!$E$7))),IF(Supuestos!$C$7="Uniforme",Supuestos!$D$7+D526*(Supuestos!$E$7-Supuestos!$D$7),IF(Supuestos!$C$7="Lognormal",LOGINV(D526,LN(Supuestos!$D$7)-LN(1+Supuestos!$E$7^2/Supuestos!$D$7^2)/2,SQRT(LN(1+Supuestos!$E$7^2/Supuestos!$D$7^2))),Supuestos!$D$7))))))</f>
        <v/>
      </c>
      <c r="L526" s="32">
        <f>MIN(IF(Supuestos!$H$8="",1E+99,Supuestos!$H$8),MAX(IF(Supuestos!$G$8="",-1E+99,Supuestos!$G$8),IF(Supuestos!$C$8="Normal",NORMINV(E526,Supuestos!$D$8,Supuestos!$E$8),IF(Supuestos!$C$8="Triangular",IF(E526&lt;(Supuestos!$E$8-Supuestos!$D$8)/(Supuestos!$F$8-Supuestos!$D$8),Supuestos!$D$8+SQRT(E526*(Supuestos!$F$8-Supuestos!$D$8)*(Supuestos!$E$8-Supuestos!$D$8)),Supuestos!$F$8-SQRT((1-E526)*(Supuestos!$F$8-Supuestos!$D$8)*(Supuestos!$F$8-Supuestos!$E$8))),IF(Supuestos!$C$8="Uniforme",Supuestos!$D$8+E526*(Supuestos!$E$8-Supuestos!$D$8),IF(Supuestos!$C$8="Lognormal",LOGINV(E526,LN(Supuestos!$D$8)-LN(1+Supuestos!$E$8^2/Supuestos!$D$8^2)/2,SQRT(LN(1+Supuestos!$E$8^2/Supuestos!$D$8^2))),Supuestos!$D$8))))))</f>
        <v/>
      </c>
      <c r="M526" s="32">
        <f>MIN(IF(Supuestos!$H$9="",1E+99,Supuestos!$H$9),MAX(IF(Supuestos!$G$9="",-1E+99,Supuestos!$G$9),IF(Supuestos!$C$9="Normal",NORMINV(F526,Supuestos!$D$9,Supuestos!$E$9),IF(Supuestos!$C$9="Triangular",IF(F526&lt;(Supuestos!$E$9-Supuestos!$D$9)/(Supuestos!$F$9-Supuestos!$D$9),Supuestos!$D$9+SQRT(F526*(Supuestos!$F$9-Supuestos!$D$9)*(Supuestos!$E$9-Supuestos!$D$9)),Supuestos!$F$9-SQRT((1-F526)*(Supuestos!$F$9-Supuestos!$D$9)*(Supuestos!$F$9-Supuestos!$E$9))),IF(Supuestos!$C$9="Uniforme",Supuestos!$D$9+F526*(Supuestos!$E$9-Supuestos!$D$9),IF(Supuestos!$C$9="Lognormal",LOGINV(F526,LN(Supuestos!$D$9)-LN(1+Supuestos!$E$9^2/Supuestos!$D$9^2)/2,SQRT(LN(1+Supuestos!$E$9^2/Supuestos!$D$9^2))),Supuestos!$D$9))))))</f>
        <v/>
      </c>
      <c r="N526" s="32">
        <f>MIN(IF(Supuestos!$H$10="",1E+99,Supuestos!$H$10),MAX(IF(Supuestos!$G$10="",-1E+99,Supuestos!$G$10),IF(Supuestos!$C$10="Normal",NORMINV(G526,Supuestos!$D$10,Supuestos!$E$10),IF(Supuestos!$C$10="Triangular",IF(G526&lt;(Supuestos!$E$10-Supuestos!$D$10)/(Supuestos!$F$10-Supuestos!$D$10),Supuestos!$D$10+SQRT(G526*(Supuestos!$F$10-Supuestos!$D$10)*(Supuestos!$E$10-Supuestos!$D$10)),Supuestos!$F$10-SQRT((1-G526)*(Supuestos!$F$10-Supuestos!$D$10)*(Supuestos!$F$10-Supuestos!$E$10))),IF(Supuestos!$C$10="Uniforme",Supuestos!$D$10+G526*(Supuestos!$E$10-Supuestos!$D$10),IF(Supuestos!$C$10="Lognormal",LOGINV(G526,LN(Supuestos!$D$10)-LN(1+Supuestos!$E$10^2/Supuestos!$D$10^2)/2,SQRT(LN(1+Supuestos!$E$10^2/Supuestos!$D$10^2))),Supuestos!$D$10))))))</f>
        <v/>
      </c>
      <c r="O526" s="31">
        <f>MIN(IF(Supuestos!$H$11="",1E+99,Supuestos!$H$11),MAX(IF(Supuestos!$G$11="",-1E+99,Supuestos!$G$11),IF(Supuestos!$C$11="Normal",NORMINV(H526,Supuestos!$D$11,Supuestos!$E$11),IF(Supuestos!$C$11="Triangular",IF(H526&lt;(Supuestos!$E$11-Supuestos!$D$11)/(Supuestos!$F$11-Supuestos!$D$11),Supuestos!$D$11+SQRT(H526*(Supuestos!$F$11-Supuestos!$D$11)*(Supuestos!$E$11-Supuestos!$D$11)),Supuestos!$F$11-SQRT((1-H526)*(Supuestos!$F$11-Supuestos!$D$11)*(Supuestos!$F$11-Supuestos!$E$11))),IF(Supuestos!$C$11="Uniforme",Supuestos!$D$11+H526*(Supuestos!$E$11-Supuestos!$D$11),IF(Supuestos!$C$11="Lognormal",LOGINV(H526,LN(Supuestos!$D$11)-LN(1+Supuestos!$E$11^2/Supuestos!$D$11^2)/2,SQRT(LN(1+Supuestos!$E$11^2/Supuestos!$D$11^2))),Supuestos!$D$11))))))</f>
        <v/>
      </c>
      <c r="P526" s="33">
        <f>-I526</f>
        <v/>
      </c>
      <c r="Q526" s="33">
        <f>$J526*(1+$K526)^(1-1)*(1-$L526)*(1-$M526)</f>
        <v/>
      </c>
      <c r="R526" s="33">
        <f>$J526*(1+$K526)^(2-1)*(1-$L526)*(1-$M526)</f>
        <v/>
      </c>
      <c r="S526" s="33">
        <f>$J526*(1+$K526)^(3-1)*(1-$L526)*(1-$M526)</f>
        <v/>
      </c>
      <c r="T526" s="33">
        <f>$J526*(1+$K526)^(4-1)*(1-$L526)*(1-$M526)</f>
        <v/>
      </c>
      <c r="U526" s="33">
        <f>$J526*(1+$K526)^(5-1)*(1-$L526)*(1-$M526)+$O526</f>
        <v/>
      </c>
      <c r="V526" s="33">
        <f>P526+NPV($N526,Q526:U526)</f>
        <v/>
      </c>
      <c r="W526" s="32">
        <f>IFERROR(IRR(P526:U526,0.1),"")</f>
        <v/>
      </c>
    </row>
    <row r="527">
      <c r="A527" s="14" t="n">
        <v>523</v>
      </c>
      <c r="B527" s="30">
        <f>RAND()*(1-2E-6)+1E-6</f>
        <v/>
      </c>
      <c r="C527" s="30">
        <f>RAND()*(1-2E-6)+1E-6</f>
        <v/>
      </c>
      <c r="D527" s="30">
        <f>RAND()*(1-2E-6)+1E-6</f>
        <v/>
      </c>
      <c r="E527" s="30">
        <f>RAND()*(1-2E-6)+1E-6</f>
        <v/>
      </c>
      <c r="F527" s="30">
        <f>RAND()*(1-2E-6)+1E-6</f>
        <v/>
      </c>
      <c r="G527" s="30">
        <f>RAND()*(1-2E-6)+1E-6</f>
        <v/>
      </c>
      <c r="H527" s="30">
        <f>RAND()*(1-2E-6)+1E-6</f>
        <v/>
      </c>
      <c r="I527" s="31">
        <f>MIN(IF(Supuestos!$H$5="",1E+99,Supuestos!$H$5),MAX(IF(Supuestos!$G$5="",-1E+99,Supuestos!$G$5),IF(Supuestos!$C$5="Normal",NORMINV(B527,Supuestos!$D$5,Supuestos!$E$5),IF(Supuestos!$C$5="Triangular",IF(B527&lt;(Supuestos!$E$5-Supuestos!$D$5)/(Supuestos!$F$5-Supuestos!$D$5),Supuestos!$D$5+SQRT(B527*(Supuestos!$F$5-Supuestos!$D$5)*(Supuestos!$E$5-Supuestos!$D$5)),Supuestos!$F$5-SQRT((1-B527)*(Supuestos!$F$5-Supuestos!$D$5)*(Supuestos!$F$5-Supuestos!$E$5))),IF(Supuestos!$C$5="Uniforme",Supuestos!$D$5+B527*(Supuestos!$E$5-Supuestos!$D$5),IF(Supuestos!$C$5="Lognormal",LOGINV(B527,LN(Supuestos!$D$5)-LN(1+Supuestos!$E$5^2/Supuestos!$D$5^2)/2,SQRT(LN(1+Supuestos!$E$5^2/Supuestos!$D$5^2))),Supuestos!$D$5))))))</f>
        <v/>
      </c>
      <c r="J527" s="31">
        <f>MIN(IF(Supuestos!$H$6="",1E+99,Supuestos!$H$6),MAX(IF(Supuestos!$G$6="",-1E+99,Supuestos!$G$6),IF(Supuestos!$C$6="Normal",NORMINV(C527,Supuestos!$D$6,Supuestos!$E$6),IF(Supuestos!$C$6="Triangular",IF(C527&lt;(Supuestos!$E$6-Supuestos!$D$6)/(Supuestos!$F$6-Supuestos!$D$6),Supuestos!$D$6+SQRT(C527*(Supuestos!$F$6-Supuestos!$D$6)*(Supuestos!$E$6-Supuestos!$D$6)),Supuestos!$F$6-SQRT((1-C527)*(Supuestos!$F$6-Supuestos!$D$6)*(Supuestos!$F$6-Supuestos!$E$6))),IF(Supuestos!$C$6="Uniforme",Supuestos!$D$6+C527*(Supuestos!$E$6-Supuestos!$D$6),IF(Supuestos!$C$6="Lognormal",LOGINV(C527,LN(Supuestos!$D$6)-LN(1+Supuestos!$E$6^2/Supuestos!$D$6^2)/2,SQRT(LN(1+Supuestos!$E$6^2/Supuestos!$D$6^2))),Supuestos!$D$6))))))</f>
        <v/>
      </c>
      <c r="K527" s="32">
        <f>MIN(IF(Supuestos!$H$7="",1E+99,Supuestos!$H$7),MAX(IF(Supuestos!$G$7="",-1E+99,Supuestos!$G$7),IF(Supuestos!$C$7="Normal",NORMINV(D527,Supuestos!$D$7,Supuestos!$E$7),IF(Supuestos!$C$7="Triangular",IF(D527&lt;(Supuestos!$E$7-Supuestos!$D$7)/(Supuestos!$F$7-Supuestos!$D$7),Supuestos!$D$7+SQRT(D527*(Supuestos!$F$7-Supuestos!$D$7)*(Supuestos!$E$7-Supuestos!$D$7)),Supuestos!$F$7-SQRT((1-D527)*(Supuestos!$F$7-Supuestos!$D$7)*(Supuestos!$F$7-Supuestos!$E$7))),IF(Supuestos!$C$7="Uniforme",Supuestos!$D$7+D527*(Supuestos!$E$7-Supuestos!$D$7),IF(Supuestos!$C$7="Lognormal",LOGINV(D527,LN(Supuestos!$D$7)-LN(1+Supuestos!$E$7^2/Supuestos!$D$7^2)/2,SQRT(LN(1+Supuestos!$E$7^2/Supuestos!$D$7^2))),Supuestos!$D$7))))))</f>
        <v/>
      </c>
      <c r="L527" s="32">
        <f>MIN(IF(Supuestos!$H$8="",1E+99,Supuestos!$H$8),MAX(IF(Supuestos!$G$8="",-1E+99,Supuestos!$G$8),IF(Supuestos!$C$8="Normal",NORMINV(E527,Supuestos!$D$8,Supuestos!$E$8),IF(Supuestos!$C$8="Triangular",IF(E527&lt;(Supuestos!$E$8-Supuestos!$D$8)/(Supuestos!$F$8-Supuestos!$D$8),Supuestos!$D$8+SQRT(E527*(Supuestos!$F$8-Supuestos!$D$8)*(Supuestos!$E$8-Supuestos!$D$8)),Supuestos!$F$8-SQRT((1-E527)*(Supuestos!$F$8-Supuestos!$D$8)*(Supuestos!$F$8-Supuestos!$E$8))),IF(Supuestos!$C$8="Uniforme",Supuestos!$D$8+E527*(Supuestos!$E$8-Supuestos!$D$8),IF(Supuestos!$C$8="Lognormal",LOGINV(E527,LN(Supuestos!$D$8)-LN(1+Supuestos!$E$8^2/Supuestos!$D$8^2)/2,SQRT(LN(1+Supuestos!$E$8^2/Supuestos!$D$8^2))),Supuestos!$D$8))))))</f>
        <v/>
      </c>
      <c r="M527" s="32">
        <f>MIN(IF(Supuestos!$H$9="",1E+99,Supuestos!$H$9),MAX(IF(Supuestos!$G$9="",-1E+99,Supuestos!$G$9),IF(Supuestos!$C$9="Normal",NORMINV(F527,Supuestos!$D$9,Supuestos!$E$9),IF(Supuestos!$C$9="Triangular",IF(F527&lt;(Supuestos!$E$9-Supuestos!$D$9)/(Supuestos!$F$9-Supuestos!$D$9),Supuestos!$D$9+SQRT(F527*(Supuestos!$F$9-Supuestos!$D$9)*(Supuestos!$E$9-Supuestos!$D$9)),Supuestos!$F$9-SQRT((1-F527)*(Supuestos!$F$9-Supuestos!$D$9)*(Supuestos!$F$9-Supuestos!$E$9))),IF(Supuestos!$C$9="Uniforme",Supuestos!$D$9+F527*(Supuestos!$E$9-Supuestos!$D$9),IF(Supuestos!$C$9="Lognormal",LOGINV(F527,LN(Supuestos!$D$9)-LN(1+Supuestos!$E$9^2/Supuestos!$D$9^2)/2,SQRT(LN(1+Supuestos!$E$9^2/Supuestos!$D$9^2))),Supuestos!$D$9))))))</f>
        <v/>
      </c>
      <c r="N527" s="32">
        <f>MIN(IF(Supuestos!$H$10="",1E+99,Supuestos!$H$10),MAX(IF(Supuestos!$G$10="",-1E+99,Supuestos!$G$10),IF(Supuestos!$C$10="Normal",NORMINV(G527,Supuestos!$D$10,Supuestos!$E$10),IF(Supuestos!$C$10="Triangular",IF(G527&lt;(Supuestos!$E$10-Supuestos!$D$10)/(Supuestos!$F$10-Supuestos!$D$10),Supuestos!$D$10+SQRT(G527*(Supuestos!$F$10-Supuestos!$D$10)*(Supuestos!$E$10-Supuestos!$D$10)),Supuestos!$F$10-SQRT((1-G527)*(Supuestos!$F$10-Supuestos!$D$10)*(Supuestos!$F$10-Supuestos!$E$10))),IF(Supuestos!$C$10="Uniforme",Supuestos!$D$10+G527*(Supuestos!$E$10-Supuestos!$D$10),IF(Supuestos!$C$10="Lognormal",LOGINV(G527,LN(Supuestos!$D$10)-LN(1+Supuestos!$E$10^2/Supuestos!$D$10^2)/2,SQRT(LN(1+Supuestos!$E$10^2/Supuestos!$D$10^2))),Supuestos!$D$10))))))</f>
        <v/>
      </c>
      <c r="O527" s="31">
        <f>MIN(IF(Supuestos!$H$11="",1E+99,Supuestos!$H$11),MAX(IF(Supuestos!$G$11="",-1E+99,Supuestos!$G$11),IF(Supuestos!$C$11="Normal",NORMINV(H527,Supuestos!$D$11,Supuestos!$E$11),IF(Supuestos!$C$11="Triangular",IF(H527&lt;(Supuestos!$E$11-Supuestos!$D$11)/(Supuestos!$F$11-Supuestos!$D$11),Supuestos!$D$11+SQRT(H527*(Supuestos!$F$11-Supuestos!$D$11)*(Supuestos!$E$11-Supuestos!$D$11)),Supuestos!$F$11-SQRT((1-H527)*(Supuestos!$F$11-Supuestos!$D$11)*(Supuestos!$F$11-Supuestos!$E$11))),IF(Supuestos!$C$11="Uniforme",Supuestos!$D$11+H527*(Supuestos!$E$11-Supuestos!$D$11),IF(Supuestos!$C$11="Lognormal",LOGINV(H527,LN(Supuestos!$D$11)-LN(1+Supuestos!$E$11^2/Supuestos!$D$11^2)/2,SQRT(LN(1+Supuestos!$E$11^2/Supuestos!$D$11^2))),Supuestos!$D$11))))))</f>
        <v/>
      </c>
      <c r="P527" s="33">
        <f>-I527</f>
        <v/>
      </c>
      <c r="Q527" s="33">
        <f>$J527*(1+$K527)^(1-1)*(1-$L527)*(1-$M527)</f>
        <v/>
      </c>
      <c r="R527" s="33">
        <f>$J527*(1+$K527)^(2-1)*(1-$L527)*(1-$M527)</f>
        <v/>
      </c>
      <c r="S527" s="33">
        <f>$J527*(1+$K527)^(3-1)*(1-$L527)*(1-$M527)</f>
        <v/>
      </c>
      <c r="T527" s="33">
        <f>$J527*(1+$K527)^(4-1)*(1-$L527)*(1-$M527)</f>
        <v/>
      </c>
      <c r="U527" s="33">
        <f>$J527*(1+$K527)^(5-1)*(1-$L527)*(1-$M527)+$O527</f>
        <v/>
      </c>
      <c r="V527" s="33">
        <f>P527+NPV($N527,Q527:U527)</f>
        <v/>
      </c>
      <c r="W527" s="32">
        <f>IFERROR(IRR(P527:U527,0.1),"")</f>
        <v/>
      </c>
    </row>
    <row r="528">
      <c r="A528" s="14" t="n">
        <v>524</v>
      </c>
      <c r="B528" s="30">
        <f>RAND()*(1-2E-6)+1E-6</f>
        <v/>
      </c>
      <c r="C528" s="30">
        <f>RAND()*(1-2E-6)+1E-6</f>
        <v/>
      </c>
      <c r="D528" s="30">
        <f>RAND()*(1-2E-6)+1E-6</f>
        <v/>
      </c>
      <c r="E528" s="30">
        <f>RAND()*(1-2E-6)+1E-6</f>
        <v/>
      </c>
      <c r="F528" s="30">
        <f>RAND()*(1-2E-6)+1E-6</f>
        <v/>
      </c>
      <c r="G528" s="30">
        <f>RAND()*(1-2E-6)+1E-6</f>
        <v/>
      </c>
      <c r="H528" s="30">
        <f>RAND()*(1-2E-6)+1E-6</f>
        <v/>
      </c>
      <c r="I528" s="31">
        <f>MIN(IF(Supuestos!$H$5="",1E+99,Supuestos!$H$5),MAX(IF(Supuestos!$G$5="",-1E+99,Supuestos!$G$5),IF(Supuestos!$C$5="Normal",NORMINV(B528,Supuestos!$D$5,Supuestos!$E$5),IF(Supuestos!$C$5="Triangular",IF(B528&lt;(Supuestos!$E$5-Supuestos!$D$5)/(Supuestos!$F$5-Supuestos!$D$5),Supuestos!$D$5+SQRT(B528*(Supuestos!$F$5-Supuestos!$D$5)*(Supuestos!$E$5-Supuestos!$D$5)),Supuestos!$F$5-SQRT((1-B528)*(Supuestos!$F$5-Supuestos!$D$5)*(Supuestos!$F$5-Supuestos!$E$5))),IF(Supuestos!$C$5="Uniforme",Supuestos!$D$5+B528*(Supuestos!$E$5-Supuestos!$D$5),IF(Supuestos!$C$5="Lognormal",LOGINV(B528,LN(Supuestos!$D$5)-LN(1+Supuestos!$E$5^2/Supuestos!$D$5^2)/2,SQRT(LN(1+Supuestos!$E$5^2/Supuestos!$D$5^2))),Supuestos!$D$5))))))</f>
        <v/>
      </c>
      <c r="J528" s="31">
        <f>MIN(IF(Supuestos!$H$6="",1E+99,Supuestos!$H$6),MAX(IF(Supuestos!$G$6="",-1E+99,Supuestos!$G$6),IF(Supuestos!$C$6="Normal",NORMINV(C528,Supuestos!$D$6,Supuestos!$E$6),IF(Supuestos!$C$6="Triangular",IF(C528&lt;(Supuestos!$E$6-Supuestos!$D$6)/(Supuestos!$F$6-Supuestos!$D$6),Supuestos!$D$6+SQRT(C528*(Supuestos!$F$6-Supuestos!$D$6)*(Supuestos!$E$6-Supuestos!$D$6)),Supuestos!$F$6-SQRT((1-C528)*(Supuestos!$F$6-Supuestos!$D$6)*(Supuestos!$F$6-Supuestos!$E$6))),IF(Supuestos!$C$6="Uniforme",Supuestos!$D$6+C528*(Supuestos!$E$6-Supuestos!$D$6),IF(Supuestos!$C$6="Lognormal",LOGINV(C528,LN(Supuestos!$D$6)-LN(1+Supuestos!$E$6^2/Supuestos!$D$6^2)/2,SQRT(LN(1+Supuestos!$E$6^2/Supuestos!$D$6^2))),Supuestos!$D$6))))))</f>
        <v/>
      </c>
      <c r="K528" s="32">
        <f>MIN(IF(Supuestos!$H$7="",1E+99,Supuestos!$H$7),MAX(IF(Supuestos!$G$7="",-1E+99,Supuestos!$G$7),IF(Supuestos!$C$7="Normal",NORMINV(D528,Supuestos!$D$7,Supuestos!$E$7),IF(Supuestos!$C$7="Triangular",IF(D528&lt;(Supuestos!$E$7-Supuestos!$D$7)/(Supuestos!$F$7-Supuestos!$D$7),Supuestos!$D$7+SQRT(D528*(Supuestos!$F$7-Supuestos!$D$7)*(Supuestos!$E$7-Supuestos!$D$7)),Supuestos!$F$7-SQRT((1-D528)*(Supuestos!$F$7-Supuestos!$D$7)*(Supuestos!$F$7-Supuestos!$E$7))),IF(Supuestos!$C$7="Uniforme",Supuestos!$D$7+D528*(Supuestos!$E$7-Supuestos!$D$7),IF(Supuestos!$C$7="Lognormal",LOGINV(D528,LN(Supuestos!$D$7)-LN(1+Supuestos!$E$7^2/Supuestos!$D$7^2)/2,SQRT(LN(1+Supuestos!$E$7^2/Supuestos!$D$7^2))),Supuestos!$D$7))))))</f>
        <v/>
      </c>
      <c r="L528" s="32">
        <f>MIN(IF(Supuestos!$H$8="",1E+99,Supuestos!$H$8),MAX(IF(Supuestos!$G$8="",-1E+99,Supuestos!$G$8),IF(Supuestos!$C$8="Normal",NORMINV(E528,Supuestos!$D$8,Supuestos!$E$8),IF(Supuestos!$C$8="Triangular",IF(E528&lt;(Supuestos!$E$8-Supuestos!$D$8)/(Supuestos!$F$8-Supuestos!$D$8),Supuestos!$D$8+SQRT(E528*(Supuestos!$F$8-Supuestos!$D$8)*(Supuestos!$E$8-Supuestos!$D$8)),Supuestos!$F$8-SQRT((1-E528)*(Supuestos!$F$8-Supuestos!$D$8)*(Supuestos!$F$8-Supuestos!$E$8))),IF(Supuestos!$C$8="Uniforme",Supuestos!$D$8+E528*(Supuestos!$E$8-Supuestos!$D$8),IF(Supuestos!$C$8="Lognormal",LOGINV(E528,LN(Supuestos!$D$8)-LN(1+Supuestos!$E$8^2/Supuestos!$D$8^2)/2,SQRT(LN(1+Supuestos!$E$8^2/Supuestos!$D$8^2))),Supuestos!$D$8))))))</f>
        <v/>
      </c>
      <c r="M528" s="32">
        <f>MIN(IF(Supuestos!$H$9="",1E+99,Supuestos!$H$9),MAX(IF(Supuestos!$G$9="",-1E+99,Supuestos!$G$9),IF(Supuestos!$C$9="Normal",NORMINV(F528,Supuestos!$D$9,Supuestos!$E$9),IF(Supuestos!$C$9="Triangular",IF(F528&lt;(Supuestos!$E$9-Supuestos!$D$9)/(Supuestos!$F$9-Supuestos!$D$9),Supuestos!$D$9+SQRT(F528*(Supuestos!$F$9-Supuestos!$D$9)*(Supuestos!$E$9-Supuestos!$D$9)),Supuestos!$F$9-SQRT((1-F528)*(Supuestos!$F$9-Supuestos!$D$9)*(Supuestos!$F$9-Supuestos!$E$9))),IF(Supuestos!$C$9="Uniforme",Supuestos!$D$9+F528*(Supuestos!$E$9-Supuestos!$D$9),IF(Supuestos!$C$9="Lognormal",LOGINV(F528,LN(Supuestos!$D$9)-LN(1+Supuestos!$E$9^2/Supuestos!$D$9^2)/2,SQRT(LN(1+Supuestos!$E$9^2/Supuestos!$D$9^2))),Supuestos!$D$9))))))</f>
        <v/>
      </c>
      <c r="N528" s="32">
        <f>MIN(IF(Supuestos!$H$10="",1E+99,Supuestos!$H$10),MAX(IF(Supuestos!$G$10="",-1E+99,Supuestos!$G$10),IF(Supuestos!$C$10="Normal",NORMINV(G528,Supuestos!$D$10,Supuestos!$E$10),IF(Supuestos!$C$10="Triangular",IF(G528&lt;(Supuestos!$E$10-Supuestos!$D$10)/(Supuestos!$F$10-Supuestos!$D$10),Supuestos!$D$10+SQRT(G528*(Supuestos!$F$10-Supuestos!$D$10)*(Supuestos!$E$10-Supuestos!$D$10)),Supuestos!$F$10-SQRT((1-G528)*(Supuestos!$F$10-Supuestos!$D$10)*(Supuestos!$F$10-Supuestos!$E$10))),IF(Supuestos!$C$10="Uniforme",Supuestos!$D$10+G528*(Supuestos!$E$10-Supuestos!$D$10),IF(Supuestos!$C$10="Lognormal",LOGINV(G528,LN(Supuestos!$D$10)-LN(1+Supuestos!$E$10^2/Supuestos!$D$10^2)/2,SQRT(LN(1+Supuestos!$E$10^2/Supuestos!$D$10^2))),Supuestos!$D$10))))))</f>
        <v/>
      </c>
      <c r="O528" s="31">
        <f>MIN(IF(Supuestos!$H$11="",1E+99,Supuestos!$H$11),MAX(IF(Supuestos!$G$11="",-1E+99,Supuestos!$G$11),IF(Supuestos!$C$11="Normal",NORMINV(H528,Supuestos!$D$11,Supuestos!$E$11),IF(Supuestos!$C$11="Triangular",IF(H528&lt;(Supuestos!$E$11-Supuestos!$D$11)/(Supuestos!$F$11-Supuestos!$D$11),Supuestos!$D$11+SQRT(H528*(Supuestos!$F$11-Supuestos!$D$11)*(Supuestos!$E$11-Supuestos!$D$11)),Supuestos!$F$11-SQRT((1-H528)*(Supuestos!$F$11-Supuestos!$D$11)*(Supuestos!$F$11-Supuestos!$E$11))),IF(Supuestos!$C$11="Uniforme",Supuestos!$D$11+H528*(Supuestos!$E$11-Supuestos!$D$11),IF(Supuestos!$C$11="Lognormal",LOGINV(H528,LN(Supuestos!$D$11)-LN(1+Supuestos!$E$11^2/Supuestos!$D$11^2)/2,SQRT(LN(1+Supuestos!$E$11^2/Supuestos!$D$11^2))),Supuestos!$D$11))))))</f>
        <v/>
      </c>
      <c r="P528" s="33">
        <f>-I528</f>
        <v/>
      </c>
      <c r="Q528" s="33">
        <f>$J528*(1+$K528)^(1-1)*(1-$L528)*(1-$M528)</f>
        <v/>
      </c>
      <c r="R528" s="33">
        <f>$J528*(1+$K528)^(2-1)*(1-$L528)*(1-$M528)</f>
        <v/>
      </c>
      <c r="S528" s="33">
        <f>$J528*(1+$K528)^(3-1)*(1-$L528)*(1-$M528)</f>
        <v/>
      </c>
      <c r="T528" s="33">
        <f>$J528*(1+$K528)^(4-1)*(1-$L528)*(1-$M528)</f>
        <v/>
      </c>
      <c r="U528" s="33">
        <f>$J528*(1+$K528)^(5-1)*(1-$L528)*(1-$M528)+$O528</f>
        <v/>
      </c>
      <c r="V528" s="33">
        <f>P528+NPV($N528,Q528:U528)</f>
        <v/>
      </c>
      <c r="W528" s="32">
        <f>IFERROR(IRR(P528:U528,0.1),"")</f>
        <v/>
      </c>
    </row>
    <row r="529">
      <c r="A529" s="14" t="n">
        <v>525</v>
      </c>
      <c r="B529" s="30">
        <f>RAND()*(1-2E-6)+1E-6</f>
        <v/>
      </c>
      <c r="C529" s="30">
        <f>RAND()*(1-2E-6)+1E-6</f>
        <v/>
      </c>
      <c r="D529" s="30">
        <f>RAND()*(1-2E-6)+1E-6</f>
        <v/>
      </c>
      <c r="E529" s="30">
        <f>RAND()*(1-2E-6)+1E-6</f>
        <v/>
      </c>
      <c r="F529" s="30">
        <f>RAND()*(1-2E-6)+1E-6</f>
        <v/>
      </c>
      <c r="G529" s="30">
        <f>RAND()*(1-2E-6)+1E-6</f>
        <v/>
      </c>
      <c r="H529" s="30">
        <f>RAND()*(1-2E-6)+1E-6</f>
        <v/>
      </c>
      <c r="I529" s="31">
        <f>MIN(IF(Supuestos!$H$5="",1E+99,Supuestos!$H$5),MAX(IF(Supuestos!$G$5="",-1E+99,Supuestos!$G$5),IF(Supuestos!$C$5="Normal",NORMINV(B529,Supuestos!$D$5,Supuestos!$E$5),IF(Supuestos!$C$5="Triangular",IF(B529&lt;(Supuestos!$E$5-Supuestos!$D$5)/(Supuestos!$F$5-Supuestos!$D$5),Supuestos!$D$5+SQRT(B529*(Supuestos!$F$5-Supuestos!$D$5)*(Supuestos!$E$5-Supuestos!$D$5)),Supuestos!$F$5-SQRT((1-B529)*(Supuestos!$F$5-Supuestos!$D$5)*(Supuestos!$F$5-Supuestos!$E$5))),IF(Supuestos!$C$5="Uniforme",Supuestos!$D$5+B529*(Supuestos!$E$5-Supuestos!$D$5),IF(Supuestos!$C$5="Lognormal",LOGINV(B529,LN(Supuestos!$D$5)-LN(1+Supuestos!$E$5^2/Supuestos!$D$5^2)/2,SQRT(LN(1+Supuestos!$E$5^2/Supuestos!$D$5^2))),Supuestos!$D$5))))))</f>
        <v/>
      </c>
      <c r="J529" s="31">
        <f>MIN(IF(Supuestos!$H$6="",1E+99,Supuestos!$H$6),MAX(IF(Supuestos!$G$6="",-1E+99,Supuestos!$G$6),IF(Supuestos!$C$6="Normal",NORMINV(C529,Supuestos!$D$6,Supuestos!$E$6),IF(Supuestos!$C$6="Triangular",IF(C529&lt;(Supuestos!$E$6-Supuestos!$D$6)/(Supuestos!$F$6-Supuestos!$D$6),Supuestos!$D$6+SQRT(C529*(Supuestos!$F$6-Supuestos!$D$6)*(Supuestos!$E$6-Supuestos!$D$6)),Supuestos!$F$6-SQRT((1-C529)*(Supuestos!$F$6-Supuestos!$D$6)*(Supuestos!$F$6-Supuestos!$E$6))),IF(Supuestos!$C$6="Uniforme",Supuestos!$D$6+C529*(Supuestos!$E$6-Supuestos!$D$6),IF(Supuestos!$C$6="Lognormal",LOGINV(C529,LN(Supuestos!$D$6)-LN(1+Supuestos!$E$6^2/Supuestos!$D$6^2)/2,SQRT(LN(1+Supuestos!$E$6^2/Supuestos!$D$6^2))),Supuestos!$D$6))))))</f>
        <v/>
      </c>
      <c r="K529" s="32">
        <f>MIN(IF(Supuestos!$H$7="",1E+99,Supuestos!$H$7),MAX(IF(Supuestos!$G$7="",-1E+99,Supuestos!$G$7),IF(Supuestos!$C$7="Normal",NORMINV(D529,Supuestos!$D$7,Supuestos!$E$7),IF(Supuestos!$C$7="Triangular",IF(D529&lt;(Supuestos!$E$7-Supuestos!$D$7)/(Supuestos!$F$7-Supuestos!$D$7),Supuestos!$D$7+SQRT(D529*(Supuestos!$F$7-Supuestos!$D$7)*(Supuestos!$E$7-Supuestos!$D$7)),Supuestos!$F$7-SQRT((1-D529)*(Supuestos!$F$7-Supuestos!$D$7)*(Supuestos!$F$7-Supuestos!$E$7))),IF(Supuestos!$C$7="Uniforme",Supuestos!$D$7+D529*(Supuestos!$E$7-Supuestos!$D$7),IF(Supuestos!$C$7="Lognormal",LOGINV(D529,LN(Supuestos!$D$7)-LN(1+Supuestos!$E$7^2/Supuestos!$D$7^2)/2,SQRT(LN(1+Supuestos!$E$7^2/Supuestos!$D$7^2))),Supuestos!$D$7))))))</f>
        <v/>
      </c>
      <c r="L529" s="32">
        <f>MIN(IF(Supuestos!$H$8="",1E+99,Supuestos!$H$8),MAX(IF(Supuestos!$G$8="",-1E+99,Supuestos!$G$8),IF(Supuestos!$C$8="Normal",NORMINV(E529,Supuestos!$D$8,Supuestos!$E$8),IF(Supuestos!$C$8="Triangular",IF(E529&lt;(Supuestos!$E$8-Supuestos!$D$8)/(Supuestos!$F$8-Supuestos!$D$8),Supuestos!$D$8+SQRT(E529*(Supuestos!$F$8-Supuestos!$D$8)*(Supuestos!$E$8-Supuestos!$D$8)),Supuestos!$F$8-SQRT((1-E529)*(Supuestos!$F$8-Supuestos!$D$8)*(Supuestos!$F$8-Supuestos!$E$8))),IF(Supuestos!$C$8="Uniforme",Supuestos!$D$8+E529*(Supuestos!$E$8-Supuestos!$D$8),IF(Supuestos!$C$8="Lognormal",LOGINV(E529,LN(Supuestos!$D$8)-LN(1+Supuestos!$E$8^2/Supuestos!$D$8^2)/2,SQRT(LN(1+Supuestos!$E$8^2/Supuestos!$D$8^2))),Supuestos!$D$8))))))</f>
        <v/>
      </c>
      <c r="M529" s="32">
        <f>MIN(IF(Supuestos!$H$9="",1E+99,Supuestos!$H$9),MAX(IF(Supuestos!$G$9="",-1E+99,Supuestos!$G$9),IF(Supuestos!$C$9="Normal",NORMINV(F529,Supuestos!$D$9,Supuestos!$E$9),IF(Supuestos!$C$9="Triangular",IF(F529&lt;(Supuestos!$E$9-Supuestos!$D$9)/(Supuestos!$F$9-Supuestos!$D$9),Supuestos!$D$9+SQRT(F529*(Supuestos!$F$9-Supuestos!$D$9)*(Supuestos!$E$9-Supuestos!$D$9)),Supuestos!$F$9-SQRT((1-F529)*(Supuestos!$F$9-Supuestos!$D$9)*(Supuestos!$F$9-Supuestos!$E$9))),IF(Supuestos!$C$9="Uniforme",Supuestos!$D$9+F529*(Supuestos!$E$9-Supuestos!$D$9),IF(Supuestos!$C$9="Lognormal",LOGINV(F529,LN(Supuestos!$D$9)-LN(1+Supuestos!$E$9^2/Supuestos!$D$9^2)/2,SQRT(LN(1+Supuestos!$E$9^2/Supuestos!$D$9^2))),Supuestos!$D$9))))))</f>
        <v/>
      </c>
      <c r="N529" s="32">
        <f>MIN(IF(Supuestos!$H$10="",1E+99,Supuestos!$H$10),MAX(IF(Supuestos!$G$10="",-1E+99,Supuestos!$G$10),IF(Supuestos!$C$10="Normal",NORMINV(G529,Supuestos!$D$10,Supuestos!$E$10),IF(Supuestos!$C$10="Triangular",IF(G529&lt;(Supuestos!$E$10-Supuestos!$D$10)/(Supuestos!$F$10-Supuestos!$D$10),Supuestos!$D$10+SQRT(G529*(Supuestos!$F$10-Supuestos!$D$10)*(Supuestos!$E$10-Supuestos!$D$10)),Supuestos!$F$10-SQRT((1-G529)*(Supuestos!$F$10-Supuestos!$D$10)*(Supuestos!$F$10-Supuestos!$E$10))),IF(Supuestos!$C$10="Uniforme",Supuestos!$D$10+G529*(Supuestos!$E$10-Supuestos!$D$10),IF(Supuestos!$C$10="Lognormal",LOGINV(G529,LN(Supuestos!$D$10)-LN(1+Supuestos!$E$10^2/Supuestos!$D$10^2)/2,SQRT(LN(1+Supuestos!$E$10^2/Supuestos!$D$10^2))),Supuestos!$D$10))))))</f>
        <v/>
      </c>
      <c r="O529" s="31">
        <f>MIN(IF(Supuestos!$H$11="",1E+99,Supuestos!$H$11),MAX(IF(Supuestos!$G$11="",-1E+99,Supuestos!$G$11),IF(Supuestos!$C$11="Normal",NORMINV(H529,Supuestos!$D$11,Supuestos!$E$11),IF(Supuestos!$C$11="Triangular",IF(H529&lt;(Supuestos!$E$11-Supuestos!$D$11)/(Supuestos!$F$11-Supuestos!$D$11),Supuestos!$D$11+SQRT(H529*(Supuestos!$F$11-Supuestos!$D$11)*(Supuestos!$E$11-Supuestos!$D$11)),Supuestos!$F$11-SQRT((1-H529)*(Supuestos!$F$11-Supuestos!$D$11)*(Supuestos!$F$11-Supuestos!$E$11))),IF(Supuestos!$C$11="Uniforme",Supuestos!$D$11+H529*(Supuestos!$E$11-Supuestos!$D$11),IF(Supuestos!$C$11="Lognormal",LOGINV(H529,LN(Supuestos!$D$11)-LN(1+Supuestos!$E$11^2/Supuestos!$D$11^2)/2,SQRT(LN(1+Supuestos!$E$11^2/Supuestos!$D$11^2))),Supuestos!$D$11))))))</f>
        <v/>
      </c>
      <c r="P529" s="33">
        <f>-I529</f>
        <v/>
      </c>
      <c r="Q529" s="33">
        <f>$J529*(1+$K529)^(1-1)*(1-$L529)*(1-$M529)</f>
        <v/>
      </c>
      <c r="R529" s="33">
        <f>$J529*(1+$K529)^(2-1)*(1-$L529)*(1-$M529)</f>
        <v/>
      </c>
      <c r="S529" s="33">
        <f>$J529*(1+$K529)^(3-1)*(1-$L529)*(1-$M529)</f>
        <v/>
      </c>
      <c r="T529" s="33">
        <f>$J529*(1+$K529)^(4-1)*(1-$L529)*(1-$M529)</f>
        <v/>
      </c>
      <c r="U529" s="33">
        <f>$J529*(1+$K529)^(5-1)*(1-$L529)*(1-$M529)+$O529</f>
        <v/>
      </c>
      <c r="V529" s="33">
        <f>P529+NPV($N529,Q529:U529)</f>
        <v/>
      </c>
      <c r="W529" s="32">
        <f>IFERROR(IRR(P529:U529,0.1),"")</f>
        <v/>
      </c>
    </row>
    <row r="530">
      <c r="A530" s="14" t="n">
        <v>526</v>
      </c>
      <c r="B530" s="30">
        <f>RAND()*(1-2E-6)+1E-6</f>
        <v/>
      </c>
      <c r="C530" s="30">
        <f>RAND()*(1-2E-6)+1E-6</f>
        <v/>
      </c>
      <c r="D530" s="30">
        <f>RAND()*(1-2E-6)+1E-6</f>
        <v/>
      </c>
      <c r="E530" s="30">
        <f>RAND()*(1-2E-6)+1E-6</f>
        <v/>
      </c>
      <c r="F530" s="30">
        <f>RAND()*(1-2E-6)+1E-6</f>
        <v/>
      </c>
      <c r="G530" s="30">
        <f>RAND()*(1-2E-6)+1E-6</f>
        <v/>
      </c>
      <c r="H530" s="30">
        <f>RAND()*(1-2E-6)+1E-6</f>
        <v/>
      </c>
      <c r="I530" s="31">
        <f>MIN(IF(Supuestos!$H$5="",1E+99,Supuestos!$H$5),MAX(IF(Supuestos!$G$5="",-1E+99,Supuestos!$G$5),IF(Supuestos!$C$5="Normal",NORMINV(B530,Supuestos!$D$5,Supuestos!$E$5),IF(Supuestos!$C$5="Triangular",IF(B530&lt;(Supuestos!$E$5-Supuestos!$D$5)/(Supuestos!$F$5-Supuestos!$D$5),Supuestos!$D$5+SQRT(B530*(Supuestos!$F$5-Supuestos!$D$5)*(Supuestos!$E$5-Supuestos!$D$5)),Supuestos!$F$5-SQRT((1-B530)*(Supuestos!$F$5-Supuestos!$D$5)*(Supuestos!$F$5-Supuestos!$E$5))),IF(Supuestos!$C$5="Uniforme",Supuestos!$D$5+B530*(Supuestos!$E$5-Supuestos!$D$5),IF(Supuestos!$C$5="Lognormal",LOGINV(B530,LN(Supuestos!$D$5)-LN(1+Supuestos!$E$5^2/Supuestos!$D$5^2)/2,SQRT(LN(1+Supuestos!$E$5^2/Supuestos!$D$5^2))),Supuestos!$D$5))))))</f>
        <v/>
      </c>
      <c r="J530" s="31">
        <f>MIN(IF(Supuestos!$H$6="",1E+99,Supuestos!$H$6),MAX(IF(Supuestos!$G$6="",-1E+99,Supuestos!$G$6),IF(Supuestos!$C$6="Normal",NORMINV(C530,Supuestos!$D$6,Supuestos!$E$6),IF(Supuestos!$C$6="Triangular",IF(C530&lt;(Supuestos!$E$6-Supuestos!$D$6)/(Supuestos!$F$6-Supuestos!$D$6),Supuestos!$D$6+SQRT(C530*(Supuestos!$F$6-Supuestos!$D$6)*(Supuestos!$E$6-Supuestos!$D$6)),Supuestos!$F$6-SQRT((1-C530)*(Supuestos!$F$6-Supuestos!$D$6)*(Supuestos!$F$6-Supuestos!$E$6))),IF(Supuestos!$C$6="Uniforme",Supuestos!$D$6+C530*(Supuestos!$E$6-Supuestos!$D$6),IF(Supuestos!$C$6="Lognormal",LOGINV(C530,LN(Supuestos!$D$6)-LN(1+Supuestos!$E$6^2/Supuestos!$D$6^2)/2,SQRT(LN(1+Supuestos!$E$6^2/Supuestos!$D$6^2))),Supuestos!$D$6))))))</f>
        <v/>
      </c>
      <c r="K530" s="32">
        <f>MIN(IF(Supuestos!$H$7="",1E+99,Supuestos!$H$7),MAX(IF(Supuestos!$G$7="",-1E+99,Supuestos!$G$7),IF(Supuestos!$C$7="Normal",NORMINV(D530,Supuestos!$D$7,Supuestos!$E$7),IF(Supuestos!$C$7="Triangular",IF(D530&lt;(Supuestos!$E$7-Supuestos!$D$7)/(Supuestos!$F$7-Supuestos!$D$7),Supuestos!$D$7+SQRT(D530*(Supuestos!$F$7-Supuestos!$D$7)*(Supuestos!$E$7-Supuestos!$D$7)),Supuestos!$F$7-SQRT((1-D530)*(Supuestos!$F$7-Supuestos!$D$7)*(Supuestos!$F$7-Supuestos!$E$7))),IF(Supuestos!$C$7="Uniforme",Supuestos!$D$7+D530*(Supuestos!$E$7-Supuestos!$D$7),IF(Supuestos!$C$7="Lognormal",LOGINV(D530,LN(Supuestos!$D$7)-LN(1+Supuestos!$E$7^2/Supuestos!$D$7^2)/2,SQRT(LN(1+Supuestos!$E$7^2/Supuestos!$D$7^2))),Supuestos!$D$7))))))</f>
        <v/>
      </c>
      <c r="L530" s="32">
        <f>MIN(IF(Supuestos!$H$8="",1E+99,Supuestos!$H$8),MAX(IF(Supuestos!$G$8="",-1E+99,Supuestos!$G$8),IF(Supuestos!$C$8="Normal",NORMINV(E530,Supuestos!$D$8,Supuestos!$E$8),IF(Supuestos!$C$8="Triangular",IF(E530&lt;(Supuestos!$E$8-Supuestos!$D$8)/(Supuestos!$F$8-Supuestos!$D$8),Supuestos!$D$8+SQRT(E530*(Supuestos!$F$8-Supuestos!$D$8)*(Supuestos!$E$8-Supuestos!$D$8)),Supuestos!$F$8-SQRT((1-E530)*(Supuestos!$F$8-Supuestos!$D$8)*(Supuestos!$F$8-Supuestos!$E$8))),IF(Supuestos!$C$8="Uniforme",Supuestos!$D$8+E530*(Supuestos!$E$8-Supuestos!$D$8),IF(Supuestos!$C$8="Lognormal",LOGINV(E530,LN(Supuestos!$D$8)-LN(1+Supuestos!$E$8^2/Supuestos!$D$8^2)/2,SQRT(LN(1+Supuestos!$E$8^2/Supuestos!$D$8^2))),Supuestos!$D$8))))))</f>
        <v/>
      </c>
      <c r="M530" s="32">
        <f>MIN(IF(Supuestos!$H$9="",1E+99,Supuestos!$H$9),MAX(IF(Supuestos!$G$9="",-1E+99,Supuestos!$G$9),IF(Supuestos!$C$9="Normal",NORMINV(F530,Supuestos!$D$9,Supuestos!$E$9),IF(Supuestos!$C$9="Triangular",IF(F530&lt;(Supuestos!$E$9-Supuestos!$D$9)/(Supuestos!$F$9-Supuestos!$D$9),Supuestos!$D$9+SQRT(F530*(Supuestos!$F$9-Supuestos!$D$9)*(Supuestos!$E$9-Supuestos!$D$9)),Supuestos!$F$9-SQRT((1-F530)*(Supuestos!$F$9-Supuestos!$D$9)*(Supuestos!$F$9-Supuestos!$E$9))),IF(Supuestos!$C$9="Uniforme",Supuestos!$D$9+F530*(Supuestos!$E$9-Supuestos!$D$9),IF(Supuestos!$C$9="Lognormal",LOGINV(F530,LN(Supuestos!$D$9)-LN(1+Supuestos!$E$9^2/Supuestos!$D$9^2)/2,SQRT(LN(1+Supuestos!$E$9^2/Supuestos!$D$9^2))),Supuestos!$D$9))))))</f>
        <v/>
      </c>
      <c r="N530" s="32">
        <f>MIN(IF(Supuestos!$H$10="",1E+99,Supuestos!$H$10),MAX(IF(Supuestos!$G$10="",-1E+99,Supuestos!$G$10),IF(Supuestos!$C$10="Normal",NORMINV(G530,Supuestos!$D$10,Supuestos!$E$10),IF(Supuestos!$C$10="Triangular",IF(G530&lt;(Supuestos!$E$10-Supuestos!$D$10)/(Supuestos!$F$10-Supuestos!$D$10),Supuestos!$D$10+SQRT(G530*(Supuestos!$F$10-Supuestos!$D$10)*(Supuestos!$E$10-Supuestos!$D$10)),Supuestos!$F$10-SQRT((1-G530)*(Supuestos!$F$10-Supuestos!$D$10)*(Supuestos!$F$10-Supuestos!$E$10))),IF(Supuestos!$C$10="Uniforme",Supuestos!$D$10+G530*(Supuestos!$E$10-Supuestos!$D$10),IF(Supuestos!$C$10="Lognormal",LOGINV(G530,LN(Supuestos!$D$10)-LN(1+Supuestos!$E$10^2/Supuestos!$D$10^2)/2,SQRT(LN(1+Supuestos!$E$10^2/Supuestos!$D$10^2))),Supuestos!$D$10))))))</f>
        <v/>
      </c>
      <c r="O530" s="31">
        <f>MIN(IF(Supuestos!$H$11="",1E+99,Supuestos!$H$11),MAX(IF(Supuestos!$G$11="",-1E+99,Supuestos!$G$11),IF(Supuestos!$C$11="Normal",NORMINV(H530,Supuestos!$D$11,Supuestos!$E$11),IF(Supuestos!$C$11="Triangular",IF(H530&lt;(Supuestos!$E$11-Supuestos!$D$11)/(Supuestos!$F$11-Supuestos!$D$11),Supuestos!$D$11+SQRT(H530*(Supuestos!$F$11-Supuestos!$D$11)*(Supuestos!$E$11-Supuestos!$D$11)),Supuestos!$F$11-SQRT((1-H530)*(Supuestos!$F$11-Supuestos!$D$11)*(Supuestos!$F$11-Supuestos!$E$11))),IF(Supuestos!$C$11="Uniforme",Supuestos!$D$11+H530*(Supuestos!$E$11-Supuestos!$D$11),IF(Supuestos!$C$11="Lognormal",LOGINV(H530,LN(Supuestos!$D$11)-LN(1+Supuestos!$E$11^2/Supuestos!$D$11^2)/2,SQRT(LN(1+Supuestos!$E$11^2/Supuestos!$D$11^2))),Supuestos!$D$11))))))</f>
        <v/>
      </c>
      <c r="P530" s="33">
        <f>-I530</f>
        <v/>
      </c>
      <c r="Q530" s="33">
        <f>$J530*(1+$K530)^(1-1)*(1-$L530)*(1-$M530)</f>
        <v/>
      </c>
      <c r="R530" s="33">
        <f>$J530*(1+$K530)^(2-1)*(1-$L530)*(1-$M530)</f>
        <v/>
      </c>
      <c r="S530" s="33">
        <f>$J530*(1+$K530)^(3-1)*(1-$L530)*(1-$M530)</f>
        <v/>
      </c>
      <c r="T530" s="33">
        <f>$J530*(1+$K530)^(4-1)*(1-$L530)*(1-$M530)</f>
        <v/>
      </c>
      <c r="U530" s="33">
        <f>$J530*(1+$K530)^(5-1)*(1-$L530)*(1-$M530)+$O530</f>
        <v/>
      </c>
      <c r="V530" s="33">
        <f>P530+NPV($N530,Q530:U530)</f>
        <v/>
      </c>
      <c r="W530" s="32">
        <f>IFERROR(IRR(P530:U530,0.1),"")</f>
        <v/>
      </c>
    </row>
    <row r="531">
      <c r="A531" s="14" t="n">
        <v>527</v>
      </c>
      <c r="B531" s="30">
        <f>RAND()*(1-2E-6)+1E-6</f>
        <v/>
      </c>
      <c r="C531" s="30">
        <f>RAND()*(1-2E-6)+1E-6</f>
        <v/>
      </c>
      <c r="D531" s="30">
        <f>RAND()*(1-2E-6)+1E-6</f>
        <v/>
      </c>
      <c r="E531" s="30">
        <f>RAND()*(1-2E-6)+1E-6</f>
        <v/>
      </c>
      <c r="F531" s="30">
        <f>RAND()*(1-2E-6)+1E-6</f>
        <v/>
      </c>
      <c r="G531" s="30">
        <f>RAND()*(1-2E-6)+1E-6</f>
        <v/>
      </c>
      <c r="H531" s="30">
        <f>RAND()*(1-2E-6)+1E-6</f>
        <v/>
      </c>
      <c r="I531" s="31">
        <f>MIN(IF(Supuestos!$H$5="",1E+99,Supuestos!$H$5),MAX(IF(Supuestos!$G$5="",-1E+99,Supuestos!$G$5),IF(Supuestos!$C$5="Normal",NORMINV(B531,Supuestos!$D$5,Supuestos!$E$5),IF(Supuestos!$C$5="Triangular",IF(B531&lt;(Supuestos!$E$5-Supuestos!$D$5)/(Supuestos!$F$5-Supuestos!$D$5),Supuestos!$D$5+SQRT(B531*(Supuestos!$F$5-Supuestos!$D$5)*(Supuestos!$E$5-Supuestos!$D$5)),Supuestos!$F$5-SQRT((1-B531)*(Supuestos!$F$5-Supuestos!$D$5)*(Supuestos!$F$5-Supuestos!$E$5))),IF(Supuestos!$C$5="Uniforme",Supuestos!$D$5+B531*(Supuestos!$E$5-Supuestos!$D$5),IF(Supuestos!$C$5="Lognormal",LOGINV(B531,LN(Supuestos!$D$5)-LN(1+Supuestos!$E$5^2/Supuestos!$D$5^2)/2,SQRT(LN(1+Supuestos!$E$5^2/Supuestos!$D$5^2))),Supuestos!$D$5))))))</f>
        <v/>
      </c>
      <c r="J531" s="31">
        <f>MIN(IF(Supuestos!$H$6="",1E+99,Supuestos!$H$6),MAX(IF(Supuestos!$G$6="",-1E+99,Supuestos!$G$6),IF(Supuestos!$C$6="Normal",NORMINV(C531,Supuestos!$D$6,Supuestos!$E$6),IF(Supuestos!$C$6="Triangular",IF(C531&lt;(Supuestos!$E$6-Supuestos!$D$6)/(Supuestos!$F$6-Supuestos!$D$6),Supuestos!$D$6+SQRT(C531*(Supuestos!$F$6-Supuestos!$D$6)*(Supuestos!$E$6-Supuestos!$D$6)),Supuestos!$F$6-SQRT((1-C531)*(Supuestos!$F$6-Supuestos!$D$6)*(Supuestos!$F$6-Supuestos!$E$6))),IF(Supuestos!$C$6="Uniforme",Supuestos!$D$6+C531*(Supuestos!$E$6-Supuestos!$D$6),IF(Supuestos!$C$6="Lognormal",LOGINV(C531,LN(Supuestos!$D$6)-LN(1+Supuestos!$E$6^2/Supuestos!$D$6^2)/2,SQRT(LN(1+Supuestos!$E$6^2/Supuestos!$D$6^2))),Supuestos!$D$6))))))</f>
        <v/>
      </c>
      <c r="K531" s="32">
        <f>MIN(IF(Supuestos!$H$7="",1E+99,Supuestos!$H$7),MAX(IF(Supuestos!$G$7="",-1E+99,Supuestos!$G$7),IF(Supuestos!$C$7="Normal",NORMINV(D531,Supuestos!$D$7,Supuestos!$E$7),IF(Supuestos!$C$7="Triangular",IF(D531&lt;(Supuestos!$E$7-Supuestos!$D$7)/(Supuestos!$F$7-Supuestos!$D$7),Supuestos!$D$7+SQRT(D531*(Supuestos!$F$7-Supuestos!$D$7)*(Supuestos!$E$7-Supuestos!$D$7)),Supuestos!$F$7-SQRT((1-D531)*(Supuestos!$F$7-Supuestos!$D$7)*(Supuestos!$F$7-Supuestos!$E$7))),IF(Supuestos!$C$7="Uniforme",Supuestos!$D$7+D531*(Supuestos!$E$7-Supuestos!$D$7),IF(Supuestos!$C$7="Lognormal",LOGINV(D531,LN(Supuestos!$D$7)-LN(1+Supuestos!$E$7^2/Supuestos!$D$7^2)/2,SQRT(LN(1+Supuestos!$E$7^2/Supuestos!$D$7^2))),Supuestos!$D$7))))))</f>
        <v/>
      </c>
      <c r="L531" s="32">
        <f>MIN(IF(Supuestos!$H$8="",1E+99,Supuestos!$H$8),MAX(IF(Supuestos!$G$8="",-1E+99,Supuestos!$G$8),IF(Supuestos!$C$8="Normal",NORMINV(E531,Supuestos!$D$8,Supuestos!$E$8),IF(Supuestos!$C$8="Triangular",IF(E531&lt;(Supuestos!$E$8-Supuestos!$D$8)/(Supuestos!$F$8-Supuestos!$D$8),Supuestos!$D$8+SQRT(E531*(Supuestos!$F$8-Supuestos!$D$8)*(Supuestos!$E$8-Supuestos!$D$8)),Supuestos!$F$8-SQRT((1-E531)*(Supuestos!$F$8-Supuestos!$D$8)*(Supuestos!$F$8-Supuestos!$E$8))),IF(Supuestos!$C$8="Uniforme",Supuestos!$D$8+E531*(Supuestos!$E$8-Supuestos!$D$8),IF(Supuestos!$C$8="Lognormal",LOGINV(E531,LN(Supuestos!$D$8)-LN(1+Supuestos!$E$8^2/Supuestos!$D$8^2)/2,SQRT(LN(1+Supuestos!$E$8^2/Supuestos!$D$8^2))),Supuestos!$D$8))))))</f>
        <v/>
      </c>
      <c r="M531" s="32">
        <f>MIN(IF(Supuestos!$H$9="",1E+99,Supuestos!$H$9),MAX(IF(Supuestos!$G$9="",-1E+99,Supuestos!$G$9),IF(Supuestos!$C$9="Normal",NORMINV(F531,Supuestos!$D$9,Supuestos!$E$9),IF(Supuestos!$C$9="Triangular",IF(F531&lt;(Supuestos!$E$9-Supuestos!$D$9)/(Supuestos!$F$9-Supuestos!$D$9),Supuestos!$D$9+SQRT(F531*(Supuestos!$F$9-Supuestos!$D$9)*(Supuestos!$E$9-Supuestos!$D$9)),Supuestos!$F$9-SQRT((1-F531)*(Supuestos!$F$9-Supuestos!$D$9)*(Supuestos!$F$9-Supuestos!$E$9))),IF(Supuestos!$C$9="Uniforme",Supuestos!$D$9+F531*(Supuestos!$E$9-Supuestos!$D$9),IF(Supuestos!$C$9="Lognormal",LOGINV(F531,LN(Supuestos!$D$9)-LN(1+Supuestos!$E$9^2/Supuestos!$D$9^2)/2,SQRT(LN(1+Supuestos!$E$9^2/Supuestos!$D$9^2))),Supuestos!$D$9))))))</f>
        <v/>
      </c>
      <c r="N531" s="32">
        <f>MIN(IF(Supuestos!$H$10="",1E+99,Supuestos!$H$10),MAX(IF(Supuestos!$G$10="",-1E+99,Supuestos!$G$10),IF(Supuestos!$C$10="Normal",NORMINV(G531,Supuestos!$D$10,Supuestos!$E$10),IF(Supuestos!$C$10="Triangular",IF(G531&lt;(Supuestos!$E$10-Supuestos!$D$10)/(Supuestos!$F$10-Supuestos!$D$10),Supuestos!$D$10+SQRT(G531*(Supuestos!$F$10-Supuestos!$D$10)*(Supuestos!$E$10-Supuestos!$D$10)),Supuestos!$F$10-SQRT((1-G531)*(Supuestos!$F$10-Supuestos!$D$10)*(Supuestos!$F$10-Supuestos!$E$10))),IF(Supuestos!$C$10="Uniforme",Supuestos!$D$10+G531*(Supuestos!$E$10-Supuestos!$D$10),IF(Supuestos!$C$10="Lognormal",LOGINV(G531,LN(Supuestos!$D$10)-LN(1+Supuestos!$E$10^2/Supuestos!$D$10^2)/2,SQRT(LN(1+Supuestos!$E$10^2/Supuestos!$D$10^2))),Supuestos!$D$10))))))</f>
        <v/>
      </c>
      <c r="O531" s="31">
        <f>MIN(IF(Supuestos!$H$11="",1E+99,Supuestos!$H$11),MAX(IF(Supuestos!$G$11="",-1E+99,Supuestos!$G$11),IF(Supuestos!$C$11="Normal",NORMINV(H531,Supuestos!$D$11,Supuestos!$E$11),IF(Supuestos!$C$11="Triangular",IF(H531&lt;(Supuestos!$E$11-Supuestos!$D$11)/(Supuestos!$F$11-Supuestos!$D$11),Supuestos!$D$11+SQRT(H531*(Supuestos!$F$11-Supuestos!$D$11)*(Supuestos!$E$11-Supuestos!$D$11)),Supuestos!$F$11-SQRT((1-H531)*(Supuestos!$F$11-Supuestos!$D$11)*(Supuestos!$F$11-Supuestos!$E$11))),IF(Supuestos!$C$11="Uniforme",Supuestos!$D$11+H531*(Supuestos!$E$11-Supuestos!$D$11),IF(Supuestos!$C$11="Lognormal",LOGINV(H531,LN(Supuestos!$D$11)-LN(1+Supuestos!$E$11^2/Supuestos!$D$11^2)/2,SQRT(LN(1+Supuestos!$E$11^2/Supuestos!$D$11^2))),Supuestos!$D$11))))))</f>
        <v/>
      </c>
      <c r="P531" s="33">
        <f>-I531</f>
        <v/>
      </c>
      <c r="Q531" s="33">
        <f>$J531*(1+$K531)^(1-1)*(1-$L531)*(1-$M531)</f>
        <v/>
      </c>
      <c r="R531" s="33">
        <f>$J531*(1+$K531)^(2-1)*(1-$L531)*(1-$M531)</f>
        <v/>
      </c>
      <c r="S531" s="33">
        <f>$J531*(1+$K531)^(3-1)*(1-$L531)*(1-$M531)</f>
        <v/>
      </c>
      <c r="T531" s="33">
        <f>$J531*(1+$K531)^(4-1)*(1-$L531)*(1-$M531)</f>
        <v/>
      </c>
      <c r="U531" s="33">
        <f>$J531*(1+$K531)^(5-1)*(1-$L531)*(1-$M531)+$O531</f>
        <v/>
      </c>
      <c r="V531" s="33">
        <f>P531+NPV($N531,Q531:U531)</f>
        <v/>
      </c>
      <c r="W531" s="32">
        <f>IFERROR(IRR(P531:U531,0.1),"")</f>
        <v/>
      </c>
    </row>
    <row r="532">
      <c r="A532" s="14" t="n">
        <v>528</v>
      </c>
      <c r="B532" s="30">
        <f>RAND()*(1-2E-6)+1E-6</f>
        <v/>
      </c>
      <c r="C532" s="30">
        <f>RAND()*(1-2E-6)+1E-6</f>
        <v/>
      </c>
      <c r="D532" s="30">
        <f>RAND()*(1-2E-6)+1E-6</f>
        <v/>
      </c>
      <c r="E532" s="30">
        <f>RAND()*(1-2E-6)+1E-6</f>
        <v/>
      </c>
      <c r="F532" s="30">
        <f>RAND()*(1-2E-6)+1E-6</f>
        <v/>
      </c>
      <c r="G532" s="30">
        <f>RAND()*(1-2E-6)+1E-6</f>
        <v/>
      </c>
      <c r="H532" s="30">
        <f>RAND()*(1-2E-6)+1E-6</f>
        <v/>
      </c>
      <c r="I532" s="31">
        <f>MIN(IF(Supuestos!$H$5="",1E+99,Supuestos!$H$5),MAX(IF(Supuestos!$G$5="",-1E+99,Supuestos!$G$5),IF(Supuestos!$C$5="Normal",NORMINV(B532,Supuestos!$D$5,Supuestos!$E$5),IF(Supuestos!$C$5="Triangular",IF(B532&lt;(Supuestos!$E$5-Supuestos!$D$5)/(Supuestos!$F$5-Supuestos!$D$5),Supuestos!$D$5+SQRT(B532*(Supuestos!$F$5-Supuestos!$D$5)*(Supuestos!$E$5-Supuestos!$D$5)),Supuestos!$F$5-SQRT((1-B532)*(Supuestos!$F$5-Supuestos!$D$5)*(Supuestos!$F$5-Supuestos!$E$5))),IF(Supuestos!$C$5="Uniforme",Supuestos!$D$5+B532*(Supuestos!$E$5-Supuestos!$D$5),IF(Supuestos!$C$5="Lognormal",LOGINV(B532,LN(Supuestos!$D$5)-LN(1+Supuestos!$E$5^2/Supuestos!$D$5^2)/2,SQRT(LN(1+Supuestos!$E$5^2/Supuestos!$D$5^2))),Supuestos!$D$5))))))</f>
        <v/>
      </c>
      <c r="J532" s="31">
        <f>MIN(IF(Supuestos!$H$6="",1E+99,Supuestos!$H$6),MAX(IF(Supuestos!$G$6="",-1E+99,Supuestos!$G$6),IF(Supuestos!$C$6="Normal",NORMINV(C532,Supuestos!$D$6,Supuestos!$E$6),IF(Supuestos!$C$6="Triangular",IF(C532&lt;(Supuestos!$E$6-Supuestos!$D$6)/(Supuestos!$F$6-Supuestos!$D$6),Supuestos!$D$6+SQRT(C532*(Supuestos!$F$6-Supuestos!$D$6)*(Supuestos!$E$6-Supuestos!$D$6)),Supuestos!$F$6-SQRT((1-C532)*(Supuestos!$F$6-Supuestos!$D$6)*(Supuestos!$F$6-Supuestos!$E$6))),IF(Supuestos!$C$6="Uniforme",Supuestos!$D$6+C532*(Supuestos!$E$6-Supuestos!$D$6),IF(Supuestos!$C$6="Lognormal",LOGINV(C532,LN(Supuestos!$D$6)-LN(1+Supuestos!$E$6^2/Supuestos!$D$6^2)/2,SQRT(LN(1+Supuestos!$E$6^2/Supuestos!$D$6^2))),Supuestos!$D$6))))))</f>
        <v/>
      </c>
      <c r="K532" s="32">
        <f>MIN(IF(Supuestos!$H$7="",1E+99,Supuestos!$H$7),MAX(IF(Supuestos!$G$7="",-1E+99,Supuestos!$G$7),IF(Supuestos!$C$7="Normal",NORMINV(D532,Supuestos!$D$7,Supuestos!$E$7),IF(Supuestos!$C$7="Triangular",IF(D532&lt;(Supuestos!$E$7-Supuestos!$D$7)/(Supuestos!$F$7-Supuestos!$D$7),Supuestos!$D$7+SQRT(D532*(Supuestos!$F$7-Supuestos!$D$7)*(Supuestos!$E$7-Supuestos!$D$7)),Supuestos!$F$7-SQRT((1-D532)*(Supuestos!$F$7-Supuestos!$D$7)*(Supuestos!$F$7-Supuestos!$E$7))),IF(Supuestos!$C$7="Uniforme",Supuestos!$D$7+D532*(Supuestos!$E$7-Supuestos!$D$7),IF(Supuestos!$C$7="Lognormal",LOGINV(D532,LN(Supuestos!$D$7)-LN(1+Supuestos!$E$7^2/Supuestos!$D$7^2)/2,SQRT(LN(1+Supuestos!$E$7^2/Supuestos!$D$7^2))),Supuestos!$D$7))))))</f>
        <v/>
      </c>
      <c r="L532" s="32">
        <f>MIN(IF(Supuestos!$H$8="",1E+99,Supuestos!$H$8),MAX(IF(Supuestos!$G$8="",-1E+99,Supuestos!$G$8),IF(Supuestos!$C$8="Normal",NORMINV(E532,Supuestos!$D$8,Supuestos!$E$8),IF(Supuestos!$C$8="Triangular",IF(E532&lt;(Supuestos!$E$8-Supuestos!$D$8)/(Supuestos!$F$8-Supuestos!$D$8),Supuestos!$D$8+SQRT(E532*(Supuestos!$F$8-Supuestos!$D$8)*(Supuestos!$E$8-Supuestos!$D$8)),Supuestos!$F$8-SQRT((1-E532)*(Supuestos!$F$8-Supuestos!$D$8)*(Supuestos!$F$8-Supuestos!$E$8))),IF(Supuestos!$C$8="Uniforme",Supuestos!$D$8+E532*(Supuestos!$E$8-Supuestos!$D$8),IF(Supuestos!$C$8="Lognormal",LOGINV(E532,LN(Supuestos!$D$8)-LN(1+Supuestos!$E$8^2/Supuestos!$D$8^2)/2,SQRT(LN(1+Supuestos!$E$8^2/Supuestos!$D$8^2))),Supuestos!$D$8))))))</f>
        <v/>
      </c>
      <c r="M532" s="32">
        <f>MIN(IF(Supuestos!$H$9="",1E+99,Supuestos!$H$9),MAX(IF(Supuestos!$G$9="",-1E+99,Supuestos!$G$9),IF(Supuestos!$C$9="Normal",NORMINV(F532,Supuestos!$D$9,Supuestos!$E$9),IF(Supuestos!$C$9="Triangular",IF(F532&lt;(Supuestos!$E$9-Supuestos!$D$9)/(Supuestos!$F$9-Supuestos!$D$9),Supuestos!$D$9+SQRT(F532*(Supuestos!$F$9-Supuestos!$D$9)*(Supuestos!$E$9-Supuestos!$D$9)),Supuestos!$F$9-SQRT((1-F532)*(Supuestos!$F$9-Supuestos!$D$9)*(Supuestos!$F$9-Supuestos!$E$9))),IF(Supuestos!$C$9="Uniforme",Supuestos!$D$9+F532*(Supuestos!$E$9-Supuestos!$D$9),IF(Supuestos!$C$9="Lognormal",LOGINV(F532,LN(Supuestos!$D$9)-LN(1+Supuestos!$E$9^2/Supuestos!$D$9^2)/2,SQRT(LN(1+Supuestos!$E$9^2/Supuestos!$D$9^2))),Supuestos!$D$9))))))</f>
        <v/>
      </c>
      <c r="N532" s="32">
        <f>MIN(IF(Supuestos!$H$10="",1E+99,Supuestos!$H$10),MAX(IF(Supuestos!$G$10="",-1E+99,Supuestos!$G$10),IF(Supuestos!$C$10="Normal",NORMINV(G532,Supuestos!$D$10,Supuestos!$E$10),IF(Supuestos!$C$10="Triangular",IF(G532&lt;(Supuestos!$E$10-Supuestos!$D$10)/(Supuestos!$F$10-Supuestos!$D$10),Supuestos!$D$10+SQRT(G532*(Supuestos!$F$10-Supuestos!$D$10)*(Supuestos!$E$10-Supuestos!$D$10)),Supuestos!$F$10-SQRT((1-G532)*(Supuestos!$F$10-Supuestos!$D$10)*(Supuestos!$F$10-Supuestos!$E$10))),IF(Supuestos!$C$10="Uniforme",Supuestos!$D$10+G532*(Supuestos!$E$10-Supuestos!$D$10),IF(Supuestos!$C$10="Lognormal",LOGINV(G532,LN(Supuestos!$D$10)-LN(1+Supuestos!$E$10^2/Supuestos!$D$10^2)/2,SQRT(LN(1+Supuestos!$E$10^2/Supuestos!$D$10^2))),Supuestos!$D$10))))))</f>
        <v/>
      </c>
      <c r="O532" s="31">
        <f>MIN(IF(Supuestos!$H$11="",1E+99,Supuestos!$H$11),MAX(IF(Supuestos!$G$11="",-1E+99,Supuestos!$G$11),IF(Supuestos!$C$11="Normal",NORMINV(H532,Supuestos!$D$11,Supuestos!$E$11),IF(Supuestos!$C$11="Triangular",IF(H532&lt;(Supuestos!$E$11-Supuestos!$D$11)/(Supuestos!$F$11-Supuestos!$D$11),Supuestos!$D$11+SQRT(H532*(Supuestos!$F$11-Supuestos!$D$11)*(Supuestos!$E$11-Supuestos!$D$11)),Supuestos!$F$11-SQRT((1-H532)*(Supuestos!$F$11-Supuestos!$D$11)*(Supuestos!$F$11-Supuestos!$E$11))),IF(Supuestos!$C$11="Uniforme",Supuestos!$D$11+H532*(Supuestos!$E$11-Supuestos!$D$11),IF(Supuestos!$C$11="Lognormal",LOGINV(H532,LN(Supuestos!$D$11)-LN(1+Supuestos!$E$11^2/Supuestos!$D$11^2)/2,SQRT(LN(1+Supuestos!$E$11^2/Supuestos!$D$11^2))),Supuestos!$D$11))))))</f>
        <v/>
      </c>
      <c r="P532" s="33">
        <f>-I532</f>
        <v/>
      </c>
      <c r="Q532" s="33">
        <f>$J532*(1+$K532)^(1-1)*(1-$L532)*(1-$M532)</f>
        <v/>
      </c>
      <c r="R532" s="33">
        <f>$J532*(1+$K532)^(2-1)*(1-$L532)*(1-$M532)</f>
        <v/>
      </c>
      <c r="S532" s="33">
        <f>$J532*(1+$K532)^(3-1)*(1-$L532)*(1-$M532)</f>
        <v/>
      </c>
      <c r="T532" s="33">
        <f>$J532*(1+$K532)^(4-1)*(1-$L532)*(1-$M532)</f>
        <v/>
      </c>
      <c r="U532" s="33">
        <f>$J532*(1+$K532)^(5-1)*(1-$L532)*(1-$M532)+$O532</f>
        <v/>
      </c>
      <c r="V532" s="33">
        <f>P532+NPV($N532,Q532:U532)</f>
        <v/>
      </c>
      <c r="W532" s="32">
        <f>IFERROR(IRR(P532:U532,0.1),"")</f>
        <v/>
      </c>
    </row>
    <row r="533">
      <c r="A533" s="14" t="n">
        <v>529</v>
      </c>
      <c r="B533" s="30">
        <f>RAND()*(1-2E-6)+1E-6</f>
        <v/>
      </c>
      <c r="C533" s="30">
        <f>RAND()*(1-2E-6)+1E-6</f>
        <v/>
      </c>
      <c r="D533" s="30">
        <f>RAND()*(1-2E-6)+1E-6</f>
        <v/>
      </c>
      <c r="E533" s="30">
        <f>RAND()*(1-2E-6)+1E-6</f>
        <v/>
      </c>
      <c r="F533" s="30">
        <f>RAND()*(1-2E-6)+1E-6</f>
        <v/>
      </c>
      <c r="G533" s="30">
        <f>RAND()*(1-2E-6)+1E-6</f>
        <v/>
      </c>
      <c r="H533" s="30">
        <f>RAND()*(1-2E-6)+1E-6</f>
        <v/>
      </c>
      <c r="I533" s="31">
        <f>MIN(IF(Supuestos!$H$5="",1E+99,Supuestos!$H$5),MAX(IF(Supuestos!$G$5="",-1E+99,Supuestos!$G$5),IF(Supuestos!$C$5="Normal",NORMINV(B533,Supuestos!$D$5,Supuestos!$E$5),IF(Supuestos!$C$5="Triangular",IF(B533&lt;(Supuestos!$E$5-Supuestos!$D$5)/(Supuestos!$F$5-Supuestos!$D$5),Supuestos!$D$5+SQRT(B533*(Supuestos!$F$5-Supuestos!$D$5)*(Supuestos!$E$5-Supuestos!$D$5)),Supuestos!$F$5-SQRT((1-B533)*(Supuestos!$F$5-Supuestos!$D$5)*(Supuestos!$F$5-Supuestos!$E$5))),IF(Supuestos!$C$5="Uniforme",Supuestos!$D$5+B533*(Supuestos!$E$5-Supuestos!$D$5),IF(Supuestos!$C$5="Lognormal",LOGINV(B533,LN(Supuestos!$D$5)-LN(1+Supuestos!$E$5^2/Supuestos!$D$5^2)/2,SQRT(LN(1+Supuestos!$E$5^2/Supuestos!$D$5^2))),Supuestos!$D$5))))))</f>
        <v/>
      </c>
      <c r="J533" s="31">
        <f>MIN(IF(Supuestos!$H$6="",1E+99,Supuestos!$H$6),MAX(IF(Supuestos!$G$6="",-1E+99,Supuestos!$G$6),IF(Supuestos!$C$6="Normal",NORMINV(C533,Supuestos!$D$6,Supuestos!$E$6),IF(Supuestos!$C$6="Triangular",IF(C533&lt;(Supuestos!$E$6-Supuestos!$D$6)/(Supuestos!$F$6-Supuestos!$D$6),Supuestos!$D$6+SQRT(C533*(Supuestos!$F$6-Supuestos!$D$6)*(Supuestos!$E$6-Supuestos!$D$6)),Supuestos!$F$6-SQRT((1-C533)*(Supuestos!$F$6-Supuestos!$D$6)*(Supuestos!$F$6-Supuestos!$E$6))),IF(Supuestos!$C$6="Uniforme",Supuestos!$D$6+C533*(Supuestos!$E$6-Supuestos!$D$6),IF(Supuestos!$C$6="Lognormal",LOGINV(C533,LN(Supuestos!$D$6)-LN(1+Supuestos!$E$6^2/Supuestos!$D$6^2)/2,SQRT(LN(1+Supuestos!$E$6^2/Supuestos!$D$6^2))),Supuestos!$D$6))))))</f>
        <v/>
      </c>
      <c r="K533" s="32">
        <f>MIN(IF(Supuestos!$H$7="",1E+99,Supuestos!$H$7),MAX(IF(Supuestos!$G$7="",-1E+99,Supuestos!$G$7),IF(Supuestos!$C$7="Normal",NORMINV(D533,Supuestos!$D$7,Supuestos!$E$7),IF(Supuestos!$C$7="Triangular",IF(D533&lt;(Supuestos!$E$7-Supuestos!$D$7)/(Supuestos!$F$7-Supuestos!$D$7),Supuestos!$D$7+SQRT(D533*(Supuestos!$F$7-Supuestos!$D$7)*(Supuestos!$E$7-Supuestos!$D$7)),Supuestos!$F$7-SQRT((1-D533)*(Supuestos!$F$7-Supuestos!$D$7)*(Supuestos!$F$7-Supuestos!$E$7))),IF(Supuestos!$C$7="Uniforme",Supuestos!$D$7+D533*(Supuestos!$E$7-Supuestos!$D$7),IF(Supuestos!$C$7="Lognormal",LOGINV(D533,LN(Supuestos!$D$7)-LN(1+Supuestos!$E$7^2/Supuestos!$D$7^2)/2,SQRT(LN(1+Supuestos!$E$7^2/Supuestos!$D$7^2))),Supuestos!$D$7))))))</f>
        <v/>
      </c>
      <c r="L533" s="32">
        <f>MIN(IF(Supuestos!$H$8="",1E+99,Supuestos!$H$8),MAX(IF(Supuestos!$G$8="",-1E+99,Supuestos!$G$8),IF(Supuestos!$C$8="Normal",NORMINV(E533,Supuestos!$D$8,Supuestos!$E$8),IF(Supuestos!$C$8="Triangular",IF(E533&lt;(Supuestos!$E$8-Supuestos!$D$8)/(Supuestos!$F$8-Supuestos!$D$8),Supuestos!$D$8+SQRT(E533*(Supuestos!$F$8-Supuestos!$D$8)*(Supuestos!$E$8-Supuestos!$D$8)),Supuestos!$F$8-SQRT((1-E533)*(Supuestos!$F$8-Supuestos!$D$8)*(Supuestos!$F$8-Supuestos!$E$8))),IF(Supuestos!$C$8="Uniforme",Supuestos!$D$8+E533*(Supuestos!$E$8-Supuestos!$D$8),IF(Supuestos!$C$8="Lognormal",LOGINV(E533,LN(Supuestos!$D$8)-LN(1+Supuestos!$E$8^2/Supuestos!$D$8^2)/2,SQRT(LN(1+Supuestos!$E$8^2/Supuestos!$D$8^2))),Supuestos!$D$8))))))</f>
        <v/>
      </c>
      <c r="M533" s="32">
        <f>MIN(IF(Supuestos!$H$9="",1E+99,Supuestos!$H$9),MAX(IF(Supuestos!$G$9="",-1E+99,Supuestos!$G$9),IF(Supuestos!$C$9="Normal",NORMINV(F533,Supuestos!$D$9,Supuestos!$E$9),IF(Supuestos!$C$9="Triangular",IF(F533&lt;(Supuestos!$E$9-Supuestos!$D$9)/(Supuestos!$F$9-Supuestos!$D$9),Supuestos!$D$9+SQRT(F533*(Supuestos!$F$9-Supuestos!$D$9)*(Supuestos!$E$9-Supuestos!$D$9)),Supuestos!$F$9-SQRT((1-F533)*(Supuestos!$F$9-Supuestos!$D$9)*(Supuestos!$F$9-Supuestos!$E$9))),IF(Supuestos!$C$9="Uniforme",Supuestos!$D$9+F533*(Supuestos!$E$9-Supuestos!$D$9),IF(Supuestos!$C$9="Lognormal",LOGINV(F533,LN(Supuestos!$D$9)-LN(1+Supuestos!$E$9^2/Supuestos!$D$9^2)/2,SQRT(LN(1+Supuestos!$E$9^2/Supuestos!$D$9^2))),Supuestos!$D$9))))))</f>
        <v/>
      </c>
      <c r="N533" s="32">
        <f>MIN(IF(Supuestos!$H$10="",1E+99,Supuestos!$H$10),MAX(IF(Supuestos!$G$10="",-1E+99,Supuestos!$G$10),IF(Supuestos!$C$10="Normal",NORMINV(G533,Supuestos!$D$10,Supuestos!$E$10),IF(Supuestos!$C$10="Triangular",IF(G533&lt;(Supuestos!$E$10-Supuestos!$D$10)/(Supuestos!$F$10-Supuestos!$D$10),Supuestos!$D$10+SQRT(G533*(Supuestos!$F$10-Supuestos!$D$10)*(Supuestos!$E$10-Supuestos!$D$10)),Supuestos!$F$10-SQRT((1-G533)*(Supuestos!$F$10-Supuestos!$D$10)*(Supuestos!$F$10-Supuestos!$E$10))),IF(Supuestos!$C$10="Uniforme",Supuestos!$D$10+G533*(Supuestos!$E$10-Supuestos!$D$10),IF(Supuestos!$C$10="Lognormal",LOGINV(G533,LN(Supuestos!$D$10)-LN(1+Supuestos!$E$10^2/Supuestos!$D$10^2)/2,SQRT(LN(1+Supuestos!$E$10^2/Supuestos!$D$10^2))),Supuestos!$D$10))))))</f>
        <v/>
      </c>
      <c r="O533" s="31">
        <f>MIN(IF(Supuestos!$H$11="",1E+99,Supuestos!$H$11),MAX(IF(Supuestos!$G$11="",-1E+99,Supuestos!$G$11),IF(Supuestos!$C$11="Normal",NORMINV(H533,Supuestos!$D$11,Supuestos!$E$11),IF(Supuestos!$C$11="Triangular",IF(H533&lt;(Supuestos!$E$11-Supuestos!$D$11)/(Supuestos!$F$11-Supuestos!$D$11),Supuestos!$D$11+SQRT(H533*(Supuestos!$F$11-Supuestos!$D$11)*(Supuestos!$E$11-Supuestos!$D$11)),Supuestos!$F$11-SQRT((1-H533)*(Supuestos!$F$11-Supuestos!$D$11)*(Supuestos!$F$11-Supuestos!$E$11))),IF(Supuestos!$C$11="Uniforme",Supuestos!$D$11+H533*(Supuestos!$E$11-Supuestos!$D$11),IF(Supuestos!$C$11="Lognormal",LOGINV(H533,LN(Supuestos!$D$11)-LN(1+Supuestos!$E$11^2/Supuestos!$D$11^2)/2,SQRT(LN(1+Supuestos!$E$11^2/Supuestos!$D$11^2))),Supuestos!$D$11))))))</f>
        <v/>
      </c>
      <c r="P533" s="33">
        <f>-I533</f>
        <v/>
      </c>
      <c r="Q533" s="33">
        <f>$J533*(1+$K533)^(1-1)*(1-$L533)*(1-$M533)</f>
        <v/>
      </c>
      <c r="R533" s="33">
        <f>$J533*(1+$K533)^(2-1)*(1-$L533)*(1-$M533)</f>
        <v/>
      </c>
      <c r="S533" s="33">
        <f>$J533*(1+$K533)^(3-1)*(1-$L533)*(1-$M533)</f>
        <v/>
      </c>
      <c r="T533" s="33">
        <f>$J533*(1+$K533)^(4-1)*(1-$L533)*(1-$M533)</f>
        <v/>
      </c>
      <c r="U533" s="33">
        <f>$J533*(1+$K533)^(5-1)*(1-$L533)*(1-$M533)+$O533</f>
        <v/>
      </c>
      <c r="V533" s="33">
        <f>P533+NPV($N533,Q533:U533)</f>
        <v/>
      </c>
      <c r="W533" s="32">
        <f>IFERROR(IRR(P533:U533,0.1),"")</f>
        <v/>
      </c>
    </row>
    <row r="534">
      <c r="A534" s="14" t="n">
        <v>530</v>
      </c>
      <c r="B534" s="30">
        <f>RAND()*(1-2E-6)+1E-6</f>
        <v/>
      </c>
      <c r="C534" s="30">
        <f>RAND()*(1-2E-6)+1E-6</f>
        <v/>
      </c>
      <c r="D534" s="30">
        <f>RAND()*(1-2E-6)+1E-6</f>
        <v/>
      </c>
      <c r="E534" s="30">
        <f>RAND()*(1-2E-6)+1E-6</f>
        <v/>
      </c>
      <c r="F534" s="30">
        <f>RAND()*(1-2E-6)+1E-6</f>
        <v/>
      </c>
      <c r="G534" s="30">
        <f>RAND()*(1-2E-6)+1E-6</f>
        <v/>
      </c>
      <c r="H534" s="30">
        <f>RAND()*(1-2E-6)+1E-6</f>
        <v/>
      </c>
      <c r="I534" s="31">
        <f>MIN(IF(Supuestos!$H$5="",1E+99,Supuestos!$H$5),MAX(IF(Supuestos!$G$5="",-1E+99,Supuestos!$G$5),IF(Supuestos!$C$5="Normal",NORMINV(B534,Supuestos!$D$5,Supuestos!$E$5),IF(Supuestos!$C$5="Triangular",IF(B534&lt;(Supuestos!$E$5-Supuestos!$D$5)/(Supuestos!$F$5-Supuestos!$D$5),Supuestos!$D$5+SQRT(B534*(Supuestos!$F$5-Supuestos!$D$5)*(Supuestos!$E$5-Supuestos!$D$5)),Supuestos!$F$5-SQRT((1-B534)*(Supuestos!$F$5-Supuestos!$D$5)*(Supuestos!$F$5-Supuestos!$E$5))),IF(Supuestos!$C$5="Uniforme",Supuestos!$D$5+B534*(Supuestos!$E$5-Supuestos!$D$5),IF(Supuestos!$C$5="Lognormal",LOGINV(B534,LN(Supuestos!$D$5)-LN(1+Supuestos!$E$5^2/Supuestos!$D$5^2)/2,SQRT(LN(1+Supuestos!$E$5^2/Supuestos!$D$5^2))),Supuestos!$D$5))))))</f>
        <v/>
      </c>
      <c r="J534" s="31">
        <f>MIN(IF(Supuestos!$H$6="",1E+99,Supuestos!$H$6),MAX(IF(Supuestos!$G$6="",-1E+99,Supuestos!$G$6),IF(Supuestos!$C$6="Normal",NORMINV(C534,Supuestos!$D$6,Supuestos!$E$6),IF(Supuestos!$C$6="Triangular",IF(C534&lt;(Supuestos!$E$6-Supuestos!$D$6)/(Supuestos!$F$6-Supuestos!$D$6),Supuestos!$D$6+SQRT(C534*(Supuestos!$F$6-Supuestos!$D$6)*(Supuestos!$E$6-Supuestos!$D$6)),Supuestos!$F$6-SQRT((1-C534)*(Supuestos!$F$6-Supuestos!$D$6)*(Supuestos!$F$6-Supuestos!$E$6))),IF(Supuestos!$C$6="Uniforme",Supuestos!$D$6+C534*(Supuestos!$E$6-Supuestos!$D$6),IF(Supuestos!$C$6="Lognormal",LOGINV(C534,LN(Supuestos!$D$6)-LN(1+Supuestos!$E$6^2/Supuestos!$D$6^2)/2,SQRT(LN(1+Supuestos!$E$6^2/Supuestos!$D$6^2))),Supuestos!$D$6))))))</f>
        <v/>
      </c>
      <c r="K534" s="32">
        <f>MIN(IF(Supuestos!$H$7="",1E+99,Supuestos!$H$7),MAX(IF(Supuestos!$G$7="",-1E+99,Supuestos!$G$7),IF(Supuestos!$C$7="Normal",NORMINV(D534,Supuestos!$D$7,Supuestos!$E$7),IF(Supuestos!$C$7="Triangular",IF(D534&lt;(Supuestos!$E$7-Supuestos!$D$7)/(Supuestos!$F$7-Supuestos!$D$7),Supuestos!$D$7+SQRT(D534*(Supuestos!$F$7-Supuestos!$D$7)*(Supuestos!$E$7-Supuestos!$D$7)),Supuestos!$F$7-SQRT((1-D534)*(Supuestos!$F$7-Supuestos!$D$7)*(Supuestos!$F$7-Supuestos!$E$7))),IF(Supuestos!$C$7="Uniforme",Supuestos!$D$7+D534*(Supuestos!$E$7-Supuestos!$D$7),IF(Supuestos!$C$7="Lognormal",LOGINV(D534,LN(Supuestos!$D$7)-LN(1+Supuestos!$E$7^2/Supuestos!$D$7^2)/2,SQRT(LN(1+Supuestos!$E$7^2/Supuestos!$D$7^2))),Supuestos!$D$7))))))</f>
        <v/>
      </c>
      <c r="L534" s="32">
        <f>MIN(IF(Supuestos!$H$8="",1E+99,Supuestos!$H$8),MAX(IF(Supuestos!$G$8="",-1E+99,Supuestos!$G$8),IF(Supuestos!$C$8="Normal",NORMINV(E534,Supuestos!$D$8,Supuestos!$E$8),IF(Supuestos!$C$8="Triangular",IF(E534&lt;(Supuestos!$E$8-Supuestos!$D$8)/(Supuestos!$F$8-Supuestos!$D$8),Supuestos!$D$8+SQRT(E534*(Supuestos!$F$8-Supuestos!$D$8)*(Supuestos!$E$8-Supuestos!$D$8)),Supuestos!$F$8-SQRT((1-E534)*(Supuestos!$F$8-Supuestos!$D$8)*(Supuestos!$F$8-Supuestos!$E$8))),IF(Supuestos!$C$8="Uniforme",Supuestos!$D$8+E534*(Supuestos!$E$8-Supuestos!$D$8),IF(Supuestos!$C$8="Lognormal",LOGINV(E534,LN(Supuestos!$D$8)-LN(1+Supuestos!$E$8^2/Supuestos!$D$8^2)/2,SQRT(LN(1+Supuestos!$E$8^2/Supuestos!$D$8^2))),Supuestos!$D$8))))))</f>
        <v/>
      </c>
      <c r="M534" s="32">
        <f>MIN(IF(Supuestos!$H$9="",1E+99,Supuestos!$H$9),MAX(IF(Supuestos!$G$9="",-1E+99,Supuestos!$G$9),IF(Supuestos!$C$9="Normal",NORMINV(F534,Supuestos!$D$9,Supuestos!$E$9),IF(Supuestos!$C$9="Triangular",IF(F534&lt;(Supuestos!$E$9-Supuestos!$D$9)/(Supuestos!$F$9-Supuestos!$D$9),Supuestos!$D$9+SQRT(F534*(Supuestos!$F$9-Supuestos!$D$9)*(Supuestos!$E$9-Supuestos!$D$9)),Supuestos!$F$9-SQRT((1-F534)*(Supuestos!$F$9-Supuestos!$D$9)*(Supuestos!$F$9-Supuestos!$E$9))),IF(Supuestos!$C$9="Uniforme",Supuestos!$D$9+F534*(Supuestos!$E$9-Supuestos!$D$9),IF(Supuestos!$C$9="Lognormal",LOGINV(F534,LN(Supuestos!$D$9)-LN(1+Supuestos!$E$9^2/Supuestos!$D$9^2)/2,SQRT(LN(1+Supuestos!$E$9^2/Supuestos!$D$9^2))),Supuestos!$D$9))))))</f>
        <v/>
      </c>
      <c r="N534" s="32">
        <f>MIN(IF(Supuestos!$H$10="",1E+99,Supuestos!$H$10),MAX(IF(Supuestos!$G$10="",-1E+99,Supuestos!$G$10),IF(Supuestos!$C$10="Normal",NORMINV(G534,Supuestos!$D$10,Supuestos!$E$10),IF(Supuestos!$C$10="Triangular",IF(G534&lt;(Supuestos!$E$10-Supuestos!$D$10)/(Supuestos!$F$10-Supuestos!$D$10),Supuestos!$D$10+SQRT(G534*(Supuestos!$F$10-Supuestos!$D$10)*(Supuestos!$E$10-Supuestos!$D$10)),Supuestos!$F$10-SQRT((1-G534)*(Supuestos!$F$10-Supuestos!$D$10)*(Supuestos!$F$10-Supuestos!$E$10))),IF(Supuestos!$C$10="Uniforme",Supuestos!$D$10+G534*(Supuestos!$E$10-Supuestos!$D$10),IF(Supuestos!$C$10="Lognormal",LOGINV(G534,LN(Supuestos!$D$10)-LN(1+Supuestos!$E$10^2/Supuestos!$D$10^2)/2,SQRT(LN(1+Supuestos!$E$10^2/Supuestos!$D$10^2))),Supuestos!$D$10))))))</f>
        <v/>
      </c>
      <c r="O534" s="31">
        <f>MIN(IF(Supuestos!$H$11="",1E+99,Supuestos!$H$11),MAX(IF(Supuestos!$G$11="",-1E+99,Supuestos!$G$11),IF(Supuestos!$C$11="Normal",NORMINV(H534,Supuestos!$D$11,Supuestos!$E$11),IF(Supuestos!$C$11="Triangular",IF(H534&lt;(Supuestos!$E$11-Supuestos!$D$11)/(Supuestos!$F$11-Supuestos!$D$11),Supuestos!$D$11+SQRT(H534*(Supuestos!$F$11-Supuestos!$D$11)*(Supuestos!$E$11-Supuestos!$D$11)),Supuestos!$F$11-SQRT((1-H534)*(Supuestos!$F$11-Supuestos!$D$11)*(Supuestos!$F$11-Supuestos!$E$11))),IF(Supuestos!$C$11="Uniforme",Supuestos!$D$11+H534*(Supuestos!$E$11-Supuestos!$D$11),IF(Supuestos!$C$11="Lognormal",LOGINV(H534,LN(Supuestos!$D$11)-LN(1+Supuestos!$E$11^2/Supuestos!$D$11^2)/2,SQRT(LN(1+Supuestos!$E$11^2/Supuestos!$D$11^2))),Supuestos!$D$11))))))</f>
        <v/>
      </c>
      <c r="P534" s="33">
        <f>-I534</f>
        <v/>
      </c>
      <c r="Q534" s="33">
        <f>$J534*(1+$K534)^(1-1)*(1-$L534)*(1-$M534)</f>
        <v/>
      </c>
      <c r="R534" s="33">
        <f>$J534*(1+$K534)^(2-1)*(1-$L534)*(1-$M534)</f>
        <v/>
      </c>
      <c r="S534" s="33">
        <f>$J534*(1+$K534)^(3-1)*(1-$L534)*(1-$M534)</f>
        <v/>
      </c>
      <c r="T534" s="33">
        <f>$J534*(1+$K534)^(4-1)*(1-$L534)*(1-$M534)</f>
        <v/>
      </c>
      <c r="U534" s="33">
        <f>$J534*(1+$K534)^(5-1)*(1-$L534)*(1-$M534)+$O534</f>
        <v/>
      </c>
      <c r="V534" s="33">
        <f>P534+NPV($N534,Q534:U534)</f>
        <v/>
      </c>
      <c r="W534" s="32">
        <f>IFERROR(IRR(P534:U534,0.1),"")</f>
        <v/>
      </c>
    </row>
    <row r="535">
      <c r="A535" s="14" t="n">
        <v>531</v>
      </c>
      <c r="B535" s="30">
        <f>RAND()*(1-2E-6)+1E-6</f>
        <v/>
      </c>
      <c r="C535" s="30">
        <f>RAND()*(1-2E-6)+1E-6</f>
        <v/>
      </c>
      <c r="D535" s="30">
        <f>RAND()*(1-2E-6)+1E-6</f>
        <v/>
      </c>
      <c r="E535" s="30">
        <f>RAND()*(1-2E-6)+1E-6</f>
        <v/>
      </c>
      <c r="F535" s="30">
        <f>RAND()*(1-2E-6)+1E-6</f>
        <v/>
      </c>
      <c r="G535" s="30">
        <f>RAND()*(1-2E-6)+1E-6</f>
        <v/>
      </c>
      <c r="H535" s="30">
        <f>RAND()*(1-2E-6)+1E-6</f>
        <v/>
      </c>
      <c r="I535" s="31">
        <f>MIN(IF(Supuestos!$H$5="",1E+99,Supuestos!$H$5),MAX(IF(Supuestos!$G$5="",-1E+99,Supuestos!$G$5),IF(Supuestos!$C$5="Normal",NORMINV(B535,Supuestos!$D$5,Supuestos!$E$5),IF(Supuestos!$C$5="Triangular",IF(B535&lt;(Supuestos!$E$5-Supuestos!$D$5)/(Supuestos!$F$5-Supuestos!$D$5),Supuestos!$D$5+SQRT(B535*(Supuestos!$F$5-Supuestos!$D$5)*(Supuestos!$E$5-Supuestos!$D$5)),Supuestos!$F$5-SQRT((1-B535)*(Supuestos!$F$5-Supuestos!$D$5)*(Supuestos!$F$5-Supuestos!$E$5))),IF(Supuestos!$C$5="Uniforme",Supuestos!$D$5+B535*(Supuestos!$E$5-Supuestos!$D$5),IF(Supuestos!$C$5="Lognormal",LOGINV(B535,LN(Supuestos!$D$5)-LN(1+Supuestos!$E$5^2/Supuestos!$D$5^2)/2,SQRT(LN(1+Supuestos!$E$5^2/Supuestos!$D$5^2))),Supuestos!$D$5))))))</f>
        <v/>
      </c>
      <c r="J535" s="31">
        <f>MIN(IF(Supuestos!$H$6="",1E+99,Supuestos!$H$6),MAX(IF(Supuestos!$G$6="",-1E+99,Supuestos!$G$6),IF(Supuestos!$C$6="Normal",NORMINV(C535,Supuestos!$D$6,Supuestos!$E$6),IF(Supuestos!$C$6="Triangular",IF(C535&lt;(Supuestos!$E$6-Supuestos!$D$6)/(Supuestos!$F$6-Supuestos!$D$6),Supuestos!$D$6+SQRT(C535*(Supuestos!$F$6-Supuestos!$D$6)*(Supuestos!$E$6-Supuestos!$D$6)),Supuestos!$F$6-SQRT((1-C535)*(Supuestos!$F$6-Supuestos!$D$6)*(Supuestos!$F$6-Supuestos!$E$6))),IF(Supuestos!$C$6="Uniforme",Supuestos!$D$6+C535*(Supuestos!$E$6-Supuestos!$D$6),IF(Supuestos!$C$6="Lognormal",LOGINV(C535,LN(Supuestos!$D$6)-LN(1+Supuestos!$E$6^2/Supuestos!$D$6^2)/2,SQRT(LN(1+Supuestos!$E$6^2/Supuestos!$D$6^2))),Supuestos!$D$6))))))</f>
        <v/>
      </c>
      <c r="K535" s="32">
        <f>MIN(IF(Supuestos!$H$7="",1E+99,Supuestos!$H$7),MAX(IF(Supuestos!$G$7="",-1E+99,Supuestos!$G$7),IF(Supuestos!$C$7="Normal",NORMINV(D535,Supuestos!$D$7,Supuestos!$E$7),IF(Supuestos!$C$7="Triangular",IF(D535&lt;(Supuestos!$E$7-Supuestos!$D$7)/(Supuestos!$F$7-Supuestos!$D$7),Supuestos!$D$7+SQRT(D535*(Supuestos!$F$7-Supuestos!$D$7)*(Supuestos!$E$7-Supuestos!$D$7)),Supuestos!$F$7-SQRT((1-D535)*(Supuestos!$F$7-Supuestos!$D$7)*(Supuestos!$F$7-Supuestos!$E$7))),IF(Supuestos!$C$7="Uniforme",Supuestos!$D$7+D535*(Supuestos!$E$7-Supuestos!$D$7),IF(Supuestos!$C$7="Lognormal",LOGINV(D535,LN(Supuestos!$D$7)-LN(1+Supuestos!$E$7^2/Supuestos!$D$7^2)/2,SQRT(LN(1+Supuestos!$E$7^2/Supuestos!$D$7^2))),Supuestos!$D$7))))))</f>
        <v/>
      </c>
      <c r="L535" s="32">
        <f>MIN(IF(Supuestos!$H$8="",1E+99,Supuestos!$H$8),MAX(IF(Supuestos!$G$8="",-1E+99,Supuestos!$G$8),IF(Supuestos!$C$8="Normal",NORMINV(E535,Supuestos!$D$8,Supuestos!$E$8),IF(Supuestos!$C$8="Triangular",IF(E535&lt;(Supuestos!$E$8-Supuestos!$D$8)/(Supuestos!$F$8-Supuestos!$D$8),Supuestos!$D$8+SQRT(E535*(Supuestos!$F$8-Supuestos!$D$8)*(Supuestos!$E$8-Supuestos!$D$8)),Supuestos!$F$8-SQRT((1-E535)*(Supuestos!$F$8-Supuestos!$D$8)*(Supuestos!$F$8-Supuestos!$E$8))),IF(Supuestos!$C$8="Uniforme",Supuestos!$D$8+E535*(Supuestos!$E$8-Supuestos!$D$8),IF(Supuestos!$C$8="Lognormal",LOGINV(E535,LN(Supuestos!$D$8)-LN(1+Supuestos!$E$8^2/Supuestos!$D$8^2)/2,SQRT(LN(1+Supuestos!$E$8^2/Supuestos!$D$8^2))),Supuestos!$D$8))))))</f>
        <v/>
      </c>
      <c r="M535" s="32">
        <f>MIN(IF(Supuestos!$H$9="",1E+99,Supuestos!$H$9),MAX(IF(Supuestos!$G$9="",-1E+99,Supuestos!$G$9),IF(Supuestos!$C$9="Normal",NORMINV(F535,Supuestos!$D$9,Supuestos!$E$9),IF(Supuestos!$C$9="Triangular",IF(F535&lt;(Supuestos!$E$9-Supuestos!$D$9)/(Supuestos!$F$9-Supuestos!$D$9),Supuestos!$D$9+SQRT(F535*(Supuestos!$F$9-Supuestos!$D$9)*(Supuestos!$E$9-Supuestos!$D$9)),Supuestos!$F$9-SQRT((1-F535)*(Supuestos!$F$9-Supuestos!$D$9)*(Supuestos!$F$9-Supuestos!$E$9))),IF(Supuestos!$C$9="Uniforme",Supuestos!$D$9+F535*(Supuestos!$E$9-Supuestos!$D$9),IF(Supuestos!$C$9="Lognormal",LOGINV(F535,LN(Supuestos!$D$9)-LN(1+Supuestos!$E$9^2/Supuestos!$D$9^2)/2,SQRT(LN(1+Supuestos!$E$9^2/Supuestos!$D$9^2))),Supuestos!$D$9))))))</f>
        <v/>
      </c>
      <c r="N535" s="32">
        <f>MIN(IF(Supuestos!$H$10="",1E+99,Supuestos!$H$10),MAX(IF(Supuestos!$G$10="",-1E+99,Supuestos!$G$10),IF(Supuestos!$C$10="Normal",NORMINV(G535,Supuestos!$D$10,Supuestos!$E$10),IF(Supuestos!$C$10="Triangular",IF(G535&lt;(Supuestos!$E$10-Supuestos!$D$10)/(Supuestos!$F$10-Supuestos!$D$10),Supuestos!$D$10+SQRT(G535*(Supuestos!$F$10-Supuestos!$D$10)*(Supuestos!$E$10-Supuestos!$D$10)),Supuestos!$F$10-SQRT((1-G535)*(Supuestos!$F$10-Supuestos!$D$10)*(Supuestos!$F$10-Supuestos!$E$10))),IF(Supuestos!$C$10="Uniforme",Supuestos!$D$10+G535*(Supuestos!$E$10-Supuestos!$D$10),IF(Supuestos!$C$10="Lognormal",LOGINV(G535,LN(Supuestos!$D$10)-LN(1+Supuestos!$E$10^2/Supuestos!$D$10^2)/2,SQRT(LN(1+Supuestos!$E$10^2/Supuestos!$D$10^2))),Supuestos!$D$10))))))</f>
        <v/>
      </c>
      <c r="O535" s="31">
        <f>MIN(IF(Supuestos!$H$11="",1E+99,Supuestos!$H$11),MAX(IF(Supuestos!$G$11="",-1E+99,Supuestos!$G$11),IF(Supuestos!$C$11="Normal",NORMINV(H535,Supuestos!$D$11,Supuestos!$E$11),IF(Supuestos!$C$11="Triangular",IF(H535&lt;(Supuestos!$E$11-Supuestos!$D$11)/(Supuestos!$F$11-Supuestos!$D$11),Supuestos!$D$11+SQRT(H535*(Supuestos!$F$11-Supuestos!$D$11)*(Supuestos!$E$11-Supuestos!$D$11)),Supuestos!$F$11-SQRT((1-H535)*(Supuestos!$F$11-Supuestos!$D$11)*(Supuestos!$F$11-Supuestos!$E$11))),IF(Supuestos!$C$11="Uniforme",Supuestos!$D$11+H535*(Supuestos!$E$11-Supuestos!$D$11),IF(Supuestos!$C$11="Lognormal",LOGINV(H535,LN(Supuestos!$D$11)-LN(1+Supuestos!$E$11^2/Supuestos!$D$11^2)/2,SQRT(LN(1+Supuestos!$E$11^2/Supuestos!$D$11^2))),Supuestos!$D$11))))))</f>
        <v/>
      </c>
      <c r="P535" s="33">
        <f>-I535</f>
        <v/>
      </c>
      <c r="Q535" s="33">
        <f>$J535*(1+$K535)^(1-1)*(1-$L535)*(1-$M535)</f>
        <v/>
      </c>
      <c r="R535" s="33">
        <f>$J535*(1+$K535)^(2-1)*(1-$L535)*(1-$M535)</f>
        <v/>
      </c>
      <c r="S535" s="33">
        <f>$J535*(1+$K535)^(3-1)*(1-$L535)*(1-$M535)</f>
        <v/>
      </c>
      <c r="T535" s="33">
        <f>$J535*(1+$K535)^(4-1)*(1-$L535)*(1-$M535)</f>
        <v/>
      </c>
      <c r="U535" s="33">
        <f>$J535*(1+$K535)^(5-1)*(1-$L535)*(1-$M535)+$O535</f>
        <v/>
      </c>
      <c r="V535" s="33">
        <f>P535+NPV($N535,Q535:U535)</f>
        <v/>
      </c>
      <c r="W535" s="32">
        <f>IFERROR(IRR(P535:U535,0.1),"")</f>
        <v/>
      </c>
    </row>
    <row r="536">
      <c r="A536" s="14" t="n">
        <v>532</v>
      </c>
      <c r="B536" s="30">
        <f>RAND()*(1-2E-6)+1E-6</f>
        <v/>
      </c>
      <c r="C536" s="30">
        <f>RAND()*(1-2E-6)+1E-6</f>
        <v/>
      </c>
      <c r="D536" s="30">
        <f>RAND()*(1-2E-6)+1E-6</f>
        <v/>
      </c>
      <c r="E536" s="30">
        <f>RAND()*(1-2E-6)+1E-6</f>
        <v/>
      </c>
      <c r="F536" s="30">
        <f>RAND()*(1-2E-6)+1E-6</f>
        <v/>
      </c>
      <c r="G536" s="30">
        <f>RAND()*(1-2E-6)+1E-6</f>
        <v/>
      </c>
      <c r="H536" s="30">
        <f>RAND()*(1-2E-6)+1E-6</f>
        <v/>
      </c>
      <c r="I536" s="31">
        <f>MIN(IF(Supuestos!$H$5="",1E+99,Supuestos!$H$5),MAX(IF(Supuestos!$G$5="",-1E+99,Supuestos!$G$5),IF(Supuestos!$C$5="Normal",NORMINV(B536,Supuestos!$D$5,Supuestos!$E$5),IF(Supuestos!$C$5="Triangular",IF(B536&lt;(Supuestos!$E$5-Supuestos!$D$5)/(Supuestos!$F$5-Supuestos!$D$5),Supuestos!$D$5+SQRT(B536*(Supuestos!$F$5-Supuestos!$D$5)*(Supuestos!$E$5-Supuestos!$D$5)),Supuestos!$F$5-SQRT((1-B536)*(Supuestos!$F$5-Supuestos!$D$5)*(Supuestos!$F$5-Supuestos!$E$5))),IF(Supuestos!$C$5="Uniforme",Supuestos!$D$5+B536*(Supuestos!$E$5-Supuestos!$D$5),IF(Supuestos!$C$5="Lognormal",LOGINV(B536,LN(Supuestos!$D$5)-LN(1+Supuestos!$E$5^2/Supuestos!$D$5^2)/2,SQRT(LN(1+Supuestos!$E$5^2/Supuestos!$D$5^2))),Supuestos!$D$5))))))</f>
        <v/>
      </c>
      <c r="J536" s="31">
        <f>MIN(IF(Supuestos!$H$6="",1E+99,Supuestos!$H$6),MAX(IF(Supuestos!$G$6="",-1E+99,Supuestos!$G$6),IF(Supuestos!$C$6="Normal",NORMINV(C536,Supuestos!$D$6,Supuestos!$E$6),IF(Supuestos!$C$6="Triangular",IF(C536&lt;(Supuestos!$E$6-Supuestos!$D$6)/(Supuestos!$F$6-Supuestos!$D$6),Supuestos!$D$6+SQRT(C536*(Supuestos!$F$6-Supuestos!$D$6)*(Supuestos!$E$6-Supuestos!$D$6)),Supuestos!$F$6-SQRT((1-C536)*(Supuestos!$F$6-Supuestos!$D$6)*(Supuestos!$F$6-Supuestos!$E$6))),IF(Supuestos!$C$6="Uniforme",Supuestos!$D$6+C536*(Supuestos!$E$6-Supuestos!$D$6),IF(Supuestos!$C$6="Lognormal",LOGINV(C536,LN(Supuestos!$D$6)-LN(1+Supuestos!$E$6^2/Supuestos!$D$6^2)/2,SQRT(LN(1+Supuestos!$E$6^2/Supuestos!$D$6^2))),Supuestos!$D$6))))))</f>
        <v/>
      </c>
      <c r="K536" s="32">
        <f>MIN(IF(Supuestos!$H$7="",1E+99,Supuestos!$H$7),MAX(IF(Supuestos!$G$7="",-1E+99,Supuestos!$G$7),IF(Supuestos!$C$7="Normal",NORMINV(D536,Supuestos!$D$7,Supuestos!$E$7),IF(Supuestos!$C$7="Triangular",IF(D536&lt;(Supuestos!$E$7-Supuestos!$D$7)/(Supuestos!$F$7-Supuestos!$D$7),Supuestos!$D$7+SQRT(D536*(Supuestos!$F$7-Supuestos!$D$7)*(Supuestos!$E$7-Supuestos!$D$7)),Supuestos!$F$7-SQRT((1-D536)*(Supuestos!$F$7-Supuestos!$D$7)*(Supuestos!$F$7-Supuestos!$E$7))),IF(Supuestos!$C$7="Uniforme",Supuestos!$D$7+D536*(Supuestos!$E$7-Supuestos!$D$7),IF(Supuestos!$C$7="Lognormal",LOGINV(D536,LN(Supuestos!$D$7)-LN(1+Supuestos!$E$7^2/Supuestos!$D$7^2)/2,SQRT(LN(1+Supuestos!$E$7^2/Supuestos!$D$7^2))),Supuestos!$D$7))))))</f>
        <v/>
      </c>
      <c r="L536" s="32">
        <f>MIN(IF(Supuestos!$H$8="",1E+99,Supuestos!$H$8),MAX(IF(Supuestos!$G$8="",-1E+99,Supuestos!$G$8),IF(Supuestos!$C$8="Normal",NORMINV(E536,Supuestos!$D$8,Supuestos!$E$8),IF(Supuestos!$C$8="Triangular",IF(E536&lt;(Supuestos!$E$8-Supuestos!$D$8)/(Supuestos!$F$8-Supuestos!$D$8),Supuestos!$D$8+SQRT(E536*(Supuestos!$F$8-Supuestos!$D$8)*(Supuestos!$E$8-Supuestos!$D$8)),Supuestos!$F$8-SQRT((1-E536)*(Supuestos!$F$8-Supuestos!$D$8)*(Supuestos!$F$8-Supuestos!$E$8))),IF(Supuestos!$C$8="Uniforme",Supuestos!$D$8+E536*(Supuestos!$E$8-Supuestos!$D$8),IF(Supuestos!$C$8="Lognormal",LOGINV(E536,LN(Supuestos!$D$8)-LN(1+Supuestos!$E$8^2/Supuestos!$D$8^2)/2,SQRT(LN(1+Supuestos!$E$8^2/Supuestos!$D$8^2))),Supuestos!$D$8))))))</f>
        <v/>
      </c>
      <c r="M536" s="32">
        <f>MIN(IF(Supuestos!$H$9="",1E+99,Supuestos!$H$9),MAX(IF(Supuestos!$G$9="",-1E+99,Supuestos!$G$9),IF(Supuestos!$C$9="Normal",NORMINV(F536,Supuestos!$D$9,Supuestos!$E$9),IF(Supuestos!$C$9="Triangular",IF(F536&lt;(Supuestos!$E$9-Supuestos!$D$9)/(Supuestos!$F$9-Supuestos!$D$9),Supuestos!$D$9+SQRT(F536*(Supuestos!$F$9-Supuestos!$D$9)*(Supuestos!$E$9-Supuestos!$D$9)),Supuestos!$F$9-SQRT((1-F536)*(Supuestos!$F$9-Supuestos!$D$9)*(Supuestos!$F$9-Supuestos!$E$9))),IF(Supuestos!$C$9="Uniforme",Supuestos!$D$9+F536*(Supuestos!$E$9-Supuestos!$D$9),IF(Supuestos!$C$9="Lognormal",LOGINV(F536,LN(Supuestos!$D$9)-LN(1+Supuestos!$E$9^2/Supuestos!$D$9^2)/2,SQRT(LN(1+Supuestos!$E$9^2/Supuestos!$D$9^2))),Supuestos!$D$9))))))</f>
        <v/>
      </c>
      <c r="N536" s="32">
        <f>MIN(IF(Supuestos!$H$10="",1E+99,Supuestos!$H$10),MAX(IF(Supuestos!$G$10="",-1E+99,Supuestos!$G$10),IF(Supuestos!$C$10="Normal",NORMINV(G536,Supuestos!$D$10,Supuestos!$E$10),IF(Supuestos!$C$10="Triangular",IF(G536&lt;(Supuestos!$E$10-Supuestos!$D$10)/(Supuestos!$F$10-Supuestos!$D$10),Supuestos!$D$10+SQRT(G536*(Supuestos!$F$10-Supuestos!$D$10)*(Supuestos!$E$10-Supuestos!$D$10)),Supuestos!$F$10-SQRT((1-G536)*(Supuestos!$F$10-Supuestos!$D$10)*(Supuestos!$F$10-Supuestos!$E$10))),IF(Supuestos!$C$10="Uniforme",Supuestos!$D$10+G536*(Supuestos!$E$10-Supuestos!$D$10),IF(Supuestos!$C$10="Lognormal",LOGINV(G536,LN(Supuestos!$D$10)-LN(1+Supuestos!$E$10^2/Supuestos!$D$10^2)/2,SQRT(LN(1+Supuestos!$E$10^2/Supuestos!$D$10^2))),Supuestos!$D$10))))))</f>
        <v/>
      </c>
      <c r="O536" s="31">
        <f>MIN(IF(Supuestos!$H$11="",1E+99,Supuestos!$H$11),MAX(IF(Supuestos!$G$11="",-1E+99,Supuestos!$G$11),IF(Supuestos!$C$11="Normal",NORMINV(H536,Supuestos!$D$11,Supuestos!$E$11),IF(Supuestos!$C$11="Triangular",IF(H536&lt;(Supuestos!$E$11-Supuestos!$D$11)/(Supuestos!$F$11-Supuestos!$D$11),Supuestos!$D$11+SQRT(H536*(Supuestos!$F$11-Supuestos!$D$11)*(Supuestos!$E$11-Supuestos!$D$11)),Supuestos!$F$11-SQRT((1-H536)*(Supuestos!$F$11-Supuestos!$D$11)*(Supuestos!$F$11-Supuestos!$E$11))),IF(Supuestos!$C$11="Uniforme",Supuestos!$D$11+H536*(Supuestos!$E$11-Supuestos!$D$11),IF(Supuestos!$C$11="Lognormal",LOGINV(H536,LN(Supuestos!$D$11)-LN(1+Supuestos!$E$11^2/Supuestos!$D$11^2)/2,SQRT(LN(1+Supuestos!$E$11^2/Supuestos!$D$11^2))),Supuestos!$D$11))))))</f>
        <v/>
      </c>
      <c r="P536" s="33">
        <f>-I536</f>
        <v/>
      </c>
      <c r="Q536" s="33">
        <f>$J536*(1+$K536)^(1-1)*(1-$L536)*(1-$M536)</f>
        <v/>
      </c>
      <c r="R536" s="33">
        <f>$J536*(1+$K536)^(2-1)*(1-$L536)*(1-$M536)</f>
        <v/>
      </c>
      <c r="S536" s="33">
        <f>$J536*(1+$K536)^(3-1)*(1-$L536)*(1-$M536)</f>
        <v/>
      </c>
      <c r="T536" s="33">
        <f>$J536*(1+$K536)^(4-1)*(1-$L536)*(1-$M536)</f>
        <v/>
      </c>
      <c r="U536" s="33">
        <f>$J536*(1+$K536)^(5-1)*(1-$L536)*(1-$M536)+$O536</f>
        <v/>
      </c>
      <c r="V536" s="33">
        <f>P536+NPV($N536,Q536:U536)</f>
        <v/>
      </c>
      <c r="W536" s="32">
        <f>IFERROR(IRR(P536:U536,0.1),"")</f>
        <v/>
      </c>
    </row>
    <row r="537">
      <c r="A537" s="14" t="n">
        <v>533</v>
      </c>
      <c r="B537" s="30">
        <f>RAND()*(1-2E-6)+1E-6</f>
        <v/>
      </c>
      <c r="C537" s="30">
        <f>RAND()*(1-2E-6)+1E-6</f>
        <v/>
      </c>
      <c r="D537" s="30">
        <f>RAND()*(1-2E-6)+1E-6</f>
        <v/>
      </c>
      <c r="E537" s="30">
        <f>RAND()*(1-2E-6)+1E-6</f>
        <v/>
      </c>
      <c r="F537" s="30">
        <f>RAND()*(1-2E-6)+1E-6</f>
        <v/>
      </c>
      <c r="G537" s="30">
        <f>RAND()*(1-2E-6)+1E-6</f>
        <v/>
      </c>
      <c r="H537" s="30">
        <f>RAND()*(1-2E-6)+1E-6</f>
        <v/>
      </c>
      <c r="I537" s="31">
        <f>MIN(IF(Supuestos!$H$5="",1E+99,Supuestos!$H$5),MAX(IF(Supuestos!$G$5="",-1E+99,Supuestos!$G$5),IF(Supuestos!$C$5="Normal",NORMINV(B537,Supuestos!$D$5,Supuestos!$E$5),IF(Supuestos!$C$5="Triangular",IF(B537&lt;(Supuestos!$E$5-Supuestos!$D$5)/(Supuestos!$F$5-Supuestos!$D$5),Supuestos!$D$5+SQRT(B537*(Supuestos!$F$5-Supuestos!$D$5)*(Supuestos!$E$5-Supuestos!$D$5)),Supuestos!$F$5-SQRT((1-B537)*(Supuestos!$F$5-Supuestos!$D$5)*(Supuestos!$F$5-Supuestos!$E$5))),IF(Supuestos!$C$5="Uniforme",Supuestos!$D$5+B537*(Supuestos!$E$5-Supuestos!$D$5),IF(Supuestos!$C$5="Lognormal",LOGINV(B537,LN(Supuestos!$D$5)-LN(1+Supuestos!$E$5^2/Supuestos!$D$5^2)/2,SQRT(LN(1+Supuestos!$E$5^2/Supuestos!$D$5^2))),Supuestos!$D$5))))))</f>
        <v/>
      </c>
      <c r="J537" s="31">
        <f>MIN(IF(Supuestos!$H$6="",1E+99,Supuestos!$H$6),MAX(IF(Supuestos!$G$6="",-1E+99,Supuestos!$G$6),IF(Supuestos!$C$6="Normal",NORMINV(C537,Supuestos!$D$6,Supuestos!$E$6),IF(Supuestos!$C$6="Triangular",IF(C537&lt;(Supuestos!$E$6-Supuestos!$D$6)/(Supuestos!$F$6-Supuestos!$D$6),Supuestos!$D$6+SQRT(C537*(Supuestos!$F$6-Supuestos!$D$6)*(Supuestos!$E$6-Supuestos!$D$6)),Supuestos!$F$6-SQRT((1-C537)*(Supuestos!$F$6-Supuestos!$D$6)*(Supuestos!$F$6-Supuestos!$E$6))),IF(Supuestos!$C$6="Uniforme",Supuestos!$D$6+C537*(Supuestos!$E$6-Supuestos!$D$6),IF(Supuestos!$C$6="Lognormal",LOGINV(C537,LN(Supuestos!$D$6)-LN(1+Supuestos!$E$6^2/Supuestos!$D$6^2)/2,SQRT(LN(1+Supuestos!$E$6^2/Supuestos!$D$6^2))),Supuestos!$D$6))))))</f>
        <v/>
      </c>
      <c r="K537" s="32">
        <f>MIN(IF(Supuestos!$H$7="",1E+99,Supuestos!$H$7),MAX(IF(Supuestos!$G$7="",-1E+99,Supuestos!$G$7),IF(Supuestos!$C$7="Normal",NORMINV(D537,Supuestos!$D$7,Supuestos!$E$7),IF(Supuestos!$C$7="Triangular",IF(D537&lt;(Supuestos!$E$7-Supuestos!$D$7)/(Supuestos!$F$7-Supuestos!$D$7),Supuestos!$D$7+SQRT(D537*(Supuestos!$F$7-Supuestos!$D$7)*(Supuestos!$E$7-Supuestos!$D$7)),Supuestos!$F$7-SQRT((1-D537)*(Supuestos!$F$7-Supuestos!$D$7)*(Supuestos!$F$7-Supuestos!$E$7))),IF(Supuestos!$C$7="Uniforme",Supuestos!$D$7+D537*(Supuestos!$E$7-Supuestos!$D$7),IF(Supuestos!$C$7="Lognormal",LOGINV(D537,LN(Supuestos!$D$7)-LN(1+Supuestos!$E$7^2/Supuestos!$D$7^2)/2,SQRT(LN(1+Supuestos!$E$7^2/Supuestos!$D$7^2))),Supuestos!$D$7))))))</f>
        <v/>
      </c>
      <c r="L537" s="32">
        <f>MIN(IF(Supuestos!$H$8="",1E+99,Supuestos!$H$8),MAX(IF(Supuestos!$G$8="",-1E+99,Supuestos!$G$8),IF(Supuestos!$C$8="Normal",NORMINV(E537,Supuestos!$D$8,Supuestos!$E$8),IF(Supuestos!$C$8="Triangular",IF(E537&lt;(Supuestos!$E$8-Supuestos!$D$8)/(Supuestos!$F$8-Supuestos!$D$8),Supuestos!$D$8+SQRT(E537*(Supuestos!$F$8-Supuestos!$D$8)*(Supuestos!$E$8-Supuestos!$D$8)),Supuestos!$F$8-SQRT((1-E537)*(Supuestos!$F$8-Supuestos!$D$8)*(Supuestos!$F$8-Supuestos!$E$8))),IF(Supuestos!$C$8="Uniforme",Supuestos!$D$8+E537*(Supuestos!$E$8-Supuestos!$D$8),IF(Supuestos!$C$8="Lognormal",LOGINV(E537,LN(Supuestos!$D$8)-LN(1+Supuestos!$E$8^2/Supuestos!$D$8^2)/2,SQRT(LN(1+Supuestos!$E$8^2/Supuestos!$D$8^2))),Supuestos!$D$8))))))</f>
        <v/>
      </c>
      <c r="M537" s="32">
        <f>MIN(IF(Supuestos!$H$9="",1E+99,Supuestos!$H$9),MAX(IF(Supuestos!$G$9="",-1E+99,Supuestos!$G$9),IF(Supuestos!$C$9="Normal",NORMINV(F537,Supuestos!$D$9,Supuestos!$E$9),IF(Supuestos!$C$9="Triangular",IF(F537&lt;(Supuestos!$E$9-Supuestos!$D$9)/(Supuestos!$F$9-Supuestos!$D$9),Supuestos!$D$9+SQRT(F537*(Supuestos!$F$9-Supuestos!$D$9)*(Supuestos!$E$9-Supuestos!$D$9)),Supuestos!$F$9-SQRT((1-F537)*(Supuestos!$F$9-Supuestos!$D$9)*(Supuestos!$F$9-Supuestos!$E$9))),IF(Supuestos!$C$9="Uniforme",Supuestos!$D$9+F537*(Supuestos!$E$9-Supuestos!$D$9),IF(Supuestos!$C$9="Lognormal",LOGINV(F537,LN(Supuestos!$D$9)-LN(1+Supuestos!$E$9^2/Supuestos!$D$9^2)/2,SQRT(LN(1+Supuestos!$E$9^2/Supuestos!$D$9^2))),Supuestos!$D$9))))))</f>
        <v/>
      </c>
      <c r="N537" s="32">
        <f>MIN(IF(Supuestos!$H$10="",1E+99,Supuestos!$H$10),MAX(IF(Supuestos!$G$10="",-1E+99,Supuestos!$G$10),IF(Supuestos!$C$10="Normal",NORMINV(G537,Supuestos!$D$10,Supuestos!$E$10),IF(Supuestos!$C$10="Triangular",IF(G537&lt;(Supuestos!$E$10-Supuestos!$D$10)/(Supuestos!$F$10-Supuestos!$D$10),Supuestos!$D$10+SQRT(G537*(Supuestos!$F$10-Supuestos!$D$10)*(Supuestos!$E$10-Supuestos!$D$10)),Supuestos!$F$10-SQRT((1-G537)*(Supuestos!$F$10-Supuestos!$D$10)*(Supuestos!$F$10-Supuestos!$E$10))),IF(Supuestos!$C$10="Uniforme",Supuestos!$D$10+G537*(Supuestos!$E$10-Supuestos!$D$10),IF(Supuestos!$C$10="Lognormal",LOGINV(G537,LN(Supuestos!$D$10)-LN(1+Supuestos!$E$10^2/Supuestos!$D$10^2)/2,SQRT(LN(1+Supuestos!$E$10^2/Supuestos!$D$10^2))),Supuestos!$D$10))))))</f>
        <v/>
      </c>
      <c r="O537" s="31">
        <f>MIN(IF(Supuestos!$H$11="",1E+99,Supuestos!$H$11),MAX(IF(Supuestos!$G$11="",-1E+99,Supuestos!$G$11),IF(Supuestos!$C$11="Normal",NORMINV(H537,Supuestos!$D$11,Supuestos!$E$11),IF(Supuestos!$C$11="Triangular",IF(H537&lt;(Supuestos!$E$11-Supuestos!$D$11)/(Supuestos!$F$11-Supuestos!$D$11),Supuestos!$D$11+SQRT(H537*(Supuestos!$F$11-Supuestos!$D$11)*(Supuestos!$E$11-Supuestos!$D$11)),Supuestos!$F$11-SQRT((1-H537)*(Supuestos!$F$11-Supuestos!$D$11)*(Supuestos!$F$11-Supuestos!$E$11))),IF(Supuestos!$C$11="Uniforme",Supuestos!$D$11+H537*(Supuestos!$E$11-Supuestos!$D$11),IF(Supuestos!$C$11="Lognormal",LOGINV(H537,LN(Supuestos!$D$11)-LN(1+Supuestos!$E$11^2/Supuestos!$D$11^2)/2,SQRT(LN(1+Supuestos!$E$11^2/Supuestos!$D$11^2))),Supuestos!$D$11))))))</f>
        <v/>
      </c>
      <c r="P537" s="33">
        <f>-I537</f>
        <v/>
      </c>
      <c r="Q537" s="33">
        <f>$J537*(1+$K537)^(1-1)*(1-$L537)*(1-$M537)</f>
        <v/>
      </c>
      <c r="R537" s="33">
        <f>$J537*(1+$K537)^(2-1)*(1-$L537)*(1-$M537)</f>
        <v/>
      </c>
      <c r="S537" s="33">
        <f>$J537*(1+$K537)^(3-1)*(1-$L537)*(1-$M537)</f>
        <v/>
      </c>
      <c r="T537" s="33">
        <f>$J537*(1+$K537)^(4-1)*(1-$L537)*(1-$M537)</f>
        <v/>
      </c>
      <c r="U537" s="33">
        <f>$J537*(1+$K537)^(5-1)*(1-$L537)*(1-$M537)+$O537</f>
        <v/>
      </c>
      <c r="V537" s="33">
        <f>P537+NPV($N537,Q537:U537)</f>
        <v/>
      </c>
      <c r="W537" s="32">
        <f>IFERROR(IRR(P537:U537,0.1),"")</f>
        <v/>
      </c>
    </row>
    <row r="538">
      <c r="A538" s="14" t="n">
        <v>534</v>
      </c>
      <c r="B538" s="30">
        <f>RAND()*(1-2E-6)+1E-6</f>
        <v/>
      </c>
      <c r="C538" s="30">
        <f>RAND()*(1-2E-6)+1E-6</f>
        <v/>
      </c>
      <c r="D538" s="30">
        <f>RAND()*(1-2E-6)+1E-6</f>
        <v/>
      </c>
      <c r="E538" s="30">
        <f>RAND()*(1-2E-6)+1E-6</f>
        <v/>
      </c>
      <c r="F538" s="30">
        <f>RAND()*(1-2E-6)+1E-6</f>
        <v/>
      </c>
      <c r="G538" s="30">
        <f>RAND()*(1-2E-6)+1E-6</f>
        <v/>
      </c>
      <c r="H538" s="30">
        <f>RAND()*(1-2E-6)+1E-6</f>
        <v/>
      </c>
      <c r="I538" s="31">
        <f>MIN(IF(Supuestos!$H$5="",1E+99,Supuestos!$H$5),MAX(IF(Supuestos!$G$5="",-1E+99,Supuestos!$G$5),IF(Supuestos!$C$5="Normal",NORMINV(B538,Supuestos!$D$5,Supuestos!$E$5),IF(Supuestos!$C$5="Triangular",IF(B538&lt;(Supuestos!$E$5-Supuestos!$D$5)/(Supuestos!$F$5-Supuestos!$D$5),Supuestos!$D$5+SQRT(B538*(Supuestos!$F$5-Supuestos!$D$5)*(Supuestos!$E$5-Supuestos!$D$5)),Supuestos!$F$5-SQRT((1-B538)*(Supuestos!$F$5-Supuestos!$D$5)*(Supuestos!$F$5-Supuestos!$E$5))),IF(Supuestos!$C$5="Uniforme",Supuestos!$D$5+B538*(Supuestos!$E$5-Supuestos!$D$5),IF(Supuestos!$C$5="Lognormal",LOGINV(B538,LN(Supuestos!$D$5)-LN(1+Supuestos!$E$5^2/Supuestos!$D$5^2)/2,SQRT(LN(1+Supuestos!$E$5^2/Supuestos!$D$5^2))),Supuestos!$D$5))))))</f>
        <v/>
      </c>
      <c r="J538" s="31">
        <f>MIN(IF(Supuestos!$H$6="",1E+99,Supuestos!$H$6),MAX(IF(Supuestos!$G$6="",-1E+99,Supuestos!$G$6),IF(Supuestos!$C$6="Normal",NORMINV(C538,Supuestos!$D$6,Supuestos!$E$6),IF(Supuestos!$C$6="Triangular",IF(C538&lt;(Supuestos!$E$6-Supuestos!$D$6)/(Supuestos!$F$6-Supuestos!$D$6),Supuestos!$D$6+SQRT(C538*(Supuestos!$F$6-Supuestos!$D$6)*(Supuestos!$E$6-Supuestos!$D$6)),Supuestos!$F$6-SQRT((1-C538)*(Supuestos!$F$6-Supuestos!$D$6)*(Supuestos!$F$6-Supuestos!$E$6))),IF(Supuestos!$C$6="Uniforme",Supuestos!$D$6+C538*(Supuestos!$E$6-Supuestos!$D$6),IF(Supuestos!$C$6="Lognormal",LOGINV(C538,LN(Supuestos!$D$6)-LN(1+Supuestos!$E$6^2/Supuestos!$D$6^2)/2,SQRT(LN(1+Supuestos!$E$6^2/Supuestos!$D$6^2))),Supuestos!$D$6))))))</f>
        <v/>
      </c>
      <c r="K538" s="32">
        <f>MIN(IF(Supuestos!$H$7="",1E+99,Supuestos!$H$7),MAX(IF(Supuestos!$G$7="",-1E+99,Supuestos!$G$7),IF(Supuestos!$C$7="Normal",NORMINV(D538,Supuestos!$D$7,Supuestos!$E$7),IF(Supuestos!$C$7="Triangular",IF(D538&lt;(Supuestos!$E$7-Supuestos!$D$7)/(Supuestos!$F$7-Supuestos!$D$7),Supuestos!$D$7+SQRT(D538*(Supuestos!$F$7-Supuestos!$D$7)*(Supuestos!$E$7-Supuestos!$D$7)),Supuestos!$F$7-SQRT((1-D538)*(Supuestos!$F$7-Supuestos!$D$7)*(Supuestos!$F$7-Supuestos!$E$7))),IF(Supuestos!$C$7="Uniforme",Supuestos!$D$7+D538*(Supuestos!$E$7-Supuestos!$D$7),IF(Supuestos!$C$7="Lognormal",LOGINV(D538,LN(Supuestos!$D$7)-LN(1+Supuestos!$E$7^2/Supuestos!$D$7^2)/2,SQRT(LN(1+Supuestos!$E$7^2/Supuestos!$D$7^2))),Supuestos!$D$7))))))</f>
        <v/>
      </c>
      <c r="L538" s="32">
        <f>MIN(IF(Supuestos!$H$8="",1E+99,Supuestos!$H$8),MAX(IF(Supuestos!$G$8="",-1E+99,Supuestos!$G$8),IF(Supuestos!$C$8="Normal",NORMINV(E538,Supuestos!$D$8,Supuestos!$E$8),IF(Supuestos!$C$8="Triangular",IF(E538&lt;(Supuestos!$E$8-Supuestos!$D$8)/(Supuestos!$F$8-Supuestos!$D$8),Supuestos!$D$8+SQRT(E538*(Supuestos!$F$8-Supuestos!$D$8)*(Supuestos!$E$8-Supuestos!$D$8)),Supuestos!$F$8-SQRT((1-E538)*(Supuestos!$F$8-Supuestos!$D$8)*(Supuestos!$F$8-Supuestos!$E$8))),IF(Supuestos!$C$8="Uniforme",Supuestos!$D$8+E538*(Supuestos!$E$8-Supuestos!$D$8),IF(Supuestos!$C$8="Lognormal",LOGINV(E538,LN(Supuestos!$D$8)-LN(1+Supuestos!$E$8^2/Supuestos!$D$8^2)/2,SQRT(LN(1+Supuestos!$E$8^2/Supuestos!$D$8^2))),Supuestos!$D$8))))))</f>
        <v/>
      </c>
      <c r="M538" s="32">
        <f>MIN(IF(Supuestos!$H$9="",1E+99,Supuestos!$H$9),MAX(IF(Supuestos!$G$9="",-1E+99,Supuestos!$G$9),IF(Supuestos!$C$9="Normal",NORMINV(F538,Supuestos!$D$9,Supuestos!$E$9),IF(Supuestos!$C$9="Triangular",IF(F538&lt;(Supuestos!$E$9-Supuestos!$D$9)/(Supuestos!$F$9-Supuestos!$D$9),Supuestos!$D$9+SQRT(F538*(Supuestos!$F$9-Supuestos!$D$9)*(Supuestos!$E$9-Supuestos!$D$9)),Supuestos!$F$9-SQRT((1-F538)*(Supuestos!$F$9-Supuestos!$D$9)*(Supuestos!$F$9-Supuestos!$E$9))),IF(Supuestos!$C$9="Uniforme",Supuestos!$D$9+F538*(Supuestos!$E$9-Supuestos!$D$9),IF(Supuestos!$C$9="Lognormal",LOGINV(F538,LN(Supuestos!$D$9)-LN(1+Supuestos!$E$9^2/Supuestos!$D$9^2)/2,SQRT(LN(1+Supuestos!$E$9^2/Supuestos!$D$9^2))),Supuestos!$D$9))))))</f>
        <v/>
      </c>
      <c r="N538" s="32">
        <f>MIN(IF(Supuestos!$H$10="",1E+99,Supuestos!$H$10),MAX(IF(Supuestos!$G$10="",-1E+99,Supuestos!$G$10),IF(Supuestos!$C$10="Normal",NORMINV(G538,Supuestos!$D$10,Supuestos!$E$10),IF(Supuestos!$C$10="Triangular",IF(G538&lt;(Supuestos!$E$10-Supuestos!$D$10)/(Supuestos!$F$10-Supuestos!$D$10),Supuestos!$D$10+SQRT(G538*(Supuestos!$F$10-Supuestos!$D$10)*(Supuestos!$E$10-Supuestos!$D$10)),Supuestos!$F$10-SQRT((1-G538)*(Supuestos!$F$10-Supuestos!$D$10)*(Supuestos!$F$10-Supuestos!$E$10))),IF(Supuestos!$C$10="Uniforme",Supuestos!$D$10+G538*(Supuestos!$E$10-Supuestos!$D$10),IF(Supuestos!$C$10="Lognormal",LOGINV(G538,LN(Supuestos!$D$10)-LN(1+Supuestos!$E$10^2/Supuestos!$D$10^2)/2,SQRT(LN(1+Supuestos!$E$10^2/Supuestos!$D$10^2))),Supuestos!$D$10))))))</f>
        <v/>
      </c>
      <c r="O538" s="31">
        <f>MIN(IF(Supuestos!$H$11="",1E+99,Supuestos!$H$11),MAX(IF(Supuestos!$G$11="",-1E+99,Supuestos!$G$11),IF(Supuestos!$C$11="Normal",NORMINV(H538,Supuestos!$D$11,Supuestos!$E$11),IF(Supuestos!$C$11="Triangular",IF(H538&lt;(Supuestos!$E$11-Supuestos!$D$11)/(Supuestos!$F$11-Supuestos!$D$11),Supuestos!$D$11+SQRT(H538*(Supuestos!$F$11-Supuestos!$D$11)*(Supuestos!$E$11-Supuestos!$D$11)),Supuestos!$F$11-SQRT((1-H538)*(Supuestos!$F$11-Supuestos!$D$11)*(Supuestos!$F$11-Supuestos!$E$11))),IF(Supuestos!$C$11="Uniforme",Supuestos!$D$11+H538*(Supuestos!$E$11-Supuestos!$D$11),IF(Supuestos!$C$11="Lognormal",LOGINV(H538,LN(Supuestos!$D$11)-LN(1+Supuestos!$E$11^2/Supuestos!$D$11^2)/2,SQRT(LN(1+Supuestos!$E$11^2/Supuestos!$D$11^2))),Supuestos!$D$11))))))</f>
        <v/>
      </c>
      <c r="P538" s="33">
        <f>-I538</f>
        <v/>
      </c>
      <c r="Q538" s="33">
        <f>$J538*(1+$K538)^(1-1)*(1-$L538)*(1-$M538)</f>
        <v/>
      </c>
      <c r="R538" s="33">
        <f>$J538*(1+$K538)^(2-1)*(1-$L538)*(1-$M538)</f>
        <v/>
      </c>
      <c r="S538" s="33">
        <f>$J538*(1+$K538)^(3-1)*(1-$L538)*(1-$M538)</f>
        <v/>
      </c>
      <c r="T538" s="33">
        <f>$J538*(1+$K538)^(4-1)*(1-$L538)*(1-$M538)</f>
        <v/>
      </c>
      <c r="U538" s="33">
        <f>$J538*(1+$K538)^(5-1)*(1-$L538)*(1-$M538)+$O538</f>
        <v/>
      </c>
      <c r="V538" s="33">
        <f>P538+NPV($N538,Q538:U538)</f>
        <v/>
      </c>
      <c r="W538" s="32">
        <f>IFERROR(IRR(P538:U538,0.1),"")</f>
        <v/>
      </c>
    </row>
    <row r="539">
      <c r="A539" s="14" t="n">
        <v>535</v>
      </c>
      <c r="B539" s="30">
        <f>RAND()*(1-2E-6)+1E-6</f>
        <v/>
      </c>
      <c r="C539" s="30">
        <f>RAND()*(1-2E-6)+1E-6</f>
        <v/>
      </c>
      <c r="D539" s="30">
        <f>RAND()*(1-2E-6)+1E-6</f>
        <v/>
      </c>
      <c r="E539" s="30">
        <f>RAND()*(1-2E-6)+1E-6</f>
        <v/>
      </c>
      <c r="F539" s="30">
        <f>RAND()*(1-2E-6)+1E-6</f>
        <v/>
      </c>
      <c r="G539" s="30">
        <f>RAND()*(1-2E-6)+1E-6</f>
        <v/>
      </c>
      <c r="H539" s="30">
        <f>RAND()*(1-2E-6)+1E-6</f>
        <v/>
      </c>
      <c r="I539" s="31">
        <f>MIN(IF(Supuestos!$H$5="",1E+99,Supuestos!$H$5),MAX(IF(Supuestos!$G$5="",-1E+99,Supuestos!$G$5),IF(Supuestos!$C$5="Normal",NORMINV(B539,Supuestos!$D$5,Supuestos!$E$5),IF(Supuestos!$C$5="Triangular",IF(B539&lt;(Supuestos!$E$5-Supuestos!$D$5)/(Supuestos!$F$5-Supuestos!$D$5),Supuestos!$D$5+SQRT(B539*(Supuestos!$F$5-Supuestos!$D$5)*(Supuestos!$E$5-Supuestos!$D$5)),Supuestos!$F$5-SQRT((1-B539)*(Supuestos!$F$5-Supuestos!$D$5)*(Supuestos!$F$5-Supuestos!$E$5))),IF(Supuestos!$C$5="Uniforme",Supuestos!$D$5+B539*(Supuestos!$E$5-Supuestos!$D$5),IF(Supuestos!$C$5="Lognormal",LOGINV(B539,LN(Supuestos!$D$5)-LN(1+Supuestos!$E$5^2/Supuestos!$D$5^2)/2,SQRT(LN(1+Supuestos!$E$5^2/Supuestos!$D$5^2))),Supuestos!$D$5))))))</f>
        <v/>
      </c>
      <c r="J539" s="31">
        <f>MIN(IF(Supuestos!$H$6="",1E+99,Supuestos!$H$6),MAX(IF(Supuestos!$G$6="",-1E+99,Supuestos!$G$6),IF(Supuestos!$C$6="Normal",NORMINV(C539,Supuestos!$D$6,Supuestos!$E$6),IF(Supuestos!$C$6="Triangular",IF(C539&lt;(Supuestos!$E$6-Supuestos!$D$6)/(Supuestos!$F$6-Supuestos!$D$6),Supuestos!$D$6+SQRT(C539*(Supuestos!$F$6-Supuestos!$D$6)*(Supuestos!$E$6-Supuestos!$D$6)),Supuestos!$F$6-SQRT((1-C539)*(Supuestos!$F$6-Supuestos!$D$6)*(Supuestos!$F$6-Supuestos!$E$6))),IF(Supuestos!$C$6="Uniforme",Supuestos!$D$6+C539*(Supuestos!$E$6-Supuestos!$D$6),IF(Supuestos!$C$6="Lognormal",LOGINV(C539,LN(Supuestos!$D$6)-LN(1+Supuestos!$E$6^2/Supuestos!$D$6^2)/2,SQRT(LN(1+Supuestos!$E$6^2/Supuestos!$D$6^2))),Supuestos!$D$6))))))</f>
        <v/>
      </c>
      <c r="K539" s="32">
        <f>MIN(IF(Supuestos!$H$7="",1E+99,Supuestos!$H$7),MAX(IF(Supuestos!$G$7="",-1E+99,Supuestos!$G$7),IF(Supuestos!$C$7="Normal",NORMINV(D539,Supuestos!$D$7,Supuestos!$E$7),IF(Supuestos!$C$7="Triangular",IF(D539&lt;(Supuestos!$E$7-Supuestos!$D$7)/(Supuestos!$F$7-Supuestos!$D$7),Supuestos!$D$7+SQRT(D539*(Supuestos!$F$7-Supuestos!$D$7)*(Supuestos!$E$7-Supuestos!$D$7)),Supuestos!$F$7-SQRT((1-D539)*(Supuestos!$F$7-Supuestos!$D$7)*(Supuestos!$F$7-Supuestos!$E$7))),IF(Supuestos!$C$7="Uniforme",Supuestos!$D$7+D539*(Supuestos!$E$7-Supuestos!$D$7),IF(Supuestos!$C$7="Lognormal",LOGINV(D539,LN(Supuestos!$D$7)-LN(1+Supuestos!$E$7^2/Supuestos!$D$7^2)/2,SQRT(LN(1+Supuestos!$E$7^2/Supuestos!$D$7^2))),Supuestos!$D$7))))))</f>
        <v/>
      </c>
      <c r="L539" s="32">
        <f>MIN(IF(Supuestos!$H$8="",1E+99,Supuestos!$H$8),MAX(IF(Supuestos!$G$8="",-1E+99,Supuestos!$G$8),IF(Supuestos!$C$8="Normal",NORMINV(E539,Supuestos!$D$8,Supuestos!$E$8),IF(Supuestos!$C$8="Triangular",IF(E539&lt;(Supuestos!$E$8-Supuestos!$D$8)/(Supuestos!$F$8-Supuestos!$D$8),Supuestos!$D$8+SQRT(E539*(Supuestos!$F$8-Supuestos!$D$8)*(Supuestos!$E$8-Supuestos!$D$8)),Supuestos!$F$8-SQRT((1-E539)*(Supuestos!$F$8-Supuestos!$D$8)*(Supuestos!$F$8-Supuestos!$E$8))),IF(Supuestos!$C$8="Uniforme",Supuestos!$D$8+E539*(Supuestos!$E$8-Supuestos!$D$8),IF(Supuestos!$C$8="Lognormal",LOGINV(E539,LN(Supuestos!$D$8)-LN(1+Supuestos!$E$8^2/Supuestos!$D$8^2)/2,SQRT(LN(1+Supuestos!$E$8^2/Supuestos!$D$8^2))),Supuestos!$D$8))))))</f>
        <v/>
      </c>
      <c r="M539" s="32">
        <f>MIN(IF(Supuestos!$H$9="",1E+99,Supuestos!$H$9),MAX(IF(Supuestos!$G$9="",-1E+99,Supuestos!$G$9),IF(Supuestos!$C$9="Normal",NORMINV(F539,Supuestos!$D$9,Supuestos!$E$9),IF(Supuestos!$C$9="Triangular",IF(F539&lt;(Supuestos!$E$9-Supuestos!$D$9)/(Supuestos!$F$9-Supuestos!$D$9),Supuestos!$D$9+SQRT(F539*(Supuestos!$F$9-Supuestos!$D$9)*(Supuestos!$E$9-Supuestos!$D$9)),Supuestos!$F$9-SQRT((1-F539)*(Supuestos!$F$9-Supuestos!$D$9)*(Supuestos!$F$9-Supuestos!$E$9))),IF(Supuestos!$C$9="Uniforme",Supuestos!$D$9+F539*(Supuestos!$E$9-Supuestos!$D$9),IF(Supuestos!$C$9="Lognormal",LOGINV(F539,LN(Supuestos!$D$9)-LN(1+Supuestos!$E$9^2/Supuestos!$D$9^2)/2,SQRT(LN(1+Supuestos!$E$9^2/Supuestos!$D$9^2))),Supuestos!$D$9))))))</f>
        <v/>
      </c>
      <c r="N539" s="32">
        <f>MIN(IF(Supuestos!$H$10="",1E+99,Supuestos!$H$10),MAX(IF(Supuestos!$G$10="",-1E+99,Supuestos!$G$10),IF(Supuestos!$C$10="Normal",NORMINV(G539,Supuestos!$D$10,Supuestos!$E$10),IF(Supuestos!$C$10="Triangular",IF(G539&lt;(Supuestos!$E$10-Supuestos!$D$10)/(Supuestos!$F$10-Supuestos!$D$10),Supuestos!$D$10+SQRT(G539*(Supuestos!$F$10-Supuestos!$D$10)*(Supuestos!$E$10-Supuestos!$D$10)),Supuestos!$F$10-SQRT((1-G539)*(Supuestos!$F$10-Supuestos!$D$10)*(Supuestos!$F$10-Supuestos!$E$10))),IF(Supuestos!$C$10="Uniforme",Supuestos!$D$10+G539*(Supuestos!$E$10-Supuestos!$D$10),IF(Supuestos!$C$10="Lognormal",LOGINV(G539,LN(Supuestos!$D$10)-LN(1+Supuestos!$E$10^2/Supuestos!$D$10^2)/2,SQRT(LN(1+Supuestos!$E$10^2/Supuestos!$D$10^2))),Supuestos!$D$10))))))</f>
        <v/>
      </c>
      <c r="O539" s="31">
        <f>MIN(IF(Supuestos!$H$11="",1E+99,Supuestos!$H$11),MAX(IF(Supuestos!$G$11="",-1E+99,Supuestos!$G$11),IF(Supuestos!$C$11="Normal",NORMINV(H539,Supuestos!$D$11,Supuestos!$E$11),IF(Supuestos!$C$11="Triangular",IF(H539&lt;(Supuestos!$E$11-Supuestos!$D$11)/(Supuestos!$F$11-Supuestos!$D$11),Supuestos!$D$11+SQRT(H539*(Supuestos!$F$11-Supuestos!$D$11)*(Supuestos!$E$11-Supuestos!$D$11)),Supuestos!$F$11-SQRT((1-H539)*(Supuestos!$F$11-Supuestos!$D$11)*(Supuestos!$F$11-Supuestos!$E$11))),IF(Supuestos!$C$11="Uniforme",Supuestos!$D$11+H539*(Supuestos!$E$11-Supuestos!$D$11),IF(Supuestos!$C$11="Lognormal",LOGINV(H539,LN(Supuestos!$D$11)-LN(1+Supuestos!$E$11^2/Supuestos!$D$11^2)/2,SQRT(LN(1+Supuestos!$E$11^2/Supuestos!$D$11^2))),Supuestos!$D$11))))))</f>
        <v/>
      </c>
      <c r="P539" s="33">
        <f>-I539</f>
        <v/>
      </c>
      <c r="Q539" s="33">
        <f>$J539*(1+$K539)^(1-1)*(1-$L539)*(1-$M539)</f>
        <v/>
      </c>
      <c r="R539" s="33">
        <f>$J539*(1+$K539)^(2-1)*(1-$L539)*(1-$M539)</f>
        <v/>
      </c>
      <c r="S539" s="33">
        <f>$J539*(1+$K539)^(3-1)*(1-$L539)*(1-$M539)</f>
        <v/>
      </c>
      <c r="T539" s="33">
        <f>$J539*(1+$K539)^(4-1)*(1-$L539)*(1-$M539)</f>
        <v/>
      </c>
      <c r="U539" s="33">
        <f>$J539*(1+$K539)^(5-1)*(1-$L539)*(1-$M539)+$O539</f>
        <v/>
      </c>
      <c r="V539" s="33">
        <f>P539+NPV($N539,Q539:U539)</f>
        <v/>
      </c>
      <c r="W539" s="32">
        <f>IFERROR(IRR(P539:U539,0.1),"")</f>
        <v/>
      </c>
    </row>
    <row r="540">
      <c r="A540" s="14" t="n">
        <v>536</v>
      </c>
      <c r="B540" s="30">
        <f>RAND()*(1-2E-6)+1E-6</f>
        <v/>
      </c>
      <c r="C540" s="30">
        <f>RAND()*(1-2E-6)+1E-6</f>
        <v/>
      </c>
      <c r="D540" s="30">
        <f>RAND()*(1-2E-6)+1E-6</f>
        <v/>
      </c>
      <c r="E540" s="30">
        <f>RAND()*(1-2E-6)+1E-6</f>
        <v/>
      </c>
      <c r="F540" s="30">
        <f>RAND()*(1-2E-6)+1E-6</f>
        <v/>
      </c>
      <c r="G540" s="30">
        <f>RAND()*(1-2E-6)+1E-6</f>
        <v/>
      </c>
      <c r="H540" s="30">
        <f>RAND()*(1-2E-6)+1E-6</f>
        <v/>
      </c>
      <c r="I540" s="31">
        <f>MIN(IF(Supuestos!$H$5="",1E+99,Supuestos!$H$5),MAX(IF(Supuestos!$G$5="",-1E+99,Supuestos!$G$5),IF(Supuestos!$C$5="Normal",NORMINV(B540,Supuestos!$D$5,Supuestos!$E$5),IF(Supuestos!$C$5="Triangular",IF(B540&lt;(Supuestos!$E$5-Supuestos!$D$5)/(Supuestos!$F$5-Supuestos!$D$5),Supuestos!$D$5+SQRT(B540*(Supuestos!$F$5-Supuestos!$D$5)*(Supuestos!$E$5-Supuestos!$D$5)),Supuestos!$F$5-SQRT((1-B540)*(Supuestos!$F$5-Supuestos!$D$5)*(Supuestos!$F$5-Supuestos!$E$5))),IF(Supuestos!$C$5="Uniforme",Supuestos!$D$5+B540*(Supuestos!$E$5-Supuestos!$D$5),IF(Supuestos!$C$5="Lognormal",LOGINV(B540,LN(Supuestos!$D$5)-LN(1+Supuestos!$E$5^2/Supuestos!$D$5^2)/2,SQRT(LN(1+Supuestos!$E$5^2/Supuestos!$D$5^2))),Supuestos!$D$5))))))</f>
        <v/>
      </c>
      <c r="J540" s="31">
        <f>MIN(IF(Supuestos!$H$6="",1E+99,Supuestos!$H$6),MAX(IF(Supuestos!$G$6="",-1E+99,Supuestos!$G$6),IF(Supuestos!$C$6="Normal",NORMINV(C540,Supuestos!$D$6,Supuestos!$E$6),IF(Supuestos!$C$6="Triangular",IF(C540&lt;(Supuestos!$E$6-Supuestos!$D$6)/(Supuestos!$F$6-Supuestos!$D$6),Supuestos!$D$6+SQRT(C540*(Supuestos!$F$6-Supuestos!$D$6)*(Supuestos!$E$6-Supuestos!$D$6)),Supuestos!$F$6-SQRT((1-C540)*(Supuestos!$F$6-Supuestos!$D$6)*(Supuestos!$F$6-Supuestos!$E$6))),IF(Supuestos!$C$6="Uniforme",Supuestos!$D$6+C540*(Supuestos!$E$6-Supuestos!$D$6),IF(Supuestos!$C$6="Lognormal",LOGINV(C540,LN(Supuestos!$D$6)-LN(1+Supuestos!$E$6^2/Supuestos!$D$6^2)/2,SQRT(LN(1+Supuestos!$E$6^2/Supuestos!$D$6^2))),Supuestos!$D$6))))))</f>
        <v/>
      </c>
      <c r="K540" s="32">
        <f>MIN(IF(Supuestos!$H$7="",1E+99,Supuestos!$H$7),MAX(IF(Supuestos!$G$7="",-1E+99,Supuestos!$G$7),IF(Supuestos!$C$7="Normal",NORMINV(D540,Supuestos!$D$7,Supuestos!$E$7),IF(Supuestos!$C$7="Triangular",IF(D540&lt;(Supuestos!$E$7-Supuestos!$D$7)/(Supuestos!$F$7-Supuestos!$D$7),Supuestos!$D$7+SQRT(D540*(Supuestos!$F$7-Supuestos!$D$7)*(Supuestos!$E$7-Supuestos!$D$7)),Supuestos!$F$7-SQRT((1-D540)*(Supuestos!$F$7-Supuestos!$D$7)*(Supuestos!$F$7-Supuestos!$E$7))),IF(Supuestos!$C$7="Uniforme",Supuestos!$D$7+D540*(Supuestos!$E$7-Supuestos!$D$7),IF(Supuestos!$C$7="Lognormal",LOGINV(D540,LN(Supuestos!$D$7)-LN(1+Supuestos!$E$7^2/Supuestos!$D$7^2)/2,SQRT(LN(1+Supuestos!$E$7^2/Supuestos!$D$7^2))),Supuestos!$D$7))))))</f>
        <v/>
      </c>
      <c r="L540" s="32">
        <f>MIN(IF(Supuestos!$H$8="",1E+99,Supuestos!$H$8),MAX(IF(Supuestos!$G$8="",-1E+99,Supuestos!$G$8),IF(Supuestos!$C$8="Normal",NORMINV(E540,Supuestos!$D$8,Supuestos!$E$8),IF(Supuestos!$C$8="Triangular",IF(E540&lt;(Supuestos!$E$8-Supuestos!$D$8)/(Supuestos!$F$8-Supuestos!$D$8),Supuestos!$D$8+SQRT(E540*(Supuestos!$F$8-Supuestos!$D$8)*(Supuestos!$E$8-Supuestos!$D$8)),Supuestos!$F$8-SQRT((1-E540)*(Supuestos!$F$8-Supuestos!$D$8)*(Supuestos!$F$8-Supuestos!$E$8))),IF(Supuestos!$C$8="Uniforme",Supuestos!$D$8+E540*(Supuestos!$E$8-Supuestos!$D$8),IF(Supuestos!$C$8="Lognormal",LOGINV(E540,LN(Supuestos!$D$8)-LN(1+Supuestos!$E$8^2/Supuestos!$D$8^2)/2,SQRT(LN(1+Supuestos!$E$8^2/Supuestos!$D$8^2))),Supuestos!$D$8))))))</f>
        <v/>
      </c>
      <c r="M540" s="32">
        <f>MIN(IF(Supuestos!$H$9="",1E+99,Supuestos!$H$9),MAX(IF(Supuestos!$G$9="",-1E+99,Supuestos!$G$9),IF(Supuestos!$C$9="Normal",NORMINV(F540,Supuestos!$D$9,Supuestos!$E$9),IF(Supuestos!$C$9="Triangular",IF(F540&lt;(Supuestos!$E$9-Supuestos!$D$9)/(Supuestos!$F$9-Supuestos!$D$9),Supuestos!$D$9+SQRT(F540*(Supuestos!$F$9-Supuestos!$D$9)*(Supuestos!$E$9-Supuestos!$D$9)),Supuestos!$F$9-SQRT((1-F540)*(Supuestos!$F$9-Supuestos!$D$9)*(Supuestos!$F$9-Supuestos!$E$9))),IF(Supuestos!$C$9="Uniforme",Supuestos!$D$9+F540*(Supuestos!$E$9-Supuestos!$D$9),IF(Supuestos!$C$9="Lognormal",LOGINV(F540,LN(Supuestos!$D$9)-LN(1+Supuestos!$E$9^2/Supuestos!$D$9^2)/2,SQRT(LN(1+Supuestos!$E$9^2/Supuestos!$D$9^2))),Supuestos!$D$9))))))</f>
        <v/>
      </c>
      <c r="N540" s="32">
        <f>MIN(IF(Supuestos!$H$10="",1E+99,Supuestos!$H$10),MAX(IF(Supuestos!$G$10="",-1E+99,Supuestos!$G$10),IF(Supuestos!$C$10="Normal",NORMINV(G540,Supuestos!$D$10,Supuestos!$E$10),IF(Supuestos!$C$10="Triangular",IF(G540&lt;(Supuestos!$E$10-Supuestos!$D$10)/(Supuestos!$F$10-Supuestos!$D$10),Supuestos!$D$10+SQRT(G540*(Supuestos!$F$10-Supuestos!$D$10)*(Supuestos!$E$10-Supuestos!$D$10)),Supuestos!$F$10-SQRT((1-G540)*(Supuestos!$F$10-Supuestos!$D$10)*(Supuestos!$F$10-Supuestos!$E$10))),IF(Supuestos!$C$10="Uniforme",Supuestos!$D$10+G540*(Supuestos!$E$10-Supuestos!$D$10),IF(Supuestos!$C$10="Lognormal",LOGINV(G540,LN(Supuestos!$D$10)-LN(1+Supuestos!$E$10^2/Supuestos!$D$10^2)/2,SQRT(LN(1+Supuestos!$E$10^2/Supuestos!$D$10^2))),Supuestos!$D$10))))))</f>
        <v/>
      </c>
      <c r="O540" s="31">
        <f>MIN(IF(Supuestos!$H$11="",1E+99,Supuestos!$H$11),MAX(IF(Supuestos!$G$11="",-1E+99,Supuestos!$G$11),IF(Supuestos!$C$11="Normal",NORMINV(H540,Supuestos!$D$11,Supuestos!$E$11),IF(Supuestos!$C$11="Triangular",IF(H540&lt;(Supuestos!$E$11-Supuestos!$D$11)/(Supuestos!$F$11-Supuestos!$D$11),Supuestos!$D$11+SQRT(H540*(Supuestos!$F$11-Supuestos!$D$11)*(Supuestos!$E$11-Supuestos!$D$11)),Supuestos!$F$11-SQRT((1-H540)*(Supuestos!$F$11-Supuestos!$D$11)*(Supuestos!$F$11-Supuestos!$E$11))),IF(Supuestos!$C$11="Uniforme",Supuestos!$D$11+H540*(Supuestos!$E$11-Supuestos!$D$11),IF(Supuestos!$C$11="Lognormal",LOGINV(H540,LN(Supuestos!$D$11)-LN(1+Supuestos!$E$11^2/Supuestos!$D$11^2)/2,SQRT(LN(1+Supuestos!$E$11^2/Supuestos!$D$11^2))),Supuestos!$D$11))))))</f>
        <v/>
      </c>
      <c r="P540" s="33">
        <f>-I540</f>
        <v/>
      </c>
      <c r="Q540" s="33">
        <f>$J540*(1+$K540)^(1-1)*(1-$L540)*(1-$M540)</f>
        <v/>
      </c>
      <c r="R540" s="33">
        <f>$J540*(1+$K540)^(2-1)*(1-$L540)*(1-$M540)</f>
        <v/>
      </c>
      <c r="S540" s="33">
        <f>$J540*(1+$K540)^(3-1)*(1-$L540)*(1-$M540)</f>
        <v/>
      </c>
      <c r="T540" s="33">
        <f>$J540*(1+$K540)^(4-1)*(1-$L540)*(1-$M540)</f>
        <v/>
      </c>
      <c r="U540" s="33">
        <f>$J540*(1+$K540)^(5-1)*(1-$L540)*(1-$M540)+$O540</f>
        <v/>
      </c>
      <c r="V540" s="33">
        <f>P540+NPV($N540,Q540:U540)</f>
        <v/>
      </c>
      <c r="W540" s="32">
        <f>IFERROR(IRR(P540:U540,0.1),"")</f>
        <v/>
      </c>
    </row>
    <row r="541">
      <c r="A541" s="14" t="n">
        <v>537</v>
      </c>
      <c r="B541" s="30">
        <f>RAND()*(1-2E-6)+1E-6</f>
        <v/>
      </c>
      <c r="C541" s="30">
        <f>RAND()*(1-2E-6)+1E-6</f>
        <v/>
      </c>
      <c r="D541" s="30">
        <f>RAND()*(1-2E-6)+1E-6</f>
        <v/>
      </c>
      <c r="E541" s="30">
        <f>RAND()*(1-2E-6)+1E-6</f>
        <v/>
      </c>
      <c r="F541" s="30">
        <f>RAND()*(1-2E-6)+1E-6</f>
        <v/>
      </c>
      <c r="G541" s="30">
        <f>RAND()*(1-2E-6)+1E-6</f>
        <v/>
      </c>
      <c r="H541" s="30">
        <f>RAND()*(1-2E-6)+1E-6</f>
        <v/>
      </c>
      <c r="I541" s="31">
        <f>MIN(IF(Supuestos!$H$5="",1E+99,Supuestos!$H$5),MAX(IF(Supuestos!$G$5="",-1E+99,Supuestos!$G$5),IF(Supuestos!$C$5="Normal",NORMINV(B541,Supuestos!$D$5,Supuestos!$E$5),IF(Supuestos!$C$5="Triangular",IF(B541&lt;(Supuestos!$E$5-Supuestos!$D$5)/(Supuestos!$F$5-Supuestos!$D$5),Supuestos!$D$5+SQRT(B541*(Supuestos!$F$5-Supuestos!$D$5)*(Supuestos!$E$5-Supuestos!$D$5)),Supuestos!$F$5-SQRT((1-B541)*(Supuestos!$F$5-Supuestos!$D$5)*(Supuestos!$F$5-Supuestos!$E$5))),IF(Supuestos!$C$5="Uniforme",Supuestos!$D$5+B541*(Supuestos!$E$5-Supuestos!$D$5),IF(Supuestos!$C$5="Lognormal",LOGINV(B541,LN(Supuestos!$D$5)-LN(1+Supuestos!$E$5^2/Supuestos!$D$5^2)/2,SQRT(LN(1+Supuestos!$E$5^2/Supuestos!$D$5^2))),Supuestos!$D$5))))))</f>
        <v/>
      </c>
      <c r="J541" s="31">
        <f>MIN(IF(Supuestos!$H$6="",1E+99,Supuestos!$H$6),MAX(IF(Supuestos!$G$6="",-1E+99,Supuestos!$G$6),IF(Supuestos!$C$6="Normal",NORMINV(C541,Supuestos!$D$6,Supuestos!$E$6),IF(Supuestos!$C$6="Triangular",IF(C541&lt;(Supuestos!$E$6-Supuestos!$D$6)/(Supuestos!$F$6-Supuestos!$D$6),Supuestos!$D$6+SQRT(C541*(Supuestos!$F$6-Supuestos!$D$6)*(Supuestos!$E$6-Supuestos!$D$6)),Supuestos!$F$6-SQRT((1-C541)*(Supuestos!$F$6-Supuestos!$D$6)*(Supuestos!$F$6-Supuestos!$E$6))),IF(Supuestos!$C$6="Uniforme",Supuestos!$D$6+C541*(Supuestos!$E$6-Supuestos!$D$6),IF(Supuestos!$C$6="Lognormal",LOGINV(C541,LN(Supuestos!$D$6)-LN(1+Supuestos!$E$6^2/Supuestos!$D$6^2)/2,SQRT(LN(1+Supuestos!$E$6^2/Supuestos!$D$6^2))),Supuestos!$D$6))))))</f>
        <v/>
      </c>
      <c r="K541" s="32">
        <f>MIN(IF(Supuestos!$H$7="",1E+99,Supuestos!$H$7),MAX(IF(Supuestos!$G$7="",-1E+99,Supuestos!$G$7),IF(Supuestos!$C$7="Normal",NORMINV(D541,Supuestos!$D$7,Supuestos!$E$7),IF(Supuestos!$C$7="Triangular",IF(D541&lt;(Supuestos!$E$7-Supuestos!$D$7)/(Supuestos!$F$7-Supuestos!$D$7),Supuestos!$D$7+SQRT(D541*(Supuestos!$F$7-Supuestos!$D$7)*(Supuestos!$E$7-Supuestos!$D$7)),Supuestos!$F$7-SQRT((1-D541)*(Supuestos!$F$7-Supuestos!$D$7)*(Supuestos!$F$7-Supuestos!$E$7))),IF(Supuestos!$C$7="Uniforme",Supuestos!$D$7+D541*(Supuestos!$E$7-Supuestos!$D$7),IF(Supuestos!$C$7="Lognormal",LOGINV(D541,LN(Supuestos!$D$7)-LN(1+Supuestos!$E$7^2/Supuestos!$D$7^2)/2,SQRT(LN(1+Supuestos!$E$7^2/Supuestos!$D$7^2))),Supuestos!$D$7))))))</f>
        <v/>
      </c>
      <c r="L541" s="32">
        <f>MIN(IF(Supuestos!$H$8="",1E+99,Supuestos!$H$8),MAX(IF(Supuestos!$G$8="",-1E+99,Supuestos!$G$8),IF(Supuestos!$C$8="Normal",NORMINV(E541,Supuestos!$D$8,Supuestos!$E$8),IF(Supuestos!$C$8="Triangular",IF(E541&lt;(Supuestos!$E$8-Supuestos!$D$8)/(Supuestos!$F$8-Supuestos!$D$8),Supuestos!$D$8+SQRT(E541*(Supuestos!$F$8-Supuestos!$D$8)*(Supuestos!$E$8-Supuestos!$D$8)),Supuestos!$F$8-SQRT((1-E541)*(Supuestos!$F$8-Supuestos!$D$8)*(Supuestos!$F$8-Supuestos!$E$8))),IF(Supuestos!$C$8="Uniforme",Supuestos!$D$8+E541*(Supuestos!$E$8-Supuestos!$D$8),IF(Supuestos!$C$8="Lognormal",LOGINV(E541,LN(Supuestos!$D$8)-LN(1+Supuestos!$E$8^2/Supuestos!$D$8^2)/2,SQRT(LN(1+Supuestos!$E$8^2/Supuestos!$D$8^2))),Supuestos!$D$8))))))</f>
        <v/>
      </c>
      <c r="M541" s="32">
        <f>MIN(IF(Supuestos!$H$9="",1E+99,Supuestos!$H$9),MAX(IF(Supuestos!$G$9="",-1E+99,Supuestos!$G$9),IF(Supuestos!$C$9="Normal",NORMINV(F541,Supuestos!$D$9,Supuestos!$E$9),IF(Supuestos!$C$9="Triangular",IF(F541&lt;(Supuestos!$E$9-Supuestos!$D$9)/(Supuestos!$F$9-Supuestos!$D$9),Supuestos!$D$9+SQRT(F541*(Supuestos!$F$9-Supuestos!$D$9)*(Supuestos!$E$9-Supuestos!$D$9)),Supuestos!$F$9-SQRT((1-F541)*(Supuestos!$F$9-Supuestos!$D$9)*(Supuestos!$F$9-Supuestos!$E$9))),IF(Supuestos!$C$9="Uniforme",Supuestos!$D$9+F541*(Supuestos!$E$9-Supuestos!$D$9),IF(Supuestos!$C$9="Lognormal",LOGINV(F541,LN(Supuestos!$D$9)-LN(1+Supuestos!$E$9^2/Supuestos!$D$9^2)/2,SQRT(LN(1+Supuestos!$E$9^2/Supuestos!$D$9^2))),Supuestos!$D$9))))))</f>
        <v/>
      </c>
      <c r="N541" s="32">
        <f>MIN(IF(Supuestos!$H$10="",1E+99,Supuestos!$H$10),MAX(IF(Supuestos!$G$10="",-1E+99,Supuestos!$G$10),IF(Supuestos!$C$10="Normal",NORMINV(G541,Supuestos!$D$10,Supuestos!$E$10),IF(Supuestos!$C$10="Triangular",IF(G541&lt;(Supuestos!$E$10-Supuestos!$D$10)/(Supuestos!$F$10-Supuestos!$D$10),Supuestos!$D$10+SQRT(G541*(Supuestos!$F$10-Supuestos!$D$10)*(Supuestos!$E$10-Supuestos!$D$10)),Supuestos!$F$10-SQRT((1-G541)*(Supuestos!$F$10-Supuestos!$D$10)*(Supuestos!$F$10-Supuestos!$E$10))),IF(Supuestos!$C$10="Uniforme",Supuestos!$D$10+G541*(Supuestos!$E$10-Supuestos!$D$10),IF(Supuestos!$C$10="Lognormal",LOGINV(G541,LN(Supuestos!$D$10)-LN(1+Supuestos!$E$10^2/Supuestos!$D$10^2)/2,SQRT(LN(1+Supuestos!$E$10^2/Supuestos!$D$10^2))),Supuestos!$D$10))))))</f>
        <v/>
      </c>
      <c r="O541" s="31">
        <f>MIN(IF(Supuestos!$H$11="",1E+99,Supuestos!$H$11),MAX(IF(Supuestos!$G$11="",-1E+99,Supuestos!$G$11),IF(Supuestos!$C$11="Normal",NORMINV(H541,Supuestos!$D$11,Supuestos!$E$11),IF(Supuestos!$C$11="Triangular",IF(H541&lt;(Supuestos!$E$11-Supuestos!$D$11)/(Supuestos!$F$11-Supuestos!$D$11),Supuestos!$D$11+SQRT(H541*(Supuestos!$F$11-Supuestos!$D$11)*(Supuestos!$E$11-Supuestos!$D$11)),Supuestos!$F$11-SQRT((1-H541)*(Supuestos!$F$11-Supuestos!$D$11)*(Supuestos!$F$11-Supuestos!$E$11))),IF(Supuestos!$C$11="Uniforme",Supuestos!$D$11+H541*(Supuestos!$E$11-Supuestos!$D$11),IF(Supuestos!$C$11="Lognormal",LOGINV(H541,LN(Supuestos!$D$11)-LN(1+Supuestos!$E$11^2/Supuestos!$D$11^2)/2,SQRT(LN(1+Supuestos!$E$11^2/Supuestos!$D$11^2))),Supuestos!$D$11))))))</f>
        <v/>
      </c>
      <c r="P541" s="33">
        <f>-I541</f>
        <v/>
      </c>
      <c r="Q541" s="33">
        <f>$J541*(1+$K541)^(1-1)*(1-$L541)*(1-$M541)</f>
        <v/>
      </c>
      <c r="R541" s="33">
        <f>$J541*(1+$K541)^(2-1)*(1-$L541)*(1-$M541)</f>
        <v/>
      </c>
      <c r="S541" s="33">
        <f>$J541*(1+$K541)^(3-1)*(1-$L541)*(1-$M541)</f>
        <v/>
      </c>
      <c r="T541" s="33">
        <f>$J541*(1+$K541)^(4-1)*(1-$L541)*(1-$M541)</f>
        <v/>
      </c>
      <c r="U541" s="33">
        <f>$J541*(1+$K541)^(5-1)*(1-$L541)*(1-$M541)+$O541</f>
        <v/>
      </c>
      <c r="V541" s="33">
        <f>P541+NPV($N541,Q541:U541)</f>
        <v/>
      </c>
      <c r="W541" s="32">
        <f>IFERROR(IRR(P541:U541,0.1),"")</f>
        <v/>
      </c>
    </row>
    <row r="542">
      <c r="A542" s="14" t="n">
        <v>538</v>
      </c>
      <c r="B542" s="30">
        <f>RAND()*(1-2E-6)+1E-6</f>
        <v/>
      </c>
      <c r="C542" s="30">
        <f>RAND()*(1-2E-6)+1E-6</f>
        <v/>
      </c>
      <c r="D542" s="30">
        <f>RAND()*(1-2E-6)+1E-6</f>
        <v/>
      </c>
      <c r="E542" s="30">
        <f>RAND()*(1-2E-6)+1E-6</f>
        <v/>
      </c>
      <c r="F542" s="30">
        <f>RAND()*(1-2E-6)+1E-6</f>
        <v/>
      </c>
      <c r="G542" s="30">
        <f>RAND()*(1-2E-6)+1E-6</f>
        <v/>
      </c>
      <c r="H542" s="30">
        <f>RAND()*(1-2E-6)+1E-6</f>
        <v/>
      </c>
      <c r="I542" s="31">
        <f>MIN(IF(Supuestos!$H$5="",1E+99,Supuestos!$H$5),MAX(IF(Supuestos!$G$5="",-1E+99,Supuestos!$G$5),IF(Supuestos!$C$5="Normal",NORMINV(B542,Supuestos!$D$5,Supuestos!$E$5),IF(Supuestos!$C$5="Triangular",IF(B542&lt;(Supuestos!$E$5-Supuestos!$D$5)/(Supuestos!$F$5-Supuestos!$D$5),Supuestos!$D$5+SQRT(B542*(Supuestos!$F$5-Supuestos!$D$5)*(Supuestos!$E$5-Supuestos!$D$5)),Supuestos!$F$5-SQRT((1-B542)*(Supuestos!$F$5-Supuestos!$D$5)*(Supuestos!$F$5-Supuestos!$E$5))),IF(Supuestos!$C$5="Uniforme",Supuestos!$D$5+B542*(Supuestos!$E$5-Supuestos!$D$5),IF(Supuestos!$C$5="Lognormal",LOGINV(B542,LN(Supuestos!$D$5)-LN(1+Supuestos!$E$5^2/Supuestos!$D$5^2)/2,SQRT(LN(1+Supuestos!$E$5^2/Supuestos!$D$5^2))),Supuestos!$D$5))))))</f>
        <v/>
      </c>
      <c r="J542" s="31">
        <f>MIN(IF(Supuestos!$H$6="",1E+99,Supuestos!$H$6),MAX(IF(Supuestos!$G$6="",-1E+99,Supuestos!$G$6),IF(Supuestos!$C$6="Normal",NORMINV(C542,Supuestos!$D$6,Supuestos!$E$6),IF(Supuestos!$C$6="Triangular",IF(C542&lt;(Supuestos!$E$6-Supuestos!$D$6)/(Supuestos!$F$6-Supuestos!$D$6),Supuestos!$D$6+SQRT(C542*(Supuestos!$F$6-Supuestos!$D$6)*(Supuestos!$E$6-Supuestos!$D$6)),Supuestos!$F$6-SQRT((1-C542)*(Supuestos!$F$6-Supuestos!$D$6)*(Supuestos!$F$6-Supuestos!$E$6))),IF(Supuestos!$C$6="Uniforme",Supuestos!$D$6+C542*(Supuestos!$E$6-Supuestos!$D$6),IF(Supuestos!$C$6="Lognormal",LOGINV(C542,LN(Supuestos!$D$6)-LN(1+Supuestos!$E$6^2/Supuestos!$D$6^2)/2,SQRT(LN(1+Supuestos!$E$6^2/Supuestos!$D$6^2))),Supuestos!$D$6))))))</f>
        <v/>
      </c>
      <c r="K542" s="32">
        <f>MIN(IF(Supuestos!$H$7="",1E+99,Supuestos!$H$7),MAX(IF(Supuestos!$G$7="",-1E+99,Supuestos!$G$7),IF(Supuestos!$C$7="Normal",NORMINV(D542,Supuestos!$D$7,Supuestos!$E$7),IF(Supuestos!$C$7="Triangular",IF(D542&lt;(Supuestos!$E$7-Supuestos!$D$7)/(Supuestos!$F$7-Supuestos!$D$7),Supuestos!$D$7+SQRT(D542*(Supuestos!$F$7-Supuestos!$D$7)*(Supuestos!$E$7-Supuestos!$D$7)),Supuestos!$F$7-SQRT((1-D542)*(Supuestos!$F$7-Supuestos!$D$7)*(Supuestos!$F$7-Supuestos!$E$7))),IF(Supuestos!$C$7="Uniforme",Supuestos!$D$7+D542*(Supuestos!$E$7-Supuestos!$D$7),IF(Supuestos!$C$7="Lognormal",LOGINV(D542,LN(Supuestos!$D$7)-LN(1+Supuestos!$E$7^2/Supuestos!$D$7^2)/2,SQRT(LN(1+Supuestos!$E$7^2/Supuestos!$D$7^2))),Supuestos!$D$7))))))</f>
        <v/>
      </c>
      <c r="L542" s="32">
        <f>MIN(IF(Supuestos!$H$8="",1E+99,Supuestos!$H$8),MAX(IF(Supuestos!$G$8="",-1E+99,Supuestos!$G$8),IF(Supuestos!$C$8="Normal",NORMINV(E542,Supuestos!$D$8,Supuestos!$E$8),IF(Supuestos!$C$8="Triangular",IF(E542&lt;(Supuestos!$E$8-Supuestos!$D$8)/(Supuestos!$F$8-Supuestos!$D$8),Supuestos!$D$8+SQRT(E542*(Supuestos!$F$8-Supuestos!$D$8)*(Supuestos!$E$8-Supuestos!$D$8)),Supuestos!$F$8-SQRT((1-E542)*(Supuestos!$F$8-Supuestos!$D$8)*(Supuestos!$F$8-Supuestos!$E$8))),IF(Supuestos!$C$8="Uniforme",Supuestos!$D$8+E542*(Supuestos!$E$8-Supuestos!$D$8),IF(Supuestos!$C$8="Lognormal",LOGINV(E542,LN(Supuestos!$D$8)-LN(1+Supuestos!$E$8^2/Supuestos!$D$8^2)/2,SQRT(LN(1+Supuestos!$E$8^2/Supuestos!$D$8^2))),Supuestos!$D$8))))))</f>
        <v/>
      </c>
      <c r="M542" s="32">
        <f>MIN(IF(Supuestos!$H$9="",1E+99,Supuestos!$H$9),MAX(IF(Supuestos!$G$9="",-1E+99,Supuestos!$G$9),IF(Supuestos!$C$9="Normal",NORMINV(F542,Supuestos!$D$9,Supuestos!$E$9),IF(Supuestos!$C$9="Triangular",IF(F542&lt;(Supuestos!$E$9-Supuestos!$D$9)/(Supuestos!$F$9-Supuestos!$D$9),Supuestos!$D$9+SQRT(F542*(Supuestos!$F$9-Supuestos!$D$9)*(Supuestos!$E$9-Supuestos!$D$9)),Supuestos!$F$9-SQRT((1-F542)*(Supuestos!$F$9-Supuestos!$D$9)*(Supuestos!$F$9-Supuestos!$E$9))),IF(Supuestos!$C$9="Uniforme",Supuestos!$D$9+F542*(Supuestos!$E$9-Supuestos!$D$9),IF(Supuestos!$C$9="Lognormal",LOGINV(F542,LN(Supuestos!$D$9)-LN(1+Supuestos!$E$9^2/Supuestos!$D$9^2)/2,SQRT(LN(1+Supuestos!$E$9^2/Supuestos!$D$9^2))),Supuestos!$D$9))))))</f>
        <v/>
      </c>
      <c r="N542" s="32">
        <f>MIN(IF(Supuestos!$H$10="",1E+99,Supuestos!$H$10),MAX(IF(Supuestos!$G$10="",-1E+99,Supuestos!$G$10),IF(Supuestos!$C$10="Normal",NORMINV(G542,Supuestos!$D$10,Supuestos!$E$10),IF(Supuestos!$C$10="Triangular",IF(G542&lt;(Supuestos!$E$10-Supuestos!$D$10)/(Supuestos!$F$10-Supuestos!$D$10),Supuestos!$D$10+SQRT(G542*(Supuestos!$F$10-Supuestos!$D$10)*(Supuestos!$E$10-Supuestos!$D$10)),Supuestos!$F$10-SQRT((1-G542)*(Supuestos!$F$10-Supuestos!$D$10)*(Supuestos!$F$10-Supuestos!$E$10))),IF(Supuestos!$C$10="Uniforme",Supuestos!$D$10+G542*(Supuestos!$E$10-Supuestos!$D$10),IF(Supuestos!$C$10="Lognormal",LOGINV(G542,LN(Supuestos!$D$10)-LN(1+Supuestos!$E$10^2/Supuestos!$D$10^2)/2,SQRT(LN(1+Supuestos!$E$10^2/Supuestos!$D$10^2))),Supuestos!$D$10))))))</f>
        <v/>
      </c>
      <c r="O542" s="31">
        <f>MIN(IF(Supuestos!$H$11="",1E+99,Supuestos!$H$11),MAX(IF(Supuestos!$G$11="",-1E+99,Supuestos!$G$11),IF(Supuestos!$C$11="Normal",NORMINV(H542,Supuestos!$D$11,Supuestos!$E$11),IF(Supuestos!$C$11="Triangular",IF(H542&lt;(Supuestos!$E$11-Supuestos!$D$11)/(Supuestos!$F$11-Supuestos!$D$11),Supuestos!$D$11+SQRT(H542*(Supuestos!$F$11-Supuestos!$D$11)*(Supuestos!$E$11-Supuestos!$D$11)),Supuestos!$F$11-SQRT((1-H542)*(Supuestos!$F$11-Supuestos!$D$11)*(Supuestos!$F$11-Supuestos!$E$11))),IF(Supuestos!$C$11="Uniforme",Supuestos!$D$11+H542*(Supuestos!$E$11-Supuestos!$D$11),IF(Supuestos!$C$11="Lognormal",LOGINV(H542,LN(Supuestos!$D$11)-LN(1+Supuestos!$E$11^2/Supuestos!$D$11^2)/2,SQRT(LN(1+Supuestos!$E$11^2/Supuestos!$D$11^2))),Supuestos!$D$11))))))</f>
        <v/>
      </c>
      <c r="P542" s="33">
        <f>-I542</f>
        <v/>
      </c>
      <c r="Q542" s="33">
        <f>$J542*(1+$K542)^(1-1)*(1-$L542)*(1-$M542)</f>
        <v/>
      </c>
      <c r="R542" s="33">
        <f>$J542*(1+$K542)^(2-1)*(1-$L542)*(1-$M542)</f>
        <v/>
      </c>
      <c r="S542" s="33">
        <f>$J542*(1+$K542)^(3-1)*(1-$L542)*(1-$M542)</f>
        <v/>
      </c>
      <c r="T542" s="33">
        <f>$J542*(1+$K542)^(4-1)*(1-$L542)*(1-$M542)</f>
        <v/>
      </c>
      <c r="U542" s="33">
        <f>$J542*(1+$K542)^(5-1)*(1-$L542)*(1-$M542)+$O542</f>
        <v/>
      </c>
      <c r="V542" s="33">
        <f>P542+NPV($N542,Q542:U542)</f>
        <v/>
      </c>
      <c r="W542" s="32">
        <f>IFERROR(IRR(P542:U542,0.1),"")</f>
        <v/>
      </c>
    </row>
    <row r="543">
      <c r="A543" s="14" t="n">
        <v>539</v>
      </c>
      <c r="B543" s="30">
        <f>RAND()*(1-2E-6)+1E-6</f>
        <v/>
      </c>
      <c r="C543" s="30">
        <f>RAND()*(1-2E-6)+1E-6</f>
        <v/>
      </c>
      <c r="D543" s="30">
        <f>RAND()*(1-2E-6)+1E-6</f>
        <v/>
      </c>
      <c r="E543" s="30">
        <f>RAND()*(1-2E-6)+1E-6</f>
        <v/>
      </c>
      <c r="F543" s="30">
        <f>RAND()*(1-2E-6)+1E-6</f>
        <v/>
      </c>
      <c r="G543" s="30">
        <f>RAND()*(1-2E-6)+1E-6</f>
        <v/>
      </c>
      <c r="H543" s="30">
        <f>RAND()*(1-2E-6)+1E-6</f>
        <v/>
      </c>
      <c r="I543" s="31">
        <f>MIN(IF(Supuestos!$H$5="",1E+99,Supuestos!$H$5),MAX(IF(Supuestos!$G$5="",-1E+99,Supuestos!$G$5),IF(Supuestos!$C$5="Normal",NORMINV(B543,Supuestos!$D$5,Supuestos!$E$5),IF(Supuestos!$C$5="Triangular",IF(B543&lt;(Supuestos!$E$5-Supuestos!$D$5)/(Supuestos!$F$5-Supuestos!$D$5),Supuestos!$D$5+SQRT(B543*(Supuestos!$F$5-Supuestos!$D$5)*(Supuestos!$E$5-Supuestos!$D$5)),Supuestos!$F$5-SQRT((1-B543)*(Supuestos!$F$5-Supuestos!$D$5)*(Supuestos!$F$5-Supuestos!$E$5))),IF(Supuestos!$C$5="Uniforme",Supuestos!$D$5+B543*(Supuestos!$E$5-Supuestos!$D$5),IF(Supuestos!$C$5="Lognormal",LOGINV(B543,LN(Supuestos!$D$5)-LN(1+Supuestos!$E$5^2/Supuestos!$D$5^2)/2,SQRT(LN(1+Supuestos!$E$5^2/Supuestos!$D$5^2))),Supuestos!$D$5))))))</f>
        <v/>
      </c>
      <c r="J543" s="31">
        <f>MIN(IF(Supuestos!$H$6="",1E+99,Supuestos!$H$6),MAX(IF(Supuestos!$G$6="",-1E+99,Supuestos!$G$6),IF(Supuestos!$C$6="Normal",NORMINV(C543,Supuestos!$D$6,Supuestos!$E$6),IF(Supuestos!$C$6="Triangular",IF(C543&lt;(Supuestos!$E$6-Supuestos!$D$6)/(Supuestos!$F$6-Supuestos!$D$6),Supuestos!$D$6+SQRT(C543*(Supuestos!$F$6-Supuestos!$D$6)*(Supuestos!$E$6-Supuestos!$D$6)),Supuestos!$F$6-SQRT((1-C543)*(Supuestos!$F$6-Supuestos!$D$6)*(Supuestos!$F$6-Supuestos!$E$6))),IF(Supuestos!$C$6="Uniforme",Supuestos!$D$6+C543*(Supuestos!$E$6-Supuestos!$D$6),IF(Supuestos!$C$6="Lognormal",LOGINV(C543,LN(Supuestos!$D$6)-LN(1+Supuestos!$E$6^2/Supuestos!$D$6^2)/2,SQRT(LN(1+Supuestos!$E$6^2/Supuestos!$D$6^2))),Supuestos!$D$6))))))</f>
        <v/>
      </c>
      <c r="K543" s="32">
        <f>MIN(IF(Supuestos!$H$7="",1E+99,Supuestos!$H$7),MAX(IF(Supuestos!$G$7="",-1E+99,Supuestos!$G$7),IF(Supuestos!$C$7="Normal",NORMINV(D543,Supuestos!$D$7,Supuestos!$E$7),IF(Supuestos!$C$7="Triangular",IF(D543&lt;(Supuestos!$E$7-Supuestos!$D$7)/(Supuestos!$F$7-Supuestos!$D$7),Supuestos!$D$7+SQRT(D543*(Supuestos!$F$7-Supuestos!$D$7)*(Supuestos!$E$7-Supuestos!$D$7)),Supuestos!$F$7-SQRT((1-D543)*(Supuestos!$F$7-Supuestos!$D$7)*(Supuestos!$F$7-Supuestos!$E$7))),IF(Supuestos!$C$7="Uniforme",Supuestos!$D$7+D543*(Supuestos!$E$7-Supuestos!$D$7),IF(Supuestos!$C$7="Lognormal",LOGINV(D543,LN(Supuestos!$D$7)-LN(1+Supuestos!$E$7^2/Supuestos!$D$7^2)/2,SQRT(LN(1+Supuestos!$E$7^2/Supuestos!$D$7^2))),Supuestos!$D$7))))))</f>
        <v/>
      </c>
      <c r="L543" s="32">
        <f>MIN(IF(Supuestos!$H$8="",1E+99,Supuestos!$H$8),MAX(IF(Supuestos!$G$8="",-1E+99,Supuestos!$G$8),IF(Supuestos!$C$8="Normal",NORMINV(E543,Supuestos!$D$8,Supuestos!$E$8),IF(Supuestos!$C$8="Triangular",IF(E543&lt;(Supuestos!$E$8-Supuestos!$D$8)/(Supuestos!$F$8-Supuestos!$D$8),Supuestos!$D$8+SQRT(E543*(Supuestos!$F$8-Supuestos!$D$8)*(Supuestos!$E$8-Supuestos!$D$8)),Supuestos!$F$8-SQRT((1-E543)*(Supuestos!$F$8-Supuestos!$D$8)*(Supuestos!$F$8-Supuestos!$E$8))),IF(Supuestos!$C$8="Uniforme",Supuestos!$D$8+E543*(Supuestos!$E$8-Supuestos!$D$8),IF(Supuestos!$C$8="Lognormal",LOGINV(E543,LN(Supuestos!$D$8)-LN(1+Supuestos!$E$8^2/Supuestos!$D$8^2)/2,SQRT(LN(1+Supuestos!$E$8^2/Supuestos!$D$8^2))),Supuestos!$D$8))))))</f>
        <v/>
      </c>
      <c r="M543" s="32">
        <f>MIN(IF(Supuestos!$H$9="",1E+99,Supuestos!$H$9),MAX(IF(Supuestos!$G$9="",-1E+99,Supuestos!$G$9),IF(Supuestos!$C$9="Normal",NORMINV(F543,Supuestos!$D$9,Supuestos!$E$9),IF(Supuestos!$C$9="Triangular",IF(F543&lt;(Supuestos!$E$9-Supuestos!$D$9)/(Supuestos!$F$9-Supuestos!$D$9),Supuestos!$D$9+SQRT(F543*(Supuestos!$F$9-Supuestos!$D$9)*(Supuestos!$E$9-Supuestos!$D$9)),Supuestos!$F$9-SQRT((1-F543)*(Supuestos!$F$9-Supuestos!$D$9)*(Supuestos!$F$9-Supuestos!$E$9))),IF(Supuestos!$C$9="Uniforme",Supuestos!$D$9+F543*(Supuestos!$E$9-Supuestos!$D$9),IF(Supuestos!$C$9="Lognormal",LOGINV(F543,LN(Supuestos!$D$9)-LN(1+Supuestos!$E$9^2/Supuestos!$D$9^2)/2,SQRT(LN(1+Supuestos!$E$9^2/Supuestos!$D$9^2))),Supuestos!$D$9))))))</f>
        <v/>
      </c>
      <c r="N543" s="32">
        <f>MIN(IF(Supuestos!$H$10="",1E+99,Supuestos!$H$10),MAX(IF(Supuestos!$G$10="",-1E+99,Supuestos!$G$10),IF(Supuestos!$C$10="Normal",NORMINV(G543,Supuestos!$D$10,Supuestos!$E$10),IF(Supuestos!$C$10="Triangular",IF(G543&lt;(Supuestos!$E$10-Supuestos!$D$10)/(Supuestos!$F$10-Supuestos!$D$10),Supuestos!$D$10+SQRT(G543*(Supuestos!$F$10-Supuestos!$D$10)*(Supuestos!$E$10-Supuestos!$D$10)),Supuestos!$F$10-SQRT((1-G543)*(Supuestos!$F$10-Supuestos!$D$10)*(Supuestos!$F$10-Supuestos!$E$10))),IF(Supuestos!$C$10="Uniforme",Supuestos!$D$10+G543*(Supuestos!$E$10-Supuestos!$D$10),IF(Supuestos!$C$10="Lognormal",LOGINV(G543,LN(Supuestos!$D$10)-LN(1+Supuestos!$E$10^2/Supuestos!$D$10^2)/2,SQRT(LN(1+Supuestos!$E$10^2/Supuestos!$D$10^2))),Supuestos!$D$10))))))</f>
        <v/>
      </c>
      <c r="O543" s="31">
        <f>MIN(IF(Supuestos!$H$11="",1E+99,Supuestos!$H$11),MAX(IF(Supuestos!$G$11="",-1E+99,Supuestos!$G$11),IF(Supuestos!$C$11="Normal",NORMINV(H543,Supuestos!$D$11,Supuestos!$E$11),IF(Supuestos!$C$11="Triangular",IF(H543&lt;(Supuestos!$E$11-Supuestos!$D$11)/(Supuestos!$F$11-Supuestos!$D$11),Supuestos!$D$11+SQRT(H543*(Supuestos!$F$11-Supuestos!$D$11)*(Supuestos!$E$11-Supuestos!$D$11)),Supuestos!$F$11-SQRT((1-H543)*(Supuestos!$F$11-Supuestos!$D$11)*(Supuestos!$F$11-Supuestos!$E$11))),IF(Supuestos!$C$11="Uniforme",Supuestos!$D$11+H543*(Supuestos!$E$11-Supuestos!$D$11),IF(Supuestos!$C$11="Lognormal",LOGINV(H543,LN(Supuestos!$D$11)-LN(1+Supuestos!$E$11^2/Supuestos!$D$11^2)/2,SQRT(LN(1+Supuestos!$E$11^2/Supuestos!$D$11^2))),Supuestos!$D$11))))))</f>
        <v/>
      </c>
      <c r="P543" s="33">
        <f>-I543</f>
        <v/>
      </c>
      <c r="Q543" s="33">
        <f>$J543*(1+$K543)^(1-1)*(1-$L543)*(1-$M543)</f>
        <v/>
      </c>
      <c r="R543" s="33">
        <f>$J543*(1+$K543)^(2-1)*(1-$L543)*(1-$M543)</f>
        <v/>
      </c>
      <c r="S543" s="33">
        <f>$J543*(1+$K543)^(3-1)*(1-$L543)*(1-$M543)</f>
        <v/>
      </c>
      <c r="T543" s="33">
        <f>$J543*(1+$K543)^(4-1)*(1-$L543)*(1-$M543)</f>
        <v/>
      </c>
      <c r="U543" s="33">
        <f>$J543*(1+$K543)^(5-1)*(1-$L543)*(1-$M543)+$O543</f>
        <v/>
      </c>
      <c r="V543" s="33">
        <f>P543+NPV($N543,Q543:U543)</f>
        <v/>
      </c>
      <c r="W543" s="32">
        <f>IFERROR(IRR(P543:U543,0.1),"")</f>
        <v/>
      </c>
    </row>
    <row r="544">
      <c r="A544" s="14" t="n">
        <v>540</v>
      </c>
      <c r="B544" s="30">
        <f>RAND()*(1-2E-6)+1E-6</f>
        <v/>
      </c>
      <c r="C544" s="30">
        <f>RAND()*(1-2E-6)+1E-6</f>
        <v/>
      </c>
      <c r="D544" s="30">
        <f>RAND()*(1-2E-6)+1E-6</f>
        <v/>
      </c>
      <c r="E544" s="30">
        <f>RAND()*(1-2E-6)+1E-6</f>
        <v/>
      </c>
      <c r="F544" s="30">
        <f>RAND()*(1-2E-6)+1E-6</f>
        <v/>
      </c>
      <c r="G544" s="30">
        <f>RAND()*(1-2E-6)+1E-6</f>
        <v/>
      </c>
      <c r="H544" s="30">
        <f>RAND()*(1-2E-6)+1E-6</f>
        <v/>
      </c>
      <c r="I544" s="31">
        <f>MIN(IF(Supuestos!$H$5="",1E+99,Supuestos!$H$5),MAX(IF(Supuestos!$G$5="",-1E+99,Supuestos!$G$5),IF(Supuestos!$C$5="Normal",NORMINV(B544,Supuestos!$D$5,Supuestos!$E$5),IF(Supuestos!$C$5="Triangular",IF(B544&lt;(Supuestos!$E$5-Supuestos!$D$5)/(Supuestos!$F$5-Supuestos!$D$5),Supuestos!$D$5+SQRT(B544*(Supuestos!$F$5-Supuestos!$D$5)*(Supuestos!$E$5-Supuestos!$D$5)),Supuestos!$F$5-SQRT((1-B544)*(Supuestos!$F$5-Supuestos!$D$5)*(Supuestos!$F$5-Supuestos!$E$5))),IF(Supuestos!$C$5="Uniforme",Supuestos!$D$5+B544*(Supuestos!$E$5-Supuestos!$D$5),IF(Supuestos!$C$5="Lognormal",LOGINV(B544,LN(Supuestos!$D$5)-LN(1+Supuestos!$E$5^2/Supuestos!$D$5^2)/2,SQRT(LN(1+Supuestos!$E$5^2/Supuestos!$D$5^2))),Supuestos!$D$5))))))</f>
        <v/>
      </c>
      <c r="J544" s="31">
        <f>MIN(IF(Supuestos!$H$6="",1E+99,Supuestos!$H$6),MAX(IF(Supuestos!$G$6="",-1E+99,Supuestos!$G$6),IF(Supuestos!$C$6="Normal",NORMINV(C544,Supuestos!$D$6,Supuestos!$E$6),IF(Supuestos!$C$6="Triangular",IF(C544&lt;(Supuestos!$E$6-Supuestos!$D$6)/(Supuestos!$F$6-Supuestos!$D$6),Supuestos!$D$6+SQRT(C544*(Supuestos!$F$6-Supuestos!$D$6)*(Supuestos!$E$6-Supuestos!$D$6)),Supuestos!$F$6-SQRT((1-C544)*(Supuestos!$F$6-Supuestos!$D$6)*(Supuestos!$F$6-Supuestos!$E$6))),IF(Supuestos!$C$6="Uniforme",Supuestos!$D$6+C544*(Supuestos!$E$6-Supuestos!$D$6),IF(Supuestos!$C$6="Lognormal",LOGINV(C544,LN(Supuestos!$D$6)-LN(1+Supuestos!$E$6^2/Supuestos!$D$6^2)/2,SQRT(LN(1+Supuestos!$E$6^2/Supuestos!$D$6^2))),Supuestos!$D$6))))))</f>
        <v/>
      </c>
      <c r="K544" s="32">
        <f>MIN(IF(Supuestos!$H$7="",1E+99,Supuestos!$H$7),MAX(IF(Supuestos!$G$7="",-1E+99,Supuestos!$G$7),IF(Supuestos!$C$7="Normal",NORMINV(D544,Supuestos!$D$7,Supuestos!$E$7),IF(Supuestos!$C$7="Triangular",IF(D544&lt;(Supuestos!$E$7-Supuestos!$D$7)/(Supuestos!$F$7-Supuestos!$D$7),Supuestos!$D$7+SQRT(D544*(Supuestos!$F$7-Supuestos!$D$7)*(Supuestos!$E$7-Supuestos!$D$7)),Supuestos!$F$7-SQRT((1-D544)*(Supuestos!$F$7-Supuestos!$D$7)*(Supuestos!$F$7-Supuestos!$E$7))),IF(Supuestos!$C$7="Uniforme",Supuestos!$D$7+D544*(Supuestos!$E$7-Supuestos!$D$7),IF(Supuestos!$C$7="Lognormal",LOGINV(D544,LN(Supuestos!$D$7)-LN(1+Supuestos!$E$7^2/Supuestos!$D$7^2)/2,SQRT(LN(1+Supuestos!$E$7^2/Supuestos!$D$7^2))),Supuestos!$D$7))))))</f>
        <v/>
      </c>
      <c r="L544" s="32">
        <f>MIN(IF(Supuestos!$H$8="",1E+99,Supuestos!$H$8),MAX(IF(Supuestos!$G$8="",-1E+99,Supuestos!$G$8),IF(Supuestos!$C$8="Normal",NORMINV(E544,Supuestos!$D$8,Supuestos!$E$8),IF(Supuestos!$C$8="Triangular",IF(E544&lt;(Supuestos!$E$8-Supuestos!$D$8)/(Supuestos!$F$8-Supuestos!$D$8),Supuestos!$D$8+SQRT(E544*(Supuestos!$F$8-Supuestos!$D$8)*(Supuestos!$E$8-Supuestos!$D$8)),Supuestos!$F$8-SQRT((1-E544)*(Supuestos!$F$8-Supuestos!$D$8)*(Supuestos!$F$8-Supuestos!$E$8))),IF(Supuestos!$C$8="Uniforme",Supuestos!$D$8+E544*(Supuestos!$E$8-Supuestos!$D$8),IF(Supuestos!$C$8="Lognormal",LOGINV(E544,LN(Supuestos!$D$8)-LN(1+Supuestos!$E$8^2/Supuestos!$D$8^2)/2,SQRT(LN(1+Supuestos!$E$8^2/Supuestos!$D$8^2))),Supuestos!$D$8))))))</f>
        <v/>
      </c>
      <c r="M544" s="32">
        <f>MIN(IF(Supuestos!$H$9="",1E+99,Supuestos!$H$9),MAX(IF(Supuestos!$G$9="",-1E+99,Supuestos!$G$9),IF(Supuestos!$C$9="Normal",NORMINV(F544,Supuestos!$D$9,Supuestos!$E$9),IF(Supuestos!$C$9="Triangular",IF(F544&lt;(Supuestos!$E$9-Supuestos!$D$9)/(Supuestos!$F$9-Supuestos!$D$9),Supuestos!$D$9+SQRT(F544*(Supuestos!$F$9-Supuestos!$D$9)*(Supuestos!$E$9-Supuestos!$D$9)),Supuestos!$F$9-SQRT((1-F544)*(Supuestos!$F$9-Supuestos!$D$9)*(Supuestos!$F$9-Supuestos!$E$9))),IF(Supuestos!$C$9="Uniforme",Supuestos!$D$9+F544*(Supuestos!$E$9-Supuestos!$D$9),IF(Supuestos!$C$9="Lognormal",LOGINV(F544,LN(Supuestos!$D$9)-LN(1+Supuestos!$E$9^2/Supuestos!$D$9^2)/2,SQRT(LN(1+Supuestos!$E$9^2/Supuestos!$D$9^2))),Supuestos!$D$9))))))</f>
        <v/>
      </c>
      <c r="N544" s="32">
        <f>MIN(IF(Supuestos!$H$10="",1E+99,Supuestos!$H$10),MAX(IF(Supuestos!$G$10="",-1E+99,Supuestos!$G$10),IF(Supuestos!$C$10="Normal",NORMINV(G544,Supuestos!$D$10,Supuestos!$E$10),IF(Supuestos!$C$10="Triangular",IF(G544&lt;(Supuestos!$E$10-Supuestos!$D$10)/(Supuestos!$F$10-Supuestos!$D$10),Supuestos!$D$10+SQRT(G544*(Supuestos!$F$10-Supuestos!$D$10)*(Supuestos!$E$10-Supuestos!$D$10)),Supuestos!$F$10-SQRT((1-G544)*(Supuestos!$F$10-Supuestos!$D$10)*(Supuestos!$F$10-Supuestos!$E$10))),IF(Supuestos!$C$10="Uniforme",Supuestos!$D$10+G544*(Supuestos!$E$10-Supuestos!$D$10),IF(Supuestos!$C$10="Lognormal",LOGINV(G544,LN(Supuestos!$D$10)-LN(1+Supuestos!$E$10^2/Supuestos!$D$10^2)/2,SQRT(LN(1+Supuestos!$E$10^2/Supuestos!$D$10^2))),Supuestos!$D$10))))))</f>
        <v/>
      </c>
      <c r="O544" s="31">
        <f>MIN(IF(Supuestos!$H$11="",1E+99,Supuestos!$H$11),MAX(IF(Supuestos!$G$11="",-1E+99,Supuestos!$G$11),IF(Supuestos!$C$11="Normal",NORMINV(H544,Supuestos!$D$11,Supuestos!$E$11),IF(Supuestos!$C$11="Triangular",IF(H544&lt;(Supuestos!$E$11-Supuestos!$D$11)/(Supuestos!$F$11-Supuestos!$D$11),Supuestos!$D$11+SQRT(H544*(Supuestos!$F$11-Supuestos!$D$11)*(Supuestos!$E$11-Supuestos!$D$11)),Supuestos!$F$11-SQRT((1-H544)*(Supuestos!$F$11-Supuestos!$D$11)*(Supuestos!$F$11-Supuestos!$E$11))),IF(Supuestos!$C$11="Uniforme",Supuestos!$D$11+H544*(Supuestos!$E$11-Supuestos!$D$11),IF(Supuestos!$C$11="Lognormal",LOGINV(H544,LN(Supuestos!$D$11)-LN(1+Supuestos!$E$11^2/Supuestos!$D$11^2)/2,SQRT(LN(1+Supuestos!$E$11^2/Supuestos!$D$11^2))),Supuestos!$D$11))))))</f>
        <v/>
      </c>
      <c r="P544" s="33">
        <f>-I544</f>
        <v/>
      </c>
      <c r="Q544" s="33">
        <f>$J544*(1+$K544)^(1-1)*(1-$L544)*(1-$M544)</f>
        <v/>
      </c>
      <c r="R544" s="33">
        <f>$J544*(1+$K544)^(2-1)*(1-$L544)*(1-$M544)</f>
        <v/>
      </c>
      <c r="S544" s="33">
        <f>$J544*(1+$K544)^(3-1)*(1-$L544)*(1-$M544)</f>
        <v/>
      </c>
      <c r="T544" s="33">
        <f>$J544*(1+$K544)^(4-1)*(1-$L544)*(1-$M544)</f>
        <v/>
      </c>
      <c r="U544" s="33">
        <f>$J544*(1+$K544)^(5-1)*(1-$L544)*(1-$M544)+$O544</f>
        <v/>
      </c>
      <c r="V544" s="33">
        <f>P544+NPV($N544,Q544:U544)</f>
        <v/>
      </c>
      <c r="W544" s="32">
        <f>IFERROR(IRR(P544:U544,0.1),"")</f>
        <v/>
      </c>
    </row>
    <row r="545">
      <c r="A545" s="14" t="n">
        <v>541</v>
      </c>
      <c r="B545" s="30">
        <f>RAND()*(1-2E-6)+1E-6</f>
        <v/>
      </c>
      <c r="C545" s="30">
        <f>RAND()*(1-2E-6)+1E-6</f>
        <v/>
      </c>
      <c r="D545" s="30">
        <f>RAND()*(1-2E-6)+1E-6</f>
        <v/>
      </c>
      <c r="E545" s="30">
        <f>RAND()*(1-2E-6)+1E-6</f>
        <v/>
      </c>
      <c r="F545" s="30">
        <f>RAND()*(1-2E-6)+1E-6</f>
        <v/>
      </c>
      <c r="G545" s="30">
        <f>RAND()*(1-2E-6)+1E-6</f>
        <v/>
      </c>
      <c r="H545" s="30">
        <f>RAND()*(1-2E-6)+1E-6</f>
        <v/>
      </c>
      <c r="I545" s="31">
        <f>MIN(IF(Supuestos!$H$5="",1E+99,Supuestos!$H$5),MAX(IF(Supuestos!$G$5="",-1E+99,Supuestos!$G$5),IF(Supuestos!$C$5="Normal",NORMINV(B545,Supuestos!$D$5,Supuestos!$E$5),IF(Supuestos!$C$5="Triangular",IF(B545&lt;(Supuestos!$E$5-Supuestos!$D$5)/(Supuestos!$F$5-Supuestos!$D$5),Supuestos!$D$5+SQRT(B545*(Supuestos!$F$5-Supuestos!$D$5)*(Supuestos!$E$5-Supuestos!$D$5)),Supuestos!$F$5-SQRT((1-B545)*(Supuestos!$F$5-Supuestos!$D$5)*(Supuestos!$F$5-Supuestos!$E$5))),IF(Supuestos!$C$5="Uniforme",Supuestos!$D$5+B545*(Supuestos!$E$5-Supuestos!$D$5),IF(Supuestos!$C$5="Lognormal",LOGINV(B545,LN(Supuestos!$D$5)-LN(1+Supuestos!$E$5^2/Supuestos!$D$5^2)/2,SQRT(LN(1+Supuestos!$E$5^2/Supuestos!$D$5^2))),Supuestos!$D$5))))))</f>
        <v/>
      </c>
      <c r="J545" s="31">
        <f>MIN(IF(Supuestos!$H$6="",1E+99,Supuestos!$H$6),MAX(IF(Supuestos!$G$6="",-1E+99,Supuestos!$G$6),IF(Supuestos!$C$6="Normal",NORMINV(C545,Supuestos!$D$6,Supuestos!$E$6),IF(Supuestos!$C$6="Triangular",IF(C545&lt;(Supuestos!$E$6-Supuestos!$D$6)/(Supuestos!$F$6-Supuestos!$D$6),Supuestos!$D$6+SQRT(C545*(Supuestos!$F$6-Supuestos!$D$6)*(Supuestos!$E$6-Supuestos!$D$6)),Supuestos!$F$6-SQRT((1-C545)*(Supuestos!$F$6-Supuestos!$D$6)*(Supuestos!$F$6-Supuestos!$E$6))),IF(Supuestos!$C$6="Uniforme",Supuestos!$D$6+C545*(Supuestos!$E$6-Supuestos!$D$6),IF(Supuestos!$C$6="Lognormal",LOGINV(C545,LN(Supuestos!$D$6)-LN(1+Supuestos!$E$6^2/Supuestos!$D$6^2)/2,SQRT(LN(1+Supuestos!$E$6^2/Supuestos!$D$6^2))),Supuestos!$D$6))))))</f>
        <v/>
      </c>
      <c r="K545" s="32">
        <f>MIN(IF(Supuestos!$H$7="",1E+99,Supuestos!$H$7),MAX(IF(Supuestos!$G$7="",-1E+99,Supuestos!$G$7),IF(Supuestos!$C$7="Normal",NORMINV(D545,Supuestos!$D$7,Supuestos!$E$7),IF(Supuestos!$C$7="Triangular",IF(D545&lt;(Supuestos!$E$7-Supuestos!$D$7)/(Supuestos!$F$7-Supuestos!$D$7),Supuestos!$D$7+SQRT(D545*(Supuestos!$F$7-Supuestos!$D$7)*(Supuestos!$E$7-Supuestos!$D$7)),Supuestos!$F$7-SQRT((1-D545)*(Supuestos!$F$7-Supuestos!$D$7)*(Supuestos!$F$7-Supuestos!$E$7))),IF(Supuestos!$C$7="Uniforme",Supuestos!$D$7+D545*(Supuestos!$E$7-Supuestos!$D$7),IF(Supuestos!$C$7="Lognormal",LOGINV(D545,LN(Supuestos!$D$7)-LN(1+Supuestos!$E$7^2/Supuestos!$D$7^2)/2,SQRT(LN(1+Supuestos!$E$7^2/Supuestos!$D$7^2))),Supuestos!$D$7))))))</f>
        <v/>
      </c>
      <c r="L545" s="32">
        <f>MIN(IF(Supuestos!$H$8="",1E+99,Supuestos!$H$8),MAX(IF(Supuestos!$G$8="",-1E+99,Supuestos!$G$8),IF(Supuestos!$C$8="Normal",NORMINV(E545,Supuestos!$D$8,Supuestos!$E$8),IF(Supuestos!$C$8="Triangular",IF(E545&lt;(Supuestos!$E$8-Supuestos!$D$8)/(Supuestos!$F$8-Supuestos!$D$8),Supuestos!$D$8+SQRT(E545*(Supuestos!$F$8-Supuestos!$D$8)*(Supuestos!$E$8-Supuestos!$D$8)),Supuestos!$F$8-SQRT((1-E545)*(Supuestos!$F$8-Supuestos!$D$8)*(Supuestos!$F$8-Supuestos!$E$8))),IF(Supuestos!$C$8="Uniforme",Supuestos!$D$8+E545*(Supuestos!$E$8-Supuestos!$D$8),IF(Supuestos!$C$8="Lognormal",LOGINV(E545,LN(Supuestos!$D$8)-LN(1+Supuestos!$E$8^2/Supuestos!$D$8^2)/2,SQRT(LN(1+Supuestos!$E$8^2/Supuestos!$D$8^2))),Supuestos!$D$8))))))</f>
        <v/>
      </c>
      <c r="M545" s="32">
        <f>MIN(IF(Supuestos!$H$9="",1E+99,Supuestos!$H$9),MAX(IF(Supuestos!$G$9="",-1E+99,Supuestos!$G$9),IF(Supuestos!$C$9="Normal",NORMINV(F545,Supuestos!$D$9,Supuestos!$E$9),IF(Supuestos!$C$9="Triangular",IF(F545&lt;(Supuestos!$E$9-Supuestos!$D$9)/(Supuestos!$F$9-Supuestos!$D$9),Supuestos!$D$9+SQRT(F545*(Supuestos!$F$9-Supuestos!$D$9)*(Supuestos!$E$9-Supuestos!$D$9)),Supuestos!$F$9-SQRT((1-F545)*(Supuestos!$F$9-Supuestos!$D$9)*(Supuestos!$F$9-Supuestos!$E$9))),IF(Supuestos!$C$9="Uniforme",Supuestos!$D$9+F545*(Supuestos!$E$9-Supuestos!$D$9),IF(Supuestos!$C$9="Lognormal",LOGINV(F545,LN(Supuestos!$D$9)-LN(1+Supuestos!$E$9^2/Supuestos!$D$9^2)/2,SQRT(LN(1+Supuestos!$E$9^2/Supuestos!$D$9^2))),Supuestos!$D$9))))))</f>
        <v/>
      </c>
      <c r="N545" s="32">
        <f>MIN(IF(Supuestos!$H$10="",1E+99,Supuestos!$H$10),MAX(IF(Supuestos!$G$10="",-1E+99,Supuestos!$G$10),IF(Supuestos!$C$10="Normal",NORMINV(G545,Supuestos!$D$10,Supuestos!$E$10),IF(Supuestos!$C$10="Triangular",IF(G545&lt;(Supuestos!$E$10-Supuestos!$D$10)/(Supuestos!$F$10-Supuestos!$D$10),Supuestos!$D$10+SQRT(G545*(Supuestos!$F$10-Supuestos!$D$10)*(Supuestos!$E$10-Supuestos!$D$10)),Supuestos!$F$10-SQRT((1-G545)*(Supuestos!$F$10-Supuestos!$D$10)*(Supuestos!$F$10-Supuestos!$E$10))),IF(Supuestos!$C$10="Uniforme",Supuestos!$D$10+G545*(Supuestos!$E$10-Supuestos!$D$10),IF(Supuestos!$C$10="Lognormal",LOGINV(G545,LN(Supuestos!$D$10)-LN(1+Supuestos!$E$10^2/Supuestos!$D$10^2)/2,SQRT(LN(1+Supuestos!$E$10^2/Supuestos!$D$10^2))),Supuestos!$D$10))))))</f>
        <v/>
      </c>
      <c r="O545" s="31">
        <f>MIN(IF(Supuestos!$H$11="",1E+99,Supuestos!$H$11),MAX(IF(Supuestos!$G$11="",-1E+99,Supuestos!$G$11),IF(Supuestos!$C$11="Normal",NORMINV(H545,Supuestos!$D$11,Supuestos!$E$11),IF(Supuestos!$C$11="Triangular",IF(H545&lt;(Supuestos!$E$11-Supuestos!$D$11)/(Supuestos!$F$11-Supuestos!$D$11),Supuestos!$D$11+SQRT(H545*(Supuestos!$F$11-Supuestos!$D$11)*(Supuestos!$E$11-Supuestos!$D$11)),Supuestos!$F$11-SQRT((1-H545)*(Supuestos!$F$11-Supuestos!$D$11)*(Supuestos!$F$11-Supuestos!$E$11))),IF(Supuestos!$C$11="Uniforme",Supuestos!$D$11+H545*(Supuestos!$E$11-Supuestos!$D$11),IF(Supuestos!$C$11="Lognormal",LOGINV(H545,LN(Supuestos!$D$11)-LN(1+Supuestos!$E$11^2/Supuestos!$D$11^2)/2,SQRT(LN(1+Supuestos!$E$11^2/Supuestos!$D$11^2))),Supuestos!$D$11))))))</f>
        <v/>
      </c>
      <c r="P545" s="33">
        <f>-I545</f>
        <v/>
      </c>
      <c r="Q545" s="33">
        <f>$J545*(1+$K545)^(1-1)*(1-$L545)*(1-$M545)</f>
        <v/>
      </c>
      <c r="R545" s="33">
        <f>$J545*(1+$K545)^(2-1)*(1-$L545)*(1-$M545)</f>
        <v/>
      </c>
      <c r="S545" s="33">
        <f>$J545*(1+$K545)^(3-1)*(1-$L545)*(1-$M545)</f>
        <v/>
      </c>
      <c r="T545" s="33">
        <f>$J545*(1+$K545)^(4-1)*(1-$L545)*(1-$M545)</f>
        <v/>
      </c>
      <c r="U545" s="33">
        <f>$J545*(1+$K545)^(5-1)*(1-$L545)*(1-$M545)+$O545</f>
        <v/>
      </c>
      <c r="V545" s="33">
        <f>P545+NPV($N545,Q545:U545)</f>
        <v/>
      </c>
      <c r="W545" s="32">
        <f>IFERROR(IRR(P545:U545,0.1),"")</f>
        <v/>
      </c>
    </row>
    <row r="546">
      <c r="A546" s="14" t="n">
        <v>542</v>
      </c>
      <c r="B546" s="30">
        <f>RAND()*(1-2E-6)+1E-6</f>
        <v/>
      </c>
      <c r="C546" s="30">
        <f>RAND()*(1-2E-6)+1E-6</f>
        <v/>
      </c>
      <c r="D546" s="30">
        <f>RAND()*(1-2E-6)+1E-6</f>
        <v/>
      </c>
      <c r="E546" s="30">
        <f>RAND()*(1-2E-6)+1E-6</f>
        <v/>
      </c>
      <c r="F546" s="30">
        <f>RAND()*(1-2E-6)+1E-6</f>
        <v/>
      </c>
      <c r="G546" s="30">
        <f>RAND()*(1-2E-6)+1E-6</f>
        <v/>
      </c>
      <c r="H546" s="30">
        <f>RAND()*(1-2E-6)+1E-6</f>
        <v/>
      </c>
      <c r="I546" s="31">
        <f>MIN(IF(Supuestos!$H$5="",1E+99,Supuestos!$H$5),MAX(IF(Supuestos!$G$5="",-1E+99,Supuestos!$G$5),IF(Supuestos!$C$5="Normal",NORMINV(B546,Supuestos!$D$5,Supuestos!$E$5),IF(Supuestos!$C$5="Triangular",IF(B546&lt;(Supuestos!$E$5-Supuestos!$D$5)/(Supuestos!$F$5-Supuestos!$D$5),Supuestos!$D$5+SQRT(B546*(Supuestos!$F$5-Supuestos!$D$5)*(Supuestos!$E$5-Supuestos!$D$5)),Supuestos!$F$5-SQRT((1-B546)*(Supuestos!$F$5-Supuestos!$D$5)*(Supuestos!$F$5-Supuestos!$E$5))),IF(Supuestos!$C$5="Uniforme",Supuestos!$D$5+B546*(Supuestos!$E$5-Supuestos!$D$5),IF(Supuestos!$C$5="Lognormal",LOGINV(B546,LN(Supuestos!$D$5)-LN(1+Supuestos!$E$5^2/Supuestos!$D$5^2)/2,SQRT(LN(1+Supuestos!$E$5^2/Supuestos!$D$5^2))),Supuestos!$D$5))))))</f>
        <v/>
      </c>
      <c r="J546" s="31">
        <f>MIN(IF(Supuestos!$H$6="",1E+99,Supuestos!$H$6),MAX(IF(Supuestos!$G$6="",-1E+99,Supuestos!$G$6),IF(Supuestos!$C$6="Normal",NORMINV(C546,Supuestos!$D$6,Supuestos!$E$6),IF(Supuestos!$C$6="Triangular",IF(C546&lt;(Supuestos!$E$6-Supuestos!$D$6)/(Supuestos!$F$6-Supuestos!$D$6),Supuestos!$D$6+SQRT(C546*(Supuestos!$F$6-Supuestos!$D$6)*(Supuestos!$E$6-Supuestos!$D$6)),Supuestos!$F$6-SQRT((1-C546)*(Supuestos!$F$6-Supuestos!$D$6)*(Supuestos!$F$6-Supuestos!$E$6))),IF(Supuestos!$C$6="Uniforme",Supuestos!$D$6+C546*(Supuestos!$E$6-Supuestos!$D$6),IF(Supuestos!$C$6="Lognormal",LOGINV(C546,LN(Supuestos!$D$6)-LN(1+Supuestos!$E$6^2/Supuestos!$D$6^2)/2,SQRT(LN(1+Supuestos!$E$6^2/Supuestos!$D$6^2))),Supuestos!$D$6))))))</f>
        <v/>
      </c>
      <c r="K546" s="32">
        <f>MIN(IF(Supuestos!$H$7="",1E+99,Supuestos!$H$7),MAX(IF(Supuestos!$G$7="",-1E+99,Supuestos!$G$7),IF(Supuestos!$C$7="Normal",NORMINV(D546,Supuestos!$D$7,Supuestos!$E$7),IF(Supuestos!$C$7="Triangular",IF(D546&lt;(Supuestos!$E$7-Supuestos!$D$7)/(Supuestos!$F$7-Supuestos!$D$7),Supuestos!$D$7+SQRT(D546*(Supuestos!$F$7-Supuestos!$D$7)*(Supuestos!$E$7-Supuestos!$D$7)),Supuestos!$F$7-SQRT((1-D546)*(Supuestos!$F$7-Supuestos!$D$7)*(Supuestos!$F$7-Supuestos!$E$7))),IF(Supuestos!$C$7="Uniforme",Supuestos!$D$7+D546*(Supuestos!$E$7-Supuestos!$D$7),IF(Supuestos!$C$7="Lognormal",LOGINV(D546,LN(Supuestos!$D$7)-LN(1+Supuestos!$E$7^2/Supuestos!$D$7^2)/2,SQRT(LN(1+Supuestos!$E$7^2/Supuestos!$D$7^2))),Supuestos!$D$7))))))</f>
        <v/>
      </c>
      <c r="L546" s="32">
        <f>MIN(IF(Supuestos!$H$8="",1E+99,Supuestos!$H$8),MAX(IF(Supuestos!$G$8="",-1E+99,Supuestos!$G$8),IF(Supuestos!$C$8="Normal",NORMINV(E546,Supuestos!$D$8,Supuestos!$E$8),IF(Supuestos!$C$8="Triangular",IF(E546&lt;(Supuestos!$E$8-Supuestos!$D$8)/(Supuestos!$F$8-Supuestos!$D$8),Supuestos!$D$8+SQRT(E546*(Supuestos!$F$8-Supuestos!$D$8)*(Supuestos!$E$8-Supuestos!$D$8)),Supuestos!$F$8-SQRT((1-E546)*(Supuestos!$F$8-Supuestos!$D$8)*(Supuestos!$F$8-Supuestos!$E$8))),IF(Supuestos!$C$8="Uniforme",Supuestos!$D$8+E546*(Supuestos!$E$8-Supuestos!$D$8),IF(Supuestos!$C$8="Lognormal",LOGINV(E546,LN(Supuestos!$D$8)-LN(1+Supuestos!$E$8^2/Supuestos!$D$8^2)/2,SQRT(LN(1+Supuestos!$E$8^2/Supuestos!$D$8^2))),Supuestos!$D$8))))))</f>
        <v/>
      </c>
      <c r="M546" s="32">
        <f>MIN(IF(Supuestos!$H$9="",1E+99,Supuestos!$H$9),MAX(IF(Supuestos!$G$9="",-1E+99,Supuestos!$G$9),IF(Supuestos!$C$9="Normal",NORMINV(F546,Supuestos!$D$9,Supuestos!$E$9),IF(Supuestos!$C$9="Triangular",IF(F546&lt;(Supuestos!$E$9-Supuestos!$D$9)/(Supuestos!$F$9-Supuestos!$D$9),Supuestos!$D$9+SQRT(F546*(Supuestos!$F$9-Supuestos!$D$9)*(Supuestos!$E$9-Supuestos!$D$9)),Supuestos!$F$9-SQRT((1-F546)*(Supuestos!$F$9-Supuestos!$D$9)*(Supuestos!$F$9-Supuestos!$E$9))),IF(Supuestos!$C$9="Uniforme",Supuestos!$D$9+F546*(Supuestos!$E$9-Supuestos!$D$9),IF(Supuestos!$C$9="Lognormal",LOGINV(F546,LN(Supuestos!$D$9)-LN(1+Supuestos!$E$9^2/Supuestos!$D$9^2)/2,SQRT(LN(1+Supuestos!$E$9^2/Supuestos!$D$9^2))),Supuestos!$D$9))))))</f>
        <v/>
      </c>
      <c r="N546" s="32">
        <f>MIN(IF(Supuestos!$H$10="",1E+99,Supuestos!$H$10),MAX(IF(Supuestos!$G$10="",-1E+99,Supuestos!$G$10),IF(Supuestos!$C$10="Normal",NORMINV(G546,Supuestos!$D$10,Supuestos!$E$10),IF(Supuestos!$C$10="Triangular",IF(G546&lt;(Supuestos!$E$10-Supuestos!$D$10)/(Supuestos!$F$10-Supuestos!$D$10),Supuestos!$D$10+SQRT(G546*(Supuestos!$F$10-Supuestos!$D$10)*(Supuestos!$E$10-Supuestos!$D$10)),Supuestos!$F$10-SQRT((1-G546)*(Supuestos!$F$10-Supuestos!$D$10)*(Supuestos!$F$10-Supuestos!$E$10))),IF(Supuestos!$C$10="Uniforme",Supuestos!$D$10+G546*(Supuestos!$E$10-Supuestos!$D$10),IF(Supuestos!$C$10="Lognormal",LOGINV(G546,LN(Supuestos!$D$10)-LN(1+Supuestos!$E$10^2/Supuestos!$D$10^2)/2,SQRT(LN(1+Supuestos!$E$10^2/Supuestos!$D$10^2))),Supuestos!$D$10))))))</f>
        <v/>
      </c>
      <c r="O546" s="31">
        <f>MIN(IF(Supuestos!$H$11="",1E+99,Supuestos!$H$11),MAX(IF(Supuestos!$G$11="",-1E+99,Supuestos!$G$11),IF(Supuestos!$C$11="Normal",NORMINV(H546,Supuestos!$D$11,Supuestos!$E$11),IF(Supuestos!$C$11="Triangular",IF(H546&lt;(Supuestos!$E$11-Supuestos!$D$11)/(Supuestos!$F$11-Supuestos!$D$11),Supuestos!$D$11+SQRT(H546*(Supuestos!$F$11-Supuestos!$D$11)*(Supuestos!$E$11-Supuestos!$D$11)),Supuestos!$F$11-SQRT((1-H546)*(Supuestos!$F$11-Supuestos!$D$11)*(Supuestos!$F$11-Supuestos!$E$11))),IF(Supuestos!$C$11="Uniforme",Supuestos!$D$11+H546*(Supuestos!$E$11-Supuestos!$D$11),IF(Supuestos!$C$11="Lognormal",LOGINV(H546,LN(Supuestos!$D$11)-LN(1+Supuestos!$E$11^2/Supuestos!$D$11^2)/2,SQRT(LN(1+Supuestos!$E$11^2/Supuestos!$D$11^2))),Supuestos!$D$11))))))</f>
        <v/>
      </c>
      <c r="P546" s="33">
        <f>-I546</f>
        <v/>
      </c>
      <c r="Q546" s="33">
        <f>$J546*(1+$K546)^(1-1)*(1-$L546)*(1-$M546)</f>
        <v/>
      </c>
      <c r="R546" s="33">
        <f>$J546*(1+$K546)^(2-1)*(1-$L546)*(1-$M546)</f>
        <v/>
      </c>
      <c r="S546" s="33">
        <f>$J546*(1+$K546)^(3-1)*(1-$L546)*(1-$M546)</f>
        <v/>
      </c>
      <c r="T546" s="33">
        <f>$J546*(1+$K546)^(4-1)*(1-$L546)*(1-$M546)</f>
        <v/>
      </c>
      <c r="U546" s="33">
        <f>$J546*(1+$K546)^(5-1)*(1-$L546)*(1-$M546)+$O546</f>
        <v/>
      </c>
      <c r="V546" s="33">
        <f>P546+NPV($N546,Q546:U546)</f>
        <v/>
      </c>
      <c r="W546" s="32">
        <f>IFERROR(IRR(P546:U546,0.1),"")</f>
        <v/>
      </c>
    </row>
    <row r="547">
      <c r="A547" s="14" t="n">
        <v>543</v>
      </c>
      <c r="B547" s="30">
        <f>RAND()*(1-2E-6)+1E-6</f>
        <v/>
      </c>
      <c r="C547" s="30">
        <f>RAND()*(1-2E-6)+1E-6</f>
        <v/>
      </c>
      <c r="D547" s="30">
        <f>RAND()*(1-2E-6)+1E-6</f>
        <v/>
      </c>
      <c r="E547" s="30">
        <f>RAND()*(1-2E-6)+1E-6</f>
        <v/>
      </c>
      <c r="F547" s="30">
        <f>RAND()*(1-2E-6)+1E-6</f>
        <v/>
      </c>
      <c r="G547" s="30">
        <f>RAND()*(1-2E-6)+1E-6</f>
        <v/>
      </c>
      <c r="H547" s="30">
        <f>RAND()*(1-2E-6)+1E-6</f>
        <v/>
      </c>
      <c r="I547" s="31">
        <f>MIN(IF(Supuestos!$H$5="",1E+99,Supuestos!$H$5),MAX(IF(Supuestos!$G$5="",-1E+99,Supuestos!$G$5),IF(Supuestos!$C$5="Normal",NORMINV(B547,Supuestos!$D$5,Supuestos!$E$5),IF(Supuestos!$C$5="Triangular",IF(B547&lt;(Supuestos!$E$5-Supuestos!$D$5)/(Supuestos!$F$5-Supuestos!$D$5),Supuestos!$D$5+SQRT(B547*(Supuestos!$F$5-Supuestos!$D$5)*(Supuestos!$E$5-Supuestos!$D$5)),Supuestos!$F$5-SQRT((1-B547)*(Supuestos!$F$5-Supuestos!$D$5)*(Supuestos!$F$5-Supuestos!$E$5))),IF(Supuestos!$C$5="Uniforme",Supuestos!$D$5+B547*(Supuestos!$E$5-Supuestos!$D$5),IF(Supuestos!$C$5="Lognormal",LOGINV(B547,LN(Supuestos!$D$5)-LN(1+Supuestos!$E$5^2/Supuestos!$D$5^2)/2,SQRT(LN(1+Supuestos!$E$5^2/Supuestos!$D$5^2))),Supuestos!$D$5))))))</f>
        <v/>
      </c>
      <c r="J547" s="31">
        <f>MIN(IF(Supuestos!$H$6="",1E+99,Supuestos!$H$6),MAX(IF(Supuestos!$G$6="",-1E+99,Supuestos!$G$6),IF(Supuestos!$C$6="Normal",NORMINV(C547,Supuestos!$D$6,Supuestos!$E$6),IF(Supuestos!$C$6="Triangular",IF(C547&lt;(Supuestos!$E$6-Supuestos!$D$6)/(Supuestos!$F$6-Supuestos!$D$6),Supuestos!$D$6+SQRT(C547*(Supuestos!$F$6-Supuestos!$D$6)*(Supuestos!$E$6-Supuestos!$D$6)),Supuestos!$F$6-SQRT((1-C547)*(Supuestos!$F$6-Supuestos!$D$6)*(Supuestos!$F$6-Supuestos!$E$6))),IF(Supuestos!$C$6="Uniforme",Supuestos!$D$6+C547*(Supuestos!$E$6-Supuestos!$D$6),IF(Supuestos!$C$6="Lognormal",LOGINV(C547,LN(Supuestos!$D$6)-LN(1+Supuestos!$E$6^2/Supuestos!$D$6^2)/2,SQRT(LN(1+Supuestos!$E$6^2/Supuestos!$D$6^2))),Supuestos!$D$6))))))</f>
        <v/>
      </c>
      <c r="K547" s="32">
        <f>MIN(IF(Supuestos!$H$7="",1E+99,Supuestos!$H$7),MAX(IF(Supuestos!$G$7="",-1E+99,Supuestos!$G$7),IF(Supuestos!$C$7="Normal",NORMINV(D547,Supuestos!$D$7,Supuestos!$E$7),IF(Supuestos!$C$7="Triangular",IF(D547&lt;(Supuestos!$E$7-Supuestos!$D$7)/(Supuestos!$F$7-Supuestos!$D$7),Supuestos!$D$7+SQRT(D547*(Supuestos!$F$7-Supuestos!$D$7)*(Supuestos!$E$7-Supuestos!$D$7)),Supuestos!$F$7-SQRT((1-D547)*(Supuestos!$F$7-Supuestos!$D$7)*(Supuestos!$F$7-Supuestos!$E$7))),IF(Supuestos!$C$7="Uniforme",Supuestos!$D$7+D547*(Supuestos!$E$7-Supuestos!$D$7),IF(Supuestos!$C$7="Lognormal",LOGINV(D547,LN(Supuestos!$D$7)-LN(1+Supuestos!$E$7^2/Supuestos!$D$7^2)/2,SQRT(LN(1+Supuestos!$E$7^2/Supuestos!$D$7^2))),Supuestos!$D$7))))))</f>
        <v/>
      </c>
      <c r="L547" s="32">
        <f>MIN(IF(Supuestos!$H$8="",1E+99,Supuestos!$H$8),MAX(IF(Supuestos!$G$8="",-1E+99,Supuestos!$G$8),IF(Supuestos!$C$8="Normal",NORMINV(E547,Supuestos!$D$8,Supuestos!$E$8),IF(Supuestos!$C$8="Triangular",IF(E547&lt;(Supuestos!$E$8-Supuestos!$D$8)/(Supuestos!$F$8-Supuestos!$D$8),Supuestos!$D$8+SQRT(E547*(Supuestos!$F$8-Supuestos!$D$8)*(Supuestos!$E$8-Supuestos!$D$8)),Supuestos!$F$8-SQRT((1-E547)*(Supuestos!$F$8-Supuestos!$D$8)*(Supuestos!$F$8-Supuestos!$E$8))),IF(Supuestos!$C$8="Uniforme",Supuestos!$D$8+E547*(Supuestos!$E$8-Supuestos!$D$8),IF(Supuestos!$C$8="Lognormal",LOGINV(E547,LN(Supuestos!$D$8)-LN(1+Supuestos!$E$8^2/Supuestos!$D$8^2)/2,SQRT(LN(1+Supuestos!$E$8^2/Supuestos!$D$8^2))),Supuestos!$D$8))))))</f>
        <v/>
      </c>
      <c r="M547" s="32">
        <f>MIN(IF(Supuestos!$H$9="",1E+99,Supuestos!$H$9),MAX(IF(Supuestos!$G$9="",-1E+99,Supuestos!$G$9),IF(Supuestos!$C$9="Normal",NORMINV(F547,Supuestos!$D$9,Supuestos!$E$9),IF(Supuestos!$C$9="Triangular",IF(F547&lt;(Supuestos!$E$9-Supuestos!$D$9)/(Supuestos!$F$9-Supuestos!$D$9),Supuestos!$D$9+SQRT(F547*(Supuestos!$F$9-Supuestos!$D$9)*(Supuestos!$E$9-Supuestos!$D$9)),Supuestos!$F$9-SQRT((1-F547)*(Supuestos!$F$9-Supuestos!$D$9)*(Supuestos!$F$9-Supuestos!$E$9))),IF(Supuestos!$C$9="Uniforme",Supuestos!$D$9+F547*(Supuestos!$E$9-Supuestos!$D$9),IF(Supuestos!$C$9="Lognormal",LOGINV(F547,LN(Supuestos!$D$9)-LN(1+Supuestos!$E$9^2/Supuestos!$D$9^2)/2,SQRT(LN(1+Supuestos!$E$9^2/Supuestos!$D$9^2))),Supuestos!$D$9))))))</f>
        <v/>
      </c>
      <c r="N547" s="32">
        <f>MIN(IF(Supuestos!$H$10="",1E+99,Supuestos!$H$10),MAX(IF(Supuestos!$G$10="",-1E+99,Supuestos!$G$10),IF(Supuestos!$C$10="Normal",NORMINV(G547,Supuestos!$D$10,Supuestos!$E$10),IF(Supuestos!$C$10="Triangular",IF(G547&lt;(Supuestos!$E$10-Supuestos!$D$10)/(Supuestos!$F$10-Supuestos!$D$10),Supuestos!$D$10+SQRT(G547*(Supuestos!$F$10-Supuestos!$D$10)*(Supuestos!$E$10-Supuestos!$D$10)),Supuestos!$F$10-SQRT((1-G547)*(Supuestos!$F$10-Supuestos!$D$10)*(Supuestos!$F$10-Supuestos!$E$10))),IF(Supuestos!$C$10="Uniforme",Supuestos!$D$10+G547*(Supuestos!$E$10-Supuestos!$D$10),IF(Supuestos!$C$10="Lognormal",LOGINV(G547,LN(Supuestos!$D$10)-LN(1+Supuestos!$E$10^2/Supuestos!$D$10^2)/2,SQRT(LN(1+Supuestos!$E$10^2/Supuestos!$D$10^2))),Supuestos!$D$10))))))</f>
        <v/>
      </c>
      <c r="O547" s="31">
        <f>MIN(IF(Supuestos!$H$11="",1E+99,Supuestos!$H$11),MAX(IF(Supuestos!$G$11="",-1E+99,Supuestos!$G$11),IF(Supuestos!$C$11="Normal",NORMINV(H547,Supuestos!$D$11,Supuestos!$E$11),IF(Supuestos!$C$11="Triangular",IF(H547&lt;(Supuestos!$E$11-Supuestos!$D$11)/(Supuestos!$F$11-Supuestos!$D$11),Supuestos!$D$11+SQRT(H547*(Supuestos!$F$11-Supuestos!$D$11)*(Supuestos!$E$11-Supuestos!$D$11)),Supuestos!$F$11-SQRT((1-H547)*(Supuestos!$F$11-Supuestos!$D$11)*(Supuestos!$F$11-Supuestos!$E$11))),IF(Supuestos!$C$11="Uniforme",Supuestos!$D$11+H547*(Supuestos!$E$11-Supuestos!$D$11),IF(Supuestos!$C$11="Lognormal",LOGINV(H547,LN(Supuestos!$D$11)-LN(1+Supuestos!$E$11^2/Supuestos!$D$11^2)/2,SQRT(LN(1+Supuestos!$E$11^2/Supuestos!$D$11^2))),Supuestos!$D$11))))))</f>
        <v/>
      </c>
      <c r="P547" s="33">
        <f>-I547</f>
        <v/>
      </c>
      <c r="Q547" s="33">
        <f>$J547*(1+$K547)^(1-1)*(1-$L547)*(1-$M547)</f>
        <v/>
      </c>
      <c r="R547" s="33">
        <f>$J547*(1+$K547)^(2-1)*(1-$L547)*(1-$M547)</f>
        <v/>
      </c>
      <c r="S547" s="33">
        <f>$J547*(1+$K547)^(3-1)*(1-$L547)*(1-$M547)</f>
        <v/>
      </c>
      <c r="T547" s="33">
        <f>$J547*(1+$K547)^(4-1)*(1-$L547)*(1-$M547)</f>
        <v/>
      </c>
      <c r="U547" s="33">
        <f>$J547*(1+$K547)^(5-1)*(1-$L547)*(1-$M547)+$O547</f>
        <v/>
      </c>
      <c r="V547" s="33">
        <f>P547+NPV($N547,Q547:U547)</f>
        <v/>
      </c>
      <c r="W547" s="32">
        <f>IFERROR(IRR(P547:U547,0.1),"")</f>
        <v/>
      </c>
    </row>
    <row r="548">
      <c r="A548" s="14" t="n">
        <v>544</v>
      </c>
      <c r="B548" s="30">
        <f>RAND()*(1-2E-6)+1E-6</f>
        <v/>
      </c>
      <c r="C548" s="30">
        <f>RAND()*(1-2E-6)+1E-6</f>
        <v/>
      </c>
      <c r="D548" s="30">
        <f>RAND()*(1-2E-6)+1E-6</f>
        <v/>
      </c>
      <c r="E548" s="30">
        <f>RAND()*(1-2E-6)+1E-6</f>
        <v/>
      </c>
      <c r="F548" s="30">
        <f>RAND()*(1-2E-6)+1E-6</f>
        <v/>
      </c>
      <c r="G548" s="30">
        <f>RAND()*(1-2E-6)+1E-6</f>
        <v/>
      </c>
      <c r="H548" s="30">
        <f>RAND()*(1-2E-6)+1E-6</f>
        <v/>
      </c>
      <c r="I548" s="31">
        <f>MIN(IF(Supuestos!$H$5="",1E+99,Supuestos!$H$5),MAX(IF(Supuestos!$G$5="",-1E+99,Supuestos!$G$5),IF(Supuestos!$C$5="Normal",NORMINV(B548,Supuestos!$D$5,Supuestos!$E$5),IF(Supuestos!$C$5="Triangular",IF(B548&lt;(Supuestos!$E$5-Supuestos!$D$5)/(Supuestos!$F$5-Supuestos!$D$5),Supuestos!$D$5+SQRT(B548*(Supuestos!$F$5-Supuestos!$D$5)*(Supuestos!$E$5-Supuestos!$D$5)),Supuestos!$F$5-SQRT((1-B548)*(Supuestos!$F$5-Supuestos!$D$5)*(Supuestos!$F$5-Supuestos!$E$5))),IF(Supuestos!$C$5="Uniforme",Supuestos!$D$5+B548*(Supuestos!$E$5-Supuestos!$D$5),IF(Supuestos!$C$5="Lognormal",LOGINV(B548,LN(Supuestos!$D$5)-LN(1+Supuestos!$E$5^2/Supuestos!$D$5^2)/2,SQRT(LN(1+Supuestos!$E$5^2/Supuestos!$D$5^2))),Supuestos!$D$5))))))</f>
        <v/>
      </c>
      <c r="J548" s="31">
        <f>MIN(IF(Supuestos!$H$6="",1E+99,Supuestos!$H$6),MAX(IF(Supuestos!$G$6="",-1E+99,Supuestos!$G$6),IF(Supuestos!$C$6="Normal",NORMINV(C548,Supuestos!$D$6,Supuestos!$E$6),IF(Supuestos!$C$6="Triangular",IF(C548&lt;(Supuestos!$E$6-Supuestos!$D$6)/(Supuestos!$F$6-Supuestos!$D$6),Supuestos!$D$6+SQRT(C548*(Supuestos!$F$6-Supuestos!$D$6)*(Supuestos!$E$6-Supuestos!$D$6)),Supuestos!$F$6-SQRT((1-C548)*(Supuestos!$F$6-Supuestos!$D$6)*(Supuestos!$F$6-Supuestos!$E$6))),IF(Supuestos!$C$6="Uniforme",Supuestos!$D$6+C548*(Supuestos!$E$6-Supuestos!$D$6),IF(Supuestos!$C$6="Lognormal",LOGINV(C548,LN(Supuestos!$D$6)-LN(1+Supuestos!$E$6^2/Supuestos!$D$6^2)/2,SQRT(LN(1+Supuestos!$E$6^2/Supuestos!$D$6^2))),Supuestos!$D$6))))))</f>
        <v/>
      </c>
      <c r="K548" s="32">
        <f>MIN(IF(Supuestos!$H$7="",1E+99,Supuestos!$H$7),MAX(IF(Supuestos!$G$7="",-1E+99,Supuestos!$G$7),IF(Supuestos!$C$7="Normal",NORMINV(D548,Supuestos!$D$7,Supuestos!$E$7),IF(Supuestos!$C$7="Triangular",IF(D548&lt;(Supuestos!$E$7-Supuestos!$D$7)/(Supuestos!$F$7-Supuestos!$D$7),Supuestos!$D$7+SQRT(D548*(Supuestos!$F$7-Supuestos!$D$7)*(Supuestos!$E$7-Supuestos!$D$7)),Supuestos!$F$7-SQRT((1-D548)*(Supuestos!$F$7-Supuestos!$D$7)*(Supuestos!$F$7-Supuestos!$E$7))),IF(Supuestos!$C$7="Uniforme",Supuestos!$D$7+D548*(Supuestos!$E$7-Supuestos!$D$7),IF(Supuestos!$C$7="Lognormal",LOGINV(D548,LN(Supuestos!$D$7)-LN(1+Supuestos!$E$7^2/Supuestos!$D$7^2)/2,SQRT(LN(1+Supuestos!$E$7^2/Supuestos!$D$7^2))),Supuestos!$D$7))))))</f>
        <v/>
      </c>
      <c r="L548" s="32">
        <f>MIN(IF(Supuestos!$H$8="",1E+99,Supuestos!$H$8),MAX(IF(Supuestos!$G$8="",-1E+99,Supuestos!$G$8),IF(Supuestos!$C$8="Normal",NORMINV(E548,Supuestos!$D$8,Supuestos!$E$8),IF(Supuestos!$C$8="Triangular",IF(E548&lt;(Supuestos!$E$8-Supuestos!$D$8)/(Supuestos!$F$8-Supuestos!$D$8),Supuestos!$D$8+SQRT(E548*(Supuestos!$F$8-Supuestos!$D$8)*(Supuestos!$E$8-Supuestos!$D$8)),Supuestos!$F$8-SQRT((1-E548)*(Supuestos!$F$8-Supuestos!$D$8)*(Supuestos!$F$8-Supuestos!$E$8))),IF(Supuestos!$C$8="Uniforme",Supuestos!$D$8+E548*(Supuestos!$E$8-Supuestos!$D$8),IF(Supuestos!$C$8="Lognormal",LOGINV(E548,LN(Supuestos!$D$8)-LN(1+Supuestos!$E$8^2/Supuestos!$D$8^2)/2,SQRT(LN(1+Supuestos!$E$8^2/Supuestos!$D$8^2))),Supuestos!$D$8))))))</f>
        <v/>
      </c>
      <c r="M548" s="32">
        <f>MIN(IF(Supuestos!$H$9="",1E+99,Supuestos!$H$9),MAX(IF(Supuestos!$G$9="",-1E+99,Supuestos!$G$9),IF(Supuestos!$C$9="Normal",NORMINV(F548,Supuestos!$D$9,Supuestos!$E$9),IF(Supuestos!$C$9="Triangular",IF(F548&lt;(Supuestos!$E$9-Supuestos!$D$9)/(Supuestos!$F$9-Supuestos!$D$9),Supuestos!$D$9+SQRT(F548*(Supuestos!$F$9-Supuestos!$D$9)*(Supuestos!$E$9-Supuestos!$D$9)),Supuestos!$F$9-SQRT((1-F548)*(Supuestos!$F$9-Supuestos!$D$9)*(Supuestos!$F$9-Supuestos!$E$9))),IF(Supuestos!$C$9="Uniforme",Supuestos!$D$9+F548*(Supuestos!$E$9-Supuestos!$D$9),IF(Supuestos!$C$9="Lognormal",LOGINV(F548,LN(Supuestos!$D$9)-LN(1+Supuestos!$E$9^2/Supuestos!$D$9^2)/2,SQRT(LN(1+Supuestos!$E$9^2/Supuestos!$D$9^2))),Supuestos!$D$9))))))</f>
        <v/>
      </c>
      <c r="N548" s="32">
        <f>MIN(IF(Supuestos!$H$10="",1E+99,Supuestos!$H$10),MAX(IF(Supuestos!$G$10="",-1E+99,Supuestos!$G$10),IF(Supuestos!$C$10="Normal",NORMINV(G548,Supuestos!$D$10,Supuestos!$E$10),IF(Supuestos!$C$10="Triangular",IF(G548&lt;(Supuestos!$E$10-Supuestos!$D$10)/(Supuestos!$F$10-Supuestos!$D$10),Supuestos!$D$10+SQRT(G548*(Supuestos!$F$10-Supuestos!$D$10)*(Supuestos!$E$10-Supuestos!$D$10)),Supuestos!$F$10-SQRT((1-G548)*(Supuestos!$F$10-Supuestos!$D$10)*(Supuestos!$F$10-Supuestos!$E$10))),IF(Supuestos!$C$10="Uniforme",Supuestos!$D$10+G548*(Supuestos!$E$10-Supuestos!$D$10),IF(Supuestos!$C$10="Lognormal",LOGINV(G548,LN(Supuestos!$D$10)-LN(1+Supuestos!$E$10^2/Supuestos!$D$10^2)/2,SQRT(LN(1+Supuestos!$E$10^2/Supuestos!$D$10^2))),Supuestos!$D$10))))))</f>
        <v/>
      </c>
      <c r="O548" s="31">
        <f>MIN(IF(Supuestos!$H$11="",1E+99,Supuestos!$H$11),MAX(IF(Supuestos!$G$11="",-1E+99,Supuestos!$G$11),IF(Supuestos!$C$11="Normal",NORMINV(H548,Supuestos!$D$11,Supuestos!$E$11),IF(Supuestos!$C$11="Triangular",IF(H548&lt;(Supuestos!$E$11-Supuestos!$D$11)/(Supuestos!$F$11-Supuestos!$D$11),Supuestos!$D$11+SQRT(H548*(Supuestos!$F$11-Supuestos!$D$11)*(Supuestos!$E$11-Supuestos!$D$11)),Supuestos!$F$11-SQRT((1-H548)*(Supuestos!$F$11-Supuestos!$D$11)*(Supuestos!$F$11-Supuestos!$E$11))),IF(Supuestos!$C$11="Uniforme",Supuestos!$D$11+H548*(Supuestos!$E$11-Supuestos!$D$11),IF(Supuestos!$C$11="Lognormal",LOGINV(H548,LN(Supuestos!$D$11)-LN(1+Supuestos!$E$11^2/Supuestos!$D$11^2)/2,SQRT(LN(1+Supuestos!$E$11^2/Supuestos!$D$11^2))),Supuestos!$D$11))))))</f>
        <v/>
      </c>
      <c r="P548" s="33">
        <f>-I548</f>
        <v/>
      </c>
      <c r="Q548" s="33">
        <f>$J548*(1+$K548)^(1-1)*(1-$L548)*(1-$M548)</f>
        <v/>
      </c>
      <c r="R548" s="33">
        <f>$J548*(1+$K548)^(2-1)*(1-$L548)*(1-$M548)</f>
        <v/>
      </c>
      <c r="S548" s="33">
        <f>$J548*(1+$K548)^(3-1)*(1-$L548)*(1-$M548)</f>
        <v/>
      </c>
      <c r="T548" s="33">
        <f>$J548*(1+$K548)^(4-1)*(1-$L548)*(1-$M548)</f>
        <v/>
      </c>
      <c r="U548" s="33">
        <f>$J548*(1+$K548)^(5-1)*(1-$L548)*(1-$M548)+$O548</f>
        <v/>
      </c>
      <c r="V548" s="33">
        <f>P548+NPV($N548,Q548:U548)</f>
        <v/>
      </c>
      <c r="W548" s="32">
        <f>IFERROR(IRR(P548:U548,0.1),"")</f>
        <v/>
      </c>
    </row>
    <row r="549">
      <c r="A549" s="14" t="n">
        <v>545</v>
      </c>
      <c r="B549" s="30">
        <f>RAND()*(1-2E-6)+1E-6</f>
        <v/>
      </c>
      <c r="C549" s="30">
        <f>RAND()*(1-2E-6)+1E-6</f>
        <v/>
      </c>
      <c r="D549" s="30">
        <f>RAND()*(1-2E-6)+1E-6</f>
        <v/>
      </c>
      <c r="E549" s="30">
        <f>RAND()*(1-2E-6)+1E-6</f>
        <v/>
      </c>
      <c r="F549" s="30">
        <f>RAND()*(1-2E-6)+1E-6</f>
        <v/>
      </c>
      <c r="G549" s="30">
        <f>RAND()*(1-2E-6)+1E-6</f>
        <v/>
      </c>
      <c r="H549" s="30">
        <f>RAND()*(1-2E-6)+1E-6</f>
        <v/>
      </c>
      <c r="I549" s="31">
        <f>MIN(IF(Supuestos!$H$5="",1E+99,Supuestos!$H$5),MAX(IF(Supuestos!$G$5="",-1E+99,Supuestos!$G$5),IF(Supuestos!$C$5="Normal",NORMINV(B549,Supuestos!$D$5,Supuestos!$E$5),IF(Supuestos!$C$5="Triangular",IF(B549&lt;(Supuestos!$E$5-Supuestos!$D$5)/(Supuestos!$F$5-Supuestos!$D$5),Supuestos!$D$5+SQRT(B549*(Supuestos!$F$5-Supuestos!$D$5)*(Supuestos!$E$5-Supuestos!$D$5)),Supuestos!$F$5-SQRT((1-B549)*(Supuestos!$F$5-Supuestos!$D$5)*(Supuestos!$F$5-Supuestos!$E$5))),IF(Supuestos!$C$5="Uniforme",Supuestos!$D$5+B549*(Supuestos!$E$5-Supuestos!$D$5),IF(Supuestos!$C$5="Lognormal",LOGINV(B549,LN(Supuestos!$D$5)-LN(1+Supuestos!$E$5^2/Supuestos!$D$5^2)/2,SQRT(LN(1+Supuestos!$E$5^2/Supuestos!$D$5^2))),Supuestos!$D$5))))))</f>
        <v/>
      </c>
      <c r="J549" s="31">
        <f>MIN(IF(Supuestos!$H$6="",1E+99,Supuestos!$H$6),MAX(IF(Supuestos!$G$6="",-1E+99,Supuestos!$G$6),IF(Supuestos!$C$6="Normal",NORMINV(C549,Supuestos!$D$6,Supuestos!$E$6),IF(Supuestos!$C$6="Triangular",IF(C549&lt;(Supuestos!$E$6-Supuestos!$D$6)/(Supuestos!$F$6-Supuestos!$D$6),Supuestos!$D$6+SQRT(C549*(Supuestos!$F$6-Supuestos!$D$6)*(Supuestos!$E$6-Supuestos!$D$6)),Supuestos!$F$6-SQRT((1-C549)*(Supuestos!$F$6-Supuestos!$D$6)*(Supuestos!$F$6-Supuestos!$E$6))),IF(Supuestos!$C$6="Uniforme",Supuestos!$D$6+C549*(Supuestos!$E$6-Supuestos!$D$6),IF(Supuestos!$C$6="Lognormal",LOGINV(C549,LN(Supuestos!$D$6)-LN(1+Supuestos!$E$6^2/Supuestos!$D$6^2)/2,SQRT(LN(1+Supuestos!$E$6^2/Supuestos!$D$6^2))),Supuestos!$D$6))))))</f>
        <v/>
      </c>
      <c r="K549" s="32">
        <f>MIN(IF(Supuestos!$H$7="",1E+99,Supuestos!$H$7),MAX(IF(Supuestos!$G$7="",-1E+99,Supuestos!$G$7),IF(Supuestos!$C$7="Normal",NORMINV(D549,Supuestos!$D$7,Supuestos!$E$7),IF(Supuestos!$C$7="Triangular",IF(D549&lt;(Supuestos!$E$7-Supuestos!$D$7)/(Supuestos!$F$7-Supuestos!$D$7),Supuestos!$D$7+SQRT(D549*(Supuestos!$F$7-Supuestos!$D$7)*(Supuestos!$E$7-Supuestos!$D$7)),Supuestos!$F$7-SQRT((1-D549)*(Supuestos!$F$7-Supuestos!$D$7)*(Supuestos!$F$7-Supuestos!$E$7))),IF(Supuestos!$C$7="Uniforme",Supuestos!$D$7+D549*(Supuestos!$E$7-Supuestos!$D$7),IF(Supuestos!$C$7="Lognormal",LOGINV(D549,LN(Supuestos!$D$7)-LN(1+Supuestos!$E$7^2/Supuestos!$D$7^2)/2,SQRT(LN(1+Supuestos!$E$7^2/Supuestos!$D$7^2))),Supuestos!$D$7))))))</f>
        <v/>
      </c>
      <c r="L549" s="32">
        <f>MIN(IF(Supuestos!$H$8="",1E+99,Supuestos!$H$8),MAX(IF(Supuestos!$G$8="",-1E+99,Supuestos!$G$8),IF(Supuestos!$C$8="Normal",NORMINV(E549,Supuestos!$D$8,Supuestos!$E$8),IF(Supuestos!$C$8="Triangular",IF(E549&lt;(Supuestos!$E$8-Supuestos!$D$8)/(Supuestos!$F$8-Supuestos!$D$8),Supuestos!$D$8+SQRT(E549*(Supuestos!$F$8-Supuestos!$D$8)*(Supuestos!$E$8-Supuestos!$D$8)),Supuestos!$F$8-SQRT((1-E549)*(Supuestos!$F$8-Supuestos!$D$8)*(Supuestos!$F$8-Supuestos!$E$8))),IF(Supuestos!$C$8="Uniforme",Supuestos!$D$8+E549*(Supuestos!$E$8-Supuestos!$D$8),IF(Supuestos!$C$8="Lognormal",LOGINV(E549,LN(Supuestos!$D$8)-LN(1+Supuestos!$E$8^2/Supuestos!$D$8^2)/2,SQRT(LN(1+Supuestos!$E$8^2/Supuestos!$D$8^2))),Supuestos!$D$8))))))</f>
        <v/>
      </c>
      <c r="M549" s="32">
        <f>MIN(IF(Supuestos!$H$9="",1E+99,Supuestos!$H$9),MAX(IF(Supuestos!$G$9="",-1E+99,Supuestos!$G$9),IF(Supuestos!$C$9="Normal",NORMINV(F549,Supuestos!$D$9,Supuestos!$E$9),IF(Supuestos!$C$9="Triangular",IF(F549&lt;(Supuestos!$E$9-Supuestos!$D$9)/(Supuestos!$F$9-Supuestos!$D$9),Supuestos!$D$9+SQRT(F549*(Supuestos!$F$9-Supuestos!$D$9)*(Supuestos!$E$9-Supuestos!$D$9)),Supuestos!$F$9-SQRT((1-F549)*(Supuestos!$F$9-Supuestos!$D$9)*(Supuestos!$F$9-Supuestos!$E$9))),IF(Supuestos!$C$9="Uniforme",Supuestos!$D$9+F549*(Supuestos!$E$9-Supuestos!$D$9),IF(Supuestos!$C$9="Lognormal",LOGINV(F549,LN(Supuestos!$D$9)-LN(1+Supuestos!$E$9^2/Supuestos!$D$9^2)/2,SQRT(LN(1+Supuestos!$E$9^2/Supuestos!$D$9^2))),Supuestos!$D$9))))))</f>
        <v/>
      </c>
      <c r="N549" s="32">
        <f>MIN(IF(Supuestos!$H$10="",1E+99,Supuestos!$H$10),MAX(IF(Supuestos!$G$10="",-1E+99,Supuestos!$G$10),IF(Supuestos!$C$10="Normal",NORMINV(G549,Supuestos!$D$10,Supuestos!$E$10),IF(Supuestos!$C$10="Triangular",IF(G549&lt;(Supuestos!$E$10-Supuestos!$D$10)/(Supuestos!$F$10-Supuestos!$D$10),Supuestos!$D$10+SQRT(G549*(Supuestos!$F$10-Supuestos!$D$10)*(Supuestos!$E$10-Supuestos!$D$10)),Supuestos!$F$10-SQRT((1-G549)*(Supuestos!$F$10-Supuestos!$D$10)*(Supuestos!$F$10-Supuestos!$E$10))),IF(Supuestos!$C$10="Uniforme",Supuestos!$D$10+G549*(Supuestos!$E$10-Supuestos!$D$10),IF(Supuestos!$C$10="Lognormal",LOGINV(G549,LN(Supuestos!$D$10)-LN(1+Supuestos!$E$10^2/Supuestos!$D$10^2)/2,SQRT(LN(1+Supuestos!$E$10^2/Supuestos!$D$10^2))),Supuestos!$D$10))))))</f>
        <v/>
      </c>
      <c r="O549" s="31">
        <f>MIN(IF(Supuestos!$H$11="",1E+99,Supuestos!$H$11),MAX(IF(Supuestos!$G$11="",-1E+99,Supuestos!$G$11),IF(Supuestos!$C$11="Normal",NORMINV(H549,Supuestos!$D$11,Supuestos!$E$11),IF(Supuestos!$C$11="Triangular",IF(H549&lt;(Supuestos!$E$11-Supuestos!$D$11)/(Supuestos!$F$11-Supuestos!$D$11),Supuestos!$D$11+SQRT(H549*(Supuestos!$F$11-Supuestos!$D$11)*(Supuestos!$E$11-Supuestos!$D$11)),Supuestos!$F$11-SQRT((1-H549)*(Supuestos!$F$11-Supuestos!$D$11)*(Supuestos!$F$11-Supuestos!$E$11))),IF(Supuestos!$C$11="Uniforme",Supuestos!$D$11+H549*(Supuestos!$E$11-Supuestos!$D$11),IF(Supuestos!$C$11="Lognormal",LOGINV(H549,LN(Supuestos!$D$11)-LN(1+Supuestos!$E$11^2/Supuestos!$D$11^2)/2,SQRT(LN(1+Supuestos!$E$11^2/Supuestos!$D$11^2))),Supuestos!$D$11))))))</f>
        <v/>
      </c>
      <c r="P549" s="33">
        <f>-I549</f>
        <v/>
      </c>
      <c r="Q549" s="33">
        <f>$J549*(1+$K549)^(1-1)*(1-$L549)*(1-$M549)</f>
        <v/>
      </c>
      <c r="R549" s="33">
        <f>$J549*(1+$K549)^(2-1)*(1-$L549)*(1-$M549)</f>
        <v/>
      </c>
      <c r="S549" s="33">
        <f>$J549*(1+$K549)^(3-1)*(1-$L549)*(1-$M549)</f>
        <v/>
      </c>
      <c r="T549" s="33">
        <f>$J549*(1+$K549)^(4-1)*(1-$L549)*(1-$M549)</f>
        <v/>
      </c>
      <c r="U549" s="33">
        <f>$J549*(1+$K549)^(5-1)*(1-$L549)*(1-$M549)+$O549</f>
        <v/>
      </c>
      <c r="V549" s="33">
        <f>P549+NPV($N549,Q549:U549)</f>
        <v/>
      </c>
      <c r="W549" s="32">
        <f>IFERROR(IRR(P549:U549,0.1),"")</f>
        <v/>
      </c>
    </row>
    <row r="550">
      <c r="A550" s="14" t="n">
        <v>546</v>
      </c>
      <c r="B550" s="30">
        <f>RAND()*(1-2E-6)+1E-6</f>
        <v/>
      </c>
      <c r="C550" s="30">
        <f>RAND()*(1-2E-6)+1E-6</f>
        <v/>
      </c>
      <c r="D550" s="30">
        <f>RAND()*(1-2E-6)+1E-6</f>
        <v/>
      </c>
      <c r="E550" s="30">
        <f>RAND()*(1-2E-6)+1E-6</f>
        <v/>
      </c>
      <c r="F550" s="30">
        <f>RAND()*(1-2E-6)+1E-6</f>
        <v/>
      </c>
      <c r="G550" s="30">
        <f>RAND()*(1-2E-6)+1E-6</f>
        <v/>
      </c>
      <c r="H550" s="30">
        <f>RAND()*(1-2E-6)+1E-6</f>
        <v/>
      </c>
      <c r="I550" s="31">
        <f>MIN(IF(Supuestos!$H$5="",1E+99,Supuestos!$H$5),MAX(IF(Supuestos!$G$5="",-1E+99,Supuestos!$G$5),IF(Supuestos!$C$5="Normal",NORMINV(B550,Supuestos!$D$5,Supuestos!$E$5),IF(Supuestos!$C$5="Triangular",IF(B550&lt;(Supuestos!$E$5-Supuestos!$D$5)/(Supuestos!$F$5-Supuestos!$D$5),Supuestos!$D$5+SQRT(B550*(Supuestos!$F$5-Supuestos!$D$5)*(Supuestos!$E$5-Supuestos!$D$5)),Supuestos!$F$5-SQRT((1-B550)*(Supuestos!$F$5-Supuestos!$D$5)*(Supuestos!$F$5-Supuestos!$E$5))),IF(Supuestos!$C$5="Uniforme",Supuestos!$D$5+B550*(Supuestos!$E$5-Supuestos!$D$5),IF(Supuestos!$C$5="Lognormal",LOGINV(B550,LN(Supuestos!$D$5)-LN(1+Supuestos!$E$5^2/Supuestos!$D$5^2)/2,SQRT(LN(1+Supuestos!$E$5^2/Supuestos!$D$5^2))),Supuestos!$D$5))))))</f>
        <v/>
      </c>
      <c r="J550" s="31">
        <f>MIN(IF(Supuestos!$H$6="",1E+99,Supuestos!$H$6),MAX(IF(Supuestos!$G$6="",-1E+99,Supuestos!$G$6),IF(Supuestos!$C$6="Normal",NORMINV(C550,Supuestos!$D$6,Supuestos!$E$6),IF(Supuestos!$C$6="Triangular",IF(C550&lt;(Supuestos!$E$6-Supuestos!$D$6)/(Supuestos!$F$6-Supuestos!$D$6),Supuestos!$D$6+SQRT(C550*(Supuestos!$F$6-Supuestos!$D$6)*(Supuestos!$E$6-Supuestos!$D$6)),Supuestos!$F$6-SQRT((1-C550)*(Supuestos!$F$6-Supuestos!$D$6)*(Supuestos!$F$6-Supuestos!$E$6))),IF(Supuestos!$C$6="Uniforme",Supuestos!$D$6+C550*(Supuestos!$E$6-Supuestos!$D$6),IF(Supuestos!$C$6="Lognormal",LOGINV(C550,LN(Supuestos!$D$6)-LN(1+Supuestos!$E$6^2/Supuestos!$D$6^2)/2,SQRT(LN(1+Supuestos!$E$6^2/Supuestos!$D$6^2))),Supuestos!$D$6))))))</f>
        <v/>
      </c>
      <c r="K550" s="32">
        <f>MIN(IF(Supuestos!$H$7="",1E+99,Supuestos!$H$7),MAX(IF(Supuestos!$G$7="",-1E+99,Supuestos!$G$7),IF(Supuestos!$C$7="Normal",NORMINV(D550,Supuestos!$D$7,Supuestos!$E$7),IF(Supuestos!$C$7="Triangular",IF(D550&lt;(Supuestos!$E$7-Supuestos!$D$7)/(Supuestos!$F$7-Supuestos!$D$7),Supuestos!$D$7+SQRT(D550*(Supuestos!$F$7-Supuestos!$D$7)*(Supuestos!$E$7-Supuestos!$D$7)),Supuestos!$F$7-SQRT((1-D550)*(Supuestos!$F$7-Supuestos!$D$7)*(Supuestos!$F$7-Supuestos!$E$7))),IF(Supuestos!$C$7="Uniforme",Supuestos!$D$7+D550*(Supuestos!$E$7-Supuestos!$D$7),IF(Supuestos!$C$7="Lognormal",LOGINV(D550,LN(Supuestos!$D$7)-LN(1+Supuestos!$E$7^2/Supuestos!$D$7^2)/2,SQRT(LN(1+Supuestos!$E$7^2/Supuestos!$D$7^2))),Supuestos!$D$7))))))</f>
        <v/>
      </c>
      <c r="L550" s="32">
        <f>MIN(IF(Supuestos!$H$8="",1E+99,Supuestos!$H$8),MAX(IF(Supuestos!$G$8="",-1E+99,Supuestos!$G$8),IF(Supuestos!$C$8="Normal",NORMINV(E550,Supuestos!$D$8,Supuestos!$E$8),IF(Supuestos!$C$8="Triangular",IF(E550&lt;(Supuestos!$E$8-Supuestos!$D$8)/(Supuestos!$F$8-Supuestos!$D$8),Supuestos!$D$8+SQRT(E550*(Supuestos!$F$8-Supuestos!$D$8)*(Supuestos!$E$8-Supuestos!$D$8)),Supuestos!$F$8-SQRT((1-E550)*(Supuestos!$F$8-Supuestos!$D$8)*(Supuestos!$F$8-Supuestos!$E$8))),IF(Supuestos!$C$8="Uniforme",Supuestos!$D$8+E550*(Supuestos!$E$8-Supuestos!$D$8),IF(Supuestos!$C$8="Lognormal",LOGINV(E550,LN(Supuestos!$D$8)-LN(1+Supuestos!$E$8^2/Supuestos!$D$8^2)/2,SQRT(LN(1+Supuestos!$E$8^2/Supuestos!$D$8^2))),Supuestos!$D$8))))))</f>
        <v/>
      </c>
      <c r="M550" s="32">
        <f>MIN(IF(Supuestos!$H$9="",1E+99,Supuestos!$H$9),MAX(IF(Supuestos!$G$9="",-1E+99,Supuestos!$G$9),IF(Supuestos!$C$9="Normal",NORMINV(F550,Supuestos!$D$9,Supuestos!$E$9),IF(Supuestos!$C$9="Triangular",IF(F550&lt;(Supuestos!$E$9-Supuestos!$D$9)/(Supuestos!$F$9-Supuestos!$D$9),Supuestos!$D$9+SQRT(F550*(Supuestos!$F$9-Supuestos!$D$9)*(Supuestos!$E$9-Supuestos!$D$9)),Supuestos!$F$9-SQRT((1-F550)*(Supuestos!$F$9-Supuestos!$D$9)*(Supuestos!$F$9-Supuestos!$E$9))),IF(Supuestos!$C$9="Uniforme",Supuestos!$D$9+F550*(Supuestos!$E$9-Supuestos!$D$9),IF(Supuestos!$C$9="Lognormal",LOGINV(F550,LN(Supuestos!$D$9)-LN(1+Supuestos!$E$9^2/Supuestos!$D$9^2)/2,SQRT(LN(1+Supuestos!$E$9^2/Supuestos!$D$9^2))),Supuestos!$D$9))))))</f>
        <v/>
      </c>
      <c r="N550" s="32">
        <f>MIN(IF(Supuestos!$H$10="",1E+99,Supuestos!$H$10),MAX(IF(Supuestos!$G$10="",-1E+99,Supuestos!$G$10),IF(Supuestos!$C$10="Normal",NORMINV(G550,Supuestos!$D$10,Supuestos!$E$10),IF(Supuestos!$C$10="Triangular",IF(G550&lt;(Supuestos!$E$10-Supuestos!$D$10)/(Supuestos!$F$10-Supuestos!$D$10),Supuestos!$D$10+SQRT(G550*(Supuestos!$F$10-Supuestos!$D$10)*(Supuestos!$E$10-Supuestos!$D$10)),Supuestos!$F$10-SQRT((1-G550)*(Supuestos!$F$10-Supuestos!$D$10)*(Supuestos!$F$10-Supuestos!$E$10))),IF(Supuestos!$C$10="Uniforme",Supuestos!$D$10+G550*(Supuestos!$E$10-Supuestos!$D$10),IF(Supuestos!$C$10="Lognormal",LOGINV(G550,LN(Supuestos!$D$10)-LN(1+Supuestos!$E$10^2/Supuestos!$D$10^2)/2,SQRT(LN(1+Supuestos!$E$10^2/Supuestos!$D$10^2))),Supuestos!$D$10))))))</f>
        <v/>
      </c>
      <c r="O550" s="31">
        <f>MIN(IF(Supuestos!$H$11="",1E+99,Supuestos!$H$11),MAX(IF(Supuestos!$G$11="",-1E+99,Supuestos!$G$11),IF(Supuestos!$C$11="Normal",NORMINV(H550,Supuestos!$D$11,Supuestos!$E$11),IF(Supuestos!$C$11="Triangular",IF(H550&lt;(Supuestos!$E$11-Supuestos!$D$11)/(Supuestos!$F$11-Supuestos!$D$11),Supuestos!$D$11+SQRT(H550*(Supuestos!$F$11-Supuestos!$D$11)*(Supuestos!$E$11-Supuestos!$D$11)),Supuestos!$F$11-SQRT((1-H550)*(Supuestos!$F$11-Supuestos!$D$11)*(Supuestos!$F$11-Supuestos!$E$11))),IF(Supuestos!$C$11="Uniforme",Supuestos!$D$11+H550*(Supuestos!$E$11-Supuestos!$D$11),IF(Supuestos!$C$11="Lognormal",LOGINV(H550,LN(Supuestos!$D$11)-LN(1+Supuestos!$E$11^2/Supuestos!$D$11^2)/2,SQRT(LN(1+Supuestos!$E$11^2/Supuestos!$D$11^2))),Supuestos!$D$11))))))</f>
        <v/>
      </c>
      <c r="P550" s="33">
        <f>-I550</f>
        <v/>
      </c>
      <c r="Q550" s="33">
        <f>$J550*(1+$K550)^(1-1)*(1-$L550)*(1-$M550)</f>
        <v/>
      </c>
      <c r="R550" s="33">
        <f>$J550*(1+$K550)^(2-1)*(1-$L550)*(1-$M550)</f>
        <v/>
      </c>
      <c r="S550" s="33">
        <f>$J550*(1+$K550)^(3-1)*(1-$L550)*(1-$M550)</f>
        <v/>
      </c>
      <c r="T550" s="33">
        <f>$J550*(1+$K550)^(4-1)*(1-$L550)*(1-$M550)</f>
        <v/>
      </c>
      <c r="U550" s="33">
        <f>$J550*(1+$K550)^(5-1)*(1-$L550)*(1-$M550)+$O550</f>
        <v/>
      </c>
      <c r="V550" s="33">
        <f>P550+NPV($N550,Q550:U550)</f>
        <v/>
      </c>
      <c r="W550" s="32">
        <f>IFERROR(IRR(P550:U550,0.1),"")</f>
        <v/>
      </c>
    </row>
    <row r="551">
      <c r="A551" s="14" t="n">
        <v>547</v>
      </c>
      <c r="B551" s="30">
        <f>RAND()*(1-2E-6)+1E-6</f>
        <v/>
      </c>
      <c r="C551" s="30">
        <f>RAND()*(1-2E-6)+1E-6</f>
        <v/>
      </c>
      <c r="D551" s="30">
        <f>RAND()*(1-2E-6)+1E-6</f>
        <v/>
      </c>
      <c r="E551" s="30">
        <f>RAND()*(1-2E-6)+1E-6</f>
        <v/>
      </c>
      <c r="F551" s="30">
        <f>RAND()*(1-2E-6)+1E-6</f>
        <v/>
      </c>
      <c r="G551" s="30">
        <f>RAND()*(1-2E-6)+1E-6</f>
        <v/>
      </c>
      <c r="H551" s="30">
        <f>RAND()*(1-2E-6)+1E-6</f>
        <v/>
      </c>
      <c r="I551" s="31">
        <f>MIN(IF(Supuestos!$H$5="",1E+99,Supuestos!$H$5),MAX(IF(Supuestos!$G$5="",-1E+99,Supuestos!$G$5),IF(Supuestos!$C$5="Normal",NORMINV(B551,Supuestos!$D$5,Supuestos!$E$5),IF(Supuestos!$C$5="Triangular",IF(B551&lt;(Supuestos!$E$5-Supuestos!$D$5)/(Supuestos!$F$5-Supuestos!$D$5),Supuestos!$D$5+SQRT(B551*(Supuestos!$F$5-Supuestos!$D$5)*(Supuestos!$E$5-Supuestos!$D$5)),Supuestos!$F$5-SQRT((1-B551)*(Supuestos!$F$5-Supuestos!$D$5)*(Supuestos!$F$5-Supuestos!$E$5))),IF(Supuestos!$C$5="Uniforme",Supuestos!$D$5+B551*(Supuestos!$E$5-Supuestos!$D$5),IF(Supuestos!$C$5="Lognormal",LOGINV(B551,LN(Supuestos!$D$5)-LN(1+Supuestos!$E$5^2/Supuestos!$D$5^2)/2,SQRT(LN(1+Supuestos!$E$5^2/Supuestos!$D$5^2))),Supuestos!$D$5))))))</f>
        <v/>
      </c>
      <c r="J551" s="31">
        <f>MIN(IF(Supuestos!$H$6="",1E+99,Supuestos!$H$6),MAX(IF(Supuestos!$G$6="",-1E+99,Supuestos!$G$6),IF(Supuestos!$C$6="Normal",NORMINV(C551,Supuestos!$D$6,Supuestos!$E$6),IF(Supuestos!$C$6="Triangular",IF(C551&lt;(Supuestos!$E$6-Supuestos!$D$6)/(Supuestos!$F$6-Supuestos!$D$6),Supuestos!$D$6+SQRT(C551*(Supuestos!$F$6-Supuestos!$D$6)*(Supuestos!$E$6-Supuestos!$D$6)),Supuestos!$F$6-SQRT((1-C551)*(Supuestos!$F$6-Supuestos!$D$6)*(Supuestos!$F$6-Supuestos!$E$6))),IF(Supuestos!$C$6="Uniforme",Supuestos!$D$6+C551*(Supuestos!$E$6-Supuestos!$D$6),IF(Supuestos!$C$6="Lognormal",LOGINV(C551,LN(Supuestos!$D$6)-LN(1+Supuestos!$E$6^2/Supuestos!$D$6^2)/2,SQRT(LN(1+Supuestos!$E$6^2/Supuestos!$D$6^2))),Supuestos!$D$6))))))</f>
        <v/>
      </c>
      <c r="K551" s="32">
        <f>MIN(IF(Supuestos!$H$7="",1E+99,Supuestos!$H$7),MAX(IF(Supuestos!$G$7="",-1E+99,Supuestos!$G$7),IF(Supuestos!$C$7="Normal",NORMINV(D551,Supuestos!$D$7,Supuestos!$E$7),IF(Supuestos!$C$7="Triangular",IF(D551&lt;(Supuestos!$E$7-Supuestos!$D$7)/(Supuestos!$F$7-Supuestos!$D$7),Supuestos!$D$7+SQRT(D551*(Supuestos!$F$7-Supuestos!$D$7)*(Supuestos!$E$7-Supuestos!$D$7)),Supuestos!$F$7-SQRT((1-D551)*(Supuestos!$F$7-Supuestos!$D$7)*(Supuestos!$F$7-Supuestos!$E$7))),IF(Supuestos!$C$7="Uniforme",Supuestos!$D$7+D551*(Supuestos!$E$7-Supuestos!$D$7),IF(Supuestos!$C$7="Lognormal",LOGINV(D551,LN(Supuestos!$D$7)-LN(1+Supuestos!$E$7^2/Supuestos!$D$7^2)/2,SQRT(LN(1+Supuestos!$E$7^2/Supuestos!$D$7^2))),Supuestos!$D$7))))))</f>
        <v/>
      </c>
      <c r="L551" s="32">
        <f>MIN(IF(Supuestos!$H$8="",1E+99,Supuestos!$H$8),MAX(IF(Supuestos!$G$8="",-1E+99,Supuestos!$G$8),IF(Supuestos!$C$8="Normal",NORMINV(E551,Supuestos!$D$8,Supuestos!$E$8),IF(Supuestos!$C$8="Triangular",IF(E551&lt;(Supuestos!$E$8-Supuestos!$D$8)/(Supuestos!$F$8-Supuestos!$D$8),Supuestos!$D$8+SQRT(E551*(Supuestos!$F$8-Supuestos!$D$8)*(Supuestos!$E$8-Supuestos!$D$8)),Supuestos!$F$8-SQRT((1-E551)*(Supuestos!$F$8-Supuestos!$D$8)*(Supuestos!$F$8-Supuestos!$E$8))),IF(Supuestos!$C$8="Uniforme",Supuestos!$D$8+E551*(Supuestos!$E$8-Supuestos!$D$8),IF(Supuestos!$C$8="Lognormal",LOGINV(E551,LN(Supuestos!$D$8)-LN(1+Supuestos!$E$8^2/Supuestos!$D$8^2)/2,SQRT(LN(1+Supuestos!$E$8^2/Supuestos!$D$8^2))),Supuestos!$D$8))))))</f>
        <v/>
      </c>
      <c r="M551" s="32">
        <f>MIN(IF(Supuestos!$H$9="",1E+99,Supuestos!$H$9),MAX(IF(Supuestos!$G$9="",-1E+99,Supuestos!$G$9),IF(Supuestos!$C$9="Normal",NORMINV(F551,Supuestos!$D$9,Supuestos!$E$9),IF(Supuestos!$C$9="Triangular",IF(F551&lt;(Supuestos!$E$9-Supuestos!$D$9)/(Supuestos!$F$9-Supuestos!$D$9),Supuestos!$D$9+SQRT(F551*(Supuestos!$F$9-Supuestos!$D$9)*(Supuestos!$E$9-Supuestos!$D$9)),Supuestos!$F$9-SQRT((1-F551)*(Supuestos!$F$9-Supuestos!$D$9)*(Supuestos!$F$9-Supuestos!$E$9))),IF(Supuestos!$C$9="Uniforme",Supuestos!$D$9+F551*(Supuestos!$E$9-Supuestos!$D$9),IF(Supuestos!$C$9="Lognormal",LOGINV(F551,LN(Supuestos!$D$9)-LN(1+Supuestos!$E$9^2/Supuestos!$D$9^2)/2,SQRT(LN(1+Supuestos!$E$9^2/Supuestos!$D$9^2))),Supuestos!$D$9))))))</f>
        <v/>
      </c>
      <c r="N551" s="32">
        <f>MIN(IF(Supuestos!$H$10="",1E+99,Supuestos!$H$10),MAX(IF(Supuestos!$G$10="",-1E+99,Supuestos!$G$10),IF(Supuestos!$C$10="Normal",NORMINV(G551,Supuestos!$D$10,Supuestos!$E$10),IF(Supuestos!$C$10="Triangular",IF(G551&lt;(Supuestos!$E$10-Supuestos!$D$10)/(Supuestos!$F$10-Supuestos!$D$10),Supuestos!$D$10+SQRT(G551*(Supuestos!$F$10-Supuestos!$D$10)*(Supuestos!$E$10-Supuestos!$D$10)),Supuestos!$F$10-SQRT((1-G551)*(Supuestos!$F$10-Supuestos!$D$10)*(Supuestos!$F$10-Supuestos!$E$10))),IF(Supuestos!$C$10="Uniforme",Supuestos!$D$10+G551*(Supuestos!$E$10-Supuestos!$D$10),IF(Supuestos!$C$10="Lognormal",LOGINV(G551,LN(Supuestos!$D$10)-LN(1+Supuestos!$E$10^2/Supuestos!$D$10^2)/2,SQRT(LN(1+Supuestos!$E$10^2/Supuestos!$D$10^2))),Supuestos!$D$10))))))</f>
        <v/>
      </c>
      <c r="O551" s="31">
        <f>MIN(IF(Supuestos!$H$11="",1E+99,Supuestos!$H$11),MAX(IF(Supuestos!$G$11="",-1E+99,Supuestos!$G$11),IF(Supuestos!$C$11="Normal",NORMINV(H551,Supuestos!$D$11,Supuestos!$E$11),IF(Supuestos!$C$11="Triangular",IF(H551&lt;(Supuestos!$E$11-Supuestos!$D$11)/(Supuestos!$F$11-Supuestos!$D$11),Supuestos!$D$11+SQRT(H551*(Supuestos!$F$11-Supuestos!$D$11)*(Supuestos!$E$11-Supuestos!$D$11)),Supuestos!$F$11-SQRT((1-H551)*(Supuestos!$F$11-Supuestos!$D$11)*(Supuestos!$F$11-Supuestos!$E$11))),IF(Supuestos!$C$11="Uniforme",Supuestos!$D$11+H551*(Supuestos!$E$11-Supuestos!$D$11),IF(Supuestos!$C$11="Lognormal",LOGINV(H551,LN(Supuestos!$D$11)-LN(1+Supuestos!$E$11^2/Supuestos!$D$11^2)/2,SQRT(LN(1+Supuestos!$E$11^2/Supuestos!$D$11^2))),Supuestos!$D$11))))))</f>
        <v/>
      </c>
      <c r="P551" s="33">
        <f>-I551</f>
        <v/>
      </c>
      <c r="Q551" s="33">
        <f>$J551*(1+$K551)^(1-1)*(1-$L551)*(1-$M551)</f>
        <v/>
      </c>
      <c r="R551" s="33">
        <f>$J551*(1+$K551)^(2-1)*(1-$L551)*(1-$M551)</f>
        <v/>
      </c>
      <c r="S551" s="33">
        <f>$J551*(1+$K551)^(3-1)*(1-$L551)*(1-$M551)</f>
        <v/>
      </c>
      <c r="T551" s="33">
        <f>$J551*(1+$K551)^(4-1)*(1-$L551)*(1-$M551)</f>
        <v/>
      </c>
      <c r="U551" s="33">
        <f>$J551*(1+$K551)^(5-1)*(1-$L551)*(1-$M551)+$O551</f>
        <v/>
      </c>
      <c r="V551" s="33">
        <f>P551+NPV($N551,Q551:U551)</f>
        <v/>
      </c>
      <c r="W551" s="32">
        <f>IFERROR(IRR(P551:U551,0.1),"")</f>
        <v/>
      </c>
    </row>
    <row r="552">
      <c r="A552" s="14" t="n">
        <v>548</v>
      </c>
      <c r="B552" s="30">
        <f>RAND()*(1-2E-6)+1E-6</f>
        <v/>
      </c>
      <c r="C552" s="30">
        <f>RAND()*(1-2E-6)+1E-6</f>
        <v/>
      </c>
      <c r="D552" s="30">
        <f>RAND()*(1-2E-6)+1E-6</f>
        <v/>
      </c>
      <c r="E552" s="30">
        <f>RAND()*(1-2E-6)+1E-6</f>
        <v/>
      </c>
      <c r="F552" s="30">
        <f>RAND()*(1-2E-6)+1E-6</f>
        <v/>
      </c>
      <c r="G552" s="30">
        <f>RAND()*(1-2E-6)+1E-6</f>
        <v/>
      </c>
      <c r="H552" s="30">
        <f>RAND()*(1-2E-6)+1E-6</f>
        <v/>
      </c>
      <c r="I552" s="31">
        <f>MIN(IF(Supuestos!$H$5="",1E+99,Supuestos!$H$5),MAX(IF(Supuestos!$G$5="",-1E+99,Supuestos!$G$5),IF(Supuestos!$C$5="Normal",NORMINV(B552,Supuestos!$D$5,Supuestos!$E$5),IF(Supuestos!$C$5="Triangular",IF(B552&lt;(Supuestos!$E$5-Supuestos!$D$5)/(Supuestos!$F$5-Supuestos!$D$5),Supuestos!$D$5+SQRT(B552*(Supuestos!$F$5-Supuestos!$D$5)*(Supuestos!$E$5-Supuestos!$D$5)),Supuestos!$F$5-SQRT((1-B552)*(Supuestos!$F$5-Supuestos!$D$5)*(Supuestos!$F$5-Supuestos!$E$5))),IF(Supuestos!$C$5="Uniforme",Supuestos!$D$5+B552*(Supuestos!$E$5-Supuestos!$D$5),IF(Supuestos!$C$5="Lognormal",LOGINV(B552,LN(Supuestos!$D$5)-LN(1+Supuestos!$E$5^2/Supuestos!$D$5^2)/2,SQRT(LN(1+Supuestos!$E$5^2/Supuestos!$D$5^2))),Supuestos!$D$5))))))</f>
        <v/>
      </c>
      <c r="J552" s="31">
        <f>MIN(IF(Supuestos!$H$6="",1E+99,Supuestos!$H$6),MAX(IF(Supuestos!$G$6="",-1E+99,Supuestos!$G$6),IF(Supuestos!$C$6="Normal",NORMINV(C552,Supuestos!$D$6,Supuestos!$E$6),IF(Supuestos!$C$6="Triangular",IF(C552&lt;(Supuestos!$E$6-Supuestos!$D$6)/(Supuestos!$F$6-Supuestos!$D$6),Supuestos!$D$6+SQRT(C552*(Supuestos!$F$6-Supuestos!$D$6)*(Supuestos!$E$6-Supuestos!$D$6)),Supuestos!$F$6-SQRT((1-C552)*(Supuestos!$F$6-Supuestos!$D$6)*(Supuestos!$F$6-Supuestos!$E$6))),IF(Supuestos!$C$6="Uniforme",Supuestos!$D$6+C552*(Supuestos!$E$6-Supuestos!$D$6),IF(Supuestos!$C$6="Lognormal",LOGINV(C552,LN(Supuestos!$D$6)-LN(1+Supuestos!$E$6^2/Supuestos!$D$6^2)/2,SQRT(LN(1+Supuestos!$E$6^2/Supuestos!$D$6^2))),Supuestos!$D$6))))))</f>
        <v/>
      </c>
      <c r="K552" s="32">
        <f>MIN(IF(Supuestos!$H$7="",1E+99,Supuestos!$H$7),MAX(IF(Supuestos!$G$7="",-1E+99,Supuestos!$G$7),IF(Supuestos!$C$7="Normal",NORMINV(D552,Supuestos!$D$7,Supuestos!$E$7),IF(Supuestos!$C$7="Triangular",IF(D552&lt;(Supuestos!$E$7-Supuestos!$D$7)/(Supuestos!$F$7-Supuestos!$D$7),Supuestos!$D$7+SQRT(D552*(Supuestos!$F$7-Supuestos!$D$7)*(Supuestos!$E$7-Supuestos!$D$7)),Supuestos!$F$7-SQRT((1-D552)*(Supuestos!$F$7-Supuestos!$D$7)*(Supuestos!$F$7-Supuestos!$E$7))),IF(Supuestos!$C$7="Uniforme",Supuestos!$D$7+D552*(Supuestos!$E$7-Supuestos!$D$7),IF(Supuestos!$C$7="Lognormal",LOGINV(D552,LN(Supuestos!$D$7)-LN(1+Supuestos!$E$7^2/Supuestos!$D$7^2)/2,SQRT(LN(1+Supuestos!$E$7^2/Supuestos!$D$7^2))),Supuestos!$D$7))))))</f>
        <v/>
      </c>
      <c r="L552" s="32">
        <f>MIN(IF(Supuestos!$H$8="",1E+99,Supuestos!$H$8),MAX(IF(Supuestos!$G$8="",-1E+99,Supuestos!$G$8),IF(Supuestos!$C$8="Normal",NORMINV(E552,Supuestos!$D$8,Supuestos!$E$8),IF(Supuestos!$C$8="Triangular",IF(E552&lt;(Supuestos!$E$8-Supuestos!$D$8)/(Supuestos!$F$8-Supuestos!$D$8),Supuestos!$D$8+SQRT(E552*(Supuestos!$F$8-Supuestos!$D$8)*(Supuestos!$E$8-Supuestos!$D$8)),Supuestos!$F$8-SQRT((1-E552)*(Supuestos!$F$8-Supuestos!$D$8)*(Supuestos!$F$8-Supuestos!$E$8))),IF(Supuestos!$C$8="Uniforme",Supuestos!$D$8+E552*(Supuestos!$E$8-Supuestos!$D$8),IF(Supuestos!$C$8="Lognormal",LOGINV(E552,LN(Supuestos!$D$8)-LN(1+Supuestos!$E$8^2/Supuestos!$D$8^2)/2,SQRT(LN(1+Supuestos!$E$8^2/Supuestos!$D$8^2))),Supuestos!$D$8))))))</f>
        <v/>
      </c>
      <c r="M552" s="32">
        <f>MIN(IF(Supuestos!$H$9="",1E+99,Supuestos!$H$9),MAX(IF(Supuestos!$G$9="",-1E+99,Supuestos!$G$9),IF(Supuestos!$C$9="Normal",NORMINV(F552,Supuestos!$D$9,Supuestos!$E$9),IF(Supuestos!$C$9="Triangular",IF(F552&lt;(Supuestos!$E$9-Supuestos!$D$9)/(Supuestos!$F$9-Supuestos!$D$9),Supuestos!$D$9+SQRT(F552*(Supuestos!$F$9-Supuestos!$D$9)*(Supuestos!$E$9-Supuestos!$D$9)),Supuestos!$F$9-SQRT((1-F552)*(Supuestos!$F$9-Supuestos!$D$9)*(Supuestos!$F$9-Supuestos!$E$9))),IF(Supuestos!$C$9="Uniforme",Supuestos!$D$9+F552*(Supuestos!$E$9-Supuestos!$D$9),IF(Supuestos!$C$9="Lognormal",LOGINV(F552,LN(Supuestos!$D$9)-LN(1+Supuestos!$E$9^2/Supuestos!$D$9^2)/2,SQRT(LN(1+Supuestos!$E$9^2/Supuestos!$D$9^2))),Supuestos!$D$9))))))</f>
        <v/>
      </c>
      <c r="N552" s="32">
        <f>MIN(IF(Supuestos!$H$10="",1E+99,Supuestos!$H$10),MAX(IF(Supuestos!$G$10="",-1E+99,Supuestos!$G$10),IF(Supuestos!$C$10="Normal",NORMINV(G552,Supuestos!$D$10,Supuestos!$E$10),IF(Supuestos!$C$10="Triangular",IF(G552&lt;(Supuestos!$E$10-Supuestos!$D$10)/(Supuestos!$F$10-Supuestos!$D$10),Supuestos!$D$10+SQRT(G552*(Supuestos!$F$10-Supuestos!$D$10)*(Supuestos!$E$10-Supuestos!$D$10)),Supuestos!$F$10-SQRT((1-G552)*(Supuestos!$F$10-Supuestos!$D$10)*(Supuestos!$F$10-Supuestos!$E$10))),IF(Supuestos!$C$10="Uniforme",Supuestos!$D$10+G552*(Supuestos!$E$10-Supuestos!$D$10),IF(Supuestos!$C$10="Lognormal",LOGINV(G552,LN(Supuestos!$D$10)-LN(1+Supuestos!$E$10^2/Supuestos!$D$10^2)/2,SQRT(LN(1+Supuestos!$E$10^2/Supuestos!$D$10^2))),Supuestos!$D$10))))))</f>
        <v/>
      </c>
      <c r="O552" s="31">
        <f>MIN(IF(Supuestos!$H$11="",1E+99,Supuestos!$H$11),MAX(IF(Supuestos!$G$11="",-1E+99,Supuestos!$G$11),IF(Supuestos!$C$11="Normal",NORMINV(H552,Supuestos!$D$11,Supuestos!$E$11),IF(Supuestos!$C$11="Triangular",IF(H552&lt;(Supuestos!$E$11-Supuestos!$D$11)/(Supuestos!$F$11-Supuestos!$D$11),Supuestos!$D$11+SQRT(H552*(Supuestos!$F$11-Supuestos!$D$11)*(Supuestos!$E$11-Supuestos!$D$11)),Supuestos!$F$11-SQRT((1-H552)*(Supuestos!$F$11-Supuestos!$D$11)*(Supuestos!$F$11-Supuestos!$E$11))),IF(Supuestos!$C$11="Uniforme",Supuestos!$D$11+H552*(Supuestos!$E$11-Supuestos!$D$11),IF(Supuestos!$C$11="Lognormal",LOGINV(H552,LN(Supuestos!$D$11)-LN(1+Supuestos!$E$11^2/Supuestos!$D$11^2)/2,SQRT(LN(1+Supuestos!$E$11^2/Supuestos!$D$11^2))),Supuestos!$D$11))))))</f>
        <v/>
      </c>
      <c r="P552" s="33">
        <f>-I552</f>
        <v/>
      </c>
      <c r="Q552" s="33">
        <f>$J552*(1+$K552)^(1-1)*(1-$L552)*(1-$M552)</f>
        <v/>
      </c>
      <c r="R552" s="33">
        <f>$J552*(1+$K552)^(2-1)*(1-$L552)*(1-$M552)</f>
        <v/>
      </c>
      <c r="S552" s="33">
        <f>$J552*(1+$K552)^(3-1)*(1-$L552)*(1-$M552)</f>
        <v/>
      </c>
      <c r="T552" s="33">
        <f>$J552*(1+$K552)^(4-1)*(1-$L552)*(1-$M552)</f>
        <v/>
      </c>
      <c r="U552" s="33">
        <f>$J552*(1+$K552)^(5-1)*(1-$L552)*(1-$M552)+$O552</f>
        <v/>
      </c>
      <c r="V552" s="33">
        <f>P552+NPV($N552,Q552:U552)</f>
        <v/>
      </c>
      <c r="W552" s="32">
        <f>IFERROR(IRR(P552:U552,0.1),"")</f>
        <v/>
      </c>
    </row>
    <row r="553">
      <c r="A553" s="14" t="n">
        <v>549</v>
      </c>
      <c r="B553" s="30">
        <f>RAND()*(1-2E-6)+1E-6</f>
        <v/>
      </c>
      <c r="C553" s="30">
        <f>RAND()*(1-2E-6)+1E-6</f>
        <v/>
      </c>
      <c r="D553" s="30">
        <f>RAND()*(1-2E-6)+1E-6</f>
        <v/>
      </c>
      <c r="E553" s="30">
        <f>RAND()*(1-2E-6)+1E-6</f>
        <v/>
      </c>
      <c r="F553" s="30">
        <f>RAND()*(1-2E-6)+1E-6</f>
        <v/>
      </c>
      <c r="G553" s="30">
        <f>RAND()*(1-2E-6)+1E-6</f>
        <v/>
      </c>
      <c r="H553" s="30">
        <f>RAND()*(1-2E-6)+1E-6</f>
        <v/>
      </c>
      <c r="I553" s="31">
        <f>MIN(IF(Supuestos!$H$5="",1E+99,Supuestos!$H$5),MAX(IF(Supuestos!$G$5="",-1E+99,Supuestos!$G$5),IF(Supuestos!$C$5="Normal",NORMINV(B553,Supuestos!$D$5,Supuestos!$E$5),IF(Supuestos!$C$5="Triangular",IF(B553&lt;(Supuestos!$E$5-Supuestos!$D$5)/(Supuestos!$F$5-Supuestos!$D$5),Supuestos!$D$5+SQRT(B553*(Supuestos!$F$5-Supuestos!$D$5)*(Supuestos!$E$5-Supuestos!$D$5)),Supuestos!$F$5-SQRT((1-B553)*(Supuestos!$F$5-Supuestos!$D$5)*(Supuestos!$F$5-Supuestos!$E$5))),IF(Supuestos!$C$5="Uniforme",Supuestos!$D$5+B553*(Supuestos!$E$5-Supuestos!$D$5),IF(Supuestos!$C$5="Lognormal",LOGINV(B553,LN(Supuestos!$D$5)-LN(1+Supuestos!$E$5^2/Supuestos!$D$5^2)/2,SQRT(LN(1+Supuestos!$E$5^2/Supuestos!$D$5^2))),Supuestos!$D$5))))))</f>
        <v/>
      </c>
      <c r="J553" s="31">
        <f>MIN(IF(Supuestos!$H$6="",1E+99,Supuestos!$H$6),MAX(IF(Supuestos!$G$6="",-1E+99,Supuestos!$G$6),IF(Supuestos!$C$6="Normal",NORMINV(C553,Supuestos!$D$6,Supuestos!$E$6),IF(Supuestos!$C$6="Triangular",IF(C553&lt;(Supuestos!$E$6-Supuestos!$D$6)/(Supuestos!$F$6-Supuestos!$D$6),Supuestos!$D$6+SQRT(C553*(Supuestos!$F$6-Supuestos!$D$6)*(Supuestos!$E$6-Supuestos!$D$6)),Supuestos!$F$6-SQRT((1-C553)*(Supuestos!$F$6-Supuestos!$D$6)*(Supuestos!$F$6-Supuestos!$E$6))),IF(Supuestos!$C$6="Uniforme",Supuestos!$D$6+C553*(Supuestos!$E$6-Supuestos!$D$6),IF(Supuestos!$C$6="Lognormal",LOGINV(C553,LN(Supuestos!$D$6)-LN(1+Supuestos!$E$6^2/Supuestos!$D$6^2)/2,SQRT(LN(1+Supuestos!$E$6^2/Supuestos!$D$6^2))),Supuestos!$D$6))))))</f>
        <v/>
      </c>
      <c r="K553" s="32">
        <f>MIN(IF(Supuestos!$H$7="",1E+99,Supuestos!$H$7),MAX(IF(Supuestos!$G$7="",-1E+99,Supuestos!$G$7),IF(Supuestos!$C$7="Normal",NORMINV(D553,Supuestos!$D$7,Supuestos!$E$7),IF(Supuestos!$C$7="Triangular",IF(D553&lt;(Supuestos!$E$7-Supuestos!$D$7)/(Supuestos!$F$7-Supuestos!$D$7),Supuestos!$D$7+SQRT(D553*(Supuestos!$F$7-Supuestos!$D$7)*(Supuestos!$E$7-Supuestos!$D$7)),Supuestos!$F$7-SQRT((1-D553)*(Supuestos!$F$7-Supuestos!$D$7)*(Supuestos!$F$7-Supuestos!$E$7))),IF(Supuestos!$C$7="Uniforme",Supuestos!$D$7+D553*(Supuestos!$E$7-Supuestos!$D$7),IF(Supuestos!$C$7="Lognormal",LOGINV(D553,LN(Supuestos!$D$7)-LN(1+Supuestos!$E$7^2/Supuestos!$D$7^2)/2,SQRT(LN(1+Supuestos!$E$7^2/Supuestos!$D$7^2))),Supuestos!$D$7))))))</f>
        <v/>
      </c>
      <c r="L553" s="32">
        <f>MIN(IF(Supuestos!$H$8="",1E+99,Supuestos!$H$8),MAX(IF(Supuestos!$G$8="",-1E+99,Supuestos!$G$8),IF(Supuestos!$C$8="Normal",NORMINV(E553,Supuestos!$D$8,Supuestos!$E$8),IF(Supuestos!$C$8="Triangular",IF(E553&lt;(Supuestos!$E$8-Supuestos!$D$8)/(Supuestos!$F$8-Supuestos!$D$8),Supuestos!$D$8+SQRT(E553*(Supuestos!$F$8-Supuestos!$D$8)*(Supuestos!$E$8-Supuestos!$D$8)),Supuestos!$F$8-SQRT((1-E553)*(Supuestos!$F$8-Supuestos!$D$8)*(Supuestos!$F$8-Supuestos!$E$8))),IF(Supuestos!$C$8="Uniforme",Supuestos!$D$8+E553*(Supuestos!$E$8-Supuestos!$D$8),IF(Supuestos!$C$8="Lognormal",LOGINV(E553,LN(Supuestos!$D$8)-LN(1+Supuestos!$E$8^2/Supuestos!$D$8^2)/2,SQRT(LN(1+Supuestos!$E$8^2/Supuestos!$D$8^2))),Supuestos!$D$8))))))</f>
        <v/>
      </c>
      <c r="M553" s="32">
        <f>MIN(IF(Supuestos!$H$9="",1E+99,Supuestos!$H$9),MAX(IF(Supuestos!$G$9="",-1E+99,Supuestos!$G$9),IF(Supuestos!$C$9="Normal",NORMINV(F553,Supuestos!$D$9,Supuestos!$E$9),IF(Supuestos!$C$9="Triangular",IF(F553&lt;(Supuestos!$E$9-Supuestos!$D$9)/(Supuestos!$F$9-Supuestos!$D$9),Supuestos!$D$9+SQRT(F553*(Supuestos!$F$9-Supuestos!$D$9)*(Supuestos!$E$9-Supuestos!$D$9)),Supuestos!$F$9-SQRT((1-F553)*(Supuestos!$F$9-Supuestos!$D$9)*(Supuestos!$F$9-Supuestos!$E$9))),IF(Supuestos!$C$9="Uniforme",Supuestos!$D$9+F553*(Supuestos!$E$9-Supuestos!$D$9),IF(Supuestos!$C$9="Lognormal",LOGINV(F553,LN(Supuestos!$D$9)-LN(1+Supuestos!$E$9^2/Supuestos!$D$9^2)/2,SQRT(LN(1+Supuestos!$E$9^2/Supuestos!$D$9^2))),Supuestos!$D$9))))))</f>
        <v/>
      </c>
      <c r="N553" s="32">
        <f>MIN(IF(Supuestos!$H$10="",1E+99,Supuestos!$H$10),MAX(IF(Supuestos!$G$10="",-1E+99,Supuestos!$G$10),IF(Supuestos!$C$10="Normal",NORMINV(G553,Supuestos!$D$10,Supuestos!$E$10),IF(Supuestos!$C$10="Triangular",IF(G553&lt;(Supuestos!$E$10-Supuestos!$D$10)/(Supuestos!$F$10-Supuestos!$D$10),Supuestos!$D$10+SQRT(G553*(Supuestos!$F$10-Supuestos!$D$10)*(Supuestos!$E$10-Supuestos!$D$10)),Supuestos!$F$10-SQRT((1-G553)*(Supuestos!$F$10-Supuestos!$D$10)*(Supuestos!$F$10-Supuestos!$E$10))),IF(Supuestos!$C$10="Uniforme",Supuestos!$D$10+G553*(Supuestos!$E$10-Supuestos!$D$10),IF(Supuestos!$C$10="Lognormal",LOGINV(G553,LN(Supuestos!$D$10)-LN(1+Supuestos!$E$10^2/Supuestos!$D$10^2)/2,SQRT(LN(1+Supuestos!$E$10^2/Supuestos!$D$10^2))),Supuestos!$D$10))))))</f>
        <v/>
      </c>
      <c r="O553" s="31">
        <f>MIN(IF(Supuestos!$H$11="",1E+99,Supuestos!$H$11),MAX(IF(Supuestos!$G$11="",-1E+99,Supuestos!$G$11),IF(Supuestos!$C$11="Normal",NORMINV(H553,Supuestos!$D$11,Supuestos!$E$11),IF(Supuestos!$C$11="Triangular",IF(H553&lt;(Supuestos!$E$11-Supuestos!$D$11)/(Supuestos!$F$11-Supuestos!$D$11),Supuestos!$D$11+SQRT(H553*(Supuestos!$F$11-Supuestos!$D$11)*(Supuestos!$E$11-Supuestos!$D$11)),Supuestos!$F$11-SQRT((1-H553)*(Supuestos!$F$11-Supuestos!$D$11)*(Supuestos!$F$11-Supuestos!$E$11))),IF(Supuestos!$C$11="Uniforme",Supuestos!$D$11+H553*(Supuestos!$E$11-Supuestos!$D$11),IF(Supuestos!$C$11="Lognormal",LOGINV(H553,LN(Supuestos!$D$11)-LN(1+Supuestos!$E$11^2/Supuestos!$D$11^2)/2,SQRT(LN(1+Supuestos!$E$11^2/Supuestos!$D$11^2))),Supuestos!$D$11))))))</f>
        <v/>
      </c>
      <c r="P553" s="33">
        <f>-I553</f>
        <v/>
      </c>
      <c r="Q553" s="33">
        <f>$J553*(1+$K553)^(1-1)*(1-$L553)*(1-$M553)</f>
        <v/>
      </c>
      <c r="R553" s="33">
        <f>$J553*(1+$K553)^(2-1)*(1-$L553)*(1-$M553)</f>
        <v/>
      </c>
      <c r="S553" s="33">
        <f>$J553*(1+$K553)^(3-1)*(1-$L553)*(1-$M553)</f>
        <v/>
      </c>
      <c r="T553" s="33">
        <f>$J553*(1+$K553)^(4-1)*(1-$L553)*(1-$M553)</f>
        <v/>
      </c>
      <c r="U553" s="33">
        <f>$J553*(1+$K553)^(5-1)*(1-$L553)*(1-$M553)+$O553</f>
        <v/>
      </c>
      <c r="V553" s="33">
        <f>P553+NPV($N553,Q553:U553)</f>
        <v/>
      </c>
      <c r="W553" s="32">
        <f>IFERROR(IRR(P553:U553,0.1),"")</f>
        <v/>
      </c>
    </row>
    <row r="554">
      <c r="A554" s="14" t="n">
        <v>550</v>
      </c>
      <c r="B554" s="30">
        <f>RAND()*(1-2E-6)+1E-6</f>
        <v/>
      </c>
      <c r="C554" s="30">
        <f>RAND()*(1-2E-6)+1E-6</f>
        <v/>
      </c>
      <c r="D554" s="30">
        <f>RAND()*(1-2E-6)+1E-6</f>
        <v/>
      </c>
      <c r="E554" s="30">
        <f>RAND()*(1-2E-6)+1E-6</f>
        <v/>
      </c>
      <c r="F554" s="30">
        <f>RAND()*(1-2E-6)+1E-6</f>
        <v/>
      </c>
      <c r="G554" s="30">
        <f>RAND()*(1-2E-6)+1E-6</f>
        <v/>
      </c>
      <c r="H554" s="30">
        <f>RAND()*(1-2E-6)+1E-6</f>
        <v/>
      </c>
      <c r="I554" s="31">
        <f>MIN(IF(Supuestos!$H$5="",1E+99,Supuestos!$H$5),MAX(IF(Supuestos!$G$5="",-1E+99,Supuestos!$G$5),IF(Supuestos!$C$5="Normal",NORMINV(B554,Supuestos!$D$5,Supuestos!$E$5),IF(Supuestos!$C$5="Triangular",IF(B554&lt;(Supuestos!$E$5-Supuestos!$D$5)/(Supuestos!$F$5-Supuestos!$D$5),Supuestos!$D$5+SQRT(B554*(Supuestos!$F$5-Supuestos!$D$5)*(Supuestos!$E$5-Supuestos!$D$5)),Supuestos!$F$5-SQRT((1-B554)*(Supuestos!$F$5-Supuestos!$D$5)*(Supuestos!$F$5-Supuestos!$E$5))),IF(Supuestos!$C$5="Uniforme",Supuestos!$D$5+B554*(Supuestos!$E$5-Supuestos!$D$5),IF(Supuestos!$C$5="Lognormal",LOGINV(B554,LN(Supuestos!$D$5)-LN(1+Supuestos!$E$5^2/Supuestos!$D$5^2)/2,SQRT(LN(1+Supuestos!$E$5^2/Supuestos!$D$5^2))),Supuestos!$D$5))))))</f>
        <v/>
      </c>
      <c r="J554" s="31">
        <f>MIN(IF(Supuestos!$H$6="",1E+99,Supuestos!$H$6),MAX(IF(Supuestos!$G$6="",-1E+99,Supuestos!$G$6),IF(Supuestos!$C$6="Normal",NORMINV(C554,Supuestos!$D$6,Supuestos!$E$6),IF(Supuestos!$C$6="Triangular",IF(C554&lt;(Supuestos!$E$6-Supuestos!$D$6)/(Supuestos!$F$6-Supuestos!$D$6),Supuestos!$D$6+SQRT(C554*(Supuestos!$F$6-Supuestos!$D$6)*(Supuestos!$E$6-Supuestos!$D$6)),Supuestos!$F$6-SQRT((1-C554)*(Supuestos!$F$6-Supuestos!$D$6)*(Supuestos!$F$6-Supuestos!$E$6))),IF(Supuestos!$C$6="Uniforme",Supuestos!$D$6+C554*(Supuestos!$E$6-Supuestos!$D$6),IF(Supuestos!$C$6="Lognormal",LOGINV(C554,LN(Supuestos!$D$6)-LN(1+Supuestos!$E$6^2/Supuestos!$D$6^2)/2,SQRT(LN(1+Supuestos!$E$6^2/Supuestos!$D$6^2))),Supuestos!$D$6))))))</f>
        <v/>
      </c>
      <c r="K554" s="32">
        <f>MIN(IF(Supuestos!$H$7="",1E+99,Supuestos!$H$7),MAX(IF(Supuestos!$G$7="",-1E+99,Supuestos!$G$7),IF(Supuestos!$C$7="Normal",NORMINV(D554,Supuestos!$D$7,Supuestos!$E$7),IF(Supuestos!$C$7="Triangular",IF(D554&lt;(Supuestos!$E$7-Supuestos!$D$7)/(Supuestos!$F$7-Supuestos!$D$7),Supuestos!$D$7+SQRT(D554*(Supuestos!$F$7-Supuestos!$D$7)*(Supuestos!$E$7-Supuestos!$D$7)),Supuestos!$F$7-SQRT((1-D554)*(Supuestos!$F$7-Supuestos!$D$7)*(Supuestos!$F$7-Supuestos!$E$7))),IF(Supuestos!$C$7="Uniforme",Supuestos!$D$7+D554*(Supuestos!$E$7-Supuestos!$D$7),IF(Supuestos!$C$7="Lognormal",LOGINV(D554,LN(Supuestos!$D$7)-LN(1+Supuestos!$E$7^2/Supuestos!$D$7^2)/2,SQRT(LN(1+Supuestos!$E$7^2/Supuestos!$D$7^2))),Supuestos!$D$7))))))</f>
        <v/>
      </c>
      <c r="L554" s="32">
        <f>MIN(IF(Supuestos!$H$8="",1E+99,Supuestos!$H$8),MAX(IF(Supuestos!$G$8="",-1E+99,Supuestos!$G$8),IF(Supuestos!$C$8="Normal",NORMINV(E554,Supuestos!$D$8,Supuestos!$E$8),IF(Supuestos!$C$8="Triangular",IF(E554&lt;(Supuestos!$E$8-Supuestos!$D$8)/(Supuestos!$F$8-Supuestos!$D$8),Supuestos!$D$8+SQRT(E554*(Supuestos!$F$8-Supuestos!$D$8)*(Supuestos!$E$8-Supuestos!$D$8)),Supuestos!$F$8-SQRT((1-E554)*(Supuestos!$F$8-Supuestos!$D$8)*(Supuestos!$F$8-Supuestos!$E$8))),IF(Supuestos!$C$8="Uniforme",Supuestos!$D$8+E554*(Supuestos!$E$8-Supuestos!$D$8),IF(Supuestos!$C$8="Lognormal",LOGINV(E554,LN(Supuestos!$D$8)-LN(1+Supuestos!$E$8^2/Supuestos!$D$8^2)/2,SQRT(LN(1+Supuestos!$E$8^2/Supuestos!$D$8^2))),Supuestos!$D$8))))))</f>
        <v/>
      </c>
      <c r="M554" s="32">
        <f>MIN(IF(Supuestos!$H$9="",1E+99,Supuestos!$H$9),MAX(IF(Supuestos!$G$9="",-1E+99,Supuestos!$G$9),IF(Supuestos!$C$9="Normal",NORMINV(F554,Supuestos!$D$9,Supuestos!$E$9),IF(Supuestos!$C$9="Triangular",IF(F554&lt;(Supuestos!$E$9-Supuestos!$D$9)/(Supuestos!$F$9-Supuestos!$D$9),Supuestos!$D$9+SQRT(F554*(Supuestos!$F$9-Supuestos!$D$9)*(Supuestos!$E$9-Supuestos!$D$9)),Supuestos!$F$9-SQRT((1-F554)*(Supuestos!$F$9-Supuestos!$D$9)*(Supuestos!$F$9-Supuestos!$E$9))),IF(Supuestos!$C$9="Uniforme",Supuestos!$D$9+F554*(Supuestos!$E$9-Supuestos!$D$9),IF(Supuestos!$C$9="Lognormal",LOGINV(F554,LN(Supuestos!$D$9)-LN(1+Supuestos!$E$9^2/Supuestos!$D$9^2)/2,SQRT(LN(1+Supuestos!$E$9^2/Supuestos!$D$9^2))),Supuestos!$D$9))))))</f>
        <v/>
      </c>
      <c r="N554" s="32">
        <f>MIN(IF(Supuestos!$H$10="",1E+99,Supuestos!$H$10),MAX(IF(Supuestos!$G$10="",-1E+99,Supuestos!$G$10),IF(Supuestos!$C$10="Normal",NORMINV(G554,Supuestos!$D$10,Supuestos!$E$10),IF(Supuestos!$C$10="Triangular",IF(G554&lt;(Supuestos!$E$10-Supuestos!$D$10)/(Supuestos!$F$10-Supuestos!$D$10),Supuestos!$D$10+SQRT(G554*(Supuestos!$F$10-Supuestos!$D$10)*(Supuestos!$E$10-Supuestos!$D$10)),Supuestos!$F$10-SQRT((1-G554)*(Supuestos!$F$10-Supuestos!$D$10)*(Supuestos!$F$10-Supuestos!$E$10))),IF(Supuestos!$C$10="Uniforme",Supuestos!$D$10+G554*(Supuestos!$E$10-Supuestos!$D$10),IF(Supuestos!$C$10="Lognormal",LOGINV(G554,LN(Supuestos!$D$10)-LN(1+Supuestos!$E$10^2/Supuestos!$D$10^2)/2,SQRT(LN(1+Supuestos!$E$10^2/Supuestos!$D$10^2))),Supuestos!$D$10))))))</f>
        <v/>
      </c>
      <c r="O554" s="31">
        <f>MIN(IF(Supuestos!$H$11="",1E+99,Supuestos!$H$11),MAX(IF(Supuestos!$G$11="",-1E+99,Supuestos!$G$11),IF(Supuestos!$C$11="Normal",NORMINV(H554,Supuestos!$D$11,Supuestos!$E$11),IF(Supuestos!$C$11="Triangular",IF(H554&lt;(Supuestos!$E$11-Supuestos!$D$11)/(Supuestos!$F$11-Supuestos!$D$11),Supuestos!$D$11+SQRT(H554*(Supuestos!$F$11-Supuestos!$D$11)*(Supuestos!$E$11-Supuestos!$D$11)),Supuestos!$F$11-SQRT((1-H554)*(Supuestos!$F$11-Supuestos!$D$11)*(Supuestos!$F$11-Supuestos!$E$11))),IF(Supuestos!$C$11="Uniforme",Supuestos!$D$11+H554*(Supuestos!$E$11-Supuestos!$D$11),IF(Supuestos!$C$11="Lognormal",LOGINV(H554,LN(Supuestos!$D$11)-LN(1+Supuestos!$E$11^2/Supuestos!$D$11^2)/2,SQRT(LN(1+Supuestos!$E$11^2/Supuestos!$D$11^2))),Supuestos!$D$11))))))</f>
        <v/>
      </c>
      <c r="P554" s="33">
        <f>-I554</f>
        <v/>
      </c>
      <c r="Q554" s="33">
        <f>$J554*(1+$K554)^(1-1)*(1-$L554)*(1-$M554)</f>
        <v/>
      </c>
      <c r="R554" s="33">
        <f>$J554*(1+$K554)^(2-1)*(1-$L554)*(1-$M554)</f>
        <v/>
      </c>
      <c r="S554" s="33">
        <f>$J554*(1+$K554)^(3-1)*(1-$L554)*(1-$M554)</f>
        <v/>
      </c>
      <c r="T554" s="33">
        <f>$J554*(1+$K554)^(4-1)*(1-$L554)*(1-$M554)</f>
        <v/>
      </c>
      <c r="U554" s="33">
        <f>$J554*(1+$K554)^(5-1)*(1-$L554)*(1-$M554)+$O554</f>
        <v/>
      </c>
      <c r="V554" s="33">
        <f>P554+NPV($N554,Q554:U554)</f>
        <v/>
      </c>
      <c r="W554" s="32">
        <f>IFERROR(IRR(P554:U554,0.1),"")</f>
        <v/>
      </c>
    </row>
    <row r="555">
      <c r="A555" s="14" t="n">
        <v>551</v>
      </c>
      <c r="B555" s="30">
        <f>RAND()*(1-2E-6)+1E-6</f>
        <v/>
      </c>
      <c r="C555" s="30">
        <f>RAND()*(1-2E-6)+1E-6</f>
        <v/>
      </c>
      <c r="D555" s="30">
        <f>RAND()*(1-2E-6)+1E-6</f>
        <v/>
      </c>
      <c r="E555" s="30">
        <f>RAND()*(1-2E-6)+1E-6</f>
        <v/>
      </c>
      <c r="F555" s="30">
        <f>RAND()*(1-2E-6)+1E-6</f>
        <v/>
      </c>
      <c r="G555" s="30">
        <f>RAND()*(1-2E-6)+1E-6</f>
        <v/>
      </c>
      <c r="H555" s="30">
        <f>RAND()*(1-2E-6)+1E-6</f>
        <v/>
      </c>
      <c r="I555" s="31">
        <f>MIN(IF(Supuestos!$H$5="",1E+99,Supuestos!$H$5),MAX(IF(Supuestos!$G$5="",-1E+99,Supuestos!$G$5),IF(Supuestos!$C$5="Normal",NORMINV(B555,Supuestos!$D$5,Supuestos!$E$5),IF(Supuestos!$C$5="Triangular",IF(B555&lt;(Supuestos!$E$5-Supuestos!$D$5)/(Supuestos!$F$5-Supuestos!$D$5),Supuestos!$D$5+SQRT(B555*(Supuestos!$F$5-Supuestos!$D$5)*(Supuestos!$E$5-Supuestos!$D$5)),Supuestos!$F$5-SQRT((1-B555)*(Supuestos!$F$5-Supuestos!$D$5)*(Supuestos!$F$5-Supuestos!$E$5))),IF(Supuestos!$C$5="Uniforme",Supuestos!$D$5+B555*(Supuestos!$E$5-Supuestos!$D$5),IF(Supuestos!$C$5="Lognormal",LOGINV(B555,LN(Supuestos!$D$5)-LN(1+Supuestos!$E$5^2/Supuestos!$D$5^2)/2,SQRT(LN(1+Supuestos!$E$5^2/Supuestos!$D$5^2))),Supuestos!$D$5))))))</f>
        <v/>
      </c>
      <c r="J555" s="31">
        <f>MIN(IF(Supuestos!$H$6="",1E+99,Supuestos!$H$6),MAX(IF(Supuestos!$G$6="",-1E+99,Supuestos!$G$6),IF(Supuestos!$C$6="Normal",NORMINV(C555,Supuestos!$D$6,Supuestos!$E$6),IF(Supuestos!$C$6="Triangular",IF(C555&lt;(Supuestos!$E$6-Supuestos!$D$6)/(Supuestos!$F$6-Supuestos!$D$6),Supuestos!$D$6+SQRT(C555*(Supuestos!$F$6-Supuestos!$D$6)*(Supuestos!$E$6-Supuestos!$D$6)),Supuestos!$F$6-SQRT((1-C555)*(Supuestos!$F$6-Supuestos!$D$6)*(Supuestos!$F$6-Supuestos!$E$6))),IF(Supuestos!$C$6="Uniforme",Supuestos!$D$6+C555*(Supuestos!$E$6-Supuestos!$D$6),IF(Supuestos!$C$6="Lognormal",LOGINV(C555,LN(Supuestos!$D$6)-LN(1+Supuestos!$E$6^2/Supuestos!$D$6^2)/2,SQRT(LN(1+Supuestos!$E$6^2/Supuestos!$D$6^2))),Supuestos!$D$6))))))</f>
        <v/>
      </c>
      <c r="K555" s="32">
        <f>MIN(IF(Supuestos!$H$7="",1E+99,Supuestos!$H$7),MAX(IF(Supuestos!$G$7="",-1E+99,Supuestos!$G$7),IF(Supuestos!$C$7="Normal",NORMINV(D555,Supuestos!$D$7,Supuestos!$E$7),IF(Supuestos!$C$7="Triangular",IF(D555&lt;(Supuestos!$E$7-Supuestos!$D$7)/(Supuestos!$F$7-Supuestos!$D$7),Supuestos!$D$7+SQRT(D555*(Supuestos!$F$7-Supuestos!$D$7)*(Supuestos!$E$7-Supuestos!$D$7)),Supuestos!$F$7-SQRT((1-D555)*(Supuestos!$F$7-Supuestos!$D$7)*(Supuestos!$F$7-Supuestos!$E$7))),IF(Supuestos!$C$7="Uniforme",Supuestos!$D$7+D555*(Supuestos!$E$7-Supuestos!$D$7),IF(Supuestos!$C$7="Lognormal",LOGINV(D555,LN(Supuestos!$D$7)-LN(1+Supuestos!$E$7^2/Supuestos!$D$7^2)/2,SQRT(LN(1+Supuestos!$E$7^2/Supuestos!$D$7^2))),Supuestos!$D$7))))))</f>
        <v/>
      </c>
      <c r="L555" s="32">
        <f>MIN(IF(Supuestos!$H$8="",1E+99,Supuestos!$H$8),MAX(IF(Supuestos!$G$8="",-1E+99,Supuestos!$G$8),IF(Supuestos!$C$8="Normal",NORMINV(E555,Supuestos!$D$8,Supuestos!$E$8),IF(Supuestos!$C$8="Triangular",IF(E555&lt;(Supuestos!$E$8-Supuestos!$D$8)/(Supuestos!$F$8-Supuestos!$D$8),Supuestos!$D$8+SQRT(E555*(Supuestos!$F$8-Supuestos!$D$8)*(Supuestos!$E$8-Supuestos!$D$8)),Supuestos!$F$8-SQRT((1-E555)*(Supuestos!$F$8-Supuestos!$D$8)*(Supuestos!$F$8-Supuestos!$E$8))),IF(Supuestos!$C$8="Uniforme",Supuestos!$D$8+E555*(Supuestos!$E$8-Supuestos!$D$8),IF(Supuestos!$C$8="Lognormal",LOGINV(E555,LN(Supuestos!$D$8)-LN(1+Supuestos!$E$8^2/Supuestos!$D$8^2)/2,SQRT(LN(1+Supuestos!$E$8^2/Supuestos!$D$8^2))),Supuestos!$D$8))))))</f>
        <v/>
      </c>
      <c r="M555" s="32">
        <f>MIN(IF(Supuestos!$H$9="",1E+99,Supuestos!$H$9),MAX(IF(Supuestos!$G$9="",-1E+99,Supuestos!$G$9),IF(Supuestos!$C$9="Normal",NORMINV(F555,Supuestos!$D$9,Supuestos!$E$9),IF(Supuestos!$C$9="Triangular",IF(F555&lt;(Supuestos!$E$9-Supuestos!$D$9)/(Supuestos!$F$9-Supuestos!$D$9),Supuestos!$D$9+SQRT(F555*(Supuestos!$F$9-Supuestos!$D$9)*(Supuestos!$E$9-Supuestos!$D$9)),Supuestos!$F$9-SQRT((1-F555)*(Supuestos!$F$9-Supuestos!$D$9)*(Supuestos!$F$9-Supuestos!$E$9))),IF(Supuestos!$C$9="Uniforme",Supuestos!$D$9+F555*(Supuestos!$E$9-Supuestos!$D$9),IF(Supuestos!$C$9="Lognormal",LOGINV(F555,LN(Supuestos!$D$9)-LN(1+Supuestos!$E$9^2/Supuestos!$D$9^2)/2,SQRT(LN(1+Supuestos!$E$9^2/Supuestos!$D$9^2))),Supuestos!$D$9))))))</f>
        <v/>
      </c>
      <c r="N555" s="32">
        <f>MIN(IF(Supuestos!$H$10="",1E+99,Supuestos!$H$10),MAX(IF(Supuestos!$G$10="",-1E+99,Supuestos!$G$10),IF(Supuestos!$C$10="Normal",NORMINV(G555,Supuestos!$D$10,Supuestos!$E$10),IF(Supuestos!$C$10="Triangular",IF(G555&lt;(Supuestos!$E$10-Supuestos!$D$10)/(Supuestos!$F$10-Supuestos!$D$10),Supuestos!$D$10+SQRT(G555*(Supuestos!$F$10-Supuestos!$D$10)*(Supuestos!$E$10-Supuestos!$D$10)),Supuestos!$F$10-SQRT((1-G555)*(Supuestos!$F$10-Supuestos!$D$10)*(Supuestos!$F$10-Supuestos!$E$10))),IF(Supuestos!$C$10="Uniforme",Supuestos!$D$10+G555*(Supuestos!$E$10-Supuestos!$D$10),IF(Supuestos!$C$10="Lognormal",LOGINV(G555,LN(Supuestos!$D$10)-LN(1+Supuestos!$E$10^2/Supuestos!$D$10^2)/2,SQRT(LN(1+Supuestos!$E$10^2/Supuestos!$D$10^2))),Supuestos!$D$10))))))</f>
        <v/>
      </c>
      <c r="O555" s="31">
        <f>MIN(IF(Supuestos!$H$11="",1E+99,Supuestos!$H$11),MAX(IF(Supuestos!$G$11="",-1E+99,Supuestos!$G$11),IF(Supuestos!$C$11="Normal",NORMINV(H555,Supuestos!$D$11,Supuestos!$E$11),IF(Supuestos!$C$11="Triangular",IF(H555&lt;(Supuestos!$E$11-Supuestos!$D$11)/(Supuestos!$F$11-Supuestos!$D$11),Supuestos!$D$11+SQRT(H555*(Supuestos!$F$11-Supuestos!$D$11)*(Supuestos!$E$11-Supuestos!$D$11)),Supuestos!$F$11-SQRT((1-H555)*(Supuestos!$F$11-Supuestos!$D$11)*(Supuestos!$F$11-Supuestos!$E$11))),IF(Supuestos!$C$11="Uniforme",Supuestos!$D$11+H555*(Supuestos!$E$11-Supuestos!$D$11),IF(Supuestos!$C$11="Lognormal",LOGINV(H555,LN(Supuestos!$D$11)-LN(1+Supuestos!$E$11^2/Supuestos!$D$11^2)/2,SQRT(LN(1+Supuestos!$E$11^2/Supuestos!$D$11^2))),Supuestos!$D$11))))))</f>
        <v/>
      </c>
      <c r="P555" s="33">
        <f>-I555</f>
        <v/>
      </c>
      <c r="Q555" s="33">
        <f>$J555*(1+$K555)^(1-1)*(1-$L555)*(1-$M555)</f>
        <v/>
      </c>
      <c r="R555" s="33">
        <f>$J555*(1+$K555)^(2-1)*(1-$L555)*(1-$M555)</f>
        <v/>
      </c>
      <c r="S555" s="33">
        <f>$J555*(1+$K555)^(3-1)*(1-$L555)*(1-$M555)</f>
        <v/>
      </c>
      <c r="T555" s="33">
        <f>$J555*(1+$K555)^(4-1)*(1-$L555)*(1-$M555)</f>
        <v/>
      </c>
      <c r="U555" s="33">
        <f>$J555*(1+$K555)^(5-1)*(1-$L555)*(1-$M555)+$O555</f>
        <v/>
      </c>
      <c r="V555" s="33">
        <f>P555+NPV($N555,Q555:U555)</f>
        <v/>
      </c>
      <c r="W555" s="32">
        <f>IFERROR(IRR(P555:U555,0.1),"")</f>
        <v/>
      </c>
    </row>
    <row r="556">
      <c r="A556" s="14" t="n">
        <v>552</v>
      </c>
      <c r="B556" s="30">
        <f>RAND()*(1-2E-6)+1E-6</f>
        <v/>
      </c>
      <c r="C556" s="30">
        <f>RAND()*(1-2E-6)+1E-6</f>
        <v/>
      </c>
      <c r="D556" s="30">
        <f>RAND()*(1-2E-6)+1E-6</f>
        <v/>
      </c>
      <c r="E556" s="30">
        <f>RAND()*(1-2E-6)+1E-6</f>
        <v/>
      </c>
      <c r="F556" s="30">
        <f>RAND()*(1-2E-6)+1E-6</f>
        <v/>
      </c>
      <c r="G556" s="30">
        <f>RAND()*(1-2E-6)+1E-6</f>
        <v/>
      </c>
      <c r="H556" s="30">
        <f>RAND()*(1-2E-6)+1E-6</f>
        <v/>
      </c>
      <c r="I556" s="31">
        <f>MIN(IF(Supuestos!$H$5="",1E+99,Supuestos!$H$5),MAX(IF(Supuestos!$G$5="",-1E+99,Supuestos!$G$5),IF(Supuestos!$C$5="Normal",NORMINV(B556,Supuestos!$D$5,Supuestos!$E$5),IF(Supuestos!$C$5="Triangular",IF(B556&lt;(Supuestos!$E$5-Supuestos!$D$5)/(Supuestos!$F$5-Supuestos!$D$5),Supuestos!$D$5+SQRT(B556*(Supuestos!$F$5-Supuestos!$D$5)*(Supuestos!$E$5-Supuestos!$D$5)),Supuestos!$F$5-SQRT((1-B556)*(Supuestos!$F$5-Supuestos!$D$5)*(Supuestos!$F$5-Supuestos!$E$5))),IF(Supuestos!$C$5="Uniforme",Supuestos!$D$5+B556*(Supuestos!$E$5-Supuestos!$D$5),IF(Supuestos!$C$5="Lognormal",LOGINV(B556,LN(Supuestos!$D$5)-LN(1+Supuestos!$E$5^2/Supuestos!$D$5^2)/2,SQRT(LN(1+Supuestos!$E$5^2/Supuestos!$D$5^2))),Supuestos!$D$5))))))</f>
        <v/>
      </c>
      <c r="J556" s="31">
        <f>MIN(IF(Supuestos!$H$6="",1E+99,Supuestos!$H$6),MAX(IF(Supuestos!$G$6="",-1E+99,Supuestos!$G$6),IF(Supuestos!$C$6="Normal",NORMINV(C556,Supuestos!$D$6,Supuestos!$E$6),IF(Supuestos!$C$6="Triangular",IF(C556&lt;(Supuestos!$E$6-Supuestos!$D$6)/(Supuestos!$F$6-Supuestos!$D$6),Supuestos!$D$6+SQRT(C556*(Supuestos!$F$6-Supuestos!$D$6)*(Supuestos!$E$6-Supuestos!$D$6)),Supuestos!$F$6-SQRT((1-C556)*(Supuestos!$F$6-Supuestos!$D$6)*(Supuestos!$F$6-Supuestos!$E$6))),IF(Supuestos!$C$6="Uniforme",Supuestos!$D$6+C556*(Supuestos!$E$6-Supuestos!$D$6),IF(Supuestos!$C$6="Lognormal",LOGINV(C556,LN(Supuestos!$D$6)-LN(1+Supuestos!$E$6^2/Supuestos!$D$6^2)/2,SQRT(LN(1+Supuestos!$E$6^2/Supuestos!$D$6^2))),Supuestos!$D$6))))))</f>
        <v/>
      </c>
      <c r="K556" s="32">
        <f>MIN(IF(Supuestos!$H$7="",1E+99,Supuestos!$H$7),MAX(IF(Supuestos!$G$7="",-1E+99,Supuestos!$G$7),IF(Supuestos!$C$7="Normal",NORMINV(D556,Supuestos!$D$7,Supuestos!$E$7),IF(Supuestos!$C$7="Triangular",IF(D556&lt;(Supuestos!$E$7-Supuestos!$D$7)/(Supuestos!$F$7-Supuestos!$D$7),Supuestos!$D$7+SQRT(D556*(Supuestos!$F$7-Supuestos!$D$7)*(Supuestos!$E$7-Supuestos!$D$7)),Supuestos!$F$7-SQRT((1-D556)*(Supuestos!$F$7-Supuestos!$D$7)*(Supuestos!$F$7-Supuestos!$E$7))),IF(Supuestos!$C$7="Uniforme",Supuestos!$D$7+D556*(Supuestos!$E$7-Supuestos!$D$7),IF(Supuestos!$C$7="Lognormal",LOGINV(D556,LN(Supuestos!$D$7)-LN(1+Supuestos!$E$7^2/Supuestos!$D$7^2)/2,SQRT(LN(1+Supuestos!$E$7^2/Supuestos!$D$7^2))),Supuestos!$D$7))))))</f>
        <v/>
      </c>
      <c r="L556" s="32">
        <f>MIN(IF(Supuestos!$H$8="",1E+99,Supuestos!$H$8),MAX(IF(Supuestos!$G$8="",-1E+99,Supuestos!$G$8),IF(Supuestos!$C$8="Normal",NORMINV(E556,Supuestos!$D$8,Supuestos!$E$8),IF(Supuestos!$C$8="Triangular",IF(E556&lt;(Supuestos!$E$8-Supuestos!$D$8)/(Supuestos!$F$8-Supuestos!$D$8),Supuestos!$D$8+SQRT(E556*(Supuestos!$F$8-Supuestos!$D$8)*(Supuestos!$E$8-Supuestos!$D$8)),Supuestos!$F$8-SQRT((1-E556)*(Supuestos!$F$8-Supuestos!$D$8)*(Supuestos!$F$8-Supuestos!$E$8))),IF(Supuestos!$C$8="Uniforme",Supuestos!$D$8+E556*(Supuestos!$E$8-Supuestos!$D$8),IF(Supuestos!$C$8="Lognormal",LOGINV(E556,LN(Supuestos!$D$8)-LN(1+Supuestos!$E$8^2/Supuestos!$D$8^2)/2,SQRT(LN(1+Supuestos!$E$8^2/Supuestos!$D$8^2))),Supuestos!$D$8))))))</f>
        <v/>
      </c>
      <c r="M556" s="32">
        <f>MIN(IF(Supuestos!$H$9="",1E+99,Supuestos!$H$9),MAX(IF(Supuestos!$G$9="",-1E+99,Supuestos!$G$9),IF(Supuestos!$C$9="Normal",NORMINV(F556,Supuestos!$D$9,Supuestos!$E$9),IF(Supuestos!$C$9="Triangular",IF(F556&lt;(Supuestos!$E$9-Supuestos!$D$9)/(Supuestos!$F$9-Supuestos!$D$9),Supuestos!$D$9+SQRT(F556*(Supuestos!$F$9-Supuestos!$D$9)*(Supuestos!$E$9-Supuestos!$D$9)),Supuestos!$F$9-SQRT((1-F556)*(Supuestos!$F$9-Supuestos!$D$9)*(Supuestos!$F$9-Supuestos!$E$9))),IF(Supuestos!$C$9="Uniforme",Supuestos!$D$9+F556*(Supuestos!$E$9-Supuestos!$D$9),IF(Supuestos!$C$9="Lognormal",LOGINV(F556,LN(Supuestos!$D$9)-LN(1+Supuestos!$E$9^2/Supuestos!$D$9^2)/2,SQRT(LN(1+Supuestos!$E$9^2/Supuestos!$D$9^2))),Supuestos!$D$9))))))</f>
        <v/>
      </c>
      <c r="N556" s="32">
        <f>MIN(IF(Supuestos!$H$10="",1E+99,Supuestos!$H$10),MAX(IF(Supuestos!$G$10="",-1E+99,Supuestos!$G$10),IF(Supuestos!$C$10="Normal",NORMINV(G556,Supuestos!$D$10,Supuestos!$E$10),IF(Supuestos!$C$10="Triangular",IF(G556&lt;(Supuestos!$E$10-Supuestos!$D$10)/(Supuestos!$F$10-Supuestos!$D$10),Supuestos!$D$10+SQRT(G556*(Supuestos!$F$10-Supuestos!$D$10)*(Supuestos!$E$10-Supuestos!$D$10)),Supuestos!$F$10-SQRT((1-G556)*(Supuestos!$F$10-Supuestos!$D$10)*(Supuestos!$F$10-Supuestos!$E$10))),IF(Supuestos!$C$10="Uniforme",Supuestos!$D$10+G556*(Supuestos!$E$10-Supuestos!$D$10),IF(Supuestos!$C$10="Lognormal",LOGINV(G556,LN(Supuestos!$D$10)-LN(1+Supuestos!$E$10^2/Supuestos!$D$10^2)/2,SQRT(LN(1+Supuestos!$E$10^2/Supuestos!$D$10^2))),Supuestos!$D$10))))))</f>
        <v/>
      </c>
      <c r="O556" s="31">
        <f>MIN(IF(Supuestos!$H$11="",1E+99,Supuestos!$H$11),MAX(IF(Supuestos!$G$11="",-1E+99,Supuestos!$G$11),IF(Supuestos!$C$11="Normal",NORMINV(H556,Supuestos!$D$11,Supuestos!$E$11),IF(Supuestos!$C$11="Triangular",IF(H556&lt;(Supuestos!$E$11-Supuestos!$D$11)/(Supuestos!$F$11-Supuestos!$D$11),Supuestos!$D$11+SQRT(H556*(Supuestos!$F$11-Supuestos!$D$11)*(Supuestos!$E$11-Supuestos!$D$11)),Supuestos!$F$11-SQRT((1-H556)*(Supuestos!$F$11-Supuestos!$D$11)*(Supuestos!$F$11-Supuestos!$E$11))),IF(Supuestos!$C$11="Uniforme",Supuestos!$D$11+H556*(Supuestos!$E$11-Supuestos!$D$11),IF(Supuestos!$C$11="Lognormal",LOGINV(H556,LN(Supuestos!$D$11)-LN(1+Supuestos!$E$11^2/Supuestos!$D$11^2)/2,SQRT(LN(1+Supuestos!$E$11^2/Supuestos!$D$11^2))),Supuestos!$D$11))))))</f>
        <v/>
      </c>
      <c r="P556" s="33">
        <f>-I556</f>
        <v/>
      </c>
      <c r="Q556" s="33">
        <f>$J556*(1+$K556)^(1-1)*(1-$L556)*(1-$M556)</f>
        <v/>
      </c>
      <c r="R556" s="33">
        <f>$J556*(1+$K556)^(2-1)*(1-$L556)*(1-$M556)</f>
        <v/>
      </c>
      <c r="S556" s="33">
        <f>$J556*(1+$K556)^(3-1)*(1-$L556)*(1-$M556)</f>
        <v/>
      </c>
      <c r="T556" s="33">
        <f>$J556*(1+$K556)^(4-1)*(1-$L556)*(1-$M556)</f>
        <v/>
      </c>
      <c r="U556" s="33">
        <f>$J556*(1+$K556)^(5-1)*(1-$L556)*(1-$M556)+$O556</f>
        <v/>
      </c>
      <c r="V556" s="33">
        <f>P556+NPV($N556,Q556:U556)</f>
        <v/>
      </c>
      <c r="W556" s="32">
        <f>IFERROR(IRR(P556:U556,0.1),"")</f>
        <v/>
      </c>
    </row>
    <row r="557">
      <c r="A557" s="14" t="n">
        <v>553</v>
      </c>
      <c r="B557" s="30">
        <f>RAND()*(1-2E-6)+1E-6</f>
        <v/>
      </c>
      <c r="C557" s="30">
        <f>RAND()*(1-2E-6)+1E-6</f>
        <v/>
      </c>
      <c r="D557" s="30">
        <f>RAND()*(1-2E-6)+1E-6</f>
        <v/>
      </c>
      <c r="E557" s="30">
        <f>RAND()*(1-2E-6)+1E-6</f>
        <v/>
      </c>
      <c r="F557" s="30">
        <f>RAND()*(1-2E-6)+1E-6</f>
        <v/>
      </c>
      <c r="G557" s="30">
        <f>RAND()*(1-2E-6)+1E-6</f>
        <v/>
      </c>
      <c r="H557" s="30">
        <f>RAND()*(1-2E-6)+1E-6</f>
        <v/>
      </c>
      <c r="I557" s="31">
        <f>MIN(IF(Supuestos!$H$5="",1E+99,Supuestos!$H$5),MAX(IF(Supuestos!$G$5="",-1E+99,Supuestos!$G$5),IF(Supuestos!$C$5="Normal",NORMINV(B557,Supuestos!$D$5,Supuestos!$E$5),IF(Supuestos!$C$5="Triangular",IF(B557&lt;(Supuestos!$E$5-Supuestos!$D$5)/(Supuestos!$F$5-Supuestos!$D$5),Supuestos!$D$5+SQRT(B557*(Supuestos!$F$5-Supuestos!$D$5)*(Supuestos!$E$5-Supuestos!$D$5)),Supuestos!$F$5-SQRT((1-B557)*(Supuestos!$F$5-Supuestos!$D$5)*(Supuestos!$F$5-Supuestos!$E$5))),IF(Supuestos!$C$5="Uniforme",Supuestos!$D$5+B557*(Supuestos!$E$5-Supuestos!$D$5),IF(Supuestos!$C$5="Lognormal",LOGINV(B557,LN(Supuestos!$D$5)-LN(1+Supuestos!$E$5^2/Supuestos!$D$5^2)/2,SQRT(LN(1+Supuestos!$E$5^2/Supuestos!$D$5^2))),Supuestos!$D$5))))))</f>
        <v/>
      </c>
      <c r="J557" s="31">
        <f>MIN(IF(Supuestos!$H$6="",1E+99,Supuestos!$H$6),MAX(IF(Supuestos!$G$6="",-1E+99,Supuestos!$G$6),IF(Supuestos!$C$6="Normal",NORMINV(C557,Supuestos!$D$6,Supuestos!$E$6),IF(Supuestos!$C$6="Triangular",IF(C557&lt;(Supuestos!$E$6-Supuestos!$D$6)/(Supuestos!$F$6-Supuestos!$D$6),Supuestos!$D$6+SQRT(C557*(Supuestos!$F$6-Supuestos!$D$6)*(Supuestos!$E$6-Supuestos!$D$6)),Supuestos!$F$6-SQRT((1-C557)*(Supuestos!$F$6-Supuestos!$D$6)*(Supuestos!$F$6-Supuestos!$E$6))),IF(Supuestos!$C$6="Uniforme",Supuestos!$D$6+C557*(Supuestos!$E$6-Supuestos!$D$6),IF(Supuestos!$C$6="Lognormal",LOGINV(C557,LN(Supuestos!$D$6)-LN(1+Supuestos!$E$6^2/Supuestos!$D$6^2)/2,SQRT(LN(1+Supuestos!$E$6^2/Supuestos!$D$6^2))),Supuestos!$D$6))))))</f>
        <v/>
      </c>
      <c r="K557" s="32">
        <f>MIN(IF(Supuestos!$H$7="",1E+99,Supuestos!$H$7),MAX(IF(Supuestos!$G$7="",-1E+99,Supuestos!$G$7),IF(Supuestos!$C$7="Normal",NORMINV(D557,Supuestos!$D$7,Supuestos!$E$7),IF(Supuestos!$C$7="Triangular",IF(D557&lt;(Supuestos!$E$7-Supuestos!$D$7)/(Supuestos!$F$7-Supuestos!$D$7),Supuestos!$D$7+SQRT(D557*(Supuestos!$F$7-Supuestos!$D$7)*(Supuestos!$E$7-Supuestos!$D$7)),Supuestos!$F$7-SQRT((1-D557)*(Supuestos!$F$7-Supuestos!$D$7)*(Supuestos!$F$7-Supuestos!$E$7))),IF(Supuestos!$C$7="Uniforme",Supuestos!$D$7+D557*(Supuestos!$E$7-Supuestos!$D$7),IF(Supuestos!$C$7="Lognormal",LOGINV(D557,LN(Supuestos!$D$7)-LN(1+Supuestos!$E$7^2/Supuestos!$D$7^2)/2,SQRT(LN(1+Supuestos!$E$7^2/Supuestos!$D$7^2))),Supuestos!$D$7))))))</f>
        <v/>
      </c>
      <c r="L557" s="32">
        <f>MIN(IF(Supuestos!$H$8="",1E+99,Supuestos!$H$8),MAX(IF(Supuestos!$G$8="",-1E+99,Supuestos!$G$8),IF(Supuestos!$C$8="Normal",NORMINV(E557,Supuestos!$D$8,Supuestos!$E$8),IF(Supuestos!$C$8="Triangular",IF(E557&lt;(Supuestos!$E$8-Supuestos!$D$8)/(Supuestos!$F$8-Supuestos!$D$8),Supuestos!$D$8+SQRT(E557*(Supuestos!$F$8-Supuestos!$D$8)*(Supuestos!$E$8-Supuestos!$D$8)),Supuestos!$F$8-SQRT((1-E557)*(Supuestos!$F$8-Supuestos!$D$8)*(Supuestos!$F$8-Supuestos!$E$8))),IF(Supuestos!$C$8="Uniforme",Supuestos!$D$8+E557*(Supuestos!$E$8-Supuestos!$D$8),IF(Supuestos!$C$8="Lognormal",LOGINV(E557,LN(Supuestos!$D$8)-LN(1+Supuestos!$E$8^2/Supuestos!$D$8^2)/2,SQRT(LN(1+Supuestos!$E$8^2/Supuestos!$D$8^2))),Supuestos!$D$8))))))</f>
        <v/>
      </c>
      <c r="M557" s="32">
        <f>MIN(IF(Supuestos!$H$9="",1E+99,Supuestos!$H$9),MAX(IF(Supuestos!$G$9="",-1E+99,Supuestos!$G$9),IF(Supuestos!$C$9="Normal",NORMINV(F557,Supuestos!$D$9,Supuestos!$E$9),IF(Supuestos!$C$9="Triangular",IF(F557&lt;(Supuestos!$E$9-Supuestos!$D$9)/(Supuestos!$F$9-Supuestos!$D$9),Supuestos!$D$9+SQRT(F557*(Supuestos!$F$9-Supuestos!$D$9)*(Supuestos!$E$9-Supuestos!$D$9)),Supuestos!$F$9-SQRT((1-F557)*(Supuestos!$F$9-Supuestos!$D$9)*(Supuestos!$F$9-Supuestos!$E$9))),IF(Supuestos!$C$9="Uniforme",Supuestos!$D$9+F557*(Supuestos!$E$9-Supuestos!$D$9),IF(Supuestos!$C$9="Lognormal",LOGINV(F557,LN(Supuestos!$D$9)-LN(1+Supuestos!$E$9^2/Supuestos!$D$9^2)/2,SQRT(LN(1+Supuestos!$E$9^2/Supuestos!$D$9^2))),Supuestos!$D$9))))))</f>
        <v/>
      </c>
      <c r="N557" s="32">
        <f>MIN(IF(Supuestos!$H$10="",1E+99,Supuestos!$H$10),MAX(IF(Supuestos!$G$10="",-1E+99,Supuestos!$G$10),IF(Supuestos!$C$10="Normal",NORMINV(G557,Supuestos!$D$10,Supuestos!$E$10),IF(Supuestos!$C$10="Triangular",IF(G557&lt;(Supuestos!$E$10-Supuestos!$D$10)/(Supuestos!$F$10-Supuestos!$D$10),Supuestos!$D$10+SQRT(G557*(Supuestos!$F$10-Supuestos!$D$10)*(Supuestos!$E$10-Supuestos!$D$10)),Supuestos!$F$10-SQRT((1-G557)*(Supuestos!$F$10-Supuestos!$D$10)*(Supuestos!$F$10-Supuestos!$E$10))),IF(Supuestos!$C$10="Uniforme",Supuestos!$D$10+G557*(Supuestos!$E$10-Supuestos!$D$10),IF(Supuestos!$C$10="Lognormal",LOGINV(G557,LN(Supuestos!$D$10)-LN(1+Supuestos!$E$10^2/Supuestos!$D$10^2)/2,SQRT(LN(1+Supuestos!$E$10^2/Supuestos!$D$10^2))),Supuestos!$D$10))))))</f>
        <v/>
      </c>
      <c r="O557" s="31">
        <f>MIN(IF(Supuestos!$H$11="",1E+99,Supuestos!$H$11),MAX(IF(Supuestos!$G$11="",-1E+99,Supuestos!$G$11),IF(Supuestos!$C$11="Normal",NORMINV(H557,Supuestos!$D$11,Supuestos!$E$11),IF(Supuestos!$C$11="Triangular",IF(H557&lt;(Supuestos!$E$11-Supuestos!$D$11)/(Supuestos!$F$11-Supuestos!$D$11),Supuestos!$D$11+SQRT(H557*(Supuestos!$F$11-Supuestos!$D$11)*(Supuestos!$E$11-Supuestos!$D$11)),Supuestos!$F$11-SQRT((1-H557)*(Supuestos!$F$11-Supuestos!$D$11)*(Supuestos!$F$11-Supuestos!$E$11))),IF(Supuestos!$C$11="Uniforme",Supuestos!$D$11+H557*(Supuestos!$E$11-Supuestos!$D$11),IF(Supuestos!$C$11="Lognormal",LOGINV(H557,LN(Supuestos!$D$11)-LN(1+Supuestos!$E$11^2/Supuestos!$D$11^2)/2,SQRT(LN(1+Supuestos!$E$11^2/Supuestos!$D$11^2))),Supuestos!$D$11))))))</f>
        <v/>
      </c>
      <c r="P557" s="33">
        <f>-I557</f>
        <v/>
      </c>
      <c r="Q557" s="33">
        <f>$J557*(1+$K557)^(1-1)*(1-$L557)*(1-$M557)</f>
        <v/>
      </c>
      <c r="R557" s="33">
        <f>$J557*(1+$K557)^(2-1)*(1-$L557)*(1-$M557)</f>
        <v/>
      </c>
      <c r="S557" s="33">
        <f>$J557*(1+$K557)^(3-1)*(1-$L557)*(1-$M557)</f>
        <v/>
      </c>
      <c r="T557" s="33">
        <f>$J557*(1+$K557)^(4-1)*(1-$L557)*(1-$M557)</f>
        <v/>
      </c>
      <c r="U557" s="33">
        <f>$J557*(1+$K557)^(5-1)*(1-$L557)*(1-$M557)+$O557</f>
        <v/>
      </c>
      <c r="V557" s="33">
        <f>P557+NPV($N557,Q557:U557)</f>
        <v/>
      </c>
      <c r="W557" s="32">
        <f>IFERROR(IRR(P557:U557,0.1),"")</f>
        <v/>
      </c>
    </row>
    <row r="558">
      <c r="A558" s="14" t="n">
        <v>554</v>
      </c>
      <c r="B558" s="30">
        <f>RAND()*(1-2E-6)+1E-6</f>
        <v/>
      </c>
      <c r="C558" s="30">
        <f>RAND()*(1-2E-6)+1E-6</f>
        <v/>
      </c>
      <c r="D558" s="30">
        <f>RAND()*(1-2E-6)+1E-6</f>
        <v/>
      </c>
      <c r="E558" s="30">
        <f>RAND()*(1-2E-6)+1E-6</f>
        <v/>
      </c>
      <c r="F558" s="30">
        <f>RAND()*(1-2E-6)+1E-6</f>
        <v/>
      </c>
      <c r="G558" s="30">
        <f>RAND()*(1-2E-6)+1E-6</f>
        <v/>
      </c>
      <c r="H558" s="30">
        <f>RAND()*(1-2E-6)+1E-6</f>
        <v/>
      </c>
      <c r="I558" s="31">
        <f>MIN(IF(Supuestos!$H$5="",1E+99,Supuestos!$H$5),MAX(IF(Supuestos!$G$5="",-1E+99,Supuestos!$G$5),IF(Supuestos!$C$5="Normal",NORMINV(B558,Supuestos!$D$5,Supuestos!$E$5),IF(Supuestos!$C$5="Triangular",IF(B558&lt;(Supuestos!$E$5-Supuestos!$D$5)/(Supuestos!$F$5-Supuestos!$D$5),Supuestos!$D$5+SQRT(B558*(Supuestos!$F$5-Supuestos!$D$5)*(Supuestos!$E$5-Supuestos!$D$5)),Supuestos!$F$5-SQRT((1-B558)*(Supuestos!$F$5-Supuestos!$D$5)*(Supuestos!$F$5-Supuestos!$E$5))),IF(Supuestos!$C$5="Uniforme",Supuestos!$D$5+B558*(Supuestos!$E$5-Supuestos!$D$5),IF(Supuestos!$C$5="Lognormal",LOGINV(B558,LN(Supuestos!$D$5)-LN(1+Supuestos!$E$5^2/Supuestos!$D$5^2)/2,SQRT(LN(1+Supuestos!$E$5^2/Supuestos!$D$5^2))),Supuestos!$D$5))))))</f>
        <v/>
      </c>
      <c r="J558" s="31">
        <f>MIN(IF(Supuestos!$H$6="",1E+99,Supuestos!$H$6),MAX(IF(Supuestos!$G$6="",-1E+99,Supuestos!$G$6),IF(Supuestos!$C$6="Normal",NORMINV(C558,Supuestos!$D$6,Supuestos!$E$6),IF(Supuestos!$C$6="Triangular",IF(C558&lt;(Supuestos!$E$6-Supuestos!$D$6)/(Supuestos!$F$6-Supuestos!$D$6),Supuestos!$D$6+SQRT(C558*(Supuestos!$F$6-Supuestos!$D$6)*(Supuestos!$E$6-Supuestos!$D$6)),Supuestos!$F$6-SQRT((1-C558)*(Supuestos!$F$6-Supuestos!$D$6)*(Supuestos!$F$6-Supuestos!$E$6))),IF(Supuestos!$C$6="Uniforme",Supuestos!$D$6+C558*(Supuestos!$E$6-Supuestos!$D$6),IF(Supuestos!$C$6="Lognormal",LOGINV(C558,LN(Supuestos!$D$6)-LN(1+Supuestos!$E$6^2/Supuestos!$D$6^2)/2,SQRT(LN(1+Supuestos!$E$6^2/Supuestos!$D$6^2))),Supuestos!$D$6))))))</f>
        <v/>
      </c>
      <c r="K558" s="32">
        <f>MIN(IF(Supuestos!$H$7="",1E+99,Supuestos!$H$7),MAX(IF(Supuestos!$G$7="",-1E+99,Supuestos!$G$7),IF(Supuestos!$C$7="Normal",NORMINV(D558,Supuestos!$D$7,Supuestos!$E$7),IF(Supuestos!$C$7="Triangular",IF(D558&lt;(Supuestos!$E$7-Supuestos!$D$7)/(Supuestos!$F$7-Supuestos!$D$7),Supuestos!$D$7+SQRT(D558*(Supuestos!$F$7-Supuestos!$D$7)*(Supuestos!$E$7-Supuestos!$D$7)),Supuestos!$F$7-SQRT((1-D558)*(Supuestos!$F$7-Supuestos!$D$7)*(Supuestos!$F$7-Supuestos!$E$7))),IF(Supuestos!$C$7="Uniforme",Supuestos!$D$7+D558*(Supuestos!$E$7-Supuestos!$D$7),IF(Supuestos!$C$7="Lognormal",LOGINV(D558,LN(Supuestos!$D$7)-LN(1+Supuestos!$E$7^2/Supuestos!$D$7^2)/2,SQRT(LN(1+Supuestos!$E$7^2/Supuestos!$D$7^2))),Supuestos!$D$7))))))</f>
        <v/>
      </c>
      <c r="L558" s="32">
        <f>MIN(IF(Supuestos!$H$8="",1E+99,Supuestos!$H$8),MAX(IF(Supuestos!$G$8="",-1E+99,Supuestos!$G$8),IF(Supuestos!$C$8="Normal",NORMINV(E558,Supuestos!$D$8,Supuestos!$E$8),IF(Supuestos!$C$8="Triangular",IF(E558&lt;(Supuestos!$E$8-Supuestos!$D$8)/(Supuestos!$F$8-Supuestos!$D$8),Supuestos!$D$8+SQRT(E558*(Supuestos!$F$8-Supuestos!$D$8)*(Supuestos!$E$8-Supuestos!$D$8)),Supuestos!$F$8-SQRT((1-E558)*(Supuestos!$F$8-Supuestos!$D$8)*(Supuestos!$F$8-Supuestos!$E$8))),IF(Supuestos!$C$8="Uniforme",Supuestos!$D$8+E558*(Supuestos!$E$8-Supuestos!$D$8),IF(Supuestos!$C$8="Lognormal",LOGINV(E558,LN(Supuestos!$D$8)-LN(1+Supuestos!$E$8^2/Supuestos!$D$8^2)/2,SQRT(LN(1+Supuestos!$E$8^2/Supuestos!$D$8^2))),Supuestos!$D$8))))))</f>
        <v/>
      </c>
      <c r="M558" s="32">
        <f>MIN(IF(Supuestos!$H$9="",1E+99,Supuestos!$H$9),MAX(IF(Supuestos!$G$9="",-1E+99,Supuestos!$G$9),IF(Supuestos!$C$9="Normal",NORMINV(F558,Supuestos!$D$9,Supuestos!$E$9),IF(Supuestos!$C$9="Triangular",IF(F558&lt;(Supuestos!$E$9-Supuestos!$D$9)/(Supuestos!$F$9-Supuestos!$D$9),Supuestos!$D$9+SQRT(F558*(Supuestos!$F$9-Supuestos!$D$9)*(Supuestos!$E$9-Supuestos!$D$9)),Supuestos!$F$9-SQRT((1-F558)*(Supuestos!$F$9-Supuestos!$D$9)*(Supuestos!$F$9-Supuestos!$E$9))),IF(Supuestos!$C$9="Uniforme",Supuestos!$D$9+F558*(Supuestos!$E$9-Supuestos!$D$9),IF(Supuestos!$C$9="Lognormal",LOGINV(F558,LN(Supuestos!$D$9)-LN(1+Supuestos!$E$9^2/Supuestos!$D$9^2)/2,SQRT(LN(1+Supuestos!$E$9^2/Supuestos!$D$9^2))),Supuestos!$D$9))))))</f>
        <v/>
      </c>
      <c r="N558" s="32">
        <f>MIN(IF(Supuestos!$H$10="",1E+99,Supuestos!$H$10),MAX(IF(Supuestos!$G$10="",-1E+99,Supuestos!$G$10),IF(Supuestos!$C$10="Normal",NORMINV(G558,Supuestos!$D$10,Supuestos!$E$10),IF(Supuestos!$C$10="Triangular",IF(G558&lt;(Supuestos!$E$10-Supuestos!$D$10)/(Supuestos!$F$10-Supuestos!$D$10),Supuestos!$D$10+SQRT(G558*(Supuestos!$F$10-Supuestos!$D$10)*(Supuestos!$E$10-Supuestos!$D$10)),Supuestos!$F$10-SQRT((1-G558)*(Supuestos!$F$10-Supuestos!$D$10)*(Supuestos!$F$10-Supuestos!$E$10))),IF(Supuestos!$C$10="Uniforme",Supuestos!$D$10+G558*(Supuestos!$E$10-Supuestos!$D$10),IF(Supuestos!$C$10="Lognormal",LOGINV(G558,LN(Supuestos!$D$10)-LN(1+Supuestos!$E$10^2/Supuestos!$D$10^2)/2,SQRT(LN(1+Supuestos!$E$10^2/Supuestos!$D$10^2))),Supuestos!$D$10))))))</f>
        <v/>
      </c>
      <c r="O558" s="31">
        <f>MIN(IF(Supuestos!$H$11="",1E+99,Supuestos!$H$11),MAX(IF(Supuestos!$G$11="",-1E+99,Supuestos!$G$11),IF(Supuestos!$C$11="Normal",NORMINV(H558,Supuestos!$D$11,Supuestos!$E$11),IF(Supuestos!$C$11="Triangular",IF(H558&lt;(Supuestos!$E$11-Supuestos!$D$11)/(Supuestos!$F$11-Supuestos!$D$11),Supuestos!$D$11+SQRT(H558*(Supuestos!$F$11-Supuestos!$D$11)*(Supuestos!$E$11-Supuestos!$D$11)),Supuestos!$F$11-SQRT((1-H558)*(Supuestos!$F$11-Supuestos!$D$11)*(Supuestos!$F$11-Supuestos!$E$11))),IF(Supuestos!$C$11="Uniforme",Supuestos!$D$11+H558*(Supuestos!$E$11-Supuestos!$D$11),IF(Supuestos!$C$11="Lognormal",LOGINV(H558,LN(Supuestos!$D$11)-LN(1+Supuestos!$E$11^2/Supuestos!$D$11^2)/2,SQRT(LN(1+Supuestos!$E$11^2/Supuestos!$D$11^2))),Supuestos!$D$11))))))</f>
        <v/>
      </c>
      <c r="P558" s="33">
        <f>-I558</f>
        <v/>
      </c>
      <c r="Q558" s="33">
        <f>$J558*(1+$K558)^(1-1)*(1-$L558)*(1-$M558)</f>
        <v/>
      </c>
      <c r="R558" s="33">
        <f>$J558*(1+$K558)^(2-1)*(1-$L558)*(1-$M558)</f>
        <v/>
      </c>
      <c r="S558" s="33">
        <f>$J558*(1+$K558)^(3-1)*(1-$L558)*(1-$M558)</f>
        <v/>
      </c>
      <c r="T558" s="33">
        <f>$J558*(1+$K558)^(4-1)*(1-$L558)*(1-$M558)</f>
        <v/>
      </c>
      <c r="U558" s="33">
        <f>$J558*(1+$K558)^(5-1)*(1-$L558)*(1-$M558)+$O558</f>
        <v/>
      </c>
      <c r="V558" s="33">
        <f>P558+NPV($N558,Q558:U558)</f>
        <v/>
      </c>
      <c r="W558" s="32">
        <f>IFERROR(IRR(P558:U558,0.1),"")</f>
        <v/>
      </c>
    </row>
    <row r="559">
      <c r="A559" s="14" t="n">
        <v>555</v>
      </c>
      <c r="B559" s="30">
        <f>RAND()*(1-2E-6)+1E-6</f>
        <v/>
      </c>
      <c r="C559" s="30">
        <f>RAND()*(1-2E-6)+1E-6</f>
        <v/>
      </c>
      <c r="D559" s="30">
        <f>RAND()*(1-2E-6)+1E-6</f>
        <v/>
      </c>
      <c r="E559" s="30">
        <f>RAND()*(1-2E-6)+1E-6</f>
        <v/>
      </c>
      <c r="F559" s="30">
        <f>RAND()*(1-2E-6)+1E-6</f>
        <v/>
      </c>
      <c r="G559" s="30">
        <f>RAND()*(1-2E-6)+1E-6</f>
        <v/>
      </c>
      <c r="H559" s="30">
        <f>RAND()*(1-2E-6)+1E-6</f>
        <v/>
      </c>
      <c r="I559" s="31">
        <f>MIN(IF(Supuestos!$H$5="",1E+99,Supuestos!$H$5),MAX(IF(Supuestos!$G$5="",-1E+99,Supuestos!$G$5),IF(Supuestos!$C$5="Normal",NORMINV(B559,Supuestos!$D$5,Supuestos!$E$5),IF(Supuestos!$C$5="Triangular",IF(B559&lt;(Supuestos!$E$5-Supuestos!$D$5)/(Supuestos!$F$5-Supuestos!$D$5),Supuestos!$D$5+SQRT(B559*(Supuestos!$F$5-Supuestos!$D$5)*(Supuestos!$E$5-Supuestos!$D$5)),Supuestos!$F$5-SQRT((1-B559)*(Supuestos!$F$5-Supuestos!$D$5)*(Supuestos!$F$5-Supuestos!$E$5))),IF(Supuestos!$C$5="Uniforme",Supuestos!$D$5+B559*(Supuestos!$E$5-Supuestos!$D$5),IF(Supuestos!$C$5="Lognormal",LOGINV(B559,LN(Supuestos!$D$5)-LN(1+Supuestos!$E$5^2/Supuestos!$D$5^2)/2,SQRT(LN(1+Supuestos!$E$5^2/Supuestos!$D$5^2))),Supuestos!$D$5))))))</f>
        <v/>
      </c>
      <c r="J559" s="31">
        <f>MIN(IF(Supuestos!$H$6="",1E+99,Supuestos!$H$6),MAX(IF(Supuestos!$G$6="",-1E+99,Supuestos!$G$6),IF(Supuestos!$C$6="Normal",NORMINV(C559,Supuestos!$D$6,Supuestos!$E$6),IF(Supuestos!$C$6="Triangular",IF(C559&lt;(Supuestos!$E$6-Supuestos!$D$6)/(Supuestos!$F$6-Supuestos!$D$6),Supuestos!$D$6+SQRT(C559*(Supuestos!$F$6-Supuestos!$D$6)*(Supuestos!$E$6-Supuestos!$D$6)),Supuestos!$F$6-SQRT((1-C559)*(Supuestos!$F$6-Supuestos!$D$6)*(Supuestos!$F$6-Supuestos!$E$6))),IF(Supuestos!$C$6="Uniforme",Supuestos!$D$6+C559*(Supuestos!$E$6-Supuestos!$D$6),IF(Supuestos!$C$6="Lognormal",LOGINV(C559,LN(Supuestos!$D$6)-LN(1+Supuestos!$E$6^2/Supuestos!$D$6^2)/2,SQRT(LN(1+Supuestos!$E$6^2/Supuestos!$D$6^2))),Supuestos!$D$6))))))</f>
        <v/>
      </c>
      <c r="K559" s="32">
        <f>MIN(IF(Supuestos!$H$7="",1E+99,Supuestos!$H$7),MAX(IF(Supuestos!$G$7="",-1E+99,Supuestos!$G$7),IF(Supuestos!$C$7="Normal",NORMINV(D559,Supuestos!$D$7,Supuestos!$E$7),IF(Supuestos!$C$7="Triangular",IF(D559&lt;(Supuestos!$E$7-Supuestos!$D$7)/(Supuestos!$F$7-Supuestos!$D$7),Supuestos!$D$7+SQRT(D559*(Supuestos!$F$7-Supuestos!$D$7)*(Supuestos!$E$7-Supuestos!$D$7)),Supuestos!$F$7-SQRT((1-D559)*(Supuestos!$F$7-Supuestos!$D$7)*(Supuestos!$F$7-Supuestos!$E$7))),IF(Supuestos!$C$7="Uniforme",Supuestos!$D$7+D559*(Supuestos!$E$7-Supuestos!$D$7),IF(Supuestos!$C$7="Lognormal",LOGINV(D559,LN(Supuestos!$D$7)-LN(1+Supuestos!$E$7^2/Supuestos!$D$7^2)/2,SQRT(LN(1+Supuestos!$E$7^2/Supuestos!$D$7^2))),Supuestos!$D$7))))))</f>
        <v/>
      </c>
      <c r="L559" s="32">
        <f>MIN(IF(Supuestos!$H$8="",1E+99,Supuestos!$H$8),MAX(IF(Supuestos!$G$8="",-1E+99,Supuestos!$G$8),IF(Supuestos!$C$8="Normal",NORMINV(E559,Supuestos!$D$8,Supuestos!$E$8),IF(Supuestos!$C$8="Triangular",IF(E559&lt;(Supuestos!$E$8-Supuestos!$D$8)/(Supuestos!$F$8-Supuestos!$D$8),Supuestos!$D$8+SQRT(E559*(Supuestos!$F$8-Supuestos!$D$8)*(Supuestos!$E$8-Supuestos!$D$8)),Supuestos!$F$8-SQRT((1-E559)*(Supuestos!$F$8-Supuestos!$D$8)*(Supuestos!$F$8-Supuestos!$E$8))),IF(Supuestos!$C$8="Uniforme",Supuestos!$D$8+E559*(Supuestos!$E$8-Supuestos!$D$8),IF(Supuestos!$C$8="Lognormal",LOGINV(E559,LN(Supuestos!$D$8)-LN(1+Supuestos!$E$8^2/Supuestos!$D$8^2)/2,SQRT(LN(1+Supuestos!$E$8^2/Supuestos!$D$8^2))),Supuestos!$D$8))))))</f>
        <v/>
      </c>
      <c r="M559" s="32">
        <f>MIN(IF(Supuestos!$H$9="",1E+99,Supuestos!$H$9),MAX(IF(Supuestos!$G$9="",-1E+99,Supuestos!$G$9),IF(Supuestos!$C$9="Normal",NORMINV(F559,Supuestos!$D$9,Supuestos!$E$9),IF(Supuestos!$C$9="Triangular",IF(F559&lt;(Supuestos!$E$9-Supuestos!$D$9)/(Supuestos!$F$9-Supuestos!$D$9),Supuestos!$D$9+SQRT(F559*(Supuestos!$F$9-Supuestos!$D$9)*(Supuestos!$E$9-Supuestos!$D$9)),Supuestos!$F$9-SQRT((1-F559)*(Supuestos!$F$9-Supuestos!$D$9)*(Supuestos!$F$9-Supuestos!$E$9))),IF(Supuestos!$C$9="Uniforme",Supuestos!$D$9+F559*(Supuestos!$E$9-Supuestos!$D$9),IF(Supuestos!$C$9="Lognormal",LOGINV(F559,LN(Supuestos!$D$9)-LN(1+Supuestos!$E$9^2/Supuestos!$D$9^2)/2,SQRT(LN(1+Supuestos!$E$9^2/Supuestos!$D$9^2))),Supuestos!$D$9))))))</f>
        <v/>
      </c>
      <c r="N559" s="32">
        <f>MIN(IF(Supuestos!$H$10="",1E+99,Supuestos!$H$10),MAX(IF(Supuestos!$G$10="",-1E+99,Supuestos!$G$10),IF(Supuestos!$C$10="Normal",NORMINV(G559,Supuestos!$D$10,Supuestos!$E$10),IF(Supuestos!$C$10="Triangular",IF(G559&lt;(Supuestos!$E$10-Supuestos!$D$10)/(Supuestos!$F$10-Supuestos!$D$10),Supuestos!$D$10+SQRT(G559*(Supuestos!$F$10-Supuestos!$D$10)*(Supuestos!$E$10-Supuestos!$D$10)),Supuestos!$F$10-SQRT((1-G559)*(Supuestos!$F$10-Supuestos!$D$10)*(Supuestos!$F$10-Supuestos!$E$10))),IF(Supuestos!$C$10="Uniforme",Supuestos!$D$10+G559*(Supuestos!$E$10-Supuestos!$D$10),IF(Supuestos!$C$10="Lognormal",LOGINV(G559,LN(Supuestos!$D$10)-LN(1+Supuestos!$E$10^2/Supuestos!$D$10^2)/2,SQRT(LN(1+Supuestos!$E$10^2/Supuestos!$D$10^2))),Supuestos!$D$10))))))</f>
        <v/>
      </c>
      <c r="O559" s="31">
        <f>MIN(IF(Supuestos!$H$11="",1E+99,Supuestos!$H$11),MAX(IF(Supuestos!$G$11="",-1E+99,Supuestos!$G$11),IF(Supuestos!$C$11="Normal",NORMINV(H559,Supuestos!$D$11,Supuestos!$E$11),IF(Supuestos!$C$11="Triangular",IF(H559&lt;(Supuestos!$E$11-Supuestos!$D$11)/(Supuestos!$F$11-Supuestos!$D$11),Supuestos!$D$11+SQRT(H559*(Supuestos!$F$11-Supuestos!$D$11)*(Supuestos!$E$11-Supuestos!$D$11)),Supuestos!$F$11-SQRT((1-H559)*(Supuestos!$F$11-Supuestos!$D$11)*(Supuestos!$F$11-Supuestos!$E$11))),IF(Supuestos!$C$11="Uniforme",Supuestos!$D$11+H559*(Supuestos!$E$11-Supuestos!$D$11),IF(Supuestos!$C$11="Lognormal",LOGINV(H559,LN(Supuestos!$D$11)-LN(1+Supuestos!$E$11^2/Supuestos!$D$11^2)/2,SQRT(LN(1+Supuestos!$E$11^2/Supuestos!$D$11^2))),Supuestos!$D$11))))))</f>
        <v/>
      </c>
      <c r="P559" s="33">
        <f>-I559</f>
        <v/>
      </c>
      <c r="Q559" s="33">
        <f>$J559*(1+$K559)^(1-1)*(1-$L559)*(1-$M559)</f>
        <v/>
      </c>
      <c r="R559" s="33">
        <f>$J559*(1+$K559)^(2-1)*(1-$L559)*(1-$M559)</f>
        <v/>
      </c>
      <c r="S559" s="33">
        <f>$J559*(1+$K559)^(3-1)*(1-$L559)*(1-$M559)</f>
        <v/>
      </c>
      <c r="T559" s="33">
        <f>$J559*(1+$K559)^(4-1)*(1-$L559)*(1-$M559)</f>
        <v/>
      </c>
      <c r="U559" s="33">
        <f>$J559*(1+$K559)^(5-1)*(1-$L559)*(1-$M559)+$O559</f>
        <v/>
      </c>
      <c r="V559" s="33">
        <f>P559+NPV($N559,Q559:U559)</f>
        <v/>
      </c>
      <c r="W559" s="32">
        <f>IFERROR(IRR(P559:U559,0.1),"")</f>
        <v/>
      </c>
    </row>
    <row r="560">
      <c r="A560" s="14" t="n">
        <v>556</v>
      </c>
      <c r="B560" s="30">
        <f>RAND()*(1-2E-6)+1E-6</f>
        <v/>
      </c>
      <c r="C560" s="30">
        <f>RAND()*(1-2E-6)+1E-6</f>
        <v/>
      </c>
      <c r="D560" s="30">
        <f>RAND()*(1-2E-6)+1E-6</f>
        <v/>
      </c>
      <c r="E560" s="30">
        <f>RAND()*(1-2E-6)+1E-6</f>
        <v/>
      </c>
      <c r="F560" s="30">
        <f>RAND()*(1-2E-6)+1E-6</f>
        <v/>
      </c>
      <c r="G560" s="30">
        <f>RAND()*(1-2E-6)+1E-6</f>
        <v/>
      </c>
      <c r="H560" s="30">
        <f>RAND()*(1-2E-6)+1E-6</f>
        <v/>
      </c>
      <c r="I560" s="31">
        <f>MIN(IF(Supuestos!$H$5="",1E+99,Supuestos!$H$5),MAX(IF(Supuestos!$G$5="",-1E+99,Supuestos!$G$5),IF(Supuestos!$C$5="Normal",NORMINV(B560,Supuestos!$D$5,Supuestos!$E$5),IF(Supuestos!$C$5="Triangular",IF(B560&lt;(Supuestos!$E$5-Supuestos!$D$5)/(Supuestos!$F$5-Supuestos!$D$5),Supuestos!$D$5+SQRT(B560*(Supuestos!$F$5-Supuestos!$D$5)*(Supuestos!$E$5-Supuestos!$D$5)),Supuestos!$F$5-SQRT((1-B560)*(Supuestos!$F$5-Supuestos!$D$5)*(Supuestos!$F$5-Supuestos!$E$5))),IF(Supuestos!$C$5="Uniforme",Supuestos!$D$5+B560*(Supuestos!$E$5-Supuestos!$D$5),IF(Supuestos!$C$5="Lognormal",LOGINV(B560,LN(Supuestos!$D$5)-LN(1+Supuestos!$E$5^2/Supuestos!$D$5^2)/2,SQRT(LN(1+Supuestos!$E$5^2/Supuestos!$D$5^2))),Supuestos!$D$5))))))</f>
        <v/>
      </c>
      <c r="J560" s="31">
        <f>MIN(IF(Supuestos!$H$6="",1E+99,Supuestos!$H$6),MAX(IF(Supuestos!$G$6="",-1E+99,Supuestos!$G$6),IF(Supuestos!$C$6="Normal",NORMINV(C560,Supuestos!$D$6,Supuestos!$E$6),IF(Supuestos!$C$6="Triangular",IF(C560&lt;(Supuestos!$E$6-Supuestos!$D$6)/(Supuestos!$F$6-Supuestos!$D$6),Supuestos!$D$6+SQRT(C560*(Supuestos!$F$6-Supuestos!$D$6)*(Supuestos!$E$6-Supuestos!$D$6)),Supuestos!$F$6-SQRT((1-C560)*(Supuestos!$F$6-Supuestos!$D$6)*(Supuestos!$F$6-Supuestos!$E$6))),IF(Supuestos!$C$6="Uniforme",Supuestos!$D$6+C560*(Supuestos!$E$6-Supuestos!$D$6),IF(Supuestos!$C$6="Lognormal",LOGINV(C560,LN(Supuestos!$D$6)-LN(1+Supuestos!$E$6^2/Supuestos!$D$6^2)/2,SQRT(LN(1+Supuestos!$E$6^2/Supuestos!$D$6^2))),Supuestos!$D$6))))))</f>
        <v/>
      </c>
      <c r="K560" s="32">
        <f>MIN(IF(Supuestos!$H$7="",1E+99,Supuestos!$H$7),MAX(IF(Supuestos!$G$7="",-1E+99,Supuestos!$G$7),IF(Supuestos!$C$7="Normal",NORMINV(D560,Supuestos!$D$7,Supuestos!$E$7),IF(Supuestos!$C$7="Triangular",IF(D560&lt;(Supuestos!$E$7-Supuestos!$D$7)/(Supuestos!$F$7-Supuestos!$D$7),Supuestos!$D$7+SQRT(D560*(Supuestos!$F$7-Supuestos!$D$7)*(Supuestos!$E$7-Supuestos!$D$7)),Supuestos!$F$7-SQRT((1-D560)*(Supuestos!$F$7-Supuestos!$D$7)*(Supuestos!$F$7-Supuestos!$E$7))),IF(Supuestos!$C$7="Uniforme",Supuestos!$D$7+D560*(Supuestos!$E$7-Supuestos!$D$7),IF(Supuestos!$C$7="Lognormal",LOGINV(D560,LN(Supuestos!$D$7)-LN(1+Supuestos!$E$7^2/Supuestos!$D$7^2)/2,SQRT(LN(1+Supuestos!$E$7^2/Supuestos!$D$7^2))),Supuestos!$D$7))))))</f>
        <v/>
      </c>
      <c r="L560" s="32">
        <f>MIN(IF(Supuestos!$H$8="",1E+99,Supuestos!$H$8),MAX(IF(Supuestos!$G$8="",-1E+99,Supuestos!$G$8),IF(Supuestos!$C$8="Normal",NORMINV(E560,Supuestos!$D$8,Supuestos!$E$8),IF(Supuestos!$C$8="Triangular",IF(E560&lt;(Supuestos!$E$8-Supuestos!$D$8)/(Supuestos!$F$8-Supuestos!$D$8),Supuestos!$D$8+SQRT(E560*(Supuestos!$F$8-Supuestos!$D$8)*(Supuestos!$E$8-Supuestos!$D$8)),Supuestos!$F$8-SQRT((1-E560)*(Supuestos!$F$8-Supuestos!$D$8)*(Supuestos!$F$8-Supuestos!$E$8))),IF(Supuestos!$C$8="Uniforme",Supuestos!$D$8+E560*(Supuestos!$E$8-Supuestos!$D$8),IF(Supuestos!$C$8="Lognormal",LOGINV(E560,LN(Supuestos!$D$8)-LN(1+Supuestos!$E$8^2/Supuestos!$D$8^2)/2,SQRT(LN(1+Supuestos!$E$8^2/Supuestos!$D$8^2))),Supuestos!$D$8))))))</f>
        <v/>
      </c>
      <c r="M560" s="32">
        <f>MIN(IF(Supuestos!$H$9="",1E+99,Supuestos!$H$9),MAX(IF(Supuestos!$G$9="",-1E+99,Supuestos!$G$9),IF(Supuestos!$C$9="Normal",NORMINV(F560,Supuestos!$D$9,Supuestos!$E$9),IF(Supuestos!$C$9="Triangular",IF(F560&lt;(Supuestos!$E$9-Supuestos!$D$9)/(Supuestos!$F$9-Supuestos!$D$9),Supuestos!$D$9+SQRT(F560*(Supuestos!$F$9-Supuestos!$D$9)*(Supuestos!$E$9-Supuestos!$D$9)),Supuestos!$F$9-SQRT((1-F560)*(Supuestos!$F$9-Supuestos!$D$9)*(Supuestos!$F$9-Supuestos!$E$9))),IF(Supuestos!$C$9="Uniforme",Supuestos!$D$9+F560*(Supuestos!$E$9-Supuestos!$D$9),IF(Supuestos!$C$9="Lognormal",LOGINV(F560,LN(Supuestos!$D$9)-LN(1+Supuestos!$E$9^2/Supuestos!$D$9^2)/2,SQRT(LN(1+Supuestos!$E$9^2/Supuestos!$D$9^2))),Supuestos!$D$9))))))</f>
        <v/>
      </c>
      <c r="N560" s="32">
        <f>MIN(IF(Supuestos!$H$10="",1E+99,Supuestos!$H$10),MAX(IF(Supuestos!$G$10="",-1E+99,Supuestos!$G$10),IF(Supuestos!$C$10="Normal",NORMINV(G560,Supuestos!$D$10,Supuestos!$E$10),IF(Supuestos!$C$10="Triangular",IF(G560&lt;(Supuestos!$E$10-Supuestos!$D$10)/(Supuestos!$F$10-Supuestos!$D$10),Supuestos!$D$10+SQRT(G560*(Supuestos!$F$10-Supuestos!$D$10)*(Supuestos!$E$10-Supuestos!$D$10)),Supuestos!$F$10-SQRT((1-G560)*(Supuestos!$F$10-Supuestos!$D$10)*(Supuestos!$F$10-Supuestos!$E$10))),IF(Supuestos!$C$10="Uniforme",Supuestos!$D$10+G560*(Supuestos!$E$10-Supuestos!$D$10),IF(Supuestos!$C$10="Lognormal",LOGINV(G560,LN(Supuestos!$D$10)-LN(1+Supuestos!$E$10^2/Supuestos!$D$10^2)/2,SQRT(LN(1+Supuestos!$E$10^2/Supuestos!$D$10^2))),Supuestos!$D$10))))))</f>
        <v/>
      </c>
      <c r="O560" s="31">
        <f>MIN(IF(Supuestos!$H$11="",1E+99,Supuestos!$H$11),MAX(IF(Supuestos!$G$11="",-1E+99,Supuestos!$G$11),IF(Supuestos!$C$11="Normal",NORMINV(H560,Supuestos!$D$11,Supuestos!$E$11),IF(Supuestos!$C$11="Triangular",IF(H560&lt;(Supuestos!$E$11-Supuestos!$D$11)/(Supuestos!$F$11-Supuestos!$D$11),Supuestos!$D$11+SQRT(H560*(Supuestos!$F$11-Supuestos!$D$11)*(Supuestos!$E$11-Supuestos!$D$11)),Supuestos!$F$11-SQRT((1-H560)*(Supuestos!$F$11-Supuestos!$D$11)*(Supuestos!$F$11-Supuestos!$E$11))),IF(Supuestos!$C$11="Uniforme",Supuestos!$D$11+H560*(Supuestos!$E$11-Supuestos!$D$11),IF(Supuestos!$C$11="Lognormal",LOGINV(H560,LN(Supuestos!$D$11)-LN(1+Supuestos!$E$11^2/Supuestos!$D$11^2)/2,SQRT(LN(1+Supuestos!$E$11^2/Supuestos!$D$11^2))),Supuestos!$D$11))))))</f>
        <v/>
      </c>
      <c r="P560" s="33">
        <f>-I560</f>
        <v/>
      </c>
      <c r="Q560" s="33">
        <f>$J560*(1+$K560)^(1-1)*(1-$L560)*(1-$M560)</f>
        <v/>
      </c>
      <c r="R560" s="33">
        <f>$J560*(1+$K560)^(2-1)*(1-$L560)*(1-$M560)</f>
        <v/>
      </c>
      <c r="S560" s="33">
        <f>$J560*(1+$K560)^(3-1)*(1-$L560)*(1-$M560)</f>
        <v/>
      </c>
      <c r="T560" s="33">
        <f>$J560*(1+$K560)^(4-1)*(1-$L560)*(1-$M560)</f>
        <v/>
      </c>
      <c r="U560" s="33">
        <f>$J560*(1+$K560)^(5-1)*(1-$L560)*(1-$M560)+$O560</f>
        <v/>
      </c>
      <c r="V560" s="33">
        <f>P560+NPV($N560,Q560:U560)</f>
        <v/>
      </c>
      <c r="W560" s="32">
        <f>IFERROR(IRR(P560:U560,0.1),"")</f>
        <v/>
      </c>
    </row>
    <row r="561">
      <c r="A561" s="14" t="n">
        <v>557</v>
      </c>
      <c r="B561" s="30">
        <f>RAND()*(1-2E-6)+1E-6</f>
        <v/>
      </c>
      <c r="C561" s="30">
        <f>RAND()*(1-2E-6)+1E-6</f>
        <v/>
      </c>
      <c r="D561" s="30">
        <f>RAND()*(1-2E-6)+1E-6</f>
        <v/>
      </c>
      <c r="E561" s="30">
        <f>RAND()*(1-2E-6)+1E-6</f>
        <v/>
      </c>
      <c r="F561" s="30">
        <f>RAND()*(1-2E-6)+1E-6</f>
        <v/>
      </c>
      <c r="G561" s="30">
        <f>RAND()*(1-2E-6)+1E-6</f>
        <v/>
      </c>
      <c r="H561" s="30">
        <f>RAND()*(1-2E-6)+1E-6</f>
        <v/>
      </c>
      <c r="I561" s="31">
        <f>MIN(IF(Supuestos!$H$5="",1E+99,Supuestos!$H$5),MAX(IF(Supuestos!$G$5="",-1E+99,Supuestos!$G$5),IF(Supuestos!$C$5="Normal",NORMINV(B561,Supuestos!$D$5,Supuestos!$E$5),IF(Supuestos!$C$5="Triangular",IF(B561&lt;(Supuestos!$E$5-Supuestos!$D$5)/(Supuestos!$F$5-Supuestos!$D$5),Supuestos!$D$5+SQRT(B561*(Supuestos!$F$5-Supuestos!$D$5)*(Supuestos!$E$5-Supuestos!$D$5)),Supuestos!$F$5-SQRT((1-B561)*(Supuestos!$F$5-Supuestos!$D$5)*(Supuestos!$F$5-Supuestos!$E$5))),IF(Supuestos!$C$5="Uniforme",Supuestos!$D$5+B561*(Supuestos!$E$5-Supuestos!$D$5),IF(Supuestos!$C$5="Lognormal",LOGINV(B561,LN(Supuestos!$D$5)-LN(1+Supuestos!$E$5^2/Supuestos!$D$5^2)/2,SQRT(LN(1+Supuestos!$E$5^2/Supuestos!$D$5^2))),Supuestos!$D$5))))))</f>
        <v/>
      </c>
      <c r="J561" s="31">
        <f>MIN(IF(Supuestos!$H$6="",1E+99,Supuestos!$H$6),MAX(IF(Supuestos!$G$6="",-1E+99,Supuestos!$G$6),IF(Supuestos!$C$6="Normal",NORMINV(C561,Supuestos!$D$6,Supuestos!$E$6),IF(Supuestos!$C$6="Triangular",IF(C561&lt;(Supuestos!$E$6-Supuestos!$D$6)/(Supuestos!$F$6-Supuestos!$D$6),Supuestos!$D$6+SQRT(C561*(Supuestos!$F$6-Supuestos!$D$6)*(Supuestos!$E$6-Supuestos!$D$6)),Supuestos!$F$6-SQRT((1-C561)*(Supuestos!$F$6-Supuestos!$D$6)*(Supuestos!$F$6-Supuestos!$E$6))),IF(Supuestos!$C$6="Uniforme",Supuestos!$D$6+C561*(Supuestos!$E$6-Supuestos!$D$6),IF(Supuestos!$C$6="Lognormal",LOGINV(C561,LN(Supuestos!$D$6)-LN(1+Supuestos!$E$6^2/Supuestos!$D$6^2)/2,SQRT(LN(1+Supuestos!$E$6^2/Supuestos!$D$6^2))),Supuestos!$D$6))))))</f>
        <v/>
      </c>
      <c r="K561" s="32">
        <f>MIN(IF(Supuestos!$H$7="",1E+99,Supuestos!$H$7),MAX(IF(Supuestos!$G$7="",-1E+99,Supuestos!$G$7),IF(Supuestos!$C$7="Normal",NORMINV(D561,Supuestos!$D$7,Supuestos!$E$7),IF(Supuestos!$C$7="Triangular",IF(D561&lt;(Supuestos!$E$7-Supuestos!$D$7)/(Supuestos!$F$7-Supuestos!$D$7),Supuestos!$D$7+SQRT(D561*(Supuestos!$F$7-Supuestos!$D$7)*(Supuestos!$E$7-Supuestos!$D$7)),Supuestos!$F$7-SQRT((1-D561)*(Supuestos!$F$7-Supuestos!$D$7)*(Supuestos!$F$7-Supuestos!$E$7))),IF(Supuestos!$C$7="Uniforme",Supuestos!$D$7+D561*(Supuestos!$E$7-Supuestos!$D$7),IF(Supuestos!$C$7="Lognormal",LOGINV(D561,LN(Supuestos!$D$7)-LN(1+Supuestos!$E$7^2/Supuestos!$D$7^2)/2,SQRT(LN(1+Supuestos!$E$7^2/Supuestos!$D$7^2))),Supuestos!$D$7))))))</f>
        <v/>
      </c>
      <c r="L561" s="32">
        <f>MIN(IF(Supuestos!$H$8="",1E+99,Supuestos!$H$8),MAX(IF(Supuestos!$G$8="",-1E+99,Supuestos!$G$8),IF(Supuestos!$C$8="Normal",NORMINV(E561,Supuestos!$D$8,Supuestos!$E$8),IF(Supuestos!$C$8="Triangular",IF(E561&lt;(Supuestos!$E$8-Supuestos!$D$8)/(Supuestos!$F$8-Supuestos!$D$8),Supuestos!$D$8+SQRT(E561*(Supuestos!$F$8-Supuestos!$D$8)*(Supuestos!$E$8-Supuestos!$D$8)),Supuestos!$F$8-SQRT((1-E561)*(Supuestos!$F$8-Supuestos!$D$8)*(Supuestos!$F$8-Supuestos!$E$8))),IF(Supuestos!$C$8="Uniforme",Supuestos!$D$8+E561*(Supuestos!$E$8-Supuestos!$D$8),IF(Supuestos!$C$8="Lognormal",LOGINV(E561,LN(Supuestos!$D$8)-LN(1+Supuestos!$E$8^2/Supuestos!$D$8^2)/2,SQRT(LN(1+Supuestos!$E$8^2/Supuestos!$D$8^2))),Supuestos!$D$8))))))</f>
        <v/>
      </c>
      <c r="M561" s="32">
        <f>MIN(IF(Supuestos!$H$9="",1E+99,Supuestos!$H$9),MAX(IF(Supuestos!$G$9="",-1E+99,Supuestos!$G$9),IF(Supuestos!$C$9="Normal",NORMINV(F561,Supuestos!$D$9,Supuestos!$E$9),IF(Supuestos!$C$9="Triangular",IF(F561&lt;(Supuestos!$E$9-Supuestos!$D$9)/(Supuestos!$F$9-Supuestos!$D$9),Supuestos!$D$9+SQRT(F561*(Supuestos!$F$9-Supuestos!$D$9)*(Supuestos!$E$9-Supuestos!$D$9)),Supuestos!$F$9-SQRT((1-F561)*(Supuestos!$F$9-Supuestos!$D$9)*(Supuestos!$F$9-Supuestos!$E$9))),IF(Supuestos!$C$9="Uniforme",Supuestos!$D$9+F561*(Supuestos!$E$9-Supuestos!$D$9),IF(Supuestos!$C$9="Lognormal",LOGINV(F561,LN(Supuestos!$D$9)-LN(1+Supuestos!$E$9^2/Supuestos!$D$9^2)/2,SQRT(LN(1+Supuestos!$E$9^2/Supuestos!$D$9^2))),Supuestos!$D$9))))))</f>
        <v/>
      </c>
      <c r="N561" s="32">
        <f>MIN(IF(Supuestos!$H$10="",1E+99,Supuestos!$H$10),MAX(IF(Supuestos!$G$10="",-1E+99,Supuestos!$G$10),IF(Supuestos!$C$10="Normal",NORMINV(G561,Supuestos!$D$10,Supuestos!$E$10),IF(Supuestos!$C$10="Triangular",IF(G561&lt;(Supuestos!$E$10-Supuestos!$D$10)/(Supuestos!$F$10-Supuestos!$D$10),Supuestos!$D$10+SQRT(G561*(Supuestos!$F$10-Supuestos!$D$10)*(Supuestos!$E$10-Supuestos!$D$10)),Supuestos!$F$10-SQRT((1-G561)*(Supuestos!$F$10-Supuestos!$D$10)*(Supuestos!$F$10-Supuestos!$E$10))),IF(Supuestos!$C$10="Uniforme",Supuestos!$D$10+G561*(Supuestos!$E$10-Supuestos!$D$10),IF(Supuestos!$C$10="Lognormal",LOGINV(G561,LN(Supuestos!$D$10)-LN(1+Supuestos!$E$10^2/Supuestos!$D$10^2)/2,SQRT(LN(1+Supuestos!$E$10^2/Supuestos!$D$10^2))),Supuestos!$D$10))))))</f>
        <v/>
      </c>
      <c r="O561" s="31">
        <f>MIN(IF(Supuestos!$H$11="",1E+99,Supuestos!$H$11),MAX(IF(Supuestos!$G$11="",-1E+99,Supuestos!$G$11),IF(Supuestos!$C$11="Normal",NORMINV(H561,Supuestos!$D$11,Supuestos!$E$11),IF(Supuestos!$C$11="Triangular",IF(H561&lt;(Supuestos!$E$11-Supuestos!$D$11)/(Supuestos!$F$11-Supuestos!$D$11),Supuestos!$D$11+SQRT(H561*(Supuestos!$F$11-Supuestos!$D$11)*(Supuestos!$E$11-Supuestos!$D$11)),Supuestos!$F$11-SQRT((1-H561)*(Supuestos!$F$11-Supuestos!$D$11)*(Supuestos!$F$11-Supuestos!$E$11))),IF(Supuestos!$C$11="Uniforme",Supuestos!$D$11+H561*(Supuestos!$E$11-Supuestos!$D$11),IF(Supuestos!$C$11="Lognormal",LOGINV(H561,LN(Supuestos!$D$11)-LN(1+Supuestos!$E$11^2/Supuestos!$D$11^2)/2,SQRT(LN(1+Supuestos!$E$11^2/Supuestos!$D$11^2))),Supuestos!$D$11))))))</f>
        <v/>
      </c>
      <c r="P561" s="33">
        <f>-I561</f>
        <v/>
      </c>
      <c r="Q561" s="33">
        <f>$J561*(1+$K561)^(1-1)*(1-$L561)*(1-$M561)</f>
        <v/>
      </c>
      <c r="R561" s="33">
        <f>$J561*(1+$K561)^(2-1)*(1-$L561)*(1-$M561)</f>
        <v/>
      </c>
      <c r="S561" s="33">
        <f>$J561*(1+$K561)^(3-1)*(1-$L561)*(1-$M561)</f>
        <v/>
      </c>
      <c r="T561" s="33">
        <f>$J561*(1+$K561)^(4-1)*(1-$L561)*(1-$M561)</f>
        <v/>
      </c>
      <c r="U561" s="33">
        <f>$J561*(1+$K561)^(5-1)*(1-$L561)*(1-$M561)+$O561</f>
        <v/>
      </c>
      <c r="V561" s="33">
        <f>P561+NPV($N561,Q561:U561)</f>
        <v/>
      </c>
      <c r="W561" s="32">
        <f>IFERROR(IRR(P561:U561,0.1),"")</f>
        <v/>
      </c>
    </row>
    <row r="562">
      <c r="A562" s="14" t="n">
        <v>558</v>
      </c>
      <c r="B562" s="30">
        <f>RAND()*(1-2E-6)+1E-6</f>
        <v/>
      </c>
      <c r="C562" s="30">
        <f>RAND()*(1-2E-6)+1E-6</f>
        <v/>
      </c>
      <c r="D562" s="30">
        <f>RAND()*(1-2E-6)+1E-6</f>
        <v/>
      </c>
      <c r="E562" s="30">
        <f>RAND()*(1-2E-6)+1E-6</f>
        <v/>
      </c>
      <c r="F562" s="30">
        <f>RAND()*(1-2E-6)+1E-6</f>
        <v/>
      </c>
      <c r="G562" s="30">
        <f>RAND()*(1-2E-6)+1E-6</f>
        <v/>
      </c>
      <c r="H562" s="30">
        <f>RAND()*(1-2E-6)+1E-6</f>
        <v/>
      </c>
      <c r="I562" s="31">
        <f>MIN(IF(Supuestos!$H$5="",1E+99,Supuestos!$H$5),MAX(IF(Supuestos!$G$5="",-1E+99,Supuestos!$G$5),IF(Supuestos!$C$5="Normal",NORMINV(B562,Supuestos!$D$5,Supuestos!$E$5),IF(Supuestos!$C$5="Triangular",IF(B562&lt;(Supuestos!$E$5-Supuestos!$D$5)/(Supuestos!$F$5-Supuestos!$D$5),Supuestos!$D$5+SQRT(B562*(Supuestos!$F$5-Supuestos!$D$5)*(Supuestos!$E$5-Supuestos!$D$5)),Supuestos!$F$5-SQRT((1-B562)*(Supuestos!$F$5-Supuestos!$D$5)*(Supuestos!$F$5-Supuestos!$E$5))),IF(Supuestos!$C$5="Uniforme",Supuestos!$D$5+B562*(Supuestos!$E$5-Supuestos!$D$5),IF(Supuestos!$C$5="Lognormal",LOGINV(B562,LN(Supuestos!$D$5)-LN(1+Supuestos!$E$5^2/Supuestos!$D$5^2)/2,SQRT(LN(1+Supuestos!$E$5^2/Supuestos!$D$5^2))),Supuestos!$D$5))))))</f>
        <v/>
      </c>
      <c r="J562" s="31">
        <f>MIN(IF(Supuestos!$H$6="",1E+99,Supuestos!$H$6),MAX(IF(Supuestos!$G$6="",-1E+99,Supuestos!$G$6),IF(Supuestos!$C$6="Normal",NORMINV(C562,Supuestos!$D$6,Supuestos!$E$6),IF(Supuestos!$C$6="Triangular",IF(C562&lt;(Supuestos!$E$6-Supuestos!$D$6)/(Supuestos!$F$6-Supuestos!$D$6),Supuestos!$D$6+SQRT(C562*(Supuestos!$F$6-Supuestos!$D$6)*(Supuestos!$E$6-Supuestos!$D$6)),Supuestos!$F$6-SQRT((1-C562)*(Supuestos!$F$6-Supuestos!$D$6)*(Supuestos!$F$6-Supuestos!$E$6))),IF(Supuestos!$C$6="Uniforme",Supuestos!$D$6+C562*(Supuestos!$E$6-Supuestos!$D$6),IF(Supuestos!$C$6="Lognormal",LOGINV(C562,LN(Supuestos!$D$6)-LN(1+Supuestos!$E$6^2/Supuestos!$D$6^2)/2,SQRT(LN(1+Supuestos!$E$6^2/Supuestos!$D$6^2))),Supuestos!$D$6))))))</f>
        <v/>
      </c>
      <c r="K562" s="32">
        <f>MIN(IF(Supuestos!$H$7="",1E+99,Supuestos!$H$7),MAX(IF(Supuestos!$G$7="",-1E+99,Supuestos!$G$7),IF(Supuestos!$C$7="Normal",NORMINV(D562,Supuestos!$D$7,Supuestos!$E$7),IF(Supuestos!$C$7="Triangular",IF(D562&lt;(Supuestos!$E$7-Supuestos!$D$7)/(Supuestos!$F$7-Supuestos!$D$7),Supuestos!$D$7+SQRT(D562*(Supuestos!$F$7-Supuestos!$D$7)*(Supuestos!$E$7-Supuestos!$D$7)),Supuestos!$F$7-SQRT((1-D562)*(Supuestos!$F$7-Supuestos!$D$7)*(Supuestos!$F$7-Supuestos!$E$7))),IF(Supuestos!$C$7="Uniforme",Supuestos!$D$7+D562*(Supuestos!$E$7-Supuestos!$D$7),IF(Supuestos!$C$7="Lognormal",LOGINV(D562,LN(Supuestos!$D$7)-LN(1+Supuestos!$E$7^2/Supuestos!$D$7^2)/2,SQRT(LN(1+Supuestos!$E$7^2/Supuestos!$D$7^2))),Supuestos!$D$7))))))</f>
        <v/>
      </c>
      <c r="L562" s="32">
        <f>MIN(IF(Supuestos!$H$8="",1E+99,Supuestos!$H$8),MAX(IF(Supuestos!$G$8="",-1E+99,Supuestos!$G$8),IF(Supuestos!$C$8="Normal",NORMINV(E562,Supuestos!$D$8,Supuestos!$E$8),IF(Supuestos!$C$8="Triangular",IF(E562&lt;(Supuestos!$E$8-Supuestos!$D$8)/(Supuestos!$F$8-Supuestos!$D$8),Supuestos!$D$8+SQRT(E562*(Supuestos!$F$8-Supuestos!$D$8)*(Supuestos!$E$8-Supuestos!$D$8)),Supuestos!$F$8-SQRT((1-E562)*(Supuestos!$F$8-Supuestos!$D$8)*(Supuestos!$F$8-Supuestos!$E$8))),IF(Supuestos!$C$8="Uniforme",Supuestos!$D$8+E562*(Supuestos!$E$8-Supuestos!$D$8),IF(Supuestos!$C$8="Lognormal",LOGINV(E562,LN(Supuestos!$D$8)-LN(1+Supuestos!$E$8^2/Supuestos!$D$8^2)/2,SQRT(LN(1+Supuestos!$E$8^2/Supuestos!$D$8^2))),Supuestos!$D$8))))))</f>
        <v/>
      </c>
      <c r="M562" s="32">
        <f>MIN(IF(Supuestos!$H$9="",1E+99,Supuestos!$H$9),MAX(IF(Supuestos!$G$9="",-1E+99,Supuestos!$G$9),IF(Supuestos!$C$9="Normal",NORMINV(F562,Supuestos!$D$9,Supuestos!$E$9),IF(Supuestos!$C$9="Triangular",IF(F562&lt;(Supuestos!$E$9-Supuestos!$D$9)/(Supuestos!$F$9-Supuestos!$D$9),Supuestos!$D$9+SQRT(F562*(Supuestos!$F$9-Supuestos!$D$9)*(Supuestos!$E$9-Supuestos!$D$9)),Supuestos!$F$9-SQRT((1-F562)*(Supuestos!$F$9-Supuestos!$D$9)*(Supuestos!$F$9-Supuestos!$E$9))),IF(Supuestos!$C$9="Uniforme",Supuestos!$D$9+F562*(Supuestos!$E$9-Supuestos!$D$9),IF(Supuestos!$C$9="Lognormal",LOGINV(F562,LN(Supuestos!$D$9)-LN(1+Supuestos!$E$9^2/Supuestos!$D$9^2)/2,SQRT(LN(1+Supuestos!$E$9^2/Supuestos!$D$9^2))),Supuestos!$D$9))))))</f>
        <v/>
      </c>
      <c r="N562" s="32">
        <f>MIN(IF(Supuestos!$H$10="",1E+99,Supuestos!$H$10),MAX(IF(Supuestos!$G$10="",-1E+99,Supuestos!$G$10),IF(Supuestos!$C$10="Normal",NORMINV(G562,Supuestos!$D$10,Supuestos!$E$10),IF(Supuestos!$C$10="Triangular",IF(G562&lt;(Supuestos!$E$10-Supuestos!$D$10)/(Supuestos!$F$10-Supuestos!$D$10),Supuestos!$D$10+SQRT(G562*(Supuestos!$F$10-Supuestos!$D$10)*(Supuestos!$E$10-Supuestos!$D$10)),Supuestos!$F$10-SQRT((1-G562)*(Supuestos!$F$10-Supuestos!$D$10)*(Supuestos!$F$10-Supuestos!$E$10))),IF(Supuestos!$C$10="Uniforme",Supuestos!$D$10+G562*(Supuestos!$E$10-Supuestos!$D$10),IF(Supuestos!$C$10="Lognormal",LOGINV(G562,LN(Supuestos!$D$10)-LN(1+Supuestos!$E$10^2/Supuestos!$D$10^2)/2,SQRT(LN(1+Supuestos!$E$10^2/Supuestos!$D$10^2))),Supuestos!$D$10))))))</f>
        <v/>
      </c>
      <c r="O562" s="31">
        <f>MIN(IF(Supuestos!$H$11="",1E+99,Supuestos!$H$11),MAX(IF(Supuestos!$G$11="",-1E+99,Supuestos!$G$11),IF(Supuestos!$C$11="Normal",NORMINV(H562,Supuestos!$D$11,Supuestos!$E$11),IF(Supuestos!$C$11="Triangular",IF(H562&lt;(Supuestos!$E$11-Supuestos!$D$11)/(Supuestos!$F$11-Supuestos!$D$11),Supuestos!$D$11+SQRT(H562*(Supuestos!$F$11-Supuestos!$D$11)*(Supuestos!$E$11-Supuestos!$D$11)),Supuestos!$F$11-SQRT((1-H562)*(Supuestos!$F$11-Supuestos!$D$11)*(Supuestos!$F$11-Supuestos!$E$11))),IF(Supuestos!$C$11="Uniforme",Supuestos!$D$11+H562*(Supuestos!$E$11-Supuestos!$D$11),IF(Supuestos!$C$11="Lognormal",LOGINV(H562,LN(Supuestos!$D$11)-LN(1+Supuestos!$E$11^2/Supuestos!$D$11^2)/2,SQRT(LN(1+Supuestos!$E$11^2/Supuestos!$D$11^2))),Supuestos!$D$11))))))</f>
        <v/>
      </c>
      <c r="P562" s="33">
        <f>-I562</f>
        <v/>
      </c>
      <c r="Q562" s="33">
        <f>$J562*(1+$K562)^(1-1)*(1-$L562)*(1-$M562)</f>
        <v/>
      </c>
      <c r="R562" s="33">
        <f>$J562*(1+$K562)^(2-1)*(1-$L562)*(1-$M562)</f>
        <v/>
      </c>
      <c r="S562" s="33">
        <f>$J562*(1+$K562)^(3-1)*(1-$L562)*(1-$M562)</f>
        <v/>
      </c>
      <c r="T562" s="33">
        <f>$J562*(1+$K562)^(4-1)*(1-$L562)*(1-$M562)</f>
        <v/>
      </c>
      <c r="U562" s="33">
        <f>$J562*(1+$K562)^(5-1)*(1-$L562)*(1-$M562)+$O562</f>
        <v/>
      </c>
      <c r="V562" s="33">
        <f>P562+NPV($N562,Q562:U562)</f>
        <v/>
      </c>
      <c r="W562" s="32">
        <f>IFERROR(IRR(P562:U562,0.1),"")</f>
        <v/>
      </c>
    </row>
    <row r="563">
      <c r="A563" s="14" t="n">
        <v>559</v>
      </c>
      <c r="B563" s="30">
        <f>RAND()*(1-2E-6)+1E-6</f>
        <v/>
      </c>
      <c r="C563" s="30">
        <f>RAND()*(1-2E-6)+1E-6</f>
        <v/>
      </c>
      <c r="D563" s="30">
        <f>RAND()*(1-2E-6)+1E-6</f>
        <v/>
      </c>
      <c r="E563" s="30">
        <f>RAND()*(1-2E-6)+1E-6</f>
        <v/>
      </c>
      <c r="F563" s="30">
        <f>RAND()*(1-2E-6)+1E-6</f>
        <v/>
      </c>
      <c r="G563" s="30">
        <f>RAND()*(1-2E-6)+1E-6</f>
        <v/>
      </c>
      <c r="H563" s="30">
        <f>RAND()*(1-2E-6)+1E-6</f>
        <v/>
      </c>
      <c r="I563" s="31">
        <f>MIN(IF(Supuestos!$H$5="",1E+99,Supuestos!$H$5),MAX(IF(Supuestos!$G$5="",-1E+99,Supuestos!$G$5),IF(Supuestos!$C$5="Normal",NORMINV(B563,Supuestos!$D$5,Supuestos!$E$5),IF(Supuestos!$C$5="Triangular",IF(B563&lt;(Supuestos!$E$5-Supuestos!$D$5)/(Supuestos!$F$5-Supuestos!$D$5),Supuestos!$D$5+SQRT(B563*(Supuestos!$F$5-Supuestos!$D$5)*(Supuestos!$E$5-Supuestos!$D$5)),Supuestos!$F$5-SQRT((1-B563)*(Supuestos!$F$5-Supuestos!$D$5)*(Supuestos!$F$5-Supuestos!$E$5))),IF(Supuestos!$C$5="Uniforme",Supuestos!$D$5+B563*(Supuestos!$E$5-Supuestos!$D$5),IF(Supuestos!$C$5="Lognormal",LOGINV(B563,LN(Supuestos!$D$5)-LN(1+Supuestos!$E$5^2/Supuestos!$D$5^2)/2,SQRT(LN(1+Supuestos!$E$5^2/Supuestos!$D$5^2))),Supuestos!$D$5))))))</f>
        <v/>
      </c>
      <c r="J563" s="31">
        <f>MIN(IF(Supuestos!$H$6="",1E+99,Supuestos!$H$6),MAX(IF(Supuestos!$G$6="",-1E+99,Supuestos!$G$6),IF(Supuestos!$C$6="Normal",NORMINV(C563,Supuestos!$D$6,Supuestos!$E$6),IF(Supuestos!$C$6="Triangular",IF(C563&lt;(Supuestos!$E$6-Supuestos!$D$6)/(Supuestos!$F$6-Supuestos!$D$6),Supuestos!$D$6+SQRT(C563*(Supuestos!$F$6-Supuestos!$D$6)*(Supuestos!$E$6-Supuestos!$D$6)),Supuestos!$F$6-SQRT((1-C563)*(Supuestos!$F$6-Supuestos!$D$6)*(Supuestos!$F$6-Supuestos!$E$6))),IF(Supuestos!$C$6="Uniforme",Supuestos!$D$6+C563*(Supuestos!$E$6-Supuestos!$D$6),IF(Supuestos!$C$6="Lognormal",LOGINV(C563,LN(Supuestos!$D$6)-LN(1+Supuestos!$E$6^2/Supuestos!$D$6^2)/2,SQRT(LN(1+Supuestos!$E$6^2/Supuestos!$D$6^2))),Supuestos!$D$6))))))</f>
        <v/>
      </c>
      <c r="K563" s="32">
        <f>MIN(IF(Supuestos!$H$7="",1E+99,Supuestos!$H$7),MAX(IF(Supuestos!$G$7="",-1E+99,Supuestos!$G$7),IF(Supuestos!$C$7="Normal",NORMINV(D563,Supuestos!$D$7,Supuestos!$E$7),IF(Supuestos!$C$7="Triangular",IF(D563&lt;(Supuestos!$E$7-Supuestos!$D$7)/(Supuestos!$F$7-Supuestos!$D$7),Supuestos!$D$7+SQRT(D563*(Supuestos!$F$7-Supuestos!$D$7)*(Supuestos!$E$7-Supuestos!$D$7)),Supuestos!$F$7-SQRT((1-D563)*(Supuestos!$F$7-Supuestos!$D$7)*(Supuestos!$F$7-Supuestos!$E$7))),IF(Supuestos!$C$7="Uniforme",Supuestos!$D$7+D563*(Supuestos!$E$7-Supuestos!$D$7),IF(Supuestos!$C$7="Lognormal",LOGINV(D563,LN(Supuestos!$D$7)-LN(1+Supuestos!$E$7^2/Supuestos!$D$7^2)/2,SQRT(LN(1+Supuestos!$E$7^2/Supuestos!$D$7^2))),Supuestos!$D$7))))))</f>
        <v/>
      </c>
      <c r="L563" s="32">
        <f>MIN(IF(Supuestos!$H$8="",1E+99,Supuestos!$H$8),MAX(IF(Supuestos!$G$8="",-1E+99,Supuestos!$G$8),IF(Supuestos!$C$8="Normal",NORMINV(E563,Supuestos!$D$8,Supuestos!$E$8),IF(Supuestos!$C$8="Triangular",IF(E563&lt;(Supuestos!$E$8-Supuestos!$D$8)/(Supuestos!$F$8-Supuestos!$D$8),Supuestos!$D$8+SQRT(E563*(Supuestos!$F$8-Supuestos!$D$8)*(Supuestos!$E$8-Supuestos!$D$8)),Supuestos!$F$8-SQRT((1-E563)*(Supuestos!$F$8-Supuestos!$D$8)*(Supuestos!$F$8-Supuestos!$E$8))),IF(Supuestos!$C$8="Uniforme",Supuestos!$D$8+E563*(Supuestos!$E$8-Supuestos!$D$8),IF(Supuestos!$C$8="Lognormal",LOGINV(E563,LN(Supuestos!$D$8)-LN(1+Supuestos!$E$8^2/Supuestos!$D$8^2)/2,SQRT(LN(1+Supuestos!$E$8^2/Supuestos!$D$8^2))),Supuestos!$D$8))))))</f>
        <v/>
      </c>
      <c r="M563" s="32">
        <f>MIN(IF(Supuestos!$H$9="",1E+99,Supuestos!$H$9),MAX(IF(Supuestos!$G$9="",-1E+99,Supuestos!$G$9),IF(Supuestos!$C$9="Normal",NORMINV(F563,Supuestos!$D$9,Supuestos!$E$9),IF(Supuestos!$C$9="Triangular",IF(F563&lt;(Supuestos!$E$9-Supuestos!$D$9)/(Supuestos!$F$9-Supuestos!$D$9),Supuestos!$D$9+SQRT(F563*(Supuestos!$F$9-Supuestos!$D$9)*(Supuestos!$E$9-Supuestos!$D$9)),Supuestos!$F$9-SQRT((1-F563)*(Supuestos!$F$9-Supuestos!$D$9)*(Supuestos!$F$9-Supuestos!$E$9))),IF(Supuestos!$C$9="Uniforme",Supuestos!$D$9+F563*(Supuestos!$E$9-Supuestos!$D$9),IF(Supuestos!$C$9="Lognormal",LOGINV(F563,LN(Supuestos!$D$9)-LN(1+Supuestos!$E$9^2/Supuestos!$D$9^2)/2,SQRT(LN(1+Supuestos!$E$9^2/Supuestos!$D$9^2))),Supuestos!$D$9))))))</f>
        <v/>
      </c>
      <c r="N563" s="32">
        <f>MIN(IF(Supuestos!$H$10="",1E+99,Supuestos!$H$10),MAX(IF(Supuestos!$G$10="",-1E+99,Supuestos!$G$10),IF(Supuestos!$C$10="Normal",NORMINV(G563,Supuestos!$D$10,Supuestos!$E$10),IF(Supuestos!$C$10="Triangular",IF(G563&lt;(Supuestos!$E$10-Supuestos!$D$10)/(Supuestos!$F$10-Supuestos!$D$10),Supuestos!$D$10+SQRT(G563*(Supuestos!$F$10-Supuestos!$D$10)*(Supuestos!$E$10-Supuestos!$D$10)),Supuestos!$F$10-SQRT((1-G563)*(Supuestos!$F$10-Supuestos!$D$10)*(Supuestos!$F$10-Supuestos!$E$10))),IF(Supuestos!$C$10="Uniforme",Supuestos!$D$10+G563*(Supuestos!$E$10-Supuestos!$D$10),IF(Supuestos!$C$10="Lognormal",LOGINV(G563,LN(Supuestos!$D$10)-LN(1+Supuestos!$E$10^2/Supuestos!$D$10^2)/2,SQRT(LN(1+Supuestos!$E$10^2/Supuestos!$D$10^2))),Supuestos!$D$10))))))</f>
        <v/>
      </c>
      <c r="O563" s="31">
        <f>MIN(IF(Supuestos!$H$11="",1E+99,Supuestos!$H$11),MAX(IF(Supuestos!$G$11="",-1E+99,Supuestos!$G$11),IF(Supuestos!$C$11="Normal",NORMINV(H563,Supuestos!$D$11,Supuestos!$E$11),IF(Supuestos!$C$11="Triangular",IF(H563&lt;(Supuestos!$E$11-Supuestos!$D$11)/(Supuestos!$F$11-Supuestos!$D$11),Supuestos!$D$11+SQRT(H563*(Supuestos!$F$11-Supuestos!$D$11)*(Supuestos!$E$11-Supuestos!$D$11)),Supuestos!$F$11-SQRT((1-H563)*(Supuestos!$F$11-Supuestos!$D$11)*(Supuestos!$F$11-Supuestos!$E$11))),IF(Supuestos!$C$11="Uniforme",Supuestos!$D$11+H563*(Supuestos!$E$11-Supuestos!$D$11),IF(Supuestos!$C$11="Lognormal",LOGINV(H563,LN(Supuestos!$D$11)-LN(1+Supuestos!$E$11^2/Supuestos!$D$11^2)/2,SQRT(LN(1+Supuestos!$E$11^2/Supuestos!$D$11^2))),Supuestos!$D$11))))))</f>
        <v/>
      </c>
      <c r="P563" s="33">
        <f>-I563</f>
        <v/>
      </c>
      <c r="Q563" s="33">
        <f>$J563*(1+$K563)^(1-1)*(1-$L563)*(1-$M563)</f>
        <v/>
      </c>
      <c r="R563" s="33">
        <f>$J563*(1+$K563)^(2-1)*(1-$L563)*(1-$M563)</f>
        <v/>
      </c>
      <c r="S563" s="33">
        <f>$J563*(1+$K563)^(3-1)*(1-$L563)*(1-$M563)</f>
        <v/>
      </c>
      <c r="T563" s="33">
        <f>$J563*(1+$K563)^(4-1)*(1-$L563)*(1-$M563)</f>
        <v/>
      </c>
      <c r="U563" s="33">
        <f>$J563*(1+$K563)^(5-1)*(1-$L563)*(1-$M563)+$O563</f>
        <v/>
      </c>
      <c r="V563" s="33">
        <f>P563+NPV($N563,Q563:U563)</f>
        <v/>
      </c>
      <c r="W563" s="32">
        <f>IFERROR(IRR(P563:U563,0.1),"")</f>
        <v/>
      </c>
    </row>
    <row r="564">
      <c r="A564" s="14" t="n">
        <v>560</v>
      </c>
      <c r="B564" s="30">
        <f>RAND()*(1-2E-6)+1E-6</f>
        <v/>
      </c>
      <c r="C564" s="30">
        <f>RAND()*(1-2E-6)+1E-6</f>
        <v/>
      </c>
      <c r="D564" s="30">
        <f>RAND()*(1-2E-6)+1E-6</f>
        <v/>
      </c>
      <c r="E564" s="30">
        <f>RAND()*(1-2E-6)+1E-6</f>
        <v/>
      </c>
      <c r="F564" s="30">
        <f>RAND()*(1-2E-6)+1E-6</f>
        <v/>
      </c>
      <c r="G564" s="30">
        <f>RAND()*(1-2E-6)+1E-6</f>
        <v/>
      </c>
      <c r="H564" s="30">
        <f>RAND()*(1-2E-6)+1E-6</f>
        <v/>
      </c>
      <c r="I564" s="31">
        <f>MIN(IF(Supuestos!$H$5="",1E+99,Supuestos!$H$5),MAX(IF(Supuestos!$G$5="",-1E+99,Supuestos!$G$5),IF(Supuestos!$C$5="Normal",NORMINV(B564,Supuestos!$D$5,Supuestos!$E$5),IF(Supuestos!$C$5="Triangular",IF(B564&lt;(Supuestos!$E$5-Supuestos!$D$5)/(Supuestos!$F$5-Supuestos!$D$5),Supuestos!$D$5+SQRT(B564*(Supuestos!$F$5-Supuestos!$D$5)*(Supuestos!$E$5-Supuestos!$D$5)),Supuestos!$F$5-SQRT((1-B564)*(Supuestos!$F$5-Supuestos!$D$5)*(Supuestos!$F$5-Supuestos!$E$5))),IF(Supuestos!$C$5="Uniforme",Supuestos!$D$5+B564*(Supuestos!$E$5-Supuestos!$D$5),IF(Supuestos!$C$5="Lognormal",LOGINV(B564,LN(Supuestos!$D$5)-LN(1+Supuestos!$E$5^2/Supuestos!$D$5^2)/2,SQRT(LN(1+Supuestos!$E$5^2/Supuestos!$D$5^2))),Supuestos!$D$5))))))</f>
        <v/>
      </c>
      <c r="J564" s="31">
        <f>MIN(IF(Supuestos!$H$6="",1E+99,Supuestos!$H$6),MAX(IF(Supuestos!$G$6="",-1E+99,Supuestos!$G$6),IF(Supuestos!$C$6="Normal",NORMINV(C564,Supuestos!$D$6,Supuestos!$E$6),IF(Supuestos!$C$6="Triangular",IF(C564&lt;(Supuestos!$E$6-Supuestos!$D$6)/(Supuestos!$F$6-Supuestos!$D$6),Supuestos!$D$6+SQRT(C564*(Supuestos!$F$6-Supuestos!$D$6)*(Supuestos!$E$6-Supuestos!$D$6)),Supuestos!$F$6-SQRT((1-C564)*(Supuestos!$F$6-Supuestos!$D$6)*(Supuestos!$F$6-Supuestos!$E$6))),IF(Supuestos!$C$6="Uniforme",Supuestos!$D$6+C564*(Supuestos!$E$6-Supuestos!$D$6),IF(Supuestos!$C$6="Lognormal",LOGINV(C564,LN(Supuestos!$D$6)-LN(1+Supuestos!$E$6^2/Supuestos!$D$6^2)/2,SQRT(LN(1+Supuestos!$E$6^2/Supuestos!$D$6^2))),Supuestos!$D$6))))))</f>
        <v/>
      </c>
      <c r="K564" s="32">
        <f>MIN(IF(Supuestos!$H$7="",1E+99,Supuestos!$H$7),MAX(IF(Supuestos!$G$7="",-1E+99,Supuestos!$G$7),IF(Supuestos!$C$7="Normal",NORMINV(D564,Supuestos!$D$7,Supuestos!$E$7),IF(Supuestos!$C$7="Triangular",IF(D564&lt;(Supuestos!$E$7-Supuestos!$D$7)/(Supuestos!$F$7-Supuestos!$D$7),Supuestos!$D$7+SQRT(D564*(Supuestos!$F$7-Supuestos!$D$7)*(Supuestos!$E$7-Supuestos!$D$7)),Supuestos!$F$7-SQRT((1-D564)*(Supuestos!$F$7-Supuestos!$D$7)*(Supuestos!$F$7-Supuestos!$E$7))),IF(Supuestos!$C$7="Uniforme",Supuestos!$D$7+D564*(Supuestos!$E$7-Supuestos!$D$7),IF(Supuestos!$C$7="Lognormal",LOGINV(D564,LN(Supuestos!$D$7)-LN(1+Supuestos!$E$7^2/Supuestos!$D$7^2)/2,SQRT(LN(1+Supuestos!$E$7^2/Supuestos!$D$7^2))),Supuestos!$D$7))))))</f>
        <v/>
      </c>
      <c r="L564" s="32">
        <f>MIN(IF(Supuestos!$H$8="",1E+99,Supuestos!$H$8),MAX(IF(Supuestos!$G$8="",-1E+99,Supuestos!$G$8),IF(Supuestos!$C$8="Normal",NORMINV(E564,Supuestos!$D$8,Supuestos!$E$8),IF(Supuestos!$C$8="Triangular",IF(E564&lt;(Supuestos!$E$8-Supuestos!$D$8)/(Supuestos!$F$8-Supuestos!$D$8),Supuestos!$D$8+SQRT(E564*(Supuestos!$F$8-Supuestos!$D$8)*(Supuestos!$E$8-Supuestos!$D$8)),Supuestos!$F$8-SQRT((1-E564)*(Supuestos!$F$8-Supuestos!$D$8)*(Supuestos!$F$8-Supuestos!$E$8))),IF(Supuestos!$C$8="Uniforme",Supuestos!$D$8+E564*(Supuestos!$E$8-Supuestos!$D$8),IF(Supuestos!$C$8="Lognormal",LOGINV(E564,LN(Supuestos!$D$8)-LN(1+Supuestos!$E$8^2/Supuestos!$D$8^2)/2,SQRT(LN(1+Supuestos!$E$8^2/Supuestos!$D$8^2))),Supuestos!$D$8))))))</f>
        <v/>
      </c>
      <c r="M564" s="32">
        <f>MIN(IF(Supuestos!$H$9="",1E+99,Supuestos!$H$9),MAX(IF(Supuestos!$G$9="",-1E+99,Supuestos!$G$9),IF(Supuestos!$C$9="Normal",NORMINV(F564,Supuestos!$D$9,Supuestos!$E$9),IF(Supuestos!$C$9="Triangular",IF(F564&lt;(Supuestos!$E$9-Supuestos!$D$9)/(Supuestos!$F$9-Supuestos!$D$9),Supuestos!$D$9+SQRT(F564*(Supuestos!$F$9-Supuestos!$D$9)*(Supuestos!$E$9-Supuestos!$D$9)),Supuestos!$F$9-SQRT((1-F564)*(Supuestos!$F$9-Supuestos!$D$9)*(Supuestos!$F$9-Supuestos!$E$9))),IF(Supuestos!$C$9="Uniforme",Supuestos!$D$9+F564*(Supuestos!$E$9-Supuestos!$D$9),IF(Supuestos!$C$9="Lognormal",LOGINV(F564,LN(Supuestos!$D$9)-LN(1+Supuestos!$E$9^2/Supuestos!$D$9^2)/2,SQRT(LN(1+Supuestos!$E$9^2/Supuestos!$D$9^2))),Supuestos!$D$9))))))</f>
        <v/>
      </c>
      <c r="N564" s="32">
        <f>MIN(IF(Supuestos!$H$10="",1E+99,Supuestos!$H$10),MAX(IF(Supuestos!$G$10="",-1E+99,Supuestos!$G$10),IF(Supuestos!$C$10="Normal",NORMINV(G564,Supuestos!$D$10,Supuestos!$E$10),IF(Supuestos!$C$10="Triangular",IF(G564&lt;(Supuestos!$E$10-Supuestos!$D$10)/(Supuestos!$F$10-Supuestos!$D$10),Supuestos!$D$10+SQRT(G564*(Supuestos!$F$10-Supuestos!$D$10)*(Supuestos!$E$10-Supuestos!$D$10)),Supuestos!$F$10-SQRT((1-G564)*(Supuestos!$F$10-Supuestos!$D$10)*(Supuestos!$F$10-Supuestos!$E$10))),IF(Supuestos!$C$10="Uniforme",Supuestos!$D$10+G564*(Supuestos!$E$10-Supuestos!$D$10),IF(Supuestos!$C$10="Lognormal",LOGINV(G564,LN(Supuestos!$D$10)-LN(1+Supuestos!$E$10^2/Supuestos!$D$10^2)/2,SQRT(LN(1+Supuestos!$E$10^2/Supuestos!$D$10^2))),Supuestos!$D$10))))))</f>
        <v/>
      </c>
      <c r="O564" s="31">
        <f>MIN(IF(Supuestos!$H$11="",1E+99,Supuestos!$H$11),MAX(IF(Supuestos!$G$11="",-1E+99,Supuestos!$G$11),IF(Supuestos!$C$11="Normal",NORMINV(H564,Supuestos!$D$11,Supuestos!$E$11),IF(Supuestos!$C$11="Triangular",IF(H564&lt;(Supuestos!$E$11-Supuestos!$D$11)/(Supuestos!$F$11-Supuestos!$D$11),Supuestos!$D$11+SQRT(H564*(Supuestos!$F$11-Supuestos!$D$11)*(Supuestos!$E$11-Supuestos!$D$11)),Supuestos!$F$11-SQRT((1-H564)*(Supuestos!$F$11-Supuestos!$D$11)*(Supuestos!$F$11-Supuestos!$E$11))),IF(Supuestos!$C$11="Uniforme",Supuestos!$D$11+H564*(Supuestos!$E$11-Supuestos!$D$11),IF(Supuestos!$C$11="Lognormal",LOGINV(H564,LN(Supuestos!$D$11)-LN(1+Supuestos!$E$11^2/Supuestos!$D$11^2)/2,SQRT(LN(1+Supuestos!$E$11^2/Supuestos!$D$11^2))),Supuestos!$D$11))))))</f>
        <v/>
      </c>
      <c r="P564" s="33">
        <f>-I564</f>
        <v/>
      </c>
      <c r="Q564" s="33">
        <f>$J564*(1+$K564)^(1-1)*(1-$L564)*(1-$M564)</f>
        <v/>
      </c>
      <c r="R564" s="33">
        <f>$J564*(1+$K564)^(2-1)*(1-$L564)*(1-$M564)</f>
        <v/>
      </c>
      <c r="S564" s="33">
        <f>$J564*(1+$K564)^(3-1)*(1-$L564)*(1-$M564)</f>
        <v/>
      </c>
      <c r="T564" s="33">
        <f>$J564*(1+$K564)^(4-1)*(1-$L564)*(1-$M564)</f>
        <v/>
      </c>
      <c r="U564" s="33">
        <f>$J564*(1+$K564)^(5-1)*(1-$L564)*(1-$M564)+$O564</f>
        <v/>
      </c>
      <c r="V564" s="33">
        <f>P564+NPV($N564,Q564:U564)</f>
        <v/>
      </c>
      <c r="W564" s="32">
        <f>IFERROR(IRR(P564:U564,0.1),"")</f>
        <v/>
      </c>
    </row>
    <row r="565">
      <c r="A565" s="14" t="n">
        <v>561</v>
      </c>
      <c r="B565" s="30">
        <f>RAND()*(1-2E-6)+1E-6</f>
        <v/>
      </c>
      <c r="C565" s="30">
        <f>RAND()*(1-2E-6)+1E-6</f>
        <v/>
      </c>
      <c r="D565" s="30">
        <f>RAND()*(1-2E-6)+1E-6</f>
        <v/>
      </c>
      <c r="E565" s="30">
        <f>RAND()*(1-2E-6)+1E-6</f>
        <v/>
      </c>
      <c r="F565" s="30">
        <f>RAND()*(1-2E-6)+1E-6</f>
        <v/>
      </c>
      <c r="G565" s="30">
        <f>RAND()*(1-2E-6)+1E-6</f>
        <v/>
      </c>
      <c r="H565" s="30">
        <f>RAND()*(1-2E-6)+1E-6</f>
        <v/>
      </c>
      <c r="I565" s="31">
        <f>MIN(IF(Supuestos!$H$5="",1E+99,Supuestos!$H$5),MAX(IF(Supuestos!$G$5="",-1E+99,Supuestos!$G$5),IF(Supuestos!$C$5="Normal",NORMINV(B565,Supuestos!$D$5,Supuestos!$E$5),IF(Supuestos!$C$5="Triangular",IF(B565&lt;(Supuestos!$E$5-Supuestos!$D$5)/(Supuestos!$F$5-Supuestos!$D$5),Supuestos!$D$5+SQRT(B565*(Supuestos!$F$5-Supuestos!$D$5)*(Supuestos!$E$5-Supuestos!$D$5)),Supuestos!$F$5-SQRT((1-B565)*(Supuestos!$F$5-Supuestos!$D$5)*(Supuestos!$F$5-Supuestos!$E$5))),IF(Supuestos!$C$5="Uniforme",Supuestos!$D$5+B565*(Supuestos!$E$5-Supuestos!$D$5),IF(Supuestos!$C$5="Lognormal",LOGINV(B565,LN(Supuestos!$D$5)-LN(1+Supuestos!$E$5^2/Supuestos!$D$5^2)/2,SQRT(LN(1+Supuestos!$E$5^2/Supuestos!$D$5^2))),Supuestos!$D$5))))))</f>
        <v/>
      </c>
      <c r="J565" s="31">
        <f>MIN(IF(Supuestos!$H$6="",1E+99,Supuestos!$H$6),MAX(IF(Supuestos!$G$6="",-1E+99,Supuestos!$G$6),IF(Supuestos!$C$6="Normal",NORMINV(C565,Supuestos!$D$6,Supuestos!$E$6),IF(Supuestos!$C$6="Triangular",IF(C565&lt;(Supuestos!$E$6-Supuestos!$D$6)/(Supuestos!$F$6-Supuestos!$D$6),Supuestos!$D$6+SQRT(C565*(Supuestos!$F$6-Supuestos!$D$6)*(Supuestos!$E$6-Supuestos!$D$6)),Supuestos!$F$6-SQRT((1-C565)*(Supuestos!$F$6-Supuestos!$D$6)*(Supuestos!$F$6-Supuestos!$E$6))),IF(Supuestos!$C$6="Uniforme",Supuestos!$D$6+C565*(Supuestos!$E$6-Supuestos!$D$6),IF(Supuestos!$C$6="Lognormal",LOGINV(C565,LN(Supuestos!$D$6)-LN(1+Supuestos!$E$6^2/Supuestos!$D$6^2)/2,SQRT(LN(1+Supuestos!$E$6^2/Supuestos!$D$6^2))),Supuestos!$D$6))))))</f>
        <v/>
      </c>
      <c r="K565" s="32">
        <f>MIN(IF(Supuestos!$H$7="",1E+99,Supuestos!$H$7),MAX(IF(Supuestos!$G$7="",-1E+99,Supuestos!$G$7),IF(Supuestos!$C$7="Normal",NORMINV(D565,Supuestos!$D$7,Supuestos!$E$7),IF(Supuestos!$C$7="Triangular",IF(D565&lt;(Supuestos!$E$7-Supuestos!$D$7)/(Supuestos!$F$7-Supuestos!$D$7),Supuestos!$D$7+SQRT(D565*(Supuestos!$F$7-Supuestos!$D$7)*(Supuestos!$E$7-Supuestos!$D$7)),Supuestos!$F$7-SQRT((1-D565)*(Supuestos!$F$7-Supuestos!$D$7)*(Supuestos!$F$7-Supuestos!$E$7))),IF(Supuestos!$C$7="Uniforme",Supuestos!$D$7+D565*(Supuestos!$E$7-Supuestos!$D$7),IF(Supuestos!$C$7="Lognormal",LOGINV(D565,LN(Supuestos!$D$7)-LN(1+Supuestos!$E$7^2/Supuestos!$D$7^2)/2,SQRT(LN(1+Supuestos!$E$7^2/Supuestos!$D$7^2))),Supuestos!$D$7))))))</f>
        <v/>
      </c>
      <c r="L565" s="32">
        <f>MIN(IF(Supuestos!$H$8="",1E+99,Supuestos!$H$8),MAX(IF(Supuestos!$G$8="",-1E+99,Supuestos!$G$8),IF(Supuestos!$C$8="Normal",NORMINV(E565,Supuestos!$D$8,Supuestos!$E$8),IF(Supuestos!$C$8="Triangular",IF(E565&lt;(Supuestos!$E$8-Supuestos!$D$8)/(Supuestos!$F$8-Supuestos!$D$8),Supuestos!$D$8+SQRT(E565*(Supuestos!$F$8-Supuestos!$D$8)*(Supuestos!$E$8-Supuestos!$D$8)),Supuestos!$F$8-SQRT((1-E565)*(Supuestos!$F$8-Supuestos!$D$8)*(Supuestos!$F$8-Supuestos!$E$8))),IF(Supuestos!$C$8="Uniforme",Supuestos!$D$8+E565*(Supuestos!$E$8-Supuestos!$D$8),IF(Supuestos!$C$8="Lognormal",LOGINV(E565,LN(Supuestos!$D$8)-LN(1+Supuestos!$E$8^2/Supuestos!$D$8^2)/2,SQRT(LN(1+Supuestos!$E$8^2/Supuestos!$D$8^2))),Supuestos!$D$8))))))</f>
        <v/>
      </c>
      <c r="M565" s="32">
        <f>MIN(IF(Supuestos!$H$9="",1E+99,Supuestos!$H$9),MAX(IF(Supuestos!$G$9="",-1E+99,Supuestos!$G$9),IF(Supuestos!$C$9="Normal",NORMINV(F565,Supuestos!$D$9,Supuestos!$E$9),IF(Supuestos!$C$9="Triangular",IF(F565&lt;(Supuestos!$E$9-Supuestos!$D$9)/(Supuestos!$F$9-Supuestos!$D$9),Supuestos!$D$9+SQRT(F565*(Supuestos!$F$9-Supuestos!$D$9)*(Supuestos!$E$9-Supuestos!$D$9)),Supuestos!$F$9-SQRT((1-F565)*(Supuestos!$F$9-Supuestos!$D$9)*(Supuestos!$F$9-Supuestos!$E$9))),IF(Supuestos!$C$9="Uniforme",Supuestos!$D$9+F565*(Supuestos!$E$9-Supuestos!$D$9),IF(Supuestos!$C$9="Lognormal",LOGINV(F565,LN(Supuestos!$D$9)-LN(1+Supuestos!$E$9^2/Supuestos!$D$9^2)/2,SQRT(LN(1+Supuestos!$E$9^2/Supuestos!$D$9^2))),Supuestos!$D$9))))))</f>
        <v/>
      </c>
      <c r="N565" s="32">
        <f>MIN(IF(Supuestos!$H$10="",1E+99,Supuestos!$H$10),MAX(IF(Supuestos!$G$10="",-1E+99,Supuestos!$G$10),IF(Supuestos!$C$10="Normal",NORMINV(G565,Supuestos!$D$10,Supuestos!$E$10),IF(Supuestos!$C$10="Triangular",IF(G565&lt;(Supuestos!$E$10-Supuestos!$D$10)/(Supuestos!$F$10-Supuestos!$D$10),Supuestos!$D$10+SQRT(G565*(Supuestos!$F$10-Supuestos!$D$10)*(Supuestos!$E$10-Supuestos!$D$10)),Supuestos!$F$10-SQRT((1-G565)*(Supuestos!$F$10-Supuestos!$D$10)*(Supuestos!$F$10-Supuestos!$E$10))),IF(Supuestos!$C$10="Uniforme",Supuestos!$D$10+G565*(Supuestos!$E$10-Supuestos!$D$10),IF(Supuestos!$C$10="Lognormal",LOGINV(G565,LN(Supuestos!$D$10)-LN(1+Supuestos!$E$10^2/Supuestos!$D$10^2)/2,SQRT(LN(1+Supuestos!$E$10^2/Supuestos!$D$10^2))),Supuestos!$D$10))))))</f>
        <v/>
      </c>
      <c r="O565" s="31">
        <f>MIN(IF(Supuestos!$H$11="",1E+99,Supuestos!$H$11),MAX(IF(Supuestos!$G$11="",-1E+99,Supuestos!$G$11),IF(Supuestos!$C$11="Normal",NORMINV(H565,Supuestos!$D$11,Supuestos!$E$11),IF(Supuestos!$C$11="Triangular",IF(H565&lt;(Supuestos!$E$11-Supuestos!$D$11)/(Supuestos!$F$11-Supuestos!$D$11),Supuestos!$D$11+SQRT(H565*(Supuestos!$F$11-Supuestos!$D$11)*(Supuestos!$E$11-Supuestos!$D$11)),Supuestos!$F$11-SQRT((1-H565)*(Supuestos!$F$11-Supuestos!$D$11)*(Supuestos!$F$11-Supuestos!$E$11))),IF(Supuestos!$C$11="Uniforme",Supuestos!$D$11+H565*(Supuestos!$E$11-Supuestos!$D$11),IF(Supuestos!$C$11="Lognormal",LOGINV(H565,LN(Supuestos!$D$11)-LN(1+Supuestos!$E$11^2/Supuestos!$D$11^2)/2,SQRT(LN(1+Supuestos!$E$11^2/Supuestos!$D$11^2))),Supuestos!$D$11))))))</f>
        <v/>
      </c>
      <c r="P565" s="33">
        <f>-I565</f>
        <v/>
      </c>
      <c r="Q565" s="33">
        <f>$J565*(1+$K565)^(1-1)*(1-$L565)*(1-$M565)</f>
        <v/>
      </c>
      <c r="R565" s="33">
        <f>$J565*(1+$K565)^(2-1)*(1-$L565)*(1-$M565)</f>
        <v/>
      </c>
      <c r="S565" s="33">
        <f>$J565*(1+$K565)^(3-1)*(1-$L565)*(1-$M565)</f>
        <v/>
      </c>
      <c r="T565" s="33">
        <f>$J565*(1+$K565)^(4-1)*(1-$L565)*(1-$M565)</f>
        <v/>
      </c>
      <c r="U565" s="33">
        <f>$J565*(1+$K565)^(5-1)*(1-$L565)*(1-$M565)+$O565</f>
        <v/>
      </c>
      <c r="V565" s="33">
        <f>P565+NPV($N565,Q565:U565)</f>
        <v/>
      </c>
      <c r="W565" s="32">
        <f>IFERROR(IRR(P565:U565,0.1),"")</f>
        <v/>
      </c>
    </row>
    <row r="566">
      <c r="A566" s="14" t="n">
        <v>562</v>
      </c>
      <c r="B566" s="30">
        <f>RAND()*(1-2E-6)+1E-6</f>
        <v/>
      </c>
      <c r="C566" s="30">
        <f>RAND()*(1-2E-6)+1E-6</f>
        <v/>
      </c>
      <c r="D566" s="30">
        <f>RAND()*(1-2E-6)+1E-6</f>
        <v/>
      </c>
      <c r="E566" s="30">
        <f>RAND()*(1-2E-6)+1E-6</f>
        <v/>
      </c>
      <c r="F566" s="30">
        <f>RAND()*(1-2E-6)+1E-6</f>
        <v/>
      </c>
      <c r="G566" s="30">
        <f>RAND()*(1-2E-6)+1E-6</f>
        <v/>
      </c>
      <c r="H566" s="30">
        <f>RAND()*(1-2E-6)+1E-6</f>
        <v/>
      </c>
      <c r="I566" s="31">
        <f>MIN(IF(Supuestos!$H$5="",1E+99,Supuestos!$H$5),MAX(IF(Supuestos!$G$5="",-1E+99,Supuestos!$G$5),IF(Supuestos!$C$5="Normal",NORMINV(B566,Supuestos!$D$5,Supuestos!$E$5),IF(Supuestos!$C$5="Triangular",IF(B566&lt;(Supuestos!$E$5-Supuestos!$D$5)/(Supuestos!$F$5-Supuestos!$D$5),Supuestos!$D$5+SQRT(B566*(Supuestos!$F$5-Supuestos!$D$5)*(Supuestos!$E$5-Supuestos!$D$5)),Supuestos!$F$5-SQRT((1-B566)*(Supuestos!$F$5-Supuestos!$D$5)*(Supuestos!$F$5-Supuestos!$E$5))),IF(Supuestos!$C$5="Uniforme",Supuestos!$D$5+B566*(Supuestos!$E$5-Supuestos!$D$5),IF(Supuestos!$C$5="Lognormal",LOGINV(B566,LN(Supuestos!$D$5)-LN(1+Supuestos!$E$5^2/Supuestos!$D$5^2)/2,SQRT(LN(1+Supuestos!$E$5^2/Supuestos!$D$5^2))),Supuestos!$D$5))))))</f>
        <v/>
      </c>
      <c r="J566" s="31">
        <f>MIN(IF(Supuestos!$H$6="",1E+99,Supuestos!$H$6),MAX(IF(Supuestos!$G$6="",-1E+99,Supuestos!$G$6),IF(Supuestos!$C$6="Normal",NORMINV(C566,Supuestos!$D$6,Supuestos!$E$6),IF(Supuestos!$C$6="Triangular",IF(C566&lt;(Supuestos!$E$6-Supuestos!$D$6)/(Supuestos!$F$6-Supuestos!$D$6),Supuestos!$D$6+SQRT(C566*(Supuestos!$F$6-Supuestos!$D$6)*(Supuestos!$E$6-Supuestos!$D$6)),Supuestos!$F$6-SQRT((1-C566)*(Supuestos!$F$6-Supuestos!$D$6)*(Supuestos!$F$6-Supuestos!$E$6))),IF(Supuestos!$C$6="Uniforme",Supuestos!$D$6+C566*(Supuestos!$E$6-Supuestos!$D$6),IF(Supuestos!$C$6="Lognormal",LOGINV(C566,LN(Supuestos!$D$6)-LN(1+Supuestos!$E$6^2/Supuestos!$D$6^2)/2,SQRT(LN(1+Supuestos!$E$6^2/Supuestos!$D$6^2))),Supuestos!$D$6))))))</f>
        <v/>
      </c>
      <c r="K566" s="32">
        <f>MIN(IF(Supuestos!$H$7="",1E+99,Supuestos!$H$7),MAX(IF(Supuestos!$G$7="",-1E+99,Supuestos!$G$7),IF(Supuestos!$C$7="Normal",NORMINV(D566,Supuestos!$D$7,Supuestos!$E$7),IF(Supuestos!$C$7="Triangular",IF(D566&lt;(Supuestos!$E$7-Supuestos!$D$7)/(Supuestos!$F$7-Supuestos!$D$7),Supuestos!$D$7+SQRT(D566*(Supuestos!$F$7-Supuestos!$D$7)*(Supuestos!$E$7-Supuestos!$D$7)),Supuestos!$F$7-SQRT((1-D566)*(Supuestos!$F$7-Supuestos!$D$7)*(Supuestos!$F$7-Supuestos!$E$7))),IF(Supuestos!$C$7="Uniforme",Supuestos!$D$7+D566*(Supuestos!$E$7-Supuestos!$D$7),IF(Supuestos!$C$7="Lognormal",LOGINV(D566,LN(Supuestos!$D$7)-LN(1+Supuestos!$E$7^2/Supuestos!$D$7^2)/2,SQRT(LN(1+Supuestos!$E$7^2/Supuestos!$D$7^2))),Supuestos!$D$7))))))</f>
        <v/>
      </c>
      <c r="L566" s="32">
        <f>MIN(IF(Supuestos!$H$8="",1E+99,Supuestos!$H$8),MAX(IF(Supuestos!$G$8="",-1E+99,Supuestos!$G$8),IF(Supuestos!$C$8="Normal",NORMINV(E566,Supuestos!$D$8,Supuestos!$E$8),IF(Supuestos!$C$8="Triangular",IF(E566&lt;(Supuestos!$E$8-Supuestos!$D$8)/(Supuestos!$F$8-Supuestos!$D$8),Supuestos!$D$8+SQRT(E566*(Supuestos!$F$8-Supuestos!$D$8)*(Supuestos!$E$8-Supuestos!$D$8)),Supuestos!$F$8-SQRT((1-E566)*(Supuestos!$F$8-Supuestos!$D$8)*(Supuestos!$F$8-Supuestos!$E$8))),IF(Supuestos!$C$8="Uniforme",Supuestos!$D$8+E566*(Supuestos!$E$8-Supuestos!$D$8),IF(Supuestos!$C$8="Lognormal",LOGINV(E566,LN(Supuestos!$D$8)-LN(1+Supuestos!$E$8^2/Supuestos!$D$8^2)/2,SQRT(LN(1+Supuestos!$E$8^2/Supuestos!$D$8^2))),Supuestos!$D$8))))))</f>
        <v/>
      </c>
      <c r="M566" s="32">
        <f>MIN(IF(Supuestos!$H$9="",1E+99,Supuestos!$H$9),MAX(IF(Supuestos!$G$9="",-1E+99,Supuestos!$G$9),IF(Supuestos!$C$9="Normal",NORMINV(F566,Supuestos!$D$9,Supuestos!$E$9),IF(Supuestos!$C$9="Triangular",IF(F566&lt;(Supuestos!$E$9-Supuestos!$D$9)/(Supuestos!$F$9-Supuestos!$D$9),Supuestos!$D$9+SQRT(F566*(Supuestos!$F$9-Supuestos!$D$9)*(Supuestos!$E$9-Supuestos!$D$9)),Supuestos!$F$9-SQRT((1-F566)*(Supuestos!$F$9-Supuestos!$D$9)*(Supuestos!$F$9-Supuestos!$E$9))),IF(Supuestos!$C$9="Uniforme",Supuestos!$D$9+F566*(Supuestos!$E$9-Supuestos!$D$9),IF(Supuestos!$C$9="Lognormal",LOGINV(F566,LN(Supuestos!$D$9)-LN(1+Supuestos!$E$9^2/Supuestos!$D$9^2)/2,SQRT(LN(1+Supuestos!$E$9^2/Supuestos!$D$9^2))),Supuestos!$D$9))))))</f>
        <v/>
      </c>
      <c r="N566" s="32">
        <f>MIN(IF(Supuestos!$H$10="",1E+99,Supuestos!$H$10),MAX(IF(Supuestos!$G$10="",-1E+99,Supuestos!$G$10),IF(Supuestos!$C$10="Normal",NORMINV(G566,Supuestos!$D$10,Supuestos!$E$10),IF(Supuestos!$C$10="Triangular",IF(G566&lt;(Supuestos!$E$10-Supuestos!$D$10)/(Supuestos!$F$10-Supuestos!$D$10),Supuestos!$D$10+SQRT(G566*(Supuestos!$F$10-Supuestos!$D$10)*(Supuestos!$E$10-Supuestos!$D$10)),Supuestos!$F$10-SQRT((1-G566)*(Supuestos!$F$10-Supuestos!$D$10)*(Supuestos!$F$10-Supuestos!$E$10))),IF(Supuestos!$C$10="Uniforme",Supuestos!$D$10+G566*(Supuestos!$E$10-Supuestos!$D$10),IF(Supuestos!$C$10="Lognormal",LOGINV(G566,LN(Supuestos!$D$10)-LN(1+Supuestos!$E$10^2/Supuestos!$D$10^2)/2,SQRT(LN(1+Supuestos!$E$10^2/Supuestos!$D$10^2))),Supuestos!$D$10))))))</f>
        <v/>
      </c>
      <c r="O566" s="31">
        <f>MIN(IF(Supuestos!$H$11="",1E+99,Supuestos!$H$11),MAX(IF(Supuestos!$G$11="",-1E+99,Supuestos!$G$11),IF(Supuestos!$C$11="Normal",NORMINV(H566,Supuestos!$D$11,Supuestos!$E$11),IF(Supuestos!$C$11="Triangular",IF(H566&lt;(Supuestos!$E$11-Supuestos!$D$11)/(Supuestos!$F$11-Supuestos!$D$11),Supuestos!$D$11+SQRT(H566*(Supuestos!$F$11-Supuestos!$D$11)*(Supuestos!$E$11-Supuestos!$D$11)),Supuestos!$F$11-SQRT((1-H566)*(Supuestos!$F$11-Supuestos!$D$11)*(Supuestos!$F$11-Supuestos!$E$11))),IF(Supuestos!$C$11="Uniforme",Supuestos!$D$11+H566*(Supuestos!$E$11-Supuestos!$D$11),IF(Supuestos!$C$11="Lognormal",LOGINV(H566,LN(Supuestos!$D$11)-LN(1+Supuestos!$E$11^2/Supuestos!$D$11^2)/2,SQRT(LN(1+Supuestos!$E$11^2/Supuestos!$D$11^2))),Supuestos!$D$11))))))</f>
        <v/>
      </c>
      <c r="P566" s="33">
        <f>-I566</f>
        <v/>
      </c>
      <c r="Q566" s="33">
        <f>$J566*(1+$K566)^(1-1)*(1-$L566)*(1-$M566)</f>
        <v/>
      </c>
      <c r="R566" s="33">
        <f>$J566*(1+$K566)^(2-1)*(1-$L566)*(1-$M566)</f>
        <v/>
      </c>
      <c r="S566" s="33">
        <f>$J566*(1+$K566)^(3-1)*(1-$L566)*(1-$M566)</f>
        <v/>
      </c>
      <c r="T566" s="33">
        <f>$J566*(1+$K566)^(4-1)*(1-$L566)*(1-$M566)</f>
        <v/>
      </c>
      <c r="U566" s="33">
        <f>$J566*(1+$K566)^(5-1)*(1-$L566)*(1-$M566)+$O566</f>
        <v/>
      </c>
      <c r="V566" s="33">
        <f>P566+NPV($N566,Q566:U566)</f>
        <v/>
      </c>
      <c r="W566" s="32">
        <f>IFERROR(IRR(P566:U566,0.1),"")</f>
        <v/>
      </c>
    </row>
    <row r="567">
      <c r="A567" s="14" t="n">
        <v>563</v>
      </c>
      <c r="B567" s="30">
        <f>RAND()*(1-2E-6)+1E-6</f>
        <v/>
      </c>
      <c r="C567" s="30">
        <f>RAND()*(1-2E-6)+1E-6</f>
        <v/>
      </c>
      <c r="D567" s="30">
        <f>RAND()*(1-2E-6)+1E-6</f>
        <v/>
      </c>
      <c r="E567" s="30">
        <f>RAND()*(1-2E-6)+1E-6</f>
        <v/>
      </c>
      <c r="F567" s="30">
        <f>RAND()*(1-2E-6)+1E-6</f>
        <v/>
      </c>
      <c r="G567" s="30">
        <f>RAND()*(1-2E-6)+1E-6</f>
        <v/>
      </c>
      <c r="H567" s="30">
        <f>RAND()*(1-2E-6)+1E-6</f>
        <v/>
      </c>
      <c r="I567" s="31">
        <f>MIN(IF(Supuestos!$H$5="",1E+99,Supuestos!$H$5),MAX(IF(Supuestos!$G$5="",-1E+99,Supuestos!$G$5),IF(Supuestos!$C$5="Normal",NORMINV(B567,Supuestos!$D$5,Supuestos!$E$5),IF(Supuestos!$C$5="Triangular",IF(B567&lt;(Supuestos!$E$5-Supuestos!$D$5)/(Supuestos!$F$5-Supuestos!$D$5),Supuestos!$D$5+SQRT(B567*(Supuestos!$F$5-Supuestos!$D$5)*(Supuestos!$E$5-Supuestos!$D$5)),Supuestos!$F$5-SQRT((1-B567)*(Supuestos!$F$5-Supuestos!$D$5)*(Supuestos!$F$5-Supuestos!$E$5))),IF(Supuestos!$C$5="Uniforme",Supuestos!$D$5+B567*(Supuestos!$E$5-Supuestos!$D$5),IF(Supuestos!$C$5="Lognormal",LOGINV(B567,LN(Supuestos!$D$5)-LN(1+Supuestos!$E$5^2/Supuestos!$D$5^2)/2,SQRT(LN(1+Supuestos!$E$5^2/Supuestos!$D$5^2))),Supuestos!$D$5))))))</f>
        <v/>
      </c>
      <c r="J567" s="31">
        <f>MIN(IF(Supuestos!$H$6="",1E+99,Supuestos!$H$6),MAX(IF(Supuestos!$G$6="",-1E+99,Supuestos!$G$6),IF(Supuestos!$C$6="Normal",NORMINV(C567,Supuestos!$D$6,Supuestos!$E$6),IF(Supuestos!$C$6="Triangular",IF(C567&lt;(Supuestos!$E$6-Supuestos!$D$6)/(Supuestos!$F$6-Supuestos!$D$6),Supuestos!$D$6+SQRT(C567*(Supuestos!$F$6-Supuestos!$D$6)*(Supuestos!$E$6-Supuestos!$D$6)),Supuestos!$F$6-SQRT((1-C567)*(Supuestos!$F$6-Supuestos!$D$6)*(Supuestos!$F$6-Supuestos!$E$6))),IF(Supuestos!$C$6="Uniforme",Supuestos!$D$6+C567*(Supuestos!$E$6-Supuestos!$D$6),IF(Supuestos!$C$6="Lognormal",LOGINV(C567,LN(Supuestos!$D$6)-LN(1+Supuestos!$E$6^2/Supuestos!$D$6^2)/2,SQRT(LN(1+Supuestos!$E$6^2/Supuestos!$D$6^2))),Supuestos!$D$6))))))</f>
        <v/>
      </c>
      <c r="K567" s="32">
        <f>MIN(IF(Supuestos!$H$7="",1E+99,Supuestos!$H$7),MAX(IF(Supuestos!$G$7="",-1E+99,Supuestos!$G$7),IF(Supuestos!$C$7="Normal",NORMINV(D567,Supuestos!$D$7,Supuestos!$E$7),IF(Supuestos!$C$7="Triangular",IF(D567&lt;(Supuestos!$E$7-Supuestos!$D$7)/(Supuestos!$F$7-Supuestos!$D$7),Supuestos!$D$7+SQRT(D567*(Supuestos!$F$7-Supuestos!$D$7)*(Supuestos!$E$7-Supuestos!$D$7)),Supuestos!$F$7-SQRT((1-D567)*(Supuestos!$F$7-Supuestos!$D$7)*(Supuestos!$F$7-Supuestos!$E$7))),IF(Supuestos!$C$7="Uniforme",Supuestos!$D$7+D567*(Supuestos!$E$7-Supuestos!$D$7),IF(Supuestos!$C$7="Lognormal",LOGINV(D567,LN(Supuestos!$D$7)-LN(1+Supuestos!$E$7^2/Supuestos!$D$7^2)/2,SQRT(LN(1+Supuestos!$E$7^2/Supuestos!$D$7^2))),Supuestos!$D$7))))))</f>
        <v/>
      </c>
      <c r="L567" s="32">
        <f>MIN(IF(Supuestos!$H$8="",1E+99,Supuestos!$H$8),MAX(IF(Supuestos!$G$8="",-1E+99,Supuestos!$G$8),IF(Supuestos!$C$8="Normal",NORMINV(E567,Supuestos!$D$8,Supuestos!$E$8),IF(Supuestos!$C$8="Triangular",IF(E567&lt;(Supuestos!$E$8-Supuestos!$D$8)/(Supuestos!$F$8-Supuestos!$D$8),Supuestos!$D$8+SQRT(E567*(Supuestos!$F$8-Supuestos!$D$8)*(Supuestos!$E$8-Supuestos!$D$8)),Supuestos!$F$8-SQRT((1-E567)*(Supuestos!$F$8-Supuestos!$D$8)*(Supuestos!$F$8-Supuestos!$E$8))),IF(Supuestos!$C$8="Uniforme",Supuestos!$D$8+E567*(Supuestos!$E$8-Supuestos!$D$8),IF(Supuestos!$C$8="Lognormal",LOGINV(E567,LN(Supuestos!$D$8)-LN(1+Supuestos!$E$8^2/Supuestos!$D$8^2)/2,SQRT(LN(1+Supuestos!$E$8^2/Supuestos!$D$8^2))),Supuestos!$D$8))))))</f>
        <v/>
      </c>
      <c r="M567" s="32">
        <f>MIN(IF(Supuestos!$H$9="",1E+99,Supuestos!$H$9),MAX(IF(Supuestos!$G$9="",-1E+99,Supuestos!$G$9),IF(Supuestos!$C$9="Normal",NORMINV(F567,Supuestos!$D$9,Supuestos!$E$9),IF(Supuestos!$C$9="Triangular",IF(F567&lt;(Supuestos!$E$9-Supuestos!$D$9)/(Supuestos!$F$9-Supuestos!$D$9),Supuestos!$D$9+SQRT(F567*(Supuestos!$F$9-Supuestos!$D$9)*(Supuestos!$E$9-Supuestos!$D$9)),Supuestos!$F$9-SQRT((1-F567)*(Supuestos!$F$9-Supuestos!$D$9)*(Supuestos!$F$9-Supuestos!$E$9))),IF(Supuestos!$C$9="Uniforme",Supuestos!$D$9+F567*(Supuestos!$E$9-Supuestos!$D$9),IF(Supuestos!$C$9="Lognormal",LOGINV(F567,LN(Supuestos!$D$9)-LN(1+Supuestos!$E$9^2/Supuestos!$D$9^2)/2,SQRT(LN(1+Supuestos!$E$9^2/Supuestos!$D$9^2))),Supuestos!$D$9))))))</f>
        <v/>
      </c>
      <c r="N567" s="32">
        <f>MIN(IF(Supuestos!$H$10="",1E+99,Supuestos!$H$10),MAX(IF(Supuestos!$G$10="",-1E+99,Supuestos!$G$10),IF(Supuestos!$C$10="Normal",NORMINV(G567,Supuestos!$D$10,Supuestos!$E$10),IF(Supuestos!$C$10="Triangular",IF(G567&lt;(Supuestos!$E$10-Supuestos!$D$10)/(Supuestos!$F$10-Supuestos!$D$10),Supuestos!$D$10+SQRT(G567*(Supuestos!$F$10-Supuestos!$D$10)*(Supuestos!$E$10-Supuestos!$D$10)),Supuestos!$F$10-SQRT((1-G567)*(Supuestos!$F$10-Supuestos!$D$10)*(Supuestos!$F$10-Supuestos!$E$10))),IF(Supuestos!$C$10="Uniforme",Supuestos!$D$10+G567*(Supuestos!$E$10-Supuestos!$D$10),IF(Supuestos!$C$10="Lognormal",LOGINV(G567,LN(Supuestos!$D$10)-LN(1+Supuestos!$E$10^2/Supuestos!$D$10^2)/2,SQRT(LN(1+Supuestos!$E$10^2/Supuestos!$D$10^2))),Supuestos!$D$10))))))</f>
        <v/>
      </c>
      <c r="O567" s="31">
        <f>MIN(IF(Supuestos!$H$11="",1E+99,Supuestos!$H$11),MAX(IF(Supuestos!$G$11="",-1E+99,Supuestos!$G$11),IF(Supuestos!$C$11="Normal",NORMINV(H567,Supuestos!$D$11,Supuestos!$E$11),IF(Supuestos!$C$11="Triangular",IF(H567&lt;(Supuestos!$E$11-Supuestos!$D$11)/(Supuestos!$F$11-Supuestos!$D$11),Supuestos!$D$11+SQRT(H567*(Supuestos!$F$11-Supuestos!$D$11)*(Supuestos!$E$11-Supuestos!$D$11)),Supuestos!$F$11-SQRT((1-H567)*(Supuestos!$F$11-Supuestos!$D$11)*(Supuestos!$F$11-Supuestos!$E$11))),IF(Supuestos!$C$11="Uniforme",Supuestos!$D$11+H567*(Supuestos!$E$11-Supuestos!$D$11),IF(Supuestos!$C$11="Lognormal",LOGINV(H567,LN(Supuestos!$D$11)-LN(1+Supuestos!$E$11^2/Supuestos!$D$11^2)/2,SQRT(LN(1+Supuestos!$E$11^2/Supuestos!$D$11^2))),Supuestos!$D$11))))))</f>
        <v/>
      </c>
      <c r="P567" s="33">
        <f>-I567</f>
        <v/>
      </c>
      <c r="Q567" s="33">
        <f>$J567*(1+$K567)^(1-1)*(1-$L567)*(1-$M567)</f>
        <v/>
      </c>
      <c r="R567" s="33">
        <f>$J567*(1+$K567)^(2-1)*(1-$L567)*(1-$M567)</f>
        <v/>
      </c>
      <c r="S567" s="33">
        <f>$J567*(1+$K567)^(3-1)*(1-$L567)*(1-$M567)</f>
        <v/>
      </c>
      <c r="T567" s="33">
        <f>$J567*(1+$K567)^(4-1)*(1-$L567)*(1-$M567)</f>
        <v/>
      </c>
      <c r="U567" s="33">
        <f>$J567*(1+$K567)^(5-1)*(1-$L567)*(1-$M567)+$O567</f>
        <v/>
      </c>
      <c r="V567" s="33">
        <f>P567+NPV($N567,Q567:U567)</f>
        <v/>
      </c>
      <c r="W567" s="32">
        <f>IFERROR(IRR(P567:U567,0.1),"")</f>
        <v/>
      </c>
    </row>
    <row r="568">
      <c r="A568" s="14" t="n">
        <v>564</v>
      </c>
      <c r="B568" s="30">
        <f>RAND()*(1-2E-6)+1E-6</f>
        <v/>
      </c>
      <c r="C568" s="30">
        <f>RAND()*(1-2E-6)+1E-6</f>
        <v/>
      </c>
      <c r="D568" s="30">
        <f>RAND()*(1-2E-6)+1E-6</f>
        <v/>
      </c>
      <c r="E568" s="30">
        <f>RAND()*(1-2E-6)+1E-6</f>
        <v/>
      </c>
      <c r="F568" s="30">
        <f>RAND()*(1-2E-6)+1E-6</f>
        <v/>
      </c>
      <c r="G568" s="30">
        <f>RAND()*(1-2E-6)+1E-6</f>
        <v/>
      </c>
      <c r="H568" s="30">
        <f>RAND()*(1-2E-6)+1E-6</f>
        <v/>
      </c>
      <c r="I568" s="31">
        <f>MIN(IF(Supuestos!$H$5="",1E+99,Supuestos!$H$5),MAX(IF(Supuestos!$G$5="",-1E+99,Supuestos!$G$5),IF(Supuestos!$C$5="Normal",NORMINV(B568,Supuestos!$D$5,Supuestos!$E$5),IF(Supuestos!$C$5="Triangular",IF(B568&lt;(Supuestos!$E$5-Supuestos!$D$5)/(Supuestos!$F$5-Supuestos!$D$5),Supuestos!$D$5+SQRT(B568*(Supuestos!$F$5-Supuestos!$D$5)*(Supuestos!$E$5-Supuestos!$D$5)),Supuestos!$F$5-SQRT((1-B568)*(Supuestos!$F$5-Supuestos!$D$5)*(Supuestos!$F$5-Supuestos!$E$5))),IF(Supuestos!$C$5="Uniforme",Supuestos!$D$5+B568*(Supuestos!$E$5-Supuestos!$D$5),IF(Supuestos!$C$5="Lognormal",LOGINV(B568,LN(Supuestos!$D$5)-LN(1+Supuestos!$E$5^2/Supuestos!$D$5^2)/2,SQRT(LN(1+Supuestos!$E$5^2/Supuestos!$D$5^2))),Supuestos!$D$5))))))</f>
        <v/>
      </c>
      <c r="J568" s="31">
        <f>MIN(IF(Supuestos!$H$6="",1E+99,Supuestos!$H$6),MAX(IF(Supuestos!$G$6="",-1E+99,Supuestos!$G$6),IF(Supuestos!$C$6="Normal",NORMINV(C568,Supuestos!$D$6,Supuestos!$E$6),IF(Supuestos!$C$6="Triangular",IF(C568&lt;(Supuestos!$E$6-Supuestos!$D$6)/(Supuestos!$F$6-Supuestos!$D$6),Supuestos!$D$6+SQRT(C568*(Supuestos!$F$6-Supuestos!$D$6)*(Supuestos!$E$6-Supuestos!$D$6)),Supuestos!$F$6-SQRT((1-C568)*(Supuestos!$F$6-Supuestos!$D$6)*(Supuestos!$F$6-Supuestos!$E$6))),IF(Supuestos!$C$6="Uniforme",Supuestos!$D$6+C568*(Supuestos!$E$6-Supuestos!$D$6),IF(Supuestos!$C$6="Lognormal",LOGINV(C568,LN(Supuestos!$D$6)-LN(1+Supuestos!$E$6^2/Supuestos!$D$6^2)/2,SQRT(LN(1+Supuestos!$E$6^2/Supuestos!$D$6^2))),Supuestos!$D$6))))))</f>
        <v/>
      </c>
      <c r="K568" s="32">
        <f>MIN(IF(Supuestos!$H$7="",1E+99,Supuestos!$H$7),MAX(IF(Supuestos!$G$7="",-1E+99,Supuestos!$G$7),IF(Supuestos!$C$7="Normal",NORMINV(D568,Supuestos!$D$7,Supuestos!$E$7),IF(Supuestos!$C$7="Triangular",IF(D568&lt;(Supuestos!$E$7-Supuestos!$D$7)/(Supuestos!$F$7-Supuestos!$D$7),Supuestos!$D$7+SQRT(D568*(Supuestos!$F$7-Supuestos!$D$7)*(Supuestos!$E$7-Supuestos!$D$7)),Supuestos!$F$7-SQRT((1-D568)*(Supuestos!$F$7-Supuestos!$D$7)*(Supuestos!$F$7-Supuestos!$E$7))),IF(Supuestos!$C$7="Uniforme",Supuestos!$D$7+D568*(Supuestos!$E$7-Supuestos!$D$7),IF(Supuestos!$C$7="Lognormal",LOGINV(D568,LN(Supuestos!$D$7)-LN(1+Supuestos!$E$7^2/Supuestos!$D$7^2)/2,SQRT(LN(1+Supuestos!$E$7^2/Supuestos!$D$7^2))),Supuestos!$D$7))))))</f>
        <v/>
      </c>
      <c r="L568" s="32">
        <f>MIN(IF(Supuestos!$H$8="",1E+99,Supuestos!$H$8),MAX(IF(Supuestos!$G$8="",-1E+99,Supuestos!$G$8),IF(Supuestos!$C$8="Normal",NORMINV(E568,Supuestos!$D$8,Supuestos!$E$8),IF(Supuestos!$C$8="Triangular",IF(E568&lt;(Supuestos!$E$8-Supuestos!$D$8)/(Supuestos!$F$8-Supuestos!$D$8),Supuestos!$D$8+SQRT(E568*(Supuestos!$F$8-Supuestos!$D$8)*(Supuestos!$E$8-Supuestos!$D$8)),Supuestos!$F$8-SQRT((1-E568)*(Supuestos!$F$8-Supuestos!$D$8)*(Supuestos!$F$8-Supuestos!$E$8))),IF(Supuestos!$C$8="Uniforme",Supuestos!$D$8+E568*(Supuestos!$E$8-Supuestos!$D$8),IF(Supuestos!$C$8="Lognormal",LOGINV(E568,LN(Supuestos!$D$8)-LN(1+Supuestos!$E$8^2/Supuestos!$D$8^2)/2,SQRT(LN(1+Supuestos!$E$8^2/Supuestos!$D$8^2))),Supuestos!$D$8))))))</f>
        <v/>
      </c>
      <c r="M568" s="32">
        <f>MIN(IF(Supuestos!$H$9="",1E+99,Supuestos!$H$9),MAX(IF(Supuestos!$G$9="",-1E+99,Supuestos!$G$9),IF(Supuestos!$C$9="Normal",NORMINV(F568,Supuestos!$D$9,Supuestos!$E$9),IF(Supuestos!$C$9="Triangular",IF(F568&lt;(Supuestos!$E$9-Supuestos!$D$9)/(Supuestos!$F$9-Supuestos!$D$9),Supuestos!$D$9+SQRT(F568*(Supuestos!$F$9-Supuestos!$D$9)*(Supuestos!$E$9-Supuestos!$D$9)),Supuestos!$F$9-SQRT((1-F568)*(Supuestos!$F$9-Supuestos!$D$9)*(Supuestos!$F$9-Supuestos!$E$9))),IF(Supuestos!$C$9="Uniforme",Supuestos!$D$9+F568*(Supuestos!$E$9-Supuestos!$D$9),IF(Supuestos!$C$9="Lognormal",LOGINV(F568,LN(Supuestos!$D$9)-LN(1+Supuestos!$E$9^2/Supuestos!$D$9^2)/2,SQRT(LN(1+Supuestos!$E$9^2/Supuestos!$D$9^2))),Supuestos!$D$9))))))</f>
        <v/>
      </c>
      <c r="N568" s="32">
        <f>MIN(IF(Supuestos!$H$10="",1E+99,Supuestos!$H$10),MAX(IF(Supuestos!$G$10="",-1E+99,Supuestos!$G$10),IF(Supuestos!$C$10="Normal",NORMINV(G568,Supuestos!$D$10,Supuestos!$E$10),IF(Supuestos!$C$10="Triangular",IF(G568&lt;(Supuestos!$E$10-Supuestos!$D$10)/(Supuestos!$F$10-Supuestos!$D$10),Supuestos!$D$10+SQRT(G568*(Supuestos!$F$10-Supuestos!$D$10)*(Supuestos!$E$10-Supuestos!$D$10)),Supuestos!$F$10-SQRT((1-G568)*(Supuestos!$F$10-Supuestos!$D$10)*(Supuestos!$F$10-Supuestos!$E$10))),IF(Supuestos!$C$10="Uniforme",Supuestos!$D$10+G568*(Supuestos!$E$10-Supuestos!$D$10),IF(Supuestos!$C$10="Lognormal",LOGINV(G568,LN(Supuestos!$D$10)-LN(1+Supuestos!$E$10^2/Supuestos!$D$10^2)/2,SQRT(LN(1+Supuestos!$E$10^2/Supuestos!$D$10^2))),Supuestos!$D$10))))))</f>
        <v/>
      </c>
      <c r="O568" s="31">
        <f>MIN(IF(Supuestos!$H$11="",1E+99,Supuestos!$H$11),MAX(IF(Supuestos!$G$11="",-1E+99,Supuestos!$G$11),IF(Supuestos!$C$11="Normal",NORMINV(H568,Supuestos!$D$11,Supuestos!$E$11),IF(Supuestos!$C$11="Triangular",IF(H568&lt;(Supuestos!$E$11-Supuestos!$D$11)/(Supuestos!$F$11-Supuestos!$D$11),Supuestos!$D$11+SQRT(H568*(Supuestos!$F$11-Supuestos!$D$11)*(Supuestos!$E$11-Supuestos!$D$11)),Supuestos!$F$11-SQRT((1-H568)*(Supuestos!$F$11-Supuestos!$D$11)*(Supuestos!$F$11-Supuestos!$E$11))),IF(Supuestos!$C$11="Uniforme",Supuestos!$D$11+H568*(Supuestos!$E$11-Supuestos!$D$11),IF(Supuestos!$C$11="Lognormal",LOGINV(H568,LN(Supuestos!$D$11)-LN(1+Supuestos!$E$11^2/Supuestos!$D$11^2)/2,SQRT(LN(1+Supuestos!$E$11^2/Supuestos!$D$11^2))),Supuestos!$D$11))))))</f>
        <v/>
      </c>
      <c r="P568" s="33">
        <f>-I568</f>
        <v/>
      </c>
      <c r="Q568" s="33">
        <f>$J568*(1+$K568)^(1-1)*(1-$L568)*(1-$M568)</f>
        <v/>
      </c>
      <c r="R568" s="33">
        <f>$J568*(1+$K568)^(2-1)*(1-$L568)*(1-$M568)</f>
        <v/>
      </c>
      <c r="S568" s="33">
        <f>$J568*(1+$K568)^(3-1)*(1-$L568)*(1-$M568)</f>
        <v/>
      </c>
      <c r="T568" s="33">
        <f>$J568*(1+$K568)^(4-1)*(1-$L568)*(1-$M568)</f>
        <v/>
      </c>
      <c r="U568" s="33">
        <f>$J568*(1+$K568)^(5-1)*(1-$L568)*(1-$M568)+$O568</f>
        <v/>
      </c>
      <c r="V568" s="33">
        <f>P568+NPV($N568,Q568:U568)</f>
        <v/>
      </c>
      <c r="W568" s="32">
        <f>IFERROR(IRR(P568:U568,0.1),"")</f>
        <v/>
      </c>
    </row>
    <row r="569">
      <c r="A569" s="14" t="n">
        <v>565</v>
      </c>
      <c r="B569" s="30">
        <f>RAND()*(1-2E-6)+1E-6</f>
        <v/>
      </c>
      <c r="C569" s="30">
        <f>RAND()*(1-2E-6)+1E-6</f>
        <v/>
      </c>
      <c r="D569" s="30">
        <f>RAND()*(1-2E-6)+1E-6</f>
        <v/>
      </c>
      <c r="E569" s="30">
        <f>RAND()*(1-2E-6)+1E-6</f>
        <v/>
      </c>
      <c r="F569" s="30">
        <f>RAND()*(1-2E-6)+1E-6</f>
        <v/>
      </c>
      <c r="G569" s="30">
        <f>RAND()*(1-2E-6)+1E-6</f>
        <v/>
      </c>
      <c r="H569" s="30">
        <f>RAND()*(1-2E-6)+1E-6</f>
        <v/>
      </c>
      <c r="I569" s="31">
        <f>MIN(IF(Supuestos!$H$5="",1E+99,Supuestos!$H$5),MAX(IF(Supuestos!$G$5="",-1E+99,Supuestos!$G$5),IF(Supuestos!$C$5="Normal",NORMINV(B569,Supuestos!$D$5,Supuestos!$E$5),IF(Supuestos!$C$5="Triangular",IF(B569&lt;(Supuestos!$E$5-Supuestos!$D$5)/(Supuestos!$F$5-Supuestos!$D$5),Supuestos!$D$5+SQRT(B569*(Supuestos!$F$5-Supuestos!$D$5)*(Supuestos!$E$5-Supuestos!$D$5)),Supuestos!$F$5-SQRT((1-B569)*(Supuestos!$F$5-Supuestos!$D$5)*(Supuestos!$F$5-Supuestos!$E$5))),IF(Supuestos!$C$5="Uniforme",Supuestos!$D$5+B569*(Supuestos!$E$5-Supuestos!$D$5),IF(Supuestos!$C$5="Lognormal",LOGINV(B569,LN(Supuestos!$D$5)-LN(1+Supuestos!$E$5^2/Supuestos!$D$5^2)/2,SQRT(LN(1+Supuestos!$E$5^2/Supuestos!$D$5^2))),Supuestos!$D$5))))))</f>
        <v/>
      </c>
      <c r="J569" s="31">
        <f>MIN(IF(Supuestos!$H$6="",1E+99,Supuestos!$H$6),MAX(IF(Supuestos!$G$6="",-1E+99,Supuestos!$G$6),IF(Supuestos!$C$6="Normal",NORMINV(C569,Supuestos!$D$6,Supuestos!$E$6),IF(Supuestos!$C$6="Triangular",IF(C569&lt;(Supuestos!$E$6-Supuestos!$D$6)/(Supuestos!$F$6-Supuestos!$D$6),Supuestos!$D$6+SQRT(C569*(Supuestos!$F$6-Supuestos!$D$6)*(Supuestos!$E$6-Supuestos!$D$6)),Supuestos!$F$6-SQRT((1-C569)*(Supuestos!$F$6-Supuestos!$D$6)*(Supuestos!$F$6-Supuestos!$E$6))),IF(Supuestos!$C$6="Uniforme",Supuestos!$D$6+C569*(Supuestos!$E$6-Supuestos!$D$6),IF(Supuestos!$C$6="Lognormal",LOGINV(C569,LN(Supuestos!$D$6)-LN(1+Supuestos!$E$6^2/Supuestos!$D$6^2)/2,SQRT(LN(1+Supuestos!$E$6^2/Supuestos!$D$6^2))),Supuestos!$D$6))))))</f>
        <v/>
      </c>
      <c r="K569" s="32">
        <f>MIN(IF(Supuestos!$H$7="",1E+99,Supuestos!$H$7),MAX(IF(Supuestos!$G$7="",-1E+99,Supuestos!$G$7),IF(Supuestos!$C$7="Normal",NORMINV(D569,Supuestos!$D$7,Supuestos!$E$7),IF(Supuestos!$C$7="Triangular",IF(D569&lt;(Supuestos!$E$7-Supuestos!$D$7)/(Supuestos!$F$7-Supuestos!$D$7),Supuestos!$D$7+SQRT(D569*(Supuestos!$F$7-Supuestos!$D$7)*(Supuestos!$E$7-Supuestos!$D$7)),Supuestos!$F$7-SQRT((1-D569)*(Supuestos!$F$7-Supuestos!$D$7)*(Supuestos!$F$7-Supuestos!$E$7))),IF(Supuestos!$C$7="Uniforme",Supuestos!$D$7+D569*(Supuestos!$E$7-Supuestos!$D$7),IF(Supuestos!$C$7="Lognormal",LOGINV(D569,LN(Supuestos!$D$7)-LN(1+Supuestos!$E$7^2/Supuestos!$D$7^2)/2,SQRT(LN(1+Supuestos!$E$7^2/Supuestos!$D$7^2))),Supuestos!$D$7))))))</f>
        <v/>
      </c>
      <c r="L569" s="32">
        <f>MIN(IF(Supuestos!$H$8="",1E+99,Supuestos!$H$8),MAX(IF(Supuestos!$G$8="",-1E+99,Supuestos!$G$8),IF(Supuestos!$C$8="Normal",NORMINV(E569,Supuestos!$D$8,Supuestos!$E$8),IF(Supuestos!$C$8="Triangular",IF(E569&lt;(Supuestos!$E$8-Supuestos!$D$8)/(Supuestos!$F$8-Supuestos!$D$8),Supuestos!$D$8+SQRT(E569*(Supuestos!$F$8-Supuestos!$D$8)*(Supuestos!$E$8-Supuestos!$D$8)),Supuestos!$F$8-SQRT((1-E569)*(Supuestos!$F$8-Supuestos!$D$8)*(Supuestos!$F$8-Supuestos!$E$8))),IF(Supuestos!$C$8="Uniforme",Supuestos!$D$8+E569*(Supuestos!$E$8-Supuestos!$D$8),IF(Supuestos!$C$8="Lognormal",LOGINV(E569,LN(Supuestos!$D$8)-LN(1+Supuestos!$E$8^2/Supuestos!$D$8^2)/2,SQRT(LN(1+Supuestos!$E$8^2/Supuestos!$D$8^2))),Supuestos!$D$8))))))</f>
        <v/>
      </c>
      <c r="M569" s="32">
        <f>MIN(IF(Supuestos!$H$9="",1E+99,Supuestos!$H$9),MAX(IF(Supuestos!$G$9="",-1E+99,Supuestos!$G$9),IF(Supuestos!$C$9="Normal",NORMINV(F569,Supuestos!$D$9,Supuestos!$E$9),IF(Supuestos!$C$9="Triangular",IF(F569&lt;(Supuestos!$E$9-Supuestos!$D$9)/(Supuestos!$F$9-Supuestos!$D$9),Supuestos!$D$9+SQRT(F569*(Supuestos!$F$9-Supuestos!$D$9)*(Supuestos!$E$9-Supuestos!$D$9)),Supuestos!$F$9-SQRT((1-F569)*(Supuestos!$F$9-Supuestos!$D$9)*(Supuestos!$F$9-Supuestos!$E$9))),IF(Supuestos!$C$9="Uniforme",Supuestos!$D$9+F569*(Supuestos!$E$9-Supuestos!$D$9),IF(Supuestos!$C$9="Lognormal",LOGINV(F569,LN(Supuestos!$D$9)-LN(1+Supuestos!$E$9^2/Supuestos!$D$9^2)/2,SQRT(LN(1+Supuestos!$E$9^2/Supuestos!$D$9^2))),Supuestos!$D$9))))))</f>
        <v/>
      </c>
      <c r="N569" s="32">
        <f>MIN(IF(Supuestos!$H$10="",1E+99,Supuestos!$H$10),MAX(IF(Supuestos!$G$10="",-1E+99,Supuestos!$G$10),IF(Supuestos!$C$10="Normal",NORMINV(G569,Supuestos!$D$10,Supuestos!$E$10),IF(Supuestos!$C$10="Triangular",IF(G569&lt;(Supuestos!$E$10-Supuestos!$D$10)/(Supuestos!$F$10-Supuestos!$D$10),Supuestos!$D$10+SQRT(G569*(Supuestos!$F$10-Supuestos!$D$10)*(Supuestos!$E$10-Supuestos!$D$10)),Supuestos!$F$10-SQRT((1-G569)*(Supuestos!$F$10-Supuestos!$D$10)*(Supuestos!$F$10-Supuestos!$E$10))),IF(Supuestos!$C$10="Uniforme",Supuestos!$D$10+G569*(Supuestos!$E$10-Supuestos!$D$10),IF(Supuestos!$C$10="Lognormal",LOGINV(G569,LN(Supuestos!$D$10)-LN(1+Supuestos!$E$10^2/Supuestos!$D$10^2)/2,SQRT(LN(1+Supuestos!$E$10^2/Supuestos!$D$10^2))),Supuestos!$D$10))))))</f>
        <v/>
      </c>
      <c r="O569" s="31">
        <f>MIN(IF(Supuestos!$H$11="",1E+99,Supuestos!$H$11),MAX(IF(Supuestos!$G$11="",-1E+99,Supuestos!$G$11),IF(Supuestos!$C$11="Normal",NORMINV(H569,Supuestos!$D$11,Supuestos!$E$11),IF(Supuestos!$C$11="Triangular",IF(H569&lt;(Supuestos!$E$11-Supuestos!$D$11)/(Supuestos!$F$11-Supuestos!$D$11),Supuestos!$D$11+SQRT(H569*(Supuestos!$F$11-Supuestos!$D$11)*(Supuestos!$E$11-Supuestos!$D$11)),Supuestos!$F$11-SQRT((1-H569)*(Supuestos!$F$11-Supuestos!$D$11)*(Supuestos!$F$11-Supuestos!$E$11))),IF(Supuestos!$C$11="Uniforme",Supuestos!$D$11+H569*(Supuestos!$E$11-Supuestos!$D$11),IF(Supuestos!$C$11="Lognormal",LOGINV(H569,LN(Supuestos!$D$11)-LN(1+Supuestos!$E$11^2/Supuestos!$D$11^2)/2,SQRT(LN(1+Supuestos!$E$11^2/Supuestos!$D$11^2))),Supuestos!$D$11))))))</f>
        <v/>
      </c>
      <c r="P569" s="33">
        <f>-I569</f>
        <v/>
      </c>
      <c r="Q569" s="33">
        <f>$J569*(1+$K569)^(1-1)*(1-$L569)*(1-$M569)</f>
        <v/>
      </c>
      <c r="R569" s="33">
        <f>$J569*(1+$K569)^(2-1)*(1-$L569)*(1-$M569)</f>
        <v/>
      </c>
      <c r="S569" s="33">
        <f>$J569*(1+$K569)^(3-1)*(1-$L569)*(1-$M569)</f>
        <v/>
      </c>
      <c r="T569" s="33">
        <f>$J569*(1+$K569)^(4-1)*(1-$L569)*(1-$M569)</f>
        <v/>
      </c>
      <c r="U569" s="33">
        <f>$J569*(1+$K569)^(5-1)*(1-$L569)*(1-$M569)+$O569</f>
        <v/>
      </c>
      <c r="V569" s="33">
        <f>P569+NPV($N569,Q569:U569)</f>
        <v/>
      </c>
      <c r="W569" s="32">
        <f>IFERROR(IRR(P569:U569,0.1),"")</f>
        <v/>
      </c>
    </row>
    <row r="570">
      <c r="A570" s="14" t="n">
        <v>566</v>
      </c>
      <c r="B570" s="30">
        <f>RAND()*(1-2E-6)+1E-6</f>
        <v/>
      </c>
      <c r="C570" s="30">
        <f>RAND()*(1-2E-6)+1E-6</f>
        <v/>
      </c>
      <c r="D570" s="30">
        <f>RAND()*(1-2E-6)+1E-6</f>
        <v/>
      </c>
      <c r="E570" s="30">
        <f>RAND()*(1-2E-6)+1E-6</f>
        <v/>
      </c>
      <c r="F570" s="30">
        <f>RAND()*(1-2E-6)+1E-6</f>
        <v/>
      </c>
      <c r="G570" s="30">
        <f>RAND()*(1-2E-6)+1E-6</f>
        <v/>
      </c>
      <c r="H570" s="30">
        <f>RAND()*(1-2E-6)+1E-6</f>
        <v/>
      </c>
      <c r="I570" s="31">
        <f>MIN(IF(Supuestos!$H$5="",1E+99,Supuestos!$H$5),MAX(IF(Supuestos!$G$5="",-1E+99,Supuestos!$G$5),IF(Supuestos!$C$5="Normal",NORMINV(B570,Supuestos!$D$5,Supuestos!$E$5),IF(Supuestos!$C$5="Triangular",IF(B570&lt;(Supuestos!$E$5-Supuestos!$D$5)/(Supuestos!$F$5-Supuestos!$D$5),Supuestos!$D$5+SQRT(B570*(Supuestos!$F$5-Supuestos!$D$5)*(Supuestos!$E$5-Supuestos!$D$5)),Supuestos!$F$5-SQRT((1-B570)*(Supuestos!$F$5-Supuestos!$D$5)*(Supuestos!$F$5-Supuestos!$E$5))),IF(Supuestos!$C$5="Uniforme",Supuestos!$D$5+B570*(Supuestos!$E$5-Supuestos!$D$5),IF(Supuestos!$C$5="Lognormal",LOGINV(B570,LN(Supuestos!$D$5)-LN(1+Supuestos!$E$5^2/Supuestos!$D$5^2)/2,SQRT(LN(1+Supuestos!$E$5^2/Supuestos!$D$5^2))),Supuestos!$D$5))))))</f>
        <v/>
      </c>
      <c r="J570" s="31">
        <f>MIN(IF(Supuestos!$H$6="",1E+99,Supuestos!$H$6),MAX(IF(Supuestos!$G$6="",-1E+99,Supuestos!$G$6),IF(Supuestos!$C$6="Normal",NORMINV(C570,Supuestos!$D$6,Supuestos!$E$6),IF(Supuestos!$C$6="Triangular",IF(C570&lt;(Supuestos!$E$6-Supuestos!$D$6)/(Supuestos!$F$6-Supuestos!$D$6),Supuestos!$D$6+SQRT(C570*(Supuestos!$F$6-Supuestos!$D$6)*(Supuestos!$E$6-Supuestos!$D$6)),Supuestos!$F$6-SQRT((1-C570)*(Supuestos!$F$6-Supuestos!$D$6)*(Supuestos!$F$6-Supuestos!$E$6))),IF(Supuestos!$C$6="Uniforme",Supuestos!$D$6+C570*(Supuestos!$E$6-Supuestos!$D$6),IF(Supuestos!$C$6="Lognormal",LOGINV(C570,LN(Supuestos!$D$6)-LN(1+Supuestos!$E$6^2/Supuestos!$D$6^2)/2,SQRT(LN(1+Supuestos!$E$6^2/Supuestos!$D$6^2))),Supuestos!$D$6))))))</f>
        <v/>
      </c>
      <c r="K570" s="32">
        <f>MIN(IF(Supuestos!$H$7="",1E+99,Supuestos!$H$7),MAX(IF(Supuestos!$G$7="",-1E+99,Supuestos!$G$7),IF(Supuestos!$C$7="Normal",NORMINV(D570,Supuestos!$D$7,Supuestos!$E$7),IF(Supuestos!$C$7="Triangular",IF(D570&lt;(Supuestos!$E$7-Supuestos!$D$7)/(Supuestos!$F$7-Supuestos!$D$7),Supuestos!$D$7+SQRT(D570*(Supuestos!$F$7-Supuestos!$D$7)*(Supuestos!$E$7-Supuestos!$D$7)),Supuestos!$F$7-SQRT((1-D570)*(Supuestos!$F$7-Supuestos!$D$7)*(Supuestos!$F$7-Supuestos!$E$7))),IF(Supuestos!$C$7="Uniforme",Supuestos!$D$7+D570*(Supuestos!$E$7-Supuestos!$D$7),IF(Supuestos!$C$7="Lognormal",LOGINV(D570,LN(Supuestos!$D$7)-LN(1+Supuestos!$E$7^2/Supuestos!$D$7^2)/2,SQRT(LN(1+Supuestos!$E$7^2/Supuestos!$D$7^2))),Supuestos!$D$7))))))</f>
        <v/>
      </c>
      <c r="L570" s="32">
        <f>MIN(IF(Supuestos!$H$8="",1E+99,Supuestos!$H$8),MAX(IF(Supuestos!$G$8="",-1E+99,Supuestos!$G$8),IF(Supuestos!$C$8="Normal",NORMINV(E570,Supuestos!$D$8,Supuestos!$E$8),IF(Supuestos!$C$8="Triangular",IF(E570&lt;(Supuestos!$E$8-Supuestos!$D$8)/(Supuestos!$F$8-Supuestos!$D$8),Supuestos!$D$8+SQRT(E570*(Supuestos!$F$8-Supuestos!$D$8)*(Supuestos!$E$8-Supuestos!$D$8)),Supuestos!$F$8-SQRT((1-E570)*(Supuestos!$F$8-Supuestos!$D$8)*(Supuestos!$F$8-Supuestos!$E$8))),IF(Supuestos!$C$8="Uniforme",Supuestos!$D$8+E570*(Supuestos!$E$8-Supuestos!$D$8),IF(Supuestos!$C$8="Lognormal",LOGINV(E570,LN(Supuestos!$D$8)-LN(1+Supuestos!$E$8^2/Supuestos!$D$8^2)/2,SQRT(LN(1+Supuestos!$E$8^2/Supuestos!$D$8^2))),Supuestos!$D$8))))))</f>
        <v/>
      </c>
      <c r="M570" s="32">
        <f>MIN(IF(Supuestos!$H$9="",1E+99,Supuestos!$H$9),MAX(IF(Supuestos!$G$9="",-1E+99,Supuestos!$G$9),IF(Supuestos!$C$9="Normal",NORMINV(F570,Supuestos!$D$9,Supuestos!$E$9),IF(Supuestos!$C$9="Triangular",IF(F570&lt;(Supuestos!$E$9-Supuestos!$D$9)/(Supuestos!$F$9-Supuestos!$D$9),Supuestos!$D$9+SQRT(F570*(Supuestos!$F$9-Supuestos!$D$9)*(Supuestos!$E$9-Supuestos!$D$9)),Supuestos!$F$9-SQRT((1-F570)*(Supuestos!$F$9-Supuestos!$D$9)*(Supuestos!$F$9-Supuestos!$E$9))),IF(Supuestos!$C$9="Uniforme",Supuestos!$D$9+F570*(Supuestos!$E$9-Supuestos!$D$9),IF(Supuestos!$C$9="Lognormal",LOGINV(F570,LN(Supuestos!$D$9)-LN(1+Supuestos!$E$9^2/Supuestos!$D$9^2)/2,SQRT(LN(1+Supuestos!$E$9^2/Supuestos!$D$9^2))),Supuestos!$D$9))))))</f>
        <v/>
      </c>
      <c r="N570" s="32">
        <f>MIN(IF(Supuestos!$H$10="",1E+99,Supuestos!$H$10),MAX(IF(Supuestos!$G$10="",-1E+99,Supuestos!$G$10),IF(Supuestos!$C$10="Normal",NORMINV(G570,Supuestos!$D$10,Supuestos!$E$10),IF(Supuestos!$C$10="Triangular",IF(G570&lt;(Supuestos!$E$10-Supuestos!$D$10)/(Supuestos!$F$10-Supuestos!$D$10),Supuestos!$D$10+SQRT(G570*(Supuestos!$F$10-Supuestos!$D$10)*(Supuestos!$E$10-Supuestos!$D$10)),Supuestos!$F$10-SQRT((1-G570)*(Supuestos!$F$10-Supuestos!$D$10)*(Supuestos!$F$10-Supuestos!$E$10))),IF(Supuestos!$C$10="Uniforme",Supuestos!$D$10+G570*(Supuestos!$E$10-Supuestos!$D$10),IF(Supuestos!$C$10="Lognormal",LOGINV(G570,LN(Supuestos!$D$10)-LN(1+Supuestos!$E$10^2/Supuestos!$D$10^2)/2,SQRT(LN(1+Supuestos!$E$10^2/Supuestos!$D$10^2))),Supuestos!$D$10))))))</f>
        <v/>
      </c>
      <c r="O570" s="31">
        <f>MIN(IF(Supuestos!$H$11="",1E+99,Supuestos!$H$11),MAX(IF(Supuestos!$G$11="",-1E+99,Supuestos!$G$11),IF(Supuestos!$C$11="Normal",NORMINV(H570,Supuestos!$D$11,Supuestos!$E$11),IF(Supuestos!$C$11="Triangular",IF(H570&lt;(Supuestos!$E$11-Supuestos!$D$11)/(Supuestos!$F$11-Supuestos!$D$11),Supuestos!$D$11+SQRT(H570*(Supuestos!$F$11-Supuestos!$D$11)*(Supuestos!$E$11-Supuestos!$D$11)),Supuestos!$F$11-SQRT((1-H570)*(Supuestos!$F$11-Supuestos!$D$11)*(Supuestos!$F$11-Supuestos!$E$11))),IF(Supuestos!$C$11="Uniforme",Supuestos!$D$11+H570*(Supuestos!$E$11-Supuestos!$D$11),IF(Supuestos!$C$11="Lognormal",LOGINV(H570,LN(Supuestos!$D$11)-LN(1+Supuestos!$E$11^2/Supuestos!$D$11^2)/2,SQRT(LN(1+Supuestos!$E$11^2/Supuestos!$D$11^2))),Supuestos!$D$11))))))</f>
        <v/>
      </c>
      <c r="P570" s="33">
        <f>-I570</f>
        <v/>
      </c>
      <c r="Q570" s="33">
        <f>$J570*(1+$K570)^(1-1)*(1-$L570)*(1-$M570)</f>
        <v/>
      </c>
      <c r="R570" s="33">
        <f>$J570*(1+$K570)^(2-1)*(1-$L570)*(1-$M570)</f>
        <v/>
      </c>
      <c r="S570" s="33">
        <f>$J570*(1+$K570)^(3-1)*(1-$L570)*(1-$M570)</f>
        <v/>
      </c>
      <c r="T570" s="33">
        <f>$J570*(1+$K570)^(4-1)*(1-$L570)*(1-$M570)</f>
        <v/>
      </c>
      <c r="U570" s="33">
        <f>$J570*(1+$K570)^(5-1)*(1-$L570)*(1-$M570)+$O570</f>
        <v/>
      </c>
      <c r="V570" s="33">
        <f>P570+NPV($N570,Q570:U570)</f>
        <v/>
      </c>
      <c r="W570" s="32">
        <f>IFERROR(IRR(P570:U570,0.1),"")</f>
        <v/>
      </c>
    </row>
    <row r="571">
      <c r="A571" s="14" t="n">
        <v>567</v>
      </c>
      <c r="B571" s="30">
        <f>RAND()*(1-2E-6)+1E-6</f>
        <v/>
      </c>
      <c r="C571" s="30">
        <f>RAND()*(1-2E-6)+1E-6</f>
        <v/>
      </c>
      <c r="D571" s="30">
        <f>RAND()*(1-2E-6)+1E-6</f>
        <v/>
      </c>
      <c r="E571" s="30">
        <f>RAND()*(1-2E-6)+1E-6</f>
        <v/>
      </c>
      <c r="F571" s="30">
        <f>RAND()*(1-2E-6)+1E-6</f>
        <v/>
      </c>
      <c r="G571" s="30">
        <f>RAND()*(1-2E-6)+1E-6</f>
        <v/>
      </c>
      <c r="H571" s="30">
        <f>RAND()*(1-2E-6)+1E-6</f>
        <v/>
      </c>
      <c r="I571" s="31">
        <f>MIN(IF(Supuestos!$H$5="",1E+99,Supuestos!$H$5),MAX(IF(Supuestos!$G$5="",-1E+99,Supuestos!$G$5),IF(Supuestos!$C$5="Normal",NORMINV(B571,Supuestos!$D$5,Supuestos!$E$5),IF(Supuestos!$C$5="Triangular",IF(B571&lt;(Supuestos!$E$5-Supuestos!$D$5)/(Supuestos!$F$5-Supuestos!$D$5),Supuestos!$D$5+SQRT(B571*(Supuestos!$F$5-Supuestos!$D$5)*(Supuestos!$E$5-Supuestos!$D$5)),Supuestos!$F$5-SQRT((1-B571)*(Supuestos!$F$5-Supuestos!$D$5)*(Supuestos!$F$5-Supuestos!$E$5))),IF(Supuestos!$C$5="Uniforme",Supuestos!$D$5+B571*(Supuestos!$E$5-Supuestos!$D$5),IF(Supuestos!$C$5="Lognormal",LOGINV(B571,LN(Supuestos!$D$5)-LN(1+Supuestos!$E$5^2/Supuestos!$D$5^2)/2,SQRT(LN(1+Supuestos!$E$5^2/Supuestos!$D$5^2))),Supuestos!$D$5))))))</f>
        <v/>
      </c>
      <c r="J571" s="31">
        <f>MIN(IF(Supuestos!$H$6="",1E+99,Supuestos!$H$6),MAX(IF(Supuestos!$G$6="",-1E+99,Supuestos!$G$6),IF(Supuestos!$C$6="Normal",NORMINV(C571,Supuestos!$D$6,Supuestos!$E$6),IF(Supuestos!$C$6="Triangular",IF(C571&lt;(Supuestos!$E$6-Supuestos!$D$6)/(Supuestos!$F$6-Supuestos!$D$6),Supuestos!$D$6+SQRT(C571*(Supuestos!$F$6-Supuestos!$D$6)*(Supuestos!$E$6-Supuestos!$D$6)),Supuestos!$F$6-SQRT((1-C571)*(Supuestos!$F$6-Supuestos!$D$6)*(Supuestos!$F$6-Supuestos!$E$6))),IF(Supuestos!$C$6="Uniforme",Supuestos!$D$6+C571*(Supuestos!$E$6-Supuestos!$D$6),IF(Supuestos!$C$6="Lognormal",LOGINV(C571,LN(Supuestos!$D$6)-LN(1+Supuestos!$E$6^2/Supuestos!$D$6^2)/2,SQRT(LN(1+Supuestos!$E$6^2/Supuestos!$D$6^2))),Supuestos!$D$6))))))</f>
        <v/>
      </c>
      <c r="K571" s="32">
        <f>MIN(IF(Supuestos!$H$7="",1E+99,Supuestos!$H$7),MAX(IF(Supuestos!$G$7="",-1E+99,Supuestos!$G$7),IF(Supuestos!$C$7="Normal",NORMINV(D571,Supuestos!$D$7,Supuestos!$E$7),IF(Supuestos!$C$7="Triangular",IF(D571&lt;(Supuestos!$E$7-Supuestos!$D$7)/(Supuestos!$F$7-Supuestos!$D$7),Supuestos!$D$7+SQRT(D571*(Supuestos!$F$7-Supuestos!$D$7)*(Supuestos!$E$7-Supuestos!$D$7)),Supuestos!$F$7-SQRT((1-D571)*(Supuestos!$F$7-Supuestos!$D$7)*(Supuestos!$F$7-Supuestos!$E$7))),IF(Supuestos!$C$7="Uniforme",Supuestos!$D$7+D571*(Supuestos!$E$7-Supuestos!$D$7),IF(Supuestos!$C$7="Lognormal",LOGINV(D571,LN(Supuestos!$D$7)-LN(1+Supuestos!$E$7^2/Supuestos!$D$7^2)/2,SQRT(LN(1+Supuestos!$E$7^2/Supuestos!$D$7^2))),Supuestos!$D$7))))))</f>
        <v/>
      </c>
      <c r="L571" s="32">
        <f>MIN(IF(Supuestos!$H$8="",1E+99,Supuestos!$H$8),MAX(IF(Supuestos!$G$8="",-1E+99,Supuestos!$G$8),IF(Supuestos!$C$8="Normal",NORMINV(E571,Supuestos!$D$8,Supuestos!$E$8),IF(Supuestos!$C$8="Triangular",IF(E571&lt;(Supuestos!$E$8-Supuestos!$D$8)/(Supuestos!$F$8-Supuestos!$D$8),Supuestos!$D$8+SQRT(E571*(Supuestos!$F$8-Supuestos!$D$8)*(Supuestos!$E$8-Supuestos!$D$8)),Supuestos!$F$8-SQRT((1-E571)*(Supuestos!$F$8-Supuestos!$D$8)*(Supuestos!$F$8-Supuestos!$E$8))),IF(Supuestos!$C$8="Uniforme",Supuestos!$D$8+E571*(Supuestos!$E$8-Supuestos!$D$8),IF(Supuestos!$C$8="Lognormal",LOGINV(E571,LN(Supuestos!$D$8)-LN(1+Supuestos!$E$8^2/Supuestos!$D$8^2)/2,SQRT(LN(1+Supuestos!$E$8^2/Supuestos!$D$8^2))),Supuestos!$D$8))))))</f>
        <v/>
      </c>
      <c r="M571" s="32">
        <f>MIN(IF(Supuestos!$H$9="",1E+99,Supuestos!$H$9),MAX(IF(Supuestos!$G$9="",-1E+99,Supuestos!$G$9),IF(Supuestos!$C$9="Normal",NORMINV(F571,Supuestos!$D$9,Supuestos!$E$9),IF(Supuestos!$C$9="Triangular",IF(F571&lt;(Supuestos!$E$9-Supuestos!$D$9)/(Supuestos!$F$9-Supuestos!$D$9),Supuestos!$D$9+SQRT(F571*(Supuestos!$F$9-Supuestos!$D$9)*(Supuestos!$E$9-Supuestos!$D$9)),Supuestos!$F$9-SQRT((1-F571)*(Supuestos!$F$9-Supuestos!$D$9)*(Supuestos!$F$9-Supuestos!$E$9))),IF(Supuestos!$C$9="Uniforme",Supuestos!$D$9+F571*(Supuestos!$E$9-Supuestos!$D$9),IF(Supuestos!$C$9="Lognormal",LOGINV(F571,LN(Supuestos!$D$9)-LN(1+Supuestos!$E$9^2/Supuestos!$D$9^2)/2,SQRT(LN(1+Supuestos!$E$9^2/Supuestos!$D$9^2))),Supuestos!$D$9))))))</f>
        <v/>
      </c>
      <c r="N571" s="32">
        <f>MIN(IF(Supuestos!$H$10="",1E+99,Supuestos!$H$10),MAX(IF(Supuestos!$G$10="",-1E+99,Supuestos!$G$10),IF(Supuestos!$C$10="Normal",NORMINV(G571,Supuestos!$D$10,Supuestos!$E$10),IF(Supuestos!$C$10="Triangular",IF(G571&lt;(Supuestos!$E$10-Supuestos!$D$10)/(Supuestos!$F$10-Supuestos!$D$10),Supuestos!$D$10+SQRT(G571*(Supuestos!$F$10-Supuestos!$D$10)*(Supuestos!$E$10-Supuestos!$D$10)),Supuestos!$F$10-SQRT((1-G571)*(Supuestos!$F$10-Supuestos!$D$10)*(Supuestos!$F$10-Supuestos!$E$10))),IF(Supuestos!$C$10="Uniforme",Supuestos!$D$10+G571*(Supuestos!$E$10-Supuestos!$D$10),IF(Supuestos!$C$10="Lognormal",LOGINV(G571,LN(Supuestos!$D$10)-LN(1+Supuestos!$E$10^2/Supuestos!$D$10^2)/2,SQRT(LN(1+Supuestos!$E$10^2/Supuestos!$D$10^2))),Supuestos!$D$10))))))</f>
        <v/>
      </c>
      <c r="O571" s="31">
        <f>MIN(IF(Supuestos!$H$11="",1E+99,Supuestos!$H$11),MAX(IF(Supuestos!$G$11="",-1E+99,Supuestos!$G$11),IF(Supuestos!$C$11="Normal",NORMINV(H571,Supuestos!$D$11,Supuestos!$E$11),IF(Supuestos!$C$11="Triangular",IF(H571&lt;(Supuestos!$E$11-Supuestos!$D$11)/(Supuestos!$F$11-Supuestos!$D$11),Supuestos!$D$11+SQRT(H571*(Supuestos!$F$11-Supuestos!$D$11)*(Supuestos!$E$11-Supuestos!$D$11)),Supuestos!$F$11-SQRT((1-H571)*(Supuestos!$F$11-Supuestos!$D$11)*(Supuestos!$F$11-Supuestos!$E$11))),IF(Supuestos!$C$11="Uniforme",Supuestos!$D$11+H571*(Supuestos!$E$11-Supuestos!$D$11),IF(Supuestos!$C$11="Lognormal",LOGINV(H571,LN(Supuestos!$D$11)-LN(1+Supuestos!$E$11^2/Supuestos!$D$11^2)/2,SQRT(LN(1+Supuestos!$E$11^2/Supuestos!$D$11^2))),Supuestos!$D$11))))))</f>
        <v/>
      </c>
      <c r="P571" s="33">
        <f>-I571</f>
        <v/>
      </c>
      <c r="Q571" s="33">
        <f>$J571*(1+$K571)^(1-1)*(1-$L571)*(1-$M571)</f>
        <v/>
      </c>
      <c r="R571" s="33">
        <f>$J571*(1+$K571)^(2-1)*(1-$L571)*(1-$M571)</f>
        <v/>
      </c>
      <c r="S571" s="33">
        <f>$J571*(1+$K571)^(3-1)*(1-$L571)*(1-$M571)</f>
        <v/>
      </c>
      <c r="T571" s="33">
        <f>$J571*(1+$K571)^(4-1)*(1-$L571)*(1-$M571)</f>
        <v/>
      </c>
      <c r="U571" s="33">
        <f>$J571*(1+$K571)^(5-1)*(1-$L571)*(1-$M571)+$O571</f>
        <v/>
      </c>
      <c r="V571" s="33">
        <f>P571+NPV($N571,Q571:U571)</f>
        <v/>
      </c>
      <c r="W571" s="32">
        <f>IFERROR(IRR(P571:U571,0.1),"")</f>
        <v/>
      </c>
    </row>
    <row r="572">
      <c r="A572" s="14" t="n">
        <v>568</v>
      </c>
      <c r="B572" s="30">
        <f>RAND()*(1-2E-6)+1E-6</f>
        <v/>
      </c>
      <c r="C572" s="30">
        <f>RAND()*(1-2E-6)+1E-6</f>
        <v/>
      </c>
      <c r="D572" s="30">
        <f>RAND()*(1-2E-6)+1E-6</f>
        <v/>
      </c>
      <c r="E572" s="30">
        <f>RAND()*(1-2E-6)+1E-6</f>
        <v/>
      </c>
      <c r="F572" s="30">
        <f>RAND()*(1-2E-6)+1E-6</f>
        <v/>
      </c>
      <c r="G572" s="30">
        <f>RAND()*(1-2E-6)+1E-6</f>
        <v/>
      </c>
      <c r="H572" s="30">
        <f>RAND()*(1-2E-6)+1E-6</f>
        <v/>
      </c>
      <c r="I572" s="31">
        <f>MIN(IF(Supuestos!$H$5="",1E+99,Supuestos!$H$5),MAX(IF(Supuestos!$G$5="",-1E+99,Supuestos!$G$5),IF(Supuestos!$C$5="Normal",NORMINV(B572,Supuestos!$D$5,Supuestos!$E$5),IF(Supuestos!$C$5="Triangular",IF(B572&lt;(Supuestos!$E$5-Supuestos!$D$5)/(Supuestos!$F$5-Supuestos!$D$5),Supuestos!$D$5+SQRT(B572*(Supuestos!$F$5-Supuestos!$D$5)*(Supuestos!$E$5-Supuestos!$D$5)),Supuestos!$F$5-SQRT((1-B572)*(Supuestos!$F$5-Supuestos!$D$5)*(Supuestos!$F$5-Supuestos!$E$5))),IF(Supuestos!$C$5="Uniforme",Supuestos!$D$5+B572*(Supuestos!$E$5-Supuestos!$D$5),IF(Supuestos!$C$5="Lognormal",LOGINV(B572,LN(Supuestos!$D$5)-LN(1+Supuestos!$E$5^2/Supuestos!$D$5^2)/2,SQRT(LN(1+Supuestos!$E$5^2/Supuestos!$D$5^2))),Supuestos!$D$5))))))</f>
        <v/>
      </c>
      <c r="J572" s="31">
        <f>MIN(IF(Supuestos!$H$6="",1E+99,Supuestos!$H$6),MAX(IF(Supuestos!$G$6="",-1E+99,Supuestos!$G$6),IF(Supuestos!$C$6="Normal",NORMINV(C572,Supuestos!$D$6,Supuestos!$E$6),IF(Supuestos!$C$6="Triangular",IF(C572&lt;(Supuestos!$E$6-Supuestos!$D$6)/(Supuestos!$F$6-Supuestos!$D$6),Supuestos!$D$6+SQRT(C572*(Supuestos!$F$6-Supuestos!$D$6)*(Supuestos!$E$6-Supuestos!$D$6)),Supuestos!$F$6-SQRT((1-C572)*(Supuestos!$F$6-Supuestos!$D$6)*(Supuestos!$F$6-Supuestos!$E$6))),IF(Supuestos!$C$6="Uniforme",Supuestos!$D$6+C572*(Supuestos!$E$6-Supuestos!$D$6),IF(Supuestos!$C$6="Lognormal",LOGINV(C572,LN(Supuestos!$D$6)-LN(1+Supuestos!$E$6^2/Supuestos!$D$6^2)/2,SQRT(LN(1+Supuestos!$E$6^2/Supuestos!$D$6^2))),Supuestos!$D$6))))))</f>
        <v/>
      </c>
      <c r="K572" s="32">
        <f>MIN(IF(Supuestos!$H$7="",1E+99,Supuestos!$H$7),MAX(IF(Supuestos!$G$7="",-1E+99,Supuestos!$G$7),IF(Supuestos!$C$7="Normal",NORMINV(D572,Supuestos!$D$7,Supuestos!$E$7),IF(Supuestos!$C$7="Triangular",IF(D572&lt;(Supuestos!$E$7-Supuestos!$D$7)/(Supuestos!$F$7-Supuestos!$D$7),Supuestos!$D$7+SQRT(D572*(Supuestos!$F$7-Supuestos!$D$7)*(Supuestos!$E$7-Supuestos!$D$7)),Supuestos!$F$7-SQRT((1-D572)*(Supuestos!$F$7-Supuestos!$D$7)*(Supuestos!$F$7-Supuestos!$E$7))),IF(Supuestos!$C$7="Uniforme",Supuestos!$D$7+D572*(Supuestos!$E$7-Supuestos!$D$7),IF(Supuestos!$C$7="Lognormal",LOGINV(D572,LN(Supuestos!$D$7)-LN(1+Supuestos!$E$7^2/Supuestos!$D$7^2)/2,SQRT(LN(1+Supuestos!$E$7^2/Supuestos!$D$7^2))),Supuestos!$D$7))))))</f>
        <v/>
      </c>
      <c r="L572" s="32">
        <f>MIN(IF(Supuestos!$H$8="",1E+99,Supuestos!$H$8),MAX(IF(Supuestos!$G$8="",-1E+99,Supuestos!$G$8),IF(Supuestos!$C$8="Normal",NORMINV(E572,Supuestos!$D$8,Supuestos!$E$8),IF(Supuestos!$C$8="Triangular",IF(E572&lt;(Supuestos!$E$8-Supuestos!$D$8)/(Supuestos!$F$8-Supuestos!$D$8),Supuestos!$D$8+SQRT(E572*(Supuestos!$F$8-Supuestos!$D$8)*(Supuestos!$E$8-Supuestos!$D$8)),Supuestos!$F$8-SQRT((1-E572)*(Supuestos!$F$8-Supuestos!$D$8)*(Supuestos!$F$8-Supuestos!$E$8))),IF(Supuestos!$C$8="Uniforme",Supuestos!$D$8+E572*(Supuestos!$E$8-Supuestos!$D$8),IF(Supuestos!$C$8="Lognormal",LOGINV(E572,LN(Supuestos!$D$8)-LN(1+Supuestos!$E$8^2/Supuestos!$D$8^2)/2,SQRT(LN(1+Supuestos!$E$8^2/Supuestos!$D$8^2))),Supuestos!$D$8))))))</f>
        <v/>
      </c>
      <c r="M572" s="32">
        <f>MIN(IF(Supuestos!$H$9="",1E+99,Supuestos!$H$9),MAX(IF(Supuestos!$G$9="",-1E+99,Supuestos!$G$9),IF(Supuestos!$C$9="Normal",NORMINV(F572,Supuestos!$D$9,Supuestos!$E$9),IF(Supuestos!$C$9="Triangular",IF(F572&lt;(Supuestos!$E$9-Supuestos!$D$9)/(Supuestos!$F$9-Supuestos!$D$9),Supuestos!$D$9+SQRT(F572*(Supuestos!$F$9-Supuestos!$D$9)*(Supuestos!$E$9-Supuestos!$D$9)),Supuestos!$F$9-SQRT((1-F572)*(Supuestos!$F$9-Supuestos!$D$9)*(Supuestos!$F$9-Supuestos!$E$9))),IF(Supuestos!$C$9="Uniforme",Supuestos!$D$9+F572*(Supuestos!$E$9-Supuestos!$D$9),IF(Supuestos!$C$9="Lognormal",LOGINV(F572,LN(Supuestos!$D$9)-LN(1+Supuestos!$E$9^2/Supuestos!$D$9^2)/2,SQRT(LN(1+Supuestos!$E$9^2/Supuestos!$D$9^2))),Supuestos!$D$9))))))</f>
        <v/>
      </c>
      <c r="N572" s="32">
        <f>MIN(IF(Supuestos!$H$10="",1E+99,Supuestos!$H$10),MAX(IF(Supuestos!$G$10="",-1E+99,Supuestos!$G$10),IF(Supuestos!$C$10="Normal",NORMINV(G572,Supuestos!$D$10,Supuestos!$E$10),IF(Supuestos!$C$10="Triangular",IF(G572&lt;(Supuestos!$E$10-Supuestos!$D$10)/(Supuestos!$F$10-Supuestos!$D$10),Supuestos!$D$10+SQRT(G572*(Supuestos!$F$10-Supuestos!$D$10)*(Supuestos!$E$10-Supuestos!$D$10)),Supuestos!$F$10-SQRT((1-G572)*(Supuestos!$F$10-Supuestos!$D$10)*(Supuestos!$F$10-Supuestos!$E$10))),IF(Supuestos!$C$10="Uniforme",Supuestos!$D$10+G572*(Supuestos!$E$10-Supuestos!$D$10),IF(Supuestos!$C$10="Lognormal",LOGINV(G572,LN(Supuestos!$D$10)-LN(1+Supuestos!$E$10^2/Supuestos!$D$10^2)/2,SQRT(LN(1+Supuestos!$E$10^2/Supuestos!$D$10^2))),Supuestos!$D$10))))))</f>
        <v/>
      </c>
      <c r="O572" s="31">
        <f>MIN(IF(Supuestos!$H$11="",1E+99,Supuestos!$H$11),MAX(IF(Supuestos!$G$11="",-1E+99,Supuestos!$G$11),IF(Supuestos!$C$11="Normal",NORMINV(H572,Supuestos!$D$11,Supuestos!$E$11),IF(Supuestos!$C$11="Triangular",IF(H572&lt;(Supuestos!$E$11-Supuestos!$D$11)/(Supuestos!$F$11-Supuestos!$D$11),Supuestos!$D$11+SQRT(H572*(Supuestos!$F$11-Supuestos!$D$11)*(Supuestos!$E$11-Supuestos!$D$11)),Supuestos!$F$11-SQRT((1-H572)*(Supuestos!$F$11-Supuestos!$D$11)*(Supuestos!$F$11-Supuestos!$E$11))),IF(Supuestos!$C$11="Uniforme",Supuestos!$D$11+H572*(Supuestos!$E$11-Supuestos!$D$11),IF(Supuestos!$C$11="Lognormal",LOGINV(H572,LN(Supuestos!$D$11)-LN(1+Supuestos!$E$11^2/Supuestos!$D$11^2)/2,SQRT(LN(1+Supuestos!$E$11^2/Supuestos!$D$11^2))),Supuestos!$D$11))))))</f>
        <v/>
      </c>
      <c r="P572" s="33">
        <f>-I572</f>
        <v/>
      </c>
      <c r="Q572" s="33">
        <f>$J572*(1+$K572)^(1-1)*(1-$L572)*(1-$M572)</f>
        <v/>
      </c>
      <c r="R572" s="33">
        <f>$J572*(1+$K572)^(2-1)*(1-$L572)*(1-$M572)</f>
        <v/>
      </c>
      <c r="S572" s="33">
        <f>$J572*(1+$K572)^(3-1)*(1-$L572)*(1-$M572)</f>
        <v/>
      </c>
      <c r="T572" s="33">
        <f>$J572*(1+$K572)^(4-1)*(1-$L572)*(1-$M572)</f>
        <v/>
      </c>
      <c r="U572" s="33">
        <f>$J572*(1+$K572)^(5-1)*(1-$L572)*(1-$M572)+$O572</f>
        <v/>
      </c>
      <c r="V572" s="33">
        <f>P572+NPV($N572,Q572:U572)</f>
        <v/>
      </c>
      <c r="W572" s="32">
        <f>IFERROR(IRR(P572:U572,0.1),"")</f>
        <v/>
      </c>
    </row>
    <row r="573">
      <c r="A573" s="14" t="n">
        <v>569</v>
      </c>
      <c r="B573" s="30">
        <f>RAND()*(1-2E-6)+1E-6</f>
        <v/>
      </c>
      <c r="C573" s="30">
        <f>RAND()*(1-2E-6)+1E-6</f>
        <v/>
      </c>
      <c r="D573" s="30">
        <f>RAND()*(1-2E-6)+1E-6</f>
        <v/>
      </c>
      <c r="E573" s="30">
        <f>RAND()*(1-2E-6)+1E-6</f>
        <v/>
      </c>
      <c r="F573" s="30">
        <f>RAND()*(1-2E-6)+1E-6</f>
        <v/>
      </c>
      <c r="G573" s="30">
        <f>RAND()*(1-2E-6)+1E-6</f>
        <v/>
      </c>
      <c r="H573" s="30">
        <f>RAND()*(1-2E-6)+1E-6</f>
        <v/>
      </c>
      <c r="I573" s="31">
        <f>MIN(IF(Supuestos!$H$5="",1E+99,Supuestos!$H$5),MAX(IF(Supuestos!$G$5="",-1E+99,Supuestos!$G$5),IF(Supuestos!$C$5="Normal",NORMINV(B573,Supuestos!$D$5,Supuestos!$E$5),IF(Supuestos!$C$5="Triangular",IF(B573&lt;(Supuestos!$E$5-Supuestos!$D$5)/(Supuestos!$F$5-Supuestos!$D$5),Supuestos!$D$5+SQRT(B573*(Supuestos!$F$5-Supuestos!$D$5)*(Supuestos!$E$5-Supuestos!$D$5)),Supuestos!$F$5-SQRT((1-B573)*(Supuestos!$F$5-Supuestos!$D$5)*(Supuestos!$F$5-Supuestos!$E$5))),IF(Supuestos!$C$5="Uniforme",Supuestos!$D$5+B573*(Supuestos!$E$5-Supuestos!$D$5),IF(Supuestos!$C$5="Lognormal",LOGINV(B573,LN(Supuestos!$D$5)-LN(1+Supuestos!$E$5^2/Supuestos!$D$5^2)/2,SQRT(LN(1+Supuestos!$E$5^2/Supuestos!$D$5^2))),Supuestos!$D$5))))))</f>
        <v/>
      </c>
      <c r="J573" s="31">
        <f>MIN(IF(Supuestos!$H$6="",1E+99,Supuestos!$H$6),MAX(IF(Supuestos!$G$6="",-1E+99,Supuestos!$G$6),IF(Supuestos!$C$6="Normal",NORMINV(C573,Supuestos!$D$6,Supuestos!$E$6),IF(Supuestos!$C$6="Triangular",IF(C573&lt;(Supuestos!$E$6-Supuestos!$D$6)/(Supuestos!$F$6-Supuestos!$D$6),Supuestos!$D$6+SQRT(C573*(Supuestos!$F$6-Supuestos!$D$6)*(Supuestos!$E$6-Supuestos!$D$6)),Supuestos!$F$6-SQRT((1-C573)*(Supuestos!$F$6-Supuestos!$D$6)*(Supuestos!$F$6-Supuestos!$E$6))),IF(Supuestos!$C$6="Uniforme",Supuestos!$D$6+C573*(Supuestos!$E$6-Supuestos!$D$6),IF(Supuestos!$C$6="Lognormal",LOGINV(C573,LN(Supuestos!$D$6)-LN(1+Supuestos!$E$6^2/Supuestos!$D$6^2)/2,SQRT(LN(1+Supuestos!$E$6^2/Supuestos!$D$6^2))),Supuestos!$D$6))))))</f>
        <v/>
      </c>
      <c r="K573" s="32">
        <f>MIN(IF(Supuestos!$H$7="",1E+99,Supuestos!$H$7),MAX(IF(Supuestos!$G$7="",-1E+99,Supuestos!$G$7),IF(Supuestos!$C$7="Normal",NORMINV(D573,Supuestos!$D$7,Supuestos!$E$7),IF(Supuestos!$C$7="Triangular",IF(D573&lt;(Supuestos!$E$7-Supuestos!$D$7)/(Supuestos!$F$7-Supuestos!$D$7),Supuestos!$D$7+SQRT(D573*(Supuestos!$F$7-Supuestos!$D$7)*(Supuestos!$E$7-Supuestos!$D$7)),Supuestos!$F$7-SQRT((1-D573)*(Supuestos!$F$7-Supuestos!$D$7)*(Supuestos!$F$7-Supuestos!$E$7))),IF(Supuestos!$C$7="Uniforme",Supuestos!$D$7+D573*(Supuestos!$E$7-Supuestos!$D$7),IF(Supuestos!$C$7="Lognormal",LOGINV(D573,LN(Supuestos!$D$7)-LN(1+Supuestos!$E$7^2/Supuestos!$D$7^2)/2,SQRT(LN(1+Supuestos!$E$7^2/Supuestos!$D$7^2))),Supuestos!$D$7))))))</f>
        <v/>
      </c>
      <c r="L573" s="32">
        <f>MIN(IF(Supuestos!$H$8="",1E+99,Supuestos!$H$8),MAX(IF(Supuestos!$G$8="",-1E+99,Supuestos!$G$8),IF(Supuestos!$C$8="Normal",NORMINV(E573,Supuestos!$D$8,Supuestos!$E$8),IF(Supuestos!$C$8="Triangular",IF(E573&lt;(Supuestos!$E$8-Supuestos!$D$8)/(Supuestos!$F$8-Supuestos!$D$8),Supuestos!$D$8+SQRT(E573*(Supuestos!$F$8-Supuestos!$D$8)*(Supuestos!$E$8-Supuestos!$D$8)),Supuestos!$F$8-SQRT((1-E573)*(Supuestos!$F$8-Supuestos!$D$8)*(Supuestos!$F$8-Supuestos!$E$8))),IF(Supuestos!$C$8="Uniforme",Supuestos!$D$8+E573*(Supuestos!$E$8-Supuestos!$D$8),IF(Supuestos!$C$8="Lognormal",LOGINV(E573,LN(Supuestos!$D$8)-LN(1+Supuestos!$E$8^2/Supuestos!$D$8^2)/2,SQRT(LN(1+Supuestos!$E$8^2/Supuestos!$D$8^2))),Supuestos!$D$8))))))</f>
        <v/>
      </c>
      <c r="M573" s="32">
        <f>MIN(IF(Supuestos!$H$9="",1E+99,Supuestos!$H$9),MAX(IF(Supuestos!$G$9="",-1E+99,Supuestos!$G$9),IF(Supuestos!$C$9="Normal",NORMINV(F573,Supuestos!$D$9,Supuestos!$E$9),IF(Supuestos!$C$9="Triangular",IF(F573&lt;(Supuestos!$E$9-Supuestos!$D$9)/(Supuestos!$F$9-Supuestos!$D$9),Supuestos!$D$9+SQRT(F573*(Supuestos!$F$9-Supuestos!$D$9)*(Supuestos!$E$9-Supuestos!$D$9)),Supuestos!$F$9-SQRT((1-F573)*(Supuestos!$F$9-Supuestos!$D$9)*(Supuestos!$F$9-Supuestos!$E$9))),IF(Supuestos!$C$9="Uniforme",Supuestos!$D$9+F573*(Supuestos!$E$9-Supuestos!$D$9),IF(Supuestos!$C$9="Lognormal",LOGINV(F573,LN(Supuestos!$D$9)-LN(1+Supuestos!$E$9^2/Supuestos!$D$9^2)/2,SQRT(LN(1+Supuestos!$E$9^2/Supuestos!$D$9^2))),Supuestos!$D$9))))))</f>
        <v/>
      </c>
      <c r="N573" s="32">
        <f>MIN(IF(Supuestos!$H$10="",1E+99,Supuestos!$H$10),MAX(IF(Supuestos!$G$10="",-1E+99,Supuestos!$G$10),IF(Supuestos!$C$10="Normal",NORMINV(G573,Supuestos!$D$10,Supuestos!$E$10),IF(Supuestos!$C$10="Triangular",IF(G573&lt;(Supuestos!$E$10-Supuestos!$D$10)/(Supuestos!$F$10-Supuestos!$D$10),Supuestos!$D$10+SQRT(G573*(Supuestos!$F$10-Supuestos!$D$10)*(Supuestos!$E$10-Supuestos!$D$10)),Supuestos!$F$10-SQRT((1-G573)*(Supuestos!$F$10-Supuestos!$D$10)*(Supuestos!$F$10-Supuestos!$E$10))),IF(Supuestos!$C$10="Uniforme",Supuestos!$D$10+G573*(Supuestos!$E$10-Supuestos!$D$10),IF(Supuestos!$C$10="Lognormal",LOGINV(G573,LN(Supuestos!$D$10)-LN(1+Supuestos!$E$10^2/Supuestos!$D$10^2)/2,SQRT(LN(1+Supuestos!$E$10^2/Supuestos!$D$10^2))),Supuestos!$D$10))))))</f>
        <v/>
      </c>
      <c r="O573" s="31">
        <f>MIN(IF(Supuestos!$H$11="",1E+99,Supuestos!$H$11),MAX(IF(Supuestos!$G$11="",-1E+99,Supuestos!$G$11),IF(Supuestos!$C$11="Normal",NORMINV(H573,Supuestos!$D$11,Supuestos!$E$11),IF(Supuestos!$C$11="Triangular",IF(H573&lt;(Supuestos!$E$11-Supuestos!$D$11)/(Supuestos!$F$11-Supuestos!$D$11),Supuestos!$D$11+SQRT(H573*(Supuestos!$F$11-Supuestos!$D$11)*(Supuestos!$E$11-Supuestos!$D$11)),Supuestos!$F$11-SQRT((1-H573)*(Supuestos!$F$11-Supuestos!$D$11)*(Supuestos!$F$11-Supuestos!$E$11))),IF(Supuestos!$C$11="Uniforme",Supuestos!$D$11+H573*(Supuestos!$E$11-Supuestos!$D$11),IF(Supuestos!$C$11="Lognormal",LOGINV(H573,LN(Supuestos!$D$11)-LN(1+Supuestos!$E$11^2/Supuestos!$D$11^2)/2,SQRT(LN(1+Supuestos!$E$11^2/Supuestos!$D$11^2))),Supuestos!$D$11))))))</f>
        <v/>
      </c>
      <c r="P573" s="33">
        <f>-I573</f>
        <v/>
      </c>
      <c r="Q573" s="33">
        <f>$J573*(1+$K573)^(1-1)*(1-$L573)*(1-$M573)</f>
        <v/>
      </c>
      <c r="R573" s="33">
        <f>$J573*(1+$K573)^(2-1)*(1-$L573)*(1-$M573)</f>
        <v/>
      </c>
      <c r="S573" s="33">
        <f>$J573*(1+$K573)^(3-1)*(1-$L573)*(1-$M573)</f>
        <v/>
      </c>
      <c r="T573" s="33">
        <f>$J573*(1+$K573)^(4-1)*(1-$L573)*(1-$M573)</f>
        <v/>
      </c>
      <c r="U573" s="33">
        <f>$J573*(1+$K573)^(5-1)*(1-$L573)*(1-$M573)+$O573</f>
        <v/>
      </c>
      <c r="V573" s="33">
        <f>P573+NPV($N573,Q573:U573)</f>
        <v/>
      </c>
      <c r="W573" s="32">
        <f>IFERROR(IRR(P573:U573,0.1),"")</f>
        <v/>
      </c>
    </row>
    <row r="574">
      <c r="A574" s="14" t="n">
        <v>570</v>
      </c>
      <c r="B574" s="30">
        <f>RAND()*(1-2E-6)+1E-6</f>
        <v/>
      </c>
      <c r="C574" s="30">
        <f>RAND()*(1-2E-6)+1E-6</f>
        <v/>
      </c>
      <c r="D574" s="30">
        <f>RAND()*(1-2E-6)+1E-6</f>
        <v/>
      </c>
      <c r="E574" s="30">
        <f>RAND()*(1-2E-6)+1E-6</f>
        <v/>
      </c>
      <c r="F574" s="30">
        <f>RAND()*(1-2E-6)+1E-6</f>
        <v/>
      </c>
      <c r="G574" s="30">
        <f>RAND()*(1-2E-6)+1E-6</f>
        <v/>
      </c>
      <c r="H574" s="30">
        <f>RAND()*(1-2E-6)+1E-6</f>
        <v/>
      </c>
      <c r="I574" s="31">
        <f>MIN(IF(Supuestos!$H$5="",1E+99,Supuestos!$H$5),MAX(IF(Supuestos!$G$5="",-1E+99,Supuestos!$G$5),IF(Supuestos!$C$5="Normal",NORMINV(B574,Supuestos!$D$5,Supuestos!$E$5),IF(Supuestos!$C$5="Triangular",IF(B574&lt;(Supuestos!$E$5-Supuestos!$D$5)/(Supuestos!$F$5-Supuestos!$D$5),Supuestos!$D$5+SQRT(B574*(Supuestos!$F$5-Supuestos!$D$5)*(Supuestos!$E$5-Supuestos!$D$5)),Supuestos!$F$5-SQRT((1-B574)*(Supuestos!$F$5-Supuestos!$D$5)*(Supuestos!$F$5-Supuestos!$E$5))),IF(Supuestos!$C$5="Uniforme",Supuestos!$D$5+B574*(Supuestos!$E$5-Supuestos!$D$5),IF(Supuestos!$C$5="Lognormal",LOGINV(B574,LN(Supuestos!$D$5)-LN(1+Supuestos!$E$5^2/Supuestos!$D$5^2)/2,SQRT(LN(1+Supuestos!$E$5^2/Supuestos!$D$5^2))),Supuestos!$D$5))))))</f>
        <v/>
      </c>
      <c r="J574" s="31">
        <f>MIN(IF(Supuestos!$H$6="",1E+99,Supuestos!$H$6),MAX(IF(Supuestos!$G$6="",-1E+99,Supuestos!$G$6),IF(Supuestos!$C$6="Normal",NORMINV(C574,Supuestos!$D$6,Supuestos!$E$6),IF(Supuestos!$C$6="Triangular",IF(C574&lt;(Supuestos!$E$6-Supuestos!$D$6)/(Supuestos!$F$6-Supuestos!$D$6),Supuestos!$D$6+SQRT(C574*(Supuestos!$F$6-Supuestos!$D$6)*(Supuestos!$E$6-Supuestos!$D$6)),Supuestos!$F$6-SQRT((1-C574)*(Supuestos!$F$6-Supuestos!$D$6)*(Supuestos!$F$6-Supuestos!$E$6))),IF(Supuestos!$C$6="Uniforme",Supuestos!$D$6+C574*(Supuestos!$E$6-Supuestos!$D$6),IF(Supuestos!$C$6="Lognormal",LOGINV(C574,LN(Supuestos!$D$6)-LN(1+Supuestos!$E$6^2/Supuestos!$D$6^2)/2,SQRT(LN(1+Supuestos!$E$6^2/Supuestos!$D$6^2))),Supuestos!$D$6))))))</f>
        <v/>
      </c>
      <c r="K574" s="32">
        <f>MIN(IF(Supuestos!$H$7="",1E+99,Supuestos!$H$7),MAX(IF(Supuestos!$G$7="",-1E+99,Supuestos!$G$7),IF(Supuestos!$C$7="Normal",NORMINV(D574,Supuestos!$D$7,Supuestos!$E$7),IF(Supuestos!$C$7="Triangular",IF(D574&lt;(Supuestos!$E$7-Supuestos!$D$7)/(Supuestos!$F$7-Supuestos!$D$7),Supuestos!$D$7+SQRT(D574*(Supuestos!$F$7-Supuestos!$D$7)*(Supuestos!$E$7-Supuestos!$D$7)),Supuestos!$F$7-SQRT((1-D574)*(Supuestos!$F$7-Supuestos!$D$7)*(Supuestos!$F$7-Supuestos!$E$7))),IF(Supuestos!$C$7="Uniforme",Supuestos!$D$7+D574*(Supuestos!$E$7-Supuestos!$D$7),IF(Supuestos!$C$7="Lognormal",LOGINV(D574,LN(Supuestos!$D$7)-LN(1+Supuestos!$E$7^2/Supuestos!$D$7^2)/2,SQRT(LN(1+Supuestos!$E$7^2/Supuestos!$D$7^2))),Supuestos!$D$7))))))</f>
        <v/>
      </c>
      <c r="L574" s="32">
        <f>MIN(IF(Supuestos!$H$8="",1E+99,Supuestos!$H$8),MAX(IF(Supuestos!$G$8="",-1E+99,Supuestos!$G$8),IF(Supuestos!$C$8="Normal",NORMINV(E574,Supuestos!$D$8,Supuestos!$E$8),IF(Supuestos!$C$8="Triangular",IF(E574&lt;(Supuestos!$E$8-Supuestos!$D$8)/(Supuestos!$F$8-Supuestos!$D$8),Supuestos!$D$8+SQRT(E574*(Supuestos!$F$8-Supuestos!$D$8)*(Supuestos!$E$8-Supuestos!$D$8)),Supuestos!$F$8-SQRT((1-E574)*(Supuestos!$F$8-Supuestos!$D$8)*(Supuestos!$F$8-Supuestos!$E$8))),IF(Supuestos!$C$8="Uniforme",Supuestos!$D$8+E574*(Supuestos!$E$8-Supuestos!$D$8),IF(Supuestos!$C$8="Lognormal",LOGINV(E574,LN(Supuestos!$D$8)-LN(1+Supuestos!$E$8^2/Supuestos!$D$8^2)/2,SQRT(LN(1+Supuestos!$E$8^2/Supuestos!$D$8^2))),Supuestos!$D$8))))))</f>
        <v/>
      </c>
      <c r="M574" s="32">
        <f>MIN(IF(Supuestos!$H$9="",1E+99,Supuestos!$H$9),MAX(IF(Supuestos!$G$9="",-1E+99,Supuestos!$G$9),IF(Supuestos!$C$9="Normal",NORMINV(F574,Supuestos!$D$9,Supuestos!$E$9),IF(Supuestos!$C$9="Triangular",IF(F574&lt;(Supuestos!$E$9-Supuestos!$D$9)/(Supuestos!$F$9-Supuestos!$D$9),Supuestos!$D$9+SQRT(F574*(Supuestos!$F$9-Supuestos!$D$9)*(Supuestos!$E$9-Supuestos!$D$9)),Supuestos!$F$9-SQRT((1-F574)*(Supuestos!$F$9-Supuestos!$D$9)*(Supuestos!$F$9-Supuestos!$E$9))),IF(Supuestos!$C$9="Uniforme",Supuestos!$D$9+F574*(Supuestos!$E$9-Supuestos!$D$9),IF(Supuestos!$C$9="Lognormal",LOGINV(F574,LN(Supuestos!$D$9)-LN(1+Supuestos!$E$9^2/Supuestos!$D$9^2)/2,SQRT(LN(1+Supuestos!$E$9^2/Supuestos!$D$9^2))),Supuestos!$D$9))))))</f>
        <v/>
      </c>
      <c r="N574" s="32">
        <f>MIN(IF(Supuestos!$H$10="",1E+99,Supuestos!$H$10),MAX(IF(Supuestos!$G$10="",-1E+99,Supuestos!$G$10),IF(Supuestos!$C$10="Normal",NORMINV(G574,Supuestos!$D$10,Supuestos!$E$10),IF(Supuestos!$C$10="Triangular",IF(G574&lt;(Supuestos!$E$10-Supuestos!$D$10)/(Supuestos!$F$10-Supuestos!$D$10),Supuestos!$D$10+SQRT(G574*(Supuestos!$F$10-Supuestos!$D$10)*(Supuestos!$E$10-Supuestos!$D$10)),Supuestos!$F$10-SQRT((1-G574)*(Supuestos!$F$10-Supuestos!$D$10)*(Supuestos!$F$10-Supuestos!$E$10))),IF(Supuestos!$C$10="Uniforme",Supuestos!$D$10+G574*(Supuestos!$E$10-Supuestos!$D$10),IF(Supuestos!$C$10="Lognormal",LOGINV(G574,LN(Supuestos!$D$10)-LN(1+Supuestos!$E$10^2/Supuestos!$D$10^2)/2,SQRT(LN(1+Supuestos!$E$10^2/Supuestos!$D$10^2))),Supuestos!$D$10))))))</f>
        <v/>
      </c>
      <c r="O574" s="31">
        <f>MIN(IF(Supuestos!$H$11="",1E+99,Supuestos!$H$11),MAX(IF(Supuestos!$G$11="",-1E+99,Supuestos!$G$11),IF(Supuestos!$C$11="Normal",NORMINV(H574,Supuestos!$D$11,Supuestos!$E$11),IF(Supuestos!$C$11="Triangular",IF(H574&lt;(Supuestos!$E$11-Supuestos!$D$11)/(Supuestos!$F$11-Supuestos!$D$11),Supuestos!$D$11+SQRT(H574*(Supuestos!$F$11-Supuestos!$D$11)*(Supuestos!$E$11-Supuestos!$D$11)),Supuestos!$F$11-SQRT((1-H574)*(Supuestos!$F$11-Supuestos!$D$11)*(Supuestos!$F$11-Supuestos!$E$11))),IF(Supuestos!$C$11="Uniforme",Supuestos!$D$11+H574*(Supuestos!$E$11-Supuestos!$D$11),IF(Supuestos!$C$11="Lognormal",LOGINV(H574,LN(Supuestos!$D$11)-LN(1+Supuestos!$E$11^2/Supuestos!$D$11^2)/2,SQRT(LN(1+Supuestos!$E$11^2/Supuestos!$D$11^2))),Supuestos!$D$11))))))</f>
        <v/>
      </c>
      <c r="P574" s="33">
        <f>-I574</f>
        <v/>
      </c>
      <c r="Q574" s="33">
        <f>$J574*(1+$K574)^(1-1)*(1-$L574)*(1-$M574)</f>
        <v/>
      </c>
      <c r="R574" s="33">
        <f>$J574*(1+$K574)^(2-1)*(1-$L574)*(1-$M574)</f>
        <v/>
      </c>
      <c r="S574" s="33">
        <f>$J574*(1+$K574)^(3-1)*(1-$L574)*(1-$M574)</f>
        <v/>
      </c>
      <c r="T574" s="33">
        <f>$J574*(1+$K574)^(4-1)*(1-$L574)*(1-$M574)</f>
        <v/>
      </c>
      <c r="U574" s="33">
        <f>$J574*(1+$K574)^(5-1)*(1-$L574)*(1-$M574)+$O574</f>
        <v/>
      </c>
      <c r="V574" s="33">
        <f>P574+NPV($N574,Q574:U574)</f>
        <v/>
      </c>
      <c r="W574" s="32">
        <f>IFERROR(IRR(P574:U574,0.1),"")</f>
        <v/>
      </c>
    </row>
    <row r="575">
      <c r="A575" s="14" t="n">
        <v>571</v>
      </c>
      <c r="B575" s="30">
        <f>RAND()*(1-2E-6)+1E-6</f>
        <v/>
      </c>
      <c r="C575" s="30">
        <f>RAND()*(1-2E-6)+1E-6</f>
        <v/>
      </c>
      <c r="D575" s="30">
        <f>RAND()*(1-2E-6)+1E-6</f>
        <v/>
      </c>
      <c r="E575" s="30">
        <f>RAND()*(1-2E-6)+1E-6</f>
        <v/>
      </c>
      <c r="F575" s="30">
        <f>RAND()*(1-2E-6)+1E-6</f>
        <v/>
      </c>
      <c r="G575" s="30">
        <f>RAND()*(1-2E-6)+1E-6</f>
        <v/>
      </c>
      <c r="H575" s="30">
        <f>RAND()*(1-2E-6)+1E-6</f>
        <v/>
      </c>
      <c r="I575" s="31">
        <f>MIN(IF(Supuestos!$H$5="",1E+99,Supuestos!$H$5),MAX(IF(Supuestos!$G$5="",-1E+99,Supuestos!$G$5),IF(Supuestos!$C$5="Normal",NORMINV(B575,Supuestos!$D$5,Supuestos!$E$5),IF(Supuestos!$C$5="Triangular",IF(B575&lt;(Supuestos!$E$5-Supuestos!$D$5)/(Supuestos!$F$5-Supuestos!$D$5),Supuestos!$D$5+SQRT(B575*(Supuestos!$F$5-Supuestos!$D$5)*(Supuestos!$E$5-Supuestos!$D$5)),Supuestos!$F$5-SQRT((1-B575)*(Supuestos!$F$5-Supuestos!$D$5)*(Supuestos!$F$5-Supuestos!$E$5))),IF(Supuestos!$C$5="Uniforme",Supuestos!$D$5+B575*(Supuestos!$E$5-Supuestos!$D$5),IF(Supuestos!$C$5="Lognormal",LOGINV(B575,LN(Supuestos!$D$5)-LN(1+Supuestos!$E$5^2/Supuestos!$D$5^2)/2,SQRT(LN(1+Supuestos!$E$5^2/Supuestos!$D$5^2))),Supuestos!$D$5))))))</f>
        <v/>
      </c>
      <c r="J575" s="31">
        <f>MIN(IF(Supuestos!$H$6="",1E+99,Supuestos!$H$6),MAX(IF(Supuestos!$G$6="",-1E+99,Supuestos!$G$6),IF(Supuestos!$C$6="Normal",NORMINV(C575,Supuestos!$D$6,Supuestos!$E$6),IF(Supuestos!$C$6="Triangular",IF(C575&lt;(Supuestos!$E$6-Supuestos!$D$6)/(Supuestos!$F$6-Supuestos!$D$6),Supuestos!$D$6+SQRT(C575*(Supuestos!$F$6-Supuestos!$D$6)*(Supuestos!$E$6-Supuestos!$D$6)),Supuestos!$F$6-SQRT((1-C575)*(Supuestos!$F$6-Supuestos!$D$6)*(Supuestos!$F$6-Supuestos!$E$6))),IF(Supuestos!$C$6="Uniforme",Supuestos!$D$6+C575*(Supuestos!$E$6-Supuestos!$D$6),IF(Supuestos!$C$6="Lognormal",LOGINV(C575,LN(Supuestos!$D$6)-LN(1+Supuestos!$E$6^2/Supuestos!$D$6^2)/2,SQRT(LN(1+Supuestos!$E$6^2/Supuestos!$D$6^2))),Supuestos!$D$6))))))</f>
        <v/>
      </c>
      <c r="K575" s="32">
        <f>MIN(IF(Supuestos!$H$7="",1E+99,Supuestos!$H$7),MAX(IF(Supuestos!$G$7="",-1E+99,Supuestos!$G$7),IF(Supuestos!$C$7="Normal",NORMINV(D575,Supuestos!$D$7,Supuestos!$E$7),IF(Supuestos!$C$7="Triangular",IF(D575&lt;(Supuestos!$E$7-Supuestos!$D$7)/(Supuestos!$F$7-Supuestos!$D$7),Supuestos!$D$7+SQRT(D575*(Supuestos!$F$7-Supuestos!$D$7)*(Supuestos!$E$7-Supuestos!$D$7)),Supuestos!$F$7-SQRT((1-D575)*(Supuestos!$F$7-Supuestos!$D$7)*(Supuestos!$F$7-Supuestos!$E$7))),IF(Supuestos!$C$7="Uniforme",Supuestos!$D$7+D575*(Supuestos!$E$7-Supuestos!$D$7),IF(Supuestos!$C$7="Lognormal",LOGINV(D575,LN(Supuestos!$D$7)-LN(1+Supuestos!$E$7^2/Supuestos!$D$7^2)/2,SQRT(LN(1+Supuestos!$E$7^2/Supuestos!$D$7^2))),Supuestos!$D$7))))))</f>
        <v/>
      </c>
      <c r="L575" s="32">
        <f>MIN(IF(Supuestos!$H$8="",1E+99,Supuestos!$H$8),MAX(IF(Supuestos!$G$8="",-1E+99,Supuestos!$G$8),IF(Supuestos!$C$8="Normal",NORMINV(E575,Supuestos!$D$8,Supuestos!$E$8),IF(Supuestos!$C$8="Triangular",IF(E575&lt;(Supuestos!$E$8-Supuestos!$D$8)/(Supuestos!$F$8-Supuestos!$D$8),Supuestos!$D$8+SQRT(E575*(Supuestos!$F$8-Supuestos!$D$8)*(Supuestos!$E$8-Supuestos!$D$8)),Supuestos!$F$8-SQRT((1-E575)*(Supuestos!$F$8-Supuestos!$D$8)*(Supuestos!$F$8-Supuestos!$E$8))),IF(Supuestos!$C$8="Uniforme",Supuestos!$D$8+E575*(Supuestos!$E$8-Supuestos!$D$8),IF(Supuestos!$C$8="Lognormal",LOGINV(E575,LN(Supuestos!$D$8)-LN(1+Supuestos!$E$8^2/Supuestos!$D$8^2)/2,SQRT(LN(1+Supuestos!$E$8^2/Supuestos!$D$8^2))),Supuestos!$D$8))))))</f>
        <v/>
      </c>
      <c r="M575" s="32">
        <f>MIN(IF(Supuestos!$H$9="",1E+99,Supuestos!$H$9),MAX(IF(Supuestos!$G$9="",-1E+99,Supuestos!$G$9),IF(Supuestos!$C$9="Normal",NORMINV(F575,Supuestos!$D$9,Supuestos!$E$9),IF(Supuestos!$C$9="Triangular",IF(F575&lt;(Supuestos!$E$9-Supuestos!$D$9)/(Supuestos!$F$9-Supuestos!$D$9),Supuestos!$D$9+SQRT(F575*(Supuestos!$F$9-Supuestos!$D$9)*(Supuestos!$E$9-Supuestos!$D$9)),Supuestos!$F$9-SQRT((1-F575)*(Supuestos!$F$9-Supuestos!$D$9)*(Supuestos!$F$9-Supuestos!$E$9))),IF(Supuestos!$C$9="Uniforme",Supuestos!$D$9+F575*(Supuestos!$E$9-Supuestos!$D$9),IF(Supuestos!$C$9="Lognormal",LOGINV(F575,LN(Supuestos!$D$9)-LN(1+Supuestos!$E$9^2/Supuestos!$D$9^2)/2,SQRT(LN(1+Supuestos!$E$9^2/Supuestos!$D$9^2))),Supuestos!$D$9))))))</f>
        <v/>
      </c>
      <c r="N575" s="32">
        <f>MIN(IF(Supuestos!$H$10="",1E+99,Supuestos!$H$10),MAX(IF(Supuestos!$G$10="",-1E+99,Supuestos!$G$10),IF(Supuestos!$C$10="Normal",NORMINV(G575,Supuestos!$D$10,Supuestos!$E$10),IF(Supuestos!$C$10="Triangular",IF(G575&lt;(Supuestos!$E$10-Supuestos!$D$10)/(Supuestos!$F$10-Supuestos!$D$10),Supuestos!$D$10+SQRT(G575*(Supuestos!$F$10-Supuestos!$D$10)*(Supuestos!$E$10-Supuestos!$D$10)),Supuestos!$F$10-SQRT((1-G575)*(Supuestos!$F$10-Supuestos!$D$10)*(Supuestos!$F$10-Supuestos!$E$10))),IF(Supuestos!$C$10="Uniforme",Supuestos!$D$10+G575*(Supuestos!$E$10-Supuestos!$D$10),IF(Supuestos!$C$10="Lognormal",LOGINV(G575,LN(Supuestos!$D$10)-LN(1+Supuestos!$E$10^2/Supuestos!$D$10^2)/2,SQRT(LN(1+Supuestos!$E$10^2/Supuestos!$D$10^2))),Supuestos!$D$10))))))</f>
        <v/>
      </c>
      <c r="O575" s="31">
        <f>MIN(IF(Supuestos!$H$11="",1E+99,Supuestos!$H$11),MAX(IF(Supuestos!$G$11="",-1E+99,Supuestos!$G$11),IF(Supuestos!$C$11="Normal",NORMINV(H575,Supuestos!$D$11,Supuestos!$E$11),IF(Supuestos!$C$11="Triangular",IF(H575&lt;(Supuestos!$E$11-Supuestos!$D$11)/(Supuestos!$F$11-Supuestos!$D$11),Supuestos!$D$11+SQRT(H575*(Supuestos!$F$11-Supuestos!$D$11)*(Supuestos!$E$11-Supuestos!$D$11)),Supuestos!$F$11-SQRT((1-H575)*(Supuestos!$F$11-Supuestos!$D$11)*(Supuestos!$F$11-Supuestos!$E$11))),IF(Supuestos!$C$11="Uniforme",Supuestos!$D$11+H575*(Supuestos!$E$11-Supuestos!$D$11),IF(Supuestos!$C$11="Lognormal",LOGINV(H575,LN(Supuestos!$D$11)-LN(1+Supuestos!$E$11^2/Supuestos!$D$11^2)/2,SQRT(LN(1+Supuestos!$E$11^2/Supuestos!$D$11^2))),Supuestos!$D$11))))))</f>
        <v/>
      </c>
      <c r="P575" s="33">
        <f>-I575</f>
        <v/>
      </c>
      <c r="Q575" s="33">
        <f>$J575*(1+$K575)^(1-1)*(1-$L575)*(1-$M575)</f>
        <v/>
      </c>
      <c r="R575" s="33">
        <f>$J575*(1+$K575)^(2-1)*(1-$L575)*(1-$M575)</f>
        <v/>
      </c>
      <c r="S575" s="33">
        <f>$J575*(1+$K575)^(3-1)*(1-$L575)*(1-$M575)</f>
        <v/>
      </c>
      <c r="T575" s="33">
        <f>$J575*(1+$K575)^(4-1)*(1-$L575)*(1-$M575)</f>
        <v/>
      </c>
      <c r="U575" s="33">
        <f>$J575*(1+$K575)^(5-1)*(1-$L575)*(1-$M575)+$O575</f>
        <v/>
      </c>
      <c r="V575" s="33">
        <f>P575+NPV($N575,Q575:U575)</f>
        <v/>
      </c>
      <c r="W575" s="32">
        <f>IFERROR(IRR(P575:U575,0.1),"")</f>
        <v/>
      </c>
    </row>
    <row r="576">
      <c r="A576" s="14" t="n">
        <v>572</v>
      </c>
      <c r="B576" s="30">
        <f>RAND()*(1-2E-6)+1E-6</f>
        <v/>
      </c>
      <c r="C576" s="30">
        <f>RAND()*(1-2E-6)+1E-6</f>
        <v/>
      </c>
      <c r="D576" s="30">
        <f>RAND()*(1-2E-6)+1E-6</f>
        <v/>
      </c>
      <c r="E576" s="30">
        <f>RAND()*(1-2E-6)+1E-6</f>
        <v/>
      </c>
      <c r="F576" s="30">
        <f>RAND()*(1-2E-6)+1E-6</f>
        <v/>
      </c>
      <c r="G576" s="30">
        <f>RAND()*(1-2E-6)+1E-6</f>
        <v/>
      </c>
      <c r="H576" s="30">
        <f>RAND()*(1-2E-6)+1E-6</f>
        <v/>
      </c>
      <c r="I576" s="31">
        <f>MIN(IF(Supuestos!$H$5="",1E+99,Supuestos!$H$5),MAX(IF(Supuestos!$G$5="",-1E+99,Supuestos!$G$5),IF(Supuestos!$C$5="Normal",NORMINV(B576,Supuestos!$D$5,Supuestos!$E$5),IF(Supuestos!$C$5="Triangular",IF(B576&lt;(Supuestos!$E$5-Supuestos!$D$5)/(Supuestos!$F$5-Supuestos!$D$5),Supuestos!$D$5+SQRT(B576*(Supuestos!$F$5-Supuestos!$D$5)*(Supuestos!$E$5-Supuestos!$D$5)),Supuestos!$F$5-SQRT((1-B576)*(Supuestos!$F$5-Supuestos!$D$5)*(Supuestos!$F$5-Supuestos!$E$5))),IF(Supuestos!$C$5="Uniforme",Supuestos!$D$5+B576*(Supuestos!$E$5-Supuestos!$D$5),IF(Supuestos!$C$5="Lognormal",LOGINV(B576,LN(Supuestos!$D$5)-LN(1+Supuestos!$E$5^2/Supuestos!$D$5^2)/2,SQRT(LN(1+Supuestos!$E$5^2/Supuestos!$D$5^2))),Supuestos!$D$5))))))</f>
        <v/>
      </c>
      <c r="J576" s="31">
        <f>MIN(IF(Supuestos!$H$6="",1E+99,Supuestos!$H$6),MAX(IF(Supuestos!$G$6="",-1E+99,Supuestos!$G$6),IF(Supuestos!$C$6="Normal",NORMINV(C576,Supuestos!$D$6,Supuestos!$E$6),IF(Supuestos!$C$6="Triangular",IF(C576&lt;(Supuestos!$E$6-Supuestos!$D$6)/(Supuestos!$F$6-Supuestos!$D$6),Supuestos!$D$6+SQRT(C576*(Supuestos!$F$6-Supuestos!$D$6)*(Supuestos!$E$6-Supuestos!$D$6)),Supuestos!$F$6-SQRT((1-C576)*(Supuestos!$F$6-Supuestos!$D$6)*(Supuestos!$F$6-Supuestos!$E$6))),IF(Supuestos!$C$6="Uniforme",Supuestos!$D$6+C576*(Supuestos!$E$6-Supuestos!$D$6),IF(Supuestos!$C$6="Lognormal",LOGINV(C576,LN(Supuestos!$D$6)-LN(1+Supuestos!$E$6^2/Supuestos!$D$6^2)/2,SQRT(LN(1+Supuestos!$E$6^2/Supuestos!$D$6^2))),Supuestos!$D$6))))))</f>
        <v/>
      </c>
      <c r="K576" s="32">
        <f>MIN(IF(Supuestos!$H$7="",1E+99,Supuestos!$H$7),MAX(IF(Supuestos!$G$7="",-1E+99,Supuestos!$G$7),IF(Supuestos!$C$7="Normal",NORMINV(D576,Supuestos!$D$7,Supuestos!$E$7),IF(Supuestos!$C$7="Triangular",IF(D576&lt;(Supuestos!$E$7-Supuestos!$D$7)/(Supuestos!$F$7-Supuestos!$D$7),Supuestos!$D$7+SQRT(D576*(Supuestos!$F$7-Supuestos!$D$7)*(Supuestos!$E$7-Supuestos!$D$7)),Supuestos!$F$7-SQRT((1-D576)*(Supuestos!$F$7-Supuestos!$D$7)*(Supuestos!$F$7-Supuestos!$E$7))),IF(Supuestos!$C$7="Uniforme",Supuestos!$D$7+D576*(Supuestos!$E$7-Supuestos!$D$7),IF(Supuestos!$C$7="Lognormal",LOGINV(D576,LN(Supuestos!$D$7)-LN(1+Supuestos!$E$7^2/Supuestos!$D$7^2)/2,SQRT(LN(1+Supuestos!$E$7^2/Supuestos!$D$7^2))),Supuestos!$D$7))))))</f>
        <v/>
      </c>
      <c r="L576" s="32">
        <f>MIN(IF(Supuestos!$H$8="",1E+99,Supuestos!$H$8),MAX(IF(Supuestos!$G$8="",-1E+99,Supuestos!$G$8),IF(Supuestos!$C$8="Normal",NORMINV(E576,Supuestos!$D$8,Supuestos!$E$8),IF(Supuestos!$C$8="Triangular",IF(E576&lt;(Supuestos!$E$8-Supuestos!$D$8)/(Supuestos!$F$8-Supuestos!$D$8),Supuestos!$D$8+SQRT(E576*(Supuestos!$F$8-Supuestos!$D$8)*(Supuestos!$E$8-Supuestos!$D$8)),Supuestos!$F$8-SQRT((1-E576)*(Supuestos!$F$8-Supuestos!$D$8)*(Supuestos!$F$8-Supuestos!$E$8))),IF(Supuestos!$C$8="Uniforme",Supuestos!$D$8+E576*(Supuestos!$E$8-Supuestos!$D$8),IF(Supuestos!$C$8="Lognormal",LOGINV(E576,LN(Supuestos!$D$8)-LN(1+Supuestos!$E$8^2/Supuestos!$D$8^2)/2,SQRT(LN(1+Supuestos!$E$8^2/Supuestos!$D$8^2))),Supuestos!$D$8))))))</f>
        <v/>
      </c>
      <c r="M576" s="32">
        <f>MIN(IF(Supuestos!$H$9="",1E+99,Supuestos!$H$9),MAX(IF(Supuestos!$G$9="",-1E+99,Supuestos!$G$9),IF(Supuestos!$C$9="Normal",NORMINV(F576,Supuestos!$D$9,Supuestos!$E$9),IF(Supuestos!$C$9="Triangular",IF(F576&lt;(Supuestos!$E$9-Supuestos!$D$9)/(Supuestos!$F$9-Supuestos!$D$9),Supuestos!$D$9+SQRT(F576*(Supuestos!$F$9-Supuestos!$D$9)*(Supuestos!$E$9-Supuestos!$D$9)),Supuestos!$F$9-SQRT((1-F576)*(Supuestos!$F$9-Supuestos!$D$9)*(Supuestos!$F$9-Supuestos!$E$9))),IF(Supuestos!$C$9="Uniforme",Supuestos!$D$9+F576*(Supuestos!$E$9-Supuestos!$D$9),IF(Supuestos!$C$9="Lognormal",LOGINV(F576,LN(Supuestos!$D$9)-LN(1+Supuestos!$E$9^2/Supuestos!$D$9^2)/2,SQRT(LN(1+Supuestos!$E$9^2/Supuestos!$D$9^2))),Supuestos!$D$9))))))</f>
        <v/>
      </c>
      <c r="N576" s="32">
        <f>MIN(IF(Supuestos!$H$10="",1E+99,Supuestos!$H$10),MAX(IF(Supuestos!$G$10="",-1E+99,Supuestos!$G$10),IF(Supuestos!$C$10="Normal",NORMINV(G576,Supuestos!$D$10,Supuestos!$E$10),IF(Supuestos!$C$10="Triangular",IF(G576&lt;(Supuestos!$E$10-Supuestos!$D$10)/(Supuestos!$F$10-Supuestos!$D$10),Supuestos!$D$10+SQRT(G576*(Supuestos!$F$10-Supuestos!$D$10)*(Supuestos!$E$10-Supuestos!$D$10)),Supuestos!$F$10-SQRT((1-G576)*(Supuestos!$F$10-Supuestos!$D$10)*(Supuestos!$F$10-Supuestos!$E$10))),IF(Supuestos!$C$10="Uniforme",Supuestos!$D$10+G576*(Supuestos!$E$10-Supuestos!$D$10),IF(Supuestos!$C$10="Lognormal",LOGINV(G576,LN(Supuestos!$D$10)-LN(1+Supuestos!$E$10^2/Supuestos!$D$10^2)/2,SQRT(LN(1+Supuestos!$E$10^2/Supuestos!$D$10^2))),Supuestos!$D$10))))))</f>
        <v/>
      </c>
      <c r="O576" s="31">
        <f>MIN(IF(Supuestos!$H$11="",1E+99,Supuestos!$H$11),MAX(IF(Supuestos!$G$11="",-1E+99,Supuestos!$G$11),IF(Supuestos!$C$11="Normal",NORMINV(H576,Supuestos!$D$11,Supuestos!$E$11),IF(Supuestos!$C$11="Triangular",IF(H576&lt;(Supuestos!$E$11-Supuestos!$D$11)/(Supuestos!$F$11-Supuestos!$D$11),Supuestos!$D$11+SQRT(H576*(Supuestos!$F$11-Supuestos!$D$11)*(Supuestos!$E$11-Supuestos!$D$11)),Supuestos!$F$11-SQRT((1-H576)*(Supuestos!$F$11-Supuestos!$D$11)*(Supuestos!$F$11-Supuestos!$E$11))),IF(Supuestos!$C$11="Uniforme",Supuestos!$D$11+H576*(Supuestos!$E$11-Supuestos!$D$11),IF(Supuestos!$C$11="Lognormal",LOGINV(H576,LN(Supuestos!$D$11)-LN(1+Supuestos!$E$11^2/Supuestos!$D$11^2)/2,SQRT(LN(1+Supuestos!$E$11^2/Supuestos!$D$11^2))),Supuestos!$D$11))))))</f>
        <v/>
      </c>
      <c r="P576" s="33">
        <f>-I576</f>
        <v/>
      </c>
      <c r="Q576" s="33">
        <f>$J576*(1+$K576)^(1-1)*(1-$L576)*(1-$M576)</f>
        <v/>
      </c>
      <c r="R576" s="33">
        <f>$J576*(1+$K576)^(2-1)*(1-$L576)*(1-$M576)</f>
        <v/>
      </c>
      <c r="S576" s="33">
        <f>$J576*(1+$K576)^(3-1)*(1-$L576)*(1-$M576)</f>
        <v/>
      </c>
      <c r="T576" s="33">
        <f>$J576*(1+$K576)^(4-1)*(1-$L576)*(1-$M576)</f>
        <v/>
      </c>
      <c r="U576" s="33">
        <f>$J576*(1+$K576)^(5-1)*(1-$L576)*(1-$M576)+$O576</f>
        <v/>
      </c>
      <c r="V576" s="33">
        <f>P576+NPV($N576,Q576:U576)</f>
        <v/>
      </c>
      <c r="W576" s="32">
        <f>IFERROR(IRR(P576:U576,0.1),"")</f>
        <v/>
      </c>
    </row>
    <row r="577">
      <c r="A577" s="14" t="n">
        <v>573</v>
      </c>
      <c r="B577" s="30">
        <f>RAND()*(1-2E-6)+1E-6</f>
        <v/>
      </c>
      <c r="C577" s="30">
        <f>RAND()*(1-2E-6)+1E-6</f>
        <v/>
      </c>
      <c r="D577" s="30">
        <f>RAND()*(1-2E-6)+1E-6</f>
        <v/>
      </c>
      <c r="E577" s="30">
        <f>RAND()*(1-2E-6)+1E-6</f>
        <v/>
      </c>
      <c r="F577" s="30">
        <f>RAND()*(1-2E-6)+1E-6</f>
        <v/>
      </c>
      <c r="G577" s="30">
        <f>RAND()*(1-2E-6)+1E-6</f>
        <v/>
      </c>
      <c r="H577" s="30">
        <f>RAND()*(1-2E-6)+1E-6</f>
        <v/>
      </c>
      <c r="I577" s="31">
        <f>MIN(IF(Supuestos!$H$5="",1E+99,Supuestos!$H$5),MAX(IF(Supuestos!$G$5="",-1E+99,Supuestos!$G$5),IF(Supuestos!$C$5="Normal",NORMINV(B577,Supuestos!$D$5,Supuestos!$E$5),IF(Supuestos!$C$5="Triangular",IF(B577&lt;(Supuestos!$E$5-Supuestos!$D$5)/(Supuestos!$F$5-Supuestos!$D$5),Supuestos!$D$5+SQRT(B577*(Supuestos!$F$5-Supuestos!$D$5)*(Supuestos!$E$5-Supuestos!$D$5)),Supuestos!$F$5-SQRT((1-B577)*(Supuestos!$F$5-Supuestos!$D$5)*(Supuestos!$F$5-Supuestos!$E$5))),IF(Supuestos!$C$5="Uniforme",Supuestos!$D$5+B577*(Supuestos!$E$5-Supuestos!$D$5),IF(Supuestos!$C$5="Lognormal",LOGINV(B577,LN(Supuestos!$D$5)-LN(1+Supuestos!$E$5^2/Supuestos!$D$5^2)/2,SQRT(LN(1+Supuestos!$E$5^2/Supuestos!$D$5^2))),Supuestos!$D$5))))))</f>
        <v/>
      </c>
      <c r="J577" s="31">
        <f>MIN(IF(Supuestos!$H$6="",1E+99,Supuestos!$H$6),MAX(IF(Supuestos!$G$6="",-1E+99,Supuestos!$G$6),IF(Supuestos!$C$6="Normal",NORMINV(C577,Supuestos!$D$6,Supuestos!$E$6),IF(Supuestos!$C$6="Triangular",IF(C577&lt;(Supuestos!$E$6-Supuestos!$D$6)/(Supuestos!$F$6-Supuestos!$D$6),Supuestos!$D$6+SQRT(C577*(Supuestos!$F$6-Supuestos!$D$6)*(Supuestos!$E$6-Supuestos!$D$6)),Supuestos!$F$6-SQRT((1-C577)*(Supuestos!$F$6-Supuestos!$D$6)*(Supuestos!$F$6-Supuestos!$E$6))),IF(Supuestos!$C$6="Uniforme",Supuestos!$D$6+C577*(Supuestos!$E$6-Supuestos!$D$6),IF(Supuestos!$C$6="Lognormal",LOGINV(C577,LN(Supuestos!$D$6)-LN(1+Supuestos!$E$6^2/Supuestos!$D$6^2)/2,SQRT(LN(1+Supuestos!$E$6^2/Supuestos!$D$6^2))),Supuestos!$D$6))))))</f>
        <v/>
      </c>
      <c r="K577" s="32">
        <f>MIN(IF(Supuestos!$H$7="",1E+99,Supuestos!$H$7),MAX(IF(Supuestos!$G$7="",-1E+99,Supuestos!$G$7),IF(Supuestos!$C$7="Normal",NORMINV(D577,Supuestos!$D$7,Supuestos!$E$7),IF(Supuestos!$C$7="Triangular",IF(D577&lt;(Supuestos!$E$7-Supuestos!$D$7)/(Supuestos!$F$7-Supuestos!$D$7),Supuestos!$D$7+SQRT(D577*(Supuestos!$F$7-Supuestos!$D$7)*(Supuestos!$E$7-Supuestos!$D$7)),Supuestos!$F$7-SQRT((1-D577)*(Supuestos!$F$7-Supuestos!$D$7)*(Supuestos!$F$7-Supuestos!$E$7))),IF(Supuestos!$C$7="Uniforme",Supuestos!$D$7+D577*(Supuestos!$E$7-Supuestos!$D$7),IF(Supuestos!$C$7="Lognormal",LOGINV(D577,LN(Supuestos!$D$7)-LN(1+Supuestos!$E$7^2/Supuestos!$D$7^2)/2,SQRT(LN(1+Supuestos!$E$7^2/Supuestos!$D$7^2))),Supuestos!$D$7))))))</f>
        <v/>
      </c>
      <c r="L577" s="32">
        <f>MIN(IF(Supuestos!$H$8="",1E+99,Supuestos!$H$8),MAX(IF(Supuestos!$G$8="",-1E+99,Supuestos!$G$8),IF(Supuestos!$C$8="Normal",NORMINV(E577,Supuestos!$D$8,Supuestos!$E$8),IF(Supuestos!$C$8="Triangular",IF(E577&lt;(Supuestos!$E$8-Supuestos!$D$8)/(Supuestos!$F$8-Supuestos!$D$8),Supuestos!$D$8+SQRT(E577*(Supuestos!$F$8-Supuestos!$D$8)*(Supuestos!$E$8-Supuestos!$D$8)),Supuestos!$F$8-SQRT((1-E577)*(Supuestos!$F$8-Supuestos!$D$8)*(Supuestos!$F$8-Supuestos!$E$8))),IF(Supuestos!$C$8="Uniforme",Supuestos!$D$8+E577*(Supuestos!$E$8-Supuestos!$D$8),IF(Supuestos!$C$8="Lognormal",LOGINV(E577,LN(Supuestos!$D$8)-LN(1+Supuestos!$E$8^2/Supuestos!$D$8^2)/2,SQRT(LN(1+Supuestos!$E$8^2/Supuestos!$D$8^2))),Supuestos!$D$8))))))</f>
        <v/>
      </c>
      <c r="M577" s="32">
        <f>MIN(IF(Supuestos!$H$9="",1E+99,Supuestos!$H$9),MAX(IF(Supuestos!$G$9="",-1E+99,Supuestos!$G$9),IF(Supuestos!$C$9="Normal",NORMINV(F577,Supuestos!$D$9,Supuestos!$E$9),IF(Supuestos!$C$9="Triangular",IF(F577&lt;(Supuestos!$E$9-Supuestos!$D$9)/(Supuestos!$F$9-Supuestos!$D$9),Supuestos!$D$9+SQRT(F577*(Supuestos!$F$9-Supuestos!$D$9)*(Supuestos!$E$9-Supuestos!$D$9)),Supuestos!$F$9-SQRT((1-F577)*(Supuestos!$F$9-Supuestos!$D$9)*(Supuestos!$F$9-Supuestos!$E$9))),IF(Supuestos!$C$9="Uniforme",Supuestos!$D$9+F577*(Supuestos!$E$9-Supuestos!$D$9),IF(Supuestos!$C$9="Lognormal",LOGINV(F577,LN(Supuestos!$D$9)-LN(1+Supuestos!$E$9^2/Supuestos!$D$9^2)/2,SQRT(LN(1+Supuestos!$E$9^2/Supuestos!$D$9^2))),Supuestos!$D$9))))))</f>
        <v/>
      </c>
      <c r="N577" s="32">
        <f>MIN(IF(Supuestos!$H$10="",1E+99,Supuestos!$H$10),MAX(IF(Supuestos!$G$10="",-1E+99,Supuestos!$G$10),IF(Supuestos!$C$10="Normal",NORMINV(G577,Supuestos!$D$10,Supuestos!$E$10),IF(Supuestos!$C$10="Triangular",IF(G577&lt;(Supuestos!$E$10-Supuestos!$D$10)/(Supuestos!$F$10-Supuestos!$D$10),Supuestos!$D$10+SQRT(G577*(Supuestos!$F$10-Supuestos!$D$10)*(Supuestos!$E$10-Supuestos!$D$10)),Supuestos!$F$10-SQRT((1-G577)*(Supuestos!$F$10-Supuestos!$D$10)*(Supuestos!$F$10-Supuestos!$E$10))),IF(Supuestos!$C$10="Uniforme",Supuestos!$D$10+G577*(Supuestos!$E$10-Supuestos!$D$10),IF(Supuestos!$C$10="Lognormal",LOGINV(G577,LN(Supuestos!$D$10)-LN(1+Supuestos!$E$10^2/Supuestos!$D$10^2)/2,SQRT(LN(1+Supuestos!$E$10^2/Supuestos!$D$10^2))),Supuestos!$D$10))))))</f>
        <v/>
      </c>
      <c r="O577" s="31">
        <f>MIN(IF(Supuestos!$H$11="",1E+99,Supuestos!$H$11),MAX(IF(Supuestos!$G$11="",-1E+99,Supuestos!$G$11),IF(Supuestos!$C$11="Normal",NORMINV(H577,Supuestos!$D$11,Supuestos!$E$11),IF(Supuestos!$C$11="Triangular",IF(H577&lt;(Supuestos!$E$11-Supuestos!$D$11)/(Supuestos!$F$11-Supuestos!$D$11),Supuestos!$D$11+SQRT(H577*(Supuestos!$F$11-Supuestos!$D$11)*(Supuestos!$E$11-Supuestos!$D$11)),Supuestos!$F$11-SQRT((1-H577)*(Supuestos!$F$11-Supuestos!$D$11)*(Supuestos!$F$11-Supuestos!$E$11))),IF(Supuestos!$C$11="Uniforme",Supuestos!$D$11+H577*(Supuestos!$E$11-Supuestos!$D$11),IF(Supuestos!$C$11="Lognormal",LOGINV(H577,LN(Supuestos!$D$11)-LN(1+Supuestos!$E$11^2/Supuestos!$D$11^2)/2,SQRT(LN(1+Supuestos!$E$11^2/Supuestos!$D$11^2))),Supuestos!$D$11))))))</f>
        <v/>
      </c>
      <c r="P577" s="33">
        <f>-I577</f>
        <v/>
      </c>
      <c r="Q577" s="33">
        <f>$J577*(1+$K577)^(1-1)*(1-$L577)*(1-$M577)</f>
        <v/>
      </c>
      <c r="R577" s="33">
        <f>$J577*(1+$K577)^(2-1)*(1-$L577)*(1-$M577)</f>
        <v/>
      </c>
      <c r="S577" s="33">
        <f>$J577*(1+$K577)^(3-1)*(1-$L577)*(1-$M577)</f>
        <v/>
      </c>
      <c r="T577" s="33">
        <f>$J577*(1+$K577)^(4-1)*(1-$L577)*(1-$M577)</f>
        <v/>
      </c>
      <c r="U577" s="33">
        <f>$J577*(1+$K577)^(5-1)*(1-$L577)*(1-$M577)+$O577</f>
        <v/>
      </c>
      <c r="V577" s="33">
        <f>P577+NPV($N577,Q577:U577)</f>
        <v/>
      </c>
      <c r="W577" s="32">
        <f>IFERROR(IRR(P577:U577,0.1),"")</f>
        <v/>
      </c>
    </row>
    <row r="578">
      <c r="A578" s="14" t="n">
        <v>574</v>
      </c>
      <c r="B578" s="30">
        <f>RAND()*(1-2E-6)+1E-6</f>
        <v/>
      </c>
      <c r="C578" s="30">
        <f>RAND()*(1-2E-6)+1E-6</f>
        <v/>
      </c>
      <c r="D578" s="30">
        <f>RAND()*(1-2E-6)+1E-6</f>
        <v/>
      </c>
      <c r="E578" s="30">
        <f>RAND()*(1-2E-6)+1E-6</f>
        <v/>
      </c>
      <c r="F578" s="30">
        <f>RAND()*(1-2E-6)+1E-6</f>
        <v/>
      </c>
      <c r="G578" s="30">
        <f>RAND()*(1-2E-6)+1E-6</f>
        <v/>
      </c>
      <c r="H578" s="30">
        <f>RAND()*(1-2E-6)+1E-6</f>
        <v/>
      </c>
      <c r="I578" s="31">
        <f>MIN(IF(Supuestos!$H$5="",1E+99,Supuestos!$H$5),MAX(IF(Supuestos!$G$5="",-1E+99,Supuestos!$G$5),IF(Supuestos!$C$5="Normal",NORMINV(B578,Supuestos!$D$5,Supuestos!$E$5),IF(Supuestos!$C$5="Triangular",IF(B578&lt;(Supuestos!$E$5-Supuestos!$D$5)/(Supuestos!$F$5-Supuestos!$D$5),Supuestos!$D$5+SQRT(B578*(Supuestos!$F$5-Supuestos!$D$5)*(Supuestos!$E$5-Supuestos!$D$5)),Supuestos!$F$5-SQRT((1-B578)*(Supuestos!$F$5-Supuestos!$D$5)*(Supuestos!$F$5-Supuestos!$E$5))),IF(Supuestos!$C$5="Uniforme",Supuestos!$D$5+B578*(Supuestos!$E$5-Supuestos!$D$5),IF(Supuestos!$C$5="Lognormal",LOGINV(B578,LN(Supuestos!$D$5)-LN(1+Supuestos!$E$5^2/Supuestos!$D$5^2)/2,SQRT(LN(1+Supuestos!$E$5^2/Supuestos!$D$5^2))),Supuestos!$D$5))))))</f>
        <v/>
      </c>
      <c r="J578" s="31">
        <f>MIN(IF(Supuestos!$H$6="",1E+99,Supuestos!$H$6),MAX(IF(Supuestos!$G$6="",-1E+99,Supuestos!$G$6),IF(Supuestos!$C$6="Normal",NORMINV(C578,Supuestos!$D$6,Supuestos!$E$6),IF(Supuestos!$C$6="Triangular",IF(C578&lt;(Supuestos!$E$6-Supuestos!$D$6)/(Supuestos!$F$6-Supuestos!$D$6),Supuestos!$D$6+SQRT(C578*(Supuestos!$F$6-Supuestos!$D$6)*(Supuestos!$E$6-Supuestos!$D$6)),Supuestos!$F$6-SQRT((1-C578)*(Supuestos!$F$6-Supuestos!$D$6)*(Supuestos!$F$6-Supuestos!$E$6))),IF(Supuestos!$C$6="Uniforme",Supuestos!$D$6+C578*(Supuestos!$E$6-Supuestos!$D$6),IF(Supuestos!$C$6="Lognormal",LOGINV(C578,LN(Supuestos!$D$6)-LN(1+Supuestos!$E$6^2/Supuestos!$D$6^2)/2,SQRT(LN(1+Supuestos!$E$6^2/Supuestos!$D$6^2))),Supuestos!$D$6))))))</f>
        <v/>
      </c>
      <c r="K578" s="32">
        <f>MIN(IF(Supuestos!$H$7="",1E+99,Supuestos!$H$7),MAX(IF(Supuestos!$G$7="",-1E+99,Supuestos!$G$7),IF(Supuestos!$C$7="Normal",NORMINV(D578,Supuestos!$D$7,Supuestos!$E$7),IF(Supuestos!$C$7="Triangular",IF(D578&lt;(Supuestos!$E$7-Supuestos!$D$7)/(Supuestos!$F$7-Supuestos!$D$7),Supuestos!$D$7+SQRT(D578*(Supuestos!$F$7-Supuestos!$D$7)*(Supuestos!$E$7-Supuestos!$D$7)),Supuestos!$F$7-SQRT((1-D578)*(Supuestos!$F$7-Supuestos!$D$7)*(Supuestos!$F$7-Supuestos!$E$7))),IF(Supuestos!$C$7="Uniforme",Supuestos!$D$7+D578*(Supuestos!$E$7-Supuestos!$D$7),IF(Supuestos!$C$7="Lognormal",LOGINV(D578,LN(Supuestos!$D$7)-LN(1+Supuestos!$E$7^2/Supuestos!$D$7^2)/2,SQRT(LN(1+Supuestos!$E$7^2/Supuestos!$D$7^2))),Supuestos!$D$7))))))</f>
        <v/>
      </c>
      <c r="L578" s="32">
        <f>MIN(IF(Supuestos!$H$8="",1E+99,Supuestos!$H$8),MAX(IF(Supuestos!$G$8="",-1E+99,Supuestos!$G$8),IF(Supuestos!$C$8="Normal",NORMINV(E578,Supuestos!$D$8,Supuestos!$E$8),IF(Supuestos!$C$8="Triangular",IF(E578&lt;(Supuestos!$E$8-Supuestos!$D$8)/(Supuestos!$F$8-Supuestos!$D$8),Supuestos!$D$8+SQRT(E578*(Supuestos!$F$8-Supuestos!$D$8)*(Supuestos!$E$8-Supuestos!$D$8)),Supuestos!$F$8-SQRT((1-E578)*(Supuestos!$F$8-Supuestos!$D$8)*(Supuestos!$F$8-Supuestos!$E$8))),IF(Supuestos!$C$8="Uniforme",Supuestos!$D$8+E578*(Supuestos!$E$8-Supuestos!$D$8),IF(Supuestos!$C$8="Lognormal",LOGINV(E578,LN(Supuestos!$D$8)-LN(1+Supuestos!$E$8^2/Supuestos!$D$8^2)/2,SQRT(LN(1+Supuestos!$E$8^2/Supuestos!$D$8^2))),Supuestos!$D$8))))))</f>
        <v/>
      </c>
      <c r="M578" s="32">
        <f>MIN(IF(Supuestos!$H$9="",1E+99,Supuestos!$H$9),MAX(IF(Supuestos!$G$9="",-1E+99,Supuestos!$G$9),IF(Supuestos!$C$9="Normal",NORMINV(F578,Supuestos!$D$9,Supuestos!$E$9),IF(Supuestos!$C$9="Triangular",IF(F578&lt;(Supuestos!$E$9-Supuestos!$D$9)/(Supuestos!$F$9-Supuestos!$D$9),Supuestos!$D$9+SQRT(F578*(Supuestos!$F$9-Supuestos!$D$9)*(Supuestos!$E$9-Supuestos!$D$9)),Supuestos!$F$9-SQRT((1-F578)*(Supuestos!$F$9-Supuestos!$D$9)*(Supuestos!$F$9-Supuestos!$E$9))),IF(Supuestos!$C$9="Uniforme",Supuestos!$D$9+F578*(Supuestos!$E$9-Supuestos!$D$9),IF(Supuestos!$C$9="Lognormal",LOGINV(F578,LN(Supuestos!$D$9)-LN(1+Supuestos!$E$9^2/Supuestos!$D$9^2)/2,SQRT(LN(1+Supuestos!$E$9^2/Supuestos!$D$9^2))),Supuestos!$D$9))))))</f>
        <v/>
      </c>
      <c r="N578" s="32">
        <f>MIN(IF(Supuestos!$H$10="",1E+99,Supuestos!$H$10),MAX(IF(Supuestos!$G$10="",-1E+99,Supuestos!$G$10),IF(Supuestos!$C$10="Normal",NORMINV(G578,Supuestos!$D$10,Supuestos!$E$10),IF(Supuestos!$C$10="Triangular",IF(G578&lt;(Supuestos!$E$10-Supuestos!$D$10)/(Supuestos!$F$10-Supuestos!$D$10),Supuestos!$D$10+SQRT(G578*(Supuestos!$F$10-Supuestos!$D$10)*(Supuestos!$E$10-Supuestos!$D$10)),Supuestos!$F$10-SQRT((1-G578)*(Supuestos!$F$10-Supuestos!$D$10)*(Supuestos!$F$10-Supuestos!$E$10))),IF(Supuestos!$C$10="Uniforme",Supuestos!$D$10+G578*(Supuestos!$E$10-Supuestos!$D$10),IF(Supuestos!$C$10="Lognormal",LOGINV(G578,LN(Supuestos!$D$10)-LN(1+Supuestos!$E$10^2/Supuestos!$D$10^2)/2,SQRT(LN(1+Supuestos!$E$10^2/Supuestos!$D$10^2))),Supuestos!$D$10))))))</f>
        <v/>
      </c>
      <c r="O578" s="31">
        <f>MIN(IF(Supuestos!$H$11="",1E+99,Supuestos!$H$11),MAX(IF(Supuestos!$G$11="",-1E+99,Supuestos!$G$11),IF(Supuestos!$C$11="Normal",NORMINV(H578,Supuestos!$D$11,Supuestos!$E$11),IF(Supuestos!$C$11="Triangular",IF(H578&lt;(Supuestos!$E$11-Supuestos!$D$11)/(Supuestos!$F$11-Supuestos!$D$11),Supuestos!$D$11+SQRT(H578*(Supuestos!$F$11-Supuestos!$D$11)*(Supuestos!$E$11-Supuestos!$D$11)),Supuestos!$F$11-SQRT((1-H578)*(Supuestos!$F$11-Supuestos!$D$11)*(Supuestos!$F$11-Supuestos!$E$11))),IF(Supuestos!$C$11="Uniforme",Supuestos!$D$11+H578*(Supuestos!$E$11-Supuestos!$D$11),IF(Supuestos!$C$11="Lognormal",LOGINV(H578,LN(Supuestos!$D$11)-LN(1+Supuestos!$E$11^2/Supuestos!$D$11^2)/2,SQRT(LN(1+Supuestos!$E$11^2/Supuestos!$D$11^2))),Supuestos!$D$11))))))</f>
        <v/>
      </c>
      <c r="P578" s="33">
        <f>-I578</f>
        <v/>
      </c>
      <c r="Q578" s="33">
        <f>$J578*(1+$K578)^(1-1)*(1-$L578)*(1-$M578)</f>
        <v/>
      </c>
      <c r="R578" s="33">
        <f>$J578*(1+$K578)^(2-1)*(1-$L578)*(1-$M578)</f>
        <v/>
      </c>
      <c r="S578" s="33">
        <f>$J578*(1+$K578)^(3-1)*(1-$L578)*(1-$M578)</f>
        <v/>
      </c>
      <c r="T578" s="33">
        <f>$J578*(1+$K578)^(4-1)*(1-$L578)*(1-$M578)</f>
        <v/>
      </c>
      <c r="U578" s="33">
        <f>$J578*(1+$K578)^(5-1)*(1-$L578)*(1-$M578)+$O578</f>
        <v/>
      </c>
      <c r="V578" s="33">
        <f>P578+NPV($N578,Q578:U578)</f>
        <v/>
      </c>
      <c r="W578" s="32">
        <f>IFERROR(IRR(P578:U578,0.1),"")</f>
        <v/>
      </c>
    </row>
    <row r="579">
      <c r="A579" s="14" t="n">
        <v>575</v>
      </c>
      <c r="B579" s="30">
        <f>RAND()*(1-2E-6)+1E-6</f>
        <v/>
      </c>
      <c r="C579" s="30">
        <f>RAND()*(1-2E-6)+1E-6</f>
        <v/>
      </c>
      <c r="D579" s="30">
        <f>RAND()*(1-2E-6)+1E-6</f>
        <v/>
      </c>
      <c r="E579" s="30">
        <f>RAND()*(1-2E-6)+1E-6</f>
        <v/>
      </c>
      <c r="F579" s="30">
        <f>RAND()*(1-2E-6)+1E-6</f>
        <v/>
      </c>
      <c r="G579" s="30">
        <f>RAND()*(1-2E-6)+1E-6</f>
        <v/>
      </c>
      <c r="H579" s="30">
        <f>RAND()*(1-2E-6)+1E-6</f>
        <v/>
      </c>
      <c r="I579" s="31">
        <f>MIN(IF(Supuestos!$H$5="",1E+99,Supuestos!$H$5),MAX(IF(Supuestos!$G$5="",-1E+99,Supuestos!$G$5),IF(Supuestos!$C$5="Normal",NORMINV(B579,Supuestos!$D$5,Supuestos!$E$5),IF(Supuestos!$C$5="Triangular",IF(B579&lt;(Supuestos!$E$5-Supuestos!$D$5)/(Supuestos!$F$5-Supuestos!$D$5),Supuestos!$D$5+SQRT(B579*(Supuestos!$F$5-Supuestos!$D$5)*(Supuestos!$E$5-Supuestos!$D$5)),Supuestos!$F$5-SQRT((1-B579)*(Supuestos!$F$5-Supuestos!$D$5)*(Supuestos!$F$5-Supuestos!$E$5))),IF(Supuestos!$C$5="Uniforme",Supuestos!$D$5+B579*(Supuestos!$E$5-Supuestos!$D$5),IF(Supuestos!$C$5="Lognormal",LOGINV(B579,LN(Supuestos!$D$5)-LN(1+Supuestos!$E$5^2/Supuestos!$D$5^2)/2,SQRT(LN(1+Supuestos!$E$5^2/Supuestos!$D$5^2))),Supuestos!$D$5))))))</f>
        <v/>
      </c>
      <c r="J579" s="31">
        <f>MIN(IF(Supuestos!$H$6="",1E+99,Supuestos!$H$6),MAX(IF(Supuestos!$G$6="",-1E+99,Supuestos!$G$6),IF(Supuestos!$C$6="Normal",NORMINV(C579,Supuestos!$D$6,Supuestos!$E$6),IF(Supuestos!$C$6="Triangular",IF(C579&lt;(Supuestos!$E$6-Supuestos!$D$6)/(Supuestos!$F$6-Supuestos!$D$6),Supuestos!$D$6+SQRT(C579*(Supuestos!$F$6-Supuestos!$D$6)*(Supuestos!$E$6-Supuestos!$D$6)),Supuestos!$F$6-SQRT((1-C579)*(Supuestos!$F$6-Supuestos!$D$6)*(Supuestos!$F$6-Supuestos!$E$6))),IF(Supuestos!$C$6="Uniforme",Supuestos!$D$6+C579*(Supuestos!$E$6-Supuestos!$D$6),IF(Supuestos!$C$6="Lognormal",LOGINV(C579,LN(Supuestos!$D$6)-LN(1+Supuestos!$E$6^2/Supuestos!$D$6^2)/2,SQRT(LN(1+Supuestos!$E$6^2/Supuestos!$D$6^2))),Supuestos!$D$6))))))</f>
        <v/>
      </c>
      <c r="K579" s="32">
        <f>MIN(IF(Supuestos!$H$7="",1E+99,Supuestos!$H$7),MAX(IF(Supuestos!$G$7="",-1E+99,Supuestos!$G$7),IF(Supuestos!$C$7="Normal",NORMINV(D579,Supuestos!$D$7,Supuestos!$E$7),IF(Supuestos!$C$7="Triangular",IF(D579&lt;(Supuestos!$E$7-Supuestos!$D$7)/(Supuestos!$F$7-Supuestos!$D$7),Supuestos!$D$7+SQRT(D579*(Supuestos!$F$7-Supuestos!$D$7)*(Supuestos!$E$7-Supuestos!$D$7)),Supuestos!$F$7-SQRT((1-D579)*(Supuestos!$F$7-Supuestos!$D$7)*(Supuestos!$F$7-Supuestos!$E$7))),IF(Supuestos!$C$7="Uniforme",Supuestos!$D$7+D579*(Supuestos!$E$7-Supuestos!$D$7),IF(Supuestos!$C$7="Lognormal",LOGINV(D579,LN(Supuestos!$D$7)-LN(1+Supuestos!$E$7^2/Supuestos!$D$7^2)/2,SQRT(LN(1+Supuestos!$E$7^2/Supuestos!$D$7^2))),Supuestos!$D$7))))))</f>
        <v/>
      </c>
      <c r="L579" s="32">
        <f>MIN(IF(Supuestos!$H$8="",1E+99,Supuestos!$H$8),MAX(IF(Supuestos!$G$8="",-1E+99,Supuestos!$G$8),IF(Supuestos!$C$8="Normal",NORMINV(E579,Supuestos!$D$8,Supuestos!$E$8),IF(Supuestos!$C$8="Triangular",IF(E579&lt;(Supuestos!$E$8-Supuestos!$D$8)/(Supuestos!$F$8-Supuestos!$D$8),Supuestos!$D$8+SQRT(E579*(Supuestos!$F$8-Supuestos!$D$8)*(Supuestos!$E$8-Supuestos!$D$8)),Supuestos!$F$8-SQRT((1-E579)*(Supuestos!$F$8-Supuestos!$D$8)*(Supuestos!$F$8-Supuestos!$E$8))),IF(Supuestos!$C$8="Uniforme",Supuestos!$D$8+E579*(Supuestos!$E$8-Supuestos!$D$8),IF(Supuestos!$C$8="Lognormal",LOGINV(E579,LN(Supuestos!$D$8)-LN(1+Supuestos!$E$8^2/Supuestos!$D$8^2)/2,SQRT(LN(1+Supuestos!$E$8^2/Supuestos!$D$8^2))),Supuestos!$D$8))))))</f>
        <v/>
      </c>
      <c r="M579" s="32">
        <f>MIN(IF(Supuestos!$H$9="",1E+99,Supuestos!$H$9),MAX(IF(Supuestos!$G$9="",-1E+99,Supuestos!$G$9),IF(Supuestos!$C$9="Normal",NORMINV(F579,Supuestos!$D$9,Supuestos!$E$9),IF(Supuestos!$C$9="Triangular",IF(F579&lt;(Supuestos!$E$9-Supuestos!$D$9)/(Supuestos!$F$9-Supuestos!$D$9),Supuestos!$D$9+SQRT(F579*(Supuestos!$F$9-Supuestos!$D$9)*(Supuestos!$E$9-Supuestos!$D$9)),Supuestos!$F$9-SQRT((1-F579)*(Supuestos!$F$9-Supuestos!$D$9)*(Supuestos!$F$9-Supuestos!$E$9))),IF(Supuestos!$C$9="Uniforme",Supuestos!$D$9+F579*(Supuestos!$E$9-Supuestos!$D$9),IF(Supuestos!$C$9="Lognormal",LOGINV(F579,LN(Supuestos!$D$9)-LN(1+Supuestos!$E$9^2/Supuestos!$D$9^2)/2,SQRT(LN(1+Supuestos!$E$9^2/Supuestos!$D$9^2))),Supuestos!$D$9))))))</f>
        <v/>
      </c>
      <c r="N579" s="32">
        <f>MIN(IF(Supuestos!$H$10="",1E+99,Supuestos!$H$10),MAX(IF(Supuestos!$G$10="",-1E+99,Supuestos!$G$10),IF(Supuestos!$C$10="Normal",NORMINV(G579,Supuestos!$D$10,Supuestos!$E$10),IF(Supuestos!$C$10="Triangular",IF(G579&lt;(Supuestos!$E$10-Supuestos!$D$10)/(Supuestos!$F$10-Supuestos!$D$10),Supuestos!$D$10+SQRT(G579*(Supuestos!$F$10-Supuestos!$D$10)*(Supuestos!$E$10-Supuestos!$D$10)),Supuestos!$F$10-SQRT((1-G579)*(Supuestos!$F$10-Supuestos!$D$10)*(Supuestos!$F$10-Supuestos!$E$10))),IF(Supuestos!$C$10="Uniforme",Supuestos!$D$10+G579*(Supuestos!$E$10-Supuestos!$D$10),IF(Supuestos!$C$10="Lognormal",LOGINV(G579,LN(Supuestos!$D$10)-LN(1+Supuestos!$E$10^2/Supuestos!$D$10^2)/2,SQRT(LN(1+Supuestos!$E$10^2/Supuestos!$D$10^2))),Supuestos!$D$10))))))</f>
        <v/>
      </c>
      <c r="O579" s="31">
        <f>MIN(IF(Supuestos!$H$11="",1E+99,Supuestos!$H$11),MAX(IF(Supuestos!$G$11="",-1E+99,Supuestos!$G$11),IF(Supuestos!$C$11="Normal",NORMINV(H579,Supuestos!$D$11,Supuestos!$E$11),IF(Supuestos!$C$11="Triangular",IF(H579&lt;(Supuestos!$E$11-Supuestos!$D$11)/(Supuestos!$F$11-Supuestos!$D$11),Supuestos!$D$11+SQRT(H579*(Supuestos!$F$11-Supuestos!$D$11)*(Supuestos!$E$11-Supuestos!$D$11)),Supuestos!$F$11-SQRT((1-H579)*(Supuestos!$F$11-Supuestos!$D$11)*(Supuestos!$F$11-Supuestos!$E$11))),IF(Supuestos!$C$11="Uniforme",Supuestos!$D$11+H579*(Supuestos!$E$11-Supuestos!$D$11),IF(Supuestos!$C$11="Lognormal",LOGINV(H579,LN(Supuestos!$D$11)-LN(1+Supuestos!$E$11^2/Supuestos!$D$11^2)/2,SQRT(LN(1+Supuestos!$E$11^2/Supuestos!$D$11^2))),Supuestos!$D$11))))))</f>
        <v/>
      </c>
      <c r="P579" s="33">
        <f>-I579</f>
        <v/>
      </c>
      <c r="Q579" s="33">
        <f>$J579*(1+$K579)^(1-1)*(1-$L579)*(1-$M579)</f>
        <v/>
      </c>
      <c r="R579" s="33">
        <f>$J579*(1+$K579)^(2-1)*(1-$L579)*(1-$M579)</f>
        <v/>
      </c>
      <c r="S579" s="33">
        <f>$J579*(1+$K579)^(3-1)*(1-$L579)*(1-$M579)</f>
        <v/>
      </c>
      <c r="T579" s="33">
        <f>$J579*(1+$K579)^(4-1)*(1-$L579)*(1-$M579)</f>
        <v/>
      </c>
      <c r="U579" s="33">
        <f>$J579*(1+$K579)^(5-1)*(1-$L579)*(1-$M579)+$O579</f>
        <v/>
      </c>
      <c r="V579" s="33">
        <f>P579+NPV($N579,Q579:U579)</f>
        <v/>
      </c>
      <c r="W579" s="32">
        <f>IFERROR(IRR(P579:U579,0.1),"")</f>
        <v/>
      </c>
    </row>
    <row r="580">
      <c r="A580" s="14" t="n">
        <v>576</v>
      </c>
      <c r="B580" s="30">
        <f>RAND()*(1-2E-6)+1E-6</f>
        <v/>
      </c>
      <c r="C580" s="30">
        <f>RAND()*(1-2E-6)+1E-6</f>
        <v/>
      </c>
      <c r="D580" s="30">
        <f>RAND()*(1-2E-6)+1E-6</f>
        <v/>
      </c>
      <c r="E580" s="30">
        <f>RAND()*(1-2E-6)+1E-6</f>
        <v/>
      </c>
      <c r="F580" s="30">
        <f>RAND()*(1-2E-6)+1E-6</f>
        <v/>
      </c>
      <c r="G580" s="30">
        <f>RAND()*(1-2E-6)+1E-6</f>
        <v/>
      </c>
      <c r="H580" s="30">
        <f>RAND()*(1-2E-6)+1E-6</f>
        <v/>
      </c>
      <c r="I580" s="31">
        <f>MIN(IF(Supuestos!$H$5="",1E+99,Supuestos!$H$5),MAX(IF(Supuestos!$G$5="",-1E+99,Supuestos!$G$5),IF(Supuestos!$C$5="Normal",NORMINV(B580,Supuestos!$D$5,Supuestos!$E$5),IF(Supuestos!$C$5="Triangular",IF(B580&lt;(Supuestos!$E$5-Supuestos!$D$5)/(Supuestos!$F$5-Supuestos!$D$5),Supuestos!$D$5+SQRT(B580*(Supuestos!$F$5-Supuestos!$D$5)*(Supuestos!$E$5-Supuestos!$D$5)),Supuestos!$F$5-SQRT((1-B580)*(Supuestos!$F$5-Supuestos!$D$5)*(Supuestos!$F$5-Supuestos!$E$5))),IF(Supuestos!$C$5="Uniforme",Supuestos!$D$5+B580*(Supuestos!$E$5-Supuestos!$D$5),IF(Supuestos!$C$5="Lognormal",LOGINV(B580,LN(Supuestos!$D$5)-LN(1+Supuestos!$E$5^2/Supuestos!$D$5^2)/2,SQRT(LN(1+Supuestos!$E$5^2/Supuestos!$D$5^2))),Supuestos!$D$5))))))</f>
        <v/>
      </c>
      <c r="J580" s="31">
        <f>MIN(IF(Supuestos!$H$6="",1E+99,Supuestos!$H$6),MAX(IF(Supuestos!$G$6="",-1E+99,Supuestos!$G$6),IF(Supuestos!$C$6="Normal",NORMINV(C580,Supuestos!$D$6,Supuestos!$E$6),IF(Supuestos!$C$6="Triangular",IF(C580&lt;(Supuestos!$E$6-Supuestos!$D$6)/(Supuestos!$F$6-Supuestos!$D$6),Supuestos!$D$6+SQRT(C580*(Supuestos!$F$6-Supuestos!$D$6)*(Supuestos!$E$6-Supuestos!$D$6)),Supuestos!$F$6-SQRT((1-C580)*(Supuestos!$F$6-Supuestos!$D$6)*(Supuestos!$F$6-Supuestos!$E$6))),IF(Supuestos!$C$6="Uniforme",Supuestos!$D$6+C580*(Supuestos!$E$6-Supuestos!$D$6),IF(Supuestos!$C$6="Lognormal",LOGINV(C580,LN(Supuestos!$D$6)-LN(1+Supuestos!$E$6^2/Supuestos!$D$6^2)/2,SQRT(LN(1+Supuestos!$E$6^2/Supuestos!$D$6^2))),Supuestos!$D$6))))))</f>
        <v/>
      </c>
      <c r="K580" s="32">
        <f>MIN(IF(Supuestos!$H$7="",1E+99,Supuestos!$H$7),MAX(IF(Supuestos!$G$7="",-1E+99,Supuestos!$G$7),IF(Supuestos!$C$7="Normal",NORMINV(D580,Supuestos!$D$7,Supuestos!$E$7),IF(Supuestos!$C$7="Triangular",IF(D580&lt;(Supuestos!$E$7-Supuestos!$D$7)/(Supuestos!$F$7-Supuestos!$D$7),Supuestos!$D$7+SQRT(D580*(Supuestos!$F$7-Supuestos!$D$7)*(Supuestos!$E$7-Supuestos!$D$7)),Supuestos!$F$7-SQRT((1-D580)*(Supuestos!$F$7-Supuestos!$D$7)*(Supuestos!$F$7-Supuestos!$E$7))),IF(Supuestos!$C$7="Uniforme",Supuestos!$D$7+D580*(Supuestos!$E$7-Supuestos!$D$7),IF(Supuestos!$C$7="Lognormal",LOGINV(D580,LN(Supuestos!$D$7)-LN(1+Supuestos!$E$7^2/Supuestos!$D$7^2)/2,SQRT(LN(1+Supuestos!$E$7^2/Supuestos!$D$7^2))),Supuestos!$D$7))))))</f>
        <v/>
      </c>
      <c r="L580" s="32">
        <f>MIN(IF(Supuestos!$H$8="",1E+99,Supuestos!$H$8),MAX(IF(Supuestos!$G$8="",-1E+99,Supuestos!$G$8),IF(Supuestos!$C$8="Normal",NORMINV(E580,Supuestos!$D$8,Supuestos!$E$8),IF(Supuestos!$C$8="Triangular",IF(E580&lt;(Supuestos!$E$8-Supuestos!$D$8)/(Supuestos!$F$8-Supuestos!$D$8),Supuestos!$D$8+SQRT(E580*(Supuestos!$F$8-Supuestos!$D$8)*(Supuestos!$E$8-Supuestos!$D$8)),Supuestos!$F$8-SQRT((1-E580)*(Supuestos!$F$8-Supuestos!$D$8)*(Supuestos!$F$8-Supuestos!$E$8))),IF(Supuestos!$C$8="Uniforme",Supuestos!$D$8+E580*(Supuestos!$E$8-Supuestos!$D$8),IF(Supuestos!$C$8="Lognormal",LOGINV(E580,LN(Supuestos!$D$8)-LN(1+Supuestos!$E$8^2/Supuestos!$D$8^2)/2,SQRT(LN(1+Supuestos!$E$8^2/Supuestos!$D$8^2))),Supuestos!$D$8))))))</f>
        <v/>
      </c>
      <c r="M580" s="32">
        <f>MIN(IF(Supuestos!$H$9="",1E+99,Supuestos!$H$9),MAX(IF(Supuestos!$G$9="",-1E+99,Supuestos!$G$9),IF(Supuestos!$C$9="Normal",NORMINV(F580,Supuestos!$D$9,Supuestos!$E$9),IF(Supuestos!$C$9="Triangular",IF(F580&lt;(Supuestos!$E$9-Supuestos!$D$9)/(Supuestos!$F$9-Supuestos!$D$9),Supuestos!$D$9+SQRT(F580*(Supuestos!$F$9-Supuestos!$D$9)*(Supuestos!$E$9-Supuestos!$D$9)),Supuestos!$F$9-SQRT((1-F580)*(Supuestos!$F$9-Supuestos!$D$9)*(Supuestos!$F$9-Supuestos!$E$9))),IF(Supuestos!$C$9="Uniforme",Supuestos!$D$9+F580*(Supuestos!$E$9-Supuestos!$D$9),IF(Supuestos!$C$9="Lognormal",LOGINV(F580,LN(Supuestos!$D$9)-LN(1+Supuestos!$E$9^2/Supuestos!$D$9^2)/2,SQRT(LN(1+Supuestos!$E$9^2/Supuestos!$D$9^2))),Supuestos!$D$9))))))</f>
        <v/>
      </c>
      <c r="N580" s="32">
        <f>MIN(IF(Supuestos!$H$10="",1E+99,Supuestos!$H$10),MAX(IF(Supuestos!$G$10="",-1E+99,Supuestos!$G$10),IF(Supuestos!$C$10="Normal",NORMINV(G580,Supuestos!$D$10,Supuestos!$E$10),IF(Supuestos!$C$10="Triangular",IF(G580&lt;(Supuestos!$E$10-Supuestos!$D$10)/(Supuestos!$F$10-Supuestos!$D$10),Supuestos!$D$10+SQRT(G580*(Supuestos!$F$10-Supuestos!$D$10)*(Supuestos!$E$10-Supuestos!$D$10)),Supuestos!$F$10-SQRT((1-G580)*(Supuestos!$F$10-Supuestos!$D$10)*(Supuestos!$F$10-Supuestos!$E$10))),IF(Supuestos!$C$10="Uniforme",Supuestos!$D$10+G580*(Supuestos!$E$10-Supuestos!$D$10),IF(Supuestos!$C$10="Lognormal",LOGINV(G580,LN(Supuestos!$D$10)-LN(1+Supuestos!$E$10^2/Supuestos!$D$10^2)/2,SQRT(LN(1+Supuestos!$E$10^2/Supuestos!$D$10^2))),Supuestos!$D$10))))))</f>
        <v/>
      </c>
      <c r="O580" s="31">
        <f>MIN(IF(Supuestos!$H$11="",1E+99,Supuestos!$H$11),MAX(IF(Supuestos!$G$11="",-1E+99,Supuestos!$G$11),IF(Supuestos!$C$11="Normal",NORMINV(H580,Supuestos!$D$11,Supuestos!$E$11),IF(Supuestos!$C$11="Triangular",IF(H580&lt;(Supuestos!$E$11-Supuestos!$D$11)/(Supuestos!$F$11-Supuestos!$D$11),Supuestos!$D$11+SQRT(H580*(Supuestos!$F$11-Supuestos!$D$11)*(Supuestos!$E$11-Supuestos!$D$11)),Supuestos!$F$11-SQRT((1-H580)*(Supuestos!$F$11-Supuestos!$D$11)*(Supuestos!$F$11-Supuestos!$E$11))),IF(Supuestos!$C$11="Uniforme",Supuestos!$D$11+H580*(Supuestos!$E$11-Supuestos!$D$11),IF(Supuestos!$C$11="Lognormal",LOGINV(H580,LN(Supuestos!$D$11)-LN(1+Supuestos!$E$11^2/Supuestos!$D$11^2)/2,SQRT(LN(1+Supuestos!$E$11^2/Supuestos!$D$11^2))),Supuestos!$D$11))))))</f>
        <v/>
      </c>
      <c r="P580" s="33">
        <f>-I580</f>
        <v/>
      </c>
      <c r="Q580" s="33">
        <f>$J580*(1+$K580)^(1-1)*(1-$L580)*(1-$M580)</f>
        <v/>
      </c>
      <c r="R580" s="33">
        <f>$J580*(1+$K580)^(2-1)*(1-$L580)*(1-$M580)</f>
        <v/>
      </c>
      <c r="S580" s="33">
        <f>$J580*(1+$K580)^(3-1)*(1-$L580)*(1-$M580)</f>
        <v/>
      </c>
      <c r="T580" s="33">
        <f>$J580*(1+$K580)^(4-1)*(1-$L580)*(1-$M580)</f>
        <v/>
      </c>
      <c r="U580" s="33">
        <f>$J580*(1+$K580)^(5-1)*(1-$L580)*(1-$M580)+$O580</f>
        <v/>
      </c>
      <c r="V580" s="33">
        <f>P580+NPV($N580,Q580:U580)</f>
        <v/>
      </c>
      <c r="W580" s="32">
        <f>IFERROR(IRR(P580:U580,0.1),"")</f>
        <v/>
      </c>
    </row>
    <row r="581">
      <c r="A581" s="14" t="n">
        <v>577</v>
      </c>
      <c r="B581" s="30">
        <f>RAND()*(1-2E-6)+1E-6</f>
        <v/>
      </c>
      <c r="C581" s="30">
        <f>RAND()*(1-2E-6)+1E-6</f>
        <v/>
      </c>
      <c r="D581" s="30">
        <f>RAND()*(1-2E-6)+1E-6</f>
        <v/>
      </c>
      <c r="E581" s="30">
        <f>RAND()*(1-2E-6)+1E-6</f>
        <v/>
      </c>
      <c r="F581" s="30">
        <f>RAND()*(1-2E-6)+1E-6</f>
        <v/>
      </c>
      <c r="G581" s="30">
        <f>RAND()*(1-2E-6)+1E-6</f>
        <v/>
      </c>
      <c r="H581" s="30">
        <f>RAND()*(1-2E-6)+1E-6</f>
        <v/>
      </c>
      <c r="I581" s="31">
        <f>MIN(IF(Supuestos!$H$5="",1E+99,Supuestos!$H$5),MAX(IF(Supuestos!$G$5="",-1E+99,Supuestos!$G$5),IF(Supuestos!$C$5="Normal",NORMINV(B581,Supuestos!$D$5,Supuestos!$E$5),IF(Supuestos!$C$5="Triangular",IF(B581&lt;(Supuestos!$E$5-Supuestos!$D$5)/(Supuestos!$F$5-Supuestos!$D$5),Supuestos!$D$5+SQRT(B581*(Supuestos!$F$5-Supuestos!$D$5)*(Supuestos!$E$5-Supuestos!$D$5)),Supuestos!$F$5-SQRT((1-B581)*(Supuestos!$F$5-Supuestos!$D$5)*(Supuestos!$F$5-Supuestos!$E$5))),IF(Supuestos!$C$5="Uniforme",Supuestos!$D$5+B581*(Supuestos!$E$5-Supuestos!$D$5),IF(Supuestos!$C$5="Lognormal",LOGINV(B581,LN(Supuestos!$D$5)-LN(1+Supuestos!$E$5^2/Supuestos!$D$5^2)/2,SQRT(LN(1+Supuestos!$E$5^2/Supuestos!$D$5^2))),Supuestos!$D$5))))))</f>
        <v/>
      </c>
      <c r="J581" s="31">
        <f>MIN(IF(Supuestos!$H$6="",1E+99,Supuestos!$H$6),MAX(IF(Supuestos!$G$6="",-1E+99,Supuestos!$G$6),IF(Supuestos!$C$6="Normal",NORMINV(C581,Supuestos!$D$6,Supuestos!$E$6),IF(Supuestos!$C$6="Triangular",IF(C581&lt;(Supuestos!$E$6-Supuestos!$D$6)/(Supuestos!$F$6-Supuestos!$D$6),Supuestos!$D$6+SQRT(C581*(Supuestos!$F$6-Supuestos!$D$6)*(Supuestos!$E$6-Supuestos!$D$6)),Supuestos!$F$6-SQRT((1-C581)*(Supuestos!$F$6-Supuestos!$D$6)*(Supuestos!$F$6-Supuestos!$E$6))),IF(Supuestos!$C$6="Uniforme",Supuestos!$D$6+C581*(Supuestos!$E$6-Supuestos!$D$6),IF(Supuestos!$C$6="Lognormal",LOGINV(C581,LN(Supuestos!$D$6)-LN(1+Supuestos!$E$6^2/Supuestos!$D$6^2)/2,SQRT(LN(1+Supuestos!$E$6^2/Supuestos!$D$6^2))),Supuestos!$D$6))))))</f>
        <v/>
      </c>
      <c r="K581" s="32">
        <f>MIN(IF(Supuestos!$H$7="",1E+99,Supuestos!$H$7),MAX(IF(Supuestos!$G$7="",-1E+99,Supuestos!$G$7),IF(Supuestos!$C$7="Normal",NORMINV(D581,Supuestos!$D$7,Supuestos!$E$7),IF(Supuestos!$C$7="Triangular",IF(D581&lt;(Supuestos!$E$7-Supuestos!$D$7)/(Supuestos!$F$7-Supuestos!$D$7),Supuestos!$D$7+SQRT(D581*(Supuestos!$F$7-Supuestos!$D$7)*(Supuestos!$E$7-Supuestos!$D$7)),Supuestos!$F$7-SQRT((1-D581)*(Supuestos!$F$7-Supuestos!$D$7)*(Supuestos!$F$7-Supuestos!$E$7))),IF(Supuestos!$C$7="Uniforme",Supuestos!$D$7+D581*(Supuestos!$E$7-Supuestos!$D$7),IF(Supuestos!$C$7="Lognormal",LOGINV(D581,LN(Supuestos!$D$7)-LN(1+Supuestos!$E$7^2/Supuestos!$D$7^2)/2,SQRT(LN(1+Supuestos!$E$7^2/Supuestos!$D$7^2))),Supuestos!$D$7))))))</f>
        <v/>
      </c>
      <c r="L581" s="32">
        <f>MIN(IF(Supuestos!$H$8="",1E+99,Supuestos!$H$8),MAX(IF(Supuestos!$G$8="",-1E+99,Supuestos!$G$8),IF(Supuestos!$C$8="Normal",NORMINV(E581,Supuestos!$D$8,Supuestos!$E$8),IF(Supuestos!$C$8="Triangular",IF(E581&lt;(Supuestos!$E$8-Supuestos!$D$8)/(Supuestos!$F$8-Supuestos!$D$8),Supuestos!$D$8+SQRT(E581*(Supuestos!$F$8-Supuestos!$D$8)*(Supuestos!$E$8-Supuestos!$D$8)),Supuestos!$F$8-SQRT((1-E581)*(Supuestos!$F$8-Supuestos!$D$8)*(Supuestos!$F$8-Supuestos!$E$8))),IF(Supuestos!$C$8="Uniforme",Supuestos!$D$8+E581*(Supuestos!$E$8-Supuestos!$D$8),IF(Supuestos!$C$8="Lognormal",LOGINV(E581,LN(Supuestos!$D$8)-LN(1+Supuestos!$E$8^2/Supuestos!$D$8^2)/2,SQRT(LN(1+Supuestos!$E$8^2/Supuestos!$D$8^2))),Supuestos!$D$8))))))</f>
        <v/>
      </c>
      <c r="M581" s="32">
        <f>MIN(IF(Supuestos!$H$9="",1E+99,Supuestos!$H$9),MAX(IF(Supuestos!$G$9="",-1E+99,Supuestos!$G$9),IF(Supuestos!$C$9="Normal",NORMINV(F581,Supuestos!$D$9,Supuestos!$E$9),IF(Supuestos!$C$9="Triangular",IF(F581&lt;(Supuestos!$E$9-Supuestos!$D$9)/(Supuestos!$F$9-Supuestos!$D$9),Supuestos!$D$9+SQRT(F581*(Supuestos!$F$9-Supuestos!$D$9)*(Supuestos!$E$9-Supuestos!$D$9)),Supuestos!$F$9-SQRT((1-F581)*(Supuestos!$F$9-Supuestos!$D$9)*(Supuestos!$F$9-Supuestos!$E$9))),IF(Supuestos!$C$9="Uniforme",Supuestos!$D$9+F581*(Supuestos!$E$9-Supuestos!$D$9),IF(Supuestos!$C$9="Lognormal",LOGINV(F581,LN(Supuestos!$D$9)-LN(1+Supuestos!$E$9^2/Supuestos!$D$9^2)/2,SQRT(LN(1+Supuestos!$E$9^2/Supuestos!$D$9^2))),Supuestos!$D$9))))))</f>
        <v/>
      </c>
      <c r="N581" s="32">
        <f>MIN(IF(Supuestos!$H$10="",1E+99,Supuestos!$H$10),MAX(IF(Supuestos!$G$10="",-1E+99,Supuestos!$G$10),IF(Supuestos!$C$10="Normal",NORMINV(G581,Supuestos!$D$10,Supuestos!$E$10),IF(Supuestos!$C$10="Triangular",IF(G581&lt;(Supuestos!$E$10-Supuestos!$D$10)/(Supuestos!$F$10-Supuestos!$D$10),Supuestos!$D$10+SQRT(G581*(Supuestos!$F$10-Supuestos!$D$10)*(Supuestos!$E$10-Supuestos!$D$10)),Supuestos!$F$10-SQRT((1-G581)*(Supuestos!$F$10-Supuestos!$D$10)*(Supuestos!$F$10-Supuestos!$E$10))),IF(Supuestos!$C$10="Uniforme",Supuestos!$D$10+G581*(Supuestos!$E$10-Supuestos!$D$10),IF(Supuestos!$C$10="Lognormal",LOGINV(G581,LN(Supuestos!$D$10)-LN(1+Supuestos!$E$10^2/Supuestos!$D$10^2)/2,SQRT(LN(1+Supuestos!$E$10^2/Supuestos!$D$10^2))),Supuestos!$D$10))))))</f>
        <v/>
      </c>
      <c r="O581" s="31">
        <f>MIN(IF(Supuestos!$H$11="",1E+99,Supuestos!$H$11),MAX(IF(Supuestos!$G$11="",-1E+99,Supuestos!$G$11),IF(Supuestos!$C$11="Normal",NORMINV(H581,Supuestos!$D$11,Supuestos!$E$11),IF(Supuestos!$C$11="Triangular",IF(H581&lt;(Supuestos!$E$11-Supuestos!$D$11)/(Supuestos!$F$11-Supuestos!$D$11),Supuestos!$D$11+SQRT(H581*(Supuestos!$F$11-Supuestos!$D$11)*(Supuestos!$E$11-Supuestos!$D$11)),Supuestos!$F$11-SQRT((1-H581)*(Supuestos!$F$11-Supuestos!$D$11)*(Supuestos!$F$11-Supuestos!$E$11))),IF(Supuestos!$C$11="Uniforme",Supuestos!$D$11+H581*(Supuestos!$E$11-Supuestos!$D$11),IF(Supuestos!$C$11="Lognormal",LOGINV(H581,LN(Supuestos!$D$11)-LN(1+Supuestos!$E$11^2/Supuestos!$D$11^2)/2,SQRT(LN(1+Supuestos!$E$11^2/Supuestos!$D$11^2))),Supuestos!$D$11))))))</f>
        <v/>
      </c>
      <c r="P581" s="33">
        <f>-I581</f>
        <v/>
      </c>
      <c r="Q581" s="33">
        <f>$J581*(1+$K581)^(1-1)*(1-$L581)*(1-$M581)</f>
        <v/>
      </c>
      <c r="R581" s="33">
        <f>$J581*(1+$K581)^(2-1)*(1-$L581)*(1-$M581)</f>
        <v/>
      </c>
      <c r="S581" s="33">
        <f>$J581*(1+$K581)^(3-1)*(1-$L581)*(1-$M581)</f>
        <v/>
      </c>
      <c r="T581" s="33">
        <f>$J581*(1+$K581)^(4-1)*(1-$L581)*(1-$M581)</f>
        <v/>
      </c>
      <c r="U581" s="33">
        <f>$J581*(1+$K581)^(5-1)*(1-$L581)*(1-$M581)+$O581</f>
        <v/>
      </c>
      <c r="V581" s="33">
        <f>P581+NPV($N581,Q581:U581)</f>
        <v/>
      </c>
      <c r="W581" s="32">
        <f>IFERROR(IRR(P581:U581,0.1),"")</f>
        <v/>
      </c>
    </row>
    <row r="582">
      <c r="A582" s="14" t="n">
        <v>578</v>
      </c>
      <c r="B582" s="30">
        <f>RAND()*(1-2E-6)+1E-6</f>
        <v/>
      </c>
      <c r="C582" s="30">
        <f>RAND()*(1-2E-6)+1E-6</f>
        <v/>
      </c>
      <c r="D582" s="30">
        <f>RAND()*(1-2E-6)+1E-6</f>
        <v/>
      </c>
      <c r="E582" s="30">
        <f>RAND()*(1-2E-6)+1E-6</f>
        <v/>
      </c>
      <c r="F582" s="30">
        <f>RAND()*(1-2E-6)+1E-6</f>
        <v/>
      </c>
      <c r="G582" s="30">
        <f>RAND()*(1-2E-6)+1E-6</f>
        <v/>
      </c>
      <c r="H582" s="30">
        <f>RAND()*(1-2E-6)+1E-6</f>
        <v/>
      </c>
      <c r="I582" s="31">
        <f>MIN(IF(Supuestos!$H$5="",1E+99,Supuestos!$H$5),MAX(IF(Supuestos!$G$5="",-1E+99,Supuestos!$G$5),IF(Supuestos!$C$5="Normal",NORMINV(B582,Supuestos!$D$5,Supuestos!$E$5),IF(Supuestos!$C$5="Triangular",IF(B582&lt;(Supuestos!$E$5-Supuestos!$D$5)/(Supuestos!$F$5-Supuestos!$D$5),Supuestos!$D$5+SQRT(B582*(Supuestos!$F$5-Supuestos!$D$5)*(Supuestos!$E$5-Supuestos!$D$5)),Supuestos!$F$5-SQRT((1-B582)*(Supuestos!$F$5-Supuestos!$D$5)*(Supuestos!$F$5-Supuestos!$E$5))),IF(Supuestos!$C$5="Uniforme",Supuestos!$D$5+B582*(Supuestos!$E$5-Supuestos!$D$5),IF(Supuestos!$C$5="Lognormal",LOGINV(B582,LN(Supuestos!$D$5)-LN(1+Supuestos!$E$5^2/Supuestos!$D$5^2)/2,SQRT(LN(1+Supuestos!$E$5^2/Supuestos!$D$5^2))),Supuestos!$D$5))))))</f>
        <v/>
      </c>
      <c r="J582" s="31">
        <f>MIN(IF(Supuestos!$H$6="",1E+99,Supuestos!$H$6),MAX(IF(Supuestos!$G$6="",-1E+99,Supuestos!$G$6),IF(Supuestos!$C$6="Normal",NORMINV(C582,Supuestos!$D$6,Supuestos!$E$6),IF(Supuestos!$C$6="Triangular",IF(C582&lt;(Supuestos!$E$6-Supuestos!$D$6)/(Supuestos!$F$6-Supuestos!$D$6),Supuestos!$D$6+SQRT(C582*(Supuestos!$F$6-Supuestos!$D$6)*(Supuestos!$E$6-Supuestos!$D$6)),Supuestos!$F$6-SQRT((1-C582)*(Supuestos!$F$6-Supuestos!$D$6)*(Supuestos!$F$6-Supuestos!$E$6))),IF(Supuestos!$C$6="Uniforme",Supuestos!$D$6+C582*(Supuestos!$E$6-Supuestos!$D$6),IF(Supuestos!$C$6="Lognormal",LOGINV(C582,LN(Supuestos!$D$6)-LN(1+Supuestos!$E$6^2/Supuestos!$D$6^2)/2,SQRT(LN(1+Supuestos!$E$6^2/Supuestos!$D$6^2))),Supuestos!$D$6))))))</f>
        <v/>
      </c>
      <c r="K582" s="32">
        <f>MIN(IF(Supuestos!$H$7="",1E+99,Supuestos!$H$7),MAX(IF(Supuestos!$G$7="",-1E+99,Supuestos!$G$7),IF(Supuestos!$C$7="Normal",NORMINV(D582,Supuestos!$D$7,Supuestos!$E$7),IF(Supuestos!$C$7="Triangular",IF(D582&lt;(Supuestos!$E$7-Supuestos!$D$7)/(Supuestos!$F$7-Supuestos!$D$7),Supuestos!$D$7+SQRT(D582*(Supuestos!$F$7-Supuestos!$D$7)*(Supuestos!$E$7-Supuestos!$D$7)),Supuestos!$F$7-SQRT((1-D582)*(Supuestos!$F$7-Supuestos!$D$7)*(Supuestos!$F$7-Supuestos!$E$7))),IF(Supuestos!$C$7="Uniforme",Supuestos!$D$7+D582*(Supuestos!$E$7-Supuestos!$D$7),IF(Supuestos!$C$7="Lognormal",LOGINV(D582,LN(Supuestos!$D$7)-LN(1+Supuestos!$E$7^2/Supuestos!$D$7^2)/2,SQRT(LN(1+Supuestos!$E$7^2/Supuestos!$D$7^2))),Supuestos!$D$7))))))</f>
        <v/>
      </c>
      <c r="L582" s="32">
        <f>MIN(IF(Supuestos!$H$8="",1E+99,Supuestos!$H$8),MAX(IF(Supuestos!$G$8="",-1E+99,Supuestos!$G$8),IF(Supuestos!$C$8="Normal",NORMINV(E582,Supuestos!$D$8,Supuestos!$E$8),IF(Supuestos!$C$8="Triangular",IF(E582&lt;(Supuestos!$E$8-Supuestos!$D$8)/(Supuestos!$F$8-Supuestos!$D$8),Supuestos!$D$8+SQRT(E582*(Supuestos!$F$8-Supuestos!$D$8)*(Supuestos!$E$8-Supuestos!$D$8)),Supuestos!$F$8-SQRT((1-E582)*(Supuestos!$F$8-Supuestos!$D$8)*(Supuestos!$F$8-Supuestos!$E$8))),IF(Supuestos!$C$8="Uniforme",Supuestos!$D$8+E582*(Supuestos!$E$8-Supuestos!$D$8),IF(Supuestos!$C$8="Lognormal",LOGINV(E582,LN(Supuestos!$D$8)-LN(1+Supuestos!$E$8^2/Supuestos!$D$8^2)/2,SQRT(LN(1+Supuestos!$E$8^2/Supuestos!$D$8^2))),Supuestos!$D$8))))))</f>
        <v/>
      </c>
      <c r="M582" s="32">
        <f>MIN(IF(Supuestos!$H$9="",1E+99,Supuestos!$H$9),MAX(IF(Supuestos!$G$9="",-1E+99,Supuestos!$G$9),IF(Supuestos!$C$9="Normal",NORMINV(F582,Supuestos!$D$9,Supuestos!$E$9),IF(Supuestos!$C$9="Triangular",IF(F582&lt;(Supuestos!$E$9-Supuestos!$D$9)/(Supuestos!$F$9-Supuestos!$D$9),Supuestos!$D$9+SQRT(F582*(Supuestos!$F$9-Supuestos!$D$9)*(Supuestos!$E$9-Supuestos!$D$9)),Supuestos!$F$9-SQRT((1-F582)*(Supuestos!$F$9-Supuestos!$D$9)*(Supuestos!$F$9-Supuestos!$E$9))),IF(Supuestos!$C$9="Uniforme",Supuestos!$D$9+F582*(Supuestos!$E$9-Supuestos!$D$9),IF(Supuestos!$C$9="Lognormal",LOGINV(F582,LN(Supuestos!$D$9)-LN(1+Supuestos!$E$9^2/Supuestos!$D$9^2)/2,SQRT(LN(1+Supuestos!$E$9^2/Supuestos!$D$9^2))),Supuestos!$D$9))))))</f>
        <v/>
      </c>
      <c r="N582" s="32">
        <f>MIN(IF(Supuestos!$H$10="",1E+99,Supuestos!$H$10),MAX(IF(Supuestos!$G$10="",-1E+99,Supuestos!$G$10),IF(Supuestos!$C$10="Normal",NORMINV(G582,Supuestos!$D$10,Supuestos!$E$10),IF(Supuestos!$C$10="Triangular",IF(G582&lt;(Supuestos!$E$10-Supuestos!$D$10)/(Supuestos!$F$10-Supuestos!$D$10),Supuestos!$D$10+SQRT(G582*(Supuestos!$F$10-Supuestos!$D$10)*(Supuestos!$E$10-Supuestos!$D$10)),Supuestos!$F$10-SQRT((1-G582)*(Supuestos!$F$10-Supuestos!$D$10)*(Supuestos!$F$10-Supuestos!$E$10))),IF(Supuestos!$C$10="Uniforme",Supuestos!$D$10+G582*(Supuestos!$E$10-Supuestos!$D$10),IF(Supuestos!$C$10="Lognormal",LOGINV(G582,LN(Supuestos!$D$10)-LN(1+Supuestos!$E$10^2/Supuestos!$D$10^2)/2,SQRT(LN(1+Supuestos!$E$10^2/Supuestos!$D$10^2))),Supuestos!$D$10))))))</f>
        <v/>
      </c>
      <c r="O582" s="31">
        <f>MIN(IF(Supuestos!$H$11="",1E+99,Supuestos!$H$11),MAX(IF(Supuestos!$G$11="",-1E+99,Supuestos!$G$11),IF(Supuestos!$C$11="Normal",NORMINV(H582,Supuestos!$D$11,Supuestos!$E$11),IF(Supuestos!$C$11="Triangular",IF(H582&lt;(Supuestos!$E$11-Supuestos!$D$11)/(Supuestos!$F$11-Supuestos!$D$11),Supuestos!$D$11+SQRT(H582*(Supuestos!$F$11-Supuestos!$D$11)*(Supuestos!$E$11-Supuestos!$D$11)),Supuestos!$F$11-SQRT((1-H582)*(Supuestos!$F$11-Supuestos!$D$11)*(Supuestos!$F$11-Supuestos!$E$11))),IF(Supuestos!$C$11="Uniforme",Supuestos!$D$11+H582*(Supuestos!$E$11-Supuestos!$D$11),IF(Supuestos!$C$11="Lognormal",LOGINV(H582,LN(Supuestos!$D$11)-LN(1+Supuestos!$E$11^2/Supuestos!$D$11^2)/2,SQRT(LN(1+Supuestos!$E$11^2/Supuestos!$D$11^2))),Supuestos!$D$11))))))</f>
        <v/>
      </c>
      <c r="P582" s="33">
        <f>-I582</f>
        <v/>
      </c>
      <c r="Q582" s="33">
        <f>$J582*(1+$K582)^(1-1)*(1-$L582)*(1-$M582)</f>
        <v/>
      </c>
      <c r="R582" s="33">
        <f>$J582*(1+$K582)^(2-1)*(1-$L582)*(1-$M582)</f>
        <v/>
      </c>
      <c r="S582" s="33">
        <f>$J582*(1+$K582)^(3-1)*(1-$L582)*(1-$M582)</f>
        <v/>
      </c>
      <c r="T582" s="33">
        <f>$J582*(1+$K582)^(4-1)*(1-$L582)*(1-$M582)</f>
        <v/>
      </c>
      <c r="U582" s="33">
        <f>$J582*(1+$K582)^(5-1)*(1-$L582)*(1-$M582)+$O582</f>
        <v/>
      </c>
      <c r="V582" s="33">
        <f>P582+NPV($N582,Q582:U582)</f>
        <v/>
      </c>
      <c r="W582" s="32">
        <f>IFERROR(IRR(P582:U582,0.1),"")</f>
        <v/>
      </c>
    </row>
    <row r="583">
      <c r="A583" s="14" t="n">
        <v>579</v>
      </c>
      <c r="B583" s="30">
        <f>RAND()*(1-2E-6)+1E-6</f>
        <v/>
      </c>
      <c r="C583" s="30">
        <f>RAND()*(1-2E-6)+1E-6</f>
        <v/>
      </c>
      <c r="D583" s="30">
        <f>RAND()*(1-2E-6)+1E-6</f>
        <v/>
      </c>
      <c r="E583" s="30">
        <f>RAND()*(1-2E-6)+1E-6</f>
        <v/>
      </c>
      <c r="F583" s="30">
        <f>RAND()*(1-2E-6)+1E-6</f>
        <v/>
      </c>
      <c r="G583" s="30">
        <f>RAND()*(1-2E-6)+1E-6</f>
        <v/>
      </c>
      <c r="H583" s="30">
        <f>RAND()*(1-2E-6)+1E-6</f>
        <v/>
      </c>
      <c r="I583" s="31">
        <f>MIN(IF(Supuestos!$H$5="",1E+99,Supuestos!$H$5),MAX(IF(Supuestos!$G$5="",-1E+99,Supuestos!$G$5),IF(Supuestos!$C$5="Normal",NORMINV(B583,Supuestos!$D$5,Supuestos!$E$5),IF(Supuestos!$C$5="Triangular",IF(B583&lt;(Supuestos!$E$5-Supuestos!$D$5)/(Supuestos!$F$5-Supuestos!$D$5),Supuestos!$D$5+SQRT(B583*(Supuestos!$F$5-Supuestos!$D$5)*(Supuestos!$E$5-Supuestos!$D$5)),Supuestos!$F$5-SQRT((1-B583)*(Supuestos!$F$5-Supuestos!$D$5)*(Supuestos!$F$5-Supuestos!$E$5))),IF(Supuestos!$C$5="Uniforme",Supuestos!$D$5+B583*(Supuestos!$E$5-Supuestos!$D$5),IF(Supuestos!$C$5="Lognormal",LOGINV(B583,LN(Supuestos!$D$5)-LN(1+Supuestos!$E$5^2/Supuestos!$D$5^2)/2,SQRT(LN(1+Supuestos!$E$5^2/Supuestos!$D$5^2))),Supuestos!$D$5))))))</f>
        <v/>
      </c>
      <c r="J583" s="31">
        <f>MIN(IF(Supuestos!$H$6="",1E+99,Supuestos!$H$6),MAX(IF(Supuestos!$G$6="",-1E+99,Supuestos!$G$6),IF(Supuestos!$C$6="Normal",NORMINV(C583,Supuestos!$D$6,Supuestos!$E$6),IF(Supuestos!$C$6="Triangular",IF(C583&lt;(Supuestos!$E$6-Supuestos!$D$6)/(Supuestos!$F$6-Supuestos!$D$6),Supuestos!$D$6+SQRT(C583*(Supuestos!$F$6-Supuestos!$D$6)*(Supuestos!$E$6-Supuestos!$D$6)),Supuestos!$F$6-SQRT((1-C583)*(Supuestos!$F$6-Supuestos!$D$6)*(Supuestos!$F$6-Supuestos!$E$6))),IF(Supuestos!$C$6="Uniforme",Supuestos!$D$6+C583*(Supuestos!$E$6-Supuestos!$D$6),IF(Supuestos!$C$6="Lognormal",LOGINV(C583,LN(Supuestos!$D$6)-LN(1+Supuestos!$E$6^2/Supuestos!$D$6^2)/2,SQRT(LN(1+Supuestos!$E$6^2/Supuestos!$D$6^2))),Supuestos!$D$6))))))</f>
        <v/>
      </c>
      <c r="K583" s="32">
        <f>MIN(IF(Supuestos!$H$7="",1E+99,Supuestos!$H$7),MAX(IF(Supuestos!$G$7="",-1E+99,Supuestos!$G$7),IF(Supuestos!$C$7="Normal",NORMINV(D583,Supuestos!$D$7,Supuestos!$E$7),IF(Supuestos!$C$7="Triangular",IF(D583&lt;(Supuestos!$E$7-Supuestos!$D$7)/(Supuestos!$F$7-Supuestos!$D$7),Supuestos!$D$7+SQRT(D583*(Supuestos!$F$7-Supuestos!$D$7)*(Supuestos!$E$7-Supuestos!$D$7)),Supuestos!$F$7-SQRT((1-D583)*(Supuestos!$F$7-Supuestos!$D$7)*(Supuestos!$F$7-Supuestos!$E$7))),IF(Supuestos!$C$7="Uniforme",Supuestos!$D$7+D583*(Supuestos!$E$7-Supuestos!$D$7),IF(Supuestos!$C$7="Lognormal",LOGINV(D583,LN(Supuestos!$D$7)-LN(1+Supuestos!$E$7^2/Supuestos!$D$7^2)/2,SQRT(LN(1+Supuestos!$E$7^2/Supuestos!$D$7^2))),Supuestos!$D$7))))))</f>
        <v/>
      </c>
      <c r="L583" s="32">
        <f>MIN(IF(Supuestos!$H$8="",1E+99,Supuestos!$H$8),MAX(IF(Supuestos!$G$8="",-1E+99,Supuestos!$G$8),IF(Supuestos!$C$8="Normal",NORMINV(E583,Supuestos!$D$8,Supuestos!$E$8),IF(Supuestos!$C$8="Triangular",IF(E583&lt;(Supuestos!$E$8-Supuestos!$D$8)/(Supuestos!$F$8-Supuestos!$D$8),Supuestos!$D$8+SQRT(E583*(Supuestos!$F$8-Supuestos!$D$8)*(Supuestos!$E$8-Supuestos!$D$8)),Supuestos!$F$8-SQRT((1-E583)*(Supuestos!$F$8-Supuestos!$D$8)*(Supuestos!$F$8-Supuestos!$E$8))),IF(Supuestos!$C$8="Uniforme",Supuestos!$D$8+E583*(Supuestos!$E$8-Supuestos!$D$8),IF(Supuestos!$C$8="Lognormal",LOGINV(E583,LN(Supuestos!$D$8)-LN(1+Supuestos!$E$8^2/Supuestos!$D$8^2)/2,SQRT(LN(1+Supuestos!$E$8^2/Supuestos!$D$8^2))),Supuestos!$D$8))))))</f>
        <v/>
      </c>
      <c r="M583" s="32">
        <f>MIN(IF(Supuestos!$H$9="",1E+99,Supuestos!$H$9),MAX(IF(Supuestos!$G$9="",-1E+99,Supuestos!$G$9),IF(Supuestos!$C$9="Normal",NORMINV(F583,Supuestos!$D$9,Supuestos!$E$9),IF(Supuestos!$C$9="Triangular",IF(F583&lt;(Supuestos!$E$9-Supuestos!$D$9)/(Supuestos!$F$9-Supuestos!$D$9),Supuestos!$D$9+SQRT(F583*(Supuestos!$F$9-Supuestos!$D$9)*(Supuestos!$E$9-Supuestos!$D$9)),Supuestos!$F$9-SQRT((1-F583)*(Supuestos!$F$9-Supuestos!$D$9)*(Supuestos!$F$9-Supuestos!$E$9))),IF(Supuestos!$C$9="Uniforme",Supuestos!$D$9+F583*(Supuestos!$E$9-Supuestos!$D$9),IF(Supuestos!$C$9="Lognormal",LOGINV(F583,LN(Supuestos!$D$9)-LN(1+Supuestos!$E$9^2/Supuestos!$D$9^2)/2,SQRT(LN(1+Supuestos!$E$9^2/Supuestos!$D$9^2))),Supuestos!$D$9))))))</f>
        <v/>
      </c>
      <c r="N583" s="32">
        <f>MIN(IF(Supuestos!$H$10="",1E+99,Supuestos!$H$10),MAX(IF(Supuestos!$G$10="",-1E+99,Supuestos!$G$10),IF(Supuestos!$C$10="Normal",NORMINV(G583,Supuestos!$D$10,Supuestos!$E$10),IF(Supuestos!$C$10="Triangular",IF(G583&lt;(Supuestos!$E$10-Supuestos!$D$10)/(Supuestos!$F$10-Supuestos!$D$10),Supuestos!$D$10+SQRT(G583*(Supuestos!$F$10-Supuestos!$D$10)*(Supuestos!$E$10-Supuestos!$D$10)),Supuestos!$F$10-SQRT((1-G583)*(Supuestos!$F$10-Supuestos!$D$10)*(Supuestos!$F$10-Supuestos!$E$10))),IF(Supuestos!$C$10="Uniforme",Supuestos!$D$10+G583*(Supuestos!$E$10-Supuestos!$D$10),IF(Supuestos!$C$10="Lognormal",LOGINV(G583,LN(Supuestos!$D$10)-LN(1+Supuestos!$E$10^2/Supuestos!$D$10^2)/2,SQRT(LN(1+Supuestos!$E$10^2/Supuestos!$D$10^2))),Supuestos!$D$10))))))</f>
        <v/>
      </c>
      <c r="O583" s="31">
        <f>MIN(IF(Supuestos!$H$11="",1E+99,Supuestos!$H$11),MAX(IF(Supuestos!$G$11="",-1E+99,Supuestos!$G$11),IF(Supuestos!$C$11="Normal",NORMINV(H583,Supuestos!$D$11,Supuestos!$E$11),IF(Supuestos!$C$11="Triangular",IF(H583&lt;(Supuestos!$E$11-Supuestos!$D$11)/(Supuestos!$F$11-Supuestos!$D$11),Supuestos!$D$11+SQRT(H583*(Supuestos!$F$11-Supuestos!$D$11)*(Supuestos!$E$11-Supuestos!$D$11)),Supuestos!$F$11-SQRT((1-H583)*(Supuestos!$F$11-Supuestos!$D$11)*(Supuestos!$F$11-Supuestos!$E$11))),IF(Supuestos!$C$11="Uniforme",Supuestos!$D$11+H583*(Supuestos!$E$11-Supuestos!$D$11),IF(Supuestos!$C$11="Lognormal",LOGINV(H583,LN(Supuestos!$D$11)-LN(1+Supuestos!$E$11^2/Supuestos!$D$11^2)/2,SQRT(LN(1+Supuestos!$E$11^2/Supuestos!$D$11^2))),Supuestos!$D$11))))))</f>
        <v/>
      </c>
      <c r="P583" s="33">
        <f>-I583</f>
        <v/>
      </c>
      <c r="Q583" s="33">
        <f>$J583*(1+$K583)^(1-1)*(1-$L583)*(1-$M583)</f>
        <v/>
      </c>
      <c r="R583" s="33">
        <f>$J583*(1+$K583)^(2-1)*(1-$L583)*(1-$M583)</f>
        <v/>
      </c>
      <c r="S583" s="33">
        <f>$J583*(1+$K583)^(3-1)*(1-$L583)*(1-$M583)</f>
        <v/>
      </c>
      <c r="T583" s="33">
        <f>$J583*(1+$K583)^(4-1)*(1-$L583)*(1-$M583)</f>
        <v/>
      </c>
      <c r="U583" s="33">
        <f>$J583*(1+$K583)^(5-1)*(1-$L583)*(1-$M583)+$O583</f>
        <v/>
      </c>
      <c r="V583" s="33">
        <f>P583+NPV($N583,Q583:U583)</f>
        <v/>
      </c>
      <c r="W583" s="32">
        <f>IFERROR(IRR(P583:U583,0.1),"")</f>
        <v/>
      </c>
    </row>
    <row r="584">
      <c r="A584" s="14" t="n">
        <v>580</v>
      </c>
      <c r="B584" s="30">
        <f>RAND()*(1-2E-6)+1E-6</f>
        <v/>
      </c>
      <c r="C584" s="30">
        <f>RAND()*(1-2E-6)+1E-6</f>
        <v/>
      </c>
      <c r="D584" s="30">
        <f>RAND()*(1-2E-6)+1E-6</f>
        <v/>
      </c>
      <c r="E584" s="30">
        <f>RAND()*(1-2E-6)+1E-6</f>
        <v/>
      </c>
      <c r="F584" s="30">
        <f>RAND()*(1-2E-6)+1E-6</f>
        <v/>
      </c>
      <c r="G584" s="30">
        <f>RAND()*(1-2E-6)+1E-6</f>
        <v/>
      </c>
      <c r="H584" s="30">
        <f>RAND()*(1-2E-6)+1E-6</f>
        <v/>
      </c>
      <c r="I584" s="31">
        <f>MIN(IF(Supuestos!$H$5="",1E+99,Supuestos!$H$5),MAX(IF(Supuestos!$G$5="",-1E+99,Supuestos!$G$5),IF(Supuestos!$C$5="Normal",NORMINV(B584,Supuestos!$D$5,Supuestos!$E$5),IF(Supuestos!$C$5="Triangular",IF(B584&lt;(Supuestos!$E$5-Supuestos!$D$5)/(Supuestos!$F$5-Supuestos!$D$5),Supuestos!$D$5+SQRT(B584*(Supuestos!$F$5-Supuestos!$D$5)*(Supuestos!$E$5-Supuestos!$D$5)),Supuestos!$F$5-SQRT((1-B584)*(Supuestos!$F$5-Supuestos!$D$5)*(Supuestos!$F$5-Supuestos!$E$5))),IF(Supuestos!$C$5="Uniforme",Supuestos!$D$5+B584*(Supuestos!$E$5-Supuestos!$D$5),IF(Supuestos!$C$5="Lognormal",LOGINV(B584,LN(Supuestos!$D$5)-LN(1+Supuestos!$E$5^2/Supuestos!$D$5^2)/2,SQRT(LN(1+Supuestos!$E$5^2/Supuestos!$D$5^2))),Supuestos!$D$5))))))</f>
        <v/>
      </c>
      <c r="J584" s="31">
        <f>MIN(IF(Supuestos!$H$6="",1E+99,Supuestos!$H$6),MAX(IF(Supuestos!$G$6="",-1E+99,Supuestos!$G$6),IF(Supuestos!$C$6="Normal",NORMINV(C584,Supuestos!$D$6,Supuestos!$E$6),IF(Supuestos!$C$6="Triangular",IF(C584&lt;(Supuestos!$E$6-Supuestos!$D$6)/(Supuestos!$F$6-Supuestos!$D$6),Supuestos!$D$6+SQRT(C584*(Supuestos!$F$6-Supuestos!$D$6)*(Supuestos!$E$6-Supuestos!$D$6)),Supuestos!$F$6-SQRT((1-C584)*(Supuestos!$F$6-Supuestos!$D$6)*(Supuestos!$F$6-Supuestos!$E$6))),IF(Supuestos!$C$6="Uniforme",Supuestos!$D$6+C584*(Supuestos!$E$6-Supuestos!$D$6),IF(Supuestos!$C$6="Lognormal",LOGINV(C584,LN(Supuestos!$D$6)-LN(1+Supuestos!$E$6^2/Supuestos!$D$6^2)/2,SQRT(LN(1+Supuestos!$E$6^2/Supuestos!$D$6^2))),Supuestos!$D$6))))))</f>
        <v/>
      </c>
      <c r="K584" s="32">
        <f>MIN(IF(Supuestos!$H$7="",1E+99,Supuestos!$H$7),MAX(IF(Supuestos!$G$7="",-1E+99,Supuestos!$G$7),IF(Supuestos!$C$7="Normal",NORMINV(D584,Supuestos!$D$7,Supuestos!$E$7),IF(Supuestos!$C$7="Triangular",IF(D584&lt;(Supuestos!$E$7-Supuestos!$D$7)/(Supuestos!$F$7-Supuestos!$D$7),Supuestos!$D$7+SQRT(D584*(Supuestos!$F$7-Supuestos!$D$7)*(Supuestos!$E$7-Supuestos!$D$7)),Supuestos!$F$7-SQRT((1-D584)*(Supuestos!$F$7-Supuestos!$D$7)*(Supuestos!$F$7-Supuestos!$E$7))),IF(Supuestos!$C$7="Uniforme",Supuestos!$D$7+D584*(Supuestos!$E$7-Supuestos!$D$7),IF(Supuestos!$C$7="Lognormal",LOGINV(D584,LN(Supuestos!$D$7)-LN(1+Supuestos!$E$7^2/Supuestos!$D$7^2)/2,SQRT(LN(1+Supuestos!$E$7^2/Supuestos!$D$7^2))),Supuestos!$D$7))))))</f>
        <v/>
      </c>
      <c r="L584" s="32">
        <f>MIN(IF(Supuestos!$H$8="",1E+99,Supuestos!$H$8),MAX(IF(Supuestos!$G$8="",-1E+99,Supuestos!$G$8),IF(Supuestos!$C$8="Normal",NORMINV(E584,Supuestos!$D$8,Supuestos!$E$8),IF(Supuestos!$C$8="Triangular",IF(E584&lt;(Supuestos!$E$8-Supuestos!$D$8)/(Supuestos!$F$8-Supuestos!$D$8),Supuestos!$D$8+SQRT(E584*(Supuestos!$F$8-Supuestos!$D$8)*(Supuestos!$E$8-Supuestos!$D$8)),Supuestos!$F$8-SQRT((1-E584)*(Supuestos!$F$8-Supuestos!$D$8)*(Supuestos!$F$8-Supuestos!$E$8))),IF(Supuestos!$C$8="Uniforme",Supuestos!$D$8+E584*(Supuestos!$E$8-Supuestos!$D$8),IF(Supuestos!$C$8="Lognormal",LOGINV(E584,LN(Supuestos!$D$8)-LN(1+Supuestos!$E$8^2/Supuestos!$D$8^2)/2,SQRT(LN(1+Supuestos!$E$8^2/Supuestos!$D$8^2))),Supuestos!$D$8))))))</f>
        <v/>
      </c>
      <c r="M584" s="32">
        <f>MIN(IF(Supuestos!$H$9="",1E+99,Supuestos!$H$9),MAX(IF(Supuestos!$G$9="",-1E+99,Supuestos!$G$9),IF(Supuestos!$C$9="Normal",NORMINV(F584,Supuestos!$D$9,Supuestos!$E$9),IF(Supuestos!$C$9="Triangular",IF(F584&lt;(Supuestos!$E$9-Supuestos!$D$9)/(Supuestos!$F$9-Supuestos!$D$9),Supuestos!$D$9+SQRT(F584*(Supuestos!$F$9-Supuestos!$D$9)*(Supuestos!$E$9-Supuestos!$D$9)),Supuestos!$F$9-SQRT((1-F584)*(Supuestos!$F$9-Supuestos!$D$9)*(Supuestos!$F$9-Supuestos!$E$9))),IF(Supuestos!$C$9="Uniforme",Supuestos!$D$9+F584*(Supuestos!$E$9-Supuestos!$D$9),IF(Supuestos!$C$9="Lognormal",LOGINV(F584,LN(Supuestos!$D$9)-LN(1+Supuestos!$E$9^2/Supuestos!$D$9^2)/2,SQRT(LN(1+Supuestos!$E$9^2/Supuestos!$D$9^2))),Supuestos!$D$9))))))</f>
        <v/>
      </c>
      <c r="N584" s="32">
        <f>MIN(IF(Supuestos!$H$10="",1E+99,Supuestos!$H$10),MAX(IF(Supuestos!$G$10="",-1E+99,Supuestos!$G$10),IF(Supuestos!$C$10="Normal",NORMINV(G584,Supuestos!$D$10,Supuestos!$E$10),IF(Supuestos!$C$10="Triangular",IF(G584&lt;(Supuestos!$E$10-Supuestos!$D$10)/(Supuestos!$F$10-Supuestos!$D$10),Supuestos!$D$10+SQRT(G584*(Supuestos!$F$10-Supuestos!$D$10)*(Supuestos!$E$10-Supuestos!$D$10)),Supuestos!$F$10-SQRT((1-G584)*(Supuestos!$F$10-Supuestos!$D$10)*(Supuestos!$F$10-Supuestos!$E$10))),IF(Supuestos!$C$10="Uniforme",Supuestos!$D$10+G584*(Supuestos!$E$10-Supuestos!$D$10),IF(Supuestos!$C$10="Lognormal",LOGINV(G584,LN(Supuestos!$D$10)-LN(1+Supuestos!$E$10^2/Supuestos!$D$10^2)/2,SQRT(LN(1+Supuestos!$E$10^2/Supuestos!$D$10^2))),Supuestos!$D$10))))))</f>
        <v/>
      </c>
      <c r="O584" s="31">
        <f>MIN(IF(Supuestos!$H$11="",1E+99,Supuestos!$H$11),MAX(IF(Supuestos!$G$11="",-1E+99,Supuestos!$G$11),IF(Supuestos!$C$11="Normal",NORMINV(H584,Supuestos!$D$11,Supuestos!$E$11),IF(Supuestos!$C$11="Triangular",IF(H584&lt;(Supuestos!$E$11-Supuestos!$D$11)/(Supuestos!$F$11-Supuestos!$D$11),Supuestos!$D$11+SQRT(H584*(Supuestos!$F$11-Supuestos!$D$11)*(Supuestos!$E$11-Supuestos!$D$11)),Supuestos!$F$11-SQRT((1-H584)*(Supuestos!$F$11-Supuestos!$D$11)*(Supuestos!$F$11-Supuestos!$E$11))),IF(Supuestos!$C$11="Uniforme",Supuestos!$D$11+H584*(Supuestos!$E$11-Supuestos!$D$11),IF(Supuestos!$C$11="Lognormal",LOGINV(H584,LN(Supuestos!$D$11)-LN(1+Supuestos!$E$11^2/Supuestos!$D$11^2)/2,SQRT(LN(1+Supuestos!$E$11^2/Supuestos!$D$11^2))),Supuestos!$D$11))))))</f>
        <v/>
      </c>
      <c r="P584" s="33">
        <f>-I584</f>
        <v/>
      </c>
      <c r="Q584" s="33">
        <f>$J584*(1+$K584)^(1-1)*(1-$L584)*(1-$M584)</f>
        <v/>
      </c>
      <c r="R584" s="33">
        <f>$J584*(1+$K584)^(2-1)*(1-$L584)*(1-$M584)</f>
        <v/>
      </c>
      <c r="S584" s="33">
        <f>$J584*(1+$K584)^(3-1)*(1-$L584)*(1-$M584)</f>
        <v/>
      </c>
      <c r="T584" s="33">
        <f>$J584*(1+$K584)^(4-1)*(1-$L584)*(1-$M584)</f>
        <v/>
      </c>
      <c r="U584" s="33">
        <f>$J584*(1+$K584)^(5-1)*(1-$L584)*(1-$M584)+$O584</f>
        <v/>
      </c>
      <c r="V584" s="33">
        <f>P584+NPV($N584,Q584:U584)</f>
        <v/>
      </c>
      <c r="W584" s="32">
        <f>IFERROR(IRR(P584:U584,0.1),"")</f>
        <v/>
      </c>
    </row>
    <row r="585">
      <c r="A585" s="14" t="n">
        <v>581</v>
      </c>
      <c r="B585" s="30">
        <f>RAND()*(1-2E-6)+1E-6</f>
        <v/>
      </c>
      <c r="C585" s="30">
        <f>RAND()*(1-2E-6)+1E-6</f>
        <v/>
      </c>
      <c r="D585" s="30">
        <f>RAND()*(1-2E-6)+1E-6</f>
        <v/>
      </c>
      <c r="E585" s="30">
        <f>RAND()*(1-2E-6)+1E-6</f>
        <v/>
      </c>
      <c r="F585" s="30">
        <f>RAND()*(1-2E-6)+1E-6</f>
        <v/>
      </c>
      <c r="G585" s="30">
        <f>RAND()*(1-2E-6)+1E-6</f>
        <v/>
      </c>
      <c r="H585" s="30">
        <f>RAND()*(1-2E-6)+1E-6</f>
        <v/>
      </c>
      <c r="I585" s="31">
        <f>MIN(IF(Supuestos!$H$5="",1E+99,Supuestos!$H$5),MAX(IF(Supuestos!$G$5="",-1E+99,Supuestos!$G$5),IF(Supuestos!$C$5="Normal",NORMINV(B585,Supuestos!$D$5,Supuestos!$E$5),IF(Supuestos!$C$5="Triangular",IF(B585&lt;(Supuestos!$E$5-Supuestos!$D$5)/(Supuestos!$F$5-Supuestos!$D$5),Supuestos!$D$5+SQRT(B585*(Supuestos!$F$5-Supuestos!$D$5)*(Supuestos!$E$5-Supuestos!$D$5)),Supuestos!$F$5-SQRT((1-B585)*(Supuestos!$F$5-Supuestos!$D$5)*(Supuestos!$F$5-Supuestos!$E$5))),IF(Supuestos!$C$5="Uniforme",Supuestos!$D$5+B585*(Supuestos!$E$5-Supuestos!$D$5),IF(Supuestos!$C$5="Lognormal",LOGINV(B585,LN(Supuestos!$D$5)-LN(1+Supuestos!$E$5^2/Supuestos!$D$5^2)/2,SQRT(LN(1+Supuestos!$E$5^2/Supuestos!$D$5^2))),Supuestos!$D$5))))))</f>
        <v/>
      </c>
      <c r="J585" s="31">
        <f>MIN(IF(Supuestos!$H$6="",1E+99,Supuestos!$H$6),MAX(IF(Supuestos!$G$6="",-1E+99,Supuestos!$G$6),IF(Supuestos!$C$6="Normal",NORMINV(C585,Supuestos!$D$6,Supuestos!$E$6),IF(Supuestos!$C$6="Triangular",IF(C585&lt;(Supuestos!$E$6-Supuestos!$D$6)/(Supuestos!$F$6-Supuestos!$D$6),Supuestos!$D$6+SQRT(C585*(Supuestos!$F$6-Supuestos!$D$6)*(Supuestos!$E$6-Supuestos!$D$6)),Supuestos!$F$6-SQRT((1-C585)*(Supuestos!$F$6-Supuestos!$D$6)*(Supuestos!$F$6-Supuestos!$E$6))),IF(Supuestos!$C$6="Uniforme",Supuestos!$D$6+C585*(Supuestos!$E$6-Supuestos!$D$6),IF(Supuestos!$C$6="Lognormal",LOGINV(C585,LN(Supuestos!$D$6)-LN(1+Supuestos!$E$6^2/Supuestos!$D$6^2)/2,SQRT(LN(1+Supuestos!$E$6^2/Supuestos!$D$6^2))),Supuestos!$D$6))))))</f>
        <v/>
      </c>
      <c r="K585" s="32">
        <f>MIN(IF(Supuestos!$H$7="",1E+99,Supuestos!$H$7),MAX(IF(Supuestos!$G$7="",-1E+99,Supuestos!$G$7),IF(Supuestos!$C$7="Normal",NORMINV(D585,Supuestos!$D$7,Supuestos!$E$7),IF(Supuestos!$C$7="Triangular",IF(D585&lt;(Supuestos!$E$7-Supuestos!$D$7)/(Supuestos!$F$7-Supuestos!$D$7),Supuestos!$D$7+SQRT(D585*(Supuestos!$F$7-Supuestos!$D$7)*(Supuestos!$E$7-Supuestos!$D$7)),Supuestos!$F$7-SQRT((1-D585)*(Supuestos!$F$7-Supuestos!$D$7)*(Supuestos!$F$7-Supuestos!$E$7))),IF(Supuestos!$C$7="Uniforme",Supuestos!$D$7+D585*(Supuestos!$E$7-Supuestos!$D$7),IF(Supuestos!$C$7="Lognormal",LOGINV(D585,LN(Supuestos!$D$7)-LN(1+Supuestos!$E$7^2/Supuestos!$D$7^2)/2,SQRT(LN(1+Supuestos!$E$7^2/Supuestos!$D$7^2))),Supuestos!$D$7))))))</f>
        <v/>
      </c>
      <c r="L585" s="32">
        <f>MIN(IF(Supuestos!$H$8="",1E+99,Supuestos!$H$8),MAX(IF(Supuestos!$G$8="",-1E+99,Supuestos!$G$8),IF(Supuestos!$C$8="Normal",NORMINV(E585,Supuestos!$D$8,Supuestos!$E$8),IF(Supuestos!$C$8="Triangular",IF(E585&lt;(Supuestos!$E$8-Supuestos!$D$8)/(Supuestos!$F$8-Supuestos!$D$8),Supuestos!$D$8+SQRT(E585*(Supuestos!$F$8-Supuestos!$D$8)*(Supuestos!$E$8-Supuestos!$D$8)),Supuestos!$F$8-SQRT((1-E585)*(Supuestos!$F$8-Supuestos!$D$8)*(Supuestos!$F$8-Supuestos!$E$8))),IF(Supuestos!$C$8="Uniforme",Supuestos!$D$8+E585*(Supuestos!$E$8-Supuestos!$D$8),IF(Supuestos!$C$8="Lognormal",LOGINV(E585,LN(Supuestos!$D$8)-LN(1+Supuestos!$E$8^2/Supuestos!$D$8^2)/2,SQRT(LN(1+Supuestos!$E$8^2/Supuestos!$D$8^2))),Supuestos!$D$8))))))</f>
        <v/>
      </c>
      <c r="M585" s="32">
        <f>MIN(IF(Supuestos!$H$9="",1E+99,Supuestos!$H$9),MAX(IF(Supuestos!$G$9="",-1E+99,Supuestos!$G$9),IF(Supuestos!$C$9="Normal",NORMINV(F585,Supuestos!$D$9,Supuestos!$E$9),IF(Supuestos!$C$9="Triangular",IF(F585&lt;(Supuestos!$E$9-Supuestos!$D$9)/(Supuestos!$F$9-Supuestos!$D$9),Supuestos!$D$9+SQRT(F585*(Supuestos!$F$9-Supuestos!$D$9)*(Supuestos!$E$9-Supuestos!$D$9)),Supuestos!$F$9-SQRT((1-F585)*(Supuestos!$F$9-Supuestos!$D$9)*(Supuestos!$F$9-Supuestos!$E$9))),IF(Supuestos!$C$9="Uniforme",Supuestos!$D$9+F585*(Supuestos!$E$9-Supuestos!$D$9),IF(Supuestos!$C$9="Lognormal",LOGINV(F585,LN(Supuestos!$D$9)-LN(1+Supuestos!$E$9^2/Supuestos!$D$9^2)/2,SQRT(LN(1+Supuestos!$E$9^2/Supuestos!$D$9^2))),Supuestos!$D$9))))))</f>
        <v/>
      </c>
      <c r="N585" s="32">
        <f>MIN(IF(Supuestos!$H$10="",1E+99,Supuestos!$H$10),MAX(IF(Supuestos!$G$10="",-1E+99,Supuestos!$G$10),IF(Supuestos!$C$10="Normal",NORMINV(G585,Supuestos!$D$10,Supuestos!$E$10),IF(Supuestos!$C$10="Triangular",IF(G585&lt;(Supuestos!$E$10-Supuestos!$D$10)/(Supuestos!$F$10-Supuestos!$D$10),Supuestos!$D$10+SQRT(G585*(Supuestos!$F$10-Supuestos!$D$10)*(Supuestos!$E$10-Supuestos!$D$10)),Supuestos!$F$10-SQRT((1-G585)*(Supuestos!$F$10-Supuestos!$D$10)*(Supuestos!$F$10-Supuestos!$E$10))),IF(Supuestos!$C$10="Uniforme",Supuestos!$D$10+G585*(Supuestos!$E$10-Supuestos!$D$10),IF(Supuestos!$C$10="Lognormal",LOGINV(G585,LN(Supuestos!$D$10)-LN(1+Supuestos!$E$10^2/Supuestos!$D$10^2)/2,SQRT(LN(1+Supuestos!$E$10^2/Supuestos!$D$10^2))),Supuestos!$D$10))))))</f>
        <v/>
      </c>
      <c r="O585" s="31">
        <f>MIN(IF(Supuestos!$H$11="",1E+99,Supuestos!$H$11),MAX(IF(Supuestos!$G$11="",-1E+99,Supuestos!$G$11),IF(Supuestos!$C$11="Normal",NORMINV(H585,Supuestos!$D$11,Supuestos!$E$11),IF(Supuestos!$C$11="Triangular",IF(H585&lt;(Supuestos!$E$11-Supuestos!$D$11)/(Supuestos!$F$11-Supuestos!$D$11),Supuestos!$D$11+SQRT(H585*(Supuestos!$F$11-Supuestos!$D$11)*(Supuestos!$E$11-Supuestos!$D$11)),Supuestos!$F$11-SQRT((1-H585)*(Supuestos!$F$11-Supuestos!$D$11)*(Supuestos!$F$11-Supuestos!$E$11))),IF(Supuestos!$C$11="Uniforme",Supuestos!$D$11+H585*(Supuestos!$E$11-Supuestos!$D$11),IF(Supuestos!$C$11="Lognormal",LOGINV(H585,LN(Supuestos!$D$11)-LN(1+Supuestos!$E$11^2/Supuestos!$D$11^2)/2,SQRT(LN(1+Supuestos!$E$11^2/Supuestos!$D$11^2))),Supuestos!$D$11))))))</f>
        <v/>
      </c>
      <c r="P585" s="33">
        <f>-I585</f>
        <v/>
      </c>
      <c r="Q585" s="33">
        <f>$J585*(1+$K585)^(1-1)*(1-$L585)*(1-$M585)</f>
        <v/>
      </c>
      <c r="R585" s="33">
        <f>$J585*(1+$K585)^(2-1)*(1-$L585)*(1-$M585)</f>
        <v/>
      </c>
      <c r="S585" s="33">
        <f>$J585*(1+$K585)^(3-1)*(1-$L585)*(1-$M585)</f>
        <v/>
      </c>
      <c r="T585" s="33">
        <f>$J585*(1+$K585)^(4-1)*(1-$L585)*(1-$M585)</f>
        <v/>
      </c>
      <c r="U585" s="33">
        <f>$J585*(1+$K585)^(5-1)*(1-$L585)*(1-$M585)+$O585</f>
        <v/>
      </c>
      <c r="V585" s="33">
        <f>P585+NPV($N585,Q585:U585)</f>
        <v/>
      </c>
      <c r="W585" s="32">
        <f>IFERROR(IRR(P585:U585,0.1),"")</f>
        <v/>
      </c>
    </row>
    <row r="586">
      <c r="A586" s="14" t="n">
        <v>582</v>
      </c>
      <c r="B586" s="30">
        <f>RAND()*(1-2E-6)+1E-6</f>
        <v/>
      </c>
      <c r="C586" s="30">
        <f>RAND()*(1-2E-6)+1E-6</f>
        <v/>
      </c>
      <c r="D586" s="30">
        <f>RAND()*(1-2E-6)+1E-6</f>
        <v/>
      </c>
      <c r="E586" s="30">
        <f>RAND()*(1-2E-6)+1E-6</f>
        <v/>
      </c>
      <c r="F586" s="30">
        <f>RAND()*(1-2E-6)+1E-6</f>
        <v/>
      </c>
      <c r="G586" s="30">
        <f>RAND()*(1-2E-6)+1E-6</f>
        <v/>
      </c>
      <c r="H586" s="30">
        <f>RAND()*(1-2E-6)+1E-6</f>
        <v/>
      </c>
      <c r="I586" s="31">
        <f>MIN(IF(Supuestos!$H$5="",1E+99,Supuestos!$H$5),MAX(IF(Supuestos!$G$5="",-1E+99,Supuestos!$G$5),IF(Supuestos!$C$5="Normal",NORMINV(B586,Supuestos!$D$5,Supuestos!$E$5),IF(Supuestos!$C$5="Triangular",IF(B586&lt;(Supuestos!$E$5-Supuestos!$D$5)/(Supuestos!$F$5-Supuestos!$D$5),Supuestos!$D$5+SQRT(B586*(Supuestos!$F$5-Supuestos!$D$5)*(Supuestos!$E$5-Supuestos!$D$5)),Supuestos!$F$5-SQRT((1-B586)*(Supuestos!$F$5-Supuestos!$D$5)*(Supuestos!$F$5-Supuestos!$E$5))),IF(Supuestos!$C$5="Uniforme",Supuestos!$D$5+B586*(Supuestos!$E$5-Supuestos!$D$5),IF(Supuestos!$C$5="Lognormal",LOGINV(B586,LN(Supuestos!$D$5)-LN(1+Supuestos!$E$5^2/Supuestos!$D$5^2)/2,SQRT(LN(1+Supuestos!$E$5^2/Supuestos!$D$5^2))),Supuestos!$D$5))))))</f>
        <v/>
      </c>
      <c r="J586" s="31">
        <f>MIN(IF(Supuestos!$H$6="",1E+99,Supuestos!$H$6),MAX(IF(Supuestos!$G$6="",-1E+99,Supuestos!$G$6),IF(Supuestos!$C$6="Normal",NORMINV(C586,Supuestos!$D$6,Supuestos!$E$6),IF(Supuestos!$C$6="Triangular",IF(C586&lt;(Supuestos!$E$6-Supuestos!$D$6)/(Supuestos!$F$6-Supuestos!$D$6),Supuestos!$D$6+SQRT(C586*(Supuestos!$F$6-Supuestos!$D$6)*(Supuestos!$E$6-Supuestos!$D$6)),Supuestos!$F$6-SQRT((1-C586)*(Supuestos!$F$6-Supuestos!$D$6)*(Supuestos!$F$6-Supuestos!$E$6))),IF(Supuestos!$C$6="Uniforme",Supuestos!$D$6+C586*(Supuestos!$E$6-Supuestos!$D$6),IF(Supuestos!$C$6="Lognormal",LOGINV(C586,LN(Supuestos!$D$6)-LN(1+Supuestos!$E$6^2/Supuestos!$D$6^2)/2,SQRT(LN(1+Supuestos!$E$6^2/Supuestos!$D$6^2))),Supuestos!$D$6))))))</f>
        <v/>
      </c>
      <c r="K586" s="32">
        <f>MIN(IF(Supuestos!$H$7="",1E+99,Supuestos!$H$7),MAX(IF(Supuestos!$G$7="",-1E+99,Supuestos!$G$7),IF(Supuestos!$C$7="Normal",NORMINV(D586,Supuestos!$D$7,Supuestos!$E$7),IF(Supuestos!$C$7="Triangular",IF(D586&lt;(Supuestos!$E$7-Supuestos!$D$7)/(Supuestos!$F$7-Supuestos!$D$7),Supuestos!$D$7+SQRT(D586*(Supuestos!$F$7-Supuestos!$D$7)*(Supuestos!$E$7-Supuestos!$D$7)),Supuestos!$F$7-SQRT((1-D586)*(Supuestos!$F$7-Supuestos!$D$7)*(Supuestos!$F$7-Supuestos!$E$7))),IF(Supuestos!$C$7="Uniforme",Supuestos!$D$7+D586*(Supuestos!$E$7-Supuestos!$D$7),IF(Supuestos!$C$7="Lognormal",LOGINV(D586,LN(Supuestos!$D$7)-LN(1+Supuestos!$E$7^2/Supuestos!$D$7^2)/2,SQRT(LN(1+Supuestos!$E$7^2/Supuestos!$D$7^2))),Supuestos!$D$7))))))</f>
        <v/>
      </c>
      <c r="L586" s="32">
        <f>MIN(IF(Supuestos!$H$8="",1E+99,Supuestos!$H$8),MAX(IF(Supuestos!$G$8="",-1E+99,Supuestos!$G$8),IF(Supuestos!$C$8="Normal",NORMINV(E586,Supuestos!$D$8,Supuestos!$E$8),IF(Supuestos!$C$8="Triangular",IF(E586&lt;(Supuestos!$E$8-Supuestos!$D$8)/(Supuestos!$F$8-Supuestos!$D$8),Supuestos!$D$8+SQRT(E586*(Supuestos!$F$8-Supuestos!$D$8)*(Supuestos!$E$8-Supuestos!$D$8)),Supuestos!$F$8-SQRT((1-E586)*(Supuestos!$F$8-Supuestos!$D$8)*(Supuestos!$F$8-Supuestos!$E$8))),IF(Supuestos!$C$8="Uniforme",Supuestos!$D$8+E586*(Supuestos!$E$8-Supuestos!$D$8),IF(Supuestos!$C$8="Lognormal",LOGINV(E586,LN(Supuestos!$D$8)-LN(1+Supuestos!$E$8^2/Supuestos!$D$8^2)/2,SQRT(LN(1+Supuestos!$E$8^2/Supuestos!$D$8^2))),Supuestos!$D$8))))))</f>
        <v/>
      </c>
      <c r="M586" s="32">
        <f>MIN(IF(Supuestos!$H$9="",1E+99,Supuestos!$H$9),MAX(IF(Supuestos!$G$9="",-1E+99,Supuestos!$G$9),IF(Supuestos!$C$9="Normal",NORMINV(F586,Supuestos!$D$9,Supuestos!$E$9),IF(Supuestos!$C$9="Triangular",IF(F586&lt;(Supuestos!$E$9-Supuestos!$D$9)/(Supuestos!$F$9-Supuestos!$D$9),Supuestos!$D$9+SQRT(F586*(Supuestos!$F$9-Supuestos!$D$9)*(Supuestos!$E$9-Supuestos!$D$9)),Supuestos!$F$9-SQRT((1-F586)*(Supuestos!$F$9-Supuestos!$D$9)*(Supuestos!$F$9-Supuestos!$E$9))),IF(Supuestos!$C$9="Uniforme",Supuestos!$D$9+F586*(Supuestos!$E$9-Supuestos!$D$9),IF(Supuestos!$C$9="Lognormal",LOGINV(F586,LN(Supuestos!$D$9)-LN(1+Supuestos!$E$9^2/Supuestos!$D$9^2)/2,SQRT(LN(1+Supuestos!$E$9^2/Supuestos!$D$9^2))),Supuestos!$D$9))))))</f>
        <v/>
      </c>
      <c r="N586" s="32">
        <f>MIN(IF(Supuestos!$H$10="",1E+99,Supuestos!$H$10),MAX(IF(Supuestos!$G$10="",-1E+99,Supuestos!$G$10),IF(Supuestos!$C$10="Normal",NORMINV(G586,Supuestos!$D$10,Supuestos!$E$10),IF(Supuestos!$C$10="Triangular",IF(G586&lt;(Supuestos!$E$10-Supuestos!$D$10)/(Supuestos!$F$10-Supuestos!$D$10),Supuestos!$D$10+SQRT(G586*(Supuestos!$F$10-Supuestos!$D$10)*(Supuestos!$E$10-Supuestos!$D$10)),Supuestos!$F$10-SQRT((1-G586)*(Supuestos!$F$10-Supuestos!$D$10)*(Supuestos!$F$10-Supuestos!$E$10))),IF(Supuestos!$C$10="Uniforme",Supuestos!$D$10+G586*(Supuestos!$E$10-Supuestos!$D$10),IF(Supuestos!$C$10="Lognormal",LOGINV(G586,LN(Supuestos!$D$10)-LN(1+Supuestos!$E$10^2/Supuestos!$D$10^2)/2,SQRT(LN(1+Supuestos!$E$10^2/Supuestos!$D$10^2))),Supuestos!$D$10))))))</f>
        <v/>
      </c>
      <c r="O586" s="31">
        <f>MIN(IF(Supuestos!$H$11="",1E+99,Supuestos!$H$11),MAX(IF(Supuestos!$G$11="",-1E+99,Supuestos!$G$11),IF(Supuestos!$C$11="Normal",NORMINV(H586,Supuestos!$D$11,Supuestos!$E$11),IF(Supuestos!$C$11="Triangular",IF(H586&lt;(Supuestos!$E$11-Supuestos!$D$11)/(Supuestos!$F$11-Supuestos!$D$11),Supuestos!$D$11+SQRT(H586*(Supuestos!$F$11-Supuestos!$D$11)*(Supuestos!$E$11-Supuestos!$D$11)),Supuestos!$F$11-SQRT((1-H586)*(Supuestos!$F$11-Supuestos!$D$11)*(Supuestos!$F$11-Supuestos!$E$11))),IF(Supuestos!$C$11="Uniforme",Supuestos!$D$11+H586*(Supuestos!$E$11-Supuestos!$D$11),IF(Supuestos!$C$11="Lognormal",LOGINV(H586,LN(Supuestos!$D$11)-LN(1+Supuestos!$E$11^2/Supuestos!$D$11^2)/2,SQRT(LN(1+Supuestos!$E$11^2/Supuestos!$D$11^2))),Supuestos!$D$11))))))</f>
        <v/>
      </c>
      <c r="P586" s="33">
        <f>-I586</f>
        <v/>
      </c>
      <c r="Q586" s="33">
        <f>$J586*(1+$K586)^(1-1)*(1-$L586)*(1-$M586)</f>
        <v/>
      </c>
      <c r="R586" s="33">
        <f>$J586*(1+$K586)^(2-1)*(1-$L586)*(1-$M586)</f>
        <v/>
      </c>
      <c r="S586" s="33">
        <f>$J586*(1+$K586)^(3-1)*(1-$L586)*(1-$M586)</f>
        <v/>
      </c>
      <c r="T586" s="33">
        <f>$J586*(1+$K586)^(4-1)*(1-$L586)*(1-$M586)</f>
        <v/>
      </c>
      <c r="U586" s="33">
        <f>$J586*(1+$K586)^(5-1)*(1-$L586)*(1-$M586)+$O586</f>
        <v/>
      </c>
      <c r="V586" s="33">
        <f>P586+NPV($N586,Q586:U586)</f>
        <v/>
      </c>
      <c r="W586" s="32">
        <f>IFERROR(IRR(P586:U586,0.1),"")</f>
        <v/>
      </c>
    </row>
    <row r="587">
      <c r="A587" s="14" t="n">
        <v>583</v>
      </c>
      <c r="B587" s="30">
        <f>RAND()*(1-2E-6)+1E-6</f>
        <v/>
      </c>
      <c r="C587" s="30">
        <f>RAND()*(1-2E-6)+1E-6</f>
        <v/>
      </c>
      <c r="D587" s="30">
        <f>RAND()*(1-2E-6)+1E-6</f>
        <v/>
      </c>
      <c r="E587" s="30">
        <f>RAND()*(1-2E-6)+1E-6</f>
        <v/>
      </c>
      <c r="F587" s="30">
        <f>RAND()*(1-2E-6)+1E-6</f>
        <v/>
      </c>
      <c r="G587" s="30">
        <f>RAND()*(1-2E-6)+1E-6</f>
        <v/>
      </c>
      <c r="H587" s="30">
        <f>RAND()*(1-2E-6)+1E-6</f>
        <v/>
      </c>
      <c r="I587" s="31">
        <f>MIN(IF(Supuestos!$H$5="",1E+99,Supuestos!$H$5),MAX(IF(Supuestos!$G$5="",-1E+99,Supuestos!$G$5),IF(Supuestos!$C$5="Normal",NORMINV(B587,Supuestos!$D$5,Supuestos!$E$5),IF(Supuestos!$C$5="Triangular",IF(B587&lt;(Supuestos!$E$5-Supuestos!$D$5)/(Supuestos!$F$5-Supuestos!$D$5),Supuestos!$D$5+SQRT(B587*(Supuestos!$F$5-Supuestos!$D$5)*(Supuestos!$E$5-Supuestos!$D$5)),Supuestos!$F$5-SQRT((1-B587)*(Supuestos!$F$5-Supuestos!$D$5)*(Supuestos!$F$5-Supuestos!$E$5))),IF(Supuestos!$C$5="Uniforme",Supuestos!$D$5+B587*(Supuestos!$E$5-Supuestos!$D$5),IF(Supuestos!$C$5="Lognormal",LOGINV(B587,LN(Supuestos!$D$5)-LN(1+Supuestos!$E$5^2/Supuestos!$D$5^2)/2,SQRT(LN(1+Supuestos!$E$5^2/Supuestos!$D$5^2))),Supuestos!$D$5))))))</f>
        <v/>
      </c>
      <c r="J587" s="31">
        <f>MIN(IF(Supuestos!$H$6="",1E+99,Supuestos!$H$6),MAX(IF(Supuestos!$G$6="",-1E+99,Supuestos!$G$6),IF(Supuestos!$C$6="Normal",NORMINV(C587,Supuestos!$D$6,Supuestos!$E$6),IF(Supuestos!$C$6="Triangular",IF(C587&lt;(Supuestos!$E$6-Supuestos!$D$6)/(Supuestos!$F$6-Supuestos!$D$6),Supuestos!$D$6+SQRT(C587*(Supuestos!$F$6-Supuestos!$D$6)*(Supuestos!$E$6-Supuestos!$D$6)),Supuestos!$F$6-SQRT((1-C587)*(Supuestos!$F$6-Supuestos!$D$6)*(Supuestos!$F$6-Supuestos!$E$6))),IF(Supuestos!$C$6="Uniforme",Supuestos!$D$6+C587*(Supuestos!$E$6-Supuestos!$D$6),IF(Supuestos!$C$6="Lognormal",LOGINV(C587,LN(Supuestos!$D$6)-LN(1+Supuestos!$E$6^2/Supuestos!$D$6^2)/2,SQRT(LN(1+Supuestos!$E$6^2/Supuestos!$D$6^2))),Supuestos!$D$6))))))</f>
        <v/>
      </c>
      <c r="K587" s="32">
        <f>MIN(IF(Supuestos!$H$7="",1E+99,Supuestos!$H$7),MAX(IF(Supuestos!$G$7="",-1E+99,Supuestos!$G$7),IF(Supuestos!$C$7="Normal",NORMINV(D587,Supuestos!$D$7,Supuestos!$E$7),IF(Supuestos!$C$7="Triangular",IF(D587&lt;(Supuestos!$E$7-Supuestos!$D$7)/(Supuestos!$F$7-Supuestos!$D$7),Supuestos!$D$7+SQRT(D587*(Supuestos!$F$7-Supuestos!$D$7)*(Supuestos!$E$7-Supuestos!$D$7)),Supuestos!$F$7-SQRT((1-D587)*(Supuestos!$F$7-Supuestos!$D$7)*(Supuestos!$F$7-Supuestos!$E$7))),IF(Supuestos!$C$7="Uniforme",Supuestos!$D$7+D587*(Supuestos!$E$7-Supuestos!$D$7),IF(Supuestos!$C$7="Lognormal",LOGINV(D587,LN(Supuestos!$D$7)-LN(1+Supuestos!$E$7^2/Supuestos!$D$7^2)/2,SQRT(LN(1+Supuestos!$E$7^2/Supuestos!$D$7^2))),Supuestos!$D$7))))))</f>
        <v/>
      </c>
      <c r="L587" s="32">
        <f>MIN(IF(Supuestos!$H$8="",1E+99,Supuestos!$H$8),MAX(IF(Supuestos!$G$8="",-1E+99,Supuestos!$G$8),IF(Supuestos!$C$8="Normal",NORMINV(E587,Supuestos!$D$8,Supuestos!$E$8),IF(Supuestos!$C$8="Triangular",IF(E587&lt;(Supuestos!$E$8-Supuestos!$D$8)/(Supuestos!$F$8-Supuestos!$D$8),Supuestos!$D$8+SQRT(E587*(Supuestos!$F$8-Supuestos!$D$8)*(Supuestos!$E$8-Supuestos!$D$8)),Supuestos!$F$8-SQRT((1-E587)*(Supuestos!$F$8-Supuestos!$D$8)*(Supuestos!$F$8-Supuestos!$E$8))),IF(Supuestos!$C$8="Uniforme",Supuestos!$D$8+E587*(Supuestos!$E$8-Supuestos!$D$8),IF(Supuestos!$C$8="Lognormal",LOGINV(E587,LN(Supuestos!$D$8)-LN(1+Supuestos!$E$8^2/Supuestos!$D$8^2)/2,SQRT(LN(1+Supuestos!$E$8^2/Supuestos!$D$8^2))),Supuestos!$D$8))))))</f>
        <v/>
      </c>
      <c r="M587" s="32">
        <f>MIN(IF(Supuestos!$H$9="",1E+99,Supuestos!$H$9),MAX(IF(Supuestos!$G$9="",-1E+99,Supuestos!$G$9),IF(Supuestos!$C$9="Normal",NORMINV(F587,Supuestos!$D$9,Supuestos!$E$9),IF(Supuestos!$C$9="Triangular",IF(F587&lt;(Supuestos!$E$9-Supuestos!$D$9)/(Supuestos!$F$9-Supuestos!$D$9),Supuestos!$D$9+SQRT(F587*(Supuestos!$F$9-Supuestos!$D$9)*(Supuestos!$E$9-Supuestos!$D$9)),Supuestos!$F$9-SQRT((1-F587)*(Supuestos!$F$9-Supuestos!$D$9)*(Supuestos!$F$9-Supuestos!$E$9))),IF(Supuestos!$C$9="Uniforme",Supuestos!$D$9+F587*(Supuestos!$E$9-Supuestos!$D$9),IF(Supuestos!$C$9="Lognormal",LOGINV(F587,LN(Supuestos!$D$9)-LN(1+Supuestos!$E$9^2/Supuestos!$D$9^2)/2,SQRT(LN(1+Supuestos!$E$9^2/Supuestos!$D$9^2))),Supuestos!$D$9))))))</f>
        <v/>
      </c>
      <c r="N587" s="32">
        <f>MIN(IF(Supuestos!$H$10="",1E+99,Supuestos!$H$10),MAX(IF(Supuestos!$G$10="",-1E+99,Supuestos!$G$10),IF(Supuestos!$C$10="Normal",NORMINV(G587,Supuestos!$D$10,Supuestos!$E$10),IF(Supuestos!$C$10="Triangular",IF(G587&lt;(Supuestos!$E$10-Supuestos!$D$10)/(Supuestos!$F$10-Supuestos!$D$10),Supuestos!$D$10+SQRT(G587*(Supuestos!$F$10-Supuestos!$D$10)*(Supuestos!$E$10-Supuestos!$D$10)),Supuestos!$F$10-SQRT((1-G587)*(Supuestos!$F$10-Supuestos!$D$10)*(Supuestos!$F$10-Supuestos!$E$10))),IF(Supuestos!$C$10="Uniforme",Supuestos!$D$10+G587*(Supuestos!$E$10-Supuestos!$D$10),IF(Supuestos!$C$10="Lognormal",LOGINV(G587,LN(Supuestos!$D$10)-LN(1+Supuestos!$E$10^2/Supuestos!$D$10^2)/2,SQRT(LN(1+Supuestos!$E$10^2/Supuestos!$D$10^2))),Supuestos!$D$10))))))</f>
        <v/>
      </c>
      <c r="O587" s="31">
        <f>MIN(IF(Supuestos!$H$11="",1E+99,Supuestos!$H$11),MAX(IF(Supuestos!$G$11="",-1E+99,Supuestos!$G$11),IF(Supuestos!$C$11="Normal",NORMINV(H587,Supuestos!$D$11,Supuestos!$E$11),IF(Supuestos!$C$11="Triangular",IF(H587&lt;(Supuestos!$E$11-Supuestos!$D$11)/(Supuestos!$F$11-Supuestos!$D$11),Supuestos!$D$11+SQRT(H587*(Supuestos!$F$11-Supuestos!$D$11)*(Supuestos!$E$11-Supuestos!$D$11)),Supuestos!$F$11-SQRT((1-H587)*(Supuestos!$F$11-Supuestos!$D$11)*(Supuestos!$F$11-Supuestos!$E$11))),IF(Supuestos!$C$11="Uniforme",Supuestos!$D$11+H587*(Supuestos!$E$11-Supuestos!$D$11),IF(Supuestos!$C$11="Lognormal",LOGINV(H587,LN(Supuestos!$D$11)-LN(1+Supuestos!$E$11^2/Supuestos!$D$11^2)/2,SQRT(LN(1+Supuestos!$E$11^2/Supuestos!$D$11^2))),Supuestos!$D$11))))))</f>
        <v/>
      </c>
      <c r="P587" s="33">
        <f>-I587</f>
        <v/>
      </c>
      <c r="Q587" s="33">
        <f>$J587*(1+$K587)^(1-1)*(1-$L587)*(1-$M587)</f>
        <v/>
      </c>
      <c r="R587" s="33">
        <f>$J587*(1+$K587)^(2-1)*(1-$L587)*(1-$M587)</f>
        <v/>
      </c>
      <c r="S587" s="33">
        <f>$J587*(1+$K587)^(3-1)*(1-$L587)*(1-$M587)</f>
        <v/>
      </c>
      <c r="T587" s="33">
        <f>$J587*(1+$K587)^(4-1)*(1-$L587)*(1-$M587)</f>
        <v/>
      </c>
      <c r="U587" s="33">
        <f>$J587*(1+$K587)^(5-1)*(1-$L587)*(1-$M587)+$O587</f>
        <v/>
      </c>
      <c r="V587" s="33">
        <f>P587+NPV($N587,Q587:U587)</f>
        <v/>
      </c>
      <c r="W587" s="32">
        <f>IFERROR(IRR(P587:U587,0.1),"")</f>
        <v/>
      </c>
    </row>
    <row r="588">
      <c r="A588" s="14" t="n">
        <v>584</v>
      </c>
      <c r="B588" s="30">
        <f>RAND()*(1-2E-6)+1E-6</f>
        <v/>
      </c>
      <c r="C588" s="30">
        <f>RAND()*(1-2E-6)+1E-6</f>
        <v/>
      </c>
      <c r="D588" s="30">
        <f>RAND()*(1-2E-6)+1E-6</f>
        <v/>
      </c>
      <c r="E588" s="30">
        <f>RAND()*(1-2E-6)+1E-6</f>
        <v/>
      </c>
      <c r="F588" s="30">
        <f>RAND()*(1-2E-6)+1E-6</f>
        <v/>
      </c>
      <c r="G588" s="30">
        <f>RAND()*(1-2E-6)+1E-6</f>
        <v/>
      </c>
      <c r="H588" s="30">
        <f>RAND()*(1-2E-6)+1E-6</f>
        <v/>
      </c>
      <c r="I588" s="31">
        <f>MIN(IF(Supuestos!$H$5="",1E+99,Supuestos!$H$5),MAX(IF(Supuestos!$G$5="",-1E+99,Supuestos!$G$5),IF(Supuestos!$C$5="Normal",NORMINV(B588,Supuestos!$D$5,Supuestos!$E$5),IF(Supuestos!$C$5="Triangular",IF(B588&lt;(Supuestos!$E$5-Supuestos!$D$5)/(Supuestos!$F$5-Supuestos!$D$5),Supuestos!$D$5+SQRT(B588*(Supuestos!$F$5-Supuestos!$D$5)*(Supuestos!$E$5-Supuestos!$D$5)),Supuestos!$F$5-SQRT((1-B588)*(Supuestos!$F$5-Supuestos!$D$5)*(Supuestos!$F$5-Supuestos!$E$5))),IF(Supuestos!$C$5="Uniforme",Supuestos!$D$5+B588*(Supuestos!$E$5-Supuestos!$D$5),IF(Supuestos!$C$5="Lognormal",LOGINV(B588,LN(Supuestos!$D$5)-LN(1+Supuestos!$E$5^2/Supuestos!$D$5^2)/2,SQRT(LN(1+Supuestos!$E$5^2/Supuestos!$D$5^2))),Supuestos!$D$5))))))</f>
        <v/>
      </c>
      <c r="J588" s="31">
        <f>MIN(IF(Supuestos!$H$6="",1E+99,Supuestos!$H$6),MAX(IF(Supuestos!$G$6="",-1E+99,Supuestos!$G$6),IF(Supuestos!$C$6="Normal",NORMINV(C588,Supuestos!$D$6,Supuestos!$E$6),IF(Supuestos!$C$6="Triangular",IF(C588&lt;(Supuestos!$E$6-Supuestos!$D$6)/(Supuestos!$F$6-Supuestos!$D$6),Supuestos!$D$6+SQRT(C588*(Supuestos!$F$6-Supuestos!$D$6)*(Supuestos!$E$6-Supuestos!$D$6)),Supuestos!$F$6-SQRT((1-C588)*(Supuestos!$F$6-Supuestos!$D$6)*(Supuestos!$F$6-Supuestos!$E$6))),IF(Supuestos!$C$6="Uniforme",Supuestos!$D$6+C588*(Supuestos!$E$6-Supuestos!$D$6),IF(Supuestos!$C$6="Lognormal",LOGINV(C588,LN(Supuestos!$D$6)-LN(1+Supuestos!$E$6^2/Supuestos!$D$6^2)/2,SQRT(LN(1+Supuestos!$E$6^2/Supuestos!$D$6^2))),Supuestos!$D$6))))))</f>
        <v/>
      </c>
      <c r="K588" s="32">
        <f>MIN(IF(Supuestos!$H$7="",1E+99,Supuestos!$H$7),MAX(IF(Supuestos!$G$7="",-1E+99,Supuestos!$G$7),IF(Supuestos!$C$7="Normal",NORMINV(D588,Supuestos!$D$7,Supuestos!$E$7),IF(Supuestos!$C$7="Triangular",IF(D588&lt;(Supuestos!$E$7-Supuestos!$D$7)/(Supuestos!$F$7-Supuestos!$D$7),Supuestos!$D$7+SQRT(D588*(Supuestos!$F$7-Supuestos!$D$7)*(Supuestos!$E$7-Supuestos!$D$7)),Supuestos!$F$7-SQRT((1-D588)*(Supuestos!$F$7-Supuestos!$D$7)*(Supuestos!$F$7-Supuestos!$E$7))),IF(Supuestos!$C$7="Uniforme",Supuestos!$D$7+D588*(Supuestos!$E$7-Supuestos!$D$7),IF(Supuestos!$C$7="Lognormal",LOGINV(D588,LN(Supuestos!$D$7)-LN(1+Supuestos!$E$7^2/Supuestos!$D$7^2)/2,SQRT(LN(1+Supuestos!$E$7^2/Supuestos!$D$7^2))),Supuestos!$D$7))))))</f>
        <v/>
      </c>
      <c r="L588" s="32">
        <f>MIN(IF(Supuestos!$H$8="",1E+99,Supuestos!$H$8),MAX(IF(Supuestos!$G$8="",-1E+99,Supuestos!$G$8),IF(Supuestos!$C$8="Normal",NORMINV(E588,Supuestos!$D$8,Supuestos!$E$8),IF(Supuestos!$C$8="Triangular",IF(E588&lt;(Supuestos!$E$8-Supuestos!$D$8)/(Supuestos!$F$8-Supuestos!$D$8),Supuestos!$D$8+SQRT(E588*(Supuestos!$F$8-Supuestos!$D$8)*(Supuestos!$E$8-Supuestos!$D$8)),Supuestos!$F$8-SQRT((1-E588)*(Supuestos!$F$8-Supuestos!$D$8)*(Supuestos!$F$8-Supuestos!$E$8))),IF(Supuestos!$C$8="Uniforme",Supuestos!$D$8+E588*(Supuestos!$E$8-Supuestos!$D$8),IF(Supuestos!$C$8="Lognormal",LOGINV(E588,LN(Supuestos!$D$8)-LN(1+Supuestos!$E$8^2/Supuestos!$D$8^2)/2,SQRT(LN(1+Supuestos!$E$8^2/Supuestos!$D$8^2))),Supuestos!$D$8))))))</f>
        <v/>
      </c>
      <c r="M588" s="32">
        <f>MIN(IF(Supuestos!$H$9="",1E+99,Supuestos!$H$9),MAX(IF(Supuestos!$G$9="",-1E+99,Supuestos!$G$9),IF(Supuestos!$C$9="Normal",NORMINV(F588,Supuestos!$D$9,Supuestos!$E$9),IF(Supuestos!$C$9="Triangular",IF(F588&lt;(Supuestos!$E$9-Supuestos!$D$9)/(Supuestos!$F$9-Supuestos!$D$9),Supuestos!$D$9+SQRT(F588*(Supuestos!$F$9-Supuestos!$D$9)*(Supuestos!$E$9-Supuestos!$D$9)),Supuestos!$F$9-SQRT((1-F588)*(Supuestos!$F$9-Supuestos!$D$9)*(Supuestos!$F$9-Supuestos!$E$9))),IF(Supuestos!$C$9="Uniforme",Supuestos!$D$9+F588*(Supuestos!$E$9-Supuestos!$D$9),IF(Supuestos!$C$9="Lognormal",LOGINV(F588,LN(Supuestos!$D$9)-LN(1+Supuestos!$E$9^2/Supuestos!$D$9^2)/2,SQRT(LN(1+Supuestos!$E$9^2/Supuestos!$D$9^2))),Supuestos!$D$9))))))</f>
        <v/>
      </c>
      <c r="N588" s="32">
        <f>MIN(IF(Supuestos!$H$10="",1E+99,Supuestos!$H$10),MAX(IF(Supuestos!$G$10="",-1E+99,Supuestos!$G$10),IF(Supuestos!$C$10="Normal",NORMINV(G588,Supuestos!$D$10,Supuestos!$E$10),IF(Supuestos!$C$10="Triangular",IF(G588&lt;(Supuestos!$E$10-Supuestos!$D$10)/(Supuestos!$F$10-Supuestos!$D$10),Supuestos!$D$10+SQRT(G588*(Supuestos!$F$10-Supuestos!$D$10)*(Supuestos!$E$10-Supuestos!$D$10)),Supuestos!$F$10-SQRT((1-G588)*(Supuestos!$F$10-Supuestos!$D$10)*(Supuestos!$F$10-Supuestos!$E$10))),IF(Supuestos!$C$10="Uniforme",Supuestos!$D$10+G588*(Supuestos!$E$10-Supuestos!$D$10),IF(Supuestos!$C$10="Lognormal",LOGINV(G588,LN(Supuestos!$D$10)-LN(1+Supuestos!$E$10^2/Supuestos!$D$10^2)/2,SQRT(LN(1+Supuestos!$E$10^2/Supuestos!$D$10^2))),Supuestos!$D$10))))))</f>
        <v/>
      </c>
      <c r="O588" s="31">
        <f>MIN(IF(Supuestos!$H$11="",1E+99,Supuestos!$H$11),MAX(IF(Supuestos!$G$11="",-1E+99,Supuestos!$G$11),IF(Supuestos!$C$11="Normal",NORMINV(H588,Supuestos!$D$11,Supuestos!$E$11),IF(Supuestos!$C$11="Triangular",IF(H588&lt;(Supuestos!$E$11-Supuestos!$D$11)/(Supuestos!$F$11-Supuestos!$D$11),Supuestos!$D$11+SQRT(H588*(Supuestos!$F$11-Supuestos!$D$11)*(Supuestos!$E$11-Supuestos!$D$11)),Supuestos!$F$11-SQRT((1-H588)*(Supuestos!$F$11-Supuestos!$D$11)*(Supuestos!$F$11-Supuestos!$E$11))),IF(Supuestos!$C$11="Uniforme",Supuestos!$D$11+H588*(Supuestos!$E$11-Supuestos!$D$11),IF(Supuestos!$C$11="Lognormal",LOGINV(H588,LN(Supuestos!$D$11)-LN(1+Supuestos!$E$11^2/Supuestos!$D$11^2)/2,SQRT(LN(1+Supuestos!$E$11^2/Supuestos!$D$11^2))),Supuestos!$D$11))))))</f>
        <v/>
      </c>
      <c r="P588" s="33">
        <f>-I588</f>
        <v/>
      </c>
      <c r="Q588" s="33">
        <f>$J588*(1+$K588)^(1-1)*(1-$L588)*(1-$M588)</f>
        <v/>
      </c>
      <c r="R588" s="33">
        <f>$J588*(1+$K588)^(2-1)*(1-$L588)*(1-$M588)</f>
        <v/>
      </c>
      <c r="S588" s="33">
        <f>$J588*(1+$K588)^(3-1)*(1-$L588)*(1-$M588)</f>
        <v/>
      </c>
      <c r="T588" s="33">
        <f>$J588*(1+$K588)^(4-1)*(1-$L588)*(1-$M588)</f>
        <v/>
      </c>
      <c r="U588" s="33">
        <f>$J588*(1+$K588)^(5-1)*(1-$L588)*(1-$M588)+$O588</f>
        <v/>
      </c>
      <c r="V588" s="33">
        <f>P588+NPV($N588,Q588:U588)</f>
        <v/>
      </c>
      <c r="W588" s="32">
        <f>IFERROR(IRR(P588:U588,0.1),"")</f>
        <v/>
      </c>
    </row>
    <row r="589">
      <c r="A589" s="14" t="n">
        <v>585</v>
      </c>
      <c r="B589" s="30">
        <f>RAND()*(1-2E-6)+1E-6</f>
        <v/>
      </c>
      <c r="C589" s="30">
        <f>RAND()*(1-2E-6)+1E-6</f>
        <v/>
      </c>
      <c r="D589" s="30">
        <f>RAND()*(1-2E-6)+1E-6</f>
        <v/>
      </c>
      <c r="E589" s="30">
        <f>RAND()*(1-2E-6)+1E-6</f>
        <v/>
      </c>
      <c r="F589" s="30">
        <f>RAND()*(1-2E-6)+1E-6</f>
        <v/>
      </c>
      <c r="G589" s="30">
        <f>RAND()*(1-2E-6)+1E-6</f>
        <v/>
      </c>
      <c r="H589" s="30">
        <f>RAND()*(1-2E-6)+1E-6</f>
        <v/>
      </c>
      <c r="I589" s="31">
        <f>MIN(IF(Supuestos!$H$5="",1E+99,Supuestos!$H$5),MAX(IF(Supuestos!$G$5="",-1E+99,Supuestos!$G$5),IF(Supuestos!$C$5="Normal",NORMINV(B589,Supuestos!$D$5,Supuestos!$E$5),IF(Supuestos!$C$5="Triangular",IF(B589&lt;(Supuestos!$E$5-Supuestos!$D$5)/(Supuestos!$F$5-Supuestos!$D$5),Supuestos!$D$5+SQRT(B589*(Supuestos!$F$5-Supuestos!$D$5)*(Supuestos!$E$5-Supuestos!$D$5)),Supuestos!$F$5-SQRT((1-B589)*(Supuestos!$F$5-Supuestos!$D$5)*(Supuestos!$F$5-Supuestos!$E$5))),IF(Supuestos!$C$5="Uniforme",Supuestos!$D$5+B589*(Supuestos!$E$5-Supuestos!$D$5),IF(Supuestos!$C$5="Lognormal",LOGINV(B589,LN(Supuestos!$D$5)-LN(1+Supuestos!$E$5^2/Supuestos!$D$5^2)/2,SQRT(LN(1+Supuestos!$E$5^2/Supuestos!$D$5^2))),Supuestos!$D$5))))))</f>
        <v/>
      </c>
      <c r="J589" s="31">
        <f>MIN(IF(Supuestos!$H$6="",1E+99,Supuestos!$H$6),MAX(IF(Supuestos!$G$6="",-1E+99,Supuestos!$G$6),IF(Supuestos!$C$6="Normal",NORMINV(C589,Supuestos!$D$6,Supuestos!$E$6),IF(Supuestos!$C$6="Triangular",IF(C589&lt;(Supuestos!$E$6-Supuestos!$D$6)/(Supuestos!$F$6-Supuestos!$D$6),Supuestos!$D$6+SQRT(C589*(Supuestos!$F$6-Supuestos!$D$6)*(Supuestos!$E$6-Supuestos!$D$6)),Supuestos!$F$6-SQRT((1-C589)*(Supuestos!$F$6-Supuestos!$D$6)*(Supuestos!$F$6-Supuestos!$E$6))),IF(Supuestos!$C$6="Uniforme",Supuestos!$D$6+C589*(Supuestos!$E$6-Supuestos!$D$6),IF(Supuestos!$C$6="Lognormal",LOGINV(C589,LN(Supuestos!$D$6)-LN(1+Supuestos!$E$6^2/Supuestos!$D$6^2)/2,SQRT(LN(1+Supuestos!$E$6^2/Supuestos!$D$6^2))),Supuestos!$D$6))))))</f>
        <v/>
      </c>
      <c r="K589" s="32">
        <f>MIN(IF(Supuestos!$H$7="",1E+99,Supuestos!$H$7),MAX(IF(Supuestos!$G$7="",-1E+99,Supuestos!$G$7),IF(Supuestos!$C$7="Normal",NORMINV(D589,Supuestos!$D$7,Supuestos!$E$7),IF(Supuestos!$C$7="Triangular",IF(D589&lt;(Supuestos!$E$7-Supuestos!$D$7)/(Supuestos!$F$7-Supuestos!$D$7),Supuestos!$D$7+SQRT(D589*(Supuestos!$F$7-Supuestos!$D$7)*(Supuestos!$E$7-Supuestos!$D$7)),Supuestos!$F$7-SQRT((1-D589)*(Supuestos!$F$7-Supuestos!$D$7)*(Supuestos!$F$7-Supuestos!$E$7))),IF(Supuestos!$C$7="Uniforme",Supuestos!$D$7+D589*(Supuestos!$E$7-Supuestos!$D$7),IF(Supuestos!$C$7="Lognormal",LOGINV(D589,LN(Supuestos!$D$7)-LN(1+Supuestos!$E$7^2/Supuestos!$D$7^2)/2,SQRT(LN(1+Supuestos!$E$7^2/Supuestos!$D$7^2))),Supuestos!$D$7))))))</f>
        <v/>
      </c>
      <c r="L589" s="32">
        <f>MIN(IF(Supuestos!$H$8="",1E+99,Supuestos!$H$8),MAX(IF(Supuestos!$G$8="",-1E+99,Supuestos!$G$8),IF(Supuestos!$C$8="Normal",NORMINV(E589,Supuestos!$D$8,Supuestos!$E$8),IF(Supuestos!$C$8="Triangular",IF(E589&lt;(Supuestos!$E$8-Supuestos!$D$8)/(Supuestos!$F$8-Supuestos!$D$8),Supuestos!$D$8+SQRT(E589*(Supuestos!$F$8-Supuestos!$D$8)*(Supuestos!$E$8-Supuestos!$D$8)),Supuestos!$F$8-SQRT((1-E589)*(Supuestos!$F$8-Supuestos!$D$8)*(Supuestos!$F$8-Supuestos!$E$8))),IF(Supuestos!$C$8="Uniforme",Supuestos!$D$8+E589*(Supuestos!$E$8-Supuestos!$D$8),IF(Supuestos!$C$8="Lognormal",LOGINV(E589,LN(Supuestos!$D$8)-LN(1+Supuestos!$E$8^2/Supuestos!$D$8^2)/2,SQRT(LN(1+Supuestos!$E$8^2/Supuestos!$D$8^2))),Supuestos!$D$8))))))</f>
        <v/>
      </c>
      <c r="M589" s="32">
        <f>MIN(IF(Supuestos!$H$9="",1E+99,Supuestos!$H$9),MAX(IF(Supuestos!$G$9="",-1E+99,Supuestos!$G$9),IF(Supuestos!$C$9="Normal",NORMINV(F589,Supuestos!$D$9,Supuestos!$E$9),IF(Supuestos!$C$9="Triangular",IF(F589&lt;(Supuestos!$E$9-Supuestos!$D$9)/(Supuestos!$F$9-Supuestos!$D$9),Supuestos!$D$9+SQRT(F589*(Supuestos!$F$9-Supuestos!$D$9)*(Supuestos!$E$9-Supuestos!$D$9)),Supuestos!$F$9-SQRT((1-F589)*(Supuestos!$F$9-Supuestos!$D$9)*(Supuestos!$F$9-Supuestos!$E$9))),IF(Supuestos!$C$9="Uniforme",Supuestos!$D$9+F589*(Supuestos!$E$9-Supuestos!$D$9),IF(Supuestos!$C$9="Lognormal",LOGINV(F589,LN(Supuestos!$D$9)-LN(1+Supuestos!$E$9^2/Supuestos!$D$9^2)/2,SQRT(LN(1+Supuestos!$E$9^2/Supuestos!$D$9^2))),Supuestos!$D$9))))))</f>
        <v/>
      </c>
      <c r="N589" s="32">
        <f>MIN(IF(Supuestos!$H$10="",1E+99,Supuestos!$H$10),MAX(IF(Supuestos!$G$10="",-1E+99,Supuestos!$G$10),IF(Supuestos!$C$10="Normal",NORMINV(G589,Supuestos!$D$10,Supuestos!$E$10),IF(Supuestos!$C$10="Triangular",IF(G589&lt;(Supuestos!$E$10-Supuestos!$D$10)/(Supuestos!$F$10-Supuestos!$D$10),Supuestos!$D$10+SQRT(G589*(Supuestos!$F$10-Supuestos!$D$10)*(Supuestos!$E$10-Supuestos!$D$10)),Supuestos!$F$10-SQRT((1-G589)*(Supuestos!$F$10-Supuestos!$D$10)*(Supuestos!$F$10-Supuestos!$E$10))),IF(Supuestos!$C$10="Uniforme",Supuestos!$D$10+G589*(Supuestos!$E$10-Supuestos!$D$10),IF(Supuestos!$C$10="Lognormal",LOGINV(G589,LN(Supuestos!$D$10)-LN(1+Supuestos!$E$10^2/Supuestos!$D$10^2)/2,SQRT(LN(1+Supuestos!$E$10^2/Supuestos!$D$10^2))),Supuestos!$D$10))))))</f>
        <v/>
      </c>
      <c r="O589" s="31">
        <f>MIN(IF(Supuestos!$H$11="",1E+99,Supuestos!$H$11),MAX(IF(Supuestos!$G$11="",-1E+99,Supuestos!$G$11),IF(Supuestos!$C$11="Normal",NORMINV(H589,Supuestos!$D$11,Supuestos!$E$11),IF(Supuestos!$C$11="Triangular",IF(H589&lt;(Supuestos!$E$11-Supuestos!$D$11)/(Supuestos!$F$11-Supuestos!$D$11),Supuestos!$D$11+SQRT(H589*(Supuestos!$F$11-Supuestos!$D$11)*(Supuestos!$E$11-Supuestos!$D$11)),Supuestos!$F$11-SQRT((1-H589)*(Supuestos!$F$11-Supuestos!$D$11)*(Supuestos!$F$11-Supuestos!$E$11))),IF(Supuestos!$C$11="Uniforme",Supuestos!$D$11+H589*(Supuestos!$E$11-Supuestos!$D$11),IF(Supuestos!$C$11="Lognormal",LOGINV(H589,LN(Supuestos!$D$11)-LN(1+Supuestos!$E$11^2/Supuestos!$D$11^2)/2,SQRT(LN(1+Supuestos!$E$11^2/Supuestos!$D$11^2))),Supuestos!$D$11))))))</f>
        <v/>
      </c>
      <c r="P589" s="33">
        <f>-I589</f>
        <v/>
      </c>
      <c r="Q589" s="33">
        <f>$J589*(1+$K589)^(1-1)*(1-$L589)*(1-$M589)</f>
        <v/>
      </c>
      <c r="R589" s="33">
        <f>$J589*(1+$K589)^(2-1)*(1-$L589)*(1-$M589)</f>
        <v/>
      </c>
      <c r="S589" s="33">
        <f>$J589*(1+$K589)^(3-1)*(1-$L589)*(1-$M589)</f>
        <v/>
      </c>
      <c r="T589" s="33">
        <f>$J589*(1+$K589)^(4-1)*(1-$L589)*(1-$M589)</f>
        <v/>
      </c>
      <c r="U589" s="33">
        <f>$J589*(1+$K589)^(5-1)*(1-$L589)*(1-$M589)+$O589</f>
        <v/>
      </c>
      <c r="V589" s="33">
        <f>P589+NPV($N589,Q589:U589)</f>
        <v/>
      </c>
      <c r="W589" s="32">
        <f>IFERROR(IRR(P589:U589,0.1),"")</f>
        <v/>
      </c>
    </row>
    <row r="590">
      <c r="A590" s="14" t="n">
        <v>586</v>
      </c>
      <c r="B590" s="30">
        <f>RAND()*(1-2E-6)+1E-6</f>
        <v/>
      </c>
      <c r="C590" s="30">
        <f>RAND()*(1-2E-6)+1E-6</f>
        <v/>
      </c>
      <c r="D590" s="30">
        <f>RAND()*(1-2E-6)+1E-6</f>
        <v/>
      </c>
      <c r="E590" s="30">
        <f>RAND()*(1-2E-6)+1E-6</f>
        <v/>
      </c>
      <c r="F590" s="30">
        <f>RAND()*(1-2E-6)+1E-6</f>
        <v/>
      </c>
      <c r="G590" s="30">
        <f>RAND()*(1-2E-6)+1E-6</f>
        <v/>
      </c>
      <c r="H590" s="30">
        <f>RAND()*(1-2E-6)+1E-6</f>
        <v/>
      </c>
      <c r="I590" s="31">
        <f>MIN(IF(Supuestos!$H$5="",1E+99,Supuestos!$H$5),MAX(IF(Supuestos!$G$5="",-1E+99,Supuestos!$G$5),IF(Supuestos!$C$5="Normal",NORMINV(B590,Supuestos!$D$5,Supuestos!$E$5),IF(Supuestos!$C$5="Triangular",IF(B590&lt;(Supuestos!$E$5-Supuestos!$D$5)/(Supuestos!$F$5-Supuestos!$D$5),Supuestos!$D$5+SQRT(B590*(Supuestos!$F$5-Supuestos!$D$5)*(Supuestos!$E$5-Supuestos!$D$5)),Supuestos!$F$5-SQRT((1-B590)*(Supuestos!$F$5-Supuestos!$D$5)*(Supuestos!$F$5-Supuestos!$E$5))),IF(Supuestos!$C$5="Uniforme",Supuestos!$D$5+B590*(Supuestos!$E$5-Supuestos!$D$5),IF(Supuestos!$C$5="Lognormal",LOGINV(B590,LN(Supuestos!$D$5)-LN(1+Supuestos!$E$5^2/Supuestos!$D$5^2)/2,SQRT(LN(1+Supuestos!$E$5^2/Supuestos!$D$5^2))),Supuestos!$D$5))))))</f>
        <v/>
      </c>
      <c r="J590" s="31">
        <f>MIN(IF(Supuestos!$H$6="",1E+99,Supuestos!$H$6),MAX(IF(Supuestos!$G$6="",-1E+99,Supuestos!$G$6),IF(Supuestos!$C$6="Normal",NORMINV(C590,Supuestos!$D$6,Supuestos!$E$6),IF(Supuestos!$C$6="Triangular",IF(C590&lt;(Supuestos!$E$6-Supuestos!$D$6)/(Supuestos!$F$6-Supuestos!$D$6),Supuestos!$D$6+SQRT(C590*(Supuestos!$F$6-Supuestos!$D$6)*(Supuestos!$E$6-Supuestos!$D$6)),Supuestos!$F$6-SQRT((1-C590)*(Supuestos!$F$6-Supuestos!$D$6)*(Supuestos!$F$6-Supuestos!$E$6))),IF(Supuestos!$C$6="Uniforme",Supuestos!$D$6+C590*(Supuestos!$E$6-Supuestos!$D$6),IF(Supuestos!$C$6="Lognormal",LOGINV(C590,LN(Supuestos!$D$6)-LN(1+Supuestos!$E$6^2/Supuestos!$D$6^2)/2,SQRT(LN(1+Supuestos!$E$6^2/Supuestos!$D$6^2))),Supuestos!$D$6))))))</f>
        <v/>
      </c>
      <c r="K590" s="32">
        <f>MIN(IF(Supuestos!$H$7="",1E+99,Supuestos!$H$7),MAX(IF(Supuestos!$G$7="",-1E+99,Supuestos!$G$7),IF(Supuestos!$C$7="Normal",NORMINV(D590,Supuestos!$D$7,Supuestos!$E$7),IF(Supuestos!$C$7="Triangular",IF(D590&lt;(Supuestos!$E$7-Supuestos!$D$7)/(Supuestos!$F$7-Supuestos!$D$7),Supuestos!$D$7+SQRT(D590*(Supuestos!$F$7-Supuestos!$D$7)*(Supuestos!$E$7-Supuestos!$D$7)),Supuestos!$F$7-SQRT((1-D590)*(Supuestos!$F$7-Supuestos!$D$7)*(Supuestos!$F$7-Supuestos!$E$7))),IF(Supuestos!$C$7="Uniforme",Supuestos!$D$7+D590*(Supuestos!$E$7-Supuestos!$D$7),IF(Supuestos!$C$7="Lognormal",LOGINV(D590,LN(Supuestos!$D$7)-LN(1+Supuestos!$E$7^2/Supuestos!$D$7^2)/2,SQRT(LN(1+Supuestos!$E$7^2/Supuestos!$D$7^2))),Supuestos!$D$7))))))</f>
        <v/>
      </c>
      <c r="L590" s="32">
        <f>MIN(IF(Supuestos!$H$8="",1E+99,Supuestos!$H$8),MAX(IF(Supuestos!$G$8="",-1E+99,Supuestos!$G$8),IF(Supuestos!$C$8="Normal",NORMINV(E590,Supuestos!$D$8,Supuestos!$E$8),IF(Supuestos!$C$8="Triangular",IF(E590&lt;(Supuestos!$E$8-Supuestos!$D$8)/(Supuestos!$F$8-Supuestos!$D$8),Supuestos!$D$8+SQRT(E590*(Supuestos!$F$8-Supuestos!$D$8)*(Supuestos!$E$8-Supuestos!$D$8)),Supuestos!$F$8-SQRT((1-E590)*(Supuestos!$F$8-Supuestos!$D$8)*(Supuestos!$F$8-Supuestos!$E$8))),IF(Supuestos!$C$8="Uniforme",Supuestos!$D$8+E590*(Supuestos!$E$8-Supuestos!$D$8),IF(Supuestos!$C$8="Lognormal",LOGINV(E590,LN(Supuestos!$D$8)-LN(1+Supuestos!$E$8^2/Supuestos!$D$8^2)/2,SQRT(LN(1+Supuestos!$E$8^2/Supuestos!$D$8^2))),Supuestos!$D$8))))))</f>
        <v/>
      </c>
      <c r="M590" s="32">
        <f>MIN(IF(Supuestos!$H$9="",1E+99,Supuestos!$H$9),MAX(IF(Supuestos!$G$9="",-1E+99,Supuestos!$G$9),IF(Supuestos!$C$9="Normal",NORMINV(F590,Supuestos!$D$9,Supuestos!$E$9),IF(Supuestos!$C$9="Triangular",IF(F590&lt;(Supuestos!$E$9-Supuestos!$D$9)/(Supuestos!$F$9-Supuestos!$D$9),Supuestos!$D$9+SQRT(F590*(Supuestos!$F$9-Supuestos!$D$9)*(Supuestos!$E$9-Supuestos!$D$9)),Supuestos!$F$9-SQRT((1-F590)*(Supuestos!$F$9-Supuestos!$D$9)*(Supuestos!$F$9-Supuestos!$E$9))),IF(Supuestos!$C$9="Uniforme",Supuestos!$D$9+F590*(Supuestos!$E$9-Supuestos!$D$9),IF(Supuestos!$C$9="Lognormal",LOGINV(F590,LN(Supuestos!$D$9)-LN(1+Supuestos!$E$9^2/Supuestos!$D$9^2)/2,SQRT(LN(1+Supuestos!$E$9^2/Supuestos!$D$9^2))),Supuestos!$D$9))))))</f>
        <v/>
      </c>
      <c r="N590" s="32">
        <f>MIN(IF(Supuestos!$H$10="",1E+99,Supuestos!$H$10),MAX(IF(Supuestos!$G$10="",-1E+99,Supuestos!$G$10),IF(Supuestos!$C$10="Normal",NORMINV(G590,Supuestos!$D$10,Supuestos!$E$10),IF(Supuestos!$C$10="Triangular",IF(G590&lt;(Supuestos!$E$10-Supuestos!$D$10)/(Supuestos!$F$10-Supuestos!$D$10),Supuestos!$D$10+SQRT(G590*(Supuestos!$F$10-Supuestos!$D$10)*(Supuestos!$E$10-Supuestos!$D$10)),Supuestos!$F$10-SQRT((1-G590)*(Supuestos!$F$10-Supuestos!$D$10)*(Supuestos!$F$10-Supuestos!$E$10))),IF(Supuestos!$C$10="Uniforme",Supuestos!$D$10+G590*(Supuestos!$E$10-Supuestos!$D$10),IF(Supuestos!$C$10="Lognormal",LOGINV(G590,LN(Supuestos!$D$10)-LN(1+Supuestos!$E$10^2/Supuestos!$D$10^2)/2,SQRT(LN(1+Supuestos!$E$10^2/Supuestos!$D$10^2))),Supuestos!$D$10))))))</f>
        <v/>
      </c>
      <c r="O590" s="31">
        <f>MIN(IF(Supuestos!$H$11="",1E+99,Supuestos!$H$11),MAX(IF(Supuestos!$G$11="",-1E+99,Supuestos!$G$11),IF(Supuestos!$C$11="Normal",NORMINV(H590,Supuestos!$D$11,Supuestos!$E$11),IF(Supuestos!$C$11="Triangular",IF(H590&lt;(Supuestos!$E$11-Supuestos!$D$11)/(Supuestos!$F$11-Supuestos!$D$11),Supuestos!$D$11+SQRT(H590*(Supuestos!$F$11-Supuestos!$D$11)*(Supuestos!$E$11-Supuestos!$D$11)),Supuestos!$F$11-SQRT((1-H590)*(Supuestos!$F$11-Supuestos!$D$11)*(Supuestos!$F$11-Supuestos!$E$11))),IF(Supuestos!$C$11="Uniforme",Supuestos!$D$11+H590*(Supuestos!$E$11-Supuestos!$D$11),IF(Supuestos!$C$11="Lognormal",LOGINV(H590,LN(Supuestos!$D$11)-LN(1+Supuestos!$E$11^2/Supuestos!$D$11^2)/2,SQRT(LN(1+Supuestos!$E$11^2/Supuestos!$D$11^2))),Supuestos!$D$11))))))</f>
        <v/>
      </c>
      <c r="P590" s="33">
        <f>-I590</f>
        <v/>
      </c>
      <c r="Q590" s="33">
        <f>$J590*(1+$K590)^(1-1)*(1-$L590)*(1-$M590)</f>
        <v/>
      </c>
      <c r="R590" s="33">
        <f>$J590*(1+$K590)^(2-1)*(1-$L590)*(1-$M590)</f>
        <v/>
      </c>
      <c r="S590" s="33">
        <f>$J590*(1+$K590)^(3-1)*(1-$L590)*(1-$M590)</f>
        <v/>
      </c>
      <c r="T590" s="33">
        <f>$J590*(1+$K590)^(4-1)*(1-$L590)*(1-$M590)</f>
        <v/>
      </c>
      <c r="U590" s="33">
        <f>$J590*(1+$K590)^(5-1)*(1-$L590)*(1-$M590)+$O590</f>
        <v/>
      </c>
      <c r="V590" s="33">
        <f>P590+NPV($N590,Q590:U590)</f>
        <v/>
      </c>
      <c r="W590" s="32">
        <f>IFERROR(IRR(P590:U590,0.1),"")</f>
        <v/>
      </c>
    </row>
    <row r="591">
      <c r="A591" s="14" t="n">
        <v>587</v>
      </c>
      <c r="B591" s="30">
        <f>RAND()*(1-2E-6)+1E-6</f>
        <v/>
      </c>
      <c r="C591" s="30">
        <f>RAND()*(1-2E-6)+1E-6</f>
        <v/>
      </c>
      <c r="D591" s="30">
        <f>RAND()*(1-2E-6)+1E-6</f>
        <v/>
      </c>
      <c r="E591" s="30">
        <f>RAND()*(1-2E-6)+1E-6</f>
        <v/>
      </c>
      <c r="F591" s="30">
        <f>RAND()*(1-2E-6)+1E-6</f>
        <v/>
      </c>
      <c r="G591" s="30">
        <f>RAND()*(1-2E-6)+1E-6</f>
        <v/>
      </c>
      <c r="H591" s="30">
        <f>RAND()*(1-2E-6)+1E-6</f>
        <v/>
      </c>
      <c r="I591" s="31">
        <f>MIN(IF(Supuestos!$H$5="",1E+99,Supuestos!$H$5),MAX(IF(Supuestos!$G$5="",-1E+99,Supuestos!$G$5),IF(Supuestos!$C$5="Normal",NORMINV(B591,Supuestos!$D$5,Supuestos!$E$5),IF(Supuestos!$C$5="Triangular",IF(B591&lt;(Supuestos!$E$5-Supuestos!$D$5)/(Supuestos!$F$5-Supuestos!$D$5),Supuestos!$D$5+SQRT(B591*(Supuestos!$F$5-Supuestos!$D$5)*(Supuestos!$E$5-Supuestos!$D$5)),Supuestos!$F$5-SQRT((1-B591)*(Supuestos!$F$5-Supuestos!$D$5)*(Supuestos!$F$5-Supuestos!$E$5))),IF(Supuestos!$C$5="Uniforme",Supuestos!$D$5+B591*(Supuestos!$E$5-Supuestos!$D$5),IF(Supuestos!$C$5="Lognormal",LOGINV(B591,LN(Supuestos!$D$5)-LN(1+Supuestos!$E$5^2/Supuestos!$D$5^2)/2,SQRT(LN(1+Supuestos!$E$5^2/Supuestos!$D$5^2))),Supuestos!$D$5))))))</f>
        <v/>
      </c>
      <c r="J591" s="31">
        <f>MIN(IF(Supuestos!$H$6="",1E+99,Supuestos!$H$6),MAX(IF(Supuestos!$G$6="",-1E+99,Supuestos!$G$6),IF(Supuestos!$C$6="Normal",NORMINV(C591,Supuestos!$D$6,Supuestos!$E$6),IF(Supuestos!$C$6="Triangular",IF(C591&lt;(Supuestos!$E$6-Supuestos!$D$6)/(Supuestos!$F$6-Supuestos!$D$6),Supuestos!$D$6+SQRT(C591*(Supuestos!$F$6-Supuestos!$D$6)*(Supuestos!$E$6-Supuestos!$D$6)),Supuestos!$F$6-SQRT((1-C591)*(Supuestos!$F$6-Supuestos!$D$6)*(Supuestos!$F$6-Supuestos!$E$6))),IF(Supuestos!$C$6="Uniforme",Supuestos!$D$6+C591*(Supuestos!$E$6-Supuestos!$D$6),IF(Supuestos!$C$6="Lognormal",LOGINV(C591,LN(Supuestos!$D$6)-LN(1+Supuestos!$E$6^2/Supuestos!$D$6^2)/2,SQRT(LN(1+Supuestos!$E$6^2/Supuestos!$D$6^2))),Supuestos!$D$6))))))</f>
        <v/>
      </c>
      <c r="K591" s="32">
        <f>MIN(IF(Supuestos!$H$7="",1E+99,Supuestos!$H$7),MAX(IF(Supuestos!$G$7="",-1E+99,Supuestos!$G$7),IF(Supuestos!$C$7="Normal",NORMINV(D591,Supuestos!$D$7,Supuestos!$E$7),IF(Supuestos!$C$7="Triangular",IF(D591&lt;(Supuestos!$E$7-Supuestos!$D$7)/(Supuestos!$F$7-Supuestos!$D$7),Supuestos!$D$7+SQRT(D591*(Supuestos!$F$7-Supuestos!$D$7)*(Supuestos!$E$7-Supuestos!$D$7)),Supuestos!$F$7-SQRT((1-D591)*(Supuestos!$F$7-Supuestos!$D$7)*(Supuestos!$F$7-Supuestos!$E$7))),IF(Supuestos!$C$7="Uniforme",Supuestos!$D$7+D591*(Supuestos!$E$7-Supuestos!$D$7),IF(Supuestos!$C$7="Lognormal",LOGINV(D591,LN(Supuestos!$D$7)-LN(1+Supuestos!$E$7^2/Supuestos!$D$7^2)/2,SQRT(LN(1+Supuestos!$E$7^2/Supuestos!$D$7^2))),Supuestos!$D$7))))))</f>
        <v/>
      </c>
      <c r="L591" s="32">
        <f>MIN(IF(Supuestos!$H$8="",1E+99,Supuestos!$H$8),MAX(IF(Supuestos!$G$8="",-1E+99,Supuestos!$G$8),IF(Supuestos!$C$8="Normal",NORMINV(E591,Supuestos!$D$8,Supuestos!$E$8),IF(Supuestos!$C$8="Triangular",IF(E591&lt;(Supuestos!$E$8-Supuestos!$D$8)/(Supuestos!$F$8-Supuestos!$D$8),Supuestos!$D$8+SQRT(E591*(Supuestos!$F$8-Supuestos!$D$8)*(Supuestos!$E$8-Supuestos!$D$8)),Supuestos!$F$8-SQRT((1-E591)*(Supuestos!$F$8-Supuestos!$D$8)*(Supuestos!$F$8-Supuestos!$E$8))),IF(Supuestos!$C$8="Uniforme",Supuestos!$D$8+E591*(Supuestos!$E$8-Supuestos!$D$8),IF(Supuestos!$C$8="Lognormal",LOGINV(E591,LN(Supuestos!$D$8)-LN(1+Supuestos!$E$8^2/Supuestos!$D$8^2)/2,SQRT(LN(1+Supuestos!$E$8^2/Supuestos!$D$8^2))),Supuestos!$D$8))))))</f>
        <v/>
      </c>
      <c r="M591" s="32">
        <f>MIN(IF(Supuestos!$H$9="",1E+99,Supuestos!$H$9),MAX(IF(Supuestos!$G$9="",-1E+99,Supuestos!$G$9),IF(Supuestos!$C$9="Normal",NORMINV(F591,Supuestos!$D$9,Supuestos!$E$9),IF(Supuestos!$C$9="Triangular",IF(F591&lt;(Supuestos!$E$9-Supuestos!$D$9)/(Supuestos!$F$9-Supuestos!$D$9),Supuestos!$D$9+SQRT(F591*(Supuestos!$F$9-Supuestos!$D$9)*(Supuestos!$E$9-Supuestos!$D$9)),Supuestos!$F$9-SQRT((1-F591)*(Supuestos!$F$9-Supuestos!$D$9)*(Supuestos!$F$9-Supuestos!$E$9))),IF(Supuestos!$C$9="Uniforme",Supuestos!$D$9+F591*(Supuestos!$E$9-Supuestos!$D$9),IF(Supuestos!$C$9="Lognormal",LOGINV(F591,LN(Supuestos!$D$9)-LN(1+Supuestos!$E$9^2/Supuestos!$D$9^2)/2,SQRT(LN(1+Supuestos!$E$9^2/Supuestos!$D$9^2))),Supuestos!$D$9))))))</f>
        <v/>
      </c>
      <c r="N591" s="32">
        <f>MIN(IF(Supuestos!$H$10="",1E+99,Supuestos!$H$10),MAX(IF(Supuestos!$G$10="",-1E+99,Supuestos!$G$10),IF(Supuestos!$C$10="Normal",NORMINV(G591,Supuestos!$D$10,Supuestos!$E$10),IF(Supuestos!$C$10="Triangular",IF(G591&lt;(Supuestos!$E$10-Supuestos!$D$10)/(Supuestos!$F$10-Supuestos!$D$10),Supuestos!$D$10+SQRT(G591*(Supuestos!$F$10-Supuestos!$D$10)*(Supuestos!$E$10-Supuestos!$D$10)),Supuestos!$F$10-SQRT((1-G591)*(Supuestos!$F$10-Supuestos!$D$10)*(Supuestos!$F$10-Supuestos!$E$10))),IF(Supuestos!$C$10="Uniforme",Supuestos!$D$10+G591*(Supuestos!$E$10-Supuestos!$D$10),IF(Supuestos!$C$10="Lognormal",LOGINV(G591,LN(Supuestos!$D$10)-LN(1+Supuestos!$E$10^2/Supuestos!$D$10^2)/2,SQRT(LN(1+Supuestos!$E$10^2/Supuestos!$D$10^2))),Supuestos!$D$10))))))</f>
        <v/>
      </c>
      <c r="O591" s="31">
        <f>MIN(IF(Supuestos!$H$11="",1E+99,Supuestos!$H$11),MAX(IF(Supuestos!$G$11="",-1E+99,Supuestos!$G$11),IF(Supuestos!$C$11="Normal",NORMINV(H591,Supuestos!$D$11,Supuestos!$E$11),IF(Supuestos!$C$11="Triangular",IF(H591&lt;(Supuestos!$E$11-Supuestos!$D$11)/(Supuestos!$F$11-Supuestos!$D$11),Supuestos!$D$11+SQRT(H591*(Supuestos!$F$11-Supuestos!$D$11)*(Supuestos!$E$11-Supuestos!$D$11)),Supuestos!$F$11-SQRT((1-H591)*(Supuestos!$F$11-Supuestos!$D$11)*(Supuestos!$F$11-Supuestos!$E$11))),IF(Supuestos!$C$11="Uniforme",Supuestos!$D$11+H591*(Supuestos!$E$11-Supuestos!$D$11),IF(Supuestos!$C$11="Lognormal",LOGINV(H591,LN(Supuestos!$D$11)-LN(1+Supuestos!$E$11^2/Supuestos!$D$11^2)/2,SQRT(LN(1+Supuestos!$E$11^2/Supuestos!$D$11^2))),Supuestos!$D$11))))))</f>
        <v/>
      </c>
      <c r="P591" s="33">
        <f>-I591</f>
        <v/>
      </c>
      <c r="Q591" s="33">
        <f>$J591*(1+$K591)^(1-1)*(1-$L591)*(1-$M591)</f>
        <v/>
      </c>
      <c r="R591" s="33">
        <f>$J591*(1+$K591)^(2-1)*(1-$L591)*(1-$M591)</f>
        <v/>
      </c>
      <c r="S591" s="33">
        <f>$J591*(1+$K591)^(3-1)*(1-$L591)*(1-$M591)</f>
        <v/>
      </c>
      <c r="T591" s="33">
        <f>$J591*(1+$K591)^(4-1)*(1-$L591)*(1-$M591)</f>
        <v/>
      </c>
      <c r="U591" s="33">
        <f>$J591*(1+$K591)^(5-1)*(1-$L591)*(1-$M591)+$O591</f>
        <v/>
      </c>
      <c r="V591" s="33">
        <f>P591+NPV($N591,Q591:U591)</f>
        <v/>
      </c>
      <c r="W591" s="32">
        <f>IFERROR(IRR(P591:U591,0.1),"")</f>
        <v/>
      </c>
    </row>
    <row r="592">
      <c r="A592" s="14" t="n">
        <v>588</v>
      </c>
      <c r="B592" s="30">
        <f>RAND()*(1-2E-6)+1E-6</f>
        <v/>
      </c>
      <c r="C592" s="30">
        <f>RAND()*(1-2E-6)+1E-6</f>
        <v/>
      </c>
      <c r="D592" s="30">
        <f>RAND()*(1-2E-6)+1E-6</f>
        <v/>
      </c>
      <c r="E592" s="30">
        <f>RAND()*(1-2E-6)+1E-6</f>
        <v/>
      </c>
      <c r="F592" s="30">
        <f>RAND()*(1-2E-6)+1E-6</f>
        <v/>
      </c>
      <c r="G592" s="30">
        <f>RAND()*(1-2E-6)+1E-6</f>
        <v/>
      </c>
      <c r="H592" s="30">
        <f>RAND()*(1-2E-6)+1E-6</f>
        <v/>
      </c>
      <c r="I592" s="31">
        <f>MIN(IF(Supuestos!$H$5="",1E+99,Supuestos!$H$5),MAX(IF(Supuestos!$G$5="",-1E+99,Supuestos!$G$5),IF(Supuestos!$C$5="Normal",NORMINV(B592,Supuestos!$D$5,Supuestos!$E$5),IF(Supuestos!$C$5="Triangular",IF(B592&lt;(Supuestos!$E$5-Supuestos!$D$5)/(Supuestos!$F$5-Supuestos!$D$5),Supuestos!$D$5+SQRT(B592*(Supuestos!$F$5-Supuestos!$D$5)*(Supuestos!$E$5-Supuestos!$D$5)),Supuestos!$F$5-SQRT((1-B592)*(Supuestos!$F$5-Supuestos!$D$5)*(Supuestos!$F$5-Supuestos!$E$5))),IF(Supuestos!$C$5="Uniforme",Supuestos!$D$5+B592*(Supuestos!$E$5-Supuestos!$D$5),IF(Supuestos!$C$5="Lognormal",LOGINV(B592,LN(Supuestos!$D$5)-LN(1+Supuestos!$E$5^2/Supuestos!$D$5^2)/2,SQRT(LN(1+Supuestos!$E$5^2/Supuestos!$D$5^2))),Supuestos!$D$5))))))</f>
        <v/>
      </c>
      <c r="J592" s="31">
        <f>MIN(IF(Supuestos!$H$6="",1E+99,Supuestos!$H$6),MAX(IF(Supuestos!$G$6="",-1E+99,Supuestos!$G$6),IF(Supuestos!$C$6="Normal",NORMINV(C592,Supuestos!$D$6,Supuestos!$E$6),IF(Supuestos!$C$6="Triangular",IF(C592&lt;(Supuestos!$E$6-Supuestos!$D$6)/(Supuestos!$F$6-Supuestos!$D$6),Supuestos!$D$6+SQRT(C592*(Supuestos!$F$6-Supuestos!$D$6)*(Supuestos!$E$6-Supuestos!$D$6)),Supuestos!$F$6-SQRT((1-C592)*(Supuestos!$F$6-Supuestos!$D$6)*(Supuestos!$F$6-Supuestos!$E$6))),IF(Supuestos!$C$6="Uniforme",Supuestos!$D$6+C592*(Supuestos!$E$6-Supuestos!$D$6),IF(Supuestos!$C$6="Lognormal",LOGINV(C592,LN(Supuestos!$D$6)-LN(1+Supuestos!$E$6^2/Supuestos!$D$6^2)/2,SQRT(LN(1+Supuestos!$E$6^2/Supuestos!$D$6^2))),Supuestos!$D$6))))))</f>
        <v/>
      </c>
      <c r="K592" s="32">
        <f>MIN(IF(Supuestos!$H$7="",1E+99,Supuestos!$H$7),MAX(IF(Supuestos!$G$7="",-1E+99,Supuestos!$G$7),IF(Supuestos!$C$7="Normal",NORMINV(D592,Supuestos!$D$7,Supuestos!$E$7),IF(Supuestos!$C$7="Triangular",IF(D592&lt;(Supuestos!$E$7-Supuestos!$D$7)/(Supuestos!$F$7-Supuestos!$D$7),Supuestos!$D$7+SQRT(D592*(Supuestos!$F$7-Supuestos!$D$7)*(Supuestos!$E$7-Supuestos!$D$7)),Supuestos!$F$7-SQRT((1-D592)*(Supuestos!$F$7-Supuestos!$D$7)*(Supuestos!$F$7-Supuestos!$E$7))),IF(Supuestos!$C$7="Uniforme",Supuestos!$D$7+D592*(Supuestos!$E$7-Supuestos!$D$7),IF(Supuestos!$C$7="Lognormal",LOGINV(D592,LN(Supuestos!$D$7)-LN(1+Supuestos!$E$7^2/Supuestos!$D$7^2)/2,SQRT(LN(1+Supuestos!$E$7^2/Supuestos!$D$7^2))),Supuestos!$D$7))))))</f>
        <v/>
      </c>
      <c r="L592" s="32">
        <f>MIN(IF(Supuestos!$H$8="",1E+99,Supuestos!$H$8),MAX(IF(Supuestos!$G$8="",-1E+99,Supuestos!$G$8),IF(Supuestos!$C$8="Normal",NORMINV(E592,Supuestos!$D$8,Supuestos!$E$8),IF(Supuestos!$C$8="Triangular",IF(E592&lt;(Supuestos!$E$8-Supuestos!$D$8)/(Supuestos!$F$8-Supuestos!$D$8),Supuestos!$D$8+SQRT(E592*(Supuestos!$F$8-Supuestos!$D$8)*(Supuestos!$E$8-Supuestos!$D$8)),Supuestos!$F$8-SQRT((1-E592)*(Supuestos!$F$8-Supuestos!$D$8)*(Supuestos!$F$8-Supuestos!$E$8))),IF(Supuestos!$C$8="Uniforme",Supuestos!$D$8+E592*(Supuestos!$E$8-Supuestos!$D$8),IF(Supuestos!$C$8="Lognormal",LOGINV(E592,LN(Supuestos!$D$8)-LN(1+Supuestos!$E$8^2/Supuestos!$D$8^2)/2,SQRT(LN(1+Supuestos!$E$8^2/Supuestos!$D$8^2))),Supuestos!$D$8))))))</f>
        <v/>
      </c>
      <c r="M592" s="32">
        <f>MIN(IF(Supuestos!$H$9="",1E+99,Supuestos!$H$9),MAX(IF(Supuestos!$G$9="",-1E+99,Supuestos!$G$9),IF(Supuestos!$C$9="Normal",NORMINV(F592,Supuestos!$D$9,Supuestos!$E$9),IF(Supuestos!$C$9="Triangular",IF(F592&lt;(Supuestos!$E$9-Supuestos!$D$9)/(Supuestos!$F$9-Supuestos!$D$9),Supuestos!$D$9+SQRT(F592*(Supuestos!$F$9-Supuestos!$D$9)*(Supuestos!$E$9-Supuestos!$D$9)),Supuestos!$F$9-SQRT((1-F592)*(Supuestos!$F$9-Supuestos!$D$9)*(Supuestos!$F$9-Supuestos!$E$9))),IF(Supuestos!$C$9="Uniforme",Supuestos!$D$9+F592*(Supuestos!$E$9-Supuestos!$D$9),IF(Supuestos!$C$9="Lognormal",LOGINV(F592,LN(Supuestos!$D$9)-LN(1+Supuestos!$E$9^2/Supuestos!$D$9^2)/2,SQRT(LN(1+Supuestos!$E$9^2/Supuestos!$D$9^2))),Supuestos!$D$9))))))</f>
        <v/>
      </c>
      <c r="N592" s="32">
        <f>MIN(IF(Supuestos!$H$10="",1E+99,Supuestos!$H$10),MAX(IF(Supuestos!$G$10="",-1E+99,Supuestos!$G$10),IF(Supuestos!$C$10="Normal",NORMINV(G592,Supuestos!$D$10,Supuestos!$E$10),IF(Supuestos!$C$10="Triangular",IF(G592&lt;(Supuestos!$E$10-Supuestos!$D$10)/(Supuestos!$F$10-Supuestos!$D$10),Supuestos!$D$10+SQRT(G592*(Supuestos!$F$10-Supuestos!$D$10)*(Supuestos!$E$10-Supuestos!$D$10)),Supuestos!$F$10-SQRT((1-G592)*(Supuestos!$F$10-Supuestos!$D$10)*(Supuestos!$F$10-Supuestos!$E$10))),IF(Supuestos!$C$10="Uniforme",Supuestos!$D$10+G592*(Supuestos!$E$10-Supuestos!$D$10),IF(Supuestos!$C$10="Lognormal",LOGINV(G592,LN(Supuestos!$D$10)-LN(1+Supuestos!$E$10^2/Supuestos!$D$10^2)/2,SQRT(LN(1+Supuestos!$E$10^2/Supuestos!$D$10^2))),Supuestos!$D$10))))))</f>
        <v/>
      </c>
      <c r="O592" s="31">
        <f>MIN(IF(Supuestos!$H$11="",1E+99,Supuestos!$H$11),MAX(IF(Supuestos!$G$11="",-1E+99,Supuestos!$G$11),IF(Supuestos!$C$11="Normal",NORMINV(H592,Supuestos!$D$11,Supuestos!$E$11),IF(Supuestos!$C$11="Triangular",IF(H592&lt;(Supuestos!$E$11-Supuestos!$D$11)/(Supuestos!$F$11-Supuestos!$D$11),Supuestos!$D$11+SQRT(H592*(Supuestos!$F$11-Supuestos!$D$11)*(Supuestos!$E$11-Supuestos!$D$11)),Supuestos!$F$11-SQRT((1-H592)*(Supuestos!$F$11-Supuestos!$D$11)*(Supuestos!$F$11-Supuestos!$E$11))),IF(Supuestos!$C$11="Uniforme",Supuestos!$D$11+H592*(Supuestos!$E$11-Supuestos!$D$11),IF(Supuestos!$C$11="Lognormal",LOGINV(H592,LN(Supuestos!$D$11)-LN(1+Supuestos!$E$11^2/Supuestos!$D$11^2)/2,SQRT(LN(1+Supuestos!$E$11^2/Supuestos!$D$11^2))),Supuestos!$D$11))))))</f>
        <v/>
      </c>
      <c r="P592" s="33">
        <f>-I592</f>
        <v/>
      </c>
      <c r="Q592" s="33">
        <f>$J592*(1+$K592)^(1-1)*(1-$L592)*(1-$M592)</f>
        <v/>
      </c>
      <c r="R592" s="33">
        <f>$J592*(1+$K592)^(2-1)*(1-$L592)*(1-$M592)</f>
        <v/>
      </c>
      <c r="S592" s="33">
        <f>$J592*(1+$K592)^(3-1)*(1-$L592)*(1-$M592)</f>
        <v/>
      </c>
      <c r="T592" s="33">
        <f>$J592*(1+$K592)^(4-1)*(1-$L592)*(1-$M592)</f>
        <v/>
      </c>
      <c r="U592" s="33">
        <f>$J592*(1+$K592)^(5-1)*(1-$L592)*(1-$M592)+$O592</f>
        <v/>
      </c>
      <c r="V592" s="33">
        <f>P592+NPV($N592,Q592:U592)</f>
        <v/>
      </c>
      <c r="W592" s="32">
        <f>IFERROR(IRR(P592:U592,0.1),"")</f>
        <v/>
      </c>
    </row>
    <row r="593">
      <c r="A593" s="14" t="n">
        <v>589</v>
      </c>
      <c r="B593" s="30">
        <f>RAND()*(1-2E-6)+1E-6</f>
        <v/>
      </c>
      <c r="C593" s="30">
        <f>RAND()*(1-2E-6)+1E-6</f>
        <v/>
      </c>
      <c r="D593" s="30">
        <f>RAND()*(1-2E-6)+1E-6</f>
        <v/>
      </c>
      <c r="E593" s="30">
        <f>RAND()*(1-2E-6)+1E-6</f>
        <v/>
      </c>
      <c r="F593" s="30">
        <f>RAND()*(1-2E-6)+1E-6</f>
        <v/>
      </c>
      <c r="G593" s="30">
        <f>RAND()*(1-2E-6)+1E-6</f>
        <v/>
      </c>
      <c r="H593" s="30">
        <f>RAND()*(1-2E-6)+1E-6</f>
        <v/>
      </c>
      <c r="I593" s="31">
        <f>MIN(IF(Supuestos!$H$5="",1E+99,Supuestos!$H$5),MAX(IF(Supuestos!$G$5="",-1E+99,Supuestos!$G$5),IF(Supuestos!$C$5="Normal",NORMINV(B593,Supuestos!$D$5,Supuestos!$E$5),IF(Supuestos!$C$5="Triangular",IF(B593&lt;(Supuestos!$E$5-Supuestos!$D$5)/(Supuestos!$F$5-Supuestos!$D$5),Supuestos!$D$5+SQRT(B593*(Supuestos!$F$5-Supuestos!$D$5)*(Supuestos!$E$5-Supuestos!$D$5)),Supuestos!$F$5-SQRT((1-B593)*(Supuestos!$F$5-Supuestos!$D$5)*(Supuestos!$F$5-Supuestos!$E$5))),IF(Supuestos!$C$5="Uniforme",Supuestos!$D$5+B593*(Supuestos!$E$5-Supuestos!$D$5),IF(Supuestos!$C$5="Lognormal",LOGINV(B593,LN(Supuestos!$D$5)-LN(1+Supuestos!$E$5^2/Supuestos!$D$5^2)/2,SQRT(LN(1+Supuestos!$E$5^2/Supuestos!$D$5^2))),Supuestos!$D$5))))))</f>
        <v/>
      </c>
      <c r="J593" s="31">
        <f>MIN(IF(Supuestos!$H$6="",1E+99,Supuestos!$H$6),MAX(IF(Supuestos!$G$6="",-1E+99,Supuestos!$G$6),IF(Supuestos!$C$6="Normal",NORMINV(C593,Supuestos!$D$6,Supuestos!$E$6),IF(Supuestos!$C$6="Triangular",IF(C593&lt;(Supuestos!$E$6-Supuestos!$D$6)/(Supuestos!$F$6-Supuestos!$D$6),Supuestos!$D$6+SQRT(C593*(Supuestos!$F$6-Supuestos!$D$6)*(Supuestos!$E$6-Supuestos!$D$6)),Supuestos!$F$6-SQRT((1-C593)*(Supuestos!$F$6-Supuestos!$D$6)*(Supuestos!$F$6-Supuestos!$E$6))),IF(Supuestos!$C$6="Uniforme",Supuestos!$D$6+C593*(Supuestos!$E$6-Supuestos!$D$6),IF(Supuestos!$C$6="Lognormal",LOGINV(C593,LN(Supuestos!$D$6)-LN(1+Supuestos!$E$6^2/Supuestos!$D$6^2)/2,SQRT(LN(1+Supuestos!$E$6^2/Supuestos!$D$6^2))),Supuestos!$D$6))))))</f>
        <v/>
      </c>
      <c r="K593" s="32">
        <f>MIN(IF(Supuestos!$H$7="",1E+99,Supuestos!$H$7),MAX(IF(Supuestos!$G$7="",-1E+99,Supuestos!$G$7),IF(Supuestos!$C$7="Normal",NORMINV(D593,Supuestos!$D$7,Supuestos!$E$7),IF(Supuestos!$C$7="Triangular",IF(D593&lt;(Supuestos!$E$7-Supuestos!$D$7)/(Supuestos!$F$7-Supuestos!$D$7),Supuestos!$D$7+SQRT(D593*(Supuestos!$F$7-Supuestos!$D$7)*(Supuestos!$E$7-Supuestos!$D$7)),Supuestos!$F$7-SQRT((1-D593)*(Supuestos!$F$7-Supuestos!$D$7)*(Supuestos!$F$7-Supuestos!$E$7))),IF(Supuestos!$C$7="Uniforme",Supuestos!$D$7+D593*(Supuestos!$E$7-Supuestos!$D$7),IF(Supuestos!$C$7="Lognormal",LOGINV(D593,LN(Supuestos!$D$7)-LN(1+Supuestos!$E$7^2/Supuestos!$D$7^2)/2,SQRT(LN(1+Supuestos!$E$7^2/Supuestos!$D$7^2))),Supuestos!$D$7))))))</f>
        <v/>
      </c>
      <c r="L593" s="32">
        <f>MIN(IF(Supuestos!$H$8="",1E+99,Supuestos!$H$8),MAX(IF(Supuestos!$G$8="",-1E+99,Supuestos!$G$8),IF(Supuestos!$C$8="Normal",NORMINV(E593,Supuestos!$D$8,Supuestos!$E$8),IF(Supuestos!$C$8="Triangular",IF(E593&lt;(Supuestos!$E$8-Supuestos!$D$8)/(Supuestos!$F$8-Supuestos!$D$8),Supuestos!$D$8+SQRT(E593*(Supuestos!$F$8-Supuestos!$D$8)*(Supuestos!$E$8-Supuestos!$D$8)),Supuestos!$F$8-SQRT((1-E593)*(Supuestos!$F$8-Supuestos!$D$8)*(Supuestos!$F$8-Supuestos!$E$8))),IF(Supuestos!$C$8="Uniforme",Supuestos!$D$8+E593*(Supuestos!$E$8-Supuestos!$D$8),IF(Supuestos!$C$8="Lognormal",LOGINV(E593,LN(Supuestos!$D$8)-LN(1+Supuestos!$E$8^2/Supuestos!$D$8^2)/2,SQRT(LN(1+Supuestos!$E$8^2/Supuestos!$D$8^2))),Supuestos!$D$8))))))</f>
        <v/>
      </c>
      <c r="M593" s="32">
        <f>MIN(IF(Supuestos!$H$9="",1E+99,Supuestos!$H$9),MAX(IF(Supuestos!$G$9="",-1E+99,Supuestos!$G$9),IF(Supuestos!$C$9="Normal",NORMINV(F593,Supuestos!$D$9,Supuestos!$E$9),IF(Supuestos!$C$9="Triangular",IF(F593&lt;(Supuestos!$E$9-Supuestos!$D$9)/(Supuestos!$F$9-Supuestos!$D$9),Supuestos!$D$9+SQRT(F593*(Supuestos!$F$9-Supuestos!$D$9)*(Supuestos!$E$9-Supuestos!$D$9)),Supuestos!$F$9-SQRT((1-F593)*(Supuestos!$F$9-Supuestos!$D$9)*(Supuestos!$F$9-Supuestos!$E$9))),IF(Supuestos!$C$9="Uniforme",Supuestos!$D$9+F593*(Supuestos!$E$9-Supuestos!$D$9),IF(Supuestos!$C$9="Lognormal",LOGINV(F593,LN(Supuestos!$D$9)-LN(1+Supuestos!$E$9^2/Supuestos!$D$9^2)/2,SQRT(LN(1+Supuestos!$E$9^2/Supuestos!$D$9^2))),Supuestos!$D$9))))))</f>
        <v/>
      </c>
      <c r="N593" s="32">
        <f>MIN(IF(Supuestos!$H$10="",1E+99,Supuestos!$H$10),MAX(IF(Supuestos!$G$10="",-1E+99,Supuestos!$G$10),IF(Supuestos!$C$10="Normal",NORMINV(G593,Supuestos!$D$10,Supuestos!$E$10),IF(Supuestos!$C$10="Triangular",IF(G593&lt;(Supuestos!$E$10-Supuestos!$D$10)/(Supuestos!$F$10-Supuestos!$D$10),Supuestos!$D$10+SQRT(G593*(Supuestos!$F$10-Supuestos!$D$10)*(Supuestos!$E$10-Supuestos!$D$10)),Supuestos!$F$10-SQRT((1-G593)*(Supuestos!$F$10-Supuestos!$D$10)*(Supuestos!$F$10-Supuestos!$E$10))),IF(Supuestos!$C$10="Uniforme",Supuestos!$D$10+G593*(Supuestos!$E$10-Supuestos!$D$10),IF(Supuestos!$C$10="Lognormal",LOGINV(G593,LN(Supuestos!$D$10)-LN(1+Supuestos!$E$10^2/Supuestos!$D$10^2)/2,SQRT(LN(1+Supuestos!$E$10^2/Supuestos!$D$10^2))),Supuestos!$D$10))))))</f>
        <v/>
      </c>
      <c r="O593" s="31">
        <f>MIN(IF(Supuestos!$H$11="",1E+99,Supuestos!$H$11),MAX(IF(Supuestos!$G$11="",-1E+99,Supuestos!$G$11),IF(Supuestos!$C$11="Normal",NORMINV(H593,Supuestos!$D$11,Supuestos!$E$11),IF(Supuestos!$C$11="Triangular",IF(H593&lt;(Supuestos!$E$11-Supuestos!$D$11)/(Supuestos!$F$11-Supuestos!$D$11),Supuestos!$D$11+SQRT(H593*(Supuestos!$F$11-Supuestos!$D$11)*(Supuestos!$E$11-Supuestos!$D$11)),Supuestos!$F$11-SQRT((1-H593)*(Supuestos!$F$11-Supuestos!$D$11)*(Supuestos!$F$11-Supuestos!$E$11))),IF(Supuestos!$C$11="Uniforme",Supuestos!$D$11+H593*(Supuestos!$E$11-Supuestos!$D$11),IF(Supuestos!$C$11="Lognormal",LOGINV(H593,LN(Supuestos!$D$11)-LN(1+Supuestos!$E$11^2/Supuestos!$D$11^2)/2,SQRT(LN(1+Supuestos!$E$11^2/Supuestos!$D$11^2))),Supuestos!$D$11))))))</f>
        <v/>
      </c>
      <c r="P593" s="33">
        <f>-I593</f>
        <v/>
      </c>
      <c r="Q593" s="33">
        <f>$J593*(1+$K593)^(1-1)*(1-$L593)*(1-$M593)</f>
        <v/>
      </c>
      <c r="R593" s="33">
        <f>$J593*(1+$K593)^(2-1)*(1-$L593)*(1-$M593)</f>
        <v/>
      </c>
      <c r="S593" s="33">
        <f>$J593*(1+$K593)^(3-1)*(1-$L593)*(1-$M593)</f>
        <v/>
      </c>
      <c r="T593" s="33">
        <f>$J593*(1+$K593)^(4-1)*(1-$L593)*(1-$M593)</f>
        <v/>
      </c>
      <c r="U593" s="33">
        <f>$J593*(1+$K593)^(5-1)*(1-$L593)*(1-$M593)+$O593</f>
        <v/>
      </c>
      <c r="V593" s="33">
        <f>P593+NPV($N593,Q593:U593)</f>
        <v/>
      </c>
      <c r="W593" s="32">
        <f>IFERROR(IRR(P593:U593,0.1),"")</f>
        <v/>
      </c>
    </row>
    <row r="594">
      <c r="A594" s="14" t="n">
        <v>590</v>
      </c>
      <c r="B594" s="30">
        <f>RAND()*(1-2E-6)+1E-6</f>
        <v/>
      </c>
      <c r="C594" s="30">
        <f>RAND()*(1-2E-6)+1E-6</f>
        <v/>
      </c>
      <c r="D594" s="30">
        <f>RAND()*(1-2E-6)+1E-6</f>
        <v/>
      </c>
      <c r="E594" s="30">
        <f>RAND()*(1-2E-6)+1E-6</f>
        <v/>
      </c>
      <c r="F594" s="30">
        <f>RAND()*(1-2E-6)+1E-6</f>
        <v/>
      </c>
      <c r="G594" s="30">
        <f>RAND()*(1-2E-6)+1E-6</f>
        <v/>
      </c>
      <c r="H594" s="30">
        <f>RAND()*(1-2E-6)+1E-6</f>
        <v/>
      </c>
      <c r="I594" s="31">
        <f>MIN(IF(Supuestos!$H$5="",1E+99,Supuestos!$H$5),MAX(IF(Supuestos!$G$5="",-1E+99,Supuestos!$G$5),IF(Supuestos!$C$5="Normal",NORMINV(B594,Supuestos!$D$5,Supuestos!$E$5),IF(Supuestos!$C$5="Triangular",IF(B594&lt;(Supuestos!$E$5-Supuestos!$D$5)/(Supuestos!$F$5-Supuestos!$D$5),Supuestos!$D$5+SQRT(B594*(Supuestos!$F$5-Supuestos!$D$5)*(Supuestos!$E$5-Supuestos!$D$5)),Supuestos!$F$5-SQRT((1-B594)*(Supuestos!$F$5-Supuestos!$D$5)*(Supuestos!$F$5-Supuestos!$E$5))),IF(Supuestos!$C$5="Uniforme",Supuestos!$D$5+B594*(Supuestos!$E$5-Supuestos!$D$5),IF(Supuestos!$C$5="Lognormal",LOGINV(B594,LN(Supuestos!$D$5)-LN(1+Supuestos!$E$5^2/Supuestos!$D$5^2)/2,SQRT(LN(1+Supuestos!$E$5^2/Supuestos!$D$5^2))),Supuestos!$D$5))))))</f>
        <v/>
      </c>
      <c r="J594" s="31">
        <f>MIN(IF(Supuestos!$H$6="",1E+99,Supuestos!$H$6),MAX(IF(Supuestos!$G$6="",-1E+99,Supuestos!$G$6),IF(Supuestos!$C$6="Normal",NORMINV(C594,Supuestos!$D$6,Supuestos!$E$6),IF(Supuestos!$C$6="Triangular",IF(C594&lt;(Supuestos!$E$6-Supuestos!$D$6)/(Supuestos!$F$6-Supuestos!$D$6),Supuestos!$D$6+SQRT(C594*(Supuestos!$F$6-Supuestos!$D$6)*(Supuestos!$E$6-Supuestos!$D$6)),Supuestos!$F$6-SQRT((1-C594)*(Supuestos!$F$6-Supuestos!$D$6)*(Supuestos!$F$6-Supuestos!$E$6))),IF(Supuestos!$C$6="Uniforme",Supuestos!$D$6+C594*(Supuestos!$E$6-Supuestos!$D$6),IF(Supuestos!$C$6="Lognormal",LOGINV(C594,LN(Supuestos!$D$6)-LN(1+Supuestos!$E$6^2/Supuestos!$D$6^2)/2,SQRT(LN(1+Supuestos!$E$6^2/Supuestos!$D$6^2))),Supuestos!$D$6))))))</f>
        <v/>
      </c>
      <c r="K594" s="32">
        <f>MIN(IF(Supuestos!$H$7="",1E+99,Supuestos!$H$7),MAX(IF(Supuestos!$G$7="",-1E+99,Supuestos!$G$7),IF(Supuestos!$C$7="Normal",NORMINV(D594,Supuestos!$D$7,Supuestos!$E$7),IF(Supuestos!$C$7="Triangular",IF(D594&lt;(Supuestos!$E$7-Supuestos!$D$7)/(Supuestos!$F$7-Supuestos!$D$7),Supuestos!$D$7+SQRT(D594*(Supuestos!$F$7-Supuestos!$D$7)*(Supuestos!$E$7-Supuestos!$D$7)),Supuestos!$F$7-SQRT((1-D594)*(Supuestos!$F$7-Supuestos!$D$7)*(Supuestos!$F$7-Supuestos!$E$7))),IF(Supuestos!$C$7="Uniforme",Supuestos!$D$7+D594*(Supuestos!$E$7-Supuestos!$D$7),IF(Supuestos!$C$7="Lognormal",LOGINV(D594,LN(Supuestos!$D$7)-LN(1+Supuestos!$E$7^2/Supuestos!$D$7^2)/2,SQRT(LN(1+Supuestos!$E$7^2/Supuestos!$D$7^2))),Supuestos!$D$7))))))</f>
        <v/>
      </c>
      <c r="L594" s="32">
        <f>MIN(IF(Supuestos!$H$8="",1E+99,Supuestos!$H$8),MAX(IF(Supuestos!$G$8="",-1E+99,Supuestos!$G$8),IF(Supuestos!$C$8="Normal",NORMINV(E594,Supuestos!$D$8,Supuestos!$E$8),IF(Supuestos!$C$8="Triangular",IF(E594&lt;(Supuestos!$E$8-Supuestos!$D$8)/(Supuestos!$F$8-Supuestos!$D$8),Supuestos!$D$8+SQRT(E594*(Supuestos!$F$8-Supuestos!$D$8)*(Supuestos!$E$8-Supuestos!$D$8)),Supuestos!$F$8-SQRT((1-E594)*(Supuestos!$F$8-Supuestos!$D$8)*(Supuestos!$F$8-Supuestos!$E$8))),IF(Supuestos!$C$8="Uniforme",Supuestos!$D$8+E594*(Supuestos!$E$8-Supuestos!$D$8),IF(Supuestos!$C$8="Lognormal",LOGINV(E594,LN(Supuestos!$D$8)-LN(1+Supuestos!$E$8^2/Supuestos!$D$8^2)/2,SQRT(LN(1+Supuestos!$E$8^2/Supuestos!$D$8^2))),Supuestos!$D$8))))))</f>
        <v/>
      </c>
      <c r="M594" s="32">
        <f>MIN(IF(Supuestos!$H$9="",1E+99,Supuestos!$H$9),MAX(IF(Supuestos!$G$9="",-1E+99,Supuestos!$G$9),IF(Supuestos!$C$9="Normal",NORMINV(F594,Supuestos!$D$9,Supuestos!$E$9),IF(Supuestos!$C$9="Triangular",IF(F594&lt;(Supuestos!$E$9-Supuestos!$D$9)/(Supuestos!$F$9-Supuestos!$D$9),Supuestos!$D$9+SQRT(F594*(Supuestos!$F$9-Supuestos!$D$9)*(Supuestos!$E$9-Supuestos!$D$9)),Supuestos!$F$9-SQRT((1-F594)*(Supuestos!$F$9-Supuestos!$D$9)*(Supuestos!$F$9-Supuestos!$E$9))),IF(Supuestos!$C$9="Uniforme",Supuestos!$D$9+F594*(Supuestos!$E$9-Supuestos!$D$9),IF(Supuestos!$C$9="Lognormal",LOGINV(F594,LN(Supuestos!$D$9)-LN(1+Supuestos!$E$9^2/Supuestos!$D$9^2)/2,SQRT(LN(1+Supuestos!$E$9^2/Supuestos!$D$9^2))),Supuestos!$D$9))))))</f>
        <v/>
      </c>
      <c r="N594" s="32">
        <f>MIN(IF(Supuestos!$H$10="",1E+99,Supuestos!$H$10),MAX(IF(Supuestos!$G$10="",-1E+99,Supuestos!$G$10),IF(Supuestos!$C$10="Normal",NORMINV(G594,Supuestos!$D$10,Supuestos!$E$10),IF(Supuestos!$C$10="Triangular",IF(G594&lt;(Supuestos!$E$10-Supuestos!$D$10)/(Supuestos!$F$10-Supuestos!$D$10),Supuestos!$D$10+SQRT(G594*(Supuestos!$F$10-Supuestos!$D$10)*(Supuestos!$E$10-Supuestos!$D$10)),Supuestos!$F$10-SQRT((1-G594)*(Supuestos!$F$10-Supuestos!$D$10)*(Supuestos!$F$10-Supuestos!$E$10))),IF(Supuestos!$C$10="Uniforme",Supuestos!$D$10+G594*(Supuestos!$E$10-Supuestos!$D$10),IF(Supuestos!$C$10="Lognormal",LOGINV(G594,LN(Supuestos!$D$10)-LN(1+Supuestos!$E$10^2/Supuestos!$D$10^2)/2,SQRT(LN(1+Supuestos!$E$10^2/Supuestos!$D$10^2))),Supuestos!$D$10))))))</f>
        <v/>
      </c>
      <c r="O594" s="31">
        <f>MIN(IF(Supuestos!$H$11="",1E+99,Supuestos!$H$11),MAX(IF(Supuestos!$G$11="",-1E+99,Supuestos!$G$11),IF(Supuestos!$C$11="Normal",NORMINV(H594,Supuestos!$D$11,Supuestos!$E$11),IF(Supuestos!$C$11="Triangular",IF(H594&lt;(Supuestos!$E$11-Supuestos!$D$11)/(Supuestos!$F$11-Supuestos!$D$11),Supuestos!$D$11+SQRT(H594*(Supuestos!$F$11-Supuestos!$D$11)*(Supuestos!$E$11-Supuestos!$D$11)),Supuestos!$F$11-SQRT((1-H594)*(Supuestos!$F$11-Supuestos!$D$11)*(Supuestos!$F$11-Supuestos!$E$11))),IF(Supuestos!$C$11="Uniforme",Supuestos!$D$11+H594*(Supuestos!$E$11-Supuestos!$D$11),IF(Supuestos!$C$11="Lognormal",LOGINV(H594,LN(Supuestos!$D$11)-LN(1+Supuestos!$E$11^2/Supuestos!$D$11^2)/2,SQRT(LN(1+Supuestos!$E$11^2/Supuestos!$D$11^2))),Supuestos!$D$11))))))</f>
        <v/>
      </c>
      <c r="P594" s="33">
        <f>-I594</f>
        <v/>
      </c>
      <c r="Q594" s="33">
        <f>$J594*(1+$K594)^(1-1)*(1-$L594)*(1-$M594)</f>
        <v/>
      </c>
      <c r="R594" s="33">
        <f>$J594*(1+$K594)^(2-1)*(1-$L594)*(1-$M594)</f>
        <v/>
      </c>
      <c r="S594" s="33">
        <f>$J594*(1+$K594)^(3-1)*(1-$L594)*(1-$M594)</f>
        <v/>
      </c>
      <c r="T594" s="33">
        <f>$J594*(1+$K594)^(4-1)*(1-$L594)*(1-$M594)</f>
        <v/>
      </c>
      <c r="U594" s="33">
        <f>$J594*(1+$K594)^(5-1)*(1-$L594)*(1-$M594)+$O594</f>
        <v/>
      </c>
      <c r="V594" s="33">
        <f>P594+NPV($N594,Q594:U594)</f>
        <v/>
      </c>
      <c r="W594" s="32">
        <f>IFERROR(IRR(P594:U594,0.1),"")</f>
        <v/>
      </c>
    </row>
    <row r="595">
      <c r="A595" s="14" t="n">
        <v>591</v>
      </c>
      <c r="B595" s="30">
        <f>RAND()*(1-2E-6)+1E-6</f>
        <v/>
      </c>
      <c r="C595" s="30">
        <f>RAND()*(1-2E-6)+1E-6</f>
        <v/>
      </c>
      <c r="D595" s="30">
        <f>RAND()*(1-2E-6)+1E-6</f>
        <v/>
      </c>
      <c r="E595" s="30">
        <f>RAND()*(1-2E-6)+1E-6</f>
        <v/>
      </c>
      <c r="F595" s="30">
        <f>RAND()*(1-2E-6)+1E-6</f>
        <v/>
      </c>
      <c r="G595" s="30">
        <f>RAND()*(1-2E-6)+1E-6</f>
        <v/>
      </c>
      <c r="H595" s="30">
        <f>RAND()*(1-2E-6)+1E-6</f>
        <v/>
      </c>
      <c r="I595" s="31">
        <f>MIN(IF(Supuestos!$H$5="",1E+99,Supuestos!$H$5),MAX(IF(Supuestos!$G$5="",-1E+99,Supuestos!$G$5),IF(Supuestos!$C$5="Normal",NORMINV(B595,Supuestos!$D$5,Supuestos!$E$5),IF(Supuestos!$C$5="Triangular",IF(B595&lt;(Supuestos!$E$5-Supuestos!$D$5)/(Supuestos!$F$5-Supuestos!$D$5),Supuestos!$D$5+SQRT(B595*(Supuestos!$F$5-Supuestos!$D$5)*(Supuestos!$E$5-Supuestos!$D$5)),Supuestos!$F$5-SQRT((1-B595)*(Supuestos!$F$5-Supuestos!$D$5)*(Supuestos!$F$5-Supuestos!$E$5))),IF(Supuestos!$C$5="Uniforme",Supuestos!$D$5+B595*(Supuestos!$E$5-Supuestos!$D$5),IF(Supuestos!$C$5="Lognormal",LOGINV(B595,LN(Supuestos!$D$5)-LN(1+Supuestos!$E$5^2/Supuestos!$D$5^2)/2,SQRT(LN(1+Supuestos!$E$5^2/Supuestos!$D$5^2))),Supuestos!$D$5))))))</f>
        <v/>
      </c>
      <c r="J595" s="31">
        <f>MIN(IF(Supuestos!$H$6="",1E+99,Supuestos!$H$6),MAX(IF(Supuestos!$G$6="",-1E+99,Supuestos!$G$6),IF(Supuestos!$C$6="Normal",NORMINV(C595,Supuestos!$D$6,Supuestos!$E$6),IF(Supuestos!$C$6="Triangular",IF(C595&lt;(Supuestos!$E$6-Supuestos!$D$6)/(Supuestos!$F$6-Supuestos!$D$6),Supuestos!$D$6+SQRT(C595*(Supuestos!$F$6-Supuestos!$D$6)*(Supuestos!$E$6-Supuestos!$D$6)),Supuestos!$F$6-SQRT((1-C595)*(Supuestos!$F$6-Supuestos!$D$6)*(Supuestos!$F$6-Supuestos!$E$6))),IF(Supuestos!$C$6="Uniforme",Supuestos!$D$6+C595*(Supuestos!$E$6-Supuestos!$D$6),IF(Supuestos!$C$6="Lognormal",LOGINV(C595,LN(Supuestos!$D$6)-LN(1+Supuestos!$E$6^2/Supuestos!$D$6^2)/2,SQRT(LN(1+Supuestos!$E$6^2/Supuestos!$D$6^2))),Supuestos!$D$6))))))</f>
        <v/>
      </c>
      <c r="K595" s="32">
        <f>MIN(IF(Supuestos!$H$7="",1E+99,Supuestos!$H$7),MAX(IF(Supuestos!$G$7="",-1E+99,Supuestos!$G$7),IF(Supuestos!$C$7="Normal",NORMINV(D595,Supuestos!$D$7,Supuestos!$E$7),IF(Supuestos!$C$7="Triangular",IF(D595&lt;(Supuestos!$E$7-Supuestos!$D$7)/(Supuestos!$F$7-Supuestos!$D$7),Supuestos!$D$7+SQRT(D595*(Supuestos!$F$7-Supuestos!$D$7)*(Supuestos!$E$7-Supuestos!$D$7)),Supuestos!$F$7-SQRT((1-D595)*(Supuestos!$F$7-Supuestos!$D$7)*(Supuestos!$F$7-Supuestos!$E$7))),IF(Supuestos!$C$7="Uniforme",Supuestos!$D$7+D595*(Supuestos!$E$7-Supuestos!$D$7),IF(Supuestos!$C$7="Lognormal",LOGINV(D595,LN(Supuestos!$D$7)-LN(1+Supuestos!$E$7^2/Supuestos!$D$7^2)/2,SQRT(LN(1+Supuestos!$E$7^2/Supuestos!$D$7^2))),Supuestos!$D$7))))))</f>
        <v/>
      </c>
      <c r="L595" s="32">
        <f>MIN(IF(Supuestos!$H$8="",1E+99,Supuestos!$H$8),MAX(IF(Supuestos!$G$8="",-1E+99,Supuestos!$G$8),IF(Supuestos!$C$8="Normal",NORMINV(E595,Supuestos!$D$8,Supuestos!$E$8),IF(Supuestos!$C$8="Triangular",IF(E595&lt;(Supuestos!$E$8-Supuestos!$D$8)/(Supuestos!$F$8-Supuestos!$D$8),Supuestos!$D$8+SQRT(E595*(Supuestos!$F$8-Supuestos!$D$8)*(Supuestos!$E$8-Supuestos!$D$8)),Supuestos!$F$8-SQRT((1-E595)*(Supuestos!$F$8-Supuestos!$D$8)*(Supuestos!$F$8-Supuestos!$E$8))),IF(Supuestos!$C$8="Uniforme",Supuestos!$D$8+E595*(Supuestos!$E$8-Supuestos!$D$8),IF(Supuestos!$C$8="Lognormal",LOGINV(E595,LN(Supuestos!$D$8)-LN(1+Supuestos!$E$8^2/Supuestos!$D$8^2)/2,SQRT(LN(1+Supuestos!$E$8^2/Supuestos!$D$8^2))),Supuestos!$D$8))))))</f>
        <v/>
      </c>
      <c r="M595" s="32">
        <f>MIN(IF(Supuestos!$H$9="",1E+99,Supuestos!$H$9),MAX(IF(Supuestos!$G$9="",-1E+99,Supuestos!$G$9),IF(Supuestos!$C$9="Normal",NORMINV(F595,Supuestos!$D$9,Supuestos!$E$9),IF(Supuestos!$C$9="Triangular",IF(F595&lt;(Supuestos!$E$9-Supuestos!$D$9)/(Supuestos!$F$9-Supuestos!$D$9),Supuestos!$D$9+SQRT(F595*(Supuestos!$F$9-Supuestos!$D$9)*(Supuestos!$E$9-Supuestos!$D$9)),Supuestos!$F$9-SQRT((1-F595)*(Supuestos!$F$9-Supuestos!$D$9)*(Supuestos!$F$9-Supuestos!$E$9))),IF(Supuestos!$C$9="Uniforme",Supuestos!$D$9+F595*(Supuestos!$E$9-Supuestos!$D$9),IF(Supuestos!$C$9="Lognormal",LOGINV(F595,LN(Supuestos!$D$9)-LN(1+Supuestos!$E$9^2/Supuestos!$D$9^2)/2,SQRT(LN(1+Supuestos!$E$9^2/Supuestos!$D$9^2))),Supuestos!$D$9))))))</f>
        <v/>
      </c>
      <c r="N595" s="32">
        <f>MIN(IF(Supuestos!$H$10="",1E+99,Supuestos!$H$10),MAX(IF(Supuestos!$G$10="",-1E+99,Supuestos!$G$10),IF(Supuestos!$C$10="Normal",NORMINV(G595,Supuestos!$D$10,Supuestos!$E$10),IF(Supuestos!$C$10="Triangular",IF(G595&lt;(Supuestos!$E$10-Supuestos!$D$10)/(Supuestos!$F$10-Supuestos!$D$10),Supuestos!$D$10+SQRT(G595*(Supuestos!$F$10-Supuestos!$D$10)*(Supuestos!$E$10-Supuestos!$D$10)),Supuestos!$F$10-SQRT((1-G595)*(Supuestos!$F$10-Supuestos!$D$10)*(Supuestos!$F$10-Supuestos!$E$10))),IF(Supuestos!$C$10="Uniforme",Supuestos!$D$10+G595*(Supuestos!$E$10-Supuestos!$D$10),IF(Supuestos!$C$10="Lognormal",LOGINV(G595,LN(Supuestos!$D$10)-LN(1+Supuestos!$E$10^2/Supuestos!$D$10^2)/2,SQRT(LN(1+Supuestos!$E$10^2/Supuestos!$D$10^2))),Supuestos!$D$10))))))</f>
        <v/>
      </c>
      <c r="O595" s="31">
        <f>MIN(IF(Supuestos!$H$11="",1E+99,Supuestos!$H$11),MAX(IF(Supuestos!$G$11="",-1E+99,Supuestos!$G$11),IF(Supuestos!$C$11="Normal",NORMINV(H595,Supuestos!$D$11,Supuestos!$E$11),IF(Supuestos!$C$11="Triangular",IF(H595&lt;(Supuestos!$E$11-Supuestos!$D$11)/(Supuestos!$F$11-Supuestos!$D$11),Supuestos!$D$11+SQRT(H595*(Supuestos!$F$11-Supuestos!$D$11)*(Supuestos!$E$11-Supuestos!$D$11)),Supuestos!$F$11-SQRT((1-H595)*(Supuestos!$F$11-Supuestos!$D$11)*(Supuestos!$F$11-Supuestos!$E$11))),IF(Supuestos!$C$11="Uniforme",Supuestos!$D$11+H595*(Supuestos!$E$11-Supuestos!$D$11),IF(Supuestos!$C$11="Lognormal",LOGINV(H595,LN(Supuestos!$D$11)-LN(1+Supuestos!$E$11^2/Supuestos!$D$11^2)/2,SQRT(LN(1+Supuestos!$E$11^2/Supuestos!$D$11^2))),Supuestos!$D$11))))))</f>
        <v/>
      </c>
      <c r="P595" s="33">
        <f>-I595</f>
        <v/>
      </c>
      <c r="Q595" s="33">
        <f>$J595*(1+$K595)^(1-1)*(1-$L595)*(1-$M595)</f>
        <v/>
      </c>
      <c r="R595" s="33">
        <f>$J595*(1+$K595)^(2-1)*(1-$L595)*(1-$M595)</f>
        <v/>
      </c>
      <c r="S595" s="33">
        <f>$J595*(1+$K595)^(3-1)*(1-$L595)*(1-$M595)</f>
        <v/>
      </c>
      <c r="T595" s="33">
        <f>$J595*(1+$K595)^(4-1)*(1-$L595)*(1-$M595)</f>
        <v/>
      </c>
      <c r="U595" s="33">
        <f>$J595*(1+$K595)^(5-1)*(1-$L595)*(1-$M595)+$O595</f>
        <v/>
      </c>
      <c r="V595" s="33">
        <f>P595+NPV($N595,Q595:U595)</f>
        <v/>
      </c>
      <c r="W595" s="32">
        <f>IFERROR(IRR(P595:U595,0.1),"")</f>
        <v/>
      </c>
    </row>
    <row r="596">
      <c r="A596" s="14" t="n">
        <v>592</v>
      </c>
      <c r="B596" s="30">
        <f>RAND()*(1-2E-6)+1E-6</f>
        <v/>
      </c>
      <c r="C596" s="30">
        <f>RAND()*(1-2E-6)+1E-6</f>
        <v/>
      </c>
      <c r="D596" s="30">
        <f>RAND()*(1-2E-6)+1E-6</f>
        <v/>
      </c>
      <c r="E596" s="30">
        <f>RAND()*(1-2E-6)+1E-6</f>
        <v/>
      </c>
      <c r="F596" s="30">
        <f>RAND()*(1-2E-6)+1E-6</f>
        <v/>
      </c>
      <c r="G596" s="30">
        <f>RAND()*(1-2E-6)+1E-6</f>
        <v/>
      </c>
      <c r="H596" s="30">
        <f>RAND()*(1-2E-6)+1E-6</f>
        <v/>
      </c>
      <c r="I596" s="31">
        <f>MIN(IF(Supuestos!$H$5="",1E+99,Supuestos!$H$5),MAX(IF(Supuestos!$G$5="",-1E+99,Supuestos!$G$5),IF(Supuestos!$C$5="Normal",NORMINV(B596,Supuestos!$D$5,Supuestos!$E$5),IF(Supuestos!$C$5="Triangular",IF(B596&lt;(Supuestos!$E$5-Supuestos!$D$5)/(Supuestos!$F$5-Supuestos!$D$5),Supuestos!$D$5+SQRT(B596*(Supuestos!$F$5-Supuestos!$D$5)*(Supuestos!$E$5-Supuestos!$D$5)),Supuestos!$F$5-SQRT((1-B596)*(Supuestos!$F$5-Supuestos!$D$5)*(Supuestos!$F$5-Supuestos!$E$5))),IF(Supuestos!$C$5="Uniforme",Supuestos!$D$5+B596*(Supuestos!$E$5-Supuestos!$D$5),IF(Supuestos!$C$5="Lognormal",LOGINV(B596,LN(Supuestos!$D$5)-LN(1+Supuestos!$E$5^2/Supuestos!$D$5^2)/2,SQRT(LN(1+Supuestos!$E$5^2/Supuestos!$D$5^2))),Supuestos!$D$5))))))</f>
        <v/>
      </c>
      <c r="J596" s="31">
        <f>MIN(IF(Supuestos!$H$6="",1E+99,Supuestos!$H$6),MAX(IF(Supuestos!$G$6="",-1E+99,Supuestos!$G$6),IF(Supuestos!$C$6="Normal",NORMINV(C596,Supuestos!$D$6,Supuestos!$E$6),IF(Supuestos!$C$6="Triangular",IF(C596&lt;(Supuestos!$E$6-Supuestos!$D$6)/(Supuestos!$F$6-Supuestos!$D$6),Supuestos!$D$6+SQRT(C596*(Supuestos!$F$6-Supuestos!$D$6)*(Supuestos!$E$6-Supuestos!$D$6)),Supuestos!$F$6-SQRT((1-C596)*(Supuestos!$F$6-Supuestos!$D$6)*(Supuestos!$F$6-Supuestos!$E$6))),IF(Supuestos!$C$6="Uniforme",Supuestos!$D$6+C596*(Supuestos!$E$6-Supuestos!$D$6),IF(Supuestos!$C$6="Lognormal",LOGINV(C596,LN(Supuestos!$D$6)-LN(1+Supuestos!$E$6^2/Supuestos!$D$6^2)/2,SQRT(LN(1+Supuestos!$E$6^2/Supuestos!$D$6^2))),Supuestos!$D$6))))))</f>
        <v/>
      </c>
      <c r="K596" s="32">
        <f>MIN(IF(Supuestos!$H$7="",1E+99,Supuestos!$H$7),MAX(IF(Supuestos!$G$7="",-1E+99,Supuestos!$G$7),IF(Supuestos!$C$7="Normal",NORMINV(D596,Supuestos!$D$7,Supuestos!$E$7),IF(Supuestos!$C$7="Triangular",IF(D596&lt;(Supuestos!$E$7-Supuestos!$D$7)/(Supuestos!$F$7-Supuestos!$D$7),Supuestos!$D$7+SQRT(D596*(Supuestos!$F$7-Supuestos!$D$7)*(Supuestos!$E$7-Supuestos!$D$7)),Supuestos!$F$7-SQRT((1-D596)*(Supuestos!$F$7-Supuestos!$D$7)*(Supuestos!$F$7-Supuestos!$E$7))),IF(Supuestos!$C$7="Uniforme",Supuestos!$D$7+D596*(Supuestos!$E$7-Supuestos!$D$7),IF(Supuestos!$C$7="Lognormal",LOGINV(D596,LN(Supuestos!$D$7)-LN(1+Supuestos!$E$7^2/Supuestos!$D$7^2)/2,SQRT(LN(1+Supuestos!$E$7^2/Supuestos!$D$7^2))),Supuestos!$D$7))))))</f>
        <v/>
      </c>
      <c r="L596" s="32">
        <f>MIN(IF(Supuestos!$H$8="",1E+99,Supuestos!$H$8),MAX(IF(Supuestos!$G$8="",-1E+99,Supuestos!$G$8),IF(Supuestos!$C$8="Normal",NORMINV(E596,Supuestos!$D$8,Supuestos!$E$8),IF(Supuestos!$C$8="Triangular",IF(E596&lt;(Supuestos!$E$8-Supuestos!$D$8)/(Supuestos!$F$8-Supuestos!$D$8),Supuestos!$D$8+SQRT(E596*(Supuestos!$F$8-Supuestos!$D$8)*(Supuestos!$E$8-Supuestos!$D$8)),Supuestos!$F$8-SQRT((1-E596)*(Supuestos!$F$8-Supuestos!$D$8)*(Supuestos!$F$8-Supuestos!$E$8))),IF(Supuestos!$C$8="Uniforme",Supuestos!$D$8+E596*(Supuestos!$E$8-Supuestos!$D$8),IF(Supuestos!$C$8="Lognormal",LOGINV(E596,LN(Supuestos!$D$8)-LN(1+Supuestos!$E$8^2/Supuestos!$D$8^2)/2,SQRT(LN(1+Supuestos!$E$8^2/Supuestos!$D$8^2))),Supuestos!$D$8))))))</f>
        <v/>
      </c>
      <c r="M596" s="32">
        <f>MIN(IF(Supuestos!$H$9="",1E+99,Supuestos!$H$9),MAX(IF(Supuestos!$G$9="",-1E+99,Supuestos!$G$9),IF(Supuestos!$C$9="Normal",NORMINV(F596,Supuestos!$D$9,Supuestos!$E$9),IF(Supuestos!$C$9="Triangular",IF(F596&lt;(Supuestos!$E$9-Supuestos!$D$9)/(Supuestos!$F$9-Supuestos!$D$9),Supuestos!$D$9+SQRT(F596*(Supuestos!$F$9-Supuestos!$D$9)*(Supuestos!$E$9-Supuestos!$D$9)),Supuestos!$F$9-SQRT((1-F596)*(Supuestos!$F$9-Supuestos!$D$9)*(Supuestos!$F$9-Supuestos!$E$9))),IF(Supuestos!$C$9="Uniforme",Supuestos!$D$9+F596*(Supuestos!$E$9-Supuestos!$D$9),IF(Supuestos!$C$9="Lognormal",LOGINV(F596,LN(Supuestos!$D$9)-LN(1+Supuestos!$E$9^2/Supuestos!$D$9^2)/2,SQRT(LN(1+Supuestos!$E$9^2/Supuestos!$D$9^2))),Supuestos!$D$9))))))</f>
        <v/>
      </c>
      <c r="N596" s="32">
        <f>MIN(IF(Supuestos!$H$10="",1E+99,Supuestos!$H$10),MAX(IF(Supuestos!$G$10="",-1E+99,Supuestos!$G$10),IF(Supuestos!$C$10="Normal",NORMINV(G596,Supuestos!$D$10,Supuestos!$E$10),IF(Supuestos!$C$10="Triangular",IF(G596&lt;(Supuestos!$E$10-Supuestos!$D$10)/(Supuestos!$F$10-Supuestos!$D$10),Supuestos!$D$10+SQRT(G596*(Supuestos!$F$10-Supuestos!$D$10)*(Supuestos!$E$10-Supuestos!$D$10)),Supuestos!$F$10-SQRT((1-G596)*(Supuestos!$F$10-Supuestos!$D$10)*(Supuestos!$F$10-Supuestos!$E$10))),IF(Supuestos!$C$10="Uniforme",Supuestos!$D$10+G596*(Supuestos!$E$10-Supuestos!$D$10),IF(Supuestos!$C$10="Lognormal",LOGINV(G596,LN(Supuestos!$D$10)-LN(1+Supuestos!$E$10^2/Supuestos!$D$10^2)/2,SQRT(LN(1+Supuestos!$E$10^2/Supuestos!$D$10^2))),Supuestos!$D$10))))))</f>
        <v/>
      </c>
      <c r="O596" s="31">
        <f>MIN(IF(Supuestos!$H$11="",1E+99,Supuestos!$H$11),MAX(IF(Supuestos!$G$11="",-1E+99,Supuestos!$G$11),IF(Supuestos!$C$11="Normal",NORMINV(H596,Supuestos!$D$11,Supuestos!$E$11),IF(Supuestos!$C$11="Triangular",IF(H596&lt;(Supuestos!$E$11-Supuestos!$D$11)/(Supuestos!$F$11-Supuestos!$D$11),Supuestos!$D$11+SQRT(H596*(Supuestos!$F$11-Supuestos!$D$11)*(Supuestos!$E$11-Supuestos!$D$11)),Supuestos!$F$11-SQRT((1-H596)*(Supuestos!$F$11-Supuestos!$D$11)*(Supuestos!$F$11-Supuestos!$E$11))),IF(Supuestos!$C$11="Uniforme",Supuestos!$D$11+H596*(Supuestos!$E$11-Supuestos!$D$11),IF(Supuestos!$C$11="Lognormal",LOGINV(H596,LN(Supuestos!$D$11)-LN(1+Supuestos!$E$11^2/Supuestos!$D$11^2)/2,SQRT(LN(1+Supuestos!$E$11^2/Supuestos!$D$11^2))),Supuestos!$D$11))))))</f>
        <v/>
      </c>
      <c r="P596" s="33">
        <f>-I596</f>
        <v/>
      </c>
      <c r="Q596" s="33">
        <f>$J596*(1+$K596)^(1-1)*(1-$L596)*(1-$M596)</f>
        <v/>
      </c>
      <c r="R596" s="33">
        <f>$J596*(1+$K596)^(2-1)*(1-$L596)*(1-$M596)</f>
        <v/>
      </c>
      <c r="S596" s="33">
        <f>$J596*(1+$K596)^(3-1)*(1-$L596)*(1-$M596)</f>
        <v/>
      </c>
      <c r="T596" s="33">
        <f>$J596*(1+$K596)^(4-1)*(1-$L596)*(1-$M596)</f>
        <v/>
      </c>
      <c r="U596" s="33">
        <f>$J596*(1+$K596)^(5-1)*(1-$L596)*(1-$M596)+$O596</f>
        <v/>
      </c>
      <c r="V596" s="33">
        <f>P596+NPV($N596,Q596:U596)</f>
        <v/>
      </c>
      <c r="W596" s="32">
        <f>IFERROR(IRR(P596:U596,0.1),"")</f>
        <v/>
      </c>
    </row>
    <row r="597">
      <c r="A597" s="14" t="n">
        <v>593</v>
      </c>
      <c r="B597" s="30">
        <f>RAND()*(1-2E-6)+1E-6</f>
        <v/>
      </c>
      <c r="C597" s="30">
        <f>RAND()*(1-2E-6)+1E-6</f>
        <v/>
      </c>
      <c r="D597" s="30">
        <f>RAND()*(1-2E-6)+1E-6</f>
        <v/>
      </c>
      <c r="E597" s="30">
        <f>RAND()*(1-2E-6)+1E-6</f>
        <v/>
      </c>
      <c r="F597" s="30">
        <f>RAND()*(1-2E-6)+1E-6</f>
        <v/>
      </c>
      <c r="G597" s="30">
        <f>RAND()*(1-2E-6)+1E-6</f>
        <v/>
      </c>
      <c r="H597" s="30">
        <f>RAND()*(1-2E-6)+1E-6</f>
        <v/>
      </c>
      <c r="I597" s="31">
        <f>MIN(IF(Supuestos!$H$5="",1E+99,Supuestos!$H$5),MAX(IF(Supuestos!$G$5="",-1E+99,Supuestos!$G$5),IF(Supuestos!$C$5="Normal",NORMINV(B597,Supuestos!$D$5,Supuestos!$E$5),IF(Supuestos!$C$5="Triangular",IF(B597&lt;(Supuestos!$E$5-Supuestos!$D$5)/(Supuestos!$F$5-Supuestos!$D$5),Supuestos!$D$5+SQRT(B597*(Supuestos!$F$5-Supuestos!$D$5)*(Supuestos!$E$5-Supuestos!$D$5)),Supuestos!$F$5-SQRT((1-B597)*(Supuestos!$F$5-Supuestos!$D$5)*(Supuestos!$F$5-Supuestos!$E$5))),IF(Supuestos!$C$5="Uniforme",Supuestos!$D$5+B597*(Supuestos!$E$5-Supuestos!$D$5),IF(Supuestos!$C$5="Lognormal",LOGINV(B597,LN(Supuestos!$D$5)-LN(1+Supuestos!$E$5^2/Supuestos!$D$5^2)/2,SQRT(LN(1+Supuestos!$E$5^2/Supuestos!$D$5^2))),Supuestos!$D$5))))))</f>
        <v/>
      </c>
      <c r="J597" s="31">
        <f>MIN(IF(Supuestos!$H$6="",1E+99,Supuestos!$H$6),MAX(IF(Supuestos!$G$6="",-1E+99,Supuestos!$G$6),IF(Supuestos!$C$6="Normal",NORMINV(C597,Supuestos!$D$6,Supuestos!$E$6),IF(Supuestos!$C$6="Triangular",IF(C597&lt;(Supuestos!$E$6-Supuestos!$D$6)/(Supuestos!$F$6-Supuestos!$D$6),Supuestos!$D$6+SQRT(C597*(Supuestos!$F$6-Supuestos!$D$6)*(Supuestos!$E$6-Supuestos!$D$6)),Supuestos!$F$6-SQRT((1-C597)*(Supuestos!$F$6-Supuestos!$D$6)*(Supuestos!$F$6-Supuestos!$E$6))),IF(Supuestos!$C$6="Uniforme",Supuestos!$D$6+C597*(Supuestos!$E$6-Supuestos!$D$6),IF(Supuestos!$C$6="Lognormal",LOGINV(C597,LN(Supuestos!$D$6)-LN(1+Supuestos!$E$6^2/Supuestos!$D$6^2)/2,SQRT(LN(1+Supuestos!$E$6^2/Supuestos!$D$6^2))),Supuestos!$D$6))))))</f>
        <v/>
      </c>
      <c r="K597" s="32">
        <f>MIN(IF(Supuestos!$H$7="",1E+99,Supuestos!$H$7),MAX(IF(Supuestos!$G$7="",-1E+99,Supuestos!$G$7),IF(Supuestos!$C$7="Normal",NORMINV(D597,Supuestos!$D$7,Supuestos!$E$7),IF(Supuestos!$C$7="Triangular",IF(D597&lt;(Supuestos!$E$7-Supuestos!$D$7)/(Supuestos!$F$7-Supuestos!$D$7),Supuestos!$D$7+SQRT(D597*(Supuestos!$F$7-Supuestos!$D$7)*(Supuestos!$E$7-Supuestos!$D$7)),Supuestos!$F$7-SQRT((1-D597)*(Supuestos!$F$7-Supuestos!$D$7)*(Supuestos!$F$7-Supuestos!$E$7))),IF(Supuestos!$C$7="Uniforme",Supuestos!$D$7+D597*(Supuestos!$E$7-Supuestos!$D$7),IF(Supuestos!$C$7="Lognormal",LOGINV(D597,LN(Supuestos!$D$7)-LN(1+Supuestos!$E$7^2/Supuestos!$D$7^2)/2,SQRT(LN(1+Supuestos!$E$7^2/Supuestos!$D$7^2))),Supuestos!$D$7))))))</f>
        <v/>
      </c>
      <c r="L597" s="32">
        <f>MIN(IF(Supuestos!$H$8="",1E+99,Supuestos!$H$8),MAX(IF(Supuestos!$G$8="",-1E+99,Supuestos!$G$8),IF(Supuestos!$C$8="Normal",NORMINV(E597,Supuestos!$D$8,Supuestos!$E$8),IF(Supuestos!$C$8="Triangular",IF(E597&lt;(Supuestos!$E$8-Supuestos!$D$8)/(Supuestos!$F$8-Supuestos!$D$8),Supuestos!$D$8+SQRT(E597*(Supuestos!$F$8-Supuestos!$D$8)*(Supuestos!$E$8-Supuestos!$D$8)),Supuestos!$F$8-SQRT((1-E597)*(Supuestos!$F$8-Supuestos!$D$8)*(Supuestos!$F$8-Supuestos!$E$8))),IF(Supuestos!$C$8="Uniforme",Supuestos!$D$8+E597*(Supuestos!$E$8-Supuestos!$D$8),IF(Supuestos!$C$8="Lognormal",LOGINV(E597,LN(Supuestos!$D$8)-LN(1+Supuestos!$E$8^2/Supuestos!$D$8^2)/2,SQRT(LN(1+Supuestos!$E$8^2/Supuestos!$D$8^2))),Supuestos!$D$8))))))</f>
        <v/>
      </c>
      <c r="M597" s="32">
        <f>MIN(IF(Supuestos!$H$9="",1E+99,Supuestos!$H$9),MAX(IF(Supuestos!$G$9="",-1E+99,Supuestos!$G$9),IF(Supuestos!$C$9="Normal",NORMINV(F597,Supuestos!$D$9,Supuestos!$E$9),IF(Supuestos!$C$9="Triangular",IF(F597&lt;(Supuestos!$E$9-Supuestos!$D$9)/(Supuestos!$F$9-Supuestos!$D$9),Supuestos!$D$9+SQRT(F597*(Supuestos!$F$9-Supuestos!$D$9)*(Supuestos!$E$9-Supuestos!$D$9)),Supuestos!$F$9-SQRT((1-F597)*(Supuestos!$F$9-Supuestos!$D$9)*(Supuestos!$F$9-Supuestos!$E$9))),IF(Supuestos!$C$9="Uniforme",Supuestos!$D$9+F597*(Supuestos!$E$9-Supuestos!$D$9),IF(Supuestos!$C$9="Lognormal",LOGINV(F597,LN(Supuestos!$D$9)-LN(1+Supuestos!$E$9^2/Supuestos!$D$9^2)/2,SQRT(LN(1+Supuestos!$E$9^2/Supuestos!$D$9^2))),Supuestos!$D$9))))))</f>
        <v/>
      </c>
      <c r="N597" s="32">
        <f>MIN(IF(Supuestos!$H$10="",1E+99,Supuestos!$H$10),MAX(IF(Supuestos!$G$10="",-1E+99,Supuestos!$G$10),IF(Supuestos!$C$10="Normal",NORMINV(G597,Supuestos!$D$10,Supuestos!$E$10),IF(Supuestos!$C$10="Triangular",IF(G597&lt;(Supuestos!$E$10-Supuestos!$D$10)/(Supuestos!$F$10-Supuestos!$D$10),Supuestos!$D$10+SQRT(G597*(Supuestos!$F$10-Supuestos!$D$10)*(Supuestos!$E$10-Supuestos!$D$10)),Supuestos!$F$10-SQRT((1-G597)*(Supuestos!$F$10-Supuestos!$D$10)*(Supuestos!$F$10-Supuestos!$E$10))),IF(Supuestos!$C$10="Uniforme",Supuestos!$D$10+G597*(Supuestos!$E$10-Supuestos!$D$10),IF(Supuestos!$C$10="Lognormal",LOGINV(G597,LN(Supuestos!$D$10)-LN(1+Supuestos!$E$10^2/Supuestos!$D$10^2)/2,SQRT(LN(1+Supuestos!$E$10^2/Supuestos!$D$10^2))),Supuestos!$D$10))))))</f>
        <v/>
      </c>
      <c r="O597" s="31">
        <f>MIN(IF(Supuestos!$H$11="",1E+99,Supuestos!$H$11),MAX(IF(Supuestos!$G$11="",-1E+99,Supuestos!$G$11),IF(Supuestos!$C$11="Normal",NORMINV(H597,Supuestos!$D$11,Supuestos!$E$11),IF(Supuestos!$C$11="Triangular",IF(H597&lt;(Supuestos!$E$11-Supuestos!$D$11)/(Supuestos!$F$11-Supuestos!$D$11),Supuestos!$D$11+SQRT(H597*(Supuestos!$F$11-Supuestos!$D$11)*(Supuestos!$E$11-Supuestos!$D$11)),Supuestos!$F$11-SQRT((1-H597)*(Supuestos!$F$11-Supuestos!$D$11)*(Supuestos!$F$11-Supuestos!$E$11))),IF(Supuestos!$C$11="Uniforme",Supuestos!$D$11+H597*(Supuestos!$E$11-Supuestos!$D$11),IF(Supuestos!$C$11="Lognormal",LOGINV(H597,LN(Supuestos!$D$11)-LN(1+Supuestos!$E$11^2/Supuestos!$D$11^2)/2,SQRT(LN(1+Supuestos!$E$11^2/Supuestos!$D$11^2))),Supuestos!$D$11))))))</f>
        <v/>
      </c>
      <c r="P597" s="33">
        <f>-I597</f>
        <v/>
      </c>
      <c r="Q597" s="33">
        <f>$J597*(1+$K597)^(1-1)*(1-$L597)*(1-$M597)</f>
        <v/>
      </c>
      <c r="R597" s="33">
        <f>$J597*(1+$K597)^(2-1)*(1-$L597)*(1-$M597)</f>
        <v/>
      </c>
      <c r="S597" s="33">
        <f>$J597*(1+$K597)^(3-1)*(1-$L597)*(1-$M597)</f>
        <v/>
      </c>
      <c r="T597" s="33">
        <f>$J597*(1+$K597)^(4-1)*(1-$L597)*(1-$M597)</f>
        <v/>
      </c>
      <c r="U597" s="33">
        <f>$J597*(1+$K597)^(5-1)*(1-$L597)*(1-$M597)+$O597</f>
        <v/>
      </c>
      <c r="V597" s="33">
        <f>P597+NPV($N597,Q597:U597)</f>
        <v/>
      </c>
      <c r="W597" s="32">
        <f>IFERROR(IRR(P597:U597,0.1),"")</f>
        <v/>
      </c>
    </row>
    <row r="598">
      <c r="A598" s="14" t="n">
        <v>594</v>
      </c>
      <c r="B598" s="30">
        <f>RAND()*(1-2E-6)+1E-6</f>
        <v/>
      </c>
      <c r="C598" s="30">
        <f>RAND()*(1-2E-6)+1E-6</f>
        <v/>
      </c>
      <c r="D598" s="30">
        <f>RAND()*(1-2E-6)+1E-6</f>
        <v/>
      </c>
      <c r="E598" s="30">
        <f>RAND()*(1-2E-6)+1E-6</f>
        <v/>
      </c>
      <c r="F598" s="30">
        <f>RAND()*(1-2E-6)+1E-6</f>
        <v/>
      </c>
      <c r="G598" s="30">
        <f>RAND()*(1-2E-6)+1E-6</f>
        <v/>
      </c>
      <c r="H598" s="30">
        <f>RAND()*(1-2E-6)+1E-6</f>
        <v/>
      </c>
      <c r="I598" s="31">
        <f>MIN(IF(Supuestos!$H$5="",1E+99,Supuestos!$H$5),MAX(IF(Supuestos!$G$5="",-1E+99,Supuestos!$G$5),IF(Supuestos!$C$5="Normal",NORMINV(B598,Supuestos!$D$5,Supuestos!$E$5),IF(Supuestos!$C$5="Triangular",IF(B598&lt;(Supuestos!$E$5-Supuestos!$D$5)/(Supuestos!$F$5-Supuestos!$D$5),Supuestos!$D$5+SQRT(B598*(Supuestos!$F$5-Supuestos!$D$5)*(Supuestos!$E$5-Supuestos!$D$5)),Supuestos!$F$5-SQRT((1-B598)*(Supuestos!$F$5-Supuestos!$D$5)*(Supuestos!$F$5-Supuestos!$E$5))),IF(Supuestos!$C$5="Uniforme",Supuestos!$D$5+B598*(Supuestos!$E$5-Supuestos!$D$5),IF(Supuestos!$C$5="Lognormal",LOGINV(B598,LN(Supuestos!$D$5)-LN(1+Supuestos!$E$5^2/Supuestos!$D$5^2)/2,SQRT(LN(1+Supuestos!$E$5^2/Supuestos!$D$5^2))),Supuestos!$D$5))))))</f>
        <v/>
      </c>
      <c r="J598" s="31">
        <f>MIN(IF(Supuestos!$H$6="",1E+99,Supuestos!$H$6),MAX(IF(Supuestos!$G$6="",-1E+99,Supuestos!$G$6),IF(Supuestos!$C$6="Normal",NORMINV(C598,Supuestos!$D$6,Supuestos!$E$6),IF(Supuestos!$C$6="Triangular",IF(C598&lt;(Supuestos!$E$6-Supuestos!$D$6)/(Supuestos!$F$6-Supuestos!$D$6),Supuestos!$D$6+SQRT(C598*(Supuestos!$F$6-Supuestos!$D$6)*(Supuestos!$E$6-Supuestos!$D$6)),Supuestos!$F$6-SQRT((1-C598)*(Supuestos!$F$6-Supuestos!$D$6)*(Supuestos!$F$6-Supuestos!$E$6))),IF(Supuestos!$C$6="Uniforme",Supuestos!$D$6+C598*(Supuestos!$E$6-Supuestos!$D$6),IF(Supuestos!$C$6="Lognormal",LOGINV(C598,LN(Supuestos!$D$6)-LN(1+Supuestos!$E$6^2/Supuestos!$D$6^2)/2,SQRT(LN(1+Supuestos!$E$6^2/Supuestos!$D$6^2))),Supuestos!$D$6))))))</f>
        <v/>
      </c>
      <c r="K598" s="32">
        <f>MIN(IF(Supuestos!$H$7="",1E+99,Supuestos!$H$7),MAX(IF(Supuestos!$G$7="",-1E+99,Supuestos!$G$7),IF(Supuestos!$C$7="Normal",NORMINV(D598,Supuestos!$D$7,Supuestos!$E$7),IF(Supuestos!$C$7="Triangular",IF(D598&lt;(Supuestos!$E$7-Supuestos!$D$7)/(Supuestos!$F$7-Supuestos!$D$7),Supuestos!$D$7+SQRT(D598*(Supuestos!$F$7-Supuestos!$D$7)*(Supuestos!$E$7-Supuestos!$D$7)),Supuestos!$F$7-SQRT((1-D598)*(Supuestos!$F$7-Supuestos!$D$7)*(Supuestos!$F$7-Supuestos!$E$7))),IF(Supuestos!$C$7="Uniforme",Supuestos!$D$7+D598*(Supuestos!$E$7-Supuestos!$D$7),IF(Supuestos!$C$7="Lognormal",LOGINV(D598,LN(Supuestos!$D$7)-LN(1+Supuestos!$E$7^2/Supuestos!$D$7^2)/2,SQRT(LN(1+Supuestos!$E$7^2/Supuestos!$D$7^2))),Supuestos!$D$7))))))</f>
        <v/>
      </c>
      <c r="L598" s="32">
        <f>MIN(IF(Supuestos!$H$8="",1E+99,Supuestos!$H$8),MAX(IF(Supuestos!$G$8="",-1E+99,Supuestos!$G$8),IF(Supuestos!$C$8="Normal",NORMINV(E598,Supuestos!$D$8,Supuestos!$E$8),IF(Supuestos!$C$8="Triangular",IF(E598&lt;(Supuestos!$E$8-Supuestos!$D$8)/(Supuestos!$F$8-Supuestos!$D$8),Supuestos!$D$8+SQRT(E598*(Supuestos!$F$8-Supuestos!$D$8)*(Supuestos!$E$8-Supuestos!$D$8)),Supuestos!$F$8-SQRT((1-E598)*(Supuestos!$F$8-Supuestos!$D$8)*(Supuestos!$F$8-Supuestos!$E$8))),IF(Supuestos!$C$8="Uniforme",Supuestos!$D$8+E598*(Supuestos!$E$8-Supuestos!$D$8),IF(Supuestos!$C$8="Lognormal",LOGINV(E598,LN(Supuestos!$D$8)-LN(1+Supuestos!$E$8^2/Supuestos!$D$8^2)/2,SQRT(LN(1+Supuestos!$E$8^2/Supuestos!$D$8^2))),Supuestos!$D$8))))))</f>
        <v/>
      </c>
      <c r="M598" s="32">
        <f>MIN(IF(Supuestos!$H$9="",1E+99,Supuestos!$H$9),MAX(IF(Supuestos!$G$9="",-1E+99,Supuestos!$G$9),IF(Supuestos!$C$9="Normal",NORMINV(F598,Supuestos!$D$9,Supuestos!$E$9),IF(Supuestos!$C$9="Triangular",IF(F598&lt;(Supuestos!$E$9-Supuestos!$D$9)/(Supuestos!$F$9-Supuestos!$D$9),Supuestos!$D$9+SQRT(F598*(Supuestos!$F$9-Supuestos!$D$9)*(Supuestos!$E$9-Supuestos!$D$9)),Supuestos!$F$9-SQRT((1-F598)*(Supuestos!$F$9-Supuestos!$D$9)*(Supuestos!$F$9-Supuestos!$E$9))),IF(Supuestos!$C$9="Uniforme",Supuestos!$D$9+F598*(Supuestos!$E$9-Supuestos!$D$9),IF(Supuestos!$C$9="Lognormal",LOGINV(F598,LN(Supuestos!$D$9)-LN(1+Supuestos!$E$9^2/Supuestos!$D$9^2)/2,SQRT(LN(1+Supuestos!$E$9^2/Supuestos!$D$9^2))),Supuestos!$D$9))))))</f>
        <v/>
      </c>
      <c r="N598" s="32">
        <f>MIN(IF(Supuestos!$H$10="",1E+99,Supuestos!$H$10),MAX(IF(Supuestos!$G$10="",-1E+99,Supuestos!$G$10),IF(Supuestos!$C$10="Normal",NORMINV(G598,Supuestos!$D$10,Supuestos!$E$10),IF(Supuestos!$C$10="Triangular",IF(G598&lt;(Supuestos!$E$10-Supuestos!$D$10)/(Supuestos!$F$10-Supuestos!$D$10),Supuestos!$D$10+SQRT(G598*(Supuestos!$F$10-Supuestos!$D$10)*(Supuestos!$E$10-Supuestos!$D$10)),Supuestos!$F$10-SQRT((1-G598)*(Supuestos!$F$10-Supuestos!$D$10)*(Supuestos!$F$10-Supuestos!$E$10))),IF(Supuestos!$C$10="Uniforme",Supuestos!$D$10+G598*(Supuestos!$E$10-Supuestos!$D$10),IF(Supuestos!$C$10="Lognormal",LOGINV(G598,LN(Supuestos!$D$10)-LN(1+Supuestos!$E$10^2/Supuestos!$D$10^2)/2,SQRT(LN(1+Supuestos!$E$10^2/Supuestos!$D$10^2))),Supuestos!$D$10))))))</f>
        <v/>
      </c>
      <c r="O598" s="31">
        <f>MIN(IF(Supuestos!$H$11="",1E+99,Supuestos!$H$11),MAX(IF(Supuestos!$G$11="",-1E+99,Supuestos!$G$11),IF(Supuestos!$C$11="Normal",NORMINV(H598,Supuestos!$D$11,Supuestos!$E$11),IF(Supuestos!$C$11="Triangular",IF(H598&lt;(Supuestos!$E$11-Supuestos!$D$11)/(Supuestos!$F$11-Supuestos!$D$11),Supuestos!$D$11+SQRT(H598*(Supuestos!$F$11-Supuestos!$D$11)*(Supuestos!$E$11-Supuestos!$D$11)),Supuestos!$F$11-SQRT((1-H598)*(Supuestos!$F$11-Supuestos!$D$11)*(Supuestos!$F$11-Supuestos!$E$11))),IF(Supuestos!$C$11="Uniforme",Supuestos!$D$11+H598*(Supuestos!$E$11-Supuestos!$D$11),IF(Supuestos!$C$11="Lognormal",LOGINV(H598,LN(Supuestos!$D$11)-LN(1+Supuestos!$E$11^2/Supuestos!$D$11^2)/2,SQRT(LN(1+Supuestos!$E$11^2/Supuestos!$D$11^2))),Supuestos!$D$11))))))</f>
        <v/>
      </c>
      <c r="P598" s="33">
        <f>-I598</f>
        <v/>
      </c>
      <c r="Q598" s="33">
        <f>$J598*(1+$K598)^(1-1)*(1-$L598)*(1-$M598)</f>
        <v/>
      </c>
      <c r="R598" s="33">
        <f>$J598*(1+$K598)^(2-1)*(1-$L598)*(1-$M598)</f>
        <v/>
      </c>
      <c r="S598" s="33">
        <f>$J598*(1+$K598)^(3-1)*(1-$L598)*(1-$M598)</f>
        <v/>
      </c>
      <c r="T598" s="33">
        <f>$J598*(1+$K598)^(4-1)*(1-$L598)*(1-$M598)</f>
        <v/>
      </c>
      <c r="U598" s="33">
        <f>$J598*(1+$K598)^(5-1)*(1-$L598)*(1-$M598)+$O598</f>
        <v/>
      </c>
      <c r="V598" s="33">
        <f>P598+NPV($N598,Q598:U598)</f>
        <v/>
      </c>
      <c r="W598" s="32">
        <f>IFERROR(IRR(P598:U598,0.1),"")</f>
        <v/>
      </c>
    </row>
    <row r="599">
      <c r="A599" s="14" t="n">
        <v>595</v>
      </c>
      <c r="B599" s="30">
        <f>RAND()*(1-2E-6)+1E-6</f>
        <v/>
      </c>
      <c r="C599" s="30">
        <f>RAND()*(1-2E-6)+1E-6</f>
        <v/>
      </c>
      <c r="D599" s="30">
        <f>RAND()*(1-2E-6)+1E-6</f>
        <v/>
      </c>
      <c r="E599" s="30">
        <f>RAND()*(1-2E-6)+1E-6</f>
        <v/>
      </c>
      <c r="F599" s="30">
        <f>RAND()*(1-2E-6)+1E-6</f>
        <v/>
      </c>
      <c r="G599" s="30">
        <f>RAND()*(1-2E-6)+1E-6</f>
        <v/>
      </c>
      <c r="H599" s="30">
        <f>RAND()*(1-2E-6)+1E-6</f>
        <v/>
      </c>
      <c r="I599" s="31">
        <f>MIN(IF(Supuestos!$H$5="",1E+99,Supuestos!$H$5),MAX(IF(Supuestos!$G$5="",-1E+99,Supuestos!$G$5),IF(Supuestos!$C$5="Normal",NORMINV(B599,Supuestos!$D$5,Supuestos!$E$5),IF(Supuestos!$C$5="Triangular",IF(B599&lt;(Supuestos!$E$5-Supuestos!$D$5)/(Supuestos!$F$5-Supuestos!$D$5),Supuestos!$D$5+SQRT(B599*(Supuestos!$F$5-Supuestos!$D$5)*(Supuestos!$E$5-Supuestos!$D$5)),Supuestos!$F$5-SQRT((1-B599)*(Supuestos!$F$5-Supuestos!$D$5)*(Supuestos!$F$5-Supuestos!$E$5))),IF(Supuestos!$C$5="Uniforme",Supuestos!$D$5+B599*(Supuestos!$E$5-Supuestos!$D$5),IF(Supuestos!$C$5="Lognormal",LOGINV(B599,LN(Supuestos!$D$5)-LN(1+Supuestos!$E$5^2/Supuestos!$D$5^2)/2,SQRT(LN(1+Supuestos!$E$5^2/Supuestos!$D$5^2))),Supuestos!$D$5))))))</f>
        <v/>
      </c>
      <c r="J599" s="31">
        <f>MIN(IF(Supuestos!$H$6="",1E+99,Supuestos!$H$6),MAX(IF(Supuestos!$G$6="",-1E+99,Supuestos!$G$6),IF(Supuestos!$C$6="Normal",NORMINV(C599,Supuestos!$D$6,Supuestos!$E$6),IF(Supuestos!$C$6="Triangular",IF(C599&lt;(Supuestos!$E$6-Supuestos!$D$6)/(Supuestos!$F$6-Supuestos!$D$6),Supuestos!$D$6+SQRT(C599*(Supuestos!$F$6-Supuestos!$D$6)*(Supuestos!$E$6-Supuestos!$D$6)),Supuestos!$F$6-SQRT((1-C599)*(Supuestos!$F$6-Supuestos!$D$6)*(Supuestos!$F$6-Supuestos!$E$6))),IF(Supuestos!$C$6="Uniforme",Supuestos!$D$6+C599*(Supuestos!$E$6-Supuestos!$D$6),IF(Supuestos!$C$6="Lognormal",LOGINV(C599,LN(Supuestos!$D$6)-LN(1+Supuestos!$E$6^2/Supuestos!$D$6^2)/2,SQRT(LN(1+Supuestos!$E$6^2/Supuestos!$D$6^2))),Supuestos!$D$6))))))</f>
        <v/>
      </c>
      <c r="K599" s="32">
        <f>MIN(IF(Supuestos!$H$7="",1E+99,Supuestos!$H$7),MAX(IF(Supuestos!$G$7="",-1E+99,Supuestos!$G$7),IF(Supuestos!$C$7="Normal",NORMINV(D599,Supuestos!$D$7,Supuestos!$E$7),IF(Supuestos!$C$7="Triangular",IF(D599&lt;(Supuestos!$E$7-Supuestos!$D$7)/(Supuestos!$F$7-Supuestos!$D$7),Supuestos!$D$7+SQRT(D599*(Supuestos!$F$7-Supuestos!$D$7)*(Supuestos!$E$7-Supuestos!$D$7)),Supuestos!$F$7-SQRT((1-D599)*(Supuestos!$F$7-Supuestos!$D$7)*(Supuestos!$F$7-Supuestos!$E$7))),IF(Supuestos!$C$7="Uniforme",Supuestos!$D$7+D599*(Supuestos!$E$7-Supuestos!$D$7),IF(Supuestos!$C$7="Lognormal",LOGINV(D599,LN(Supuestos!$D$7)-LN(1+Supuestos!$E$7^2/Supuestos!$D$7^2)/2,SQRT(LN(1+Supuestos!$E$7^2/Supuestos!$D$7^2))),Supuestos!$D$7))))))</f>
        <v/>
      </c>
      <c r="L599" s="32">
        <f>MIN(IF(Supuestos!$H$8="",1E+99,Supuestos!$H$8),MAX(IF(Supuestos!$G$8="",-1E+99,Supuestos!$G$8),IF(Supuestos!$C$8="Normal",NORMINV(E599,Supuestos!$D$8,Supuestos!$E$8),IF(Supuestos!$C$8="Triangular",IF(E599&lt;(Supuestos!$E$8-Supuestos!$D$8)/(Supuestos!$F$8-Supuestos!$D$8),Supuestos!$D$8+SQRT(E599*(Supuestos!$F$8-Supuestos!$D$8)*(Supuestos!$E$8-Supuestos!$D$8)),Supuestos!$F$8-SQRT((1-E599)*(Supuestos!$F$8-Supuestos!$D$8)*(Supuestos!$F$8-Supuestos!$E$8))),IF(Supuestos!$C$8="Uniforme",Supuestos!$D$8+E599*(Supuestos!$E$8-Supuestos!$D$8),IF(Supuestos!$C$8="Lognormal",LOGINV(E599,LN(Supuestos!$D$8)-LN(1+Supuestos!$E$8^2/Supuestos!$D$8^2)/2,SQRT(LN(1+Supuestos!$E$8^2/Supuestos!$D$8^2))),Supuestos!$D$8))))))</f>
        <v/>
      </c>
      <c r="M599" s="32">
        <f>MIN(IF(Supuestos!$H$9="",1E+99,Supuestos!$H$9),MAX(IF(Supuestos!$G$9="",-1E+99,Supuestos!$G$9),IF(Supuestos!$C$9="Normal",NORMINV(F599,Supuestos!$D$9,Supuestos!$E$9),IF(Supuestos!$C$9="Triangular",IF(F599&lt;(Supuestos!$E$9-Supuestos!$D$9)/(Supuestos!$F$9-Supuestos!$D$9),Supuestos!$D$9+SQRT(F599*(Supuestos!$F$9-Supuestos!$D$9)*(Supuestos!$E$9-Supuestos!$D$9)),Supuestos!$F$9-SQRT((1-F599)*(Supuestos!$F$9-Supuestos!$D$9)*(Supuestos!$F$9-Supuestos!$E$9))),IF(Supuestos!$C$9="Uniforme",Supuestos!$D$9+F599*(Supuestos!$E$9-Supuestos!$D$9),IF(Supuestos!$C$9="Lognormal",LOGINV(F599,LN(Supuestos!$D$9)-LN(1+Supuestos!$E$9^2/Supuestos!$D$9^2)/2,SQRT(LN(1+Supuestos!$E$9^2/Supuestos!$D$9^2))),Supuestos!$D$9))))))</f>
        <v/>
      </c>
      <c r="N599" s="32">
        <f>MIN(IF(Supuestos!$H$10="",1E+99,Supuestos!$H$10),MAX(IF(Supuestos!$G$10="",-1E+99,Supuestos!$G$10),IF(Supuestos!$C$10="Normal",NORMINV(G599,Supuestos!$D$10,Supuestos!$E$10),IF(Supuestos!$C$10="Triangular",IF(G599&lt;(Supuestos!$E$10-Supuestos!$D$10)/(Supuestos!$F$10-Supuestos!$D$10),Supuestos!$D$10+SQRT(G599*(Supuestos!$F$10-Supuestos!$D$10)*(Supuestos!$E$10-Supuestos!$D$10)),Supuestos!$F$10-SQRT((1-G599)*(Supuestos!$F$10-Supuestos!$D$10)*(Supuestos!$F$10-Supuestos!$E$10))),IF(Supuestos!$C$10="Uniforme",Supuestos!$D$10+G599*(Supuestos!$E$10-Supuestos!$D$10),IF(Supuestos!$C$10="Lognormal",LOGINV(G599,LN(Supuestos!$D$10)-LN(1+Supuestos!$E$10^2/Supuestos!$D$10^2)/2,SQRT(LN(1+Supuestos!$E$10^2/Supuestos!$D$10^2))),Supuestos!$D$10))))))</f>
        <v/>
      </c>
      <c r="O599" s="31">
        <f>MIN(IF(Supuestos!$H$11="",1E+99,Supuestos!$H$11),MAX(IF(Supuestos!$G$11="",-1E+99,Supuestos!$G$11),IF(Supuestos!$C$11="Normal",NORMINV(H599,Supuestos!$D$11,Supuestos!$E$11),IF(Supuestos!$C$11="Triangular",IF(H599&lt;(Supuestos!$E$11-Supuestos!$D$11)/(Supuestos!$F$11-Supuestos!$D$11),Supuestos!$D$11+SQRT(H599*(Supuestos!$F$11-Supuestos!$D$11)*(Supuestos!$E$11-Supuestos!$D$11)),Supuestos!$F$11-SQRT((1-H599)*(Supuestos!$F$11-Supuestos!$D$11)*(Supuestos!$F$11-Supuestos!$E$11))),IF(Supuestos!$C$11="Uniforme",Supuestos!$D$11+H599*(Supuestos!$E$11-Supuestos!$D$11),IF(Supuestos!$C$11="Lognormal",LOGINV(H599,LN(Supuestos!$D$11)-LN(1+Supuestos!$E$11^2/Supuestos!$D$11^2)/2,SQRT(LN(1+Supuestos!$E$11^2/Supuestos!$D$11^2))),Supuestos!$D$11))))))</f>
        <v/>
      </c>
      <c r="P599" s="33">
        <f>-I599</f>
        <v/>
      </c>
      <c r="Q599" s="33">
        <f>$J599*(1+$K599)^(1-1)*(1-$L599)*(1-$M599)</f>
        <v/>
      </c>
      <c r="R599" s="33">
        <f>$J599*(1+$K599)^(2-1)*(1-$L599)*(1-$M599)</f>
        <v/>
      </c>
      <c r="S599" s="33">
        <f>$J599*(1+$K599)^(3-1)*(1-$L599)*(1-$M599)</f>
        <v/>
      </c>
      <c r="T599" s="33">
        <f>$J599*(1+$K599)^(4-1)*(1-$L599)*(1-$M599)</f>
        <v/>
      </c>
      <c r="U599" s="33">
        <f>$J599*(1+$K599)^(5-1)*(1-$L599)*(1-$M599)+$O599</f>
        <v/>
      </c>
      <c r="V599" s="33">
        <f>P599+NPV($N599,Q599:U599)</f>
        <v/>
      </c>
      <c r="W599" s="32">
        <f>IFERROR(IRR(P599:U599,0.1),"")</f>
        <v/>
      </c>
    </row>
    <row r="600">
      <c r="A600" s="14" t="n">
        <v>596</v>
      </c>
      <c r="B600" s="30">
        <f>RAND()*(1-2E-6)+1E-6</f>
        <v/>
      </c>
      <c r="C600" s="30">
        <f>RAND()*(1-2E-6)+1E-6</f>
        <v/>
      </c>
      <c r="D600" s="30">
        <f>RAND()*(1-2E-6)+1E-6</f>
        <v/>
      </c>
      <c r="E600" s="30">
        <f>RAND()*(1-2E-6)+1E-6</f>
        <v/>
      </c>
      <c r="F600" s="30">
        <f>RAND()*(1-2E-6)+1E-6</f>
        <v/>
      </c>
      <c r="G600" s="30">
        <f>RAND()*(1-2E-6)+1E-6</f>
        <v/>
      </c>
      <c r="H600" s="30">
        <f>RAND()*(1-2E-6)+1E-6</f>
        <v/>
      </c>
      <c r="I600" s="31">
        <f>MIN(IF(Supuestos!$H$5="",1E+99,Supuestos!$H$5),MAX(IF(Supuestos!$G$5="",-1E+99,Supuestos!$G$5),IF(Supuestos!$C$5="Normal",NORMINV(B600,Supuestos!$D$5,Supuestos!$E$5),IF(Supuestos!$C$5="Triangular",IF(B600&lt;(Supuestos!$E$5-Supuestos!$D$5)/(Supuestos!$F$5-Supuestos!$D$5),Supuestos!$D$5+SQRT(B600*(Supuestos!$F$5-Supuestos!$D$5)*(Supuestos!$E$5-Supuestos!$D$5)),Supuestos!$F$5-SQRT((1-B600)*(Supuestos!$F$5-Supuestos!$D$5)*(Supuestos!$F$5-Supuestos!$E$5))),IF(Supuestos!$C$5="Uniforme",Supuestos!$D$5+B600*(Supuestos!$E$5-Supuestos!$D$5),IF(Supuestos!$C$5="Lognormal",LOGINV(B600,LN(Supuestos!$D$5)-LN(1+Supuestos!$E$5^2/Supuestos!$D$5^2)/2,SQRT(LN(1+Supuestos!$E$5^2/Supuestos!$D$5^2))),Supuestos!$D$5))))))</f>
        <v/>
      </c>
      <c r="J600" s="31">
        <f>MIN(IF(Supuestos!$H$6="",1E+99,Supuestos!$H$6),MAX(IF(Supuestos!$G$6="",-1E+99,Supuestos!$G$6),IF(Supuestos!$C$6="Normal",NORMINV(C600,Supuestos!$D$6,Supuestos!$E$6),IF(Supuestos!$C$6="Triangular",IF(C600&lt;(Supuestos!$E$6-Supuestos!$D$6)/(Supuestos!$F$6-Supuestos!$D$6),Supuestos!$D$6+SQRT(C600*(Supuestos!$F$6-Supuestos!$D$6)*(Supuestos!$E$6-Supuestos!$D$6)),Supuestos!$F$6-SQRT((1-C600)*(Supuestos!$F$6-Supuestos!$D$6)*(Supuestos!$F$6-Supuestos!$E$6))),IF(Supuestos!$C$6="Uniforme",Supuestos!$D$6+C600*(Supuestos!$E$6-Supuestos!$D$6),IF(Supuestos!$C$6="Lognormal",LOGINV(C600,LN(Supuestos!$D$6)-LN(1+Supuestos!$E$6^2/Supuestos!$D$6^2)/2,SQRT(LN(1+Supuestos!$E$6^2/Supuestos!$D$6^2))),Supuestos!$D$6))))))</f>
        <v/>
      </c>
      <c r="K600" s="32">
        <f>MIN(IF(Supuestos!$H$7="",1E+99,Supuestos!$H$7),MAX(IF(Supuestos!$G$7="",-1E+99,Supuestos!$G$7),IF(Supuestos!$C$7="Normal",NORMINV(D600,Supuestos!$D$7,Supuestos!$E$7),IF(Supuestos!$C$7="Triangular",IF(D600&lt;(Supuestos!$E$7-Supuestos!$D$7)/(Supuestos!$F$7-Supuestos!$D$7),Supuestos!$D$7+SQRT(D600*(Supuestos!$F$7-Supuestos!$D$7)*(Supuestos!$E$7-Supuestos!$D$7)),Supuestos!$F$7-SQRT((1-D600)*(Supuestos!$F$7-Supuestos!$D$7)*(Supuestos!$F$7-Supuestos!$E$7))),IF(Supuestos!$C$7="Uniforme",Supuestos!$D$7+D600*(Supuestos!$E$7-Supuestos!$D$7),IF(Supuestos!$C$7="Lognormal",LOGINV(D600,LN(Supuestos!$D$7)-LN(1+Supuestos!$E$7^2/Supuestos!$D$7^2)/2,SQRT(LN(1+Supuestos!$E$7^2/Supuestos!$D$7^2))),Supuestos!$D$7))))))</f>
        <v/>
      </c>
      <c r="L600" s="32">
        <f>MIN(IF(Supuestos!$H$8="",1E+99,Supuestos!$H$8),MAX(IF(Supuestos!$G$8="",-1E+99,Supuestos!$G$8),IF(Supuestos!$C$8="Normal",NORMINV(E600,Supuestos!$D$8,Supuestos!$E$8),IF(Supuestos!$C$8="Triangular",IF(E600&lt;(Supuestos!$E$8-Supuestos!$D$8)/(Supuestos!$F$8-Supuestos!$D$8),Supuestos!$D$8+SQRT(E600*(Supuestos!$F$8-Supuestos!$D$8)*(Supuestos!$E$8-Supuestos!$D$8)),Supuestos!$F$8-SQRT((1-E600)*(Supuestos!$F$8-Supuestos!$D$8)*(Supuestos!$F$8-Supuestos!$E$8))),IF(Supuestos!$C$8="Uniforme",Supuestos!$D$8+E600*(Supuestos!$E$8-Supuestos!$D$8),IF(Supuestos!$C$8="Lognormal",LOGINV(E600,LN(Supuestos!$D$8)-LN(1+Supuestos!$E$8^2/Supuestos!$D$8^2)/2,SQRT(LN(1+Supuestos!$E$8^2/Supuestos!$D$8^2))),Supuestos!$D$8))))))</f>
        <v/>
      </c>
      <c r="M600" s="32">
        <f>MIN(IF(Supuestos!$H$9="",1E+99,Supuestos!$H$9),MAX(IF(Supuestos!$G$9="",-1E+99,Supuestos!$G$9),IF(Supuestos!$C$9="Normal",NORMINV(F600,Supuestos!$D$9,Supuestos!$E$9),IF(Supuestos!$C$9="Triangular",IF(F600&lt;(Supuestos!$E$9-Supuestos!$D$9)/(Supuestos!$F$9-Supuestos!$D$9),Supuestos!$D$9+SQRT(F600*(Supuestos!$F$9-Supuestos!$D$9)*(Supuestos!$E$9-Supuestos!$D$9)),Supuestos!$F$9-SQRT((1-F600)*(Supuestos!$F$9-Supuestos!$D$9)*(Supuestos!$F$9-Supuestos!$E$9))),IF(Supuestos!$C$9="Uniforme",Supuestos!$D$9+F600*(Supuestos!$E$9-Supuestos!$D$9),IF(Supuestos!$C$9="Lognormal",LOGINV(F600,LN(Supuestos!$D$9)-LN(1+Supuestos!$E$9^2/Supuestos!$D$9^2)/2,SQRT(LN(1+Supuestos!$E$9^2/Supuestos!$D$9^2))),Supuestos!$D$9))))))</f>
        <v/>
      </c>
      <c r="N600" s="32">
        <f>MIN(IF(Supuestos!$H$10="",1E+99,Supuestos!$H$10),MAX(IF(Supuestos!$G$10="",-1E+99,Supuestos!$G$10),IF(Supuestos!$C$10="Normal",NORMINV(G600,Supuestos!$D$10,Supuestos!$E$10),IF(Supuestos!$C$10="Triangular",IF(G600&lt;(Supuestos!$E$10-Supuestos!$D$10)/(Supuestos!$F$10-Supuestos!$D$10),Supuestos!$D$10+SQRT(G600*(Supuestos!$F$10-Supuestos!$D$10)*(Supuestos!$E$10-Supuestos!$D$10)),Supuestos!$F$10-SQRT((1-G600)*(Supuestos!$F$10-Supuestos!$D$10)*(Supuestos!$F$10-Supuestos!$E$10))),IF(Supuestos!$C$10="Uniforme",Supuestos!$D$10+G600*(Supuestos!$E$10-Supuestos!$D$10),IF(Supuestos!$C$10="Lognormal",LOGINV(G600,LN(Supuestos!$D$10)-LN(1+Supuestos!$E$10^2/Supuestos!$D$10^2)/2,SQRT(LN(1+Supuestos!$E$10^2/Supuestos!$D$10^2))),Supuestos!$D$10))))))</f>
        <v/>
      </c>
      <c r="O600" s="31">
        <f>MIN(IF(Supuestos!$H$11="",1E+99,Supuestos!$H$11),MAX(IF(Supuestos!$G$11="",-1E+99,Supuestos!$G$11),IF(Supuestos!$C$11="Normal",NORMINV(H600,Supuestos!$D$11,Supuestos!$E$11),IF(Supuestos!$C$11="Triangular",IF(H600&lt;(Supuestos!$E$11-Supuestos!$D$11)/(Supuestos!$F$11-Supuestos!$D$11),Supuestos!$D$11+SQRT(H600*(Supuestos!$F$11-Supuestos!$D$11)*(Supuestos!$E$11-Supuestos!$D$11)),Supuestos!$F$11-SQRT((1-H600)*(Supuestos!$F$11-Supuestos!$D$11)*(Supuestos!$F$11-Supuestos!$E$11))),IF(Supuestos!$C$11="Uniforme",Supuestos!$D$11+H600*(Supuestos!$E$11-Supuestos!$D$11),IF(Supuestos!$C$11="Lognormal",LOGINV(H600,LN(Supuestos!$D$11)-LN(1+Supuestos!$E$11^2/Supuestos!$D$11^2)/2,SQRT(LN(1+Supuestos!$E$11^2/Supuestos!$D$11^2))),Supuestos!$D$11))))))</f>
        <v/>
      </c>
      <c r="P600" s="33">
        <f>-I600</f>
        <v/>
      </c>
      <c r="Q600" s="33">
        <f>$J600*(1+$K600)^(1-1)*(1-$L600)*(1-$M600)</f>
        <v/>
      </c>
      <c r="R600" s="33">
        <f>$J600*(1+$K600)^(2-1)*(1-$L600)*(1-$M600)</f>
        <v/>
      </c>
      <c r="S600" s="33">
        <f>$J600*(1+$K600)^(3-1)*(1-$L600)*(1-$M600)</f>
        <v/>
      </c>
      <c r="T600" s="33">
        <f>$J600*(1+$K600)^(4-1)*(1-$L600)*(1-$M600)</f>
        <v/>
      </c>
      <c r="U600" s="33">
        <f>$J600*(1+$K600)^(5-1)*(1-$L600)*(1-$M600)+$O600</f>
        <v/>
      </c>
      <c r="V600" s="33">
        <f>P600+NPV($N600,Q600:U600)</f>
        <v/>
      </c>
      <c r="W600" s="32">
        <f>IFERROR(IRR(P600:U600,0.1),"")</f>
        <v/>
      </c>
    </row>
    <row r="601">
      <c r="A601" s="14" t="n">
        <v>597</v>
      </c>
      <c r="B601" s="30">
        <f>RAND()*(1-2E-6)+1E-6</f>
        <v/>
      </c>
      <c r="C601" s="30">
        <f>RAND()*(1-2E-6)+1E-6</f>
        <v/>
      </c>
      <c r="D601" s="30">
        <f>RAND()*(1-2E-6)+1E-6</f>
        <v/>
      </c>
      <c r="E601" s="30">
        <f>RAND()*(1-2E-6)+1E-6</f>
        <v/>
      </c>
      <c r="F601" s="30">
        <f>RAND()*(1-2E-6)+1E-6</f>
        <v/>
      </c>
      <c r="G601" s="30">
        <f>RAND()*(1-2E-6)+1E-6</f>
        <v/>
      </c>
      <c r="H601" s="30">
        <f>RAND()*(1-2E-6)+1E-6</f>
        <v/>
      </c>
      <c r="I601" s="31">
        <f>MIN(IF(Supuestos!$H$5="",1E+99,Supuestos!$H$5),MAX(IF(Supuestos!$G$5="",-1E+99,Supuestos!$G$5),IF(Supuestos!$C$5="Normal",NORMINV(B601,Supuestos!$D$5,Supuestos!$E$5),IF(Supuestos!$C$5="Triangular",IF(B601&lt;(Supuestos!$E$5-Supuestos!$D$5)/(Supuestos!$F$5-Supuestos!$D$5),Supuestos!$D$5+SQRT(B601*(Supuestos!$F$5-Supuestos!$D$5)*(Supuestos!$E$5-Supuestos!$D$5)),Supuestos!$F$5-SQRT((1-B601)*(Supuestos!$F$5-Supuestos!$D$5)*(Supuestos!$F$5-Supuestos!$E$5))),IF(Supuestos!$C$5="Uniforme",Supuestos!$D$5+B601*(Supuestos!$E$5-Supuestos!$D$5),IF(Supuestos!$C$5="Lognormal",LOGINV(B601,LN(Supuestos!$D$5)-LN(1+Supuestos!$E$5^2/Supuestos!$D$5^2)/2,SQRT(LN(1+Supuestos!$E$5^2/Supuestos!$D$5^2))),Supuestos!$D$5))))))</f>
        <v/>
      </c>
      <c r="J601" s="31">
        <f>MIN(IF(Supuestos!$H$6="",1E+99,Supuestos!$H$6),MAX(IF(Supuestos!$G$6="",-1E+99,Supuestos!$G$6),IF(Supuestos!$C$6="Normal",NORMINV(C601,Supuestos!$D$6,Supuestos!$E$6),IF(Supuestos!$C$6="Triangular",IF(C601&lt;(Supuestos!$E$6-Supuestos!$D$6)/(Supuestos!$F$6-Supuestos!$D$6),Supuestos!$D$6+SQRT(C601*(Supuestos!$F$6-Supuestos!$D$6)*(Supuestos!$E$6-Supuestos!$D$6)),Supuestos!$F$6-SQRT((1-C601)*(Supuestos!$F$6-Supuestos!$D$6)*(Supuestos!$F$6-Supuestos!$E$6))),IF(Supuestos!$C$6="Uniforme",Supuestos!$D$6+C601*(Supuestos!$E$6-Supuestos!$D$6),IF(Supuestos!$C$6="Lognormal",LOGINV(C601,LN(Supuestos!$D$6)-LN(1+Supuestos!$E$6^2/Supuestos!$D$6^2)/2,SQRT(LN(1+Supuestos!$E$6^2/Supuestos!$D$6^2))),Supuestos!$D$6))))))</f>
        <v/>
      </c>
      <c r="K601" s="32">
        <f>MIN(IF(Supuestos!$H$7="",1E+99,Supuestos!$H$7),MAX(IF(Supuestos!$G$7="",-1E+99,Supuestos!$G$7),IF(Supuestos!$C$7="Normal",NORMINV(D601,Supuestos!$D$7,Supuestos!$E$7),IF(Supuestos!$C$7="Triangular",IF(D601&lt;(Supuestos!$E$7-Supuestos!$D$7)/(Supuestos!$F$7-Supuestos!$D$7),Supuestos!$D$7+SQRT(D601*(Supuestos!$F$7-Supuestos!$D$7)*(Supuestos!$E$7-Supuestos!$D$7)),Supuestos!$F$7-SQRT((1-D601)*(Supuestos!$F$7-Supuestos!$D$7)*(Supuestos!$F$7-Supuestos!$E$7))),IF(Supuestos!$C$7="Uniforme",Supuestos!$D$7+D601*(Supuestos!$E$7-Supuestos!$D$7),IF(Supuestos!$C$7="Lognormal",LOGINV(D601,LN(Supuestos!$D$7)-LN(1+Supuestos!$E$7^2/Supuestos!$D$7^2)/2,SQRT(LN(1+Supuestos!$E$7^2/Supuestos!$D$7^2))),Supuestos!$D$7))))))</f>
        <v/>
      </c>
      <c r="L601" s="32">
        <f>MIN(IF(Supuestos!$H$8="",1E+99,Supuestos!$H$8),MAX(IF(Supuestos!$G$8="",-1E+99,Supuestos!$G$8),IF(Supuestos!$C$8="Normal",NORMINV(E601,Supuestos!$D$8,Supuestos!$E$8),IF(Supuestos!$C$8="Triangular",IF(E601&lt;(Supuestos!$E$8-Supuestos!$D$8)/(Supuestos!$F$8-Supuestos!$D$8),Supuestos!$D$8+SQRT(E601*(Supuestos!$F$8-Supuestos!$D$8)*(Supuestos!$E$8-Supuestos!$D$8)),Supuestos!$F$8-SQRT((1-E601)*(Supuestos!$F$8-Supuestos!$D$8)*(Supuestos!$F$8-Supuestos!$E$8))),IF(Supuestos!$C$8="Uniforme",Supuestos!$D$8+E601*(Supuestos!$E$8-Supuestos!$D$8),IF(Supuestos!$C$8="Lognormal",LOGINV(E601,LN(Supuestos!$D$8)-LN(1+Supuestos!$E$8^2/Supuestos!$D$8^2)/2,SQRT(LN(1+Supuestos!$E$8^2/Supuestos!$D$8^2))),Supuestos!$D$8))))))</f>
        <v/>
      </c>
      <c r="M601" s="32">
        <f>MIN(IF(Supuestos!$H$9="",1E+99,Supuestos!$H$9),MAX(IF(Supuestos!$G$9="",-1E+99,Supuestos!$G$9),IF(Supuestos!$C$9="Normal",NORMINV(F601,Supuestos!$D$9,Supuestos!$E$9),IF(Supuestos!$C$9="Triangular",IF(F601&lt;(Supuestos!$E$9-Supuestos!$D$9)/(Supuestos!$F$9-Supuestos!$D$9),Supuestos!$D$9+SQRT(F601*(Supuestos!$F$9-Supuestos!$D$9)*(Supuestos!$E$9-Supuestos!$D$9)),Supuestos!$F$9-SQRT((1-F601)*(Supuestos!$F$9-Supuestos!$D$9)*(Supuestos!$F$9-Supuestos!$E$9))),IF(Supuestos!$C$9="Uniforme",Supuestos!$D$9+F601*(Supuestos!$E$9-Supuestos!$D$9),IF(Supuestos!$C$9="Lognormal",LOGINV(F601,LN(Supuestos!$D$9)-LN(1+Supuestos!$E$9^2/Supuestos!$D$9^2)/2,SQRT(LN(1+Supuestos!$E$9^2/Supuestos!$D$9^2))),Supuestos!$D$9))))))</f>
        <v/>
      </c>
      <c r="N601" s="32">
        <f>MIN(IF(Supuestos!$H$10="",1E+99,Supuestos!$H$10),MAX(IF(Supuestos!$G$10="",-1E+99,Supuestos!$G$10),IF(Supuestos!$C$10="Normal",NORMINV(G601,Supuestos!$D$10,Supuestos!$E$10),IF(Supuestos!$C$10="Triangular",IF(G601&lt;(Supuestos!$E$10-Supuestos!$D$10)/(Supuestos!$F$10-Supuestos!$D$10),Supuestos!$D$10+SQRT(G601*(Supuestos!$F$10-Supuestos!$D$10)*(Supuestos!$E$10-Supuestos!$D$10)),Supuestos!$F$10-SQRT((1-G601)*(Supuestos!$F$10-Supuestos!$D$10)*(Supuestos!$F$10-Supuestos!$E$10))),IF(Supuestos!$C$10="Uniforme",Supuestos!$D$10+G601*(Supuestos!$E$10-Supuestos!$D$10),IF(Supuestos!$C$10="Lognormal",LOGINV(G601,LN(Supuestos!$D$10)-LN(1+Supuestos!$E$10^2/Supuestos!$D$10^2)/2,SQRT(LN(1+Supuestos!$E$10^2/Supuestos!$D$10^2))),Supuestos!$D$10))))))</f>
        <v/>
      </c>
      <c r="O601" s="31">
        <f>MIN(IF(Supuestos!$H$11="",1E+99,Supuestos!$H$11),MAX(IF(Supuestos!$G$11="",-1E+99,Supuestos!$G$11),IF(Supuestos!$C$11="Normal",NORMINV(H601,Supuestos!$D$11,Supuestos!$E$11),IF(Supuestos!$C$11="Triangular",IF(H601&lt;(Supuestos!$E$11-Supuestos!$D$11)/(Supuestos!$F$11-Supuestos!$D$11),Supuestos!$D$11+SQRT(H601*(Supuestos!$F$11-Supuestos!$D$11)*(Supuestos!$E$11-Supuestos!$D$11)),Supuestos!$F$11-SQRT((1-H601)*(Supuestos!$F$11-Supuestos!$D$11)*(Supuestos!$F$11-Supuestos!$E$11))),IF(Supuestos!$C$11="Uniforme",Supuestos!$D$11+H601*(Supuestos!$E$11-Supuestos!$D$11),IF(Supuestos!$C$11="Lognormal",LOGINV(H601,LN(Supuestos!$D$11)-LN(1+Supuestos!$E$11^2/Supuestos!$D$11^2)/2,SQRT(LN(1+Supuestos!$E$11^2/Supuestos!$D$11^2))),Supuestos!$D$11))))))</f>
        <v/>
      </c>
      <c r="P601" s="33">
        <f>-I601</f>
        <v/>
      </c>
      <c r="Q601" s="33">
        <f>$J601*(1+$K601)^(1-1)*(1-$L601)*(1-$M601)</f>
        <v/>
      </c>
      <c r="R601" s="33">
        <f>$J601*(1+$K601)^(2-1)*(1-$L601)*(1-$M601)</f>
        <v/>
      </c>
      <c r="S601" s="33">
        <f>$J601*(1+$K601)^(3-1)*(1-$L601)*(1-$M601)</f>
        <v/>
      </c>
      <c r="T601" s="33">
        <f>$J601*(1+$K601)^(4-1)*(1-$L601)*(1-$M601)</f>
        <v/>
      </c>
      <c r="U601" s="33">
        <f>$J601*(1+$K601)^(5-1)*(1-$L601)*(1-$M601)+$O601</f>
        <v/>
      </c>
      <c r="V601" s="33">
        <f>P601+NPV($N601,Q601:U601)</f>
        <v/>
      </c>
      <c r="W601" s="32">
        <f>IFERROR(IRR(P601:U601,0.1),"")</f>
        <v/>
      </c>
    </row>
    <row r="602">
      <c r="A602" s="14" t="n">
        <v>598</v>
      </c>
      <c r="B602" s="30">
        <f>RAND()*(1-2E-6)+1E-6</f>
        <v/>
      </c>
      <c r="C602" s="30">
        <f>RAND()*(1-2E-6)+1E-6</f>
        <v/>
      </c>
      <c r="D602" s="30">
        <f>RAND()*(1-2E-6)+1E-6</f>
        <v/>
      </c>
      <c r="E602" s="30">
        <f>RAND()*(1-2E-6)+1E-6</f>
        <v/>
      </c>
      <c r="F602" s="30">
        <f>RAND()*(1-2E-6)+1E-6</f>
        <v/>
      </c>
      <c r="G602" s="30">
        <f>RAND()*(1-2E-6)+1E-6</f>
        <v/>
      </c>
      <c r="H602" s="30">
        <f>RAND()*(1-2E-6)+1E-6</f>
        <v/>
      </c>
      <c r="I602" s="31">
        <f>MIN(IF(Supuestos!$H$5="",1E+99,Supuestos!$H$5),MAX(IF(Supuestos!$G$5="",-1E+99,Supuestos!$G$5),IF(Supuestos!$C$5="Normal",NORMINV(B602,Supuestos!$D$5,Supuestos!$E$5),IF(Supuestos!$C$5="Triangular",IF(B602&lt;(Supuestos!$E$5-Supuestos!$D$5)/(Supuestos!$F$5-Supuestos!$D$5),Supuestos!$D$5+SQRT(B602*(Supuestos!$F$5-Supuestos!$D$5)*(Supuestos!$E$5-Supuestos!$D$5)),Supuestos!$F$5-SQRT((1-B602)*(Supuestos!$F$5-Supuestos!$D$5)*(Supuestos!$F$5-Supuestos!$E$5))),IF(Supuestos!$C$5="Uniforme",Supuestos!$D$5+B602*(Supuestos!$E$5-Supuestos!$D$5),IF(Supuestos!$C$5="Lognormal",LOGINV(B602,LN(Supuestos!$D$5)-LN(1+Supuestos!$E$5^2/Supuestos!$D$5^2)/2,SQRT(LN(1+Supuestos!$E$5^2/Supuestos!$D$5^2))),Supuestos!$D$5))))))</f>
        <v/>
      </c>
      <c r="J602" s="31">
        <f>MIN(IF(Supuestos!$H$6="",1E+99,Supuestos!$H$6),MAX(IF(Supuestos!$G$6="",-1E+99,Supuestos!$G$6),IF(Supuestos!$C$6="Normal",NORMINV(C602,Supuestos!$D$6,Supuestos!$E$6),IF(Supuestos!$C$6="Triangular",IF(C602&lt;(Supuestos!$E$6-Supuestos!$D$6)/(Supuestos!$F$6-Supuestos!$D$6),Supuestos!$D$6+SQRT(C602*(Supuestos!$F$6-Supuestos!$D$6)*(Supuestos!$E$6-Supuestos!$D$6)),Supuestos!$F$6-SQRT((1-C602)*(Supuestos!$F$6-Supuestos!$D$6)*(Supuestos!$F$6-Supuestos!$E$6))),IF(Supuestos!$C$6="Uniforme",Supuestos!$D$6+C602*(Supuestos!$E$6-Supuestos!$D$6),IF(Supuestos!$C$6="Lognormal",LOGINV(C602,LN(Supuestos!$D$6)-LN(1+Supuestos!$E$6^2/Supuestos!$D$6^2)/2,SQRT(LN(1+Supuestos!$E$6^2/Supuestos!$D$6^2))),Supuestos!$D$6))))))</f>
        <v/>
      </c>
      <c r="K602" s="32">
        <f>MIN(IF(Supuestos!$H$7="",1E+99,Supuestos!$H$7),MAX(IF(Supuestos!$G$7="",-1E+99,Supuestos!$G$7),IF(Supuestos!$C$7="Normal",NORMINV(D602,Supuestos!$D$7,Supuestos!$E$7),IF(Supuestos!$C$7="Triangular",IF(D602&lt;(Supuestos!$E$7-Supuestos!$D$7)/(Supuestos!$F$7-Supuestos!$D$7),Supuestos!$D$7+SQRT(D602*(Supuestos!$F$7-Supuestos!$D$7)*(Supuestos!$E$7-Supuestos!$D$7)),Supuestos!$F$7-SQRT((1-D602)*(Supuestos!$F$7-Supuestos!$D$7)*(Supuestos!$F$7-Supuestos!$E$7))),IF(Supuestos!$C$7="Uniforme",Supuestos!$D$7+D602*(Supuestos!$E$7-Supuestos!$D$7),IF(Supuestos!$C$7="Lognormal",LOGINV(D602,LN(Supuestos!$D$7)-LN(1+Supuestos!$E$7^2/Supuestos!$D$7^2)/2,SQRT(LN(1+Supuestos!$E$7^2/Supuestos!$D$7^2))),Supuestos!$D$7))))))</f>
        <v/>
      </c>
      <c r="L602" s="32">
        <f>MIN(IF(Supuestos!$H$8="",1E+99,Supuestos!$H$8),MAX(IF(Supuestos!$G$8="",-1E+99,Supuestos!$G$8),IF(Supuestos!$C$8="Normal",NORMINV(E602,Supuestos!$D$8,Supuestos!$E$8),IF(Supuestos!$C$8="Triangular",IF(E602&lt;(Supuestos!$E$8-Supuestos!$D$8)/(Supuestos!$F$8-Supuestos!$D$8),Supuestos!$D$8+SQRT(E602*(Supuestos!$F$8-Supuestos!$D$8)*(Supuestos!$E$8-Supuestos!$D$8)),Supuestos!$F$8-SQRT((1-E602)*(Supuestos!$F$8-Supuestos!$D$8)*(Supuestos!$F$8-Supuestos!$E$8))),IF(Supuestos!$C$8="Uniforme",Supuestos!$D$8+E602*(Supuestos!$E$8-Supuestos!$D$8),IF(Supuestos!$C$8="Lognormal",LOGINV(E602,LN(Supuestos!$D$8)-LN(1+Supuestos!$E$8^2/Supuestos!$D$8^2)/2,SQRT(LN(1+Supuestos!$E$8^2/Supuestos!$D$8^2))),Supuestos!$D$8))))))</f>
        <v/>
      </c>
      <c r="M602" s="32">
        <f>MIN(IF(Supuestos!$H$9="",1E+99,Supuestos!$H$9),MAX(IF(Supuestos!$G$9="",-1E+99,Supuestos!$G$9),IF(Supuestos!$C$9="Normal",NORMINV(F602,Supuestos!$D$9,Supuestos!$E$9),IF(Supuestos!$C$9="Triangular",IF(F602&lt;(Supuestos!$E$9-Supuestos!$D$9)/(Supuestos!$F$9-Supuestos!$D$9),Supuestos!$D$9+SQRT(F602*(Supuestos!$F$9-Supuestos!$D$9)*(Supuestos!$E$9-Supuestos!$D$9)),Supuestos!$F$9-SQRT((1-F602)*(Supuestos!$F$9-Supuestos!$D$9)*(Supuestos!$F$9-Supuestos!$E$9))),IF(Supuestos!$C$9="Uniforme",Supuestos!$D$9+F602*(Supuestos!$E$9-Supuestos!$D$9),IF(Supuestos!$C$9="Lognormal",LOGINV(F602,LN(Supuestos!$D$9)-LN(1+Supuestos!$E$9^2/Supuestos!$D$9^2)/2,SQRT(LN(1+Supuestos!$E$9^2/Supuestos!$D$9^2))),Supuestos!$D$9))))))</f>
        <v/>
      </c>
      <c r="N602" s="32">
        <f>MIN(IF(Supuestos!$H$10="",1E+99,Supuestos!$H$10),MAX(IF(Supuestos!$G$10="",-1E+99,Supuestos!$G$10),IF(Supuestos!$C$10="Normal",NORMINV(G602,Supuestos!$D$10,Supuestos!$E$10),IF(Supuestos!$C$10="Triangular",IF(G602&lt;(Supuestos!$E$10-Supuestos!$D$10)/(Supuestos!$F$10-Supuestos!$D$10),Supuestos!$D$10+SQRT(G602*(Supuestos!$F$10-Supuestos!$D$10)*(Supuestos!$E$10-Supuestos!$D$10)),Supuestos!$F$10-SQRT((1-G602)*(Supuestos!$F$10-Supuestos!$D$10)*(Supuestos!$F$10-Supuestos!$E$10))),IF(Supuestos!$C$10="Uniforme",Supuestos!$D$10+G602*(Supuestos!$E$10-Supuestos!$D$10),IF(Supuestos!$C$10="Lognormal",LOGINV(G602,LN(Supuestos!$D$10)-LN(1+Supuestos!$E$10^2/Supuestos!$D$10^2)/2,SQRT(LN(1+Supuestos!$E$10^2/Supuestos!$D$10^2))),Supuestos!$D$10))))))</f>
        <v/>
      </c>
      <c r="O602" s="31">
        <f>MIN(IF(Supuestos!$H$11="",1E+99,Supuestos!$H$11),MAX(IF(Supuestos!$G$11="",-1E+99,Supuestos!$G$11),IF(Supuestos!$C$11="Normal",NORMINV(H602,Supuestos!$D$11,Supuestos!$E$11),IF(Supuestos!$C$11="Triangular",IF(H602&lt;(Supuestos!$E$11-Supuestos!$D$11)/(Supuestos!$F$11-Supuestos!$D$11),Supuestos!$D$11+SQRT(H602*(Supuestos!$F$11-Supuestos!$D$11)*(Supuestos!$E$11-Supuestos!$D$11)),Supuestos!$F$11-SQRT((1-H602)*(Supuestos!$F$11-Supuestos!$D$11)*(Supuestos!$F$11-Supuestos!$E$11))),IF(Supuestos!$C$11="Uniforme",Supuestos!$D$11+H602*(Supuestos!$E$11-Supuestos!$D$11),IF(Supuestos!$C$11="Lognormal",LOGINV(H602,LN(Supuestos!$D$11)-LN(1+Supuestos!$E$11^2/Supuestos!$D$11^2)/2,SQRT(LN(1+Supuestos!$E$11^2/Supuestos!$D$11^2))),Supuestos!$D$11))))))</f>
        <v/>
      </c>
      <c r="P602" s="33">
        <f>-I602</f>
        <v/>
      </c>
      <c r="Q602" s="33">
        <f>$J602*(1+$K602)^(1-1)*(1-$L602)*(1-$M602)</f>
        <v/>
      </c>
      <c r="R602" s="33">
        <f>$J602*(1+$K602)^(2-1)*(1-$L602)*(1-$M602)</f>
        <v/>
      </c>
      <c r="S602" s="33">
        <f>$J602*(1+$K602)^(3-1)*(1-$L602)*(1-$M602)</f>
        <v/>
      </c>
      <c r="T602" s="33">
        <f>$J602*(1+$K602)^(4-1)*(1-$L602)*(1-$M602)</f>
        <v/>
      </c>
      <c r="U602" s="33">
        <f>$J602*(1+$K602)^(5-1)*(1-$L602)*(1-$M602)+$O602</f>
        <v/>
      </c>
      <c r="V602" s="33">
        <f>P602+NPV($N602,Q602:U602)</f>
        <v/>
      </c>
      <c r="W602" s="32">
        <f>IFERROR(IRR(P602:U602,0.1),"")</f>
        <v/>
      </c>
    </row>
    <row r="603">
      <c r="A603" s="14" t="n">
        <v>599</v>
      </c>
      <c r="B603" s="30">
        <f>RAND()*(1-2E-6)+1E-6</f>
        <v/>
      </c>
      <c r="C603" s="30">
        <f>RAND()*(1-2E-6)+1E-6</f>
        <v/>
      </c>
      <c r="D603" s="30">
        <f>RAND()*(1-2E-6)+1E-6</f>
        <v/>
      </c>
      <c r="E603" s="30">
        <f>RAND()*(1-2E-6)+1E-6</f>
        <v/>
      </c>
      <c r="F603" s="30">
        <f>RAND()*(1-2E-6)+1E-6</f>
        <v/>
      </c>
      <c r="G603" s="30">
        <f>RAND()*(1-2E-6)+1E-6</f>
        <v/>
      </c>
      <c r="H603" s="30">
        <f>RAND()*(1-2E-6)+1E-6</f>
        <v/>
      </c>
      <c r="I603" s="31">
        <f>MIN(IF(Supuestos!$H$5="",1E+99,Supuestos!$H$5),MAX(IF(Supuestos!$G$5="",-1E+99,Supuestos!$G$5),IF(Supuestos!$C$5="Normal",NORMINV(B603,Supuestos!$D$5,Supuestos!$E$5),IF(Supuestos!$C$5="Triangular",IF(B603&lt;(Supuestos!$E$5-Supuestos!$D$5)/(Supuestos!$F$5-Supuestos!$D$5),Supuestos!$D$5+SQRT(B603*(Supuestos!$F$5-Supuestos!$D$5)*(Supuestos!$E$5-Supuestos!$D$5)),Supuestos!$F$5-SQRT((1-B603)*(Supuestos!$F$5-Supuestos!$D$5)*(Supuestos!$F$5-Supuestos!$E$5))),IF(Supuestos!$C$5="Uniforme",Supuestos!$D$5+B603*(Supuestos!$E$5-Supuestos!$D$5),IF(Supuestos!$C$5="Lognormal",LOGINV(B603,LN(Supuestos!$D$5)-LN(1+Supuestos!$E$5^2/Supuestos!$D$5^2)/2,SQRT(LN(1+Supuestos!$E$5^2/Supuestos!$D$5^2))),Supuestos!$D$5))))))</f>
        <v/>
      </c>
      <c r="J603" s="31">
        <f>MIN(IF(Supuestos!$H$6="",1E+99,Supuestos!$H$6),MAX(IF(Supuestos!$G$6="",-1E+99,Supuestos!$G$6),IF(Supuestos!$C$6="Normal",NORMINV(C603,Supuestos!$D$6,Supuestos!$E$6),IF(Supuestos!$C$6="Triangular",IF(C603&lt;(Supuestos!$E$6-Supuestos!$D$6)/(Supuestos!$F$6-Supuestos!$D$6),Supuestos!$D$6+SQRT(C603*(Supuestos!$F$6-Supuestos!$D$6)*(Supuestos!$E$6-Supuestos!$D$6)),Supuestos!$F$6-SQRT((1-C603)*(Supuestos!$F$6-Supuestos!$D$6)*(Supuestos!$F$6-Supuestos!$E$6))),IF(Supuestos!$C$6="Uniforme",Supuestos!$D$6+C603*(Supuestos!$E$6-Supuestos!$D$6),IF(Supuestos!$C$6="Lognormal",LOGINV(C603,LN(Supuestos!$D$6)-LN(1+Supuestos!$E$6^2/Supuestos!$D$6^2)/2,SQRT(LN(1+Supuestos!$E$6^2/Supuestos!$D$6^2))),Supuestos!$D$6))))))</f>
        <v/>
      </c>
      <c r="K603" s="32">
        <f>MIN(IF(Supuestos!$H$7="",1E+99,Supuestos!$H$7),MAX(IF(Supuestos!$G$7="",-1E+99,Supuestos!$G$7),IF(Supuestos!$C$7="Normal",NORMINV(D603,Supuestos!$D$7,Supuestos!$E$7),IF(Supuestos!$C$7="Triangular",IF(D603&lt;(Supuestos!$E$7-Supuestos!$D$7)/(Supuestos!$F$7-Supuestos!$D$7),Supuestos!$D$7+SQRT(D603*(Supuestos!$F$7-Supuestos!$D$7)*(Supuestos!$E$7-Supuestos!$D$7)),Supuestos!$F$7-SQRT((1-D603)*(Supuestos!$F$7-Supuestos!$D$7)*(Supuestos!$F$7-Supuestos!$E$7))),IF(Supuestos!$C$7="Uniforme",Supuestos!$D$7+D603*(Supuestos!$E$7-Supuestos!$D$7),IF(Supuestos!$C$7="Lognormal",LOGINV(D603,LN(Supuestos!$D$7)-LN(1+Supuestos!$E$7^2/Supuestos!$D$7^2)/2,SQRT(LN(1+Supuestos!$E$7^2/Supuestos!$D$7^2))),Supuestos!$D$7))))))</f>
        <v/>
      </c>
      <c r="L603" s="32">
        <f>MIN(IF(Supuestos!$H$8="",1E+99,Supuestos!$H$8),MAX(IF(Supuestos!$G$8="",-1E+99,Supuestos!$G$8),IF(Supuestos!$C$8="Normal",NORMINV(E603,Supuestos!$D$8,Supuestos!$E$8),IF(Supuestos!$C$8="Triangular",IF(E603&lt;(Supuestos!$E$8-Supuestos!$D$8)/(Supuestos!$F$8-Supuestos!$D$8),Supuestos!$D$8+SQRT(E603*(Supuestos!$F$8-Supuestos!$D$8)*(Supuestos!$E$8-Supuestos!$D$8)),Supuestos!$F$8-SQRT((1-E603)*(Supuestos!$F$8-Supuestos!$D$8)*(Supuestos!$F$8-Supuestos!$E$8))),IF(Supuestos!$C$8="Uniforme",Supuestos!$D$8+E603*(Supuestos!$E$8-Supuestos!$D$8),IF(Supuestos!$C$8="Lognormal",LOGINV(E603,LN(Supuestos!$D$8)-LN(1+Supuestos!$E$8^2/Supuestos!$D$8^2)/2,SQRT(LN(1+Supuestos!$E$8^2/Supuestos!$D$8^2))),Supuestos!$D$8))))))</f>
        <v/>
      </c>
      <c r="M603" s="32">
        <f>MIN(IF(Supuestos!$H$9="",1E+99,Supuestos!$H$9),MAX(IF(Supuestos!$G$9="",-1E+99,Supuestos!$G$9),IF(Supuestos!$C$9="Normal",NORMINV(F603,Supuestos!$D$9,Supuestos!$E$9),IF(Supuestos!$C$9="Triangular",IF(F603&lt;(Supuestos!$E$9-Supuestos!$D$9)/(Supuestos!$F$9-Supuestos!$D$9),Supuestos!$D$9+SQRT(F603*(Supuestos!$F$9-Supuestos!$D$9)*(Supuestos!$E$9-Supuestos!$D$9)),Supuestos!$F$9-SQRT((1-F603)*(Supuestos!$F$9-Supuestos!$D$9)*(Supuestos!$F$9-Supuestos!$E$9))),IF(Supuestos!$C$9="Uniforme",Supuestos!$D$9+F603*(Supuestos!$E$9-Supuestos!$D$9),IF(Supuestos!$C$9="Lognormal",LOGINV(F603,LN(Supuestos!$D$9)-LN(1+Supuestos!$E$9^2/Supuestos!$D$9^2)/2,SQRT(LN(1+Supuestos!$E$9^2/Supuestos!$D$9^2))),Supuestos!$D$9))))))</f>
        <v/>
      </c>
      <c r="N603" s="32">
        <f>MIN(IF(Supuestos!$H$10="",1E+99,Supuestos!$H$10),MAX(IF(Supuestos!$G$10="",-1E+99,Supuestos!$G$10),IF(Supuestos!$C$10="Normal",NORMINV(G603,Supuestos!$D$10,Supuestos!$E$10),IF(Supuestos!$C$10="Triangular",IF(G603&lt;(Supuestos!$E$10-Supuestos!$D$10)/(Supuestos!$F$10-Supuestos!$D$10),Supuestos!$D$10+SQRT(G603*(Supuestos!$F$10-Supuestos!$D$10)*(Supuestos!$E$10-Supuestos!$D$10)),Supuestos!$F$10-SQRT((1-G603)*(Supuestos!$F$10-Supuestos!$D$10)*(Supuestos!$F$10-Supuestos!$E$10))),IF(Supuestos!$C$10="Uniforme",Supuestos!$D$10+G603*(Supuestos!$E$10-Supuestos!$D$10),IF(Supuestos!$C$10="Lognormal",LOGINV(G603,LN(Supuestos!$D$10)-LN(1+Supuestos!$E$10^2/Supuestos!$D$10^2)/2,SQRT(LN(1+Supuestos!$E$10^2/Supuestos!$D$10^2))),Supuestos!$D$10))))))</f>
        <v/>
      </c>
      <c r="O603" s="31">
        <f>MIN(IF(Supuestos!$H$11="",1E+99,Supuestos!$H$11),MAX(IF(Supuestos!$G$11="",-1E+99,Supuestos!$G$11),IF(Supuestos!$C$11="Normal",NORMINV(H603,Supuestos!$D$11,Supuestos!$E$11),IF(Supuestos!$C$11="Triangular",IF(H603&lt;(Supuestos!$E$11-Supuestos!$D$11)/(Supuestos!$F$11-Supuestos!$D$11),Supuestos!$D$11+SQRT(H603*(Supuestos!$F$11-Supuestos!$D$11)*(Supuestos!$E$11-Supuestos!$D$11)),Supuestos!$F$11-SQRT((1-H603)*(Supuestos!$F$11-Supuestos!$D$11)*(Supuestos!$F$11-Supuestos!$E$11))),IF(Supuestos!$C$11="Uniforme",Supuestos!$D$11+H603*(Supuestos!$E$11-Supuestos!$D$11),IF(Supuestos!$C$11="Lognormal",LOGINV(H603,LN(Supuestos!$D$11)-LN(1+Supuestos!$E$11^2/Supuestos!$D$11^2)/2,SQRT(LN(1+Supuestos!$E$11^2/Supuestos!$D$11^2))),Supuestos!$D$11))))))</f>
        <v/>
      </c>
      <c r="P603" s="33">
        <f>-I603</f>
        <v/>
      </c>
      <c r="Q603" s="33">
        <f>$J603*(1+$K603)^(1-1)*(1-$L603)*(1-$M603)</f>
        <v/>
      </c>
      <c r="R603" s="33">
        <f>$J603*(1+$K603)^(2-1)*(1-$L603)*(1-$M603)</f>
        <v/>
      </c>
      <c r="S603" s="33">
        <f>$J603*(1+$K603)^(3-1)*(1-$L603)*(1-$M603)</f>
        <v/>
      </c>
      <c r="T603" s="33">
        <f>$J603*(1+$K603)^(4-1)*(1-$L603)*(1-$M603)</f>
        <v/>
      </c>
      <c r="U603" s="33">
        <f>$J603*(1+$K603)^(5-1)*(1-$L603)*(1-$M603)+$O603</f>
        <v/>
      </c>
      <c r="V603" s="33">
        <f>P603+NPV($N603,Q603:U603)</f>
        <v/>
      </c>
      <c r="W603" s="32">
        <f>IFERROR(IRR(P603:U603,0.1),"")</f>
        <v/>
      </c>
    </row>
    <row r="604">
      <c r="A604" s="14" t="n">
        <v>600</v>
      </c>
      <c r="B604" s="30">
        <f>RAND()*(1-2E-6)+1E-6</f>
        <v/>
      </c>
      <c r="C604" s="30">
        <f>RAND()*(1-2E-6)+1E-6</f>
        <v/>
      </c>
      <c r="D604" s="30">
        <f>RAND()*(1-2E-6)+1E-6</f>
        <v/>
      </c>
      <c r="E604" s="30">
        <f>RAND()*(1-2E-6)+1E-6</f>
        <v/>
      </c>
      <c r="F604" s="30">
        <f>RAND()*(1-2E-6)+1E-6</f>
        <v/>
      </c>
      <c r="G604" s="30">
        <f>RAND()*(1-2E-6)+1E-6</f>
        <v/>
      </c>
      <c r="H604" s="30">
        <f>RAND()*(1-2E-6)+1E-6</f>
        <v/>
      </c>
      <c r="I604" s="31">
        <f>MIN(IF(Supuestos!$H$5="",1E+99,Supuestos!$H$5),MAX(IF(Supuestos!$G$5="",-1E+99,Supuestos!$G$5),IF(Supuestos!$C$5="Normal",NORMINV(B604,Supuestos!$D$5,Supuestos!$E$5),IF(Supuestos!$C$5="Triangular",IF(B604&lt;(Supuestos!$E$5-Supuestos!$D$5)/(Supuestos!$F$5-Supuestos!$D$5),Supuestos!$D$5+SQRT(B604*(Supuestos!$F$5-Supuestos!$D$5)*(Supuestos!$E$5-Supuestos!$D$5)),Supuestos!$F$5-SQRT((1-B604)*(Supuestos!$F$5-Supuestos!$D$5)*(Supuestos!$F$5-Supuestos!$E$5))),IF(Supuestos!$C$5="Uniforme",Supuestos!$D$5+B604*(Supuestos!$E$5-Supuestos!$D$5),IF(Supuestos!$C$5="Lognormal",LOGINV(B604,LN(Supuestos!$D$5)-LN(1+Supuestos!$E$5^2/Supuestos!$D$5^2)/2,SQRT(LN(1+Supuestos!$E$5^2/Supuestos!$D$5^2))),Supuestos!$D$5))))))</f>
        <v/>
      </c>
      <c r="J604" s="31">
        <f>MIN(IF(Supuestos!$H$6="",1E+99,Supuestos!$H$6),MAX(IF(Supuestos!$G$6="",-1E+99,Supuestos!$G$6),IF(Supuestos!$C$6="Normal",NORMINV(C604,Supuestos!$D$6,Supuestos!$E$6),IF(Supuestos!$C$6="Triangular",IF(C604&lt;(Supuestos!$E$6-Supuestos!$D$6)/(Supuestos!$F$6-Supuestos!$D$6),Supuestos!$D$6+SQRT(C604*(Supuestos!$F$6-Supuestos!$D$6)*(Supuestos!$E$6-Supuestos!$D$6)),Supuestos!$F$6-SQRT((1-C604)*(Supuestos!$F$6-Supuestos!$D$6)*(Supuestos!$F$6-Supuestos!$E$6))),IF(Supuestos!$C$6="Uniforme",Supuestos!$D$6+C604*(Supuestos!$E$6-Supuestos!$D$6),IF(Supuestos!$C$6="Lognormal",LOGINV(C604,LN(Supuestos!$D$6)-LN(1+Supuestos!$E$6^2/Supuestos!$D$6^2)/2,SQRT(LN(1+Supuestos!$E$6^2/Supuestos!$D$6^2))),Supuestos!$D$6))))))</f>
        <v/>
      </c>
      <c r="K604" s="32">
        <f>MIN(IF(Supuestos!$H$7="",1E+99,Supuestos!$H$7),MAX(IF(Supuestos!$G$7="",-1E+99,Supuestos!$G$7),IF(Supuestos!$C$7="Normal",NORMINV(D604,Supuestos!$D$7,Supuestos!$E$7),IF(Supuestos!$C$7="Triangular",IF(D604&lt;(Supuestos!$E$7-Supuestos!$D$7)/(Supuestos!$F$7-Supuestos!$D$7),Supuestos!$D$7+SQRT(D604*(Supuestos!$F$7-Supuestos!$D$7)*(Supuestos!$E$7-Supuestos!$D$7)),Supuestos!$F$7-SQRT((1-D604)*(Supuestos!$F$7-Supuestos!$D$7)*(Supuestos!$F$7-Supuestos!$E$7))),IF(Supuestos!$C$7="Uniforme",Supuestos!$D$7+D604*(Supuestos!$E$7-Supuestos!$D$7),IF(Supuestos!$C$7="Lognormal",LOGINV(D604,LN(Supuestos!$D$7)-LN(1+Supuestos!$E$7^2/Supuestos!$D$7^2)/2,SQRT(LN(1+Supuestos!$E$7^2/Supuestos!$D$7^2))),Supuestos!$D$7))))))</f>
        <v/>
      </c>
      <c r="L604" s="32">
        <f>MIN(IF(Supuestos!$H$8="",1E+99,Supuestos!$H$8),MAX(IF(Supuestos!$G$8="",-1E+99,Supuestos!$G$8),IF(Supuestos!$C$8="Normal",NORMINV(E604,Supuestos!$D$8,Supuestos!$E$8),IF(Supuestos!$C$8="Triangular",IF(E604&lt;(Supuestos!$E$8-Supuestos!$D$8)/(Supuestos!$F$8-Supuestos!$D$8),Supuestos!$D$8+SQRT(E604*(Supuestos!$F$8-Supuestos!$D$8)*(Supuestos!$E$8-Supuestos!$D$8)),Supuestos!$F$8-SQRT((1-E604)*(Supuestos!$F$8-Supuestos!$D$8)*(Supuestos!$F$8-Supuestos!$E$8))),IF(Supuestos!$C$8="Uniforme",Supuestos!$D$8+E604*(Supuestos!$E$8-Supuestos!$D$8),IF(Supuestos!$C$8="Lognormal",LOGINV(E604,LN(Supuestos!$D$8)-LN(1+Supuestos!$E$8^2/Supuestos!$D$8^2)/2,SQRT(LN(1+Supuestos!$E$8^2/Supuestos!$D$8^2))),Supuestos!$D$8))))))</f>
        <v/>
      </c>
      <c r="M604" s="32">
        <f>MIN(IF(Supuestos!$H$9="",1E+99,Supuestos!$H$9),MAX(IF(Supuestos!$G$9="",-1E+99,Supuestos!$G$9),IF(Supuestos!$C$9="Normal",NORMINV(F604,Supuestos!$D$9,Supuestos!$E$9),IF(Supuestos!$C$9="Triangular",IF(F604&lt;(Supuestos!$E$9-Supuestos!$D$9)/(Supuestos!$F$9-Supuestos!$D$9),Supuestos!$D$9+SQRT(F604*(Supuestos!$F$9-Supuestos!$D$9)*(Supuestos!$E$9-Supuestos!$D$9)),Supuestos!$F$9-SQRT((1-F604)*(Supuestos!$F$9-Supuestos!$D$9)*(Supuestos!$F$9-Supuestos!$E$9))),IF(Supuestos!$C$9="Uniforme",Supuestos!$D$9+F604*(Supuestos!$E$9-Supuestos!$D$9),IF(Supuestos!$C$9="Lognormal",LOGINV(F604,LN(Supuestos!$D$9)-LN(1+Supuestos!$E$9^2/Supuestos!$D$9^2)/2,SQRT(LN(1+Supuestos!$E$9^2/Supuestos!$D$9^2))),Supuestos!$D$9))))))</f>
        <v/>
      </c>
      <c r="N604" s="32">
        <f>MIN(IF(Supuestos!$H$10="",1E+99,Supuestos!$H$10),MAX(IF(Supuestos!$G$10="",-1E+99,Supuestos!$G$10),IF(Supuestos!$C$10="Normal",NORMINV(G604,Supuestos!$D$10,Supuestos!$E$10),IF(Supuestos!$C$10="Triangular",IF(G604&lt;(Supuestos!$E$10-Supuestos!$D$10)/(Supuestos!$F$10-Supuestos!$D$10),Supuestos!$D$10+SQRT(G604*(Supuestos!$F$10-Supuestos!$D$10)*(Supuestos!$E$10-Supuestos!$D$10)),Supuestos!$F$10-SQRT((1-G604)*(Supuestos!$F$10-Supuestos!$D$10)*(Supuestos!$F$10-Supuestos!$E$10))),IF(Supuestos!$C$10="Uniforme",Supuestos!$D$10+G604*(Supuestos!$E$10-Supuestos!$D$10),IF(Supuestos!$C$10="Lognormal",LOGINV(G604,LN(Supuestos!$D$10)-LN(1+Supuestos!$E$10^2/Supuestos!$D$10^2)/2,SQRT(LN(1+Supuestos!$E$10^2/Supuestos!$D$10^2))),Supuestos!$D$10))))))</f>
        <v/>
      </c>
      <c r="O604" s="31">
        <f>MIN(IF(Supuestos!$H$11="",1E+99,Supuestos!$H$11),MAX(IF(Supuestos!$G$11="",-1E+99,Supuestos!$G$11),IF(Supuestos!$C$11="Normal",NORMINV(H604,Supuestos!$D$11,Supuestos!$E$11),IF(Supuestos!$C$11="Triangular",IF(H604&lt;(Supuestos!$E$11-Supuestos!$D$11)/(Supuestos!$F$11-Supuestos!$D$11),Supuestos!$D$11+SQRT(H604*(Supuestos!$F$11-Supuestos!$D$11)*(Supuestos!$E$11-Supuestos!$D$11)),Supuestos!$F$11-SQRT((1-H604)*(Supuestos!$F$11-Supuestos!$D$11)*(Supuestos!$F$11-Supuestos!$E$11))),IF(Supuestos!$C$11="Uniforme",Supuestos!$D$11+H604*(Supuestos!$E$11-Supuestos!$D$11),IF(Supuestos!$C$11="Lognormal",LOGINV(H604,LN(Supuestos!$D$11)-LN(1+Supuestos!$E$11^2/Supuestos!$D$11^2)/2,SQRT(LN(1+Supuestos!$E$11^2/Supuestos!$D$11^2))),Supuestos!$D$11))))))</f>
        <v/>
      </c>
      <c r="P604" s="33">
        <f>-I604</f>
        <v/>
      </c>
      <c r="Q604" s="33">
        <f>$J604*(1+$K604)^(1-1)*(1-$L604)*(1-$M604)</f>
        <v/>
      </c>
      <c r="R604" s="33">
        <f>$J604*(1+$K604)^(2-1)*(1-$L604)*(1-$M604)</f>
        <v/>
      </c>
      <c r="S604" s="33">
        <f>$J604*(1+$K604)^(3-1)*(1-$L604)*(1-$M604)</f>
        <v/>
      </c>
      <c r="T604" s="33">
        <f>$J604*(1+$K604)^(4-1)*(1-$L604)*(1-$M604)</f>
        <v/>
      </c>
      <c r="U604" s="33">
        <f>$J604*(1+$K604)^(5-1)*(1-$L604)*(1-$M604)+$O604</f>
        <v/>
      </c>
      <c r="V604" s="33">
        <f>P604+NPV($N604,Q604:U604)</f>
        <v/>
      </c>
      <c r="W604" s="32">
        <f>IFERROR(IRR(P604:U604,0.1),"")</f>
        <v/>
      </c>
    </row>
    <row r="605">
      <c r="A605" s="14" t="n">
        <v>601</v>
      </c>
      <c r="B605" s="30">
        <f>RAND()*(1-2E-6)+1E-6</f>
        <v/>
      </c>
      <c r="C605" s="30">
        <f>RAND()*(1-2E-6)+1E-6</f>
        <v/>
      </c>
      <c r="D605" s="30">
        <f>RAND()*(1-2E-6)+1E-6</f>
        <v/>
      </c>
      <c r="E605" s="30">
        <f>RAND()*(1-2E-6)+1E-6</f>
        <v/>
      </c>
      <c r="F605" s="30">
        <f>RAND()*(1-2E-6)+1E-6</f>
        <v/>
      </c>
      <c r="G605" s="30">
        <f>RAND()*(1-2E-6)+1E-6</f>
        <v/>
      </c>
      <c r="H605" s="30">
        <f>RAND()*(1-2E-6)+1E-6</f>
        <v/>
      </c>
      <c r="I605" s="31">
        <f>MIN(IF(Supuestos!$H$5="",1E+99,Supuestos!$H$5),MAX(IF(Supuestos!$G$5="",-1E+99,Supuestos!$G$5),IF(Supuestos!$C$5="Normal",NORMINV(B605,Supuestos!$D$5,Supuestos!$E$5),IF(Supuestos!$C$5="Triangular",IF(B605&lt;(Supuestos!$E$5-Supuestos!$D$5)/(Supuestos!$F$5-Supuestos!$D$5),Supuestos!$D$5+SQRT(B605*(Supuestos!$F$5-Supuestos!$D$5)*(Supuestos!$E$5-Supuestos!$D$5)),Supuestos!$F$5-SQRT((1-B605)*(Supuestos!$F$5-Supuestos!$D$5)*(Supuestos!$F$5-Supuestos!$E$5))),IF(Supuestos!$C$5="Uniforme",Supuestos!$D$5+B605*(Supuestos!$E$5-Supuestos!$D$5),IF(Supuestos!$C$5="Lognormal",LOGINV(B605,LN(Supuestos!$D$5)-LN(1+Supuestos!$E$5^2/Supuestos!$D$5^2)/2,SQRT(LN(1+Supuestos!$E$5^2/Supuestos!$D$5^2))),Supuestos!$D$5))))))</f>
        <v/>
      </c>
      <c r="J605" s="31">
        <f>MIN(IF(Supuestos!$H$6="",1E+99,Supuestos!$H$6),MAX(IF(Supuestos!$G$6="",-1E+99,Supuestos!$G$6),IF(Supuestos!$C$6="Normal",NORMINV(C605,Supuestos!$D$6,Supuestos!$E$6),IF(Supuestos!$C$6="Triangular",IF(C605&lt;(Supuestos!$E$6-Supuestos!$D$6)/(Supuestos!$F$6-Supuestos!$D$6),Supuestos!$D$6+SQRT(C605*(Supuestos!$F$6-Supuestos!$D$6)*(Supuestos!$E$6-Supuestos!$D$6)),Supuestos!$F$6-SQRT((1-C605)*(Supuestos!$F$6-Supuestos!$D$6)*(Supuestos!$F$6-Supuestos!$E$6))),IF(Supuestos!$C$6="Uniforme",Supuestos!$D$6+C605*(Supuestos!$E$6-Supuestos!$D$6),IF(Supuestos!$C$6="Lognormal",LOGINV(C605,LN(Supuestos!$D$6)-LN(1+Supuestos!$E$6^2/Supuestos!$D$6^2)/2,SQRT(LN(1+Supuestos!$E$6^2/Supuestos!$D$6^2))),Supuestos!$D$6))))))</f>
        <v/>
      </c>
      <c r="K605" s="32">
        <f>MIN(IF(Supuestos!$H$7="",1E+99,Supuestos!$H$7),MAX(IF(Supuestos!$G$7="",-1E+99,Supuestos!$G$7),IF(Supuestos!$C$7="Normal",NORMINV(D605,Supuestos!$D$7,Supuestos!$E$7),IF(Supuestos!$C$7="Triangular",IF(D605&lt;(Supuestos!$E$7-Supuestos!$D$7)/(Supuestos!$F$7-Supuestos!$D$7),Supuestos!$D$7+SQRT(D605*(Supuestos!$F$7-Supuestos!$D$7)*(Supuestos!$E$7-Supuestos!$D$7)),Supuestos!$F$7-SQRT((1-D605)*(Supuestos!$F$7-Supuestos!$D$7)*(Supuestos!$F$7-Supuestos!$E$7))),IF(Supuestos!$C$7="Uniforme",Supuestos!$D$7+D605*(Supuestos!$E$7-Supuestos!$D$7),IF(Supuestos!$C$7="Lognormal",LOGINV(D605,LN(Supuestos!$D$7)-LN(1+Supuestos!$E$7^2/Supuestos!$D$7^2)/2,SQRT(LN(1+Supuestos!$E$7^2/Supuestos!$D$7^2))),Supuestos!$D$7))))))</f>
        <v/>
      </c>
      <c r="L605" s="32">
        <f>MIN(IF(Supuestos!$H$8="",1E+99,Supuestos!$H$8),MAX(IF(Supuestos!$G$8="",-1E+99,Supuestos!$G$8),IF(Supuestos!$C$8="Normal",NORMINV(E605,Supuestos!$D$8,Supuestos!$E$8),IF(Supuestos!$C$8="Triangular",IF(E605&lt;(Supuestos!$E$8-Supuestos!$D$8)/(Supuestos!$F$8-Supuestos!$D$8),Supuestos!$D$8+SQRT(E605*(Supuestos!$F$8-Supuestos!$D$8)*(Supuestos!$E$8-Supuestos!$D$8)),Supuestos!$F$8-SQRT((1-E605)*(Supuestos!$F$8-Supuestos!$D$8)*(Supuestos!$F$8-Supuestos!$E$8))),IF(Supuestos!$C$8="Uniforme",Supuestos!$D$8+E605*(Supuestos!$E$8-Supuestos!$D$8),IF(Supuestos!$C$8="Lognormal",LOGINV(E605,LN(Supuestos!$D$8)-LN(1+Supuestos!$E$8^2/Supuestos!$D$8^2)/2,SQRT(LN(1+Supuestos!$E$8^2/Supuestos!$D$8^2))),Supuestos!$D$8))))))</f>
        <v/>
      </c>
      <c r="M605" s="32">
        <f>MIN(IF(Supuestos!$H$9="",1E+99,Supuestos!$H$9),MAX(IF(Supuestos!$G$9="",-1E+99,Supuestos!$G$9),IF(Supuestos!$C$9="Normal",NORMINV(F605,Supuestos!$D$9,Supuestos!$E$9),IF(Supuestos!$C$9="Triangular",IF(F605&lt;(Supuestos!$E$9-Supuestos!$D$9)/(Supuestos!$F$9-Supuestos!$D$9),Supuestos!$D$9+SQRT(F605*(Supuestos!$F$9-Supuestos!$D$9)*(Supuestos!$E$9-Supuestos!$D$9)),Supuestos!$F$9-SQRT((1-F605)*(Supuestos!$F$9-Supuestos!$D$9)*(Supuestos!$F$9-Supuestos!$E$9))),IF(Supuestos!$C$9="Uniforme",Supuestos!$D$9+F605*(Supuestos!$E$9-Supuestos!$D$9),IF(Supuestos!$C$9="Lognormal",LOGINV(F605,LN(Supuestos!$D$9)-LN(1+Supuestos!$E$9^2/Supuestos!$D$9^2)/2,SQRT(LN(1+Supuestos!$E$9^2/Supuestos!$D$9^2))),Supuestos!$D$9))))))</f>
        <v/>
      </c>
      <c r="N605" s="32">
        <f>MIN(IF(Supuestos!$H$10="",1E+99,Supuestos!$H$10),MAX(IF(Supuestos!$G$10="",-1E+99,Supuestos!$G$10),IF(Supuestos!$C$10="Normal",NORMINV(G605,Supuestos!$D$10,Supuestos!$E$10),IF(Supuestos!$C$10="Triangular",IF(G605&lt;(Supuestos!$E$10-Supuestos!$D$10)/(Supuestos!$F$10-Supuestos!$D$10),Supuestos!$D$10+SQRT(G605*(Supuestos!$F$10-Supuestos!$D$10)*(Supuestos!$E$10-Supuestos!$D$10)),Supuestos!$F$10-SQRT((1-G605)*(Supuestos!$F$10-Supuestos!$D$10)*(Supuestos!$F$10-Supuestos!$E$10))),IF(Supuestos!$C$10="Uniforme",Supuestos!$D$10+G605*(Supuestos!$E$10-Supuestos!$D$10),IF(Supuestos!$C$10="Lognormal",LOGINV(G605,LN(Supuestos!$D$10)-LN(1+Supuestos!$E$10^2/Supuestos!$D$10^2)/2,SQRT(LN(1+Supuestos!$E$10^2/Supuestos!$D$10^2))),Supuestos!$D$10))))))</f>
        <v/>
      </c>
      <c r="O605" s="31">
        <f>MIN(IF(Supuestos!$H$11="",1E+99,Supuestos!$H$11),MAX(IF(Supuestos!$G$11="",-1E+99,Supuestos!$G$11),IF(Supuestos!$C$11="Normal",NORMINV(H605,Supuestos!$D$11,Supuestos!$E$11),IF(Supuestos!$C$11="Triangular",IF(H605&lt;(Supuestos!$E$11-Supuestos!$D$11)/(Supuestos!$F$11-Supuestos!$D$11),Supuestos!$D$11+SQRT(H605*(Supuestos!$F$11-Supuestos!$D$11)*(Supuestos!$E$11-Supuestos!$D$11)),Supuestos!$F$11-SQRT((1-H605)*(Supuestos!$F$11-Supuestos!$D$11)*(Supuestos!$F$11-Supuestos!$E$11))),IF(Supuestos!$C$11="Uniforme",Supuestos!$D$11+H605*(Supuestos!$E$11-Supuestos!$D$11),IF(Supuestos!$C$11="Lognormal",LOGINV(H605,LN(Supuestos!$D$11)-LN(1+Supuestos!$E$11^2/Supuestos!$D$11^2)/2,SQRT(LN(1+Supuestos!$E$11^2/Supuestos!$D$11^2))),Supuestos!$D$11))))))</f>
        <v/>
      </c>
      <c r="P605" s="33">
        <f>-I605</f>
        <v/>
      </c>
      <c r="Q605" s="33">
        <f>$J605*(1+$K605)^(1-1)*(1-$L605)*(1-$M605)</f>
        <v/>
      </c>
      <c r="R605" s="33">
        <f>$J605*(1+$K605)^(2-1)*(1-$L605)*(1-$M605)</f>
        <v/>
      </c>
      <c r="S605" s="33">
        <f>$J605*(1+$K605)^(3-1)*(1-$L605)*(1-$M605)</f>
        <v/>
      </c>
      <c r="T605" s="33">
        <f>$J605*(1+$K605)^(4-1)*(1-$L605)*(1-$M605)</f>
        <v/>
      </c>
      <c r="U605" s="33">
        <f>$J605*(1+$K605)^(5-1)*(1-$L605)*(1-$M605)+$O605</f>
        <v/>
      </c>
      <c r="V605" s="33">
        <f>P605+NPV($N605,Q605:U605)</f>
        <v/>
      </c>
      <c r="W605" s="32">
        <f>IFERROR(IRR(P605:U605,0.1),"")</f>
        <v/>
      </c>
    </row>
    <row r="606">
      <c r="A606" s="14" t="n">
        <v>602</v>
      </c>
      <c r="B606" s="30">
        <f>RAND()*(1-2E-6)+1E-6</f>
        <v/>
      </c>
      <c r="C606" s="30">
        <f>RAND()*(1-2E-6)+1E-6</f>
        <v/>
      </c>
      <c r="D606" s="30">
        <f>RAND()*(1-2E-6)+1E-6</f>
        <v/>
      </c>
      <c r="E606" s="30">
        <f>RAND()*(1-2E-6)+1E-6</f>
        <v/>
      </c>
      <c r="F606" s="30">
        <f>RAND()*(1-2E-6)+1E-6</f>
        <v/>
      </c>
      <c r="G606" s="30">
        <f>RAND()*(1-2E-6)+1E-6</f>
        <v/>
      </c>
      <c r="H606" s="30">
        <f>RAND()*(1-2E-6)+1E-6</f>
        <v/>
      </c>
      <c r="I606" s="31">
        <f>MIN(IF(Supuestos!$H$5="",1E+99,Supuestos!$H$5),MAX(IF(Supuestos!$G$5="",-1E+99,Supuestos!$G$5),IF(Supuestos!$C$5="Normal",NORMINV(B606,Supuestos!$D$5,Supuestos!$E$5),IF(Supuestos!$C$5="Triangular",IF(B606&lt;(Supuestos!$E$5-Supuestos!$D$5)/(Supuestos!$F$5-Supuestos!$D$5),Supuestos!$D$5+SQRT(B606*(Supuestos!$F$5-Supuestos!$D$5)*(Supuestos!$E$5-Supuestos!$D$5)),Supuestos!$F$5-SQRT((1-B606)*(Supuestos!$F$5-Supuestos!$D$5)*(Supuestos!$F$5-Supuestos!$E$5))),IF(Supuestos!$C$5="Uniforme",Supuestos!$D$5+B606*(Supuestos!$E$5-Supuestos!$D$5),IF(Supuestos!$C$5="Lognormal",LOGINV(B606,LN(Supuestos!$D$5)-LN(1+Supuestos!$E$5^2/Supuestos!$D$5^2)/2,SQRT(LN(1+Supuestos!$E$5^2/Supuestos!$D$5^2))),Supuestos!$D$5))))))</f>
        <v/>
      </c>
      <c r="J606" s="31">
        <f>MIN(IF(Supuestos!$H$6="",1E+99,Supuestos!$H$6),MAX(IF(Supuestos!$G$6="",-1E+99,Supuestos!$G$6),IF(Supuestos!$C$6="Normal",NORMINV(C606,Supuestos!$D$6,Supuestos!$E$6),IF(Supuestos!$C$6="Triangular",IF(C606&lt;(Supuestos!$E$6-Supuestos!$D$6)/(Supuestos!$F$6-Supuestos!$D$6),Supuestos!$D$6+SQRT(C606*(Supuestos!$F$6-Supuestos!$D$6)*(Supuestos!$E$6-Supuestos!$D$6)),Supuestos!$F$6-SQRT((1-C606)*(Supuestos!$F$6-Supuestos!$D$6)*(Supuestos!$F$6-Supuestos!$E$6))),IF(Supuestos!$C$6="Uniforme",Supuestos!$D$6+C606*(Supuestos!$E$6-Supuestos!$D$6),IF(Supuestos!$C$6="Lognormal",LOGINV(C606,LN(Supuestos!$D$6)-LN(1+Supuestos!$E$6^2/Supuestos!$D$6^2)/2,SQRT(LN(1+Supuestos!$E$6^2/Supuestos!$D$6^2))),Supuestos!$D$6))))))</f>
        <v/>
      </c>
      <c r="K606" s="32">
        <f>MIN(IF(Supuestos!$H$7="",1E+99,Supuestos!$H$7),MAX(IF(Supuestos!$G$7="",-1E+99,Supuestos!$G$7),IF(Supuestos!$C$7="Normal",NORMINV(D606,Supuestos!$D$7,Supuestos!$E$7),IF(Supuestos!$C$7="Triangular",IF(D606&lt;(Supuestos!$E$7-Supuestos!$D$7)/(Supuestos!$F$7-Supuestos!$D$7),Supuestos!$D$7+SQRT(D606*(Supuestos!$F$7-Supuestos!$D$7)*(Supuestos!$E$7-Supuestos!$D$7)),Supuestos!$F$7-SQRT((1-D606)*(Supuestos!$F$7-Supuestos!$D$7)*(Supuestos!$F$7-Supuestos!$E$7))),IF(Supuestos!$C$7="Uniforme",Supuestos!$D$7+D606*(Supuestos!$E$7-Supuestos!$D$7),IF(Supuestos!$C$7="Lognormal",LOGINV(D606,LN(Supuestos!$D$7)-LN(1+Supuestos!$E$7^2/Supuestos!$D$7^2)/2,SQRT(LN(1+Supuestos!$E$7^2/Supuestos!$D$7^2))),Supuestos!$D$7))))))</f>
        <v/>
      </c>
      <c r="L606" s="32">
        <f>MIN(IF(Supuestos!$H$8="",1E+99,Supuestos!$H$8),MAX(IF(Supuestos!$G$8="",-1E+99,Supuestos!$G$8),IF(Supuestos!$C$8="Normal",NORMINV(E606,Supuestos!$D$8,Supuestos!$E$8),IF(Supuestos!$C$8="Triangular",IF(E606&lt;(Supuestos!$E$8-Supuestos!$D$8)/(Supuestos!$F$8-Supuestos!$D$8),Supuestos!$D$8+SQRT(E606*(Supuestos!$F$8-Supuestos!$D$8)*(Supuestos!$E$8-Supuestos!$D$8)),Supuestos!$F$8-SQRT((1-E606)*(Supuestos!$F$8-Supuestos!$D$8)*(Supuestos!$F$8-Supuestos!$E$8))),IF(Supuestos!$C$8="Uniforme",Supuestos!$D$8+E606*(Supuestos!$E$8-Supuestos!$D$8),IF(Supuestos!$C$8="Lognormal",LOGINV(E606,LN(Supuestos!$D$8)-LN(1+Supuestos!$E$8^2/Supuestos!$D$8^2)/2,SQRT(LN(1+Supuestos!$E$8^2/Supuestos!$D$8^2))),Supuestos!$D$8))))))</f>
        <v/>
      </c>
      <c r="M606" s="32">
        <f>MIN(IF(Supuestos!$H$9="",1E+99,Supuestos!$H$9),MAX(IF(Supuestos!$G$9="",-1E+99,Supuestos!$G$9),IF(Supuestos!$C$9="Normal",NORMINV(F606,Supuestos!$D$9,Supuestos!$E$9),IF(Supuestos!$C$9="Triangular",IF(F606&lt;(Supuestos!$E$9-Supuestos!$D$9)/(Supuestos!$F$9-Supuestos!$D$9),Supuestos!$D$9+SQRT(F606*(Supuestos!$F$9-Supuestos!$D$9)*(Supuestos!$E$9-Supuestos!$D$9)),Supuestos!$F$9-SQRT((1-F606)*(Supuestos!$F$9-Supuestos!$D$9)*(Supuestos!$F$9-Supuestos!$E$9))),IF(Supuestos!$C$9="Uniforme",Supuestos!$D$9+F606*(Supuestos!$E$9-Supuestos!$D$9),IF(Supuestos!$C$9="Lognormal",LOGINV(F606,LN(Supuestos!$D$9)-LN(1+Supuestos!$E$9^2/Supuestos!$D$9^2)/2,SQRT(LN(1+Supuestos!$E$9^2/Supuestos!$D$9^2))),Supuestos!$D$9))))))</f>
        <v/>
      </c>
      <c r="N606" s="32">
        <f>MIN(IF(Supuestos!$H$10="",1E+99,Supuestos!$H$10),MAX(IF(Supuestos!$G$10="",-1E+99,Supuestos!$G$10),IF(Supuestos!$C$10="Normal",NORMINV(G606,Supuestos!$D$10,Supuestos!$E$10),IF(Supuestos!$C$10="Triangular",IF(G606&lt;(Supuestos!$E$10-Supuestos!$D$10)/(Supuestos!$F$10-Supuestos!$D$10),Supuestos!$D$10+SQRT(G606*(Supuestos!$F$10-Supuestos!$D$10)*(Supuestos!$E$10-Supuestos!$D$10)),Supuestos!$F$10-SQRT((1-G606)*(Supuestos!$F$10-Supuestos!$D$10)*(Supuestos!$F$10-Supuestos!$E$10))),IF(Supuestos!$C$10="Uniforme",Supuestos!$D$10+G606*(Supuestos!$E$10-Supuestos!$D$10),IF(Supuestos!$C$10="Lognormal",LOGINV(G606,LN(Supuestos!$D$10)-LN(1+Supuestos!$E$10^2/Supuestos!$D$10^2)/2,SQRT(LN(1+Supuestos!$E$10^2/Supuestos!$D$10^2))),Supuestos!$D$10))))))</f>
        <v/>
      </c>
      <c r="O606" s="31">
        <f>MIN(IF(Supuestos!$H$11="",1E+99,Supuestos!$H$11),MAX(IF(Supuestos!$G$11="",-1E+99,Supuestos!$G$11),IF(Supuestos!$C$11="Normal",NORMINV(H606,Supuestos!$D$11,Supuestos!$E$11),IF(Supuestos!$C$11="Triangular",IF(H606&lt;(Supuestos!$E$11-Supuestos!$D$11)/(Supuestos!$F$11-Supuestos!$D$11),Supuestos!$D$11+SQRT(H606*(Supuestos!$F$11-Supuestos!$D$11)*(Supuestos!$E$11-Supuestos!$D$11)),Supuestos!$F$11-SQRT((1-H606)*(Supuestos!$F$11-Supuestos!$D$11)*(Supuestos!$F$11-Supuestos!$E$11))),IF(Supuestos!$C$11="Uniforme",Supuestos!$D$11+H606*(Supuestos!$E$11-Supuestos!$D$11),IF(Supuestos!$C$11="Lognormal",LOGINV(H606,LN(Supuestos!$D$11)-LN(1+Supuestos!$E$11^2/Supuestos!$D$11^2)/2,SQRT(LN(1+Supuestos!$E$11^2/Supuestos!$D$11^2))),Supuestos!$D$11))))))</f>
        <v/>
      </c>
      <c r="P606" s="33">
        <f>-I606</f>
        <v/>
      </c>
      <c r="Q606" s="33">
        <f>$J606*(1+$K606)^(1-1)*(1-$L606)*(1-$M606)</f>
        <v/>
      </c>
      <c r="R606" s="33">
        <f>$J606*(1+$K606)^(2-1)*(1-$L606)*(1-$M606)</f>
        <v/>
      </c>
      <c r="S606" s="33">
        <f>$J606*(1+$K606)^(3-1)*(1-$L606)*(1-$M606)</f>
        <v/>
      </c>
      <c r="T606" s="33">
        <f>$J606*(1+$K606)^(4-1)*(1-$L606)*(1-$M606)</f>
        <v/>
      </c>
      <c r="U606" s="33">
        <f>$J606*(1+$K606)^(5-1)*(1-$L606)*(1-$M606)+$O606</f>
        <v/>
      </c>
      <c r="V606" s="33">
        <f>P606+NPV($N606,Q606:U606)</f>
        <v/>
      </c>
      <c r="W606" s="32">
        <f>IFERROR(IRR(P606:U606,0.1),"")</f>
        <v/>
      </c>
    </row>
    <row r="607">
      <c r="A607" s="14" t="n">
        <v>603</v>
      </c>
      <c r="B607" s="30">
        <f>RAND()*(1-2E-6)+1E-6</f>
        <v/>
      </c>
      <c r="C607" s="30">
        <f>RAND()*(1-2E-6)+1E-6</f>
        <v/>
      </c>
      <c r="D607" s="30">
        <f>RAND()*(1-2E-6)+1E-6</f>
        <v/>
      </c>
      <c r="E607" s="30">
        <f>RAND()*(1-2E-6)+1E-6</f>
        <v/>
      </c>
      <c r="F607" s="30">
        <f>RAND()*(1-2E-6)+1E-6</f>
        <v/>
      </c>
      <c r="G607" s="30">
        <f>RAND()*(1-2E-6)+1E-6</f>
        <v/>
      </c>
      <c r="H607" s="30">
        <f>RAND()*(1-2E-6)+1E-6</f>
        <v/>
      </c>
      <c r="I607" s="31">
        <f>MIN(IF(Supuestos!$H$5="",1E+99,Supuestos!$H$5),MAX(IF(Supuestos!$G$5="",-1E+99,Supuestos!$G$5),IF(Supuestos!$C$5="Normal",NORMINV(B607,Supuestos!$D$5,Supuestos!$E$5),IF(Supuestos!$C$5="Triangular",IF(B607&lt;(Supuestos!$E$5-Supuestos!$D$5)/(Supuestos!$F$5-Supuestos!$D$5),Supuestos!$D$5+SQRT(B607*(Supuestos!$F$5-Supuestos!$D$5)*(Supuestos!$E$5-Supuestos!$D$5)),Supuestos!$F$5-SQRT((1-B607)*(Supuestos!$F$5-Supuestos!$D$5)*(Supuestos!$F$5-Supuestos!$E$5))),IF(Supuestos!$C$5="Uniforme",Supuestos!$D$5+B607*(Supuestos!$E$5-Supuestos!$D$5),IF(Supuestos!$C$5="Lognormal",LOGINV(B607,LN(Supuestos!$D$5)-LN(1+Supuestos!$E$5^2/Supuestos!$D$5^2)/2,SQRT(LN(1+Supuestos!$E$5^2/Supuestos!$D$5^2))),Supuestos!$D$5))))))</f>
        <v/>
      </c>
      <c r="J607" s="31">
        <f>MIN(IF(Supuestos!$H$6="",1E+99,Supuestos!$H$6),MAX(IF(Supuestos!$G$6="",-1E+99,Supuestos!$G$6),IF(Supuestos!$C$6="Normal",NORMINV(C607,Supuestos!$D$6,Supuestos!$E$6),IF(Supuestos!$C$6="Triangular",IF(C607&lt;(Supuestos!$E$6-Supuestos!$D$6)/(Supuestos!$F$6-Supuestos!$D$6),Supuestos!$D$6+SQRT(C607*(Supuestos!$F$6-Supuestos!$D$6)*(Supuestos!$E$6-Supuestos!$D$6)),Supuestos!$F$6-SQRT((1-C607)*(Supuestos!$F$6-Supuestos!$D$6)*(Supuestos!$F$6-Supuestos!$E$6))),IF(Supuestos!$C$6="Uniforme",Supuestos!$D$6+C607*(Supuestos!$E$6-Supuestos!$D$6),IF(Supuestos!$C$6="Lognormal",LOGINV(C607,LN(Supuestos!$D$6)-LN(1+Supuestos!$E$6^2/Supuestos!$D$6^2)/2,SQRT(LN(1+Supuestos!$E$6^2/Supuestos!$D$6^2))),Supuestos!$D$6))))))</f>
        <v/>
      </c>
      <c r="K607" s="32">
        <f>MIN(IF(Supuestos!$H$7="",1E+99,Supuestos!$H$7),MAX(IF(Supuestos!$G$7="",-1E+99,Supuestos!$G$7),IF(Supuestos!$C$7="Normal",NORMINV(D607,Supuestos!$D$7,Supuestos!$E$7),IF(Supuestos!$C$7="Triangular",IF(D607&lt;(Supuestos!$E$7-Supuestos!$D$7)/(Supuestos!$F$7-Supuestos!$D$7),Supuestos!$D$7+SQRT(D607*(Supuestos!$F$7-Supuestos!$D$7)*(Supuestos!$E$7-Supuestos!$D$7)),Supuestos!$F$7-SQRT((1-D607)*(Supuestos!$F$7-Supuestos!$D$7)*(Supuestos!$F$7-Supuestos!$E$7))),IF(Supuestos!$C$7="Uniforme",Supuestos!$D$7+D607*(Supuestos!$E$7-Supuestos!$D$7),IF(Supuestos!$C$7="Lognormal",LOGINV(D607,LN(Supuestos!$D$7)-LN(1+Supuestos!$E$7^2/Supuestos!$D$7^2)/2,SQRT(LN(1+Supuestos!$E$7^2/Supuestos!$D$7^2))),Supuestos!$D$7))))))</f>
        <v/>
      </c>
      <c r="L607" s="32">
        <f>MIN(IF(Supuestos!$H$8="",1E+99,Supuestos!$H$8),MAX(IF(Supuestos!$G$8="",-1E+99,Supuestos!$G$8),IF(Supuestos!$C$8="Normal",NORMINV(E607,Supuestos!$D$8,Supuestos!$E$8),IF(Supuestos!$C$8="Triangular",IF(E607&lt;(Supuestos!$E$8-Supuestos!$D$8)/(Supuestos!$F$8-Supuestos!$D$8),Supuestos!$D$8+SQRT(E607*(Supuestos!$F$8-Supuestos!$D$8)*(Supuestos!$E$8-Supuestos!$D$8)),Supuestos!$F$8-SQRT((1-E607)*(Supuestos!$F$8-Supuestos!$D$8)*(Supuestos!$F$8-Supuestos!$E$8))),IF(Supuestos!$C$8="Uniforme",Supuestos!$D$8+E607*(Supuestos!$E$8-Supuestos!$D$8),IF(Supuestos!$C$8="Lognormal",LOGINV(E607,LN(Supuestos!$D$8)-LN(1+Supuestos!$E$8^2/Supuestos!$D$8^2)/2,SQRT(LN(1+Supuestos!$E$8^2/Supuestos!$D$8^2))),Supuestos!$D$8))))))</f>
        <v/>
      </c>
      <c r="M607" s="32">
        <f>MIN(IF(Supuestos!$H$9="",1E+99,Supuestos!$H$9),MAX(IF(Supuestos!$G$9="",-1E+99,Supuestos!$G$9),IF(Supuestos!$C$9="Normal",NORMINV(F607,Supuestos!$D$9,Supuestos!$E$9),IF(Supuestos!$C$9="Triangular",IF(F607&lt;(Supuestos!$E$9-Supuestos!$D$9)/(Supuestos!$F$9-Supuestos!$D$9),Supuestos!$D$9+SQRT(F607*(Supuestos!$F$9-Supuestos!$D$9)*(Supuestos!$E$9-Supuestos!$D$9)),Supuestos!$F$9-SQRT((1-F607)*(Supuestos!$F$9-Supuestos!$D$9)*(Supuestos!$F$9-Supuestos!$E$9))),IF(Supuestos!$C$9="Uniforme",Supuestos!$D$9+F607*(Supuestos!$E$9-Supuestos!$D$9),IF(Supuestos!$C$9="Lognormal",LOGINV(F607,LN(Supuestos!$D$9)-LN(1+Supuestos!$E$9^2/Supuestos!$D$9^2)/2,SQRT(LN(1+Supuestos!$E$9^2/Supuestos!$D$9^2))),Supuestos!$D$9))))))</f>
        <v/>
      </c>
      <c r="N607" s="32">
        <f>MIN(IF(Supuestos!$H$10="",1E+99,Supuestos!$H$10),MAX(IF(Supuestos!$G$10="",-1E+99,Supuestos!$G$10),IF(Supuestos!$C$10="Normal",NORMINV(G607,Supuestos!$D$10,Supuestos!$E$10),IF(Supuestos!$C$10="Triangular",IF(G607&lt;(Supuestos!$E$10-Supuestos!$D$10)/(Supuestos!$F$10-Supuestos!$D$10),Supuestos!$D$10+SQRT(G607*(Supuestos!$F$10-Supuestos!$D$10)*(Supuestos!$E$10-Supuestos!$D$10)),Supuestos!$F$10-SQRT((1-G607)*(Supuestos!$F$10-Supuestos!$D$10)*(Supuestos!$F$10-Supuestos!$E$10))),IF(Supuestos!$C$10="Uniforme",Supuestos!$D$10+G607*(Supuestos!$E$10-Supuestos!$D$10),IF(Supuestos!$C$10="Lognormal",LOGINV(G607,LN(Supuestos!$D$10)-LN(1+Supuestos!$E$10^2/Supuestos!$D$10^2)/2,SQRT(LN(1+Supuestos!$E$10^2/Supuestos!$D$10^2))),Supuestos!$D$10))))))</f>
        <v/>
      </c>
      <c r="O607" s="31">
        <f>MIN(IF(Supuestos!$H$11="",1E+99,Supuestos!$H$11),MAX(IF(Supuestos!$G$11="",-1E+99,Supuestos!$G$11),IF(Supuestos!$C$11="Normal",NORMINV(H607,Supuestos!$D$11,Supuestos!$E$11),IF(Supuestos!$C$11="Triangular",IF(H607&lt;(Supuestos!$E$11-Supuestos!$D$11)/(Supuestos!$F$11-Supuestos!$D$11),Supuestos!$D$11+SQRT(H607*(Supuestos!$F$11-Supuestos!$D$11)*(Supuestos!$E$11-Supuestos!$D$11)),Supuestos!$F$11-SQRT((1-H607)*(Supuestos!$F$11-Supuestos!$D$11)*(Supuestos!$F$11-Supuestos!$E$11))),IF(Supuestos!$C$11="Uniforme",Supuestos!$D$11+H607*(Supuestos!$E$11-Supuestos!$D$11),IF(Supuestos!$C$11="Lognormal",LOGINV(H607,LN(Supuestos!$D$11)-LN(1+Supuestos!$E$11^2/Supuestos!$D$11^2)/2,SQRT(LN(1+Supuestos!$E$11^2/Supuestos!$D$11^2))),Supuestos!$D$11))))))</f>
        <v/>
      </c>
      <c r="P607" s="33">
        <f>-I607</f>
        <v/>
      </c>
      <c r="Q607" s="33">
        <f>$J607*(1+$K607)^(1-1)*(1-$L607)*(1-$M607)</f>
        <v/>
      </c>
      <c r="R607" s="33">
        <f>$J607*(1+$K607)^(2-1)*(1-$L607)*(1-$M607)</f>
        <v/>
      </c>
      <c r="S607" s="33">
        <f>$J607*(1+$K607)^(3-1)*(1-$L607)*(1-$M607)</f>
        <v/>
      </c>
      <c r="T607" s="33">
        <f>$J607*(1+$K607)^(4-1)*(1-$L607)*(1-$M607)</f>
        <v/>
      </c>
      <c r="U607" s="33">
        <f>$J607*(1+$K607)^(5-1)*(1-$L607)*(1-$M607)+$O607</f>
        <v/>
      </c>
      <c r="V607" s="33">
        <f>P607+NPV($N607,Q607:U607)</f>
        <v/>
      </c>
      <c r="W607" s="32">
        <f>IFERROR(IRR(P607:U607,0.1),"")</f>
        <v/>
      </c>
    </row>
    <row r="608">
      <c r="A608" s="14" t="n">
        <v>604</v>
      </c>
      <c r="B608" s="30">
        <f>RAND()*(1-2E-6)+1E-6</f>
        <v/>
      </c>
      <c r="C608" s="30">
        <f>RAND()*(1-2E-6)+1E-6</f>
        <v/>
      </c>
      <c r="D608" s="30">
        <f>RAND()*(1-2E-6)+1E-6</f>
        <v/>
      </c>
      <c r="E608" s="30">
        <f>RAND()*(1-2E-6)+1E-6</f>
        <v/>
      </c>
      <c r="F608" s="30">
        <f>RAND()*(1-2E-6)+1E-6</f>
        <v/>
      </c>
      <c r="G608" s="30">
        <f>RAND()*(1-2E-6)+1E-6</f>
        <v/>
      </c>
      <c r="H608" s="30">
        <f>RAND()*(1-2E-6)+1E-6</f>
        <v/>
      </c>
      <c r="I608" s="31">
        <f>MIN(IF(Supuestos!$H$5="",1E+99,Supuestos!$H$5),MAX(IF(Supuestos!$G$5="",-1E+99,Supuestos!$G$5),IF(Supuestos!$C$5="Normal",NORMINV(B608,Supuestos!$D$5,Supuestos!$E$5),IF(Supuestos!$C$5="Triangular",IF(B608&lt;(Supuestos!$E$5-Supuestos!$D$5)/(Supuestos!$F$5-Supuestos!$D$5),Supuestos!$D$5+SQRT(B608*(Supuestos!$F$5-Supuestos!$D$5)*(Supuestos!$E$5-Supuestos!$D$5)),Supuestos!$F$5-SQRT((1-B608)*(Supuestos!$F$5-Supuestos!$D$5)*(Supuestos!$F$5-Supuestos!$E$5))),IF(Supuestos!$C$5="Uniforme",Supuestos!$D$5+B608*(Supuestos!$E$5-Supuestos!$D$5),IF(Supuestos!$C$5="Lognormal",LOGINV(B608,LN(Supuestos!$D$5)-LN(1+Supuestos!$E$5^2/Supuestos!$D$5^2)/2,SQRT(LN(1+Supuestos!$E$5^2/Supuestos!$D$5^2))),Supuestos!$D$5))))))</f>
        <v/>
      </c>
      <c r="J608" s="31">
        <f>MIN(IF(Supuestos!$H$6="",1E+99,Supuestos!$H$6),MAX(IF(Supuestos!$G$6="",-1E+99,Supuestos!$G$6),IF(Supuestos!$C$6="Normal",NORMINV(C608,Supuestos!$D$6,Supuestos!$E$6),IF(Supuestos!$C$6="Triangular",IF(C608&lt;(Supuestos!$E$6-Supuestos!$D$6)/(Supuestos!$F$6-Supuestos!$D$6),Supuestos!$D$6+SQRT(C608*(Supuestos!$F$6-Supuestos!$D$6)*(Supuestos!$E$6-Supuestos!$D$6)),Supuestos!$F$6-SQRT((1-C608)*(Supuestos!$F$6-Supuestos!$D$6)*(Supuestos!$F$6-Supuestos!$E$6))),IF(Supuestos!$C$6="Uniforme",Supuestos!$D$6+C608*(Supuestos!$E$6-Supuestos!$D$6),IF(Supuestos!$C$6="Lognormal",LOGINV(C608,LN(Supuestos!$D$6)-LN(1+Supuestos!$E$6^2/Supuestos!$D$6^2)/2,SQRT(LN(1+Supuestos!$E$6^2/Supuestos!$D$6^2))),Supuestos!$D$6))))))</f>
        <v/>
      </c>
      <c r="K608" s="32">
        <f>MIN(IF(Supuestos!$H$7="",1E+99,Supuestos!$H$7),MAX(IF(Supuestos!$G$7="",-1E+99,Supuestos!$G$7),IF(Supuestos!$C$7="Normal",NORMINV(D608,Supuestos!$D$7,Supuestos!$E$7),IF(Supuestos!$C$7="Triangular",IF(D608&lt;(Supuestos!$E$7-Supuestos!$D$7)/(Supuestos!$F$7-Supuestos!$D$7),Supuestos!$D$7+SQRT(D608*(Supuestos!$F$7-Supuestos!$D$7)*(Supuestos!$E$7-Supuestos!$D$7)),Supuestos!$F$7-SQRT((1-D608)*(Supuestos!$F$7-Supuestos!$D$7)*(Supuestos!$F$7-Supuestos!$E$7))),IF(Supuestos!$C$7="Uniforme",Supuestos!$D$7+D608*(Supuestos!$E$7-Supuestos!$D$7),IF(Supuestos!$C$7="Lognormal",LOGINV(D608,LN(Supuestos!$D$7)-LN(1+Supuestos!$E$7^2/Supuestos!$D$7^2)/2,SQRT(LN(1+Supuestos!$E$7^2/Supuestos!$D$7^2))),Supuestos!$D$7))))))</f>
        <v/>
      </c>
      <c r="L608" s="32">
        <f>MIN(IF(Supuestos!$H$8="",1E+99,Supuestos!$H$8),MAX(IF(Supuestos!$G$8="",-1E+99,Supuestos!$G$8),IF(Supuestos!$C$8="Normal",NORMINV(E608,Supuestos!$D$8,Supuestos!$E$8),IF(Supuestos!$C$8="Triangular",IF(E608&lt;(Supuestos!$E$8-Supuestos!$D$8)/(Supuestos!$F$8-Supuestos!$D$8),Supuestos!$D$8+SQRT(E608*(Supuestos!$F$8-Supuestos!$D$8)*(Supuestos!$E$8-Supuestos!$D$8)),Supuestos!$F$8-SQRT((1-E608)*(Supuestos!$F$8-Supuestos!$D$8)*(Supuestos!$F$8-Supuestos!$E$8))),IF(Supuestos!$C$8="Uniforme",Supuestos!$D$8+E608*(Supuestos!$E$8-Supuestos!$D$8),IF(Supuestos!$C$8="Lognormal",LOGINV(E608,LN(Supuestos!$D$8)-LN(1+Supuestos!$E$8^2/Supuestos!$D$8^2)/2,SQRT(LN(1+Supuestos!$E$8^2/Supuestos!$D$8^2))),Supuestos!$D$8))))))</f>
        <v/>
      </c>
      <c r="M608" s="32">
        <f>MIN(IF(Supuestos!$H$9="",1E+99,Supuestos!$H$9),MAX(IF(Supuestos!$G$9="",-1E+99,Supuestos!$G$9),IF(Supuestos!$C$9="Normal",NORMINV(F608,Supuestos!$D$9,Supuestos!$E$9),IF(Supuestos!$C$9="Triangular",IF(F608&lt;(Supuestos!$E$9-Supuestos!$D$9)/(Supuestos!$F$9-Supuestos!$D$9),Supuestos!$D$9+SQRT(F608*(Supuestos!$F$9-Supuestos!$D$9)*(Supuestos!$E$9-Supuestos!$D$9)),Supuestos!$F$9-SQRT((1-F608)*(Supuestos!$F$9-Supuestos!$D$9)*(Supuestos!$F$9-Supuestos!$E$9))),IF(Supuestos!$C$9="Uniforme",Supuestos!$D$9+F608*(Supuestos!$E$9-Supuestos!$D$9),IF(Supuestos!$C$9="Lognormal",LOGINV(F608,LN(Supuestos!$D$9)-LN(1+Supuestos!$E$9^2/Supuestos!$D$9^2)/2,SQRT(LN(1+Supuestos!$E$9^2/Supuestos!$D$9^2))),Supuestos!$D$9))))))</f>
        <v/>
      </c>
      <c r="N608" s="32">
        <f>MIN(IF(Supuestos!$H$10="",1E+99,Supuestos!$H$10),MAX(IF(Supuestos!$G$10="",-1E+99,Supuestos!$G$10),IF(Supuestos!$C$10="Normal",NORMINV(G608,Supuestos!$D$10,Supuestos!$E$10),IF(Supuestos!$C$10="Triangular",IF(G608&lt;(Supuestos!$E$10-Supuestos!$D$10)/(Supuestos!$F$10-Supuestos!$D$10),Supuestos!$D$10+SQRT(G608*(Supuestos!$F$10-Supuestos!$D$10)*(Supuestos!$E$10-Supuestos!$D$10)),Supuestos!$F$10-SQRT((1-G608)*(Supuestos!$F$10-Supuestos!$D$10)*(Supuestos!$F$10-Supuestos!$E$10))),IF(Supuestos!$C$10="Uniforme",Supuestos!$D$10+G608*(Supuestos!$E$10-Supuestos!$D$10),IF(Supuestos!$C$10="Lognormal",LOGINV(G608,LN(Supuestos!$D$10)-LN(1+Supuestos!$E$10^2/Supuestos!$D$10^2)/2,SQRT(LN(1+Supuestos!$E$10^2/Supuestos!$D$10^2))),Supuestos!$D$10))))))</f>
        <v/>
      </c>
      <c r="O608" s="31">
        <f>MIN(IF(Supuestos!$H$11="",1E+99,Supuestos!$H$11),MAX(IF(Supuestos!$G$11="",-1E+99,Supuestos!$G$11),IF(Supuestos!$C$11="Normal",NORMINV(H608,Supuestos!$D$11,Supuestos!$E$11),IF(Supuestos!$C$11="Triangular",IF(H608&lt;(Supuestos!$E$11-Supuestos!$D$11)/(Supuestos!$F$11-Supuestos!$D$11),Supuestos!$D$11+SQRT(H608*(Supuestos!$F$11-Supuestos!$D$11)*(Supuestos!$E$11-Supuestos!$D$11)),Supuestos!$F$11-SQRT((1-H608)*(Supuestos!$F$11-Supuestos!$D$11)*(Supuestos!$F$11-Supuestos!$E$11))),IF(Supuestos!$C$11="Uniforme",Supuestos!$D$11+H608*(Supuestos!$E$11-Supuestos!$D$11),IF(Supuestos!$C$11="Lognormal",LOGINV(H608,LN(Supuestos!$D$11)-LN(1+Supuestos!$E$11^2/Supuestos!$D$11^2)/2,SQRT(LN(1+Supuestos!$E$11^2/Supuestos!$D$11^2))),Supuestos!$D$11))))))</f>
        <v/>
      </c>
      <c r="P608" s="33">
        <f>-I608</f>
        <v/>
      </c>
      <c r="Q608" s="33">
        <f>$J608*(1+$K608)^(1-1)*(1-$L608)*(1-$M608)</f>
        <v/>
      </c>
      <c r="R608" s="33">
        <f>$J608*(1+$K608)^(2-1)*(1-$L608)*(1-$M608)</f>
        <v/>
      </c>
      <c r="S608" s="33">
        <f>$J608*(1+$K608)^(3-1)*(1-$L608)*(1-$M608)</f>
        <v/>
      </c>
      <c r="T608" s="33">
        <f>$J608*(1+$K608)^(4-1)*(1-$L608)*(1-$M608)</f>
        <v/>
      </c>
      <c r="U608" s="33">
        <f>$J608*(1+$K608)^(5-1)*(1-$L608)*(1-$M608)+$O608</f>
        <v/>
      </c>
      <c r="V608" s="33">
        <f>P608+NPV($N608,Q608:U608)</f>
        <v/>
      </c>
      <c r="W608" s="32">
        <f>IFERROR(IRR(P608:U608,0.1),"")</f>
        <v/>
      </c>
    </row>
    <row r="609">
      <c r="A609" s="14" t="n">
        <v>605</v>
      </c>
      <c r="B609" s="30">
        <f>RAND()*(1-2E-6)+1E-6</f>
        <v/>
      </c>
      <c r="C609" s="30">
        <f>RAND()*(1-2E-6)+1E-6</f>
        <v/>
      </c>
      <c r="D609" s="30">
        <f>RAND()*(1-2E-6)+1E-6</f>
        <v/>
      </c>
      <c r="E609" s="30">
        <f>RAND()*(1-2E-6)+1E-6</f>
        <v/>
      </c>
      <c r="F609" s="30">
        <f>RAND()*(1-2E-6)+1E-6</f>
        <v/>
      </c>
      <c r="G609" s="30">
        <f>RAND()*(1-2E-6)+1E-6</f>
        <v/>
      </c>
      <c r="H609" s="30">
        <f>RAND()*(1-2E-6)+1E-6</f>
        <v/>
      </c>
      <c r="I609" s="31">
        <f>MIN(IF(Supuestos!$H$5="",1E+99,Supuestos!$H$5),MAX(IF(Supuestos!$G$5="",-1E+99,Supuestos!$G$5),IF(Supuestos!$C$5="Normal",NORMINV(B609,Supuestos!$D$5,Supuestos!$E$5),IF(Supuestos!$C$5="Triangular",IF(B609&lt;(Supuestos!$E$5-Supuestos!$D$5)/(Supuestos!$F$5-Supuestos!$D$5),Supuestos!$D$5+SQRT(B609*(Supuestos!$F$5-Supuestos!$D$5)*(Supuestos!$E$5-Supuestos!$D$5)),Supuestos!$F$5-SQRT((1-B609)*(Supuestos!$F$5-Supuestos!$D$5)*(Supuestos!$F$5-Supuestos!$E$5))),IF(Supuestos!$C$5="Uniforme",Supuestos!$D$5+B609*(Supuestos!$E$5-Supuestos!$D$5),IF(Supuestos!$C$5="Lognormal",LOGINV(B609,LN(Supuestos!$D$5)-LN(1+Supuestos!$E$5^2/Supuestos!$D$5^2)/2,SQRT(LN(1+Supuestos!$E$5^2/Supuestos!$D$5^2))),Supuestos!$D$5))))))</f>
        <v/>
      </c>
      <c r="J609" s="31">
        <f>MIN(IF(Supuestos!$H$6="",1E+99,Supuestos!$H$6),MAX(IF(Supuestos!$G$6="",-1E+99,Supuestos!$G$6),IF(Supuestos!$C$6="Normal",NORMINV(C609,Supuestos!$D$6,Supuestos!$E$6),IF(Supuestos!$C$6="Triangular",IF(C609&lt;(Supuestos!$E$6-Supuestos!$D$6)/(Supuestos!$F$6-Supuestos!$D$6),Supuestos!$D$6+SQRT(C609*(Supuestos!$F$6-Supuestos!$D$6)*(Supuestos!$E$6-Supuestos!$D$6)),Supuestos!$F$6-SQRT((1-C609)*(Supuestos!$F$6-Supuestos!$D$6)*(Supuestos!$F$6-Supuestos!$E$6))),IF(Supuestos!$C$6="Uniforme",Supuestos!$D$6+C609*(Supuestos!$E$6-Supuestos!$D$6),IF(Supuestos!$C$6="Lognormal",LOGINV(C609,LN(Supuestos!$D$6)-LN(1+Supuestos!$E$6^2/Supuestos!$D$6^2)/2,SQRT(LN(1+Supuestos!$E$6^2/Supuestos!$D$6^2))),Supuestos!$D$6))))))</f>
        <v/>
      </c>
      <c r="K609" s="32">
        <f>MIN(IF(Supuestos!$H$7="",1E+99,Supuestos!$H$7),MAX(IF(Supuestos!$G$7="",-1E+99,Supuestos!$G$7),IF(Supuestos!$C$7="Normal",NORMINV(D609,Supuestos!$D$7,Supuestos!$E$7),IF(Supuestos!$C$7="Triangular",IF(D609&lt;(Supuestos!$E$7-Supuestos!$D$7)/(Supuestos!$F$7-Supuestos!$D$7),Supuestos!$D$7+SQRT(D609*(Supuestos!$F$7-Supuestos!$D$7)*(Supuestos!$E$7-Supuestos!$D$7)),Supuestos!$F$7-SQRT((1-D609)*(Supuestos!$F$7-Supuestos!$D$7)*(Supuestos!$F$7-Supuestos!$E$7))),IF(Supuestos!$C$7="Uniforme",Supuestos!$D$7+D609*(Supuestos!$E$7-Supuestos!$D$7),IF(Supuestos!$C$7="Lognormal",LOGINV(D609,LN(Supuestos!$D$7)-LN(1+Supuestos!$E$7^2/Supuestos!$D$7^2)/2,SQRT(LN(1+Supuestos!$E$7^2/Supuestos!$D$7^2))),Supuestos!$D$7))))))</f>
        <v/>
      </c>
      <c r="L609" s="32">
        <f>MIN(IF(Supuestos!$H$8="",1E+99,Supuestos!$H$8),MAX(IF(Supuestos!$G$8="",-1E+99,Supuestos!$G$8),IF(Supuestos!$C$8="Normal",NORMINV(E609,Supuestos!$D$8,Supuestos!$E$8),IF(Supuestos!$C$8="Triangular",IF(E609&lt;(Supuestos!$E$8-Supuestos!$D$8)/(Supuestos!$F$8-Supuestos!$D$8),Supuestos!$D$8+SQRT(E609*(Supuestos!$F$8-Supuestos!$D$8)*(Supuestos!$E$8-Supuestos!$D$8)),Supuestos!$F$8-SQRT((1-E609)*(Supuestos!$F$8-Supuestos!$D$8)*(Supuestos!$F$8-Supuestos!$E$8))),IF(Supuestos!$C$8="Uniforme",Supuestos!$D$8+E609*(Supuestos!$E$8-Supuestos!$D$8),IF(Supuestos!$C$8="Lognormal",LOGINV(E609,LN(Supuestos!$D$8)-LN(1+Supuestos!$E$8^2/Supuestos!$D$8^2)/2,SQRT(LN(1+Supuestos!$E$8^2/Supuestos!$D$8^2))),Supuestos!$D$8))))))</f>
        <v/>
      </c>
      <c r="M609" s="32">
        <f>MIN(IF(Supuestos!$H$9="",1E+99,Supuestos!$H$9),MAX(IF(Supuestos!$G$9="",-1E+99,Supuestos!$G$9),IF(Supuestos!$C$9="Normal",NORMINV(F609,Supuestos!$D$9,Supuestos!$E$9),IF(Supuestos!$C$9="Triangular",IF(F609&lt;(Supuestos!$E$9-Supuestos!$D$9)/(Supuestos!$F$9-Supuestos!$D$9),Supuestos!$D$9+SQRT(F609*(Supuestos!$F$9-Supuestos!$D$9)*(Supuestos!$E$9-Supuestos!$D$9)),Supuestos!$F$9-SQRT((1-F609)*(Supuestos!$F$9-Supuestos!$D$9)*(Supuestos!$F$9-Supuestos!$E$9))),IF(Supuestos!$C$9="Uniforme",Supuestos!$D$9+F609*(Supuestos!$E$9-Supuestos!$D$9),IF(Supuestos!$C$9="Lognormal",LOGINV(F609,LN(Supuestos!$D$9)-LN(1+Supuestos!$E$9^2/Supuestos!$D$9^2)/2,SQRT(LN(1+Supuestos!$E$9^2/Supuestos!$D$9^2))),Supuestos!$D$9))))))</f>
        <v/>
      </c>
      <c r="N609" s="32">
        <f>MIN(IF(Supuestos!$H$10="",1E+99,Supuestos!$H$10),MAX(IF(Supuestos!$G$10="",-1E+99,Supuestos!$G$10),IF(Supuestos!$C$10="Normal",NORMINV(G609,Supuestos!$D$10,Supuestos!$E$10),IF(Supuestos!$C$10="Triangular",IF(G609&lt;(Supuestos!$E$10-Supuestos!$D$10)/(Supuestos!$F$10-Supuestos!$D$10),Supuestos!$D$10+SQRT(G609*(Supuestos!$F$10-Supuestos!$D$10)*(Supuestos!$E$10-Supuestos!$D$10)),Supuestos!$F$10-SQRT((1-G609)*(Supuestos!$F$10-Supuestos!$D$10)*(Supuestos!$F$10-Supuestos!$E$10))),IF(Supuestos!$C$10="Uniforme",Supuestos!$D$10+G609*(Supuestos!$E$10-Supuestos!$D$10),IF(Supuestos!$C$10="Lognormal",LOGINV(G609,LN(Supuestos!$D$10)-LN(1+Supuestos!$E$10^2/Supuestos!$D$10^2)/2,SQRT(LN(1+Supuestos!$E$10^2/Supuestos!$D$10^2))),Supuestos!$D$10))))))</f>
        <v/>
      </c>
      <c r="O609" s="31">
        <f>MIN(IF(Supuestos!$H$11="",1E+99,Supuestos!$H$11),MAX(IF(Supuestos!$G$11="",-1E+99,Supuestos!$G$11),IF(Supuestos!$C$11="Normal",NORMINV(H609,Supuestos!$D$11,Supuestos!$E$11),IF(Supuestos!$C$11="Triangular",IF(H609&lt;(Supuestos!$E$11-Supuestos!$D$11)/(Supuestos!$F$11-Supuestos!$D$11),Supuestos!$D$11+SQRT(H609*(Supuestos!$F$11-Supuestos!$D$11)*(Supuestos!$E$11-Supuestos!$D$11)),Supuestos!$F$11-SQRT((1-H609)*(Supuestos!$F$11-Supuestos!$D$11)*(Supuestos!$F$11-Supuestos!$E$11))),IF(Supuestos!$C$11="Uniforme",Supuestos!$D$11+H609*(Supuestos!$E$11-Supuestos!$D$11),IF(Supuestos!$C$11="Lognormal",LOGINV(H609,LN(Supuestos!$D$11)-LN(1+Supuestos!$E$11^2/Supuestos!$D$11^2)/2,SQRT(LN(1+Supuestos!$E$11^2/Supuestos!$D$11^2))),Supuestos!$D$11))))))</f>
        <v/>
      </c>
      <c r="P609" s="33">
        <f>-I609</f>
        <v/>
      </c>
      <c r="Q609" s="33">
        <f>$J609*(1+$K609)^(1-1)*(1-$L609)*(1-$M609)</f>
        <v/>
      </c>
      <c r="R609" s="33">
        <f>$J609*(1+$K609)^(2-1)*(1-$L609)*(1-$M609)</f>
        <v/>
      </c>
      <c r="S609" s="33">
        <f>$J609*(1+$K609)^(3-1)*(1-$L609)*(1-$M609)</f>
        <v/>
      </c>
      <c r="T609" s="33">
        <f>$J609*(1+$K609)^(4-1)*(1-$L609)*(1-$M609)</f>
        <v/>
      </c>
      <c r="U609" s="33">
        <f>$J609*(1+$K609)^(5-1)*(1-$L609)*(1-$M609)+$O609</f>
        <v/>
      </c>
      <c r="V609" s="33">
        <f>P609+NPV($N609,Q609:U609)</f>
        <v/>
      </c>
      <c r="W609" s="32">
        <f>IFERROR(IRR(P609:U609,0.1),"")</f>
        <v/>
      </c>
    </row>
    <row r="610">
      <c r="A610" s="14" t="n">
        <v>606</v>
      </c>
      <c r="B610" s="30">
        <f>RAND()*(1-2E-6)+1E-6</f>
        <v/>
      </c>
      <c r="C610" s="30">
        <f>RAND()*(1-2E-6)+1E-6</f>
        <v/>
      </c>
      <c r="D610" s="30">
        <f>RAND()*(1-2E-6)+1E-6</f>
        <v/>
      </c>
      <c r="E610" s="30">
        <f>RAND()*(1-2E-6)+1E-6</f>
        <v/>
      </c>
      <c r="F610" s="30">
        <f>RAND()*(1-2E-6)+1E-6</f>
        <v/>
      </c>
      <c r="G610" s="30">
        <f>RAND()*(1-2E-6)+1E-6</f>
        <v/>
      </c>
      <c r="H610" s="30">
        <f>RAND()*(1-2E-6)+1E-6</f>
        <v/>
      </c>
      <c r="I610" s="31">
        <f>MIN(IF(Supuestos!$H$5="",1E+99,Supuestos!$H$5),MAX(IF(Supuestos!$G$5="",-1E+99,Supuestos!$G$5),IF(Supuestos!$C$5="Normal",NORMINV(B610,Supuestos!$D$5,Supuestos!$E$5),IF(Supuestos!$C$5="Triangular",IF(B610&lt;(Supuestos!$E$5-Supuestos!$D$5)/(Supuestos!$F$5-Supuestos!$D$5),Supuestos!$D$5+SQRT(B610*(Supuestos!$F$5-Supuestos!$D$5)*(Supuestos!$E$5-Supuestos!$D$5)),Supuestos!$F$5-SQRT((1-B610)*(Supuestos!$F$5-Supuestos!$D$5)*(Supuestos!$F$5-Supuestos!$E$5))),IF(Supuestos!$C$5="Uniforme",Supuestos!$D$5+B610*(Supuestos!$E$5-Supuestos!$D$5),IF(Supuestos!$C$5="Lognormal",LOGINV(B610,LN(Supuestos!$D$5)-LN(1+Supuestos!$E$5^2/Supuestos!$D$5^2)/2,SQRT(LN(1+Supuestos!$E$5^2/Supuestos!$D$5^2))),Supuestos!$D$5))))))</f>
        <v/>
      </c>
      <c r="J610" s="31">
        <f>MIN(IF(Supuestos!$H$6="",1E+99,Supuestos!$H$6),MAX(IF(Supuestos!$G$6="",-1E+99,Supuestos!$G$6),IF(Supuestos!$C$6="Normal",NORMINV(C610,Supuestos!$D$6,Supuestos!$E$6),IF(Supuestos!$C$6="Triangular",IF(C610&lt;(Supuestos!$E$6-Supuestos!$D$6)/(Supuestos!$F$6-Supuestos!$D$6),Supuestos!$D$6+SQRT(C610*(Supuestos!$F$6-Supuestos!$D$6)*(Supuestos!$E$6-Supuestos!$D$6)),Supuestos!$F$6-SQRT((1-C610)*(Supuestos!$F$6-Supuestos!$D$6)*(Supuestos!$F$6-Supuestos!$E$6))),IF(Supuestos!$C$6="Uniforme",Supuestos!$D$6+C610*(Supuestos!$E$6-Supuestos!$D$6),IF(Supuestos!$C$6="Lognormal",LOGINV(C610,LN(Supuestos!$D$6)-LN(1+Supuestos!$E$6^2/Supuestos!$D$6^2)/2,SQRT(LN(1+Supuestos!$E$6^2/Supuestos!$D$6^2))),Supuestos!$D$6))))))</f>
        <v/>
      </c>
      <c r="K610" s="32">
        <f>MIN(IF(Supuestos!$H$7="",1E+99,Supuestos!$H$7),MAX(IF(Supuestos!$G$7="",-1E+99,Supuestos!$G$7),IF(Supuestos!$C$7="Normal",NORMINV(D610,Supuestos!$D$7,Supuestos!$E$7),IF(Supuestos!$C$7="Triangular",IF(D610&lt;(Supuestos!$E$7-Supuestos!$D$7)/(Supuestos!$F$7-Supuestos!$D$7),Supuestos!$D$7+SQRT(D610*(Supuestos!$F$7-Supuestos!$D$7)*(Supuestos!$E$7-Supuestos!$D$7)),Supuestos!$F$7-SQRT((1-D610)*(Supuestos!$F$7-Supuestos!$D$7)*(Supuestos!$F$7-Supuestos!$E$7))),IF(Supuestos!$C$7="Uniforme",Supuestos!$D$7+D610*(Supuestos!$E$7-Supuestos!$D$7),IF(Supuestos!$C$7="Lognormal",LOGINV(D610,LN(Supuestos!$D$7)-LN(1+Supuestos!$E$7^2/Supuestos!$D$7^2)/2,SQRT(LN(1+Supuestos!$E$7^2/Supuestos!$D$7^2))),Supuestos!$D$7))))))</f>
        <v/>
      </c>
      <c r="L610" s="32">
        <f>MIN(IF(Supuestos!$H$8="",1E+99,Supuestos!$H$8),MAX(IF(Supuestos!$G$8="",-1E+99,Supuestos!$G$8),IF(Supuestos!$C$8="Normal",NORMINV(E610,Supuestos!$D$8,Supuestos!$E$8),IF(Supuestos!$C$8="Triangular",IF(E610&lt;(Supuestos!$E$8-Supuestos!$D$8)/(Supuestos!$F$8-Supuestos!$D$8),Supuestos!$D$8+SQRT(E610*(Supuestos!$F$8-Supuestos!$D$8)*(Supuestos!$E$8-Supuestos!$D$8)),Supuestos!$F$8-SQRT((1-E610)*(Supuestos!$F$8-Supuestos!$D$8)*(Supuestos!$F$8-Supuestos!$E$8))),IF(Supuestos!$C$8="Uniforme",Supuestos!$D$8+E610*(Supuestos!$E$8-Supuestos!$D$8),IF(Supuestos!$C$8="Lognormal",LOGINV(E610,LN(Supuestos!$D$8)-LN(1+Supuestos!$E$8^2/Supuestos!$D$8^2)/2,SQRT(LN(1+Supuestos!$E$8^2/Supuestos!$D$8^2))),Supuestos!$D$8))))))</f>
        <v/>
      </c>
      <c r="M610" s="32">
        <f>MIN(IF(Supuestos!$H$9="",1E+99,Supuestos!$H$9),MAX(IF(Supuestos!$G$9="",-1E+99,Supuestos!$G$9),IF(Supuestos!$C$9="Normal",NORMINV(F610,Supuestos!$D$9,Supuestos!$E$9),IF(Supuestos!$C$9="Triangular",IF(F610&lt;(Supuestos!$E$9-Supuestos!$D$9)/(Supuestos!$F$9-Supuestos!$D$9),Supuestos!$D$9+SQRT(F610*(Supuestos!$F$9-Supuestos!$D$9)*(Supuestos!$E$9-Supuestos!$D$9)),Supuestos!$F$9-SQRT((1-F610)*(Supuestos!$F$9-Supuestos!$D$9)*(Supuestos!$F$9-Supuestos!$E$9))),IF(Supuestos!$C$9="Uniforme",Supuestos!$D$9+F610*(Supuestos!$E$9-Supuestos!$D$9),IF(Supuestos!$C$9="Lognormal",LOGINV(F610,LN(Supuestos!$D$9)-LN(1+Supuestos!$E$9^2/Supuestos!$D$9^2)/2,SQRT(LN(1+Supuestos!$E$9^2/Supuestos!$D$9^2))),Supuestos!$D$9))))))</f>
        <v/>
      </c>
      <c r="N610" s="32">
        <f>MIN(IF(Supuestos!$H$10="",1E+99,Supuestos!$H$10),MAX(IF(Supuestos!$G$10="",-1E+99,Supuestos!$G$10),IF(Supuestos!$C$10="Normal",NORMINV(G610,Supuestos!$D$10,Supuestos!$E$10),IF(Supuestos!$C$10="Triangular",IF(G610&lt;(Supuestos!$E$10-Supuestos!$D$10)/(Supuestos!$F$10-Supuestos!$D$10),Supuestos!$D$10+SQRT(G610*(Supuestos!$F$10-Supuestos!$D$10)*(Supuestos!$E$10-Supuestos!$D$10)),Supuestos!$F$10-SQRT((1-G610)*(Supuestos!$F$10-Supuestos!$D$10)*(Supuestos!$F$10-Supuestos!$E$10))),IF(Supuestos!$C$10="Uniforme",Supuestos!$D$10+G610*(Supuestos!$E$10-Supuestos!$D$10),IF(Supuestos!$C$10="Lognormal",LOGINV(G610,LN(Supuestos!$D$10)-LN(1+Supuestos!$E$10^2/Supuestos!$D$10^2)/2,SQRT(LN(1+Supuestos!$E$10^2/Supuestos!$D$10^2))),Supuestos!$D$10))))))</f>
        <v/>
      </c>
      <c r="O610" s="31">
        <f>MIN(IF(Supuestos!$H$11="",1E+99,Supuestos!$H$11),MAX(IF(Supuestos!$G$11="",-1E+99,Supuestos!$G$11),IF(Supuestos!$C$11="Normal",NORMINV(H610,Supuestos!$D$11,Supuestos!$E$11),IF(Supuestos!$C$11="Triangular",IF(H610&lt;(Supuestos!$E$11-Supuestos!$D$11)/(Supuestos!$F$11-Supuestos!$D$11),Supuestos!$D$11+SQRT(H610*(Supuestos!$F$11-Supuestos!$D$11)*(Supuestos!$E$11-Supuestos!$D$11)),Supuestos!$F$11-SQRT((1-H610)*(Supuestos!$F$11-Supuestos!$D$11)*(Supuestos!$F$11-Supuestos!$E$11))),IF(Supuestos!$C$11="Uniforme",Supuestos!$D$11+H610*(Supuestos!$E$11-Supuestos!$D$11),IF(Supuestos!$C$11="Lognormal",LOGINV(H610,LN(Supuestos!$D$11)-LN(1+Supuestos!$E$11^2/Supuestos!$D$11^2)/2,SQRT(LN(1+Supuestos!$E$11^2/Supuestos!$D$11^2))),Supuestos!$D$11))))))</f>
        <v/>
      </c>
      <c r="P610" s="33">
        <f>-I610</f>
        <v/>
      </c>
      <c r="Q610" s="33">
        <f>$J610*(1+$K610)^(1-1)*(1-$L610)*(1-$M610)</f>
        <v/>
      </c>
      <c r="R610" s="33">
        <f>$J610*(1+$K610)^(2-1)*(1-$L610)*(1-$M610)</f>
        <v/>
      </c>
      <c r="S610" s="33">
        <f>$J610*(1+$K610)^(3-1)*(1-$L610)*(1-$M610)</f>
        <v/>
      </c>
      <c r="T610" s="33">
        <f>$J610*(1+$K610)^(4-1)*(1-$L610)*(1-$M610)</f>
        <v/>
      </c>
      <c r="U610" s="33">
        <f>$J610*(1+$K610)^(5-1)*(1-$L610)*(1-$M610)+$O610</f>
        <v/>
      </c>
      <c r="V610" s="33">
        <f>P610+NPV($N610,Q610:U610)</f>
        <v/>
      </c>
      <c r="W610" s="32">
        <f>IFERROR(IRR(P610:U610,0.1),"")</f>
        <v/>
      </c>
    </row>
    <row r="611">
      <c r="A611" s="14" t="n">
        <v>607</v>
      </c>
      <c r="B611" s="30">
        <f>RAND()*(1-2E-6)+1E-6</f>
        <v/>
      </c>
      <c r="C611" s="30">
        <f>RAND()*(1-2E-6)+1E-6</f>
        <v/>
      </c>
      <c r="D611" s="30">
        <f>RAND()*(1-2E-6)+1E-6</f>
        <v/>
      </c>
      <c r="E611" s="30">
        <f>RAND()*(1-2E-6)+1E-6</f>
        <v/>
      </c>
      <c r="F611" s="30">
        <f>RAND()*(1-2E-6)+1E-6</f>
        <v/>
      </c>
      <c r="G611" s="30">
        <f>RAND()*(1-2E-6)+1E-6</f>
        <v/>
      </c>
      <c r="H611" s="30">
        <f>RAND()*(1-2E-6)+1E-6</f>
        <v/>
      </c>
      <c r="I611" s="31">
        <f>MIN(IF(Supuestos!$H$5="",1E+99,Supuestos!$H$5),MAX(IF(Supuestos!$G$5="",-1E+99,Supuestos!$G$5),IF(Supuestos!$C$5="Normal",NORMINV(B611,Supuestos!$D$5,Supuestos!$E$5),IF(Supuestos!$C$5="Triangular",IF(B611&lt;(Supuestos!$E$5-Supuestos!$D$5)/(Supuestos!$F$5-Supuestos!$D$5),Supuestos!$D$5+SQRT(B611*(Supuestos!$F$5-Supuestos!$D$5)*(Supuestos!$E$5-Supuestos!$D$5)),Supuestos!$F$5-SQRT((1-B611)*(Supuestos!$F$5-Supuestos!$D$5)*(Supuestos!$F$5-Supuestos!$E$5))),IF(Supuestos!$C$5="Uniforme",Supuestos!$D$5+B611*(Supuestos!$E$5-Supuestos!$D$5),IF(Supuestos!$C$5="Lognormal",LOGINV(B611,LN(Supuestos!$D$5)-LN(1+Supuestos!$E$5^2/Supuestos!$D$5^2)/2,SQRT(LN(1+Supuestos!$E$5^2/Supuestos!$D$5^2))),Supuestos!$D$5))))))</f>
        <v/>
      </c>
      <c r="J611" s="31">
        <f>MIN(IF(Supuestos!$H$6="",1E+99,Supuestos!$H$6),MAX(IF(Supuestos!$G$6="",-1E+99,Supuestos!$G$6),IF(Supuestos!$C$6="Normal",NORMINV(C611,Supuestos!$D$6,Supuestos!$E$6),IF(Supuestos!$C$6="Triangular",IF(C611&lt;(Supuestos!$E$6-Supuestos!$D$6)/(Supuestos!$F$6-Supuestos!$D$6),Supuestos!$D$6+SQRT(C611*(Supuestos!$F$6-Supuestos!$D$6)*(Supuestos!$E$6-Supuestos!$D$6)),Supuestos!$F$6-SQRT((1-C611)*(Supuestos!$F$6-Supuestos!$D$6)*(Supuestos!$F$6-Supuestos!$E$6))),IF(Supuestos!$C$6="Uniforme",Supuestos!$D$6+C611*(Supuestos!$E$6-Supuestos!$D$6),IF(Supuestos!$C$6="Lognormal",LOGINV(C611,LN(Supuestos!$D$6)-LN(1+Supuestos!$E$6^2/Supuestos!$D$6^2)/2,SQRT(LN(1+Supuestos!$E$6^2/Supuestos!$D$6^2))),Supuestos!$D$6))))))</f>
        <v/>
      </c>
      <c r="K611" s="32">
        <f>MIN(IF(Supuestos!$H$7="",1E+99,Supuestos!$H$7),MAX(IF(Supuestos!$G$7="",-1E+99,Supuestos!$G$7),IF(Supuestos!$C$7="Normal",NORMINV(D611,Supuestos!$D$7,Supuestos!$E$7),IF(Supuestos!$C$7="Triangular",IF(D611&lt;(Supuestos!$E$7-Supuestos!$D$7)/(Supuestos!$F$7-Supuestos!$D$7),Supuestos!$D$7+SQRT(D611*(Supuestos!$F$7-Supuestos!$D$7)*(Supuestos!$E$7-Supuestos!$D$7)),Supuestos!$F$7-SQRT((1-D611)*(Supuestos!$F$7-Supuestos!$D$7)*(Supuestos!$F$7-Supuestos!$E$7))),IF(Supuestos!$C$7="Uniforme",Supuestos!$D$7+D611*(Supuestos!$E$7-Supuestos!$D$7),IF(Supuestos!$C$7="Lognormal",LOGINV(D611,LN(Supuestos!$D$7)-LN(1+Supuestos!$E$7^2/Supuestos!$D$7^2)/2,SQRT(LN(1+Supuestos!$E$7^2/Supuestos!$D$7^2))),Supuestos!$D$7))))))</f>
        <v/>
      </c>
      <c r="L611" s="32">
        <f>MIN(IF(Supuestos!$H$8="",1E+99,Supuestos!$H$8),MAX(IF(Supuestos!$G$8="",-1E+99,Supuestos!$G$8),IF(Supuestos!$C$8="Normal",NORMINV(E611,Supuestos!$D$8,Supuestos!$E$8),IF(Supuestos!$C$8="Triangular",IF(E611&lt;(Supuestos!$E$8-Supuestos!$D$8)/(Supuestos!$F$8-Supuestos!$D$8),Supuestos!$D$8+SQRT(E611*(Supuestos!$F$8-Supuestos!$D$8)*(Supuestos!$E$8-Supuestos!$D$8)),Supuestos!$F$8-SQRT((1-E611)*(Supuestos!$F$8-Supuestos!$D$8)*(Supuestos!$F$8-Supuestos!$E$8))),IF(Supuestos!$C$8="Uniforme",Supuestos!$D$8+E611*(Supuestos!$E$8-Supuestos!$D$8),IF(Supuestos!$C$8="Lognormal",LOGINV(E611,LN(Supuestos!$D$8)-LN(1+Supuestos!$E$8^2/Supuestos!$D$8^2)/2,SQRT(LN(1+Supuestos!$E$8^2/Supuestos!$D$8^2))),Supuestos!$D$8))))))</f>
        <v/>
      </c>
      <c r="M611" s="32">
        <f>MIN(IF(Supuestos!$H$9="",1E+99,Supuestos!$H$9),MAX(IF(Supuestos!$G$9="",-1E+99,Supuestos!$G$9),IF(Supuestos!$C$9="Normal",NORMINV(F611,Supuestos!$D$9,Supuestos!$E$9),IF(Supuestos!$C$9="Triangular",IF(F611&lt;(Supuestos!$E$9-Supuestos!$D$9)/(Supuestos!$F$9-Supuestos!$D$9),Supuestos!$D$9+SQRT(F611*(Supuestos!$F$9-Supuestos!$D$9)*(Supuestos!$E$9-Supuestos!$D$9)),Supuestos!$F$9-SQRT((1-F611)*(Supuestos!$F$9-Supuestos!$D$9)*(Supuestos!$F$9-Supuestos!$E$9))),IF(Supuestos!$C$9="Uniforme",Supuestos!$D$9+F611*(Supuestos!$E$9-Supuestos!$D$9),IF(Supuestos!$C$9="Lognormal",LOGINV(F611,LN(Supuestos!$D$9)-LN(1+Supuestos!$E$9^2/Supuestos!$D$9^2)/2,SQRT(LN(1+Supuestos!$E$9^2/Supuestos!$D$9^2))),Supuestos!$D$9))))))</f>
        <v/>
      </c>
      <c r="N611" s="32">
        <f>MIN(IF(Supuestos!$H$10="",1E+99,Supuestos!$H$10),MAX(IF(Supuestos!$G$10="",-1E+99,Supuestos!$G$10),IF(Supuestos!$C$10="Normal",NORMINV(G611,Supuestos!$D$10,Supuestos!$E$10),IF(Supuestos!$C$10="Triangular",IF(G611&lt;(Supuestos!$E$10-Supuestos!$D$10)/(Supuestos!$F$10-Supuestos!$D$10),Supuestos!$D$10+SQRT(G611*(Supuestos!$F$10-Supuestos!$D$10)*(Supuestos!$E$10-Supuestos!$D$10)),Supuestos!$F$10-SQRT((1-G611)*(Supuestos!$F$10-Supuestos!$D$10)*(Supuestos!$F$10-Supuestos!$E$10))),IF(Supuestos!$C$10="Uniforme",Supuestos!$D$10+G611*(Supuestos!$E$10-Supuestos!$D$10),IF(Supuestos!$C$10="Lognormal",LOGINV(G611,LN(Supuestos!$D$10)-LN(1+Supuestos!$E$10^2/Supuestos!$D$10^2)/2,SQRT(LN(1+Supuestos!$E$10^2/Supuestos!$D$10^2))),Supuestos!$D$10))))))</f>
        <v/>
      </c>
      <c r="O611" s="31">
        <f>MIN(IF(Supuestos!$H$11="",1E+99,Supuestos!$H$11),MAX(IF(Supuestos!$G$11="",-1E+99,Supuestos!$G$11),IF(Supuestos!$C$11="Normal",NORMINV(H611,Supuestos!$D$11,Supuestos!$E$11),IF(Supuestos!$C$11="Triangular",IF(H611&lt;(Supuestos!$E$11-Supuestos!$D$11)/(Supuestos!$F$11-Supuestos!$D$11),Supuestos!$D$11+SQRT(H611*(Supuestos!$F$11-Supuestos!$D$11)*(Supuestos!$E$11-Supuestos!$D$11)),Supuestos!$F$11-SQRT((1-H611)*(Supuestos!$F$11-Supuestos!$D$11)*(Supuestos!$F$11-Supuestos!$E$11))),IF(Supuestos!$C$11="Uniforme",Supuestos!$D$11+H611*(Supuestos!$E$11-Supuestos!$D$11),IF(Supuestos!$C$11="Lognormal",LOGINV(H611,LN(Supuestos!$D$11)-LN(1+Supuestos!$E$11^2/Supuestos!$D$11^2)/2,SQRT(LN(1+Supuestos!$E$11^2/Supuestos!$D$11^2))),Supuestos!$D$11))))))</f>
        <v/>
      </c>
      <c r="P611" s="33">
        <f>-I611</f>
        <v/>
      </c>
      <c r="Q611" s="33">
        <f>$J611*(1+$K611)^(1-1)*(1-$L611)*(1-$M611)</f>
        <v/>
      </c>
      <c r="R611" s="33">
        <f>$J611*(1+$K611)^(2-1)*(1-$L611)*(1-$M611)</f>
        <v/>
      </c>
      <c r="S611" s="33">
        <f>$J611*(1+$K611)^(3-1)*(1-$L611)*(1-$M611)</f>
        <v/>
      </c>
      <c r="T611" s="33">
        <f>$J611*(1+$K611)^(4-1)*(1-$L611)*(1-$M611)</f>
        <v/>
      </c>
      <c r="U611" s="33">
        <f>$J611*(1+$K611)^(5-1)*(1-$L611)*(1-$M611)+$O611</f>
        <v/>
      </c>
      <c r="V611" s="33">
        <f>P611+NPV($N611,Q611:U611)</f>
        <v/>
      </c>
      <c r="W611" s="32">
        <f>IFERROR(IRR(P611:U611,0.1),"")</f>
        <v/>
      </c>
    </row>
    <row r="612">
      <c r="A612" s="14" t="n">
        <v>608</v>
      </c>
      <c r="B612" s="30">
        <f>RAND()*(1-2E-6)+1E-6</f>
        <v/>
      </c>
      <c r="C612" s="30">
        <f>RAND()*(1-2E-6)+1E-6</f>
        <v/>
      </c>
      <c r="D612" s="30">
        <f>RAND()*(1-2E-6)+1E-6</f>
        <v/>
      </c>
      <c r="E612" s="30">
        <f>RAND()*(1-2E-6)+1E-6</f>
        <v/>
      </c>
      <c r="F612" s="30">
        <f>RAND()*(1-2E-6)+1E-6</f>
        <v/>
      </c>
      <c r="G612" s="30">
        <f>RAND()*(1-2E-6)+1E-6</f>
        <v/>
      </c>
      <c r="H612" s="30">
        <f>RAND()*(1-2E-6)+1E-6</f>
        <v/>
      </c>
      <c r="I612" s="31">
        <f>MIN(IF(Supuestos!$H$5="",1E+99,Supuestos!$H$5),MAX(IF(Supuestos!$G$5="",-1E+99,Supuestos!$G$5),IF(Supuestos!$C$5="Normal",NORMINV(B612,Supuestos!$D$5,Supuestos!$E$5),IF(Supuestos!$C$5="Triangular",IF(B612&lt;(Supuestos!$E$5-Supuestos!$D$5)/(Supuestos!$F$5-Supuestos!$D$5),Supuestos!$D$5+SQRT(B612*(Supuestos!$F$5-Supuestos!$D$5)*(Supuestos!$E$5-Supuestos!$D$5)),Supuestos!$F$5-SQRT((1-B612)*(Supuestos!$F$5-Supuestos!$D$5)*(Supuestos!$F$5-Supuestos!$E$5))),IF(Supuestos!$C$5="Uniforme",Supuestos!$D$5+B612*(Supuestos!$E$5-Supuestos!$D$5),IF(Supuestos!$C$5="Lognormal",LOGINV(B612,LN(Supuestos!$D$5)-LN(1+Supuestos!$E$5^2/Supuestos!$D$5^2)/2,SQRT(LN(1+Supuestos!$E$5^2/Supuestos!$D$5^2))),Supuestos!$D$5))))))</f>
        <v/>
      </c>
      <c r="J612" s="31">
        <f>MIN(IF(Supuestos!$H$6="",1E+99,Supuestos!$H$6),MAX(IF(Supuestos!$G$6="",-1E+99,Supuestos!$G$6),IF(Supuestos!$C$6="Normal",NORMINV(C612,Supuestos!$D$6,Supuestos!$E$6),IF(Supuestos!$C$6="Triangular",IF(C612&lt;(Supuestos!$E$6-Supuestos!$D$6)/(Supuestos!$F$6-Supuestos!$D$6),Supuestos!$D$6+SQRT(C612*(Supuestos!$F$6-Supuestos!$D$6)*(Supuestos!$E$6-Supuestos!$D$6)),Supuestos!$F$6-SQRT((1-C612)*(Supuestos!$F$6-Supuestos!$D$6)*(Supuestos!$F$6-Supuestos!$E$6))),IF(Supuestos!$C$6="Uniforme",Supuestos!$D$6+C612*(Supuestos!$E$6-Supuestos!$D$6),IF(Supuestos!$C$6="Lognormal",LOGINV(C612,LN(Supuestos!$D$6)-LN(1+Supuestos!$E$6^2/Supuestos!$D$6^2)/2,SQRT(LN(1+Supuestos!$E$6^2/Supuestos!$D$6^2))),Supuestos!$D$6))))))</f>
        <v/>
      </c>
      <c r="K612" s="32">
        <f>MIN(IF(Supuestos!$H$7="",1E+99,Supuestos!$H$7),MAX(IF(Supuestos!$G$7="",-1E+99,Supuestos!$G$7),IF(Supuestos!$C$7="Normal",NORMINV(D612,Supuestos!$D$7,Supuestos!$E$7),IF(Supuestos!$C$7="Triangular",IF(D612&lt;(Supuestos!$E$7-Supuestos!$D$7)/(Supuestos!$F$7-Supuestos!$D$7),Supuestos!$D$7+SQRT(D612*(Supuestos!$F$7-Supuestos!$D$7)*(Supuestos!$E$7-Supuestos!$D$7)),Supuestos!$F$7-SQRT((1-D612)*(Supuestos!$F$7-Supuestos!$D$7)*(Supuestos!$F$7-Supuestos!$E$7))),IF(Supuestos!$C$7="Uniforme",Supuestos!$D$7+D612*(Supuestos!$E$7-Supuestos!$D$7),IF(Supuestos!$C$7="Lognormal",LOGINV(D612,LN(Supuestos!$D$7)-LN(1+Supuestos!$E$7^2/Supuestos!$D$7^2)/2,SQRT(LN(1+Supuestos!$E$7^2/Supuestos!$D$7^2))),Supuestos!$D$7))))))</f>
        <v/>
      </c>
      <c r="L612" s="32">
        <f>MIN(IF(Supuestos!$H$8="",1E+99,Supuestos!$H$8),MAX(IF(Supuestos!$G$8="",-1E+99,Supuestos!$G$8),IF(Supuestos!$C$8="Normal",NORMINV(E612,Supuestos!$D$8,Supuestos!$E$8),IF(Supuestos!$C$8="Triangular",IF(E612&lt;(Supuestos!$E$8-Supuestos!$D$8)/(Supuestos!$F$8-Supuestos!$D$8),Supuestos!$D$8+SQRT(E612*(Supuestos!$F$8-Supuestos!$D$8)*(Supuestos!$E$8-Supuestos!$D$8)),Supuestos!$F$8-SQRT((1-E612)*(Supuestos!$F$8-Supuestos!$D$8)*(Supuestos!$F$8-Supuestos!$E$8))),IF(Supuestos!$C$8="Uniforme",Supuestos!$D$8+E612*(Supuestos!$E$8-Supuestos!$D$8),IF(Supuestos!$C$8="Lognormal",LOGINV(E612,LN(Supuestos!$D$8)-LN(1+Supuestos!$E$8^2/Supuestos!$D$8^2)/2,SQRT(LN(1+Supuestos!$E$8^2/Supuestos!$D$8^2))),Supuestos!$D$8))))))</f>
        <v/>
      </c>
      <c r="M612" s="32">
        <f>MIN(IF(Supuestos!$H$9="",1E+99,Supuestos!$H$9),MAX(IF(Supuestos!$G$9="",-1E+99,Supuestos!$G$9),IF(Supuestos!$C$9="Normal",NORMINV(F612,Supuestos!$D$9,Supuestos!$E$9),IF(Supuestos!$C$9="Triangular",IF(F612&lt;(Supuestos!$E$9-Supuestos!$D$9)/(Supuestos!$F$9-Supuestos!$D$9),Supuestos!$D$9+SQRT(F612*(Supuestos!$F$9-Supuestos!$D$9)*(Supuestos!$E$9-Supuestos!$D$9)),Supuestos!$F$9-SQRT((1-F612)*(Supuestos!$F$9-Supuestos!$D$9)*(Supuestos!$F$9-Supuestos!$E$9))),IF(Supuestos!$C$9="Uniforme",Supuestos!$D$9+F612*(Supuestos!$E$9-Supuestos!$D$9),IF(Supuestos!$C$9="Lognormal",LOGINV(F612,LN(Supuestos!$D$9)-LN(1+Supuestos!$E$9^2/Supuestos!$D$9^2)/2,SQRT(LN(1+Supuestos!$E$9^2/Supuestos!$D$9^2))),Supuestos!$D$9))))))</f>
        <v/>
      </c>
      <c r="N612" s="32">
        <f>MIN(IF(Supuestos!$H$10="",1E+99,Supuestos!$H$10),MAX(IF(Supuestos!$G$10="",-1E+99,Supuestos!$G$10),IF(Supuestos!$C$10="Normal",NORMINV(G612,Supuestos!$D$10,Supuestos!$E$10),IF(Supuestos!$C$10="Triangular",IF(G612&lt;(Supuestos!$E$10-Supuestos!$D$10)/(Supuestos!$F$10-Supuestos!$D$10),Supuestos!$D$10+SQRT(G612*(Supuestos!$F$10-Supuestos!$D$10)*(Supuestos!$E$10-Supuestos!$D$10)),Supuestos!$F$10-SQRT((1-G612)*(Supuestos!$F$10-Supuestos!$D$10)*(Supuestos!$F$10-Supuestos!$E$10))),IF(Supuestos!$C$10="Uniforme",Supuestos!$D$10+G612*(Supuestos!$E$10-Supuestos!$D$10),IF(Supuestos!$C$10="Lognormal",LOGINV(G612,LN(Supuestos!$D$10)-LN(1+Supuestos!$E$10^2/Supuestos!$D$10^2)/2,SQRT(LN(1+Supuestos!$E$10^2/Supuestos!$D$10^2))),Supuestos!$D$10))))))</f>
        <v/>
      </c>
      <c r="O612" s="31">
        <f>MIN(IF(Supuestos!$H$11="",1E+99,Supuestos!$H$11),MAX(IF(Supuestos!$G$11="",-1E+99,Supuestos!$G$11),IF(Supuestos!$C$11="Normal",NORMINV(H612,Supuestos!$D$11,Supuestos!$E$11),IF(Supuestos!$C$11="Triangular",IF(H612&lt;(Supuestos!$E$11-Supuestos!$D$11)/(Supuestos!$F$11-Supuestos!$D$11),Supuestos!$D$11+SQRT(H612*(Supuestos!$F$11-Supuestos!$D$11)*(Supuestos!$E$11-Supuestos!$D$11)),Supuestos!$F$11-SQRT((1-H612)*(Supuestos!$F$11-Supuestos!$D$11)*(Supuestos!$F$11-Supuestos!$E$11))),IF(Supuestos!$C$11="Uniforme",Supuestos!$D$11+H612*(Supuestos!$E$11-Supuestos!$D$11),IF(Supuestos!$C$11="Lognormal",LOGINV(H612,LN(Supuestos!$D$11)-LN(1+Supuestos!$E$11^2/Supuestos!$D$11^2)/2,SQRT(LN(1+Supuestos!$E$11^2/Supuestos!$D$11^2))),Supuestos!$D$11))))))</f>
        <v/>
      </c>
      <c r="P612" s="33">
        <f>-I612</f>
        <v/>
      </c>
      <c r="Q612" s="33">
        <f>$J612*(1+$K612)^(1-1)*(1-$L612)*(1-$M612)</f>
        <v/>
      </c>
      <c r="R612" s="33">
        <f>$J612*(1+$K612)^(2-1)*(1-$L612)*(1-$M612)</f>
        <v/>
      </c>
      <c r="S612" s="33">
        <f>$J612*(1+$K612)^(3-1)*(1-$L612)*(1-$M612)</f>
        <v/>
      </c>
      <c r="T612" s="33">
        <f>$J612*(1+$K612)^(4-1)*(1-$L612)*(1-$M612)</f>
        <v/>
      </c>
      <c r="U612" s="33">
        <f>$J612*(1+$K612)^(5-1)*(1-$L612)*(1-$M612)+$O612</f>
        <v/>
      </c>
      <c r="V612" s="33">
        <f>P612+NPV($N612,Q612:U612)</f>
        <v/>
      </c>
      <c r="W612" s="32">
        <f>IFERROR(IRR(P612:U612,0.1),"")</f>
        <v/>
      </c>
    </row>
    <row r="613">
      <c r="A613" s="14" t="n">
        <v>609</v>
      </c>
      <c r="B613" s="30">
        <f>RAND()*(1-2E-6)+1E-6</f>
        <v/>
      </c>
      <c r="C613" s="30">
        <f>RAND()*(1-2E-6)+1E-6</f>
        <v/>
      </c>
      <c r="D613" s="30">
        <f>RAND()*(1-2E-6)+1E-6</f>
        <v/>
      </c>
      <c r="E613" s="30">
        <f>RAND()*(1-2E-6)+1E-6</f>
        <v/>
      </c>
      <c r="F613" s="30">
        <f>RAND()*(1-2E-6)+1E-6</f>
        <v/>
      </c>
      <c r="G613" s="30">
        <f>RAND()*(1-2E-6)+1E-6</f>
        <v/>
      </c>
      <c r="H613" s="30">
        <f>RAND()*(1-2E-6)+1E-6</f>
        <v/>
      </c>
      <c r="I613" s="31">
        <f>MIN(IF(Supuestos!$H$5="",1E+99,Supuestos!$H$5),MAX(IF(Supuestos!$G$5="",-1E+99,Supuestos!$G$5),IF(Supuestos!$C$5="Normal",NORMINV(B613,Supuestos!$D$5,Supuestos!$E$5),IF(Supuestos!$C$5="Triangular",IF(B613&lt;(Supuestos!$E$5-Supuestos!$D$5)/(Supuestos!$F$5-Supuestos!$D$5),Supuestos!$D$5+SQRT(B613*(Supuestos!$F$5-Supuestos!$D$5)*(Supuestos!$E$5-Supuestos!$D$5)),Supuestos!$F$5-SQRT((1-B613)*(Supuestos!$F$5-Supuestos!$D$5)*(Supuestos!$F$5-Supuestos!$E$5))),IF(Supuestos!$C$5="Uniforme",Supuestos!$D$5+B613*(Supuestos!$E$5-Supuestos!$D$5),IF(Supuestos!$C$5="Lognormal",LOGINV(B613,LN(Supuestos!$D$5)-LN(1+Supuestos!$E$5^2/Supuestos!$D$5^2)/2,SQRT(LN(1+Supuestos!$E$5^2/Supuestos!$D$5^2))),Supuestos!$D$5))))))</f>
        <v/>
      </c>
      <c r="J613" s="31">
        <f>MIN(IF(Supuestos!$H$6="",1E+99,Supuestos!$H$6),MAX(IF(Supuestos!$G$6="",-1E+99,Supuestos!$G$6),IF(Supuestos!$C$6="Normal",NORMINV(C613,Supuestos!$D$6,Supuestos!$E$6),IF(Supuestos!$C$6="Triangular",IF(C613&lt;(Supuestos!$E$6-Supuestos!$D$6)/(Supuestos!$F$6-Supuestos!$D$6),Supuestos!$D$6+SQRT(C613*(Supuestos!$F$6-Supuestos!$D$6)*(Supuestos!$E$6-Supuestos!$D$6)),Supuestos!$F$6-SQRT((1-C613)*(Supuestos!$F$6-Supuestos!$D$6)*(Supuestos!$F$6-Supuestos!$E$6))),IF(Supuestos!$C$6="Uniforme",Supuestos!$D$6+C613*(Supuestos!$E$6-Supuestos!$D$6),IF(Supuestos!$C$6="Lognormal",LOGINV(C613,LN(Supuestos!$D$6)-LN(1+Supuestos!$E$6^2/Supuestos!$D$6^2)/2,SQRT(LN(1+Supuestos!$E$6^2/Supuestos!$D$6^2))),Supuestos!$D$6))))))</f>
        <v/>
      </c>
      <c r="K613" s="32">
        <f>MIN(IF(Supuestos!$H$7="",1E+99,Supuestos!$H$7),MAX(IF(Supuestos!$G$7="",-1E+99,Supuestos!$G$7),IF(Supuestos!$C$7="Normal",NORMINV(D613,Supuestos!$D$7,Supuestos!$E$7),IF(Supuestos!$C$7="Triangular",IF(D613&lt;(Supuestos!$E$7-Supuestos!$D$7)/(Supuestos!$F$7-Supuestos!$D$7),Supuestos!$D$7+SQRT(D613*(Supuestos!$F$7-Supuestos!$D$7)*(Supuestos!$E$7-Supuestos!$D$7)),Supuestos!$F$7-SQRT((1-D613)*(Supuestos!$F$7-Supuestos!$D$7)*(Supuestos!$F$7-Supuestos!$E$7))),IF(Supuestos!$C$7="Uniforme",Supuestos!$D$7+D613*(Supuestos!$E$7-Supuestos!$D$7),IF(Supuestos!$C$7="Lognormal",LOGINV(D613,LN(Supuestos!$D$7)-LN(1+Supuestos!$E$7^2/Supuestos!$D$7^2)/2,SQRT(LN(1+Supuestos!$E$7^2/Supuestos!$D$7^2))),Supuestos!$D$7))))))</f>
        <v/>
      </c>
      <c r="L613" s="32">
        <f>MIN(IF(Supuestos!$H$8="",1E+99,Supuestos!$H$8),MAX(IF(Supuestos!$G$8="",-1E+99,Supuestos!$G$8),IF(Supuestos!$C$8="Normal",NORMINV(E613,Supuestos!$D$8,Supuestos!$E$8),IF(Supuestos!$C$8="Triangular",IF(E613&lt;(Supuestos!$E$8-Supuestos!$D$8)/(Supuestos!$F$8-Supuestos!$D$8),Supuestos!$D$8+SQRT(E613*(Supuestos!$F$8-Supuestos!$D$8)*(Supuestos!$E$8-Supuestos!$D$8)),Supuestos!$F$8-SQRT((1-E613)*(Supuestos!$F$8-Supuestos!$D$8)*(Supuestos!$F$8-Supuestos!$E$8))),IF(Supuestos!$C$8="Uniforme",Supuestos!$D$8+E613*(Supuestos!$E$8-Supuestos!$D$8),IF(Supuestos!$C$8="Lognormal",LOGINV(E613,LN(Supuestos!$D$8)-LN(1+Supuestos!$E$8^2/Supuestos!$D$8^2)/2,SQRT(LN(1+Supuestos!$E$8^2/Supuestos!$D$8^2))),Supuestos!$D$8))))))</f>
        <v/>
      </c>
      <c r="M613" s="32">
        <f>MIN(IF(Supuestos!$H$9="",1E+99,Supuestos!$H$9),MAX(IF(Supuestos!$G$9="",-1E+99,Supuestos!$G$9),IF(Supuestos!$C$9="Normal",NORMINV(F613,Supuestos!$D$9,Supuestos!$E$9),IF(Supuestos!$C$9="Triangular",IF(F613&lt;(Supuestos!$E$9-Supuestos!$D$9)/(Supuestos!$F$9-Supuestos!$D$9),Supuestos!$D$9+SQRT(F613*(Supuestos!$F$9-Supuestos!$D$9)*(Supuestos!$E$9-Supuestos!$D$9)),Supuestos!$F$9-SQRT((1-F613)*(Supuestos!$F$9-Supuestos!$D$9)*(Supuestos!$F$9-Supuestos!$E$9))),IF(Supuestos!$C$9="Uniforme",Supuestos!$D$9+F613*(Supuestos!$E$9-Supuestos!$D$9),IF(Supuestos!$C$9="Lognormal",LOGINV(F613,LN(Supuestos!$D$9)-LN(1+Supuestos!$E$9^2/Supuestos!$D$9^2)/2,SQRT(LN(1+Supuestos!$E$9^2/Supuestos!$D$9^2))),Supuestos!$D$9))))))</f>
        <v/>
      </c>
      <c r="N613" s="32">
        <f>MIN(IF(Supuestos!$H$10="",1E+99,Supuestos!$H$10),MAX(IF(Supuestos!$G$10="",-1E+99,Supuestos!$G$10),IF(Supuestos!$C$10="Normal",NORMINV(G613,Supuestos!$D$10,Supuestos!$E$10),IF(Supuestos!$C$10="Triangular",IF(G613&lt;(Supuestos!$E$10-Supuestos!$D$10)/(Supuestos!$F$10-Supuestos!$D$10),Supuestos!$D$10+SQRT(G613*(Supuestos!$F$10-Supuestos!$D$10)*(Supuestos!$E$10-Supuestos!$D$10)),Supuestos!$F$10-SQRT((1-G613)*(Supuestos!$F$10-Supuestos!$D$10)*(Supuestos!$F$10-Supuestos!$E$10))),IF(Supuestos!$C$10="Uniforme",Supuestos!$D$10+G613*(Supuestos!$E$10-Supuestos!$D$10),IF(Supuestos!$C$10="Lognormal",LOGINV(G613,LN(Supuestos!$D$10)-LN(1+Supuestos!$E$10^2/Supuestos!$D$10^2)/2,SQRT(LN(1+Supuestos!$E$10^2/Supuestos!$D$10^2))),Supuestos!$D$10))))))</f>
        <v/>
      </c>
      <c r="O613" s="31">
        <f>MIN(IF(Supuestos!$H$11="",1E+99,Supuestos!$H$11),MAX(IF(Supuestos!$G$11="",-1E+99,Supuestos!$G$11),IF(Supuestos!$C$11="Normal",NORMINV(H613,Supuestos!$D$11,Supuestos!$E$11),IF(Supuestos!$C$11="Triangular",IF(H613&lt;(Supuestos!$E$11-Supuestos!$D$11)/(Supuestos!$F$11-Supuestos!$D$11),Supuestos!$D$11+SQRT(H613*(Supuestos!$F$11-Supuestos!$D$11)*(Supuestos!$E$11-Supuestos!$D$11)),Supuestos!$F$11-SQRT((1-H613)*(Supuestos!$F$11-Supuestos!$D$11)*(Supuestos!$F$11-Supuestos!$E$11))),IF(Supuestos!$C$11="Uniforme",Supuestos!$D$11+H613*(Supuestos!$E$11-Supuestos!$D$11),IF(Supuestos!$C$11="Lognormal",LOGINV(H613,LN(Supuestos!$D$11)-LN(1+Supuestos!$E$11^2/Supuestos!$D$11^2)/2,SQRT(LN(1+Supuestos!$E$11^2/Supuestos!$D$11^2))),Supuestos!$D$11))))))</f>
        <v/>
      </c>
      <c r="P613" s="33">
        <f>-I613</f>
        <v/>
      </c>
      <c r="Q613" s="33">
        <f>$J613*(1+$K613)^(1-1)*(1-$L613)*(1-$M613)</f>
        <v/>
      </c>
      <c r="R613" s="33">
        <f>$J613*(1+$K613)^(2-1)*(1-$L613)*(1-$M613)</f>
        <v/>
      </c>
      <c r="S613" s="33">
        <f>$J613*(1+$K613)^(3-1)*(1-$L613)*(1-$M613)</f>
        <v/>
      </c>
      <c r="T613" s="33">
        <f>$J613*(1+$K613)^(4-1)*(1-$L613)*(1-$M613)</f>
        <v/>
      </c>
      <c r="U613" s="33">
        <f>$J613*(1+$K613)^(5-1)*(1-$L613)*(1-$M613)+$O613</f>
        <v/>
      </c>
      <c r="V613" s="33">
        <f>P613+NPV($N613,Q613:U613)</f>
        <v/>
      </c>
      <c r="W613" s="32">
        <f>IFERROR(IRR(P613:U613,0.1),"")</f>
        <v/>
      </c>
    </row>
    <row r="614">
      <c r="A614" s="14" t="n">
        <v>610</v>
      </c>
      <c r="B614" s="30">
        <f>RAND()*(1-2E-6)+1E-6</f>
        <v/>
      </c>
      <c r="C614" s="30">
        <f>RAND()*(1-2E-6)+1E-6</f>
        <v/>
      </c>
      <c r="D614" s="30">
        <f>RAND()*(1-2E-6)+1E-6</f>
        <v/>
      </c>
      <c r="E614" s="30">
        <f>RAND()*(1-2E-6)+1E-6</f>
        <v/>
      </c>
      <c r="F614" s="30">
        <f>RAND()*(1-2E-6)+1E-6</f>
        <v/>
      </c>
      <c r="G614" s="30">
        <f>RAND()*(1-2E-6)+1E-6</f>
        <v/>
      </c>
      <c r="H614" s="30">
        <f>RAND()*(1-2E-6)+1E-6</f>
        <v/>
      </c>
      <c r="I614" s="31">
        <f>MIN(IF(Supuestos!$H$5="",1E+99,Supuestos!$H$5),MAX(IF(Supuestos!$G$5="",-1E+99,Supuestos!$G$5),IF(Supuestos!$C$5="Normal",NORMINV(B614,Supuestos!$D$5,Supuestos!$E$5),IF(Supuestos!$C$5="Triangular",IF(B614&lt;(Supuestos!$E$5-Supuestos!$D$5)/(Supuestos!$F$5-Supuestos!$D$5),Supuestos!$D$5+SQRT(B614*(Supuestos!$F$5-Supuestos!$D$5)*(Supuestos!$E$5-Supuestos!$D$5)),Supuestos!$F$5-SQRT((1-B614)*(Supuestos!$F$5-Supuestos!$D$5)*(Supuestos!$F$5-Supuestos!$E$5))),IF(Supuestos!$C$5="Uniforme",Supuestos!$D$5+B614*(Supuestos!$E$5-Supuestos!$D$5),IF(Supuestos!$C$5="Lognormal",LOGINV(B614,LN(Supuestos!$D$5)-LN(1+Supuestos!$E$5^2/Supuestos!$D$5^2)/2,SQRT(LN(1+Supuestos!$E$5^2/Supuestos!$D$5^2))),Supuestos!$D$5))))))</f>
        <v/>
      </c>
      <c r="J614" s="31">
        <f>MIN(IF(Supuestos!$H$6="",1E+99,Supuestos!$H$6),MAX(IF(Supuestos!$G$6="",-1E+99,Supuestos!$G$6),IF(Supuestos!$C$6="Normal",NORMINV(C614,Supuestos!$D$6,Supuestos!$E$6),IF(Supuestos!$C$6="Triangular",IF(C614&lt;(Supuestos!$E$6-Supuestos!$D$6)/(Supuestos!$F$6-Supuestos!$D$6),Supuestos!$D$6+SQRT(C614*(Supuestos!$F$6-Supuestos!$D$6)*(Supuestos!$E$6-Supuestos!$D$6)),Supuestos!$F$6-SQRT((1-C614)*(Supuestos!$F$6-Supuestos!$D$6)*(Supuestos!$F$6-Supuestos!$E$6))),IF(Supuestos!$C$6="Uniforme",Supuestos!$D$6+C614*(Supuestos!$E$6-Supuestos!$D$6),IF(Supuestos!$C$6="Lognormal",LOGINV(C614,LN(Supuestos!$D$6)-LN(1+Supuestos!$E$6^2/Supuestos!$D$6^2)/2,SQRT(LN(1+Supuestos!$E$6^2/Supuestos!$D$6^2))),Supuestos!$D$6))))))</f>
        <v/>
      </c>
      <c r="K614" s="32">
        <f>MIN(IF(Supuestos!$H$7="",1E+99,Supuestos!$H$7),MAX(IF(Supuestos!$G$7="",-1E+99,Supuestos!$G$7),IF(Supuestos!$C$7="Normal",NORMINV(D614,Supuestos!$D$7,Supuestos!$E$7),IF(Supuestos!$C$7="Triangular",IF(D614&lt;(Supuestos!$E$7-Supuestos!$D$7)/(Supuestos!$F$7-Supuestos!$D$7),Supuestos!$D$7+SQRT(D614*(Supuestos!$F$7-Supuestos!$D$7)*(Supuestos!$E$7-Supuestos!$D$7)),Supuestos!$F$7-SQRT((1-D614)*(Supuestos!$F$7-Supuestos!$D$7)*(Supuestos!$F$7-Supuestos!$E$7))),IF(Supuestos!$C$7="Uniforme",Supuestos!$D$7+D614*(Supuestos!$E$7-Supuestos!$D$7),IF(Supuestos!$C$7="Lognormal",LOGINV(D614,LN(Supuestos!$D$7)-LN(1+Supuestos!$E$7^2/Supuestos!$D$7^2)/2,SQRT(LN(1+Supuestos!$E$7^2/Supuestos!$D$7^2))),Supuestos!$D$7))))))</f>
        <v/>
      </c>
      <c r="L614" s="32">
        <f>MIN(IF(Supuestos!$H$8="",1E+99,Supuestos!$H$8),MAX(IF(Supuestos!$G$8="",-1E+99,Supuestos!$G$8),IF(Supuestos!$C$8="Normal",NORMINV(E614,Supuestos!$D$8,Supuestos!$E$8),IF(Supuestos!$C$8="Triangular",IF(E614&lt;(Supuestos!$E$8-Supuestos!$D$8)/(Supuestos!$F$8-Supuestos!$D$8),Supuestos!$D$8+SQRT(E614*(Supuestos!$F$8-Supuestos!$D$8)*(Supuestos!$E$8-Supuestos!$D$8)),Supuestos!$F$8-SQRT((1-E614)*(Supuestos!$F$8-Supuestos!$D$8)*(Supuestos!$F$8-Supuestos!$E$8))),IF(Supuestos!$C$8="Uniforme",Supuestos!$D$8+E614*(Supuestos!$E$8-Supuestos!$D$8),IF(Supuestos!$C$8="Lognormal",LOGINV(E614,LN(Supuestos!$D$8)-LN(1+Supuestos!$E$8^2/Supuestos!$D$8^2)/2,SQRT(LN(1+Supuestos!$E$8^2/Supuestos!$D$8^2))),Supuestos!$D$8))))))</f>
        <v/>
      </c>
      <c r="M614" s="32">
        <f>MIN(IF(Supuestos!$H$9="",1E+99,Supuestos!$H$9),MAX(IF(Supuestos!$G$9="",-1E+99,Supuestos!$G$9),IF(Supuestos!$C$9="Normal",NORMINV(F614,Supuestos!$D$9,Supuestos!$E$9),IF(Supuestos!$C$9="Triangular",IF(F614&lt;(Supuestos!$E$9-Supuestos!$D$9)/(Supuestos!$F$9-Supuestos!$D$9),Supuestos!$D$9+SQRT(F614*(Supuestos!$F$9-Supuestos!$D$9)*(Supuestos!$E$9-Supuestos!$D$9)),Supuestos!$F$9-SQRT((1-F614)*(Supuestos!$F$9-Supuestos!$D$9)*(Supuestos!$F$9-Supuestos!$E$9))),IF(Supuestos!$C$9="Uniforme",Supuestos!$D$9+F614*(Supuestos!$E$9-Supuestos!$D$9),IF(Supuestos!$C$9="Lognormal",LOGINV(F614,LN(Supuestos!$D$9)-LN(1+Supuestos!$E$9^2/Supuestos!$D$9^2)/2,SQRT(LN(1+Supuestos!$E$9^2/Supuestos!$D$9^2))),Supuestos!$D$9))))))</f>
        <v/>
      </c>
      <c r="N614" s="32">
        <f>MIN(IF(Supuestos!$H$10="",1E+99,Supuestos!$H$10),MAX(IF(Supuestos!$G$10="",-1E+99,Supuestos!$G$10),IF(Supuestos!$C$10="Normal",NORMINV(G614,Supuestos!$D$10,Supuestos!$E$10),IF(Supuestos!$C$10="Triangular",IF(G614&lt;(Supuestos!$E$10-Supuestos!$D$10)/(Supuestos!$F$10-Supuestos!$D$10),Supuestos!$D$10+SQRT(G614*(Supuestos!$F$10-Supuestos!$D$10)*(Supuestos!$E$10-Supuestos!$D$10)),Supuestos!$F$10-SQRT((1-G614)*(Supuestos!$F$10-Supuestos!$D$10)*(Supuestos!$F$10-Supuestos!$E$10))),IF(Supuestos!$C$10="Uniforme",Supuestos!$D$10+G614*(Supuestos!$E$10-Supuestos!$D$10),IF(Supuestos!$C$10="Lognormal",LOGINV(G614,LN(Supuestos!$D$10)-LN(1+Supuestos!$E$10^2/Supuestos!$D$10^2)/2,SQRT(LN(1+Supuestos!$E$10^2/Supuestos!$D$10^2))),Supuestos!$D$10))))))</f>
        <v/>
      </c>
      <c r="O614" s="31">
        <f>MIN(IF(Supuestos!$H$11="",1E+99,Supuestos!$H$11),MAX(IF(Supuestos!$G$11="",-1E+99,Supuestos!$G$11),IF(Supuestos!$C$11="Normal",NORMINV(H614,Supuestos!$D$11,Supuestos!$E$11),IF(Supuestos!$C$11="Triangular",IF(H614&lt;(Supuestos!$E$11-Supuestos!$D$11)/(Supuestos!$F$11-Supuestos!$D$11),Supuestos!$D$11+SQRT(H614*(Supuestos!$F$11-Supuestos!$D$11)*(Supuestos!$E$11-Supuestos!$D$11)),Supuestos!$F$11-SQRT((1-H614)*(Supuestos!$F$11-Supuestos!$D$11)*(Supuestos!$F$11-Supuestos!$E$11))),IF(Supuestos!$C$11="Uniforme",Supuestos!$D$11+H614*(Supuestos!$E$11-Supuestos!$D$11),IF(Supuestos!$C$11="Lognormal",LOGINV(H614,LN(Supuestos!$D$11)-LN(1+Supuestos!$E$11^2/Supuestos!$D$11^2)/2,SQRT(LN(1+Supuestos!$E$11^2/Supuestos!$D$11^2))),Supuestos!$D$11))))))</f>
        <v/>
      </c>
      <c r="P614" s="33">
        <f>-I614</f>
        <v/>
      </c>
      <c r="Q614" s="33">
        <f>$J614*(1+$K614)^(1-1)*(1-$L614)*(1-$M614)</f>
        <v/>
      </c>
      <c r="R614" s="33">
        <f>$J614*(1+$K614)^(2-1)*(1-$L614)*(1-$M614)</f>
        <v/>
      </c>
      <c r="S614" s="33">
        <f>$J614*(1+$K614)^(3-1)*(1-$L614)*(1-$M614)</f>
        <v/>
      </c>
      <c r="T614" s="33">
        <f>$J614*(1+$K614)^(4-1)*(1-$L614)*(1-$M614)</f>
        <v/>
      </c>
      <c r="U614" s="33">
        <f>$J614*(1+$K614)^(5-1)*(1-$L614)*(1-$M614)+$O614</f>
        <v/>
      </c>
      <c r="V614" s="33">
        <f>P614+NPV($N614,Q614:U614)</f>
        <v/>
      </c>
      <c r="W614" s="32">
        <f>IFERROR(IRR(P614:U614,0.1),"")</f>
        <v/>
      </c>
    </row>
    <row r="615">
      <c r="A615" s="14" t="n">
        <v>611</v>
      </c>
      <c r="B615" s="30">
        <f>RAND()*(1-2E-6)+1E-6</f>
        <v/>
      </c>
      <c r="C615" s="30">
        <f>RAND()*(1-2E-6)+1E-6</f>
        <v/>
      </c>
      <c r="D615" s="30">
        <f>RAND()*(1-2E-6)+1E-6</f>
        <v/>
      </c>
      <c r="E615" s="30">
        <f>RAND()*(1-2E-6)+1E-6</f>
        <v/>
      </c>
      <c r="F615" s="30">
        <f>RAND()*(1-2E-6)+1E-6</f>
        <v/>
      </c>
      <c r="G615" s="30">
        <f>RAND()*(1-2E-6)+1E-6</f>
        <v/>
      </c>
      <c r="H615" s="30">
        <f>RAND()*(1-2E-6)+1E-6</f>
        <v/>
      </c>
      <c r="I615" s="31">
        <f>MIN(IF(Supuestos!$H$5="",1E+99,Supuestos!$H$5),MAX(IF(Supuestos!$G$5="",-1E+99,Supuestos!$G$5),IF(Supuestos!$C$5="Normal",NORMINV(B615,Supuestos!$D$5,Supuestos!$E$5),IF(Supuestos!$C$5="Triangular",IF(B615&lt;(Supuestos!$E$5-Supuestos!$D$5)/(Supuestos!$F$5-Supuestos!$D$5),Supuestos!$D$5+SQRT(B615*(Supuestos!$F$5-Supuestos!$D$5)*(Supuestos!$E$5-Supuestos!$D$5)),Supuestos!$F$5-SQRT((1-B615)*(Supuestos!$F$5-Supuestos!$D$5)*(Supuestos!$F$5-Supuestos!$E$5))),IF(Supuestos!$C$5="Uniforme",Supuestos!$D$5+B615*(Supuestos!$E$5-Supuestos!$D$5),IF(Supuestos!$C$5="Lognormal",LOGINV(B615,LN(Supuestos!$D$5)-LN(1+Supuestos!$E$5^2/Supuestos!$D$5^2)/2,SQRT(LN(1+Supuestos!$E$5^2/Supuestos!$D$5^2))),Supuestos!$D$5))))))</f>
        <v/>
      </c>
      <c r="J615" s="31">
        <f>MIN(IF(Supuestos!$H$6="",1E+99,Supuestos!$H$6),MAX(IF(Supuestos!$G$6="",-1E+99,Supuestos!$G$6),IF(Supuestos!$C$6="Normal",NORMINV(C615,Supuestos!$D$6,Supuestos!$E$6),IF(Supuestos!$C$6="Triangular",IF(C615&lt;(Supuestos!$E$6-Supuestos!$D$6)/(Supuestos!$F$6-Supuestos!$D$6),Supuestos!$D$6+SQRT(C615*(Supuestos!$F$6-Supuestos!$D$6)*(Supuestos!$E$6-Supuestos!$D$6)),Supuestos!$F$6-SQRT((1-C615)*(Supuestos!$F$6-Supuestos!$D$6)*(Supuestos!$F$6-Supuestos!$E$6))),IF(Supuestos!$C$6="Uniforme",Supuestos!$D$6+C615*(Supuestos!$E$6-Supuestos!$D$6),IF(Supuestos!$C$6="Lognormal",LOGINV(C615,LN(Supuestos!$D$6)-LN(1+Supuestos!$E$6^2/Supuestos!$D$6^2)/2,SQRT(LN(1+Supuestos!$E$6^2/Supuestos!$D$6^2))),Supuestos!$D$6))))))</f>
        <v/>
      </c>
      <c r="K615" s="32">
        <f>MIN(IF(Supuestos!$H$7="",1E+99,Supuestos!$H$7),MAX(IF(Supuestos!$G$7="",-1E+99,Supuestos!$G$7),IF(Supuestos!$C$7="Normal",NORMINV(D615,Supuestos!$D$7,Supuestos!$E$7),IF(Supuestos!$C$7="Triangular",IF(D615&lt;(Supuestos!$E$7-Supuestos!$D$7)/(Supuestos!$F$7-Supuestos!$D$7),Supuestos!$D$7+SQRT(D615*(Supuestos!$F$7-Supuestos!$D$7)*(Supuestos!$E$7-Supuestos!$D$7)),Supuestos!$F$7-SQRT((1-D615)*(Supuestos!$F$7-Supuestos!$D$7)*(Supuestos!$F$7-Supuestos!$E$7))),IF(Supuestos!$C$7="Uniforme",Supuestos!$D$7+D615*(Supuestos!$E$7-Supuestos!$D$7),IF(Supuestos!$C$7="Lognormal",LOGINV(D615,LN(Supuestos!$D$7)-LN(1+Supuestos!$E$7^2/Supuestos!$D$7^2)/2,SQRT(LN(1+Supuestos!$E$7^2/Supuestos!$D$7^2))),Supuestos!$D$7))))))</f>
        <v/>
      </c>
      <c r="L615" s="32">
        <f>MIN(IF(Supuestos!$H$8="",1E+99,Supuestos!$H$8),MAX(IF(Supuestos!$G$8="",-1E+99,Supuestos!$G$8),IF(Supuestos!$C$8="Normal",NORMINV(E615,Supuestos!$D$8,Supuestos!$E$8),IF(Supuestos!$C$8="Triangular",IF(E615&lt;(Supuestos!$E$8-Supuestos!$D$8)/(Supuestos!$F$8-Supuestos!$D$8),Supuestos!$D$8+SQRT(E615*(Supuestos!$F$8-Supuestos!$D$8)*(Supuestos!$E$8-Supuestos!$D$8)),Supuestos!$F$8-SQRT((1-E615)*(Supuestos!$F$8-Supuestos!$D$8)*(Supuestos!$F$8-Supuestos!$E$8))),IF(Supuestos!$C$8="Uniforme",Supuestos!$D$8+E615*(Supuestos!$E$8-Supuestos!$D$8),IF(Supuestos!$C$8="Lognormal",LOGINV(E615,LN(Supuestos!$D$8)-LN(1+Supuestos!$E$8^2/Supuestos!$D$8^2)/2,SQRT(LN(1+Supuestos!$E$8^2/Supuestos!$D$8^2))),Supuestos!$D$8))))))</f>
        <v/>
      </c>
      <c r="M615" s="32">
        <f>MIN(IF(Supuestos!$H$9="",1E+99,Supuestos!$H$9),MAX(IF(Supuestos!$G$9="",-1E+99,Supuestos!$G$9),IF(Supuestos!$C$9="Normal",NORMINV(F615,Supuestos!$D$9,Supuestos!$E$9),IF(Supuestos!$C$9="Triangular",IF(F615&lt;(Supuestos!$E$9-Supuestos!$D$9)/(Supuestos!$F$9-Supuestos!$D$9),Supuestos!$D$9+SQRT(F615*(Supuestos!$F$9-Supuestos!$D$9)*(Supuestos!$E$9-Supuestos!$D$9)),Supuestos!$F$9-SQRT((1-F615)*(Supuestos!$F$9-Supuestos!$D$9)*(Supuestos!$F$9-Supuestos!$E$9))),IF(Supuestos!$C$9="Uniforme",Supuestos!$D$9+F615*(Supuestos!$E$9-Supuestos!$D$9),IF(Supuestos!$C$9="Lognormal",LOGINV(F615,LN(Supuestos!$D$9)-LN(1+Supuestos!$E$9^2/Supuestos!$D$9^2)/2,SQRT(LN(1+Supuestos!$E$9^2/Supuestos!$D$9^2))),Supuestos!$D$9))))))</f>
        <v/>
      </c>
      <c r="N615" s="32">
        <f>MIN(IF(Supuestos!$H$10="",1E+99,Supuestos!$H$10),MAX(IF(Supuestos!$G$10="",-1E+99,Supuestos!$G$10),IF(Supuestos!$C$10="Normal",NORMINV(G615,Supuestos!$D$10,Supuestos!$E$10),IF(Supuestos!$C$10="Triangular",IF(G615&lt;(Supuestos!$E$10-Supuestos!$D$10)/(Supuestos!$F$10-Supuestos!$D$10),Supuestos!$D$10+SQRT(G615*(Supuestos!$F$10-Supuestos!$D$10)*(Supuestos!$E$10-Supuestos!$D$10)),Supuestos!$F$10-SQRT((1-G615)*(Supuestos!$F$10-Supuestos!$D$10)*(Supuestos!$F$10-Supuestos!$E$10))),IF(Supuestos!$C$10="Uniforme",Supuestos!$D$10+G615*(Supuestos!$E$10-Supuestos!$D$10),IF(Supuestos!$C$10="Lognormal",LOGINV(G615,LN(Supuestos!$D$10)-LN(1+Supuestos!$E$10^2/Supuestos!$D$10^2)/2,SQRT(LN(1+Supuestos!$E$10^2/Supuestos!$D$10^2))),Supuestos!$D$10))))))</f>
        <v/>
      </c>
      <c r="O615" s="31">
        <f>MIN(IF(Supuestos!$H$11="",1E+99,Supuestos!$H$11),MAX(IF(Supuestos!$G$11="",-1E+99,Supuestos!$G$11),IF(Supuestos!$C$11="Normal",NORMINV(H615,Supuestos!$D$11,Supuestos!$E$11),IF(Supuestos!$C$11="Triangular",IF(H615&lt;(Supuestos!$E$11-Supuestos!$D$11)/(Supuestos!$F$11-Supuestos!$D$11),Supuestos!$D$11+SQRT(H615*(Supuestos!$F$11-Supuestos!$D$11)*(Supuestos!$E$11-Supuestos!$D$11)),Supuestos!$F$11-SQRT((1-H615)*(Supuestos!$F$11-Supuestos!$D$11)*(Supuestos!$F$11-Supuestos!$E$11))),IF(Supuestos!$C$11="Uniforme",Supuestos!$D$11+H615*(Supuestos!$E$11-Supuestos!$D$11),IF(Supuestos!$C$11="Lognormal",LOGINV(H615,LN(Supuestos!$D$11)-LN(1+Supuestos!$E$11^2/Supuestos!$D$11^2)/2,SQRT(LN(1+Supuestos!$E$11^2/Supuestos!$D$11^2))),Supuestos!$D$11))))))</f>
        <v/>
      </c>
      <c r="P615" s="33">
        <f>-I615</f>
        <v/>
      </c>
      <c r="Q615" s="33">
        <f>$J615*(1+$K615)^(1-1)*(1-$L615)*(1-$M615)</f>
        <v/>
      </c>
      <c r="R615" s="33">
        <f>$J615*(1+$K615)^(2-1)*(1-$L615)*(1-$M615)</f>
        <v/>
      </c>
      <c r="S615" s="33">
        <f>$J615*(1+$K615)^(3-1)*(1-$L615)*(1-$M615)</f>
        <v/>
      </c>
      <c r="T615" s="33">
        <f>$J615*(1+$K615)^(4-1)*(1-$L615)*(1-$M615)</f>
        <v/>
      </c>
      <c r="U615" s="33">
        <f>$J615*(1+$K615)^(5-1)*(1-$L615)*(1-$M615)+$O615</f>
        <v/>
      </c>
      <c r="V615" s="33">
        <f>P615+NPV($N615,Q615:U615)</f>
        <v/>
      </c>
      <c r="W615" s="32">
        <f>IFERROR(IRR(P615:U615,0.1),"")</f>
        <v/>
      </c>
    </row>
    <row r="616">
      <c r="A616" s="14" t="n">
        <v>612</v>
      </c>
      <c r="B616" s="30">
        <f>RAND()*(1-2E-6)+1E-6</f>
        <v/>
      </c>
      <c r="C616" s="30">
        <f>RAND()*(1-2E-6)+1E-6</f>
        <v/>
      </c>
      <c r="D616" s="30">
        <f>RAND()*(1-2E-6)+1E-6</f>
        <v/>
      </c>
      <c r="E616" s="30">
        <f>RAND()*(1-2E-6)+1E-6</f>
        <v/>
      </c>
      <c r="F616" s="30">
        <f>RAND()*(1-2E-6)+1E-6</f>
        <v/>
      </c>
      <c r="G616" s="30">
        <f>RAND()*(1-2E-6)+1E-6</f>
        <v/>
      </c>
      <c r="H616" s="30">
        <f>RAND()*(1-2E-6)+1E-6</f>
        <v/>
      </c>
      <c r="I616" s="31">
        <f>MIN(IF(Supuestos!$H$5="",1E+99,Supuestos!$H$5),MAX(IF(Supuestos!$G$5="",-1E+99,Supuestos!$G$5),IF(Supuestos!$C$5="Normal",NORMINV(B616,Supuestos!$D$5,Supuestos!$E$5),IF(Supuestos!$C$5="Triangular",IF(B616&lt;(Supuestos!$E$5-Supuestos!$D$5)/(Supuestos!$F$5-Supuestos!$D$5),Supuestos!$D$5+SQRT(B616*(Supuestos!$F$5-Supuestos!$D$5)*(Supuestos!$E$5-Supuestos!$D$5)),Supuestos!$F$5-SQRT((1-B616)*(Supuestos!$F$5-Supuestos!$D$5)*(Supuestos!$F$5-Supuestos!$E$5))),IF(Supuestos!$C$5="Uniforme",Supuestos!$D$5+B616*(Supuestos!$E$5-Supuestos!$D$5),IF(Supuestos!$C$5="Lognormal",LOGINV(B616,LN(Supuestos!$D$5)-LN(1+Supuestos!$E$5^2/Supuestos!$D$5^2)/2,SQRT(LN(1+Supuestos!$E$5^2/Supuestos!$D$5^2))),Supuestos!$D$5))))))</f>
        <v/>
      </c>
      <c r="J616" s="31">
        <f>MIN(IF(Supuestos!$H$6="",1E+99,Supuestos!$H$6),MAX(IF(Supuestos!$G$6="",-1E+99,Supuestos!$G$6),IF(Supuestos!$C$6="Normal",NORMINV(C616,Supuestos!$D$6,Supuestos!$E$6),IF(Supuestos!$C$6="Triangular",IF(C616&lt;(Supuestos!$E$6-Supuestos!$D$6)/(Supuestos!$F$6-Supuestos!$D$6),Supuestos!$D$6+SQRT(C616*(Supuestos!$F$6-Supuestos!$D$6)*(Supuestos!$E$6-Supuestos!$D$6)),Supuestos!$F$6-SQRT((1-C616)*(Supuestos!$F$6-Supuestos!$D$6)*(Supuestos!$F$6-Supuestos!$E$6))),IF(Supuestos!$C$6="Uniforme",Supuestos!$D$6+C616*(Supuestos!$E$6-Supuestos!$D$6),IF(Supuestos!$C$6="Lognormal",LOGINV(C616,LN(Supuestos!$D$6)-LN(1+Supuestos!$E$6^2/Supuestos!$D$6^2)/2,SQRT(LN(1+Supuestos!$E$6^2/Supuestos!$D$6^2))),Supuestos!$D$6))))))</f>
        <v/>
      </c>
      <c r="K616" s="32">
        <f>MIN(IF(Supuestos!$H$7="",1E+99,Supuestos!$H$7),MAX(IF(Supuestos!$G$7="",-1E+99,Supuestos!$G$7),IF(Supuestos!$C$7="Normal",NORMINV(D616,Supuestos!$D$7,Supuestos!$E$7),IF(Supuestos!$C$7="Triangular",IF(D616&lt;(Supuestos!$E$7-Supuestos!$D$7)/(Supuestos!$F$7-Supuestos!$D$7),Supuestos!$D$7+SQRT(D616*(Supuestos!$F$7-Supuestos!$D$7)*(Supuestos!$E$7-Supuestos!$D$7)),Supuestos!$F$7-SQRT((1-D616)*(Supuestos!$F$7-Supuestos!$D$7)*(Supuestos!$F$7-Supuestos!$E$7))),IF(Supuestos!$C$7="Uniforme",Supuestos!$D$7+D616*(Supuestos!$E$7-Supuestos!$D$7),IF(Supuestos!$C$7="Lognormal",LOGINV(D616,LN(Supuestos!$D$7)-LN(1+Supuestos!$E$7^2/Supuestos!$D$7^2)/2,SQRT(LN(1+Supuestos!$E$7^2/Supuestos!$D$7^2))),Supuestos!$D$7))))))</f>
        <v/>
      </c>
      <c r="L616" s="32">
        <f>MIN(IF(Supuestos!$H$8="",1E+99,Supuestos!$H$8),MAX(IF(Supuestos!$G$8="",-1E+99,Supuestos!$G$8),IF(Supuestos!$C$8="Normal",NORMINV(E616,Supuestos!$D$8,Supuestos!$E$8),IF(Supuestos!$C$8="Triangular",IF(E616&lt;(Supuestos!$E$8-Supuestos!$D$8)/(Supuestos!$F$8-Supuestos!$D$8),Supuestos!$D$8+SQRT(E616*(Supuestos!$F$8-Supuestos!$D$8)*(Supuestos!$E$8-Supuestos!$D$8)),Supuestos!$F$8-SQRT((1-E616)*(Supuestos!$F$8-Supuestos!$D$8)*(Supuestos!$F$8-Supuestos!$E$8))),IF(Supuestos!$C$8="Uniforme",Supuestos!$D$8+E616*(Supuestos!$E$8-Supuestos!$D$8),IF(Supuestos!$C$8="Lognormal",LOGINV(E616,LN(Supuestos!$D$8)-LN(1+Supuestos!$E$8^2/Supuestos!$D$8^2)/2,SQRT(LN(1+Supuestos!$E$8^2/Supuestos!$D$8^2))),Supuestos!$D$8))))))</f>
        <v/>
      </c>
      <c r="M616" s="32">
        <f>MIN(IF(Supuestos!$H$9="",1E+99,Supuestos!$H$9),MAX(IF(Supuestos!$G$9="",-1E+99,Supuestos!$G$9),IF(Supuestos!$C$9="Normal",NORMINV(F616,Supuestos!$D$9,Supuestos!$E$9),IF(Supuestos!$C$9="Triangular",IF(F616&lt;(Supuestos!$E$9-Supuestos!$D$9)/(Supuestos!$F$9-Supuestos!$D$9),Supuestos!$D$9+SQRT(F616*(Supuestos!$F$9-Supuestos!$D$9)*(Supuestos!$E$9-Supuestos!$D$9)),Supuestos!$F$9-SQRT((1-F616)*(Supuestos!$F$9-Supuestos!$D$9)*(Supuestos!$F$9-Supuestos!$E$9))),IF(Supuestos!$C$9="Uniforme",Supuestos!$D$9+F616*(Supuestos!$E$9-Supuestos!$D$9),IF(Supuestos!$C$9="Lognormal",LOGINV(F616,LN(Supuestos!$D$9)-LN(1+Supuestos!$E$9^2/Supuestos!$D$9^2)/2,SQRT(LN(1+Supuestos!$E$9^2/Supuestos!$D$9^2))),Supuestos!$D$9))))))</f>
        <v/>
      </c>
      <c r="N616" s="32">
        <f>MIN(IF(Supuestos!$H$10="",1E+99,Supuestos!$H$10),MAX(IF(Supuestos!$G$10="",-1E+99,Supuestos!$G$10),IF(Supuestos!$C$10="Normal",NORMINV(G616,Supuestos!$D$10,Supuestos!$E$10),IF(Supuestos!$C$10="Triangular",IF(G616&lt;(Supuestos!$E$10-Supuestos!$D$10)/(Supuestos!$F$10-Supuestos!$D$10),Supuestos!$D$10+SQRT(G616*(Supuestos!$F$10-Supuestos!$D$10)*(Supuestos!$E$10-Supuestos!$D$10)),Supuestos!$F$10-SQRT((1-G616)*(Supuestos!$F$10-Supuestos!$D$10)*(Supuestos!$F$10-Supuestos!$E$10))),IF(Supuestos!$C$10="Uniforme",Supuestos!$D$10+G616*(Supuestos!$E$10-Supuestos!$D$10),IF(Supuestos!$C$10="Lognormal",LOGINV(G616,LN(Supuestos!$D$10)-LN(1+Supuestos!$E$10^2/Supuestos!$D$10^2)/2,SQRT(LN(1+Supuestos!$E$10^2/Supuestos!$D$10^2))),Supuestos!$D$10))))))</f>
        <v/>
      </c>
      <c r="O616" s="31">
        <f>MIN(IF(Supuestos!$H$11="",1E+99,Supuestos!$H$11),MAX(IF(Supuestos!$G$11="",-1E+99,Supuestos!$G$11),IF(Supuestos!$C$11="Normal",NORMINV(H616,Supuestos!$D$11,Supuestos!$E$11),IF(Supuestos!$C$11="Triangular",IF(H616&lt;(Supuestos!$E$11-Supuestos!$D$11)/(Supuestos!$F$11-Supuestos!$D$11),Supuestos!$D$11+SQRT(H616*(Supuestos!$F$11-Supuestos!$D$11)*(Supuestos!$E$11-Supuestos!$D$11)),Supuestos!$F$11-SQRT((1-H616)*(Supuestos!$F$11-Supuestos!$D$11)*(Supuestos!$F$11-Supuestos!$E$11))),IF(Supuestos!$C$11="Uniforme",Supuestos!$D$11+H616*(Supuestos!$E$11-Supuestos!$D$11),IF(Supuestos!$C$11="Lognormal",LOGINV(H616,LN(Supuestos!$D$11)-LN(1+Supuestos!$E$11^2/Supuestos!$D$11^2)/2,SQRT(LN(1+Supuestos!$E$11^2/Supuestos!$D$11^2))),Supuestos!$D$11))))))</f>
        <v/>
      </c>
      <c r="P616" s="33">
        <f>-I616</f>
        <v/>
      </c>
      <c r="Q616" s="33">
        <f>$J616*(1+$K616)^(1-1)*(1-$L616)*(1-$M616)</f>
        <v/>
      </c>
      <c r="R616" s="33">
        <f>$J616*(1+$K616)^(2-1)*(1-$L616)*(1-$M616)</f>
        <v/>
      </c>
      <c r="S616" s="33">
        <f>$J616*(1+$K616)^(3-1)*(1-$L616)*(1-$M616)</f>
        <v/>
      </c>
      <c r="T616" s="33">
        <f>$J616*(1+$K616)^(4-1)*(1-$L616)*(1-$M616)</f>
        <v/>
      </c>
      <c r="U616" s="33">
        <f>$J616*(1+$K616)^(5-1)*(1-$L616)*(1-$M616)+$O616</f>
        <v/>
      </c>
      <c r="V616" s="33">
        <f>P616+NPV($N616,Q616:U616)</f>
        <v/>
      </c>
      <c r="W616" s="32">
        <f>IFERROR(IRR(P616:U616,0.1),"")</f>
        <v/>
      </c>
    </row>
    <row r="617">
      <c r="A617" s="14" t="n">
        <v>613</v>
      </c>
      <c r="B617" s="30">
        <f>RAND()*(1-2E-6)+1E-6</f>
        <v/>
      </c>
      <c r="C617" s="30">
        <f>RAND()*(1-2E-6)+1E-6</f>
        <v/>
      </c>
      <c r="D617" s="30">
        <f>RAND()*(1-2E-6)+1E-6</f>
        <v/>
      </c>
      <c r="E617" s="30">
        <f>RAND()*(1-2E-6)+1E-6</f>
        <v/>
      </c>
      <c r="F617" s="30">
        <f>RAND()*(1-2E-6)+1E-6</f>
        <v/>
      </c>
      <c r="G617" s="30">
        <f>RAND()*(1-2E-6)+1E-6</f>
        <v/>
      </c>
      <c r="H617" s="30">
        <f>RAND()*(1-2E-6)+1E-6</f>
        <v/>
      </c>
      <c r="I617" s="31">
        <f>MIN(IF(Supuestos!$H$5="",1E+99,Supuestos!$H$5),MAX(IF(Supuestos!$G$5="",-1E+99,Supuestos!$G$5),IF(Supuestos!$C$5="Normal",NORMINV(B617,Supuestos!$D$5,Supuestos!$E$5),IF(Supuestos!$C$5="Triangular",IF(B617&lt;(Supuestos!$E$5-Supuestos!$D$5)/(Supuestos!$F$5-Supuestos!$D$5),Supuestos!$D$5+SQRT(B617*(Supuestos!$F$5-Supuestos!$D$5)*(Supuestos!$E$5-Supuestos!$D$5)),Supuestos!$F$5-SQRT((1-B617)*(Supuestos!$F$5-Supuestos!$D$5)*(Supuestos!$F$5-Supuestos!$E$5))),IF(Supuestos!$C$5="Uniforme",Supuestos!$D$5+B617*(Supuestos!$E$5-Supuestos!$D$5),IF(Supuestos!$C$5="Lognormal",LOGINV(B617,LN(Supuestos!$D$5)-LN(1+Supuestos!$E$5^2/Supuestos!$D$5^2)/2,SQRT(LN(1+Supuestos!$E$5^2/Supuestos!$D$5^2))),Supuestos!$D$5))))))</f>
        <v/>
      </c>
      <c r="J617" s="31">
        <f>MIN(IF(Supuestos!$H$6="",1E+99,Supuestos!$H$6),MAX(IF(Supuestos!$G$6="",-1E+99,Supuestos!$G$6),IF(Supuestos!$C$6="Normal",NORMINV(C617,Supuestos!$D$6,Supuestos!$E$6),IF(Supuestos!$C$6="Triangular",IF(C617&lt;(Supuestos!$E$6-Supuestos!$D$6)/(Supuestos!$F$6-Supuestos!$D$6),Supuestos!$D$6+SQRT(C617*(Supuestos!$F$6-Supuestos!$D$6)*(Supuestos!$E$6-Supuestos!$D$6)),Supuestos!$F$6-SQRT((1-C617)*(Supuestos!$F$6-Supuestos!$D$6)*(Supuestos!$F$6-Supuestos!$E$6))),IF(Supuestos!$C$6="Uniforme",Supuestos!$D$6+C617*(Supuestos!$E$6-Supuestos!$D$6),IF(Supuestos!$C$6="Lognormal",LOGINV(C617,LN(Supuestos!$D$6)-LN(1+Supuestos!$E$6^2/Supuestos!$D$6^2)/2,SQRT(LN(1+Supuestos!$E$6^2/Supuestos!$D$6^2))),Supuestos!$D$6))))))</f>
        <v/>
      </c>
      <c r="K617" s="32">
        <f>MIN(IF(Supuestos!$H$7="",1E+99,Supuestos!$H$7),MAX(IF(Supuestos!$G$7="",-1E+99,Supuestos!$G$7),IF(Supuestos!$C$7="Normal",NORMINV(D617,Supuestos!$D$7,Supuestos!$E$7),IF(Supuestos!$C$7="Triangular",IF(D617&lt;(Supuestos!$E$7-Supuestos!$D$7)/(Supuestos!$F$7-Supuestos!$D$7),Supuestos!$D$7+SQRT(D617*(Supuestos!$F$7-Supuestos!$D$7)*(Supuestos!$E$7-Supuestos!$D$7)),Supuestos!$F$7-SQRT((1-D617)*(Supuestos!$F$7-Supuestos!$D$7)*(Supuestos!$F$7-Supuestos!$E$7))),IF(Supuestos!$C$7="Uniforme",Supuestos!$D$7+D617*(Supuestos!$E$7-Supuestos!$D$7),IF(Supuestos!$C$7="Lognormal",LOGINV(D617,LN(Supuestos!$D$7)-LN(1+Supuestos!$E$7^2/Supuestos!$D$7^2)/2,SQRT(LN(1+Supuestos!$E$7^2/Supuestos!$D$7^2))),Supuestos!$D$7))))))</f>
        <v/>
      </c>
      <c r="L617" s="32">
        <f>MIN(IF(Supuestos!$H$8="",1E+99,Supuestos!$H$8),MAX(IF(Supuestos!$G$8="",-1E+99,Supuestos!$G$8),IF(Supuestos!$C$8="Normal",NORMINV(E617,Supuestos!$D$8,Supuestos!$E$8),IF(Supuestos!$C$8="Triangular",IF(E617&lt;(Supuestos!$E$8-Supuestos!$D$8)/(Supuestos!$F$8-Supuestos!$D$8),Supuestos!$D$8+SQRT(E617*(Supuestos!$F$8-Supuestos!$D$8)*(Supuestos!$E$8-Supuestos!$D$8)),Supuestos!$F$8-SQRT((1-E617)*(Supuestos!$F$8-Supuestos!$D$8)*(Supuestos!$F$8-Supuestos!$E$8))),IF(Supuestos!$C$8="Uniforme",Supuestos!$D$8+E617*(Supuestos!$E$8-Supuestos!$D$8),IF(Supuestos!$C$8="Lognormal",LOGINV(E617,LN(Supuestos!$D$8)-LN(1+Supuestos!$E$8^2/Supuestos!$D$8^2)/2,SQRT(LN(1+Supuestos!$E$8^2/Supuestos!$D$8^2))),Supuestos!$D$8))))))</f>
        <v/>
      </c>
      <c r="M617" s="32">
        <f>MIN(IF(Supuestos!$H$9="",1E+99,Supuestos!$H$9),MAX(IF(Supuestos!$G$9="",-1E+99,Supuestos!$G$9),IF(Supuestos!$C$9="Normal",NORMINV(F617,Supuestos!$D$9,Supuestos!$E$9),IF(Supuestos!$C$9="Triangular",IF(F617&lt;(Supuestos!$E$9-Supuestos!$D$9)/(Supuestos!$F$9-Supuestos!$D$9),Supuestos!$D$9+SQRT(F617*(Supuestos!$F$9-Supuestos!$D$9)*(Supuestos!$E$9-Supuestos!$D$9)),Supuestos!$F$9-SQRT((1-F617)*(Supuestos!$F$9-Supuestos!$D$9)*(Supuestos!$F$9-Supuestos!$E$9))),IF(Supuestos!$C$9="Uniforme",Supuestos!$D$9+F617*(Supuestos!$E$9-Supuestos!$D$9),IF(Supuestos!$C$9="Lognormal",LOGINV(F617,LN(Supuestos!$D$9)-LN(1+Supuestos!$E$9^2/Supuestos!$D$9^2)/2,SQRT(LN(1+Supuestos!$E$9^2/Supuestos!$D$9^2))),Supuestos!$D$9))))))</f>
        <v/>
      </c>
      <c r="N617" s="32">
        <f>MIN(IF(Supuestos!$H$10="",1E+99,Supuestos!$H$10),MAX(IF(Supuestos!$G$10="",-1E+99,Supuestos!$G$10),IF(Supuestos!$C$10="Normal",NORMINV(G617,Supuestos!$D$10,Supuestos!$E$10),IF(Supuestos!$C$10="Triangular",IF(G617&lt;(Supuestos!$E$10-Supuestos!$D$10)/(Supuestos!$F$10-Supuestos!$D$10),Supuestos!$D$10+SQRT(G617*(Supuestos!$F$10-Supuestos!$D$10)*(Supuestos!$E$10-Supuestos!$D$10)),Supuestos!$F$10-SQRT((1-G617)*(Supuestos!$F$10-Supuestos!$D$10)*(Supuestos!$F$10-Supuestos!$E$10))),IF(Supuestos!$C$10="Uniforme",Supuestos!$D$10+G617*(Supuestos!$E$10-Supuestos!$D$10),IF(Supuestos!$C$10="Lognormal",LOGINV(G617,LN(Supuestos!$D$10)-LN(1+Supuestos!$E$10^2/Supuestos!$D$10^2)/2,SQRT(LN(1+Supuestos!$E$10^2/Supuestos!$D$10^2))),Supuestos!$D$10))))))</f>
        <v/>
      </c>
      <c r="O617" s="31">
        <f>MIN(IF(Supuestos!$H$11="",1E+99,Supuestos!$H$11),MAX(IF(Supuestos!$G$11="",-1E+99,Supuestos!$G$11),IF(Supuestos!$C$11="Normal",NORMINV(H617,Supuestos!$D$11,Supuestos!$E$11),IF(Supuestos!$C$11="Triangular",IF(H617&lt;(Supuestos!$E$11-Supuestos!$D$11)/(Supuestos!$F$11-Supuestos!$D$11),Supuestos!$D$11+SQRT(H617*(Supuestos!$F$11-Supuestos!$D$11)*(Supuestos!$E$11-Supuestos!$D$11)),Supuestos!$F$11-SQRT((1-H617)*(Supuestos!$F$11-Supuestos!$D$11)*(Supuestos!$F$11-Supuestos!$E$11))),IF(Supuestos!$C$11="Uniforme",Supuestos!$D$11+H617*(Supuestos!$E$11-Supuestos!$D$11),IF(Supuestos!$C$11="Lognormal",LOGINV(H617,LN(Supuestos!$D$11)-LN(1+Supuestos!$E$11^2/Supuestos!$D$11^2)/2,SQRT(LN(1+Supuestos!$E$11^2/Supuestos!$D$11^2))),Supuestos!$D$11))))))</f>
        <v/>
      </c>
      <c r="P617" s="33">
        <f>-I617</f>
        <v/>
      </c>
      <c r="Q617" s="33">
        <f>$J617*(1+$K617)^(1-1)*(1-$L617)*(1-$M617)</f>
        <v/>
      </c>
      <c r="R617" s="33">
        <f>$J617*(1+$K617)^(2-1)*(1-$L617)*(1-$M617)</f>
        <v/>
      </c>
      <c r="S617" s="33">
        <f>$J617*(1+$K617)^(3-1)*(1-$L617)*(1-$M617)</f>
        <v/>
      </c>
      <c r="T617" s="33">
        <f>$J617*(1+$K617)^(4-1)*(1-$L617)*(1-$M617)</f>
        <v/>
      </c>
      <c r="U617" s="33">
        <f>$J617*(1+$K617)^(5-1)*(1-$L617)*(1-$M617)+$O617</f>
        <v/>
      </c>
      <c r="V617" s="33">
        <f>P617+NPV($N617,Q617:U617)</f>
        <v/>
      </c>
      <c r="W617" s="32">
        <f>IFERROR(IRR(P617:U617,0.1),"")</f>
        <v/>
      </c>
    </row>
    <row r="618">
      <c r="A618" s="14" t="n">
        <v>614</v>
      </c>
      <c r="B618" s="30">
        <f>RAND()*(1-2E-6)+1E-6</f>
        <v/>
      </c>
      <c r="C618" s="30">
        <f>RAND()*(1-2E-6)+1E-6</f>
        <v/>
      </c>
      <c r="D618" s="30">
        <f>RAND()*(1-2E-6)+1E-6</f>
        <v/>
      </c>
      <c r="E618" s="30">
        <f>RAND()*(1-2E-6)+1E-6</f>
        <v/>
      </c>
      <c r="F618" s="30">
        <f>RAND()*(1-2E-6)+1E-6</f>
        <v/>
      </c>
      <c r="G618" s="30">
        <f>RAND()*(1-2E-6)+1E-6</f>
        <v/>
      </c>
      <c r="H618" s="30">
        <f>RAND()*(1-2E-6)+1E-6</f>
        <v/>
      </c>
      <c r="I618" s="31">
        <f>MIN(IF(Supuestos!$H$5="",1E+99,Supuestos!$H$5),MAX(IF(Supuestos!$G$5="",-1E+99,Supuestos!$G$5),IF(Supuestos!$C$5="Normal",NORMINV(B618,Supuestos!$D$5,Supuestos!$E$5),IF(Supuestos!$C$5="Triangular",IF(B618&lt;(Supuestos!$E$5-Supuestos!$D$5)/(Supuestos!$F$5-Supuestos!$D$5),Supuestos!$D$5+SQRT(B618*(Supuestos!$F$5-Supuestos!$D$5)*(Supuestos!$E$5-Supuestos!$D$5)),Supuestos!$F$5-SQRT((1-B618)*(Supuestos!$F$5-Supuestos!$D$5)*(Supuestos!$F$5-Supuestos!$E$5))),IF(Supuestos!$C$5="Uniforme",Supuestos!$D$5+B618*(Supuestos!$E$5-Supuestos!$D$5),IF(Supuestos!$C$5="Lognormal",LOGINV(B618,LN(Supuestos!$D$5)-LN(1+Supuestos!$E$5^2/Supuestos!$D$5^2)/2,SQRT(LN(1+Supuestos!$E$5^2/Supuestos!$D$5^2))),Supuestos!$D$5))))))</f>
        <v/>
      </c>
      <c r="J618" s="31">
        <f>MIN(IF(Supuestos!$H$6="",1E+99,Supuestos!$H$6),MAX(IF(Supuestos!$G$6="",-1E+99,Supuestos!$G$6),IF(Supuestos!$C$6="Normal",NORMINV(C618,Supuestos!$D$6,Supuestos!$E$6),IF(Supuestos!$C$6="Triangular",IF(C618&lt;(Supuestos!$E$6-Supuestos!$D$6)/(Supuestos!$F$6-Supuestos!$D$6),Supuestos!$D$6+SQRT(C618*(Supuestos!$F$6-Supuestos!$D$6)*(Supuestos!$E$6-Supuestos!$D$6)),Supuestos!$F$6-SQRT((1-C618)*(Supuestos!$F$6-Supuestos!$D$6)*(Supuestos!$F$6-Supuestos!$E$6))),IF(Supuestos!$C$6="Uniforme",Supuestos!$D$6+C618*(Supuestos!$E$6-Supuestos!$D$6),IF(Supuestos!$C$6="Lognormal",LOGINV(C618,LN(Supuestos!$D$6)-LN(1+Supuestos!$E$6^2/Supuestos!$D$6^2)/2,SQRT(LN(1+Supuestos!$E$6^2/Supuestos!$D$6^2))),Supuestos!$D$6))))))</f>
        <v/>
      </c>
      <c r="K618" s="32">
        <f>MIN(IF(Supuestos!$H$7="",1E+99,Supuestos!$H$7),MAX(IF(Supuestos!$G$7="",-1E+99,Supuestos!$G$7),IF(Supuestos!$C$7="Normal",NORMINV(D618,Supuestos!$D$7,Supuestos!$E$7),IF(Supuestos!$C$7="Triangular",IF(D618&lt;(Supuestos!$E$7-Supuestos!$D$7)/(Supuestos!$F$7-Supuestos!$D$7),Supuestos!$D$7+SQRT(D618*(Supuestos!$F$7-Supuestos!$D$7)*(Supuestos!$E$7-Supuestos!$D$7)),Supuestos!$F$7-SQRT((1-D618)*(Supuestos!$F$7-Supuestos!$D$7)*(Supuestos!$F$7-Supuestos!$E$7))),IF(Supuestos!$C$7="Uniforme",Supuestos!$D$7+D618*(Supuestos!$E$7-Supuestos!$D$7),IF(Supuestos!$C$7="Lognormal",LOGINV(D618,LN(Supuestos!$D$7)-LN(1+Supuestos!$E$7^2/Supuestos!$D$7^2)/2,SQRT(LN(1+Supuestos!$E$7^2/Supuestos!$D$7^2))),Supuestos!$D$7))))))</f>
        <v/>
      </c>
      <c r="L618" s="32">
        <f>MIN(IF(Supuestos!$H$8="",1E+99,Supuestos!$H$8),MAX(IF(Supuestos!$G$8="",-1E+99,Supuestos!$G$8),IF(Supuestos!$C$8="Normal",NORMINV(E618,Supuestos!$D$8,Supuestos!$E$8),IF(Supuestos!$C$8="Triangular",IF(E618&lt;(Supuestos!$E$8-Supuestos!$D$8)/(Supuestos!$F$8-Supuestos!$D$8),Supuestos!$D$8+SQRT(E618*(Supuestos!$F$8-Supuestos!$D$8)*(Supuestos!$E$8-Supuestos!$D$8)),Supuestos!$F$8-SQRT((1-E618)*(Supuestos!$F$8-Supuestos!$D$8)*(Supuestos!$F$8-Supuestos!$E$8))),IF(Supuestos!$C$8="Uniforme",Supuestos!$D$8+E618*(Supuestos!$E$8-Supuestos!$D$8),IF(Supuestos!$C$8="Lognormal",LOGINV(E618,LN(Supuestos!$D$8)-LN(1+Supuestos!$E$8^2/Supuestos!$D$8^2)/2,SQRT(LN(1+Supuestos!$E$8^2/Supuestos!$D$8^2))),Supuestos!$D$8))))))</f>
        <v/>
      </c>
      <c r="M618" s="32">
        <f>MIN(IF(Supuestos!$H$9="",1E+99,Supuestos!$H$9),MAX(IF(Supuestos!$G$9="",-1E+99,Supuestos!$G$9),IF(Supuestos!$C$9="Normal",NORMINV(F618,Supuestos!$D$9,Supuestos!$E$9),IF(Supuestos!$C$9="Triangular",IF(F618&lt;(Supuestos!$E$9-Supuestos!$D$9)/(Supuestos!$F$9-Supuestos!$D$9),Supuestos!$D$9+SQRT(F618*(Supuestos!$F$9-Supuestos!$D$9)*(Supuestos!$E$9-Supuestos!$D$9)),Supuestos!$F$9-SQRT((1-F618)*(Supuestos!$F$9-Supuestos!$D$9)*(Supuestos!$F$9-Supuestos!$E$9))),IF(Supuestos!$C$9="Uniforme",Supuestos!$D$9+F618*(Supuestos!$E$9-Supuestos!$D$9),IF(Supuestos!$C$9="Lognormal",LOGINV(F618,LN(Supuestos!$D$9)-LN(1+Supuestos!$E$9^2/Supuestos!$D$9^2)/2,SQRT(LN(1+Supuestos!$E$9^2/Supuestos!$D$9^2))),Supuestos!$D$9))))))</f>
        <v/>
      </c>
      <c r="N618" s="32">
        <f>MIN(IF(Supuestos!$H$10="",1E+99,Supuestos!$H$10),MAX(IF(Supuestos!$G$10="",-1E+99,Supuestos!$G$10),IF(Supuestos!$C$10="Normal",NORMINV(G618,Supuestos!$D$10,Supuestos!$E$10),IF(Supuestos!$C$10="Triangular",IF(G618&lt;(Supuestos!$E$10-Supuestos!$D$10)/(Supuestos!$F$10-Supuestos!$D$10),Supuestos!$D$10+SQRT(G618*(Supuestos!$F$10-Supuestos!$D$10)*(Supuestos!$E$10-Supuestos!$D$10)),Supuestos!$F$10-SQRT((1-G618)*(Supuestos!$F$10-Supuestos!$D$10)*(Supuestos!$F$10-Supuestos!$E$10))),IF(Supuestos!$C$10="Uniforme",Supuestos!$D$10+G618*(Supuestos!$E$10-Supuestos!$D$10),IF(Supuestos!$C$10="Lognormal",LOGINV(G618,LN(Supuestos!$D$10)-LN(1+Supuestos!$E$10^2/Supuestos!$D$10^2)/2,SQRT(LN(1+Supuestos!$E$10^2/Supuestos!$D$10^2))),Supuestos!$D$10))))))</f>
        <v/>
      </c>
      <c r="O618" s="31">
        <f>MIN(IF(Supuestos!$H$11="",1E+99,Supuestos!$H$11),MAX(IF(Supuestos!$G$11="",-1E+99,Supuestos!$G$11),IF(Supuestos!$C$11="Normal",NORMINV(H618,Supuestos!$D$11,Supuestos!$E$11),IF(Supuestos!$C$11="Triangular",IF(H618&lt;(Supuestos!$E$11-Supuestos!$D$11)/(Supuestos!$F$11-Supuestos!$D$11),Supuestos!$D$11+SQRT(H618*(Supuestos!$F$11-Supuestos!$D$11)*(Supuestos!$E$11-Supuestos!$D$11)),Supuestos!$F$11-SQRT((1-H618)*(Supuestos!$F$11-Supuestos!$D$11)*(Supuestos!$F$11-Supuestos!$E$11))),IF(Supuestos!$C$11="Uniforme",Supuestos!$D$11+H618*(Supuestos!$E$11-Supuestos!$D$11),IF(Supuestos!$C$11="Lognormal",LOGINV(H618,LN(Supuestos!$D$11)-LN(1+Supuestos!$E$11^2/Supuestos!$D$11^2)/2,SQRT(LN(1+Supuestos!$E$11^2/Supuestos!$D$11^2))),Supuestos!$D$11))))))</f>
        <v/>
      </c>
      <c r="P618" s="33">
        <f>-I618</f>
        <v/>
      </c>
      <c r="Q618" s="33">
        <f>$J618*(1+$K618)^(1-1)*(1-$L618)*(1-$M618)</f>
        <v/>
      </c>
      <c r="R618" s="33">
        <f>$J618*(1+$K618)^(2-1)*(1-$L618)*(1-$M618)</f>
        <v/>
      </c>
      <c r="S618" s="33">
        <f>$J618*(1+$K618)^(3-1)*(1-$L618)*(1-$M618)</f>
        <v/>
      </c>
      <c r="T618" s="33">
        <f>$J618*(1+$K618)^(4-1)*(1-$L618)*(1-$M618)</f>
        <v/>
      </c>
      <c r="U618" s="33">
        <f>$J618*(1+$K618)^(5-1)*(1-$L618)*(1-$M618)+$O618</f>
        <v/>
      </c>
      <c r="V618" s="33">
        <f>P618+NPV($N618,Q618:U618)</f>
        <v/>
      </c>
      <c r="W618" s="32">
        <f>IFERROR(IRR(P618:U618,0.1),"")</f>
        <v/>
      </c>
    </row>
    <row r="619">
      <c r="A619" s="14" t="n">
        <v>615</v>
      </c>
      <c r="B619" s="30">
        <f>RAND()*(1-2E-6)+1E-6</f>
        <v/>
      </c>
      <c r="C619" s="30">
        <f>RAND()*(1-2E-6)+1E-6</f>
        <v/>
      </c>
      <c r="D619" s="30">
        <f>RAND()*(1-2E-6)+1E-6</f>
        <v/>
      </c>
      <c r="E619" s="30">
        <f>RAND()*(1-2E-6)+1E-6</f>
        <v/>
      </c>
      <c r="F619" s="30">
        <f>RAND()*(1-2E-6)+1E-6</f>
        <v/>
      </c>
      <c r="G619" s="30">
        <f>RAND()*(1-2E-6)+1E-6</f>
        <v/>
      </c>
      <c r="H619" s="30">
        <f>RAND()*(1-2E-6)+1E-6</f>
        <v/>
      </c>
      <c r="I619" s="31">
        <f>MIN(IF(Supuestos!$H$5="",1E+99,Supuestos!$H$5),MAX(IF(Supuestos!$G$5="",-1E+99,Supuestos!$G$5),IF(Supuestos!$C$5="Normal",NORMINV(B619,Supuestos!$D$5,Supuestos!$E$5),IF(Supuestos!$C$5="Triangular",IF(B619&lt;(Supuestos!$E$5-Supuestos!$D$5)/(Supuestos!$F$5-Supuestos!$D$5),Supuestos!$D$5+SQRT(B619*(Supuestos!$F$5-Supuestos!$D$5)*(Supuestos!$E$5-Supuestos!$D$5)),Supuestos!$F$5-SQRT((1-B619)*(Supuestos!$F$5-Supuestos!$D$5)*(Supuestos!$F$5-Supuestos!$E$5))),IF(Supuestos!$C$5="Uniforme",Supuestos!$D$5+B619*(Supuestos!$E$5-Supuestos!$D$5),IF(Supuestos!$C$5="Lognormal",LOGINV(B619,LN(Supuestos!$D$5)-LN(1+Supuestos!$E$5^2/Supuestos!$D$5^2)/2,SQRT(LN(1+Supuestos!$E$5^2/Supuestos!$D$5^2))),Supuestos!$D$5))))))</f>
        <v/>
      </c>
      <c r="J619" s="31">
        <f>MIN(IF(Supuestos!$H$6="",1E+99,Supuestos!$H$6),MAX(IF(Supuestos!$G$6="",-1E+99,Supuestos!$G$6),IF(Supuestos!$C$6="Normal",NORMINV(C619,Supuestos!$D$6,Supuestos!$E$6),IF(Supuestos!$C$6="Triangular",IF(C619&lt;(Supuestos!$E$6-Supuestos!$D$6)/(Supuestos!$F$6-Supuestos!$D$6),Supuestos!$D$6+SQRT(C619*(Supuestos!$F$6-Supuestos!$D$6)*(Supuestos!$E$6-Supuestos!$D$6)),Supuestos!$F$6-SQRT((1-C619)*(Supuestos!$F$6-Supuestos!$D$6)*(Supuestos!$F$6-Supuestos!$E$6))),IF(Supuestos!$C$6="Uniforme",Supuestos!$D$6+C619*(Supuestos!$E$6-Supuestos!$D$6),IF(Supuestos!$C$6="Lognormal",LOGINV(C619,LN(Supuestos!$D$6)-LN(1+Supuestos!$E$6^2/Supuestos!$D$6^2)/2,SQRT(LN(1+Supuestos!$E$6^2/Supuestos!$D$6^2))),Supuestos!$D$6))))))</f>
        <v/>
      </c>
      <c r="K619" s="32">
        <f>MIN(IF(Supuestos!$H$7="",1E+99,Supuestos!$H$7),MAX(IF(Supuestos!$G$7="",-1E+99,Supuestos!$G$7),IF(Supuestos!$C$7="Normal",NORMINV(D619,Supuestos!$D$7,Supuestos!$E$7),IF(Supuestos!$C$7="Triangular",IF(D619&lt;(Supuestos!$E$7-Supuestos!$D$7)/(Supuestos!$F$7-Supuestos!$D$7),Supuestos!$D$7+SQRT(D619*(Supuestos!$F$7-Supuestos!$D$7)*(Supuestos!$E$7-Supuestos!$D$7)),Supuestos!$F$7-SQRT((1-D619)*(Supuestos!$F$7-Supuestos!$D$7)*(Supuestos!$F$7-Supuestos!$E$7))),IF(Supuestos!$C$7="Uniforme",Supuestos!$D$7+D619*(Supuestos!$E$7-Supuestos!$D$7),IF(Supuestos!$C$7="Lognormal",LOGINV(D619,LN(Supuestos!$D$7)-LN(1+Supuestos!$E$7^2/Supuestos!$D$7^2)/2,SQRT(LN(1+Supuestos!$E$7^2/Supuestos!$D$7^2))),Supuestos!$D$7))))))</f>
        <v/>
      </c>
      <c r="L619" s="32">
        <f>MIN(IF(Supuestos!$H$8="",1E+99,Supuestos!$H$8),MAX(IF(Supuestos!$G$8="",-1E+99,Supuestos!$G$8),IF(Supuestos!$C$8="Normal",NORMINV(E619,Supuestos!$D$8,Supuestos!$E$8),IF(Supuestos!$C$8="Triangular",IF(E619&lt;(Supuestos!$E$8-Supuestos!$D$8)/(Supuestos!$F$8-Supuestos!$D$8),Supuestos!$D$8+SQRT(E619*(Supuestos!$F$8-Supuestos!$D$8)*(Supuestos!$E$8-Supuestos!$D$8)),Supuestos!$F$8-SQRT((1-E619)*(Supuestos!$F$8-Supuestos!$D$8)*(Supuestos!$F$8-Supuestos!$E$8))),IF(Supuestos!$C$8="Uniforme",Supuestos!$D$8+E619*(Supuestos!$E$8-Supuestos!$D$8),IF(Supuestos!$C$8="Lognormal",LOGINV(E619,LN(Supuestos!$D$8)-LN(1+Supuestos!$E$8^2/Supuestos!$D$8^2)/2,SQRT(LN(1+Supuestos!$E$8^2/Supuestos!$D$8^2))),Supuestos!$D$8))))))</f>
        <v/>
      </c>
      <c r="M619" s="32">
        <f>MIN(IF(Supuestos!$H$9="",1E+99,Supuestos!$H$9),MAX(IF(Supuestos!$G$9="",-1E+99,Supuestos!$G$9),IF(Supuestos!$C$9="Normal",NORMINV(F619,Supuestos!$D$9,Supuestos!$E$9),IF(Supuestos!$C$9="Triangular",IF(F619&lt;(Supuestos!$E$9-Supuestos!$D$9)/(Supuestos!$F$9-Supuestos!$D$9),Supuestos!$D$9+SQRT(F619*(Supuestos!$F$9-Supuestos!$D$9)*(Supuestos!$E$9-Supuestos!$D$9)),Supuestos!$F$9-SQRT((1-F619)*(Supuestos!$F$9-Supuestos!$D$9)*(Supuestos!$F$9-Supuestos!$E$9))),IF(Supuestos!$C$9="Uniforme",Supuestos!$D$9+F619*(Supuestos!$E$9-Supuestos!$D$9),IF(Supuestos!$C$9="Lognormal",LOGINV(F619,LN(Supuestos!$D$9)-LN(1+Supuestos!$E$9^2/Supuestos!$D$9^2)/2,SQRT(LN(1+Supuestos!$E$9^2/Supuestos!$D$9^2))),Supuestos!$D$9))))))</f>
        <v/>
      </c>
      <c r="N619" s="32">
        <f>MIN(IF(Supuestos!$H$10="",1E+99,Supuestos!$H$10),MAX(IF(Supuestos!$G$10="",-1E+99,Supuestos!$G$10),IF(Supuestos!$C$10="Normal",NORMINV(G619,Supuestos!$D$10,Supuestos!$E$10),IF(Supuestos!$C$10="Triangular",IF(G619&lt;(Supuestos!$E$10-Supuestos!$D$10)/(Supuestos!$F$10-Supuestos!$D$10),Supuestos!$D$10+SQRT(G619*(Supuestos!$F$10-Supuestos!$D$10)*(Supuestos!$E$10-Supuestos!$D$10)),Supuestos!$F$10-SQRT((1-G619)*(Supuestos!$F$10-Supuestos!$D$10)*(Supuestos!$F$10-Supuestos!$E$10))),IF(Supuestos!$C$10="Uniforme",Supuestos!$D$10+G619*(Supuestos!$E$10-Supuestos!$D$10),IF(Supuestos!$C$10="Lognormal",LOGINV(G619,LN(Supuestos!$D$10)-LN(1+Supuestos!$E$10^2/Supuestos!$D$10^2)/2,SQRT(LN(1+Supuestos!$E$10^2/Supuestos!$D$10^2))),Supuestos!$D$10))))))</f>
        <v/>
      </c>
      <c r="O619" s="31">
        <f>MIN(IF(Supuestos!$H$11="",1E+99,Supuestos!$H$11),MAX(IF(Supuestos!$G$11="",-1E+99,Supuestos!$G$11),IF(Supuestos!$C$11="Normal",NORMINV(H619,Supuestos!$D$11,Supuestos!$E$11),IF(Supuestos!$C$11="Triangular",IF(H619&lt;(Supuestos!$E$11-Supuestos!$D$11)/(Supuestos!$F$11-Supuestos!$D$11),Supuestos!$D$11+SQRT(H619*(Supuestos!$F$11-Supuestos!$D$11)*(Supuestos!$E$11-Supuestos!$D$11)),Supuestos!$F$11-SQRT((1-H619)*(Supuestos!$F$11-Supuestos!$D$11)*(Supuestos!$F$11-Supuestos!$E$11))),IF(Supuestos!$C$11="Uniforme",Supuestos!$D$11+H619*(Supuestos!$E$11-Supuestos!$D$11),IF(Supuestos!$C$11="Lognormal",LOGINV(H619,LN(Supuestos!$D$11)-LN(1+Supuestos!$E$11^2/Supuestos!$D$11^2)/2,SQRT(LN(1+Supuestos!$E$11^2/Supuestos!$D$11^2))),Supuestos!$D$11))))))</f>
        <v/>
      </c>
      <c r="P619" s="33">
        <f>-I619</f>
        <v/>
      </c>
      <c r="Q619" s="33">
        <f>$J619*(1+$K619)^(1-1)*(1-$L619)*(1-$M619)</f>
        <v/>
      </c>
      <c r="R619" s="33">
        <f>$J619*(1+$K619)^(2-1)*(1-$L619)*(1-$M619)</f>
        <v/>
      </c>
      <c r="S619" s="33">
        <f>$J619*(1+$K619)^(3-1)*(1-$L619)*(1-$M619)</f>
        <v/>
      </c>
      <c r="T619" s="33">
        <f>$J619*(1+$K619)^(4-1)*(1-$L619)*(1-$M619)</f>
        <v/>
      </c>
      <c r="U619" s="33">
        <f>$J619*(1+$K619)^(5-1)*(1-$L619)*(1-$M619)+$O619</f>
        <v/>
      </c>
      <c r="V619" s="33">
        <f>P619+NPV($N619,Q619:U619)</f>
        <v/>
      </c>
      <c r="W619" s="32">
        <f>IFERROR(IRR(P619:U619,0.1),"")</f>
        <v/>
      </c>
    </row>
    <row r="620">
      <c r="A620" s="14" t="n">
        <v>616</v>
      </c>
      <c r="B620" s="30">
        <f>RAND()*(1-2E-6)+1E-6</f>
        <v/>
      </c>
      <c r="C620" s="30">
        <f>RAND()*(1-2E-6)+1E-6</f>
        <v/>
      </c>
      <c r="D620" s="30">
        <f>RAND()*(1-2E-6)+1E-6</f>
        <v/>
      </c>
      <c r="E620" s="30">
        <f>RAND()*(1-2E-6)+1E-6</f>
        <v/>
      </c>
      <c r="F620" s="30">
        <f>RAND()*(1-2E-6)+1E-6</f>
        <v/>
      </c>
      <c r="G620" s="30">
        <f>RAND()*(1-2E-6)+1E-6</f>
        <v/>
      </c>
      <c r="H620" s="30">
        <f>RAND()*(1-2E-6)+1E-6</f>
        <v/>
      </c>
      <c r="I620" s="31">
        <f>MIN(IF(Supuestos!$H$5="",1E+99,Supuestos!$H$5),MAX(IF(Supuestos!$G$5="",-1E+99,Supuestos!$G$5),IF(Supuestos!$C$5="Normal",NORMINV(B620,Supuestos!$D$5,Supuestos!$E$5),IF(Supuestos!$C$5="Triangular",IF(B620&lt;(Supuestos!$E$5-Supuestos!$D$5)/(Supuestos!$F$5-Supuestos!$D$5),Supuestos!$D$5+SQRT(B620*(Supuestos!$F$5-Supuestos!$D$5)*(Supuestos!$E$5-Supuestos!$D$5)),Supuestos!$F$5-SQRT((1-B620)*(Supuestos!$F$5-Supuestos!$D$5)*(Supuestos!$F$5-Supuestos!$E$5))),IF(Supuestos!$C$5="Uniforme",Supuestos!$D$5+B620*(Supuestos!$E$5-Supuestos!$D$5),IF(Supuestos!$C$5="Lognormal",LOGINV(B620,LN(Supuestos!$D$5)-LN(1+Supuestos!$E$5^2/Supuestos!$D$5^2)/2,SQRT(LN(1+Supuestos!$E$5^2/Supuestos!$D$5^2))),Supuestos!$D$5))))))</f>
        <v/>
      </c>
      <c r="J620" s="31">
        <f>MIN(IF(Supuestos!$H$6="",1E+99,Supuestos!$H$6),MAX(IF(Supuestos!$G$6="",-1E+99,Supuestos!$G$6),IF(Supuestos!$C$6="Normal",NORMINV(C620,Supuestos!$D$6,Supuestos!$E$6),IF(Supuestos!$C$6="Triangular",IF(C620&lt;(Supuestos!$E$6-Supuestos!$D$6)/(Supuestos!$F$6-Supuestos!$D$6),Supuestos!$D$6+SQRT(C620*(Supuestos!$F$6-Supuestos!$D$6)*(Supuestos!$E$6-Supuestos!$D$6)),Supuestos!$F$6-SQRT((1-C620)*(Supuestos!$F$6-Supuestos!$D$6)*(Supuestos!$F$6-Supuestos!$E$6))),IF(Supuestos!$C$6="Uniforme",Supuestos!$D$6+C620*(Supuestos!$E$6-Supuestos!$D$6),IF(Supuestos!$C$6="Lognormal",LOGINV(C620,LN(Supuestos!$D$6)-LN(1+Supuestos!$E$6^2/Supuestos!$D$6^2)/2,SQRT(LN(1+Supuestos!$E$6^2/Supuestos!$D$6^2))),Supuestos!$D$6))))))</f>
        <v/>
      </c>
      <c r="K620" s="32">
        <f>MIN(IF(Supuestos!$H$7="",1E+99,Supuestos!$H$7),MAX(IF(Supuestos!$G$7="",-1E+99,Supuestos!$G$7),IF(Supuestos!$C$7="Normal",NORMINV(D620,Supuestos!$D$7,Supuestos!$E$7),IF(Supuestos!$C$7="Triangular",IF(D620&lt;(Supuestos!$E$7-Supuestos!$D$7)/(Supuestos!$F$7-Supuestos!$D$7),Supuestos!$D$7+SQRT(D620*(Supuestos!$F$7-Supuestos!$D$7)*(Supuestos!$E$7-Supuestos!$D$7)),Supuestos!$F$7-SQRT((1-D620)*(Supuestos!$F$7-Supuestos!$D$7)*(Supuestos!$F$7-Supuestos!$E$7))),IF(Supuestos!$C$7="Uniforme",Supuestos!$D$7+D620*(Supuestos!$E$7-Supuestos!$D$7),IF(Supuestos!$C$7="Lognormal",LOGINV(D620,LN(Supuestos!$D$7)-LN(1+Supuestos!$E$7^2/Supuestos!$D$7^2)/2,SQRT(LN(1+Supuestos!$E$7^2/Supuestos!$D$7^2))),Supuestos!$D$7))))))</f>
        <v/>
      </c>
      <c r="L620" s="32">
        <f>MIN(IF(Supuestos!$H$8="",1E+99,Supuestos!$H$8),MAX(IF(Supuestos!$G$8="",-1E+99,Supuestos!$G$8),IF(Supuestos!$C$8="Normal",NORMINV(E620,Supuestos!$D$8,Supuestos!$E$8),IF(Supuestos!$C$8="Triangular",IF(E620&lt;(Supuestos!$E$8-Supuestos!$D$8)/(Supuestos!$F$8-Supuestos!$D$8),Supuestos!$D$8+SQRT(E620*(Supuestos!$F$8-Supuestos!$D$8)*(Supuestos!$E$8-Supuestos!$D$8)),Supuestos!$F$8-SQRT((1-E620)*(Supuestos!$F$8-Supuestos!$D$8)*(Supuestos!$F$8-Supuestos!$E$8))),IF(Supuestos!$C$8="Uniforme",Supuestos!$D$8+E620*(Supuestos!$E$8-Supuestos!$D$8),IF(Supuestos!$C$8="Lognormal",LOGINV(E620,LN(Supuestos!$D$8)-LN(1+Supuestos!$E$8^2/Supuestos!$D$8^2)/2,SQRT(LN(1+Supuestos!$E$8^2/Supuestos!$D$8^2))),Supuestos!$D$8))))))</f>
        <v/>
      </c>
      <c r="M620" s="32">
        <f>MIN(IF(Supuestos!$H$9="",1E+99,Supuestos!$H$9),MAX(IF(Supuestos!$G$9="",-1E+99,Supuestos!$G$9),IF(Supuestos!$C$9="Normal",NORMINV(F620,Supuestos!$D$9,Supuestos!$E$9),IF(Supuestos!$C$9="Triangular",IF(F620&lt;(Supuestos!$E$9-Supuestos!$D$9)/(Supuestos!$F$9-Supuestos!$D$9),Supuestos!$D$9+SQRT(F620*(Supuestos!$F$9-Supuestos!$D$9)*(Supuestos!$E$9-Supuestos!$D$9)),Supuestos!$F$9-SQRT((1-F620)*(Supuestos!$F$9-Supuestos!$D$9)*(Supuestos!$F$9-Supuestos!$E$9))),IF(Supuestos!$C$9="Uniforme",Supuestos!$D$9+F620*(Supuestos!$E$9-Supuestos!$D$9),IF(Supuestos!$C$9="Lognormal",LOGINV(F620,LN(Supuestos!$D$9)-LN(1+Supuestos!$E$9^2/Supuestos!$D$9^2)/2,SQRT(LN(1+Supuestos!$E$9^2/Supuestos!$D$9^2))),Supuestos!$D$9))))))</f>
        <v/>
      </c>
      <c r="N620" s="32">
        <f>MIN(IF(Supuestos!$H$10="",1E+99,Supuestos!$H$10),MAX(IF(Supuestos!$G$10="",-1E+99,Supuestos!$G$10),IF(Supuestos!$C$10="Normal",NORMINV(G620,Supuestos!$D$10,Supuestos!$E$10),IF(Supuestos!$C$10="Triangular",IF(G620&lt;(Supuestos!$E$10-Supuestos!$D$10)/(Supuestos!$F$10-Supuestos!$D$10),Supuestos!$D$10+SQRT(G620*(Supuestos!$F$10-Supuestos!$D$10)*(Supuestos!$E$10-Supuestos!$D$10)),Supuestos!$F$10-SQRT((1-G620)*(Supuestos!$F$10-Supuestos!$D$10)*(Supuestos!$F$10-Supuestos!$E$10))),IF(Supuestos!$C$10="Uniforme",Supuestos!$D$10+G620*(Supuestos!$E$10-Supuestos!$D$10),IF(Supuestos!$C$10="Lognormal",LOGINV(G620,LN(Supuestos!$D$10)-LN(1+Supuestos!$E$10^2/Supuestos!$D$10^2)/2,SQRT(LN(1+Supuestos!$E$10^2/Supuestos!$D$10^2))),Supuestos!$D$10))))))</f>
        <v/>
      </c>
      <c r="O620" s="31">
        <f>MIN(IF(Supuestos!$H$11="",1E+99,Supuestos!$H$11),MAX(IF(Supuestos!$G$11="",-1E+99,Supuestos!$G$11),IF(Supuestos!$C$11="Normal",NORMINV(H620,Supuestos!$D$11,Supuestos!$E$11),IF(Supuestos!$C$11="Triangular",IF(H620&lt;(Supuestos!$E$11-Supuestos!$D$11)/(Supuestos!$F$11-Supuestos!$D$11),Supuestos!$D$11+SQRT(H620*(Supuestos!$F$11-Supuestos!$D$11)*(Supuestos!$E$11-Supuestos!$D$11)),Supuestos!$F$11-SQRT((1-H620)*(Supuestos!$F$11-Supuestos!$D$11)*(Supuestos!$F$11-Supuestos!$E$11))),IF(Supuestos!$C$11="Uniforme",Supuestos!$D$11+H620*(Supuestos!$E$11-Supuestos!$D$11),IF(Supuestos!$C$11="Lognormal",LOGINV(H620,LN(Supuestos!$D$11)-LN(1+Supuestos!$E$11^2/Supuestos!$D$11^2)/2,SQRT(LN(1+Supuestos!$E$11^2/Supuestos!$D$11^2))),Supuestos!$D$11))))))</f>
        <v/>
      </c>
      <c r="P620" s="33">
        <f>-I620</f>
        <v/>
      </c>
      <c r="Q620" s="33">
        <f>$J620*(1+$K620)^(1-1)*(1-$L620)*(1-$M620)</f>
        <v/>
      </c>
      <c r="R620" s="33">
        <f>$J620*(1+$K620)^(2-1)*(1-$L620)*(1-$M620)</f>
        <v/>
      </c>
      <c r="S620" s="33">
        <f>$J620*(1+$K620)^(3-1)*(1-$L620)*(1-$M620)</f>
        <v/>
      </c>
      <c r="T620" s="33">
        <f>$J620*(1+$K620)^(4-1)*(1-$L620)*(1-$M620)</f>
        <v/>
      </c>
      <c r="U620" s="33">
        <f>$J620*(1+$K620)^(5-1)*(1-$L620)*(1-$M620)+$O620</f>
        <v/>
      </c>
      <c r="V620" s="33">
        <f>P620+NPV($N620,Q620:U620)</f>
        <v/>
      </c>
      <c r="W620" s="32">
        <f>IFERROR(IRR(P620:U620,0.1),"")</f>
        <v/>
      </c>
    </row>
    <row r="621">
      <c r="A621" s="14" t="n">
        <v>617</v>
      </c>
      <c r="B621" s="30">
        <f>RAND()*(1-2E-6)+1E-6</f>
        <v/>
      </c>
      <c r="C621" s="30">
        <f>RAND()*(1-2E-6)+1E-6</f>
        <v/>
      </c>
      <c r="D621" s="30">
        <f>RAND()*(1-2E-6)+1E-6</f>
        <v/>
      </c>
      <c r="E621" s="30">
        <f>RAND()*(1-2E-6)+1E-6</f>
        <v/>
      </c>
      <c r="F621" s="30">
        <f>RAND()*(1-2E-6)+1E-6</f>
        <v/>
      </c>
      <c r="G621" s="30">
        <f>RAND()*(1-2E-6)+1E-6</f>
        <v/>
      </c>
      <c r="H621" s="30">
        <f>RAND()*(1-2E-6)+1E-6</f>
        <v/>
      </c>
      <c r="I621" s="31">
        <f>MIN(IF(Supuestos!$H$5="",1E+99,Supuestos!$H$5),MAX(IF(Supuestos!$G$5="",-1E+99,Supuestos!$G$5),IF(Supuestos!$C$5="Normal",NORMINV(B621,Supuestos!$D$5,Supuestos!$E$5),IF(Supuestos!$C$5="Triangular",IF(B621&lt;(Supuestos!$E$5-Supuestos!$D$5)/(Supuestos!$F$5-Supuestos!$D$5),Supuestos!$D$5+SQRT(B621*(Supuestos!$F$5-Supuestos!$D$5)*(Supuestos!$E$5-Supuestos!$D$5)),Supuestos!$F$5-SQRT((1-B621)*(Supuestos!$F$5-Supuestos!$D$5)*(Supuestos!$F$5-Supuestos!$E$5))),IF(Supuestos!$C$5="Uniforme",Supuestos!$D$5+B621*(Supuestos!$E$5-Supuestos!$D$5),IF(Supuestos!$C$5="Lognormal",LOGINV(B621,LN(Supuestos!$D$5)-LN(1+Supuestos!$E$5^2/Supuestos!$D$5^2)/2,SQRT(LN(1+Supuestos!$E$5^2/Supuestos!$D$5^2))),Supuestos!$D$5))))))</f>
        <v/>
      </c>
      <c r="J621" s="31">
        <f>MIN(IF(Supuestos!$H$6="",1E+99,Supuestos!$H$6),MAX(IF(Supuestos!$G$6="",-1E+99,Supuestos!$G$6),IF(Supuestos!$C$6="Normal",NORMINV(C621,Supuestos!$D$6,Supuestos!$E$6),IF(Supuestos!$C$6="Triangular",IF(C621&lt;(Supuestos!$E$6-Supuestos!$D$6)/(Supuestos!$F$6-Supuestos!$D$6),Supuestos!$D$6+SQRT(C621*(Supuestos!$F$6-Supuestos!$D$6)*(Supuestos!$E$6-Supuestos!$D$6)),Supuestos!$F$6-SQRT((1-C621)*(Supuestos!$F$6-Supuestos!$D$6)*(Supuestos!$F$6-Supuestos!$E$6))),IF(Supuestos!$C$6="Uniforme",Supuestos!$D$6+C621*(Supuestos!$E$6-Supuestos!$D$6),IF(Supuestos!$C$6="Lognormal",LOGINV(C621,LN(Supuestos!$D$6)-LN(1+Supuestos!$E$6^2/Supuestos!$D$6^2)/2,SQRT(LN(1+Supuestos!$E$6^2/Supuestos!$D$6^2))),Supuestos!$D$6))))))</f>
        <v/>
      </c>
      <c r="K621" s="32">
        <f>MIN(IF(Supuestos!$H$7="",1E+99,Supuestos!$H$7),MAX(IF(Supuestos!$G$7="",-1E+99,Supuestos!$G$7),IF(Supuestos!$C$7="Normal",NORMINV(D621,Supuestos!$D$7,Supuestos!$E$7),IF(Supuestos!$C$7="Triangular",IF(D621&lt;(Supuestos!$E$7-Supuestos!$D$7)/(Supuestos!$F$7-Supuestos!$D$7),Supuestos!$D$7+SQRT(D621*(Supuestos!$F$7-Supuestos!$D$7)*(Supuestos!$E$7-Supuestos!$D$7)),Supuestos!$F$7-SQRT((1-D621)*(Supuestos!$F$7-Supuestos!$D$7)*(Supuestos!$F$7-Supuestos!$E$7))),IF(Supuestos!$C$7="Uniforme",Supuestos!$D$7+D621*(Supuestos!$E$7-Supuestos!$D$7),IF(Supuestos!$C$7="Lognormal",LOGINV(D621,LN(Supuestos!$D$7)-LN(1+Supuestos!$E$7^2/Supuestos!$D$7^2)/2,SQRT(LN(1+Supuestos!$E$7^2/Supuestos!$D$7^2))),Supuestos!$D$7))))))</f>
        <v/>
      </c>
      <c r="L621" s="32">
        <f>MIN(IF(Supuestos!$H$8="",1E+99,Supuestos!$H$8),MAX(IF(Supuestos!$G$8="",-1E+99,Supuestos!$G$8),IF(Supuestos!$C$8="Normal",NORMINV(E621,Supuestos!$D$8,Supuestos!$E$8),IF(Supuestos!$C$8="Triangular",IF(E621&lt;(Supuestos!$E$8-Supuestos!$D$8)/(Supuestos!$F$8-Supuestos!$D$8),Supuestos!$D$8+SQRT(E621*(Supuestos!$F$8-Supuestos!$D$8)*(Supuestos!$E$8-Supuestos!$D$8)),Supuestos!$F$8-SQRT((1-E621)*(Supuestos!$F$8-Supuestos!$D$8)*(Supuestos!$F$8-Supuestos!$E$8))),IF(Supuestos!$C$8="Uniforme",Supuestos!$D$8+E621*(Supuestos!$E$8-Supuestos!$D$8),IF(Supuestos!$C$8="Lognormal",LOGINV(E621,LN(Supuestos!$D$8)-LN(1+Supuestos!$E$8^2/Supuestos!$D$8^2)/2,SQRT(LN(1+Supuestos!$E$8^2/Supuestos!$D$8^2))),Supuestos!$D$8))))))</f>
        <v/>
      </c>
      <c r="M621" s="32">
        <f>MIN(IF(Supuestos!$H$9="",1E+99,Supuestos!$H$9),MAX(IF(Supuestos!$G$9="",-1E+99,Supuestos!$G$9),IF(Supuestos!$C$9="Normal",NORMINV(F621,Supuestos!$D$9,Supuestos!$E$9),IF(Supuestos!$C$9="Triangular",IF(F621&lt;(Supuestos!$E$9-Supuestos!$D$9)/(Supuestos!$F$9-Supuestos!$D$9),Supuestos!$D$9+SQRT(F621*(Supuestos!$F$9-Supuestos!$D$9)*(Supuestos!$E$9-Supuestos!$D$9)),Supuestos!$F$9-SQRT((1-F621)*(Supuestos!$F$9-Supuestos!$D$9)*(Supuestos!$F$9-Supuestos!$E$9))),IF(Supuestos!$C$9="Uniforme",Supuestos!$D$9+F621*(Supuestos!$E$9-Supuestos!$D$9),IF(Supuestos!$C$9="Lognormal",LOGINV(F621,LN(Supuestos!$D$9)-LN(1+Supuestos!$E$9^2/Supuestos!$D$9^2)/2,SQRT(LN(1+Supuestos!$E$9^2/Supuestos!$D$9^2))),Supuestos!$D$9))))))</f>
        <v/>
      </c>
      <c r="N621" s="32">
        <f>MIN(IF(Supuestos!$H$10="",1E+99,Supuestos!$H$10),MAX(IF(Supuestos!$G$10="",-1E+99,Supuestos!$G$10),IF(Supuestos!$C$10="Normal",NORMINV(G621,Supuestos!$D$10,Supuestos!$E$10),IF(Supuestos!$C$10="Triangular",IF(G621&lt;(Supuestos!$E$10-Supuestos!$D$10)/(Supuestos!$F$10-Supuestos!$D$10),Supuestos!$D$10+SQRT(G621*(Supuestos!$F$10-Supuestos!$D$10)*(Supuestos!$E$10-Supuestos!$D$10)),Supuestos!$F$10-SQRT((1-G621)*(Supuestos!$F$10-Supuestos!$D$10)*(Supuestos!$F$10-Supuestos!$E$10))),IF(Supuestos!$C$10="Uniforme",Supuestos!$D$10+G621*(Supuestos!$E$10-Supuestos!$D$10),IF(Supuestos!$C$10="Lognormal",LOGINV(G621,LN(Supuestos!$D$10)-LN(1+Supuestos!$E$10^2/Supuestos!$D$10^2)/2,SQRT(LN(1+Supuestos!$E$10^2/Supuestos!$D$10^2))),Supuestos!$D$10))))))</f>
        <v/>
      </c>
      <c r="O621" s="31">
        <f>MIN(IF(Supuestos!$H$11="",1E+99,Supuestos!$H$11),MAX(IF(Supuestos!$G$11="",-1E+99,Supuestos!$G$11),IF(Supuestos!$C$11="Normal",NORMINV(H621,Supuestos!$D$11,Supuestos!$E$11),IF(Supuestos!$C$11="Triangular",IF(H621&lt;(Supuestos!$E$11-Supuestos!$D$11)/(Supuestos!$F$11-Supuestos!$D$11),Supuestos!$D$11+SQRT(H621*(Supuestos!$F$11-Supuestos!$D$11)*(Supuestos!$E$11-Supuestos!$D$11)),Supuestos!$F$11-SQRT((1-H621)*(Supuestos!$F$11-Supuestos!$D$11)*(Supuestos!$F$11-Supuestos!$E$11))),IF(Supuestos!$C$11="Uniforme",Supuestos!$D$11+H621*(Supuestos!$E$11-Supuestos!$D$11),IF(Supuestos!$C$11="Lognormal",LOGINV(H621,LN(Supuestos!$D$11)-LN(1+Supuestos!$E$11^2/Supuestos!$D$11^2)/2,SQRT(LN(1+Supuestos!$E$11^2/Supuestos!$D$11^2))),Supuestos!$D$11))))))</f>
        <v/>
      </c>
      <c r="P621" s="33">
        <f>-I621</f>
        <v/>
      </c>
      <c r="Q621" s="33">
        <f>$J621*(1+$K621)^(1-1)*(1-$L621)*(1-$M621)</f>
        <v/>
      </c>
      <c r="R621" s="33">
        <f>$J621*(1+$K621)^(2-1)*(1-$L621)*(1-$M621)</f>
        <v/>
      </c>
      <c r="S621" s="33">
        <f>$J621*(1+$K621)^(3-1)*(1-$L621)*(1-$M621)</f>
        <v/>
      </c>
      <c r="T621" s="33">
        <f>$J621*(1+$K621)^(4-1)*(1-$L621)*(1-$M621)</f>
        <v/>
      </c>
      <c r="U621" s="33">
        <f>$J621*(1+$K621)^(5-1)*(1-$L621)*(1-$M621)+$O621</f>
        <v/>
      </c>
      <c r="V621" s="33">
        <f>P621+NPV($N621,Q621:U621)</f>
        <v/>
      </c>
      <c r="W621" s="32">
        <f>IFERROR(IRR(P621:U621,0.1),"")</f>
        <v/>
      </c>
    </row>
    <row r="622">
      <c r="A622" s="14" t="n">
        <v>618</v>
      </c>
      <c r="B622" s="30">
        <f>RAND()*(1-2E-6)+1E-6</f>
        <v/>
      </c>
      <c r="C622" s="30">
        <f>RAND()*(1-2E-6)+1E-6</f>
        <v/>
      </c>
      <c r="D622" s="30">
        <f>RAND()*(1-2E-6)+1E-6</f>
        <v/>
      </c>
      <c r="E622" s="30">
        <f>RAND()*(1-2E-6)+1E-6</f>
        <v/>
      </c>
      <c r="F622" s="30">
        <f>RAND()*(1-2E-6)+1E-6</f>
        <v/>
      </c>
      <c r="G622" s="30">
        <f>RAND()*(1-2E-6)+1E-6</f>
        <v/>
      </c>
      <c r="H622" s="30">
        <f>RAND()*(1-2E-6)+1E-6</f>
        <v/>
      </c>
      <c r="I622" s="31">
        <f>MIN(IF(Supuestos!$H$5="",1E+99,Supuestos!$H$5),MAX(IF(Supuestos!$G$5="",-1E+99,Supuestos!$G$5),IF(Supuestos!$C$5="Normal",NORMINV(B622,Supuestos!$D$5,Supuestos!$E$5),IF(Supuestos!$C$5="Triangular",IF(B622&lt;(Supuestos!$E$5-Supuestos!$D$5)/(Supuestos!$F$5-Supuestos!$D$5),Supuestos!$D$5+SQRT(B622*(Supuestos!$F$5-Supuestos!$D$5)*(Supuestos!$E$5-Supuestos!$D$5)),Supuestos!$F$5-SQRT((1-B622)*(Supuestos!$F$5-Supuestos!$D$5)*(Supuestos!$F$5-Supuestos!$E$5))),IF(Supuestos!$C$5="Uniforme",Supuestos!$D$5+B622*(Supuestos!$E$5-Supuestos!$D$5),IF(Supuestos!$C$5="Lognormal",LOGINV(B622,LN(Supuestos!$D$5)-LN(1+Supuestos!$E$5^2/Supuestos!$D$5^2)/2,SQRT(LN(1+Supuestos!$E$5^2/Supuestos!$D$5^2))),Supuestos!$D$5))))))</f>
        <v/>
      </c>
      <c r="J622" s="31">
        <f>MIN(IF(Supuestos!$H$6="",1E+99,Supuestos!$H$6),MAX(IF(Supuestos!$G$6="",-1E+99,Supuestos!$G$6),IF(Supuestos!$C$6="Normal",NORMINV(C622,Supuestos!$D$6,Supuestos!$E$6),IF(Supuestos!$C$6="Triangular",IF(C622&lt;(Supuestos!$E$6-Supuestos!$D$6)/(Supuestos!$F$6-Supuestos!$D$6),Supuestos!$D$6+SQRT(C622*(Supuestos!$F$6-Supuestos!$D$6)*(Supuestos!$E$6-Supuestos!$D$6)),Supuestos!$F$6-SQRT((1-C622)*(Supuestos!$F$6-Supuestos!$D$6)*(Supuestos!$F$6-Supuestos!$E$6))),IF(Supuestos!$C$6="Uniforme",Supuestos!$D$6+C622*(Supuestos!$E$6-Supuestos!$D$6),IF(Supuestos!$C$6="Lognormal",LOGINV(C622,LN(Supuestos!$D$6)-LN(1+Supuestos!$E$6^2/Supuestos!$D$6^2)/2,SQRT(LN(1+Supuestos!$E$6^2/Supuestos!$D$6^2))),Supuestos!$D$6))))))</f>
        <v/>
      </c>
      <c r="K622" s="32">
        <f>MIN(IF(Supuestos!$H$7="",1E+99,Supuestos!$H$7),MAX(IF(Supuestos!$G$7="",-1E+99,Supuestos!$G$7),IF(Supuestos!$C$7="Normal",NORMINV(D622,Supuestos!$D$7,Supuestos!$E$7),IF(Supuestos!$C$7="Triangular",IF(D622&lt;(Supuestos!$E$7-Supuestos!$D$7)/(Supuestos!$F$7-Supuestos!$D$7),Supuestos!$D$7+SQRT(D622*(Supuestos!$F$7-Supuestos!$D$7)*(Supuestos!$E$7-Supuestos!$D$7)),Supuestos!$F$7-SQRT((1-D622)*(Supuestos!$F$7-Supuestos!$D$7)*(Supuestos!$F$7-Supuestos!$E$7))),IF(Supuestos!$C$7="Uniforme",Supuestos!$D$7+D622*(Supuestos!$E$7-Supuestos!$D$7),IF(Supuestos!$C$7="Lognormal",LOGINV(D622,LN(Supuestos!$D$7)-LN(1+Supuestos!$E$7^2/Supuestos!$D$7^2)/2,SQRT(LN(1+Supuestos!$E$7^2/Supuestos!$D$7^2))),Supuestos!$D$7))))))</f>
        <v/>
      </c>
      <c r="L622" s="32">
        <f>MIN(IF(Supuestos!$H$8="",1E+99,Supuestos!$H$8),MAX(IF(Supuestos!$G$8="",-1E+99,Supuestos!$G$8),IF(Supuestos!$C$8="Normal",NORMINV(E622,Supuestos!$D$8,Supuestos!$E$8),IF(Supuestos!$C$8="Triangular",IF(E622&lt;(Supuestos!$E$8-Supuestos!$D$8)/(Supuestos!$F$8-Supuestos!$D$8),Supuestos!$D$8+SQRT(E622*(Supuestos!$F$8-Supuestos!$D$8)*(Supuestos!$E$8-Supuestos!$D$8)),Supuestos!$F$8-SQRT((1-E622)*(Supuestos!$F$8-Supuestos!$D$8)*(Supuestos!$F$8-Supuestos!$E$8))),IF(Supuestos!$C$8="Uniforme",Supuestos!$D$8+E622*(Supuestos!$E$8-Supuestos!$D$8),IF(Supuestos!$C$8="Lognormal",LOGINV(E622,LN(Supuestos!$D$8)-LN(1+Supuestos!$E$8^2/Supuestos!$D$8^2)/2,SQRT(LN(1+Supuestos!$E$8^2/Supuestos!$D$8^2))),Supuestos!$D$8))))))</f>
        <v/>
      </c>
      <c r="M622" s="32">
        <f>MIN(IF(Supuestos!$H$9="",1E+99,Supuestos!$H$9),MAX(IF(Supuestos!$G$9="",-1E+99,Supuestos!$G$9),IF(Supuestos!$C$9="Normal",NORMINV(F622,Supuestos!$D$9,Supuestos!$E$9),IF(Supuestos!$C$9="Triangular",IF(F622&lt;(Supuestos!$E$9-Supuestos!$D$9)/(Supuestos!$F$9-Supuestos!$D$9),Supuestos!$D$9+SQRT(F622*(Supuestos!$F$9-Supuestos!$D$9)*(Supuestos!$E$9-Supuestos!$D$9)),Supuestos!$F$9-SQRT((1-F622)*(Supuestos!$F$9-Supuestos!$D$9)*(Supuestos!$F$9-Supuestos!$E$9))),IF(Supuestos!$C$9="Uniforme",Supuestos!$D$9+F622*(Supuestos!$E$9-Supuestos!$D$9),IF(Supuestos!$C$9="Lognormal",LOGINV(F622,LN(Supuestos!$D$9)-LN(1+Supuestos!$E$9^2/Supuestos!$D$9^2)/2,SQRT(LN(1+Supuestos!$E$9^2/Supuestos!$D$9^2))),Supuestos!$D$9))))))</f>
        <v/>
      </c>
      <c r="N622" s="32">
        <f>MIN(IF(Supuestos!$H$10="",1E+99,Supuestos!$H$10),MAX(IF(Supuestos!$G$10="",-1E+99,Supuestos!$G$10),IF(Supuestos!$C$10="Normal",NORMINV(G622,Supuestos!$D$10,Supuestos!$E$10),IF(Supuestos!$C$10="Triangular",IF(G622&lt;(Supuestos!$E$10-Supuestos!$D$10)/(Supuestos!$F$10-Supuestos!$D$10),Supuestos!$D$10+SQRT(G622*(Supuestos!$F$10-Supuestos!$D$10)*(Supuestos!$E$10-Supuestos!$D$10)),Supuestos!$F$10-SQRT((1-G622)*(Supuestos!$F$10-Supuestos!$D$10)*(Supuestos!$F$10-Supuestos!$E$10))),IF(Supuestos!$C$10="Uniforme",Supuestos!$D$10+G622*(Supuestos!$E$10-Supuestos!$D$10),IF(Supuestos!$C$10="Lognormal",LOGINV(G622,LN(Supuestos!$D$10)-LN(1+Supuestos!$E$10^2/Supuestos!$D$10^2)/2,SQRT(LN(1+Supuestos!$E$10^2/Supuestos!$D$10^2))),Supuestos!$D$10))))))</f>
        <v/>
      </c>
      <c r="O622" s="31">
        <f>MIN(IF(Supuestos!$H$11="",1E+99,Supuestos!$H$11),MAX(IF(Supuestos!$G$11="",-1E+99,Supuestos!$G$11),IF(Supuestos!$C$11="Normal",NORMINV(H622,Supuestos!$D$11,Supuestos!$E$11),IF(Supuestos!$C$11="Triangular",IF(H622&lt;(Supuestos!$E$11-Supuestos!$D$11)/(Supuestos!$F$11-Supuestos!$D$11),Supuestos!$D$11+SQRT(H622*(Supuestos!$F$11-Supuestos!$D$11)*(Supuestos!$E$11-Supuestos!$D$11)),Supuestos!$F$11-SQRT((1-H622)*(Supuestos!$F$11-Supuestos!$D$11)*(Supuestos!$F$11-Supuestos!$E$11))),IF(Supuestos!$C$11="Uniforme",Supuestos!$D$11+H622*(Supuestos!$E$11-Supuestos!$D$11),IF(Supuestos!$C$11="Lognormal",LOGINV(H622,LN(Supuestos!$D$11)-LN(1+Supuestos!$E$11^2/Supuestos!$D$11^2)/2,SQRT(LN(1+Supuestos!$E$11^2/Supuestos!$D$11^2))),Supuestos!$D$11))))))</f>
        <v/>
      </c>
      <c r="P622" s="33">
        <f>-I622</f>
        <v/>
      </c>
      <c r="Q622" s="33">
        <f>$J622*(1+$K622)^(1-1)*(1-$L622)*(1-$M622)</f>
        <v/>
      </c>
      <c r="R622" s="33">
        <f>$J622*(1+$K622)^(2-1)*(1-$L622)*(1-$M622)</f>
        <v/>
      </c>
      <c r="S622" s="33">
        <f>$J622*(1+$K622)^(3-1)*(1-$L622)*(1-$M622)</f>
        <v/>
      </c>
      <c r="T622" s="33">
        <f>$J622*(1+$K622)^(4-1)*(1-$L622)*(1-$M622)</f>
        <v/>
      </c>
      <c r="U622" s="33">
        <f>$J622*(1+$K622)^(5-1)*(1-$L622)*(1-$M622)+$O622</f>
        <v/>
      </c>
      <c r="V622" s="33">
        <f>P622+NPV($N622,Q622:U622)</f>
        <v/>
      </c>
      <c r="W622" s="32">
        <f>IFERROR(IRR(P622:U622,0.1),"")</f>
        <v/>
      </c>
    </row>
    <row r="623">
      <c r="A623" s="14" t="n">
        <v>619</v>
      </c>
      <c r="B623" s="30">
        <f>RAND()*(1-2E-6)+1E-6</f>
        <v/>
      </c>
      <c r="C623" s="30">
        <f>RAND()*(1-2E-6)+1E-6</f>
        <v/>
      </c>
      <c r="D623" s="30">
        <f>RAND()*(1-2E-6)+1E-6</f>
        <v/>
      </c>
      <c r="E623" s="30">
        <f>RAND()*(1-2E-6)+1E-6</f>
        <v/>
      </c>
      <c r="F623" s="30">
        <f>RAND()*(1-2E-6)+1E-6</f>
        <v/>
      </c>
      <c r="G623" s="30">
        <f>RAND()*(1-2E-6)+1E-6</f>
        <v/>
      </c>
      <c r="H623" s="30">
        <f>RAND()*(1-2E-6)+1E-6</f>
        <v/>
      </c>
      <c r="I623" s="31">
        <f>MIN(IF(Supuestos!$H$5="",1E+99,Supuestos!$H$5),MAX(IF(Supuestos!$G$5="",-1E+99,Supuestos!$G$5),IF(Supuestos!$C$5="Normal",NORMINV(B623,Supuestos!$D$5,Supuestos!$E$5),IF(Supuestos!$C$5="Triangular",IF(B623&lt;(Supuestos!$E$5-Supuestos!$D$5)/(Supuestos!$F$5-Supuestos!$D$5),Supuestos!$D$5+SQRT(B623*(Supuestos!$F$5-Supuestos!$D$5)*(Supuestos!$E$5-Supuestos!$D$5)),Supuestos!$F$5-SQRT((1-B623)*(Supuestos!$F$5-Supuestos!$D$5)*(Supuestos!$F$5-Supuestos!$E$5))),IF(Supuestos!$C$5="Uniforme",Supuestos!$D$5+B623*(Supuestos!$E$5-Supuestos!$D$5),IF(Supuestos!$C$5="Lognormal",LOGINV(B623,LN(Supuestos!$D$5)-LN(1+Supuestos!$E$5^2/Supuestos!$D$5^2)/2,SQRT(LN(1+Supuestos!$E$5^2/Supuestos!$D$5^2))),Supuestos!$D$5))))))</f>
        <v/>
      </c>
      <c r="J623" s="31">
        <f>MIN(IF(Supuestos!$H$6="",1E+99,Supuestos!$H$6),MAX(IF(Supuestos!$G$6="",-1E+99,Supuestos!$G$6),IF(Supuestos!$C$6="Normal",NORMINV(C623,Supuestos!$D$6,Supuestos!$E$6),IF(Supuestos!$C$6="Triangular",IF(C623&lt;(Supuestos!$E$6-Supuestos!$D$6)/(Supuestos!$F$6-Supuestos!$D$6),Supuestos!$D$6+SQRT(C623*(Supuestos!$F$6-Supuestos!$D$6)*(Supuestos!$E$6-Supuestos!$D$6)),Supuestos!$F$6-SQRT((1-C623)*(Supuestos!$F$6-Supuestos!$D$6)*(Supuestos!$F$6-Supuestos!$E$6))),IF(Supuestos!$C$6="Uniforme",Supuestos!$D$6+C623*(Supuestos!$E$6-Supuestos!$D$6),IF(Supuestos!$C$6="Lognormal",LOGINV(C623,LN(Supuestos!$D$6)-LN(1+Supuestos!$E$6^2/Supuestos!$D$6^2)/2,SQRT(LN(1+Supuestos!$E$6^2/Supuestos!$D$6^2))),Supuestos!$D$6))))))</f>
        <v/>
      </c>
      <c r="K623" s="32">
        <f>MIN(IF(Supuestos!$H$7="",1E+99,Supuestos!$H$7),MAX(IF(Supuestos!$G$7="",-1E+99,Supuestos!$G$7),IF(Supuestos!$C$7="Normal",NORMINV(D623,Supuestos!$D$7,Supuestos!$E$7),IF(Supuestos!$C$7="Triangular",IF(D623&lt;(Supuestos!$E$7-Supuestos!$D$7)/(Supuestos!$F$7-Supuestos!$D$7),Supuestos!$D$7+SQRT(D623*(Supuestos!$F$7-Supuestos!$D$7)*(Supuestos!$E$7-Supuestos!$D$7)),Supuestos!$F$7-SQRT((1-D623)*(Supuestos!$F$7-Supuestos!$D$7)*(Supuestos!$F$7-Supuestos!$E$7))),IF(Supuestos!$C$7="Uniforme",Supuestos!$D$7+D623*(Supuestos!$E$7-Supuestos!$D$7),IF(Supuestos!$C$7="Lognormal",LOGINV(D623,LN(Supuestos!$D$7)-LN(1+Supuestos!$E$7^2/Supuestos!$D$7^2)/2,SQRT(LN(1+Supuestos!$E$7^2/Supuestos!$D$7^2))),Supuestos!$D$7))))))</f>
        <v/>
      </c>
      <c r="L623" s="32">
        <f>MIN(IF(Supuestos!$H$8="",1E+99,Supuestos!$H$8),MAX(IF(Supuestos!$G$8="",-1E+99,Supuestos!$G$8),IF(Supuestos!$C$8="Normal",NORMINV(E623,Supuestos!$D$8,Supuestos!$E$8),IF(Supuestos!$C$8="Triangular",IF(E623&lt;(Supuestos!$E$8-Supuestos!$D$8)/(Supuestos!$F$8-Supuestos!$D$8),Supuestos!$D$8+SQRT(E623*(Supuestos!$F$8-Supuestos!$D$8)*(Supuestos!$E$8-Supuestos!$D$8)),Supuestos!$F$8-SQRT((1-E623)*(Supuestos!$F$8-Supuestos!$D$8)*(Supuestos!$F$8-Supuestos!$E$8))),IF(Supuestos!$C$8="Uniforme",Supuestos!$D$8+E623*(Supuestos!$E$8-Supuestos!$D$8),IF(Supuestos!$C$8="Lognormal",LOGINV(E623,LN(Supuestos!$D$8)-LN(1+Supuestos!$E$8^2/Supuestos!$D$8^2)/2,SQRT(LN(1+Supuestos!$E$8^2/Supuestos!$D$8^2))),Supuestos!$D$8))))))</f>
        <v/>
      </c>
      <c r="M623" s="32">
        <f>MIN(IF(Supuestos!$H$9="",1E+99,Supuestos!$H$9),MAX(IF(Supuestos!$G$9="",-1E+99,Supuestos!$G$9),IF(Supuestos!$C$9="Normal",NORMINV(F623,Supuestos!$D$9,Supuestos!$E$9),IF(Supuestos!$C$9="Triangular",IF(F623&lt;(Supuestos!$E$9-Supuestos!$D$9)/(Supuestos!$F$9-Supuestos!$D$9),Supuestos!$D$9+SQRT(F623*(Supuestos!$F$9-Supuestos!$D$9)*(Supuestos!$E$9-Supuestos!$D$9)),Supuestos!$F$9-SQRT((1-F623)*(Supuestos!$F$9-Supuestos!$D$9)*(Supuestos!$F$9-Supuestos!$E$9))),IF(Supuestos!$C$9="Uniforme",Supuestos!$D$9+F623*(Supuestos!$E$9-Supuestos!$D$9),IF(Supuestos!$C$9="Lognormal",LOGINV(F623,LN(Supuestos!$D$9)-LN(1+Supuestos!$E$9^2/Supuestos!$D$9^2)/2,SQRT(LN(1+Supuestos!$E$9^2/Supuestos!$D$9^2))),Supuestos!$D$9))))))</f>
        <v/>
      </c>
      <c r="N623" s="32">
        <f>MIN(IF(Supuestos!$H$10="",1E+99,Supuestos!$H$10),MAX(IF(Supuestos!$G$10="",-1E+99,Supuestos!$G$10),IF(Supuestos!$C$10="Normal",NORMINV(G623,Supuestos!$D$10,Supuestos!$E$10),IF(Supuestos!$C$10="Triangular",IF(G623&lt;(Supuestos!$E$10-Supuestos!$D$10)/(Supuestos!$F$10-Supuestos!$D$10),Supuestos!$D$10+SQRT(G623*(Supuestos!$F$10-Supuestos!$D$10)*(Supuestos!$E$10-Supuestos!$D$10)),Supuestos!$F$10-SQRT((1-G623)*(Supuestos!$F$10-Supuestos!$D$10)*(Supuestos!$F$10-Supuestos!$E$10))),IF(Supuestos!$C$10="Uniforme",Supuestos!$D$10+G623*(Supuestos!$E$10-Supuestos!$D$10),IF(Supuestos!$C$10="Lognormal",LOGINV(G623,LN(Supuestos!$D$10)-LN(1+Supuestos!$E$10^2/Supuestos!$D$10^2)/2,SQRT(LN(1+Supuestos!$E$10^2/Supuestos!$D$10^2))),Supuestos!$D$10))))))</f>
        <v/>
      </c>
      <c r="O623" s="31">
        <f>MIN(IF(Supuestos!$H$11="",1E+99,Supuestos!$H$11),MAX(IF(Supuestos!$G$11="",-1E+99,Supuestos!$G$11),IF(Supuestos!$C$11="Normal",NORMINV(H623,Supuestos!$D$11,Supuestos!$E$11),IF(Supuestos!$C$11="Triangular",IF(H623&lt;(Supuestos!$E$11-Supuestos!$D$11)/(Supuestos!$F$11-Supuestos!$D$11),Supuestos!$D$11+SQRT(H623*(Supuestos!$F$11-Supuestos!$D$11)*(Supuestos!$E$11-Supuestos!$D$11)),Supuestos!$F$11-SQRT((1-H623)*(Supuestos!$F$11-Supuestos!$D$11)*(Supuestos!$F$11-Supuestos!$E$11))),IF(Supuestos!$C$11="Uniforme",Supuestos!$D$11+H623*(Supuestos!$E$11-Supuestos!$D$11),IF(Supuestos!$C$11="Lognormal",LOGINV(H623,LN(Supuestos!$D$11)-LN(1+Supuestos!$E$11^2/Supuestos!$D$11^2)/2,SQRT(LN(1+Supuestos!$E$11^2/Supuestos!$D$11^2))),Supuestos!$D$11))))))</f>
        <v/>
      </c>
      <c r="P623" s="33">
        <f>-I623</f>
        <v/>
      </c>
      <c r="Q623" s="33">
        <f>$J623*(1+$K623)^(1-1)*(1-$L623)*(1-$M623)</f>
        <v/>
      </c>
      <c r="R623" s="33">
        <f>$J623*(1+$K623)^(2-1)*(1-$L623)*(1-$M623)</f>
        <v/>
      </c>
      <c r="S623" s="33">
        <f>$J623*(1+$K623)^(3-1)*(1-$L623)*(1-$M623)</f>
        <v/>
      </c>
      <c r="T623" s="33">
        <f>$J623*(1+$K623)^(4-1)*(1-$L623)*(1-$M623)</f>
        <v/>
      </c>
      <c r="U623" s="33">
        <f>$J623*(1+$K623)^(5-1)*(1-$L623)*(1-$M623)+$O623</f>
        <v/>
      </c>
      <c r="V623" s="33">
        <f>P623+NPV($N623,Q623:U623)</f>
        <v/>
      </c>
      <c r="W623" s="32">
        <f>IFERROR(IRR(P623:U623,0.1),"")</f>
        <v/>
      </c>
    </row>
    <row r="624">
      <c r="A624" s="14" t="n">
        <v>620</v>
      </c>
      <c r="B624" s="30">
        <f>RAND()*(1-2E-6)+1E-6</f>
        <v/>
      </c>
      <c r="C624" s="30">
        <f>RAND()*(1-2E-6)+1E-6</f>
        <v/>
      </c>
      <c r="D624" s="30">
        <f>RAND()*(1-2E-6)+1E-6</f>
        <v/>
      </c>
      <c r="E624" s="30">
        <f>RAND()*(1-2E-6)+1E-6</f>
        <v/>
      </c>
      <c r="F624" s="30">
        <f>RAND()*(1-2E-6)+1E-6</f>
        <v/>
      </c>
      <c r="G624" s="30">
        <f>RAND()*(1-2E-6)+1E-6</f>
        <v/>
      </c>
      <c r="H624" s="30">
        <f>RAND()*(1-2E-6)+1E-6</f>
        <v/>
      </c>
      <c r="I624" s="31">
        <f>MIN(IF(Supuestos!$H$5="",1E+99,Supuestos!$H$5),MAX(IF(Supuestos!$G$5="",-1E+99,Supuestos!$G$5),IF(Supuestos!$C$5="Normal",NORMINV(B624,Supuestos!$D$5,Supuestos!$E$5),IF(Supuestos!$C$5="Triangular",IF(B624&lt;(Supuestos!$E$5-Supuestos!$D$5)/(Supuestos!$F$5-Supuestos!$D$5),Supuestos!$D$5+SQRT(B624*(Supuestos!$F$5-Supuestos!$D$5)*(Supuestos!$E$5-Supuestos!$D$5)),Supuestos!$F$5-SQRT((1-B624)*(Supuestos!$F$5-Supuestos!$D$5)*(Supuestos!$F$5-Supuestos!$E$5))),IF(Supuestos!$C$5="Uniforme",Supuestos!$D$5+B624*(Supuestos!$E$5-Supuestos!$D$5),IF(Supuestos!$C$5="Lognormal",LOGINV(B624,LN(Supuestos!$D$5)-LN(1+Supuestos!$E$5^2/Supuestos!$D$5^2)/2,SQRT(LN(1+Supuestos!$E$5^2/Supuestos!$D$5^2))),Supuestos!$D$5))))))</f>
        <v/>
      </c>
      <c r="J624" s="31">
        <f>MIN(IF(Supuestos!$H$6="",1E+99,Supuestos!$H$6),MAX(IF(Supuestos!$G$6="",-1E+99,Supuestos!$G$6),IF(Supuestos!$C$6="Normal",NORMINV(C624,Supuestos!$D$6,Supuestos!$E$6),IF(Supuestos!$C$6="Triangular",IF(C624&lt;(Supuestos!$E$6-Supuestos!$D$6)/(Supuestos!$F$6-Supuestos!$D$6),Supuestos!$D$6+SQRT(C624*(Supuestos!$F$6-Supuestos!$D$6)*(Supuestos!$E$6-Supuestos!$D$6)),Supuestos!$F$6-SQRT((1-C624)*(Supuestos!$F$6-Supuestos!$D$6)*(Supuestos!$F$6-Supuestos!$E$6))),IF(Supuestos!$C$6="Uniforme",Supuestos!$D$6+C624*(Supuestos!$E$6-Supuestos!$D$6),IF(Supuestos!$C$6="Lognormal",LOGINV(C624,LN(Supuestos!$D$6)-LN(1+Supuestos!$E$6^2/Supuestos!$D$6^2)/2,SQRT(LN(1+Supuestos!$E$6^2/Supuestos!$D$6^2))),Supuestos!$D$6))))))</f>
        <v/>
      </c>
      <c r="K624" s="32">
        <f>MIN(IF(Supuestos!$H$7="",1E+99,Supuestos!$H$7),MAX(IF(Supuestos!$G$7="",-1E+99,Supuestos!$G$7),IF(Supuestos!$C$7="Normal",NORMINV(D624,Supuestos!$D$7,Supuestos!$E$7),IF(Supuestos!$C$7="Triangular",IF(D624&lt;(Supuestos!$E$7-Supuestos!$D$7)/(Supuestos!$F$7-Supuestos!$D$7),Supuestos!$D$7+SQRT(D624*(Supuestos!$F$7-Supuestos!$D$7)*(Supuestos!$E$7-Supuestos!$D$7)),Supuestos!$F$7-SQRT((1-D624)*(Supuestos!$F$7-Supuestos!$D$7)*(Supuestos!$F$7-Supuestos!$E$7))),IF(Supuestos!$C$7="Uniforme",Supuestos!$D$7+D624*(Supuestos!$E$7-Supuestos!$D$7),IF(Supuestos!$C$7="Lognormal",LOGINV(D624,LN(Supuestos!$D$7)-LN(1+Supuestos!$E$7^2/Supuestos!$D$7^2)/2,SQRT(LN(1+Supuestos!$E$7^2/Supuestos!$D$7^2))),Supuestos!$D$7))))))</f>
        <v/>
      </c>
      <c r="L624" s="32">
        <f>MIN(IF(Supuestos!$H$8="",1E+99,Supuestos!$H$8),MAX(IF(Supuestos!$G$8="",-1E+99,Supuestos!$G$8),IF(Supuestos!$C$8="Normal",NORMINV(E624,Supuestos!$D$8,Supuestos!$E$8),IF(Supuestos!$C$8="Triangular",IF(E624&lt;(Supuestos!$E$8-Supuestos!$D$8)/(Supuestos!$F$8-Supuestos!$D$8),Supuestos!$D$8+SQRT(E624*(Supuestos!$F$8-Supuestos!$D$8)*(Supuestos!$E$8-Supuestos!$D$8)),Supuestos!$F$8-SQRT((1-E624)*(Supuestos!$F$8-Supuestos!$D$8)*(Supuestos!$F$8-Supuestos!$E$8))),IF(Supuestos!$C$8="Uniforme",Supuestos!$D$8+E624*(Supuestos!$E$8-Supuestos!$D$8),IF(Supuestos!$C$8="Lognormal",LOGINV(E624,LN(Supuestos!$D$8)-LN(1+Supuestos!$E$8^2/Supuestos!$D$8^2)/2,SQRT(LN(1+Supuestos!$E$8^2/Supuestos!$D$8^2))),Supuestos!$D$8))))))</f>
        <v/>
      </c>
      <c r="M624" s="32">
        <f>MIN(IF(Supuestos!$H$9="",1E+99,Supuestos!$H$9),MAX(IF(Supuestos!$G$9="",-1E+99,Supuestos!$G$9),IF(Supuestos!$C$9="Normal",NORMINV(F624,Supuestos!$D$9,Supuestos!$E$9),IF(Supuestos!$C$9="Triangular",IF(F624&lt;(Supuestos!$E$9-Supuestos!$D$9)/(Supuestos!$F$9-Supuestos!$D$9),Supuestos!$D$9+SQRT(F624*(Supuestos!$F$9-Supuestos!$D$9)*(Supuestos!$E$9-Supuestos!$D$9)),Supuestos!$F$9-SQRT((1-F624)*(Supuestos!$F$9-Supuestos!$D$9)*(Supuestos!$F$9-Supuestos!$E$9))),IF(Supuestos!$C$9="Uniforme",Supuestos!$D$9+F624*(Supuestos!$E$9-Supuestos!$D$9),IF(Supuestos!$C$9="Lognormal",LOGINV(F624,LN(Supuestos!$D$9)-LN(1+Supuestos!$E$9^2/Supuestos!$D$9^2)/2,SQRT(LN(1+Supuestos!$E$9^2/Supuestos!$D$9^2))),Supuestos!$D$9))))))</f>
        <v/>
      </c>
      <c r="N624" s="32">
        <f>MIN(IF(Supuestos!$H$10="",1E+99,Supuestos!$H$10),MAX(IF(Supuestos!$G$10="",-1E+99,Supuestos!$G$10),IF(Supuestos!$C$10="Normal",NORMINV(G624,Supuestos!$D$10,Supuestos!$E$10),IF(Supuestos!$C$10="Triangular",IF(G624&lt;(Supuestos!$E$10-Supuestos!$D$10)/(Supuestos!$F$10-Supuestos!$D$10),Supuestos!$D$10+SQRT(G624*(Supuestos!$F$10-Supuestos!$D$10)*(Supuestos!$E$10-Supuestos!$D$10)),Supuestos!$F$10-SQRT((1-G624)*(Supuestos!$F$10-Supuestos!$D$10)*(Supuestos!$F$10-Supuestos!$E$10))),IF(Supuestos!$C$10="Uniforme",Supuestos!$D$10+G624*(Supuestos!$E$10-Supuestos!$D$10),IF(Supuestos!$C$10="Lognormal",LOGINV(G624,LN(Supuestos!$D$10)-LN(1+Supuestos!$E$10^2/Supuestos!$D$10^2)/2,SQRT(LN(1+Supuestos!$E$10^2/Supuestos!$D$10^2))),Supuestos!$D$10))))))</f>
        <v/>
      </c>
      <c r="O624" s="31">
        <f>MIN(IF(Supuestos!$H$11="",1E+99,Supuestos!$H$11),MAX(IF(Supuestos!$G$11="",-1E+99,Supuestos!$G$11),IF(Supuestos!$C$11="Normal",NORMINV(H624,Supuestos!$D$11,Supuestos!$E$11),IF(Supuestos!$C$11="Triangular",IF(H624&lt;(Supuestos!$E$11-Supuestos!$D$11)/(Supuestos!$F$11-Supuestos!$D$11),Supuestos!$D$11+SQRT(H624*(Supuestos!$F$11-Supuestos!$D$11)*(Supuestos!$E$11-Supuestos!$D$11)),Supuestos!$F$11-SQRT((1-H624)*(Supuestos!$F$11-Supuestos!$D$11)*(Supuestos!$F$11-Supuestos!$E$11))),IF(Supuestos!$C$11="Uniforme",Supuestos!$D$11+H624*(Supuestos!$E$11-Supuestos!$D$11),IF(Supuestos!$C$11="Lognormal",LOGINV(H624,LN(Supuestos!$D$11)-LN(1+Supuestos!$E$11^2/Supuestos!$D$11^2)/2,SQRT(LN(1+Supuestos!$E$11^2/Supuestos!$D$11^2))),Supuestos!$D$11))))))</f>
        <v/>
      </c>
      <c r="P624" s="33">
        <f>-I624</f>
        <v/>
      </c>
      <c r="Q624" s="33">
        <f>$J624*(1+$K624)^(1-1)*(1-$L624)*(1-$M624)</f>
        <v/>
      </c>
      <c r="R624" s="33">
        <f>$J624*(1+$K624)^(2-1)*(1-$L624)*(1-$M624)</f>
        <v/>
      </c>
      <c r="S624" s="33">
        <f>$J624*(1+$K624)^(3-1)*(1-$L624)*(1-$M624)</f>
        <v/>
      </c>
      <c r="T624" s="33">
        <f>$J624*(1+$K624)^(4-1)*(1-$L624)*(1-$M624)</f>
        <v/>
      </c>
      <c r="U624" s="33">
        <f>$J624*(1+$K624)^(5-1)*(1-$L624)*(1-$M624)+$O624</f>
        <v/>
      </c>
      <c r="V624" s="33">
        <f>P624+NPV($N624,Q624:U624)</f>
        <v/>
      </c>
      <c r="W624" s="32">
        <f>IFERROR(IRR(P624:U624,0.1),"")</f>
        <v/>
      </c>
    </row>
    <row r="625">
      <c r="A625" s="14" t="n">
        <v>621</v>
      </c>
      <c r="B625" s="30">
        <f>RAND()*(1-2E-6)+1E-6</f>
        <v/>
      </c>
      <c r="C625" s="30">
        <f>RAND()*(1-2E-6)+1E-6</f>
        <v/>
      </c>
      <c r="D625" s="30">
        <f>RAND()*(1-2E-6)+1E-6</f>
        <v/>
      </c>
      <c r="E625" s="30">
        <f>RAND()*(1-2E-6)+1E-6</f>
        <v/>
      </c>
      <c r="F625" s="30">
        <f>RAND()*(1-2E-6)+1E-6</f>
        <v/>
      </c>
      <c r="G625" s="30">
        <f>RAND()*(1-2E-6)+1E-6</f>
        <v/>
      </c>
      <c r="H625" s="30">
        <f>RAND()*(1-2E-6)+1E-6</f>
        <v/>
      </c>
      <c r="I625" s="31">
        <f>MIN(IF(Supuestos!$H$5="",1E+99,Supuestos!$H$5),MAX(IF(Supuestos!$G$5="",-1E+99,Supuestos!$G$5),IF(Supuestos!$C$5="Normal",NORMINV(B625,Supuestos!$D$5,Supuestos!$E$5),IF(Supuestos!$C$5="Triangular",IF(B625&lt;(Supuestos!$E$5-Supuestos!$D$5)/(Supuestos!$F$5-Supuestos!$D$5),Supuestos!$D$5+SQRT(B625*(Supuestos!$F$5-Supuestos!$D$5)*(Supuestos!$E$5-Supuestos!$D$5)),Supuestos!$F$5-SQRT((1-B625)*(Supuestos!$F$5-Supuestos!$D$5)*(Supuestos!$F$5-Supuestos!$E$5))),IF(Supuestos!$C$5="Uniforme",Supuestos!$D$5+B625*(Supuestos!$E$5-Supuestos!$D$5),IF(Supuestos!$C$5="Lognormal",LOGINV(B625,LN(Supuestos!$D$5)-LN(1+Supuestos!$E$5^2/Supuestos!$D$5^2)/2,SQRT(LN(1+Supuestos!$E$5^2/Supuestos!$D$5^2))),Supuestos!$D$5))))))</f>
        <v/>
      </c>
      <c r="J625" s="31">
        <f>MIN(IF(Supuestos!$H$6="",1E+99,Supuestos!$H$6),MAX(IF(Supuestos!$G$6="",-1E+99,Supuestos!$G$6),IF(Supuestos!$C$6="Normal",NORMINV(C625,Supuestos!$D$6,Supuestos!$E$6),IF(Supuestos!$C$6="Triangular",IF(C625&lt;(Supuestos!$E$6-Supuestos!$D$6)/(Supuestos!$F$6-Supuestos!$D$6),Supuestos!$D$6+SQRT(C625*(Supuestos!$F$6-Supuestos!$D$6)*(Supuestos!$E$6-Supuestos!$D$6)),Supuestos!$F$6-SQRT((1-C625)*(Supuestos!$F$6-Supuestos!$D$6)*(Supuestos!$F$6-Supuestos!$E$6))),IF(Supuestos!$C$6="Uniforme",Supuestos!$D$6+C625*(Supuestos!$E$6-Supuestos!$D$6),IF(Supuestos!$C$6="Lognormal",LOGINV(C625,LN(Supuestos!$D$6)-LN(1+Supuestos!$E$6^2/Supuestos!$D$6^2)/2,SQRT(LN(1+Supuestos!$E$6^2/Supuestos!$D$6^2))),Supuestos!$D$6))))))</f>
        <v/>
      </c>
      <c r="K625" s="32">
        <f>MIN(IF(Supuestos!$H$7="",1E+99,Supuestos!$H$7),MAX(IF(Supuestos!$G$7="",-1E+99,Supuestos!$G$7),IF(Supuestos!$C$7="Normal",NORMINV(D625,Supuestos!$D$7,Supuestos!$E$7),IF(Supuestos!$C$7="Triangular",IF(D625&lt;(Supuestos!$E$7-Supuestos!$D$7)/(Supuestos!$F$7-Supuestos!$D$7),Supuestos!$D$7+SQRT(D625*(Supuestos!$F$7-Supuestos!$D$7)*(Supuestos!$E$7-Supuestos!$D$7)),Supuestos!$F$7-SQRT((1-D625)*(Supuestos!$F$7-Supuestos!$D$7)*(Supuestos!$F$7-Supuestos!$E$7))),IF(Supuestos!$C$7="Uniforme",Supuestos!$D$7+D625*(Supuestos!$E$7-Supuestos!$D$7),IF(Supuestos!$C$7="Lognormal",LOGINV(D625,LN(Supuestos!$D$7)-LN(1+Supuestos!$E$7^2/Supuestos!$D$7^2)/2,SQRT(LN(1+Supuestos!$E$7^2/Supuestos!$D$7^2))),Supuestos!$D$7))))))</f>
        <v/>
      </c>
      <c r="L625" s="32">
        <f>MIN(IF(Supuestos!$H$8="",1E+99,Supuestos!$H$8),MAX(IF(Supuestos!$G$8="",-1E+99,Supuestos!$G$8),IF(Supuestos!$C$8="Normal",NORMINV(E625,Supuestos!$D$8,Supuestos!$E$8),IF(Supuestos!$C$8="Triangular",IF(E625&lt;(Supuestos!$E$8-Supuestos!$D$8)/(Supuestos!$F$8-Supuestos!$D$8),Supuestos!$D$8+SQRT(E625*(Supuestos!$F$8-Supuestos!$D$8)*(Supuestos!$E$8-Supuestos!$D$8)),Supuestos!$F$8-SQRT((1-E625)*(Supuestos!$F$8-Supuestos!$D$8)*(Supuestos!$F$8-Supuestos!$E$8))),IF(Supuestos!$C$8="Uniforme",Supuestos!$D$8+E625*(Supuestos!$E$8-Supuestos!$D$8),IF(Supuestos!$C$8="Lognormal",LOGINV(E625,LN(Supuestos!$D$8)-LN(1+Supuestos!$E$8^2/Supuestos!$D$8^2)/2,SQRT(LN(1+Supuestos!$E$8^2/Supuestos!$D$8^2))),Supuestos!$D$8))))))</f>
        <v/>
      </c>
      <c r="M625" s="32">
        <f>MIN(IF(Supuestos!$H$9="",1E+99,Supuestos!$H$9),MAX(IF(Supuestos!$G$9="",-1E+99,Supuestos!$G$9),IF(Supuestos!$C$9="Normal",NORMINV(F625,Supuestos!$D$9,Supuestos!$E$9),IF(Supuestos!$C$9="Triangular",IF(F625&lt;(Supuestos!$E$9-Supuestos!$D$9)/(Supuestos!$F$9-Supuestos!$D$9),Supuestos!$D$9+SQRT(F625*(Supuestos!$F$9-Supuestos!$D$9)*(Supuestos!$E$9-Supuestos!$D$9)),Supuestos!$F$9-SQRT((1-F625)*(Supuestos!$F$9-Supuestos!$D$9)*(Supuestos!$F$9-Supuestos!$E$9))),IF(Supuestos!$C$9="Uniforme",Supuestos!$D$9+F625*(Supuestos!$E$9-Supuestos!$D$9),IF(Supuestos!$C$9="Lognormal",LOGINV(F625,LN(Supuestos!$D$9)-LN(1+Supuestos!$E$9^2/Supuestos!$D$9^2)/2,SQRT(LN(1+Supuestos!$E$9^2/Supuestos!$D$9^2))),Supuestos!$D$9))))))</f>
        <v/>
      </c>
      <c r="N625" s="32">
        <f>MIN(IF(Supuestos!$H$10="",1E+99,Supuestos!$H$10),MAX(IF(Supuestos!$G$10="",-1E+99,Supuestos!$G$10),IF(Supuestos!$C$10="Normal",NORMINV(G625,Supuestos!$D$10,Supuestos!$E$10),IF(Supuestos!$C$10="Triangular",IF(G625&lt;(Supuestos!$E$10-Supuestos!$D$10)/(Supuestos!$F$10-Supuestos!$D$10),Supuestos!$D$10+SQRT(G625*(Supuestos!$F$10-Supuestos!$D$10)*(Supuestos!$E$10-Supuestos!$D$10)),Supuestos!$F$10-SQRT((1-G625)*(Supuestos!$F$10-Supuestos!$D$10)*(Supuestos!$F$10-Supuestos!$E$10))),IF(Supuestos!$C$10="Uniforme",Supuestos!$D$10+G625*(Supuestos!$E$10-Supuestos!$D$10),IF(Supuestos!$C$10="Lognormal",LOGINV(G625,LN(Supuestos!$D$10)-LN(1+Supuestos!$E$10^2/Supuestos!$D$10^2)/2,SQRT(LN(1+Supuestos!$E$10^2/Supuestos!$D$10^2))),Supuestos!$D$10))))))</f>
        <v/>
      </c>
      <c r="O625" s="31">
        <f>MIN(IF(Supuestos!$H$11="",1E+99,Supuestos!$H$11),MAX(IF(Supuestos!$G$11="",-1E+99,Supuestos!$G$11),IF(Supuestos!$C$11="Normal",NORMINV(H625,Supuestos!$D$11,Supuestos!$E$11),IF(Supuestos!$C$11="Triangular",IF(H625&lt;(Supuestos!$E$11-Supuestos!$D$11)/(Supuestos!$F$11-Supuestos!$D$11),Supuestos!$D$11+SQRT(H625*(Supuestos!$F$11-Supuestos!$D$11)*(Supuestos!$E$11-Supuestos!$D$11)),Supuestos!$F$11-SQRT((1-H625)*(Supuestos!$F$11-Supuestos!$D$11)*(Supuestos!$F$11-Supuestos!$E$11))),IF(Supuestos!$C$11="Uniforme",Supuestos!$D$11+H625*(Supuestos!$E$11-Supuestos!$D$11),IF(Supuestos!$C$11="Lognormal",LOGINV(H625,LN(Supuestos!$D$11)-LN(1+Supuestos!$E$11^2/Supuestos!$D$11^2)/2,SQRT(LN(1+Supuestos!$E$11^2/Supuestos!$D$11^2))),Supuestos!$D$11))))))</f>
        <v/>
      </c>
      <c r="P625" s="33">
        <f>-I625</f>
        <v/>
      </c>
      <c r="Q625" s="33">
        <f>$J625*(1+$K625)^(1-1)*(1-$L625)*(1-$M625)</f>
        <v/>
      </c>
      <c r="R625" s="33">
        <f>$J625*(1+$K625)^(2-1)*(1-$L625)*(1-$M625)</f>
        <v/>
      </c>
      <c r="S625" s="33">
        <f>$J625*(1+$K625)^(3-1)*(1-$L625)*(1-$M625)</f>
        <v/>
      </c>
      <c r="T625" s="33">
        <f>$J625*(1+$K625)^(4-1)*(1-$L625)*(1-$M625)</f>
        <v/>
      </c>
      <c r="U625" s="33">
        <f>$J625*(1+$K625)^(5-1)*(1-$L625)*(1-$M625)+$O625</f>
        <v/>
      </c>
      <c r="V625" s="33">
        <f>P625+NPV($N625,Q625:U625)</f>
        <v/>
      </c>
      <c r="W625" s="32">
        <f>IFERROR(IRR(P625:U625,0.1),"")</f>
        <v/>
      </c>
    </row>
    <row r="626">
      <c r="A626" s="14" t="n">
        <v>622</v>
      </c>
      <c r="B626" s="30">
        <f>RAND()*(1-2E-6)+1E-6</f>
        <v/>
      </c>
      <c r="C626" s="30">
        <f>RAND()*(1-2E-6)+1E-6</f>
        <v/>
      </c>
      <c r="D626" s="30">
        <f>RAND()*(1-2E-6)+1E-6</f>
        <v/>
      </c>
      <c r="E626" s="30">
        <f>RAND()*(1-2E-6)+1E-6</f>
        <v/>
      </c>
      <c r="F626" s="30">
        <f>RAND()*(1-2E-6)+1E-6</f>
        <v/>
      </c>
      <c r="G626" s="30">
        <f>RAND()*(1-2E-6)+1E-6</f>
        <v/>
      </c>
      <c r="H626" s="30">
        <f>RAND()*(1-2E-6)+1E-6</f>
        <v/>
      </c>
      <c r="I626" s="31">
        <f>MIN(IF(Supuestos!$H$5="",1E+99,Supuestos!$H$5),MAX(IF(Supuestos!$G$5="",-1E+99,Supuestos!$G$5),IF(Supuestos!$C$5="Normal",NORMINV(B626,Supuestos!$D$5,Supuestos!$E$5),IF(Supuestos!$C$5="Triangular",IF(B626&lt;(Supuestos!$E$5-Supuestos!$D$5)/(Supuestos!$F$5-Supuestos!$D$5),Supuestos!$D$5+SQRT(B626*(Supuestos!$F$5-Supuestos!$D$5)*(Supuestos!$E$5-Supuestos!$D$5)),Supuestos!$F$5-SQRT((1-B626)*(Supuestos!$F$5-Supuestos!$D$5)*(Supuestos!$F$5-Supuestos!$E$5))),IF(Supuestos!$C$5="Uniforme",Supuestos!$D$5+B626*(Supuestos!$E$5-Supuestos!$D$5),IF(Supuestos!$C$5="Lognormal",LOGINV(B626,LN(Supuestos!$D$5)-LN(1+Supuestos!$E$5^2/Supuestos!$D$5^2)/2,SQRT(LN(1+Supuestos!$E$5^2/Supuestos!$D$5^2))),Supuestos!$D$5))))))</f>
        <v/>
      </c>
      <c r="J626" s="31">
        <f>MIN(IF(Supuestos!$H$6="",1E+99,Supuestos!$H$6),MAX(IF(Supuestos!$G$6="",-1E+99,Supuestos!$G$6),IF(Supuestos!$C$6="Normal",NORMINV(C626,Supuestos!$D$6,Supuestos!$E$6),IF(Supuestos!$C$6="Triangular",IF(C626&lt;(Supuestos!$E$6-Supuestos!$D$6)/(Supuestos!$F$6-Supuestos!$D$6),Supuestos!$D$6+SQRT(C626*(Supuestos!$F$6-Supuestos!$D$6)*(Supuestos!$E$6-Supuestos!$D$6)),Supuestos!$F$6-SQRT((1-C626)*(Supuestos!$F$6-Supuestos!$D$6)*(Supuestos!$F$6-Supuestos!$E$6))),IF(Supuestos!$C$6="Uniforme",Supuestos!$D$6+C626*(Supuestos!$E$6-Supuestos!$D$6),IF(Supuestos!$C$6="Lognormal",LOGINV(C626,LN(Supuestos!$D$6)-LN(1+Supuestos!$E$6^2/Supuestos!$D$6^2)/2,SQRT(LN(1+Supuestos!$E$6^2/Supuestos!$D$6^2))),Supuestos!$D$6))))))</f>
        <v/>
      </c>
      <c r="K626" s="32">
        <f>MIN(IF(Supuestos!$H$7="",1E+99,Supuestos!$H$7),MAX(IF(Supuestos!$G$7="",-1E+99,Supuestos!$G$7),IF(Supuestos!$C$7="Normal",NORMINV(D626,Supuestos!$D$7,Supuestos!$E$7),IF(Supuestos!$C$7="Triangular",IF(D626&lt;(Supuestos!$E$7-Supuestos!$D$7)/(Supuestos!$F$7-Supuestos!$D$7),Supuestos!$D$7+SQRT(D626*(Supuestos!$F$7-Supuestos!$D$7)*(Supuestos!$E$7-Supuestos!$D$7)),Supuestos!$F$7-SQRT((1-D626)*(Supuestos!$F$7-Supuestos!$D$7)*(Supuestos!$F$7-Supuestos!$E$7))),IF(Supuestos!$C$7="Uniforme",Supuestos!$D$7+D626*(Supuestos!$E$7-Supuestos!$D$7),IF(Supuestos!$C$7="Lognormal",LOGINV(D626,LN(Supuestos!$D$7)-LN(1+Supuestos!$E$7^2/Supuestos!$D$7^2)/2,SQRT(LN(1+Supuestos!$E$7^2/Supuestos!$D$7^2))),Supuestos!$D$7))))))</f>
        <v/>
      </c>
      <c r="L626" s="32">
        <f>MIN(IF(Supuestos!$H$8="",1E+99,Supuestos!$H$8),MAX(IF(Supuestos!$G$8="",-1E+99,Supuestos!$G$8),IF(Supuestos!$C$8="Normal",NORMINV(E626,Supuestos!$D$8,Supuestos!$E$8),IF(Supuestos!$C$8="Triangular",IF(E626&lt;(Supuestos!$E$8-Supuestos!$D$8)/(Supuestos!$F$8-Supuestos!$D$8),Supuestos!$D$8+SQRT(E626*(Supuestos!$F$8-Supuestos!$D$8)*(Supuestos!$E$8-Supuestos!$D$8)),Supuestos!$F$8-SQRT((1-E626)*(Supuestos!$F$8-Supuestos!$D$8)*(Supuestos!$F$8-Supuestos!$E$8))),IF(Supuestos!$C$8="Uniforme",Supuestos!$D$8+E626*(Supuestos!$E$8-Supuestos!$D$8),IF(Supuestos!$C$8="Lognormal",LOGINV(E626,LN(Supuestos!$D$8)-LN(1+Supuestos!$E$8^2/Supuestos!$D$8^2)/2,SQRT(LN(1+Supuestos!$E$8^2/Supuestos!$D$8^2))),Supuestos!$D$8))))))</f>
        <v/>
      </c>
      <c r="M626" s="32">
        <f>MIN(IF(Supuestos!$H$9="",1E+99,Supuestos!$H$9),MAX(IF(Supuestos!$G$9="",-1E+99,Supuestos!$G$9),IF(Supuestos!$C$9="Normal",NORMINV(F626,Supuestos!$D$9,Supuestos!$E$9),IF(Supuestos!$C$9="Triangular",IF(F626&lt;(Supuestos!$E$9-Supuestos!$D$9)/(Supuestos!$F$9-Supuestos!$D$9),Supuestos!$D$9+SQRT(F626*(Supuestos!$F$9-Supuestos!$D$9)*(Supuestos!$E$9-Supuestos!$D$9)),Supuestos!$F$9-SQRT((1-F626)*(Supuestos!$F$9-Supuestos!$D$9)*(Supuestos!$F$9-Supuestos!$E$9))),IF(Supuestos!$C$9="Uniforme",Supuestos!$D$9+F626*(Supuestos!$E$9-Supuestos!$D$9),IF(Supuestos!$C$9="Lognormal",LOGINV(F626,LN(Supuestos!$D$9)-LN(1+Supuestos!$E$9^2/Supuestos!$D$9^2)/2,SQRT(LN(1+Supuestos!$E$9^2/Supuestos!$D$9^2))),Supuestos!$D$9))))))</f>
        <v/>
      </c>
      <c r="N626" s="32">
        <f>MIN(IF(Supuestos!$H$10="",1E+99,Supuestos!$H$10),MAX(IF(Supuestos!$G$10="",-1E+99,Supuestos!$G$10),IF(Supuestos!$C$10="Normal",NORMINV(G626,Supuestos!$D$10,Supuestos!$E$10),IF(Supuestos!$C$10="Triangular",IF(G626&lt;(Supuestos!$E$10-Supuestos!$D$10)/(Supuestos!$F$10-Supuestos!$D$10),Supuestos!$D$10+SQRT(G626*(Supuestos!$F$10-Supuestos!$D$10)*(Supuestos!$E$10-Supuestos!$D$10)),Supuestos!$F$10-SQRT((1-G626)*(Supuestos!$F$10-Supuestos!$D$10)*(Supuestos!$F$10-Supuestos!$E$10))),IF(Supuestos!$C$10="Uniforme",Supuestos!$D$10+G626*(Supuestos!$E$10-Supuestos!$D$10),IF(Supuestos!$C$10="Lognormal",LOGINV(G626,LN(Supuestos!$D$10)-LN(1+Supuestos!$E$10^2/Supuestos!$D$10^2)/2,SQRT(LN(1+Supuestos!$E$10^2/Supuestos!$D$10^2))),Supuestos!$D$10))))))</f>
        <v/>
      </c>
      <c r="O626" s="31">
        <f>MIN(IF(Supuestos!$H$11="",1E+99,Supuestos!$H$11),MAX(IF(Supuestos!$G$11="",-1E+99,Supuestos!$G$11),IF(Supuestos!$C$11="Normal",NORMINV(H626,Supuestos!$D$11,Supuestos!$E$11),IF(Supuestos!$C$11="Triangular",IF(H626&lt;(Supuestos!$E$11-Supuestos!$D$11)/(Supuestos!$F$11-Supuestos!$D$11),Supuestos!$D$11+SQRT(H626*(Supuestos!$F$11-Supuestos!$D$11)*(Supuestos!$E$11-Supuestos!$D$11)),Supuestos!$F$11-SQRT((1-H626)*(Supuestos!$F$11-Supuestos!$D$11)*(Supuestos!$F$11-Supuestos!$E$11))),IF(Supuestos!$C$11="Uniforme",Supuestos!$D$11+H626*(Supuestos!$E$11-Supuestos!$D$11),IF(Supuestos!$C$11="Lognormal",LOGINV(H626,LN(Supuestos!$D$11)-LN(1+Supuestos!$E$11^2/Supuestos!$D$11^2)/2,SQRT(LN(1+Supuestos!$E$11^2/Supuestos!$D$11^2))),Supuestos!$D$11))))))</f>
        <v/>
      </c>
      <c r="P626" s="33">
        <f>-I626</f>
        <v/>
      </c>
      <c r="Q626" s="33">
        <f>$J626*(1+$K626)^(1-1)*(1-$L626)*(1-$M626)</f>
        <v/>
      </c>
      <c r="R626" s="33">
        <f>$J626*(1+$K626)^(2-1)*(1-$L626)*(1-$M626)</f>
        <v/>
      </c>
      <c r="S626" s="33">
        <f>$J626*(1+$K626)^(3-1)*(1-$L626)*(1-$M626)</f>
        <v/>
      </c>
      <c r="T626" s="33">
        <f>$J626*(1+$K626)^(4-1)*(1-$L626)*(1-$M626)</f>
        <v/>
      </c>
      <c r="U626" s="33">
        <f>$J626*(1+$K626)^(5-1)*(1-$L626)*(1-$M626)+$O626</f>
        <v/>
      </c>
      <c r="V626" s="33">
        <f>P626+NPV($N626,Q626:U626)</f>
        <v/>
      </c>
      <c r="W626" s="32">
        <f>IFERROR(IRR(P626:U626,0.1),"")</f>
        <v/>
      </c>
    </row>
    <row r="627">
      <c r="A627" s="14" t="n">
        <v>623</v>
      </c>
      <c r="B627" s="30">
        <f>RAND()*(1-2E-6)+1E-6</f>
        <v/>
      </c>
      <c r="C627" s="30">
        <f>RAND()*(1-2E-6)+1E-6</f>
        <v/>
      </c>
      <c r="D627" s="30">
        <f>RAND()*(1-2E-6)+1E-6</f>
        <v/>
      </c>
      <c r="E627" s="30">
        <f>RAND()*(1-2E-6)+1E-6</f>
        <v/>
      </c>
      <c r="F627" s="30">
        <f>RAND()*(1-2E-6)+1E-6</f>
        <v/>
      </c>
      <c r="G627" s="30">
        <f>RAND()*(1-2E-6)+1E-6</f>
        <v/>
      </c>
      <c r="H627" s="30">
        <f>RAND()*(1-2E-6)+1E-6</f>
        <v/>
      </c>
      <c r="I627" s="31">
        <f>MIN(IF(Supuestos!$H$5="",1E+99,Supuestos!$H$5),MAX(IF(Supuestos!$G$5="",-1E+99,Supuestos!$G$5),IF(Supuestos!$C$5="Normal",NORMINV(B627,Supuestos!$D$5,Supuestos!$E$5),IF(Supuestos!$C$5="Triangular",IF(B627&lt;(Supuestos!$E$5-Supuestos!$D$5)/(Supuestos!$F$5-Supuestos!$D$5),Supuestos!$D$5+SQRT(B627*(Supuestos!$F$5-Supuestos!$D$5)*(Supuestos!$E$5-Supuestos!$D$5)),Supuestos!$F$5-SQRT((1-B627)*(Supuestos!$F$5-Supuestos!$D$5)*(Supuestos!$F$5-Supuestos!$E$5))),IF(Supuestos!$C$5="Uniforme",Supuestos!$D$5+B627*(Supuestos!$E$5-Supuestos!$D$5),IF(Supuestos!$C$5="Lognormal",LOGINV(B627,LN(Supuestos!$D$5)-LN(1+Supuestos!$E$5^2/Supuestos!$D$5^2)/2,SQRT(LN(1+Supuestos!$E$5^2/Supuestos!$D$5^2))),Supuestos!$D$5))))))</f>
        <v/>
      </c>
      <c r="J627" s="31">
        <f>MIN(IF(Supuestos!$H$6="",1E+99,Supuestos!$H$6),MAX(IF(Supuestos!$G$6="",-1E+99,Supuestos!$G$6),IF(Supuestos!$C$6="Normal",NORMINV(C627,Supuestos!$D$6,Supuestos!$E$6),IF(Supuestos!$C$6="Triangular",IF(C627&lt;(Supuestos!$E$6-Supuestos!$D$6)/(Supuestos!$F$6-Supuestos!$D$6),Supuestos!$D$6+SQRT(C627*(Supuestos!$F$6-Supuestos!$D$6)*(Supuestos!$E$6-Supuestos!$D$6)),Supuestos!$F$6-SQRT((1-C627)*(Supuestos!$F$6-Supuestos!$D$6)*(Supuestos!$F$6-Supuestos!$E$6))),IF(Supuestos!$C$6="Uniforme",Supuestos!$D$6+C627*(Supuestos!$E$6-Supuestos!$D$6),IF(Supuestos!$C$6="Lognormal",LOGINV(C627,LN(Supuestos!$D$6)-LN(1+Supuestos!$E$6^2/Supuestos!$D$6^2)/2,SQRT(LN(1+Supuestos!$E$6^2/Supuestos!$D$6^2))),Supuestos!$D$6))))))</f>
        <v/>
      </c>
      <c r="K627" s="32">
        <f>MIN(IF(Supuestos!$H$7="",1E+99,Supuestos!$H$7),MAX(IF(Supuestos!$G$7="",-1E+99,Supuestos!$G$7),IF(Supuestos!$C$7="Normal",NORMINV(D627,Supuestos!$D$7,Supuestos!$E$7),IF(Supuestos!$C$7="Triangular",IF(D627&lt;(Supuestos!$E$7-Supuestos!$D$7)/(Supuestos!$F$7-Supuestos!$D$7),Supuestos!$D$7+SQRT(D627*(Supuestos!$F$7-Supuestos!$D$7)*(Supuestos!$E$7-Supuestos!$D$7)),Supuestos!$F$7-SQRT((1-D627)*(Supuestos!$F$7-Supuestos!$D$7)*(Supuestos!$F$7-Supuestos!$E$7))),IF(Supuestos!$C$7="Uniforme",Supuestos!$D$7+D627*(Supuestos!$E$7-Supuestos!$D$7),IF(Supuestos!$C$7="Lognormal",LOGINV(D627,LN(Supuestos!$D$7)-LN(1+Supuestos!$E$7^2/Supuestos!$D$7^2)/2,SQRT(LN(1+Supuestos!$E$7^2/Supuestos!$D$7^2))),Supuestos!$D$7))))))</f>
        <v/>
      </c>
      <c r="L627" s="32">
        <f>MIN(IF(Supuestos!$H$8="",1E+99,Supuestos!$H$8),MAX(IF(Supuestos!$G$8="",-1E+99,Supuestos!$G$8),IF(Supuestos!$C$8="Normal",NORMINV(E627,Supuestos!$D$8,Supuestos!$E$8),IF(Supuestos!$C$8="Triangular",IF(E627&lt;(Supuestos!$E$8-Supuestos!$D$8)/(Supuestos!$F$8-Supuestos!$D$8),Supuestos!$D$8+SQRT(E627*(Supuestos!$F$8-Supuestos!$D$8)*(Supuestos!$E$8-Supuestos!$D$8)),Supuestos!$F$8-SQRT((1-E627)*(Supuestos!$F$8-Supuestos!$D$8)*(Supuestos!$F$8-Supuestos!$E$8))),IF(Supuestos!$C$8="Uniforme",Supuestos!$D$8+E627*(Supuestos!$E$8-Supuestos!$D$8),IF(Supuestos!$C$8="Lognormal",LOGINV(E627,LN(Supuestos!$D$8)-LN(1+Supuestos!$E$8^2/Supuestos!$D$8^2)/2,SQRT(LN(1+Supuestos!$E$8^2/Supuestos!$D$8^2))),Supuestos!$D$8))))))</f>
        <v/>
      </c>
      <c r="M627" s="32">
        <f>MIN(IF(Supuestos!$H$9="",1E+99,Supuestos!$H$9),MAX(IF(Supuestos!$G$9="",-1E+99,Supuestos!$G$9),IF(Supuestos!$C$9="Normal",NORMINV(F627,Supuestos!$D$9,Supuestos!$E$9),IF(Supuestos!$C$9="Triangular",IF(F627&lt;(Supuestos!$E$9-Supuestos!$D$9)/(Supuestos!$F$9-Supuestos!$D$9),Supuestos!$D$9+SQRT(F627*(Supuestos!$F$9-Supuestos!$D$9)*(Supuestos!$E$9-Supuestos!$D$9)),Supuestos!$F$9-SQRT((1-F627)*(Supuestos!$F$9-Supuestos!$D$9)*(Supuestos!$F$9-Supuestos!$E$9))),IF(Supuestos!$C$9="Uniforme",Supuestos!$D$9+F627*(Supuestos!$E$9-Supuestos!$D$9),IF(Supuestos!$C$9="Lognormal",LOGINV(F627,LN(Supuestos!$D$9)-LN(1+Supuestos!$E$9^2/Supuestos!$D$9^2)/2,SQRT(LN(1+Supuestos!$E$9^2/Supuestos!$D$9^2))),Supuestos!$D$9))))))</f>
        <v/>
      </c>
      <c r="N627" s="32">
        <f>MIN(IF(Supuestos!$H$10="",1E+99,Supuestos!$H$10),MAX(IF(Supuestos!$G$10="",-1E+99,Supuestos!$G$10),IF(Supuestos!$C$10="Normal",NORMINV(G627,Supuestos!$D$10,Supuestos!$E$10),IF(Supuestos!$C$10="Triangular",IF(G627&lt;(Supuestos!$E$10-Supuestos!$D$10)/(Supuestos!$F$10-Supuestos!$D$10),Supuestos!$D$10+SQRT(G627*(Supuestos!$F$10-Supuestos!$D$10)*(Supuestos!$E$10-Supuestos!$D$10)),Supuestos!$F$10-SQRT((1-G627)*(Supuestos!$F$10-Supuestos!$D$10)*(Supuestos!$F$10-Supuestos!$E$10))),IF(Supuestos!$C$10="Uniforme",Supuestos!$D$10+G627*(Supuestos!$E$10-Supuestos!$D$10),IF(Supuestos!$C$10="Lognormal",LOGINV(G627,LN(Supuestos!$D$10)-LN(1+Supuestos!$E$10^2/Supuestos!$D$10^2)/2,SQRT(LN(1+Supuestos!$E$10^2/Supuestos!$D$10^2))),Supuestos!$D$10))))))</f>
        <v/>
      </c>
      <c r="O627" s="31">
        <f>MIN(IF(Supuestos!$H$11="",1E+99,Supuestos!$H$11),MAX(IF(Supuestos!$G$11="",-1E+99,Supuestos!$G$11),IF(Supuestos!$C$11="Normal",NORMINV(H627,Supuestos!$D$11,Supuestos!$E$11),IF(Supuestos!$C$11="Triangular",IF(H627&lt;(Supuestos!$E$11-Supuestos!$D$11)/(Supuestos!$F$11-Supuestos!$D$11),Supuestos!$D$11+SQRT(H627*(Supuestos!$F$11-Supuestos!$D$11)*(Supuestos!$E$11-Supuestos!$D$11)),Supuestos!$F$11-SQRT((1-H627)*(Supuestos!$F$11-Supuestos!$D$11)*(Supuestos!$F$11-Supuestos!$E$11))),IF(Supuestos!$C$11="Uniforme",Supuestos!$D$11+H627*(Supuestos!$E$11-Supuestos!$D$11),IF(Supuestos!$C$11="Lognormal",LOGINV(H627,LN(Supuestos!$D$11)-LN(1+Supuestos!$E$11^2/Supuestos!$D$11^2)/2,SQRT(LN(1+Supuestos!$E$11^2/Supuestos!$D$11^2))),Supuestos!$D$11))))))</f>
        <v/>
      </c>
      <c r="P627" s="33">
        <f>-I627</f>
        <v/>
      </c>
      <c r="Q627" s="33">
        <f>$J627*(1+$K627)^(1-1)*(1-$L627)*(1-$M627)</f>
        <v/>
      </c>
      <c r="R627" s="33">
        <f>$J627*(1+$K627)^(2-1)*(1-$L627)*(1-$M627)</f>
        <v/>
      </c>
      <c r="S627" s="33">
        <f>$J627*(1+$K627)^(3-1)*(1-$L627)*(1-$M627)</f>
        <v/>
      </c>
      <c r="T627" s="33">
        <f>$J627*(1+$K627)^(4-1)*(1-$L627)*(1-$M627)</f>
        <v/>
      </c>
      <c r="U627" s="33">
        <f>$J627*(1+$K627)^(5-1)*(1-$L627)*(1-$M627)+$O627</f>
        <v/>
      </c>
      <c r="V627" s="33">
        <f>P627+NPV($N627,Q627:U627)</f>
        <v/>
      </c>
      <c r="W627" s="32">
        <f>IFERROR(IRR(P627:U627,0.1),"")</f>
        <v/>
      </c>
    </row>
    <row r="628">
      <c r="A628" s="14" t="n">
        <v>624</v>
      </c>
      <c r="B628" s="30">
        <f>RAND()*(1-2E-6)+1E-6</f>
        <v/>
      </c>
      <c r="C628" s="30">
        <f>RAND()*(1-2E-6)+1E-6</f>
        <v/>
      </c>
      <c r="D628" s="30">
        <f>RAND()*(1-2E-6)+1E-6</f>
        <v/>
      </c>
      <c r="E628" s="30">
        <f>RAND()*(1-2E-6)+1E-6</f>
        <v/>
      </c>
      <c r="F628" s="30">
        <f>RAND()*(1-2E-6)+1E-6</f>
        <v/>
      </c>
      <c r="G628" s="30">
        <f>RAND()*(1-2E-6)+1E-6</f>
        <v/>
      </c>
      <c r="H628" s="30">
        <f>RAND()*(1-2E-6)+1E-6</f>
        <v/>
      </c>
      <c r="I628" s="31">
        <f>MIN(IF(Supuestos!$H$5="",1E+99,Supuestos!$H$5),MAX(IF(Supuestos!$G$5="",-1E+99,Supuestos!$G$5),IF(Supuestos!$C$5="Normal",NORMINV(B628,Supuestos!$D$5,Supuestos!$E$5),IF(Supuestos!$C$5="Triangular",IF(B628&lt;(Supuestos!$E$5-Supuestos!$D$5)/(Supuestos!$F$5-Supuestos!$D$5),Supuestos!$D$5+SQRT(B628*(Supuestos!$F$5-Supuestos!$D$5)*(Supuestos!$E$5-Supuestos!$D$5)),Supuestos!$F$5-SQRT((1-B628)*(Supuestos!$F$5-Supuestos!$D$5)*(Supuestos!$F$5-Supuestos!$E$5))),IF(Supuestos!$C$5="Uniforme",Supuestos!$D$5+B628*(Supuestos!$E$5-Supuestos!$D$5),IF(Supuestos!$C$5="Lognormal",LOGINV(B628,LN(Supuestos!$D$5)-LN(1+Supuestos!$E$5^2/Supuestos!$D$5^2)/2,SQRT(LN(1+Supuestos!$E$5^2/Supuestos!$D$5^2))),Supuestos!$D$5))))))</f>
        <v/>
      </c>
      <c r="J628" s="31">
        <f>MIN(IF(Supuestos!$H$6="",1E+99,Supuestos!$H$6),MAX(IF(Supuestos!$G$6="",-1E+99,Supuestos!$G$6),IF(Supuestos!$C$6="Normal",NORMINV(C628,Supuestos!$D$6,Supuestos!$E$6),IF(Supuestos!$C$6="Triangular",IF(C628&lt;(Supuestos!$E$6-Supuestos!$D$6)/(Supuestos!$F$6-Supuestos!$D$6),Supuestos!$D$6+SQRT(C628*(Supuestos!$F$6-Supuestos!$D$6)*(Supuestos!$E$6-Supuestos!$D$6)),Supuestos!$F$6-SQRT((1-C628)*(Supuestos!$F$6-Supuestos!$D$6)*(Supuestos!$F$6-Supuestos!$E$6))),IF(Supuestos!$C$6="Uniforme",Supuestos!$D$6+C628*(Supuestos!$E$6-Supuestos!$D$6),IF(Supuestos!$C$6="Lognormal",LOGINV(C628,LN(Supuestos!$D$6)-LN(1+Supuestos!$E$6^2/Supuestos!$D$6^2)/2,SQRT(LN(1+Supuestos!$E$6^2/Supuestos!$D$6^2))),Supuestos!$D$6))))))</f>
        <v/>
      </c>
      <c r="K628" s="32">
        <f>MIN(IF(Supuestos!$H$7="",1E+99,Supuestos!$H$7),MAX(IF(Supuestos!$G$7="",-1E+99,Supuestos!$G$7),IF(Supuestos!$C$7="Normal",NORMINV(D628,Supuestos!$D$7,Supuestos!$E$7),IF(Supuestos!$C$7="Triangular",IF(D628&lt;(Supuestos!$E$7-Supuestos!$D$7)/(Supuestos!$F$7-Supuestos!$D$7),Supuestos!$D$7+SQRT(D628*(Supuestos!$F$7-Supuestos!$D$7)*(Supuestos!$E$7-Supuestos!$D$7)),Supuestos!$F$7-SQRT((1-D628)*(Supuestos!$F$7-Supuestos!$D$7)*(Supuestos!$F$7-Supuestos!$E$7))),IF(Supuestos!$C$7="Uniforme",Supuestos!$D$7+D628*(Supuestos!$E$7-Supuestos!$D$7),IF(Supuestos!$C$7="Lognormal",LOGINV(D628,LN(Supuestos!$D$7)-LN(1+Supuestos!$E$7^2/Supuestos!$D$7^2)/2,SQRT(LN(1+Supuestos!$E$7^2/Supuestos!$D$7^2))),Supuestos!$D$7))))))</f>
        <v/>
      </c>
      <c r="L628" s="32">
        <f>MIN(IF(Supuestos!$H$8="",1E+99,Supuestos!$H$8),MAX(IF(Supuestos!$G$8="",-1E+99,Supuestos!$G$8),IF(Supuestos!$C$8="Normal",NORMINV(E628,Supuestos!$D$8,Supuestos!$E$8),IF(Supuestos!$C$8="Triangular",IF(E628&lt;(Supuestos!$E$8-Supuestos!$D$8)/(Supuestos!$F$8-Supuestos!$D$8),Supuestos!$D$8+SQRT(E628*(Supuestos!$F$8-Supuestos!$D$8)*(Supuestos!$E$8-Supuestos!$D$8)),Supuestos!$F$8-SQRT((1-E628)*(Supuestos!$F$8-Supuestos!$D$8)*(Supuestos!$F$8-Supuestos!$E$8))),IF(Supuestos!$C$8="Uniforme",Supuestos!$D$8+E628*(Supuestos!$E$8-Supuestos!$D$8),IF(Supuestos!$C$8="Lognormal",LOGINV(E628,LN(Supuestos!$D$8)-LN(1+Supuestos!$E$8^2/Supuestos!$D$8^2)/2,SQRT(LN(1+Supuestos!$E$8^2/Supuestos!$D$8^2))),Supuestos!$D$8))))))</f>
        <v/>
      </c>
      <c r="M628" s="32">
        <f>MIN(IF(Supuestos!$H$9="",1E+99,Supuestos!$H$9),MAX(IF(Supuestos!$G$9="",-1E+99,Supuestos!$G$9),IF(Supuestos!$C$9="Normal",NORMINV(F628,Supuestos!$D$9,Supuestos!$E$9),IF(Supuestos!$C$9="Triangular",IF(F628&lt;(Supuestos!$E$9-Supuestos!$D$9)/(Supuestos!$F$9-Supuestos!$D$9),Supuestos!$D$9+SQRT(F628*(Supuestos!$F$9-Supuestos!$D$9)*(Supuestos!$E$9-Supuestos!$D$9)),Supuestos!$F$9-SQRT((1-F628)*(Supuestos!$F$9-Supuestos!$D$9)*(Supuestos!$F$9-Supuestos!$E$9))),IF(Supuestos!$C$9="Uniforme",Supuestos!$D$9+F628*(Supuestos!$E$9-Supuestos!$D$9),IF(Supuestos!$C$9="Lognormal",LOGINV(F628,LN(Supuestos!$D$9)-LN(1+Supuestos!$E$9^2/Supuestos!$D$9^2)/2,SQRT(LN(1+Supuestos!$E$9^2/Supuestos!$D$9^2))),Supuestos!$D$9))))))</f>
        <v/>
      </c>
      <c r="N628" s="32">
        <f>MIN(IF(Supuestos!$H$10="",1E+99,Supuestos!$H$10),MAX(IF(Supuestos!$G$10="",-1E+99,Supuestos!$G$10),IF(Supuestos!$C$10="Normal",NORMINV(G628,Supuestos!$D$10,Supuestos!$E$10),IF(Supuestos!$C$10="Triangular",IF(G628&lt;(Supuestos!$E$10-Supuestos!$D$10)/(Supuestos!$F$10-Supuestos!$D$10),Supuestos!$D$10+SQRT(G628*(Supuestos!$F$10-Supuestos!$D$10)*(Supuestos!$E$10-Supuestos!$D$10)),Supuestos!$F$10-SQRT((1-G628)*(Supuestos!$F$10-Supuestos!$D$10)*(Supuestos!$F$10-Supuestos!$E$10))),IF(Supuestos!$C$10="Uniforme",Supuestos!$D$10+G628*(Supuestos!$E$10-Supuestos!$D$10),IF(Supuestos!$C$10="Lognormal",LOGINV(G628,LN(Supuestos!$D$10)-LN(1+Supuestos!$E$10^2/Supuestos!$D$10^2)/2,SQRT(LN(1+Supuestos!$E$10^2/Supuestos!$D$10^2))),Supuestos!$D$10))))))</f>
        <v/>
      </c>
      <c r="O628" s="31">
        <f>MIN(IF(Supuestos!$H$11="",1E+99,Supuestos!$H$11),MAX(IF(Supuestos!$G$11="",-1E+99,Supuestos!$G$11),IF(Supuestos!$C$11="Normal",NORMINV(H628,Supuestos!$D$11,Supuestos!$E$11),IF(Supuestos!$C$11="Triangular",IF(H628&lt;(Supuestos!$E$11-Supuestos!$D$11)/(Supuestos!$F$11-Supuestos!$D$11),Supuestos!$D$11+SQRT(H628*(Supuestos!$F$11-Supuestos!$D$11)*(Supuestos!$E$11-Supuestos!$D$11)),Supuestos!$F$11-SQRT((1-H628)*(Supuestos!$F$11-Supuestos!$D$11)*(Supuestos!$F$11-Supuestos!$E$11))),IF(Supuestos!$C$11="Uniforme",Supuestos!$D$11+H628*(Supuestos!$E$11-Supuestos!$D$11),IF(Supuestos!$C$11="Lognormal",LOGINV(H628,LN(Supuestos!$D$11)-LN(1+Supuestos!$E$11^2/Supuestos!$D$11^2)/2,SQRT(LN(1+Supuestos!$E$11^2/Supuestos!$D$11^2))),Supuestos!$D$11))))))</f>
        <v/>
      </c>
      <c r="P628" s="33">
        <f>-I628</f>
        <v/>
      </c>
      <c r="Q628" s="33">
        <f>$J628*(1+$K628)^(1-1)*(1-$L628)*(1-$M628)</f>
        <v/>
      </c>
      <c r="R628" s="33">
        <f>$J628*(1+$K628)^(2-1)*(1-$L628)*(1-$M628)</f>
        <v/>
      </c>
      <c r="S628" s="33">
        <f>$J628*(1+$K628)^(3-1)*(1-$L628)*(1-$M628)</f>
        <v/>
      </c>
      <c r="T628" s="33">
        <f>$J628*(1+$K628)^(4-1)*(1-$L628)*(1-$M628)</f>
        <v/>
      </c>
      <c r="U628" s="33">
        <f>$J628*(1+$K628)^(5-1)*(1-$L628)*(1-$M628)+$O628</f>
        <v/>
      </c>
      <c r="V628" s="33">
        <f>P628+NPV($N628,Q628:U628)</f>
        <v/>
      </c>
      <c r="W628" s="32">
        <f>IFERROR(IRR(P628:U628,0.1),"")</f>
        <v/>
      </c>
    </row>
    <row r="629">
      <c r="A629" s="14" t="n">
        <v>625</v>
      </c>
      <c r="B629" s="30">
        <f>RAND()*(1-2E-6)+1E-6</f>
        <v/>
      </c>
      <c r="C629" s="30">
        <f>RAND()*(1-2E-6)+1E-6</f>
        <v/>
      </c>
      <c r="D629" s="30">
        <f>RAND()*(1-2E-6)+1E-6</f>
        <v/>
      </c>
      <c r="E629" s="30">
        <f>RAND()*(1-2E-6)+1E-6</f>
        <v/>
      </c>
      <c r="F629" s="30">
        <f>RAND()*(1-2E-6)+1E-6</f>
        <v/>
      </c>
      <c r="G629" s="30">
        <f>RAND()*(1-2E-6)+1E-6</f>
        <v/>
      </c>
      <c r="H629" s="30">
        <f>RAND()*(1-2E-6)+1E-6</f>
        <v/>
      </c>
      <c r="I629" s="31">
        <f>MIN(IF(Supuestos!$H$5="",1E+99,Supuestos!$H$5),MAX(IF(Supuestos!$G$5="",-1E+99,Supuestos!$G$5),IF(Supuestos!$C$5="Normal",NORMINV(B629,Supuestos!$D$5,Supuestos!$E$5),IF(Supuestos!$C$5="Triangular",IF(B629&lt;(Supuestos!$E$5-Supuestos!$D$5)/(Supuestos!$F$5-Supuestos!$D$5),Supuestos!$D$5+SQRT(B629*(Supuestos!$F$5-Supuestos!$D$5)*(Supuestos!$E$5-Supuestos!$D$5)),Supuestos!$F$5-SQRT((1-B629)*(Supuestos!$F$5-Supuestos!$D$5)*(Supuestos!$F$5-Supuestos!$E$5))),IF(Supuestos!$C$5="Uniforme",Supuestos!$D$5+B629*(Supuestos!$E$5-Supuestos!$D$5),IF(Supuestos!$C$5="Lognormal",LOGINV(B629,LN(Supuestos!$D$5)-LN(1+Supuestos!$E$5^2/Supuestos!$D$5^2)/2,SQRT(LN(1+Supuestos!$E$5^2/Supuestos!$D$5^2))),Supuestos!$D$5))))))</f>
        <v/>
      </c>
      <c r="J629" s="31">
        <f>MIN(IF(Supuestos!$H$6="",1E+99,Supuestos!$H$6),MAX(IF(Supuestos!$G$6="",-1E+99,Supuestos!$G$6),IF(Supuestos!$C$6="Normal",NORMINV(C629,Supuestos!$D$6,Supuestos!$E$6),IF(Supuestos!$C$6="Triangular",IF(C629&lt;(Supuestos!$E$6-Supuestos!$D$6)/(Supuestos!$F$6-Supuestos!$D$6),Supuestos!$D$6+SQRT(C629*(Supuestos!$F$6-Supuestos!$D$6)*(Supuestos!$E$6-Supuestos!$D$6)),Supuestos!$F$6-SQRT((1-C629)*(Supuestos!$F$6-Supuestos!$D$6)*(Supuestos!$F$6-Supuestos!$E$6))),IF(Supuestos!$C$6="Uniforme",Supuestos!$D$6+C629*(Supuestos!$E$6-Supuestos!$D$6),IF(Supuestos!$C$6="Lognormal",LOGINV(C629,LN(Supuestos!$D$6)-LN(1+Supuestos!$E$6^2/Supuestos!$D$6^2)/2,SQRT(LN(1+Supuestos!$E$6^2/Supuestos!$D$6^2))),Supuestos!$D$6))))))</f>
        <v/>
      </c>
      <c r="K629" s="32">
        <f>MIN(IF(Supuestos!$H$7="",1E+99,Supuestos!$H$7),MAX(IF(Supuestos!$G$7="",-1E+99,Supuestos!$G$7),IF(Supuestos!$C$7="Normal",NORMINV(D629,Supuestos!$D$7,Supuestos!$E$7),IF(Supuestos!$C$7="Triangular",IF(D629&lt;(Supuestos!$E$7-Supuestos!$D$7)/(Supuestos!$F$7-Supuestos!$D$7),Supuestos!$D$7+SQRT(D629*(Supuestos!$F$7-Supuestos!$D$7)*(Supuestos!$E$7-Supuestos!$D$7)),Supuestos!$F$7-SQRT((1-D629)*(Supuestos!$F$7-Supuestos!$D$7)*(Supuestos!$F$7-Supuestos!$E$7))),IF(Supuestos!$C$7="Uniforme",Supuestos!$D$7+D629*(Supuestos!$E$7-Supuestos!$D$7),IF(Supuestos!$C$7="Lognormal",LOGINV(D629,LN(Supuestos!$D$7)-LN(1+Supuestos!$E$7^2/Supuestos!$D$7^2)/2,SQRT(LN(1+Supuestos!$E$7^2/Supuestos!$D$7^2))),Supuestos!$D$7))))))</f>
        <v/>
      </c>
      <c r="L629" s="32">
        <f>MIN(IF(Supuestos!$H$8="",1E+99,Supuestos!$H$8),MAX(IF(Supuestos!$G$8="",-1E+99,Supuestos!$G$8),IF(Supuestos!$C$8="Normal",NORMINV(E629,Supuestos!$D$8,Supuestos!$E$8),IF(Supuestos!$C$8="Triangular",IF(E629&lt;(Supuestos!$E$8-Supuestos!$D$8)/(Supuestos!$F$8-Supuestos!$D$8),Supuestos!$D$8+SQRT(E629*(Supuestos!$F$8-Supuestos!$D$8)*(Supuestos!$E$8-Supuestos!$D$8)),Supuestos!$F$8-SQRT((1-E629)*(Supuestos!$F$8-Supuestos!$D$8)*(Supuestos!$F$8-Supuestos!$E$8))),IF(Supuestos!$C$8="Uniforme",Supuestos!$D$8+E629*(Supuestos!$E$8-Supuestos!$D$8),IF(Supuestos!$C$8="Lognormal",LOGINV(E629,LN(Supuestos!$D$8)-LN(1+Supuestos!$E$8^2/Supuestos!$D$8^2)/2,SQRT(LN(1+Supuestos!$E$8^2/Supuestos!$D$8^2))),Supuestos!$D$8))))))</f>
        <v/>
      </c>
      <c r="M629" s="32">
        <f>MIN(IF(Supuestos!$H$9="",1E+99,Supuestos!$H$9),MAX(IF(Supuestos!$G$9="",-1E+99,Supuestos!$G$9),IF(Supuestos!$C$9="Normal",NORMINV(F629,Supuestos!$D$9,Supuestos!$E$9),IF(Supuestos!$C$9="Triangular",IF(F629&lt;(Supuestos!$E$9-Supuestos!$D$9)/(Supuestos!$F$9-Supuestos!$D$9),Supuestos!$D$9+SQRT(F629*(Supuestos!$F$9-Supuestos!$D$9)*(Supuestos!$E$9-Supuestos!$D$9)),Supuestos!$F$9-SQRT((1-F629)*(Supuestos!$F$9-Supuestos!$D$9)*(Supuestos!$F$9-Supuestos!$E$9))),IF(Supuestos!$C$9="Uniforme",Supuestos!$D$9+F629*(Supuestos!$E$9-Supuestos!$D$9),IF(Supuestos!$C$9="Lognormal",LOGINV(F629,LN(Supuestos!$D$9)-LN(1+Supuestos!$E$9^2/Supuestos!$D$9^2)/2,SQRT(LN(1+Supuestos!$E$9^2/Supuestos!$D$9^2))),Supuestos!$D$9))))))</f>
        <v/>
      </c>
      <c r="N629" s="32">
        <f>MIN(IF(Supuestos!$H$10="",1E+99,Supuestos!$H$10),MAX(IF(Supuestos!$G$10="",-1E+99,Supuestos!$G$10),IF(Supuestos!$C$10="Normal",NORMINV(G629,Supuestos!$D$10,Supuestos!$E$10),IF(Supuestos!$C$10="Triangular",IF(G629&lt;(Supuestos!$E$10-Supuestos!$D$10)/(Supuestos!$F$10-Supuestos!$D$10),Supuestos!$D$10+SQRT(G629*(Supuestos!$F$10-Supuestos!$D$10)*(Supuestos!$E$10-Supuestos!$D$10)),Supuestos!$F$10-SQRT((1-G629)*(Supuestos!$F$10-Supuestos!$D$10)*(Supuestos!$F$10-Supuestos!$E$10))),IF(Supuestos!$C$10="Uniforme",Supuestos!$D$10+G629*(Supuestos!$E$10-Supuestos!$D$10),IF(Supuestos!$C$10="Lognormal",LOGINV(G629,LN(Supuestos!$D$10)-LN(1+Supuestos!$E$10^2/Supuestos!$D$10^2)/2,SQRT(LN(1+Supuestos!$E$10^2/Supuestos!$D$10^2))),Supuestos!$D$10))))))</f>
        <v/>
      </c>
      <c r="O629" s="31">
        <f>MIN(IF(Supuestos!$H$11="",1E+99,Supuestos!$H$11),MAX(IF(Supuestos!$G$11="",-1E+99,Supuestos!$G$11),IF(Supuestos!$C$11="Normal",NORMINV(H629,Supuestos!$D$11,Supuestos!$E$11),IF(Supuestos!$C$11="Triangular",IF(H629&lt;(Supuestos!$E$11-Supuestos!$D$11)/(Supuestos!$F$11-Supuestos!$D$11),Supuestos!$D$11+SQRT(H629*(Supuestos!$F$11-Supuestos!$D$11)*(Supuestos!$E$11-Supuestos!$D$11)),Supuestos!$F$11-SQRT((1-H629)*(Supuestos!$F$11-Supuestos!$D$11)*(Supuestos!$F$11-Supuestos!$E$11))),IF(Supuestos!$C$11="Uniforme",Supuestos!$D$11+H629*(Supuestos!$E$11-Supuestos!$D$11),IF(Supuestos!$C$11="Lognormal",LOGINV(H629,LN(Supuestos!$D$11)-LN(1+Supuestos!$E$11^2/Supuestos!$D$11^2)/2,SQRT(LN(1+Supuestos!$E$11^2/Supuestos!$D$11^2))),Supuestos!$D$11))))))</f>
        <v/>
      </c>
      <c r="P629" s="33">
        <f>-I629</f>
        <v/>
      </c>
      <c r="Q629" s="33">
        <f>$J629*(1+$K629)^(1-1)*(1-$L629)*(1-$M629)</f>
        <v/>
      </c>
      <c r="R629" s="33">
        <f>$J629*(1+$K629)^(2-1)*(1-$L629)*(1-$M629)</f>
        <v/>
      </c>
      <c r="S629" s="33">
        <f>$J629*(1+$K629)^(3-1)*(1-$L629)*(1-$M629)</f>
        <v/>
      </c>
      <c r="T629" s="33">
        <f>$J629*(1+$K629)^(4-1)*(1-$L629)*(1-$M629)</f>
        <v/>
      </c>
      <c r="U629" s="33">
        <f>$J629*(1+$K629)^(5-1)*(1-$L629)*(1-$M629)+$O629</f>
        <v/>
      </c>
      <c r="V629" s="33">
        <f>P629+NPV($N629,Q629:U629)</f>
        <v/>
      </c>
      <c r="W629" s="32">
        <f>IFERROR(IRR(P629:U629,0.1),"")</f>
        <v/>
      </c>
    </row>
    <row r="630">
      <c r="A630" s="14" t="n">
        <v>626</v>
      </c>
      <c r="B630" s="30">
        <f>RAND()*(1-2E-6)+1E-6</f>
        <v/>
      </c>
      <c r="C630" s="30">
        <f>RAND()*(1-2E-6)+1E-6</f>
        <v/>
      </c>
      <c r="D630" s="30">
        <f>RAND()*(1-2E-6)+1E-6</f>
        <v/>
      </c>
      <c r="E630" s="30">
        <f>RAND()*(1-2E-6)+1E-6</f>
        <v/>
      </c>
      <c r="F630" s="30">
        <f>RAND()*(1-2E-6)+1E-6</f>
        <v/>
      </c>
      <c r="G630" s="30">
        <f>RAND()*(1-2E-6)+1E-6</f>
        <v/>
      </c>
      <c r="H630" s="30">
        <f>RAND()*(1-2E-6)+1E-6</f>
        <v/>
      </c>
      <c r="I630" s="31">
        <f>MIN(IF(Supuestos!$H$5="",1E+99,Supuestos!$H$5),MAX(IF(Supuestos!$G$5="",-1E+99,Supuestos!$G$5),IF(Supuestos!$C$5="Normal",NORMINV(B630,Supuestos!$D$5,Supuestos!$E$5),IF(Supuestos!$C$5="Triangular",IF(B630&lt;(Supuestos!$E$5-Supuestos!$D$5)/(Supuestos!$F$5-Supuestos!$D$5),Supuestos!$D$5+SQRT(B630*(Supuestos!$F$5-Supuestos!$D$5)*(Supuestos!$E$5-Supuestos!$D$5)),Supuestos!$F$5-SQRT((1-B630)*(Supuestos!$F$5-Supuestos!$D$5)*(Supuestos!$F$5-Supuestos!$E$5))),IF(Supuestos!$C$5="Uniforme",Supuestos!$D$5+B630*(Supuestos!$E$5-Supuestos!$D$5),IF(Supuestos!$C$5="Lognormal",LOGINV(B630,LN(Supuestos!$D$5)-LN(1+Supuestos!$E$5^2/Supuestos!$D$5^2)/2,SQRT(LN(1+Supuestos!$E$5^2/Supuestos!$D$5^2))),Supuestos!$D$5))))))</f>
        <v/>
      </c>
      <c r="J630" s="31">
        <f>MIN(IF(Supuestos!$H$6="",1E+99,Supuestos!$H$6),MAX(IF(Supuestos!$G$6="",-1E+99,Supuestos!$G$6),IF(Supuestos!$C$6="Normal",NORMINV(C630,Supuestos!$D$6,Supuestos!$E$6),IF(Supuestos!$C$6="Triangular",IF(C630&lt;(Supuestos!$E$6-Supuestos!$D$6)/(Supuestos!$F$6-Supuestos!$D$6),Supuestos!$D$6+SQRT(C630*(Supuestos!$F$6-Supuestos!$D$6)*(Supuestos!$E$6-Supuestos!$D$6)),Supuestos!$F$6-SQRT((1-C630)*(Supuestos!$F$6-Supuestos!$D$6)*(Supuestos!$F$6-Supuestos!$E$6))),IF(Supuestos!$C$6="Uniforme",Supuestos!$D$6+C630*(Supuestos!$E$6-Supuestos!$D$6),IF(Supuestos!$C$6="Lognormal",LOGINV(C630,LN(Supuestos!$D$6)-LN(1+Supuestos!$E$6^2/Supuestos!$D$6^2)/2,SQRT(LN(1+Supuestos!$E$6^2/Supuestos!$D$6^2))),Supuestos!$D$6))))))</f>
        <v/>
      </c>
      <c r="K630" s="32">
        <f>MIN(IF(Supuestos!$H$7="",1E+99,Supuestos!$H$7),MAX(IF(Supuestos!$G$7="",-1E+99,Supuestos!$G$7),IF(Supuestos!$C$7="Normal",NORMINV(D630,Supuestos!$D$7,Supuestos!$E$7),IF(Supuestos!$C$7="Triangular",IF(D630&lt;(Supuestos!$E$7-Supuestos!$D$7)/(Supuestos!$F$7-Supuestos!$D$7),Supuestos!$D$7+SQRT(D630*(Supuestos!$F$7-Supuestos!$D$7)*(Supuestos!$E$7-Supuestos!$D$7)),Supuestos!$F$7-SQRT((1-D630)*(Supuestos!$F$7-Supuestos!$D$7)*(Supuestos!$F$7-Supuestos!$E$7))),IF(Supuestos!$C$7="Uniforme",Supuestos!$D$7+D630*(Supuestos!$E$7-Supuestos!$D$7),IF(Supuestos!$C$7="Lognormal",LOGINV(D630,LN(Supuestos!$D$7)-LN(1+Supuestos!$E$7^2/Supuestos!$D$7^2)/2,SQRT(LN(1+Supuestos!$E$7^2/Supuestos!$D$7^2))),Supuestos!$D$7))))))</f>
        <v/>
      </c>
      <c r="L630" s="32">
        <f>MIN(IF(Supuestos!$H$8="",1E+99,Supuestos!$H$8),MAX(IF(Supuestos!$G$8="",-1E+99,Supuestos!$G$8),IF(Supuestos!$C$8="Normal",NORMINV(E630,Supuestos!$D$8,Supuestos!$E$8),IF(Supuestos!$C$8="Triangular",IF(E630&lt;(Supuestos!$E$8-Supuestos!$D$8)/(Supuestos!$F$8-Supuestos!$D$8),Supuestos!$D$8+SQRT(E630*(Supuestos!$F$8-Supuestos!$D$8)*(Supuestos!$E$8-Supuestos!$D$8)),Supuestos!$F$8-SQRT((1-E630)*(Supuestos!$F$8-Supuestos!$D$8)*(Supuestos!$F$8-Supuestos!$E$8))),IF(Supuestos!$C$8="Uniforme",Supuestos!$D$8+E630*(Supuestos!$E$8-Supuestos!$D$8),IF(Supuestos!$C$8="Lognormal",LOGINV(E630,LN(Supuestos!$D$8)-LN(1+Supuestos!$E$8^2/Supuestos!$D$8^2)/2,SQRT(LN(1+Supuestos!$E$8^2/Supuestos!$D$8^2))),Supuestos!$D$8))))))</f>
        <v/>
      </c>
      <c r="M630" s="32">
        <f>MIN(IF(Supuestos!$H$9="",1E+99,Supuestos!$H$9),MAX(IF(Supuestos!$G$9="",-1E+99,Supuestos!$G$9),IF(Supuestos!$C$9="Normal",NORMINV(F630,Supuestos!$D$9,Supuestos!$E$9),IF(Supuestos!$C$9="Triangular",IF(F630&lt;(Supuestos!$E$9-Supuestos!$D$9)/(Supuestos!$F$9-Supuestos!$D$9),Supuestos!$D$9+SQRT(F630*(Supuestos!$F$9-Supuestos!$D$9)*(Supuestos!$E$9-Supuestos!$D$9)),Supuestos!$F$9-SQRT((1-F630)*(Supuestos!$F$9-Supuestos!$D$9)*(Supuestos!$F$9-Supuestos!$E$9))),IF(Supuestos!$C$9="Uniforme",Supuestos!$D$9+F630*(Supuestos!$E$9-Supuestos!$D$9),IF(Supuestos!$C$9="Lognormal",LOGINV(F630,LN(Supuestos!$D$9)-LN(1+Supuestos!$E$9^2/Supuestos!$D$9^2)/2,SQRT(LN(1+Supuestos!$E$9^2/Supuestos!$D$9^2))),Supuestos!$D$9))))))</f>
        <v/>
      </c>
      <c r="N630" s="32">
        <f>MIN(IF(Supuestos!$H$10="",1E+99,Supuestos!$H$10),MAX(IF(Supuestos!$G$10="",-1E+99,Supuestos!$G$10),IF(Supuestos!$C$10="Normal",NORMINV(G630,Supuestos!$D$10,Supuestos!$E$10),IF(Supuestos!$C$10="Triangular",IF(G630&lt;(Supuestos!$E$10-Supuestos!$D$10)/(Supuestos!$F$10-Supuestos!$D$10),Supuestos!$D$10+SQRT(G630*(Supuestos!$F$10-Supuestos!$D$10)*(Supuestos!$E$10-Supuestos!$D$10)),Supuestos!$F$10-SQRT((1-G630)*(Supuestos!$F$10-Supuestos!$D$10)*(Supuestos!$F$10-Supuestos!$E$10))),IF(Supuestos!$C$10="Uniforme",Supuestos!$D$10+G630*(Supuestos!$E$10-Supuestos!$D$10),IF(Supuestos!$C$10="Lognormal",LOGINV(G630,LN(Supuestos!$D$10)-LN(1+Supuestos!$E$10^2/Supuestos!$D$10^2)/2,SQRT(LN(1+Supuestos!$E$10^2/Supuestos!$D$10^2))),Supuestos!$D$10))))))</f>
        <v/>
      </c>
      <c r="O630" s="31">
        <f>MIN(IF(Supuestos!$H$11="",1E+99,Supuestos!$H$11),MAX(IF(Supuestos!$G$11="",-1E+99,Supuestos!$G$11),IF(Supuestos!$C$11="Normal",NORMINV(H630,Supuestos!$D$11,Supuestos!$E$11),IF(Supuestos!$C$11="Triangular",IF(H630&lt;(Supuestos!$E$11-Supuestos!$D$11)/(Supuestos!$F$11-Supuestos!$D$11),Supuestos!$D$11+SQRT(H630*(Supuestos!$F$11-Supuestos!$D$11)*(Supuestos!$E$11-Supuestos!$D$11)),Supuestos!$F$11-SQRT((1-H630)*(Supuestos!$F$11-Supuestos!$D$11)*(Supuestos!$F$11-Supuestos!$E$11))),IF(Supuestos!$C$11="Uniforme",Supuestos!$D$11+H630*(Supuestos!$E$11-Supuestos!$D$11),IF(Supuestos!$C$11="Lognormal",LOGINV(H630,LN(Supuestos!$D$11)-LN(1+Supuestos!$E$11^2/Supuestos!$D$11^2)/2,SQRT(LN(1+Supuestos!$E$11^2/Supuestos!$D$11^2))),Supuestos!$D$11))))))</f>
        <v/>
      </c>
      <c r="P630" s="33">
        <f>-I630</f>
        <v/>
      </c>
      <c r="Q630" s="33">
        <f>$J630*(1+$K630)^(1-1)*(1-$L630)*(1-$M630)</f>
        <v/>
      </c>
      <c r="R630" s="33">
        <f>$J630*(1+$K630)^(2-1)*(1-$L630)*(1-$M630)</f>
        <v/>
      </c>
      <c r="S630" s="33">
        <f>$J630*(1+$K630)^(3-1)*(1-$L630)*(1-$M630)</f>
        <v/>
      </c>
      <c r="T630" s="33">
        <f>$J630*(1+$K630)^(4-1)*(1-$L630)*(1-$M630)</f>
        <v/>
      </c>
      <c r="U630" s="33">
        <f>$J630*(1+$K630)^(5-1)*(1-$L630)*(1-$M630)+$O630</f>
        <v/>
      </c>
      <c r="V630" s="33">
        <f>P630+NPV($N630,Q630:U630)</f>
        <v/>
      </c>
      <c r="W630" s="32">
        <f>IFERROR(IRR(P630:U630,0.1),"")</f>
        <v/>
      </c>
    </row>
    <row r="631">
      <c r="A631" s="14" t="n">
        <v>627</v>
      </c>
      <c r="B631" s="30">
        <f>RAND()*(1-2E-6)+1E-6</f>
        <v/>
      </c>
      <c r="C631" s="30">
        <f>RAND()*(1-2E-6)+1E-6</f>
        <v/>
      </c>
      <c r="D631" s="30">
        <f>RAND()*(1-2E-6)+1E-6</f>
        <v/>
      </c>
      <c r="E631" s="30">
        <f>RAND()*(1-2E-6)+1E-6</f>
        <v/>
      </c>
      <c r="F631" s="30">
        <f>RAND()*(1-2E-6)+1E-6</f>
        <v/>
      </c>
      <c r="G631" s="30">
        <f>RAND()*(1-2E-6)+1E-6</f>
        <v/>
      </c>
      <c r="H631" s="30">
        <f>RAND()*(1-2E-6)+1E-6</f>
        <v/>
      </c>
      <c r="I631" s="31">
        <f>MIN(IF(Supuestos!$H$5="",1E+99,Supuestos!$H$5),MAX(IF(Supuestos!$G$5="",-1E+99,Supuestos!$G$5),IF(Supuestos!$C$5="Normal",NORMINV(B631,Supuestos!$D$5,Supuestos!$E$5),IF(Supuestos!$C$5="Triangular",IF(B631&lt;(Supuestos!$E$5-Supuestos!$D$5)/(Supuestos!$F$5-Supuestos!$D$5),Supuestos!$D$5+SQRT(B631*(Supuestos!$F$5-Supuestos!$D$5)*(Supuestos!$E$5-Supuestos!$D$5)),Supuestos!$F$5-SQRT((1-B631)*(Supuestos!$F$5-Supuestos!$D$5)*(Supuestos!$F$5-Supuestos!$E$5))),IF(Supuestos!$C$5="Uniforme",Supuestos!$D$5+B631*(Supuestos!$E$5-Supuestos!$D$5),IF(Supuestos!$C$5="Lognormal",LOGINV(B631,LN(Supuestos!$D$5)-LN(1+Supuestos!$E$5^2/Supuestos!$D$5^2)/2,SQRT(LN(1+Supuestos!$E$5^2/Supuestos!$D$5^2))),Supuestos!$D$5))))))</f>
        <v/>
      </c>
      <c r="J631" s="31">
        <f>MIN(IF(Supuestos!$H$6="",1E+99,Supuestos!$H$6),MAX(IF(Supuestos!$G$6="",-1E+99,Supuestos!$G$6),IF(Supuestos!$C$6="Normal",NORMINV(C631,Supuestos!$D$6,Supuestos!$E$6),IF(Supuestos!$C$6="Triangular",IF(C631&lt;(Supuestos!$E$6-Supuestos!$D$6)/(Supuestos!$F$6-Supuestos!$D$6),Supuestos!$D$6+SQRT(C631*(Supuestos!$F$6-Supuestos!$D$6)*(Supuestos!$E$6-Supuestos!$D$6)),Supuestos!$F$6-SQRT((1-C631)*(Supuestos!$F$6-Supuestos!$D$6)*(Supuestos!$F$6-Supuestos!$E$6))),IF(Supuestos!$C$6="Uniforme",Supuestos!$D$6+C631*(Supuestos!$E$6-Supuestos!$D$6),IF(Supuestos!$C$6="Lognormal",LOGINV(C631,LN(Supuestos!$D$6)-LN(1+Supuestos!$E$6^2/Supuestos!$D$6^2)/2,SQRT(LN(1+Supuestos!$E$6^2/Supuestos!$D$6^2))),Supuestos!$D$6))))))</f>
        <v/>
      </c>
      <c r="K631" s="32">
        <f>MIN(IF(Supuestos!$H$7="",1E+99,Supuestos!$H$7),MAX(IF(Supuestos!$G$7="",-1E+99,Supuestos!$G$7),IF(Supuestos!$C$7="Normal",NORMINV(D631,Supuestos!$D$7,Supuestos!$E$7),IF(Supuestos!$C$7="Triangular",IF(D631&lt;(Supuestos!$E$7-Supuestos!$D$7)/(Supuestos!$F$7-Supuestos!$D$7),Supuestos!$D$7+SQRT(D631*(Supuestos!$F$7-Supuestos!$D$7)*(Supuestos!$E$7-Supuestos!$D$7)),Supuestos!$F$7-SQRT((1-D631)*(Supuestos!$F$7-Supuestos!$D$7)*(Supuestos!$F$7-Supuestos!$E$7))),IF(Supuestos!$C$7="Uniforme",Supuestos!$D$7+D631*(Supuestos!$E$7-Supuestos!$D$7),IF(Supuestos!$C$7="Lognormal",LOGINV(D631,LN(Supuestos!$D$7)-LN(1+Supuestos!$E$7^2/Supuestos!$D$7^2)/2,SQRT(LN(1+Supuestos!$E$7^2/Supuestos!$D$7^2))),Supuestos!$D$7))))))</f>
        <v/>
      </c>
      <c r="L631" s="32">
        <f>MIN(IF(Supuestos!$H$8="",1E+99,Supuestos!$H$8),MAX(IF(Supuestos!$G$8="",-1E+99,Supuestos!$G$8),IF(Supuestos!$C$8="Normal",NORMINV(E631,Supuestos!$D$8,Supuestos!$E$8),IF(Supuestos!$C$8="Triangular",IF(E631&lt;(Supuestos!$E$8-Supuestos!$D$8)/(Supuestos!$F$8-Supuestos!$D$8),Supuestos!$D$8+SQRT(E631*(Supuestos!$F$8-Supuestos!$D$8)*(Supuestos!$E$8-Supuestos!$D$8)),Supuestos!$F$8-SQRT((1-E631)*(Supuestos!$F$8-Supuestos!$D$8)*(Supuestos!$F$8-Supuestos!$E$8))),IF(Supuestos!$C$8="Uniforme",Supuestos!$D$8+E631*(Supuestos!$E$8-Supuestos!$D$8),IF(Supuestos!$C$8="Lognormal",LOGINV(E631,LN(Supuestos!$D$8)-LN(1+Supuestos!$E$8^2/Supuestos!$D$8^2)/2,SQRT(LN(1+Supuestos!$E$8^2/Supuestos!$D$8^2))),Supuestos!$D$8))))))</f>
        <v/>
      </c>
      <c r="M631" s="32">
        <f>MIN(IF(Supuestos!$H$9="",1E+99,Supuestos!$H$9),MAX(IF(Supuestos!$G$9="",-1E+99,Supuestos!$G$9),IF(Supuestos!$C$9="Normal",NORMINV(F631,Supuestos!$D$9,Supuestos!$E$9),IF(Supuestos!$C$9="Triangular",IF(F631&lt;(Supuestos!$E$9-Supuestos!$D$9)/(Supuestos!$F$9-Supuestos!$D$9),Supuestos!$D$9+SQRT(F631*(Supuestos!$F$9-Supuestos!$D$9)*(Supuestos!$E$9-Supuestos!$D$9)),Supuestos!$F$9-SQRT((1-F631)*(Supuestos!$F$9-Supuestos!$D$9)*(Supuestos!$F$9-Supuestos!$E$9))),IF(Supuestos!$C$9="Uniforme",Supuestos!$D$9+F631*(Supuestos!$E$9-Supuestos!$D$9),IF(Supuestos!$C$9="Lognormal",LOGINV(F631,LN(Supuestos!$D$9)-LN(1+Supuestos!$E$9^2/Supuestos!$D$9^2)/2,SQRT(LN(1+Supuestos!$E$9^2/Supuestos!$D$9^2))),Supuestos!$D$9))))))</f>
        <v/>
      </c>
      <c r="N631" s="32">
        <f>MIN(IF(Supuestos!$H$10="",1E+99,Supuestos!$H$10),MAX(IF(Supuestos!$G$10="",-1E+99,Supuestos!$G$10),IF(Supuestos!$C$10="Normal",NORMINV(G631,Supuestos!$D$10,Supuestos!$E$10),IF(Supuestos!$C$10="Triangular",IF(G631&lt;(Supuestos!$E$10-Supuestos!$D$10)/(Supuestos!$F$10-Supuestos!$D$10),Supuestos!$D$10+SQRT(G631*(Supuestos!$F$10-Supuestos!$D$10)*(Supuestos!$E$10-Supuestos!$D$10)),Supuestos!$F$10-SQRT((1-G631)*(Supuestos!$F$10-Supuestos!$D$10)*(Supuestos!$F$10-Supuestos!$E$10))),IF(Supuestos!$C$10="Uniforme",Supuestos!$D$10+G631*(Supuestos!$E$10-Supuestos!$D$10),IF(Supuestos!$C$10="Lognormal",LOGINV(G631,LN(Supuestos!$D$10)-LN(1+Supuestos!$E$10^2/Supuestos!$D$10^2)/2,SQRT(LN(1+Supuestos!$E$10^2/Supuestos!$D$10^2))),Supuestos!$D$10))))))</f>
        <v/>
      </c>
      <c r="O631" s="31">
        <f>MIN(IF(Supuestos!$H$11="",1E+99,Supuestos!$H$11),MAX(IF(Supuestos!$G$11="",-1E+99,Supuestos!$G$11),IF(Supuestos!$C$11="Normal",NORMINV(H631,Supuestos!$D$11,Supuestos!$E$11),IF(Supuestos!$C$11="Triangular",IF(H631&lt;(Supuestos!$E$11-Supuestos!$D$11)/(Supuestos!$F$11-Supuestos!$D$11),Supuestos!$D$11+SQRT(H631*(Supuestos!$F$11-Supuestos!$D$11)*(Supuestos!$E$11-Supuestos!$D$11)),Supuestos!$F$11-SQRT((1-H631)*(Supuestos!$F$11-Supuestos!$D$11)*(Supuestos!$F$11-Supuestos!$E$11))),IF(Supuestos!$C$11="Uniforme",Supuestos!$D$11+H631*(Supuestos!$E$11-Supuestos!$D$11),IF(Supuestos!$C$11="Lognormal",LOGINV(H631,LN(Supuestos!$D$11)-LN(1+Supuestos!$E$11^2/Supuestos!$D$11^2)/2,SQRT(LN(1+Supuestos!$E$11^2/Supuestos!$D$11^2))),Supuestos!$D$11))))))</f>
        <v/>
      </c>
      <c r="P631" s="33">
        <f>-I631</f>
        <v/>
      </c>
      <c r="Q631" s="33">
        <f>$J631*(1+$K631)^(1-1)*(1-$L631)*(1-$M631)</f>
        <v/>
      </c>
      <c r="R631" s="33">
        <f>$J631*(1+$K631)^(2-1)*(1-$L631)*(1-$M631)</f>
        <v/>
      </c>
      <c r="S631" s="33">
        <f>$J631*(1+$K631)^(3-1)*(1-$L631)*(1-$M631)</f>
        <v/>
      </c>
      <c r="T631" s="33">
        <f>$J631*(1+$K631)^(4-1)*(1-$L631)*(1-$M631)</f>
        <v/>
      </c>
      <c r="U631" s="33">
        <f>$J631*(1+$K631)^(5-1)*(1-$L631)*(1-$M631)+$O631</f>
        <v/>
      </c>
      <c r="V631" s="33">
        <f>P631+NPV($N631,Q631:U631)</f>
        <v/>
      </c>
      <c r="W631" s="32">
        <f>IFERROR(IRR(P631:U631,0.1),"")</f>
        <v/>
      </c>
    </row>
    <row r="632">
      <c r="A632" s="14" t="n">
        <v>628</v>
      </c>
      <c r="B632" s="30">
        <f>RAND()*(1-2E-6)+1E-6</f>
        <v/>
      </c>
      <c r="C632" s="30">
        <f>RAND()*(1-2E-6)+1E-6</f>
        <v/>
      </c>
      <c r="D632" s="30">
        <f>RAND()*(1-2E-6)+1E-6</f>
        <v/>
      </c>
      <c r="E632" s="30">
        <f>RAND()*(1-2E-6)+1E-6</f>
        <v/>
      </c>
      <c r="F632" s="30">
        <f>RAND()*(1-2E-6)+1E-6</f>
        <v/>
      </c>
      <c r="G632" s="30">
        <f>RAND()*(1-2E-6)+1E-6</f>
        <v/>
      </c>
      <c r="H632" s="30">
        <f>RAND()*(1-2E-6)+1E-6</f>
        <v/>
      </c>
      <c r="I632" s="31">
        <f>MIN(IF(Supuestos!$H$5="",1E+99,Supuestos!$H$5),MAX(IF(Supuestos!$G$5="",-1E+99,Supuestos!$G$5),IF(Supuestos!$C$5="Normal",NORMINV(B632,Supuestos!$D$5,Supuestos!$E$5),IF(Supuestos!$C$5="Triangular",IF(B632&lt;(Supuestos!$E$5-Supuestos!$D$5)/(Supuestos!$F$5-Supuestos!$D$5),Supuestos!$D$5+SQRT(B632*(Supuestos!$F$5-Supuestos!$D$5)*(Supuestos!$E$5-Supuestos!$D$5)),Supuestos!$F$5-SQRT((1-B632)*(Supuestos!$F$5-Supuestos!$D$5)*(Supuestos!$F$5-Supuestos!$E$5))),IF(Supuestos!$C$5="Uniforme",Supuestos!$D$5+B632*(Supuestos!$E$5-Supuestos!$D$5),IF(Supuestos!$C$5="Lognormal",LOGINV(B632,LN(Supuestos!$D$5)-LN(1+Supuestos!$E$5^2/Supuestos!$D$5^2)/2,SQRT(LN(1+Supuestos!$E$5^2/Supuestos!$D$5^2))),Supuestos!$D$5))))))</f>
        <v/>
      </c>
      <c r="J632" s="31">
        <f>MIN(IF(Supuestos!$H$6="",1E+99,Supuestos!$H$6),MAX(IF(Supuestos!$G$6="",-1E+99,Supuestos!$G$6),IF(Supuestos!$C$6="Normal",NORMINV(C632,Supuestos!$D$6,Supuestos!$E$6),IF(Supuestos!$C$6="Triangular",IF(C632&lt;(Supuestos!$E$6-Supuestos!$D$6)/(Supuestos!$F$6-Supuestos!$D$6),Supuestos!$D$6+SQRT(C632*(Supuestos!$F$6-Supuestos!$D$6)*(Supuestos!$E$6-Supuestos!$D$6)),Supuestos!$F$6-SQRT((1-C632)*(Supuestos!$F$6-Supuestos!$D$6)*(Supuestos!$F$6-Supuestos!$E$6))),IF(Supuestos!$C$6="Uniforme",Supuestos!$D$6+C632*(Supuestos!$E$6-Supuestos!$D$6),IF(Supuestos!$C$6="Lognormal",LOGINV(C632,LN(Supuestos!$D$6)-LN(1+Supuestos!$E$6^2/Supuestos!$D$6^2)/2,SQRT(LN(1+Supuestos!$E$6^2/Supuestos!$D$6^2))),Supuestos!$D$6))))))</f>
        <v/>
      </c>
      <c r="K632" s="32">
        <f>MIN(IF(Supuestos!$H$7="",1E+99,Supuestos!$H$7),MAX(IF(Supuestos!$G$7="",-1E+99,Supuestos!$G$7),IF(Supuestos!$C$7="Normal",NORMINV(D632,Supuestos!$D$7,Supuestos!$E$7),IF(Supuestos!$C$7="Triangular",IF(D632&lt;(Supuestos!$E$7-Supuestos!$D$7)/(Supuestos!$F$7-Supuestos!$D$7),Supuestos!$D$7+SQRT(D632*(Supuestos!$F$7-Supuestos!$D$7)*(Supuestos!$E$7-Supuestos!$D$7)),Supuestos!$F$7-SQRT((1-D632)*(Supuestos!$F$7-Supuestos!$D$7)*(Supuestos!$F$7-Supuestos!$E$7))),IF(Supuestos!$C$7="Uniforme",Supuestos!$D$7+D632*(Supuestos!$E$7-Supuestos!$D$7),IF(Supuestos!$C$7="Lognormal",LOGINV(D632,LN(Supuestos!$D$7)-LN(1+Supuestos!$E$7^2/Supuestos!$D$7^2)/2,SQRT(LN(1+Supuestos!$E$7^2/Supuestos!$D$7^2))),Supuestos!$D$7))))))</f>
        <v/>
      </c>
      <c r="L632" s="32">
        <f>MIN(IF(Supuestos!$H$8="",1E+99,Supuestos!$H$8),MAX(IF(Supuestos!$G$8="",-1E+99,Supuestos!$G$8),IF(Supuestos!$C$8="Normal",NORMINV(E632,Supuestos!$D$8,Supuestos!$E$8),IF(Supuestos!$C$8="Triangular",IF(E632&lt;(Supuestos!$E$8-Supuestos!$D$8)/(Supuestos!$F$8-Supuestos!$D$8),Supuestos!$D$8+SQRT(E632*(Supuestos!$F$8-Supuestos!$D$8)*(Supuestos!$E$8-Supuestos!$D$8)),Supuestos!$F$8-SQRT((1-E632)*(Supuestos!$F$8-Supuestos!$D$8)*(Supuestos!$F$8-Supuestos!$E$8))),IF(Supuestos!$C$8="Uniforme",Supuestos!$D$8+E632*(Supuestos!$E$8-Supuestos!$D$8),IF(Supuestos!$C$8="Lognormal",LOGINV(E632,LN(Supuestos!$D$8)-LN(1+Supuestos!$E$8^2/Supuestos!$D$8^2)/2,SQRT(LN(1+Supuestos!$E$8^2/Supuestos!$D$8^2))),Supuestos!$D$8))))))</f>
        <v/>
      </c>
      <c r="M632" s="32">
        <f>MIN(IF(Supuestos!$H$9="",1E+99,Supuestos!$H$9),MAX(IF(Supuestos!$G$9="",-1E+99,Supuestos!$G$9),IF(Supuestos!$C$9="Normal",NORMINV(F632,Supuestos!$D$9,Supuestos!$E$9),IF(Supuestos!$C$9="Triangular",IF(F632&lt;(Supuestos!$E$9-Supuestos!$D$9)/(Supuestos!$F$9-Supuestos!$D$9),Supuestos!$D$9+SQRT(F632*(Supuestos!$F$9-Supuestos!$D$9)*(Supuestos!$E$9-Supuestos!$D$9)),Supuestos!$F$9-SQRT((1-F632)*(Supuestos!$F$9-Supuestos!$D$9)*(Supuestos!$F$9-Supuestos!$E$9))),IF(Supuestos!$C$9="Uniforme",Supuestos!$D$9+F632*(Supuestos!$E$9-Supuestos!$D$9),IF(Supuestos!$C$9="Lognormal",LOGINV(F632,LN(Supuestos!$D$9)-LN(1+Supuestos!$E$9^2/Supuestos!$D$9^2)/2,SQRT(LN(1+Supuestos!$E$9^2/Supuestos!$D$9^2))),Supuestos!$D$9))))))</f>
        <v/>
      </c>
      <c r="N632" s="32">
        <f>MIN(IF(Supuestos!$H$10="",1E+99,Supuestos!$H$10),MAX(IF(Supuestos!$G$10="",-1E+99,Supuestos!$G$10),IF(Supuestos!$C$10="Normal",NORMINV(G632,Supuestos!$D$10,Supuestos!$E$10),IF(Supuestos!$C$10="Triangular",IF(G632&lt;(Supuestos!$E$10-Supuestos!$D$10)/(Supuestos!$F$10-Supuestos!$D$10),Supuestos!$D$10+SQRT(G632*(Supuestos!$F$10-Supuestos!$D$10)*(Supuestos!$E$10-Supuestos!$D$10)),Supuestos!$F$10-SQRT((1-G632)*(Supuestos!$F$10-Supuestos!$D$10)*(Supuestos!$F$10-Supuestos!$E$10))),IF(Supuestos!$C$10="Uniforme",Supuestos!$D$10+G632*(Supuestos!$E$10-Supuestos!$D$10),IF(Supuestos!$C$10="Lognormal",LOGINV(G632,LN(Supuestos!$D$10)-LN(1+Supuestos!$E$10^2/Supuestos!$D$10^2)/2,SQRT(LN(1+Supuestos!$E$10^2/Supuestos!$D$10^2))),Supuestos!$D$10))))))</f>
        <v/>
      </c>
      <c r="O632" s="31">
        <f>MIN(IF(Supuestos!$H$11="",1E+99,Supuestos!$H$11),MAX(IF(Supuestos!$G$11="",-1E+99,Supuestos!$G$11),IF(Supuestos!$C$11="Normal",NORMINV(H632,Supuestos!$D$11,Supuestos!$E$11),IF(Supuestos!$C$11="Triangular",IF(H632&lt;(Supuestos!$E$11-Supuestos!$D$11)/(Supuestos!$F$11-Supuestos!$D$11),Supuestos!$D$11+SQRT(H632*(Supuestos!$F$11-Supuestos!$D$11)*(Supuestos!$E$11-Supuestos!$D$11)),Supuestos!$F$11-SQRT((1-H632)*(Supuestos!$F$11-Supuestos!$D$11)*(Supuestos!$F$11-Supuestos!$E$11))),IF(Supuestos!$C$11="Uniforme",Supuestos!$D$11+H632*(Supuestos!$E$11-Supuestos!$D$11),IF(Supuestos!$C$11="Lognormal",LOGINV(H632,LN(Supuestos!$D$11)-LN(1+Supuestos!$E$11^2/Supuestos!$D$11^2)/2,SQRT(LN(1+Supuestos!$E$11^2/Supuestos!$D$11^2))),Supuestos!$D$11))))))</f>
        <v/>
      </c>
      <c r="P632" s="33">
        <f>-I632</f>
        <v/>
      </c>
      <c r="Q632" s="33">
        <f>$J632*(1+$K632)^(1-1)*(1-$L632)*(1-$M632)</f>
        <v/>
      </c>
      <c r="R632" s="33">
        <f>$J632*(1+$K632)^(2-1)*(1-$L632)*(1-$M632)</f>
        <v/>
      </c>
      <c r="S632" s="33">
        <f>$J632*(1+$K632)^(3-1)*(1-$L632)*(1-$M632)</f>
        <v/>
      </c>
      <c r="T632" s="33">
        <f>$J632*(1+$K632)^(4-1)*(1-$L632)*(1-$M632)</f>
        <v/>
      </c>
      <c r="U632" s="33">
        <f>$J632*(1+$K632)^(5-1)*(1-$L632)*(1-$M632)+$O632</f>
        <v/>
      </c>
      <c r="V632" s="33">
        <f>P632+NPV($N632,Q632:U632)</f>
        <v/>
      </c>
      <c r="W632" s="32">
        <f>IFERROR(IRR(P632:U632,0.1),"")</f>
        <v/>
      </c>
    </row>
    <row r="633">
      <c r="A633" s="14" t="n">
        <v>629</v>
      </c>
      <c r="B633" s="30">
        <f>RAND()*(1-2E-6)+1E-6</f>
        <v/>
      </c>
      <c r="C633" s="30">
        <f>RAND()*(1-2E-6)+1E-6</f>
        <v/>
      </c>
      <c r="D633" s="30">
        <f>RAND()*(1-2E-6)+1E-6</f>
        <v/>
      </c>
      <c r="E633" s="30">
        <f>RAND()*(1-2E-6)+1E-6</f>
        <v/>
      </c>
      <c r="F633" s="30">
        <f>RAND()*(1-2E-6)+1E-6</f>
        <v/>
      </c>
      <c r="G633" s="30">
        <f>RAND()*(1-2E-6)+1E-6</f>
        <v/>
      </c>
      <c r="H633" s="30">
        <f>RAND()*(1-2E-6)+1E-6</f>
        <v/>
      </c>
      <c r="I633" s="31">
        <f>MIN(IF(Supuestos!$H$5="",1E+99,Supuestos!$H$5),MAX(IF(Supuestos!$G$5="",-1E+99,Supuestos!$G$5),IF(Supuestos!$C$5="Normal",NORMINV(B633,Supuestos!$D$5,Supuestos!$E$5),IF(Supuestos!$C$5="Triangular",IF(B633&lt;(Supuestos!$E$5-Supuestos!$D$5)/(Supuestos!$F$5-Supuestos!$D$5),Supuestos!$D$5+SQRT(B633*(Supuestos!$F$5-Supuestos!$D$5)*(Supuestos!$E$5-Supuestos!$D$5)),Supuestos!$F$5-SQRT((1-B633)*(Supuestos!$F$5-Supuestos!$D$5)*(Supuestos!$F$5-Supuestos!$E$5))),IF(Supuestos!$C$5="Uniforme",Supuestos!$D$5+B633*(Supuestos!$E$5-Supuestos!$D$5),IF(Supuestos!$C$5="Lognormal",LOGINV(B633,LN(Supuestos!$D$5)-LN(1+Supuestos!$E$5^2/Supuestos!$D$5^2)/2,SQRT(LN(1+Supuestos!$E$5^2/Supuestos!$D$5^2))),Supuestos!$D$5))))))</f>
        <v/>
      </c>
      <c r="J633" s="31">
        <f>MIN(IF(Supuestos!$H$6="",1E+99,Supuestos!$H$6),MAX(IF(Supuestos!$G$6="",-1E+99,Supuestos!$G$6),IF(Supuestos!$C$6="Normal",NORMINV(C633,Supuestos!$D$6,Supuestos!$E$6),IF(Supuestos!$C$6="Triangular",IF(C633&lt;(Supuestos!$E$6-Supuestos!$D$6)/(Supuestos!$F$6-Supuestos!$D$6),Supuestos!$D$6+SQRT(C633*(Supuestos!$F$6-Supuestos!$D$6)*(Supuestos!$E$6-Supuestos!$D$6)),Supuestos!$F$6-SQRT((1-C633)*(Supuestos!$F$6-Supuestos!$D$6)*(Supuestos!$F$6-Supuestos!$E$6))),IF(Supuestos!$C$6="Uniforme",Supuestos!$D$6+C633*(Supuestos!$E$6-Supuestos!$D$6),IF(Supuestos!$C$6="Lognormal",LOGINV(C633,LN(Supuestos!$D$6)-LN(1+Supuestos!$E$6^2/Supuestos!$D$6^2)/2,SQRT(LN(1+Supuestos!$E$6^2/Supuestos!$D$6^2))),Supuestos!$D$6))))))</f>
        <v/>
      </c>
      <c r="K633" s="32">
        <f>MIN(IF(Supuestos!$H$7="",1E+99,Supuestos!$H$7),MAX(IF(Supuestos!$G$7="",-1E+99,Supuestos!$G$7),IF(Supuestos!$C$7="Normal",NORMINV(D633,Supuestos!$D$7,Supuestos!$E$7),IF(Supuestos!$C$7="Triangular",IF(D633&lt;(Supuestos!$E$7-Supuestos!$D$7)/(Supuestos!$F$7-Supuestos!$D$7),Supuestos!$D$7+SQRT(D633*(Supuestos!$F$7-Supuestos!$D$7)*(Supuestos!$E$7-Supuestos!$D$7)),Supuestos!$F$7-SQRT((1-D633)*(Supuestos!$F$7-Supuestos!$D$7)*(Supuestos!$F$7-Supuestos!$E$7))),IF(Supuestos!$C$7="Uniforme",Supuestos!$D$7+D633*(Supuestos!$E$7-Supuestos!$D$7),IF(Supuestos!$C$7="Lognormal",LOGINV(D633,LN(Supuestos!$D$7)-LN(1+Supuestos!$E$7^2/Supuestos!$D$7^2)/2,SQRT(LN(1+Supuestos!$E$7^2/Supuestos!$D$7^2))),Supuestos!$D$7))))))</f>
        <v/>
      </c>
      <c r="L633" s="32">
        <f>MIN(IF(Supuestos!$H$8="",1E+99,Supuestos!$H$8),MAX(IF(Supuestos!$G$8="",-1E+99,Supuestos!$G$8),IF(Supuestos!$C$8="Normal",NORMINV(E633,Supuestos!$D$8,Supuestos!$E$8),IF(Supuestos!$C$8="Triangular",IF(E633&lt;(Supuestos!$E$8-Supuestos!$D$8)/(Supuestos!$F$8-Supuestos!$D$8),Supuestos!$D$8+SQRT(E633*(Supuestos!$F$8-Supuestos!$D$8)*(Supuestos!$E$8-Supuestos!$D$8)),Supuestos!$F$8-SQRT((1-E633)*(Supuestos!$F$8-Supuestos!$D$8)*(Supuestos!$F$8-Supuestos!$E$8))),IF(Supuestos!$C$8="Uniforme",Supuestos!$D$8+E633*(Supuestos!$E$8-Supuestos!$D$8),IF(Supuestos!$C$8="Lognormal",LOGINV(E633,LN(Supuestos!$D$8)-LN(1+Supuestos!$E$8^2/Supuestos!$D$8^2)/2,SQRT(LN(1+Supuestos!$E$8^2/Supuestos!$D$8^2))),Supuestos!$D$8))))))</f>
        <v/>
      </c>
      <c r="M633" s="32">
        <f>MIN(IF(Supuestos!$H$9="",1E+99,Supuestos!$H$9),MAX(IF(Supuestos!$G$9="",-1E+99,Supuestos!$G$9),IF(Supuestos!$C$9="Normal",NORMINV(F633,Supuestos!$D$9,Supuestos!$E$9),IF(Supuestos!$C$9="Triangular",IF(F633&lt;(Supuestos!$E$9-Supuestos!$D$9)/(Supuestos!$F$9-Supuestos!$D$9),Supuestos!$D$9+SQRT(F633*(Supuestos!$F$9-Supuestos!$D$9)*(Supuestos!$E$9-Supuestos!$D$9)),Supuestos!$F$9-SQRT((1-F633)*(Supuestos!$F$9-Supuestos!$D$9)*(Supuestos!$F$9-Supuestos!$E$9))),IF(Supuestos!$C$9="Uniforme",Supuestos!$D$9+F633*(Supuestos!$E$9-Supuestos!$D$9),IF(Supuestos!$C$9="Lognormal",LOGINV(F633,LN(Supuestos!$D$9)-LN(1+Supuestos!$E$9^2/Supuestos!$D$9^2)/2,SQRT(LN(1+Supuestos!$E$9^2/Supuestos!$D$9^2))),Supuestos!$D$9))))))</f>
        <v/>
      </c>
      <c r="N633" s="32">
        <f>MIN(IF(Supuestos!$H$10="",1E+99,Supuestos!$H$10),MAX(IF(Supuestos!$G$10="",-1E+99,Supuestos!$G$10),IF(Supuestos!$C$10="Normal",NORMINV(G633,Supuestos!$D$10,Supuestos!$E$10),IF(Supuestos!$C$10="Triangular",IF(G633&lt;(Supuestos!$E$10-Supuestos!$D$10)/(Supuestos!$F$10-Supuestos!$D$10),Supuestos!$D$10+SQRT(G633*(Supuestos!$F$10-Supuestos!$D$10)*(Supuestos!$E$10-Supuestos!$D$10)),Supuestos!$F$10-SQRT((1-G633)*(Supuestos!$F$10-Supuestos!$D$10)*(Supuestos!$F$10-Supuestos!$E$10))),IF(Supuestos!$C$10="Uniforme",Supuestos!$D$10+G633*(Supuestos!$E$10-Supuestos!$D$10),IF(Supuestos!$C$10="Lognormal",LOGINV(G633,LN(Supuestos!$D$10)-LN(1+Supuestos!$E$10^2/Supuestos!$D$10^2)/2,SQRT(LN(1+Supuestos!$E$10^2/Supuestos!$D$10^2))),Supuestos!$D$10))))))</f>
        <v/>
      </c>
      <c r="O633" s="31">
        <f>MIN(IF(Supuestos!$H$11="",1E+99,Supuestos!$H$11),MAX(IF(Supuestos!$G$11="",-1E+99,Supuestos!$G$11),IF(Supuestos!$C$11="Normal",NORMINV(H633,Supuestos!$D$11,Supuestos!$E$11),IF(Supuestos!$C$11="Triangular",IF(H633&lt;(Supuestos!$E$11-Supuestos!$D$11)/(Supuestos!$F$11-Supuestos!$D$11),Supuestos!$D$11+SQRT(H633*(Supuestos!$F$11-Supuestos!$D$11)*(Supuestos!$E$11-Supuestos!$D$11)),Supuestos!$F$11-SQRT((1-H633)*(Supuestos!$F$11-Supuestos!$D$11)*(Supuestos!$F$11-Supuestos!$E$11))),IF(Supuestos!$C$11="Uniforme",Supuestos!$D$11+H633*(Supuestos!$E$11-Supuestos!$D$11),IF(Supuestos!$C$11="Lognormal",LOGINV(H633,LN(Supuestos!$D$11)-LN(1+Supuestos!$E$11^2/Supuestos!$D$11^2)/2,SQRT(LN(1+Supuestos!$E$11^2/Supuestos!$D$11^2))),Supuestos!$D$11))))))</f>
        <v/>
      </c>
      <c r="P633" s="33">
        <f>-I633</f>
        <v/>
      </c>
      <c r="Q633" s="33">
        <f>$J633*(1+$K633)^(1-1)*(1-$L633)*(1-$M633)</f>
        <v/>
      </c>
      <c r="R633" s="33">
        <f>$J633*(1+$K633)^(2-1)*(1-$L633)*(1-$M633)</f>
        <v/>
      </c>
      <c r="S633" s="33">
        <f>$J633*(1+$K633)^(3-1)*(1-$L633)*(1-$M633)</f>
        <v/>
      </c>
      <c r="T633" s="33">
        <f>$J633*(1+$K633)^(4-1)*(1-$L633)*(1-$M633)</f>
        <v/>
      </c>
      <c r="U633" s="33">
        <f>$J633*(1+$K633)^(5-1)*(1-$L633)*(1-$M633)+$O633</f>
        <v/>
      </c>
      <c r="V633" s="33">
        <f>P633+NPV($N633,Q633:U633)</f>
        <v/>
      </c>
      <c r="W633" s="32">
        <f>IFERROR(IRR(P633:U633,0.1),"")</f>
        <v/>
      </c>
    </row>
    <row r="634">
      <c r="A634" s="14" t="n">
        <v>630</v>
      </c>
      <c r="B634" s="30">
        <f>RAND()*(1-2E-6)+1E-6</f>
        <v/>
      </c>
      <c r="C634" s="30">
        <f>RAND()*(1-2E-6)+1E-6</f>
        <v/>
      </c>
      <c r="D634" s="30">
        <f>RAND()*(1-2E-6)+1E-6</f>
        <v/>
      </c>
      <c r="E634" s="30">
        <f>RAND()*(1-2E-6)+1E-6</f>
        <v/>
      </c>
      <c r="F634" s="30">
        <f>RAND()*(1-2E-6)+1E-6</f>
        <v/>
      </c>
      <c r="G634" s="30">
        <f>RAND()*(1-2E-6)+1E-6</f>
        <v/>
      </c>
      <c r="H634" s="30">
        <f>RAND()*(1-2E-6)+1E-6</f>
        <v/>
      </c>
      <c r="I634" s="31">
        <f>MIN(IF(Supuestos!$H$5="",1E+99,Supuestos!$H$5),MAX(IF(Supuestos!$G$5="",-1E+99,Supuestos!$G$5),IF(Supuestos!$C$5="Normal",NORMINV(B634,Supuestos!$D$5,Supuestos!$E$5),IF(Supuestos!$C$5="Triangular",IF(B634&lt;(Supuestos!$E$5-Supuestos!$D$5)/(Supuestos!$F$5-Supuestos!$D$5),Supuestos!$D$5+SQRT(B634*(Supuestos!$F$5-Supuestos!$D$5)*(Supuestos!$E$5-Supuestos!$D$5)),Supuestos!$F$5-SQRT((1-B634)*(Supuestos!$F$5-Supuestos!$D$5)*(Supuestos!$F$5-Supuestos!$E$5))),IF(Supuestos!$C$5="Uniforme",Supuestos!$D$5+B634*(Supuestos!$E$5-Supuestos!$D$5),IF(Supuestos!$C$5="Lognormal",LOGINV(B634,LN(Supuestos!$D$5)-LN(1+Supuestos!$E$5^2/Supuestos!$D$5^2)/2,SQRT(LN(1+Supuestos!$E$5^2/Supuestos!$D$5^2))),Supuestos!$D$5))))))</f>
        <v/>
      </c>
      <c r="J634" s="31">
        <f>MIN(IF(Supuestos!$H$6="",1E+99,Supuestos!$H$6),MAX(IF(Supuestos!$G$6="",-1E+99,Supuestos!$G$6),IF(Supuestos!$C$6="Normal",NORMINV(C634,Supuestos!$D$6,Supuestos!$E$6),IF(Supuestos!$C$6="Triangular",IF(C634&lt;(Supuestos!$E$6-Supuestos!$D$6)/(Supuestos!$F$6-Supuestos!$D$6),Supuestos!$D$6+SQRT(C634*(Supuestos!$F$6-Supuestos!$D$6)*(Supuestos!$E$6-Supuestos!$D$6)),Supuestos!$F$6-SQRT((1-C634)*(Supuestos!$F$6-Supuestos!$D$6)*(Supuestos!$F$6-Supuestos!$E$6))),IF(Supuestos!$C$6="Uniforme",Supuestos!$D$6+C634*(Supuestos!$E$6-Supuestos!$D$6),IF(Supuestos!$C$6="Lognormal",LOGINV(C634,LN(Supuestos!$D$6)-LN(1+Supuestos!$E$6^2/Supuestos!$D$6^2)/2,SQRT(LN(1+Supuestos!$E$6^2/Supuestos!$D$6^2))),Supuestos!$D$6))))))</f>
        <v/>
      </c>
      <c r="K634" s="32">
        <f>MIN(IF(Supuestos!$H$7="",1E+99,Supuestos!$H$7),MAX(IF(Supuestos!$G$7="",-1E+99,Supuestos!$G$7),IF(Supuestos!$C$7="Normal",NORMINV(D634,Supuestos!$D$7,Supuestos!$E$7),IF(Supuestos!$C$7="Triangular",IF(D634&lt;(Supuestos!$E$7-Supuestos!$D$7)/(Supuestos!$F$7-Supuestos!$D$7),Supuestos!$D$7+SQRT(D634*(Supuestos!$F$7-Supuestos!$D$7)*(Supuestos!$E$7-Supuestos!$D$7)),Supuestos!$F$7-SQRT((1-D634)*(Supuestos!$F$7-Supuestos!$D$7)*(Supuestos!$F$7-Supuestos!$E$7))),IF(Supuestos!$C$7="Uniforme",Supuestos!$D$7+D634*(Supuestos!$E$7-Supuestos!$D$7),IF(Supuestos!$C$7="Lognormal",LOGINV(D634,LN(Supuestos!$D$7)-LN(1+Supuestos!$E$7^2/Supuestos!$D$7^2)/2,SQRT(LN(1+Supuestos!$E$7^2/Supuestos!$D$7^2))),Supuestos!$D$7))))))</f>
        <v/>
      </c>
      <c r="L634" s="32">
        <f>MIN(IF(Supuestos!$H$8="",1E+99,Supuestos!$H$8),MAX(IF(Supuestos!$G$8="",-1E+99,Supuestos!$G$8),IF(Supuestos!$C$8="Normal",NORMINV(E634,Supuestos!$D$8,Supuestos!$E$8),IF(Supuestos!$C$8="Triangular",IF(E634&lt;(Supuestos!$E$8-Supuestos!$D$8)/(Supuestos!$F$8-Supuestos!$D$8),Supuestos!$D$8+SQRT(E634*(Supuestos!$F$8-Supuestos!$D$8)*(Supuestos!$E$8-Supuestos!$D$8)),Supuestos!$F$8-SQRT((1-E634)*(Supuestos!$F$8-Supuestos!$D$8)*(Supuestos!$F$8-Supuestos!$E$8))),IF(Supuestos!$C$8="Uniforme",Supuestos!$D$8+E634*(Supuestos!$E$8-Supuestos!$D$8),IF(Supuestos!$C$8="Lognormal",LOGINV(E634,LN(Supuestos!$D$8)-LN(1+Supuestos!$E$8^2/Supuestos!$D$8^2)/2,SQRT(LN(1+Supuestos!$E$8^2/Supuestos!$D$8^2))),Supuestos!$D$8))))))</f>
        <v/>
      </c>
      <c r="M634" s="32">
        <f>MIN(IF(Supuestos!$H$9="",1E+99,Supuestos!$H$9),MAX(IF(Supuestos!$G$9="",-1E+99,Supuestos!$G$9),IF(Supuestos!$C$9="Normal",NORMINV(F634,Supuestos!$D$9,Supuestos!$E$9),IF(Supuestos!$C$9="Triangular",IF(F634&lt;(Supuestos!$E$9-Supuestos!$D$9)/(Supuestos!$F$9-Supuestos!$D$9),Supuestos!$D$9+SQRT(F634*(Supuestos!$F$9-Supuestos!$D$9)*(Supuestos!$E$9-Supuestos!$D$9)),Supuestos!$F$9-SQRT((1-F634)*(Supuestos!$F$9-Supuestos!$D$9)*(Supuestos!$F$9-Supuestos!$E$9))),IF(Supuestos!$C$9="Uniforme",Supuestos!$D$9+F634*(Supuestos!$E$9-Supuestos!$D$9),IF(Supuestos!$C$9="Lognormal",LOGINV(F634,LN(Supuestos!$D$9)-LN(1+Supuestos!$E$9^2/Supuestos!$D$9^2)/2,SQRT(LN(1+Supuestos!$E$9^2/Supuestos!$D$9^2))),Supuestos!$D$9))))))</f>
        <v/>
      </c>
      <c r="N634" s="32">
        <f>MIN(IF(Supuestos!$H$10="",1E+99,Supuestos!$H$10),MAX(IF(Supuestos!$G$10="",-1E+99,Supuestos!$G$10),IF(Supuestos!$C$10="Normal",NORMINV(G634,Supuestos!$D$10,Supuestos!$E$10),IF(Supuestos!$C$10="Triangular",IF(G634&lt;(Supuestos!$E$10-Supuestos!$D$10)/(Supuestos!$F$10-Supuestos!$D$10),Supuestos!$D$10+SQRT(G634*(Supuestos!$F$10-Supuestos!$D$10)*(Supuestos!$E$10-Supuestos!$D$10)),Supuestos!$F$10-SQRT((1-G634)*(Supuestos!$F$10-Supuestos!$D$10)*(Supuestos!$F$10-Supuestos!$E$10))),IF(Supuestos!$C$10="Uniforme",Supuestos!$D$10+G634*(Supuestos!$E$10-Supuestos!$D$10),IF(Supuestos!$C$10="Lognormal",LOGINV(G634,LN(Supuestos!$D$10)-LN(1+Supuestos!$E$10^2/Supuestos!$D$10^2)/2,SQRT(LN(1+Supuestos!$E$10^2/Supuestos!$D$10^2))),Supuestos!$D$10))))))</f>
        <v/>
      </c>
      <c r="O634" s="31">
        <f>MIN(IF(Supuestos!$H$11="",1E+99,Supuestos!$H$11),MAX(IF(Supuestos!$G$11="",-1E+99,Supuestos!$G$11),IF(Supuestos!$C$11="Normal",NORMINV(H634,Supuestos!$D$11,Supuestos!$E$11),IF(Supuestos!$C$11="Triangular",IF(H634&lt;(Supuestos!$E$11-Supuestos!$D$11)/(Supuestos!$F$11-Supuestos!$D$11),Supuestos!$D$11+SQRT(H634*(Supuestos!$F$11-Supuestos!$D$11)*(Supuestos!$E$11-Supuestos!$D$11)),Supuestos!$F$11-SQRT((1-H634)*(Supuestos!$F$11-Supuestos!$D$11)*(Supuestos!$F$11-Supuestos!$E$11))),IF(Supuestos!$C$11="Uniforme",Supuestos!$D$11+H634*(Supuestos!$E$11-Supuestos!$D$11),IF(Supuestos!$C$11="Lognormal",LOGINV(H634,LN(Supuestos!$D$11)-LN(1+Supuestos!$E$11^2/Supuestos!$D$11^2)/2,SQRT(LN(1+Supuestos!$E$11^2/Supuestos!$D$11^2))),Supuestos!$D$11))))))</f>
        <v/>
      </c>
      <c r="P634" s="33">
        <f>-I634</f>
        <v/>
      </c>
      <c r="Q634" s="33">
        <f>$J634*(1+$K634)^(1-1)*(1-$L634)*(1-$M634)</f>
        <v/>
      </c>
      <c r="R634" s="33">
        <f>$J634*(1+$K634)^(2-1)*(1-$L634)*(1-$M634)</f>
        <v/>
      </c>
      <c r="S634" s="33">
        <f>$J634*(1+$K634)^(3-1)*(1-$L634)*(1-$M634)</f>
        <v/>
      </c>
      <c r="T634" s="33">
        <f>$J634*(1+$K634)^(4-1)*(1-$L634)*(1-$M634)</f>
        <v/>
      </c>
      <c r="U634" s="33">
        <f>$J634*(1+$K634)^(5-1)*(1-$L634)*(1-$M634)+$O634</f>
        <v/>
      </c>
      <c r="V634" s="33">
        <f>P634+NPV($N634,Q634:U634)</f>
        <v/>
      </c>
      <c r="W634" s="32">
        <f>IFERROR(IRR(P634:U634,0.1),"")</f>
        <v/>
      </c>
    </row>
    <row r="635">
      <c r="A635" s="14" t="n">
        <v>631</v>
      </c>
      <c r="B635" s="30">
        <f>RAND()*(1-2E-6)+1E-6</f>
        <v/>
      </c>
      <c r="C635" s="30">
        <f>RAND()*(1-2E-6)+1E-6</f>
        <v/>
      </c>
      <c r="D635" s="30">
        <f>RAND()*(1-2E-6)+1E-6</f>
        <v/>
      </c>
      <c r="E635" s="30">
        <f>RAND()*(1-2E-6)+1E-6</f>
        <v/>
      </c>
      <c r="F635" s="30">
        <f>RAND()*(1-2E-6)+1E-6</f>
        <v/>
      </c>
      <c r="G635" s="30">
        <f>RAND()*(1-2E-6)+1E-6</f>
        <v/>
      </c>
      <c r="H635" s="30">
        <f>RAND()*(1-2E-6)+1E-6</f>
        <v/>
      </c>
      <c r="I635" s="31">
        <f>MIN(IF(Supuestos!$H$5="",1E+99,Supuestos!$H$5),MAX(IF(Supuestos!$G$5="",-1E+99,Supuestos!$G$5),IF(Supuestos!$C$5="Normal",NORMINV(B635,Supuestos!$D$5,Supuestos!$E$5),IF(Supuestos!$C$5="Triangular",IF(B635&lt;(Supuestos!$E$5-Supuestos!$D$5)/(Supuestos!$F$5-Supuestos!$D$5),Supuestos!$D$5+SQRT(B635*(Supuestos!$F$5-Supuestos!$D$5)*(Supuestos!$E$5-Supuestos!$D$5)),Supuestos!$F$5-SQRT((1-B635)*(Supuestos!$F$5-Supuestos!$D$5)*(Supuestos!$F$5-Supuestos!$E$5))),IF(Supuestos!$C$5="Uniforme",Supuestos!$D$5+B635*(Supuestos!$E$5-Supuestos!$D$5),IF(Supuestos!$C$5="Lognormal",LOGINV(B635,LN(Supuestos!$D$5)-LN(1+Supuestos!$E$5^2/Supuestos!$D$5^2)/2,SQRT(LN(1+Supuestos!$E$5^2/Supuestos!$D$5^2))),Supuestos!$D$5))))))</f>
        <v/>
      </c>
      <c r="J635" s="31">
        <f>MIN(IF(Supuestos!$H$6="",1E+99,Supuestos!$H$6),MAX(IF(Supuestos!$G$6="",-1E+99,Supuestos!$G$6),IF(Supuestos!$C$6="Normal",NORMINV(C635,Supuestos!$D$6,Supuestos!$E$6),IF(Supuestos!$C$6="Triangular",IF(C635&lt;(Supuestos!$E$6-Supuestos!$D$6)/(Supuestos!$F$6-Supuestos!$D$6),Supuestos!$D$6+SQRT(C635*(Supuestos!$F$6-Supuestos!$D$6)*(Supuestos!$E$6-Supuestos!$D$6)),Supuestos!$F$6-SQRT((1-C635)*(Supuestos!$F$6-Supuestos!$D$6)*(Supuestos!$F$6-Supuestos!$E$6))),IF(Supuestos!$C$6="Uniforme",Supuestos!$D$6+C635*(Supuestos!$E$6-Supuestos!$D$6),IF(Supuestos!$C$6="Lognormal",LOGINV(C635,LN(Supuestos!$D$6)-LN(1+Supuestos!$E$6^2/Supuestos!$D$6^2)/2,SQRT(LN(1+Supuestos!$E$6^2/Supuestos!$D$6^2))),Supuestos!$D$6))))))</f>
        <v/>
      </c>
      <c r="K635" s="32">
        <f>MIN(IF(Supuestos!$H$7="",1E+99,Supuestos!$H$7),MAX(IF(Supuestos!$G$7="",-1E+99,Supuestos!$G$7),IF(Supuestos!$C$7="Normal",NORMINV(D635,Supuestos!$D$7,Supuestos!$E$7),IF(Supuestos!$C$7="Triangular",IF(D635&lt;(Supuestos!$E$7-Supuestos!$D$7)/(Supuestos!$F$7-Supuestos!$D$7),Supuestos!$D$7+SQRT(D635*(Supuestos!$F$7-Supuestos!$D$7)*(Supuestos!$E$7-Supuestos!$D$7)),Supuestos!$F$7-SQRT((1-D635)*(Supuestos!$F$7-Supuestos!$D$7)*(Supuestos!$F$7-Supuestos!$E$7))),IF(Supuestos!$C$7="Uniforme",Supuestos!$D$7+D635*(Supuestos!$E$7-Supuestos!$D$7),IF(Supuestos!$C$7="Lognormal",LOGINV(D635,LN(Supuestos!$D$7)-LN(1+Supuestos!$E$7^2/Supuestos!$D$7^2)/2,SQRT(LN(1+Supuestos!$E$7^2/Supuestos!$D$7^2))),Supuestos!$D$7))))))</f>
        <v/>
      </c>
      <c r="L635" s="32">
        <f>MIN(IF(Supuestos!$H$8="",1E+99,Supuestos!$H$8),MAX(IF(Supuestos!$G$8="",-1E+99,Supuestos!$G$8),IF(Supuestos!$C$8="Normal",NORMINV(E635,Supuestos!$D$8,Supuestos!$E$8),IF(Supuestos!$C$8="Triangular",IF(E635&lt;(Supuestos!$E$8-Supuestos!$D$8)/(Supuestos!$F$8-Supuestos!$D$8),Supuestos!$D$8+SQRT(E635*(Supuestos!$F$8-Supuestos!$D$8)*(Supuestos!$E$8-Supuestos!$D$8)),Supuestos!$F$8-SQRT((1-E635)*(Supuestos!$F$8-Supuestos!$D$8)*(Supuestos!$F$8-Supuestos!$E$8))),IF(Supuestos!$C$8="Uniforme",Supuestos!$D$8+E635*(Supuestos!$E$8-Supuestos!$D$8),IF(Supuestos!$C$8="Lognormal",LOGINV(E635,LN(Supuestos!$D$8)-LN(1+Supuestos!$E$8^2/Supuestos!$D$8^2)/2,SQRT(LN(1+Supuestos!$E$8^2/Supuestos!$D$8^2))),Supuestos!$D$8))))))</f>
        <v/>
      </c>
      <c r="M635" s="32">
        <f>MIN(IF(Supuestos!$H$9="",1E+99,Supuestos!$H$9),MAX(IF(Supuestos!$G$9="",-1E+99,Supuestos!$G$9),IF(Supuestos!$C$9="Normal",NORMINV(F635,Supuestos!$D$9,Supuestos!$E$9),IF(Supuestos!$C$9="Triangular",IF(F635&lt;(Supuestos!$E$9-Supuestos!$D$9)/(Supuestos!$F$9-Supuestos!$D$9),Supuestos!$D$9+SQRT(F635*(Supuestos!$F$9-Supuestos!$D$9)*(Supuestos!$E$9-Supuestos!$D$9)),Supuestos!$F$9-SQRT((1-F635)*(Supuestos!$F$9-Supuestos!$D$9)*(Supuestos!$F$9-Supuestos!$E$9))),IF(Supuestos!$C$9="Uniforme",Supuestos!$D$9+F635*(Supuestos!$E$9-Supuestos!$D$9),IF(Supuestos!$C$9="Lognormal",LOGINV(F635,LN(Supuestos!$D$9)-LN(1+Supuestos!$E$9^2/Supuestos!$D$9^2)/2,SQRT(LN(1+Supuestos!$E$9^2/Supuestos!$D$9^2))),Supuestos!$D$9))))))</f>
        <v/>
      </c>
      <c r="N635" s="32">
        <f>MIN(IF(Supuestos!$H$10="",1E+99,Supuestos!$H$10),MAX(IF(Supuestos!$G$10="",-1E+99,Supuestos!$G$10),IF(Supuestos!$C$10="Normal",NORMINV(G635,Supuestos!$D$10,Supuestos!$E$10),IF(Supuestos!$C$10="Triangular",IF(G635&lt;(Supuestos!$E$10-Supuestos!$D$10)/(Supuestos!$F$10-Supuestos!$D$10),Supuestos!$D$10+SQRT(G635*(Supuestos!$F$10-Supuestos!$D$10)*(Supuestos!$E$10-Supuestos!$D$10)),Supuestos!$F$10-SQRT((1-G635)*(Supuestos!$F$10-Supuestos!$D$10)*(Supuestos!$F$10-Supuestos!$E$10))),IF(Supuestos!$C$10="Uniforme",Supuestos!$D$10+G635*(Supuestos!$E$10-Supuestos!$D$10),IF(Supuestos!$C$10="Lognormal",LOGINV(G635,LN(Supuestos!$D$10)-LN(1+Supuestos!$E$10^2/Supuestos!$D$10^2)/2,SQRT(LN(1+Supuestos!$E$10^2/Supuestos!$D$10^2))),Supuestos!$D$10))))))</f>
        <v/>
      </c>
      <c r="O635" s="31">
        <f>MIN(IF(Supuestos!$H$11="",1E+99,Supuestos!$H$11),MAX(IF(Supuestos!$G$11="",-1E+99,Supuestos!$G$11),IF(Supuestos!$C$11="Normal",NORMINV(H635,Supuestos!$D$11,Supuestos!$E$11),IF(Supuestos!$C$11="Triangular",IF(H635&lt;(Supuestos!$E$11-Supuestos!$D$11)/(Supuestos!$F$11-Supuestos!$D$11),Supuestos!$D$11+SQRT(H635*(Supuestos!$F$11-Supuestos!$D$11)*(Supuestos!$E$11-Supuestos!$D$11)),Supuestos!$F$11-SQRT((1-H635)*(Supuestos!$F$11-Supuestos!$D$11)*(Supuestos!$F$11-Supuestos!$E$11))),IF(Supuestos!$C$11="Uniforme",Supuestos!$D$11+H635*(Supuestos!$E$11-Supuestos!$D$11),IF(Supuestos!$C$11="Lognormal",LOGINV(H635,LN(Supuestos!$D$11)-LN(1+Supuestos!$E$11^2/Supuestos!$D$11^2)/2,SQRT(LN(1+Supuestos!$E$11^2/Supuestos!$D$11^2))),Supuestos!$D$11))))))</f>
        <v/>
      </c>
      <c r="P635" s="33">
        <f>-I635</f>
        <v/>
      </c>
      <c r="Q635" s="33">
        <f>$J635*(1+$K635)^(1-1)*(1-$L635)*(1-$M635)</f>
        <v/>
      </c>
      <c r="R635" s="33">
        <f>$J635*(1+$K635)^(2-1)*(1-$L635)*(1-$M635)</f>
        <v/>
      </c>
      <c r="S635" s="33">
        <f>$J635*(1+$K635)^(3-1)*(1-$L635)*(1-$M635)</f>
        <v/>
      </c>
      <c r="T635" s="33">
        <f>$J635*(1+$K635)^(4-1)*(1-$L635)*(1-$M635)</f>
        <v/>
      </c>
      <c r="U635" s="33">
        <f>$J635*(1+$K635)^(5-1)*(1-$L635)*(1-$M635)+$O635</f>
        <v/>
      </c>
      <c r="V635" s="33">
        <f>P635+NPV($N635,Q635:U635)</f>
        <v/>
      </c>
      <c r="W635" s="32">
        <f>IFERROR(IRR(P635:U635,0.1),"")</f>
        <v/>
      </c>
    </row>
    <row r="636">
      <c r="A636" s="14" t="n">
        <v>632</v>
      </c>
      <c r="B636" s="30">
        <f>RAND()*(1-2E-6)+1E-6</f>
        <v/>
      </c>
      <c r="C636" s="30">
        <f>RAND()*(1-2E-6)+1E-6</f>
        <v/>
      </c>
      <c r="D636" s="30">
        <f>RAND()*(1-2E-6)+1E-6</f>
        <v/>
      </c>
      <c r="E636" s="30">
        <f>RAND()*(1-2E-6)+1E-6</f>
        <v/>
      </c>
      <c r="F636" s="30">
        <f>RAND()*(1-2E-6)+1E-6</f>
        <v/>
      </c>
      <c r="G636" s="30">
        <f>RAND()*(1-2E-6)+1E-6</f>
        <v/>
      </c>
      <c r="H636" s="30">
        <f>RAND()*(1-2E-6)+1E-6</f>
        <v/>
      </c>
      <c r="I636" s="31">
        <f>MIN(IF(Supuestos!$H$5="",1E+99,Supuestos!$H$5),MAX(IF(Supuestos!$G$5="",-1E+99,Supuestos!$G$5),IF(Supuestos!$C$5="Normal",NORMINV(B636,Supuestos!$D$5,Supuestos!$E$5),IF(Supuestos!$C$5="Triangular",IF(B636&lt;(Supuestos!$E$5-Supuestos!$D$5)/(Supuestos!$F$5-Supuestos!$D$5),Supuestos!$D$5+SQRT(B636*(Supuestos!$F$5-Supuestos!$D$5)*(Supuestos!$E$5-Supuestos!$D$5)),Supuestos!$F$5-SQRT((1-B636)*(Supuestos!$F$5-Supuestos!$D$5)*(Supuestos!$F$5-Supuestos!$E$5))),IF(Supuestos!$C$5="Uniforme",Supuestos!$D$5+B636*(Supuestos!$E$5-Supuestos!$D$5),IF(Supuestos!$C$5="Lognormal",LOGINV(B636,LN(Supuestos!$D$5)-LN(1+Supuestos!$E$5^2/Supuestos!$D$5^2)/2,SQRT(LN(1+Supuestos!$E$5^2/Supuestos!$D$5^2))),Supuestos!$D$5))))))</f>
        <v/>
      </c>
      <c r="J636" s="31">
        <f>MIN(IF(Supuestos!$H$6="",1E+99,Supuestos!$H$6),MAX(IF(Supuestos!$G$6="",-1E+99,Supuestos!$G$6),IF(Supuestos!$C$6="Normal",NORMINV(C636,Supuestos!$D$6,Supuestos!$E$6),IF(Supuestos!$C$6="Triangular",IF(C636&lt;(Supuestos!$E$6-Supuestos!$D$6)/(Supuestos!$F$6-Supuestos!$D$6),Supuestos!$D$6+SQRT(C636*(Supuestos!$F$6-Supuestos!$D$6)*(Supuestos!$E$6-Supuestos!$D$6)),Supuestos!$F$6-SQRT((1-C636)*(Supuestos!$F$6-Supuestos!$D$6)*(Supuestos!$F$6-Supuestos!$E$6))),IF(Supuestos!$C$6="Uniforme",Supuestos!$D$6+C636*(Supuestos!$E$6-Supuestos!$D$6),IF(Supuestos!$C$6="Lognormal",LOGINV(C636,LN(Supuestos!$D$6)-LN(1+Supuestos!$E$6^2/Supuestos!$D$6^2)/2,SQRT(LN(1+Supuestos!$E$6^2/Supuestos!$D$6^2))),Supuestos!$D$6))))))</f>
        <v/>
      </c>
      <c r="K636" s="32">
        <f>MIN(IF(Supuestos!$H$7="",1E+99,Supuestos!$H$7),MAX(IF(Supuestos!$G$7="",-1E+99,Supuestos!$G$7),IF(Supuestos!$C$7="Normal",NORMINV(D636,Supuestos!$D$7,Supuestos!$E$7),IF(Supuestos!$C$7="Triangular",IF(D636&lt;(Supuestos!$E$7-Supuestos!$D$7)/(Supuestos!$F$7-Supuestos!$D$7),Supuestos!$D$7+SQRT(D636*(Supuestos!$F$7-Supuestos!$D$7)*(Supuestos!$E$7-Supuestos!$D$7)),Supuestos!$F$7-SQRT((1-D636)*(Supuestos!$F$7-Supuestos!$D$7)*(Supuestos!$F$7-Supuestos!$E$7))),IF(Supuestos!$C$7="Uniforme",Supuestos!$D$7+D636*(Supuestos!$E$7-Supuestos!$D$7),IF(Supuestos!$C$7="Lognormal",LOGINV(D636,LN(Supuestos!$D$7)-LN(1+Supuestos!$E$7^2/Supuestos!$D$7^2)/2,SQRT(LN(1+Supuestos!$E$7^2/Supuestos!$D$7^2))),Supuestos!$D$7))))))</f>
        <v/>
      </c>
      <c r="L636" s="32">
        <f>MIN(IF(Supuestos!$H$8="",1E+99,Supuestos!$H$8),MAX(IF(Supuestos!$G$8="",-1E+99,Supuestos!$G$8),IF(Supuestos!$C$8="Normal",NORMINV(E636,Supuestos!$D$8,Supuestos!$E$8),IF(Supuestos!$C$8="Triangular",IF(E636&lt;(Supuestos!$E$8-Supuestos!$D$8)/(Supuestos!$F$8-Supuestos!$D$8),Supuestos!$D$8+SQRT(E636*(Supuestos!$F$8-Supuestos!$D$8)*(Supuestos!$E$8-Supuestos!$D$8)),Supuestos!$F$8-SQRT((1-E636)*(Supuestos!$F$8-Supuestos!$D$8)*(Supuestos!$F$8-Supuestos!$E$8))),IF(Supuestos!$C$8="Uniforme",Supuestos!$D$8+E636*(Supuestos!$E$8-Supuestos!$D$8),IF(Supuestos!$C$8="Lognormal",LOGINV(E636,LN(Supuestos!$D$8)-LN(1+Supuestos!$E$8^2/Supuestos!$D$8^2)/2,SQRT(LN(1+Supuestos!$E$8^2/Supuestos!$D$8^2))),Supuestos!$D$8))))))</f>
        <v/>
      </c>
      <c r="M636" s="32">
        <f>MIN(IF(Supuestos!$H$9="",1E+99,Supuestos!$H$9),MAX(IF(Supuestos!$G$9="",-1E+99,Supuestos!$G$9),IF(Supuestos!$C$9="Normal",NORMINV(F636,Supuestos!$D$9,Supuestos!$E$9),IF(Supuestos!$C$9="Triangular",IF(F636&lt;(Supuestos!$E$9-Supuestos!$D$9)/(Supuestos!$F$9-Supuestos!$D$9),Supuestos!$D$9+SQRT(F636*(Supuestos!$F$9-Supuestos!$D$9)*(Supuestos!$E$9-Supuestos!$D$9)),Supuestos!$F$9-SQRT((1-F636)*(Supuestos!$F$9-Supuestos!$D$9)*(Supuestos!$F$9-Supuestos!$E$9))),IF(Supuestos!$C$9="Uniforme",Supuestos!$D$9+F636*(Supuestos!$E$9-Supuestos!$D$9),IF(Supuestos!$C$9="Lognormal",LOGINV(F636,LN(Supuestos!$D$9)-LN(1+Supuestos!$E$9^2/Supuestos!$D$9^2)/2,SQRT(LN(1+Supuestos!$E$9^2/Supuestos!$D$9^2))),Supuestos!$D$9))))))</f>
        <v/>
      </c>
      <c r="N636" s="32">
        <f>MIN(IF(Supuestos!$H$10="",1E+99,Supuestos!$H$10),MAX(IF(Supuestos!$G$10="",-1E+99,Supuestos!$G$10),IF(Supuestos!$C$10="Normal",NORMINV(G636,Supuestos!$D$10,Supuestos!$E$10),IF(Supuestos!$C$10="Triangular",IF(G636&lt;(Supuestos!$E$10-Supuestos!$D$10)/(Supuestos!$F$10-Supuestos!$D$10),Supuestos!$D$10+SQRT(G636*(Supuestos!$F$10-Supuestos!$D$10)*(Supuestos!$E$10-Supuestos!$D$10)),Supuestos!$F$10-SQRT((1-G636)*(Supuestos!$F$10-Supuestos!$D$10)*(Supuestos!$F$10-Supuestos!$E$10))),IF(Supuestos!$C$10="Uniforme",Supuestos!$D$10+G636*(Supuestos!$E$10-Supuestos!$D$10),IF(Supuestos!$C$10="Lognormal",LOGINV(G636,LN(Supuestos!$D$10)-LN(1+Supuestos!$E$10^2/Supuestos!$D$10^2)/2,SQRT(LN(1+Supuestos!$E$10^2/Supuestos!$D$10^2))),Supuestos!$D$10))))))</f>
        <v/>
      </c>
      <c r="O636" s="31">
        <f>MIN(IF(Supuestos!$H$11="",1E+99,Supuestos!$H$11),MAX(IF(Supuestos!$G$11="",-1E+99,Supuestos!$G$11),IF(Supuestos!$C$11="Normal",NORMINV(H636,Supuestos!$D$11,Supuestos!$E$11),IF(Supuestos!$C$11="Triangular",IF(H636&lt;(Supuestos!$E$11-Supuestos!$D$11)/(Supuestos!$F$11-Supuestos!$D$11),Supuestos!$D$11+SQRT(H636*(Supuestos!$F$11-Supuestos!$D$11)*(Supuestos!$E$11-Supuestos!$D$11)),Supuestos!$F$11-SQRT((1-H636)*(Supuestos!$F$11-Supuestos!$D$11)*(Supuestos!$F$11-Supuestos!$E$11))),IF(Supuestos!$C$11="Uniforme",Supuestos!$D$11+H636*(Supuestos!$E$11-Supuestos!$D$11),IF(Supuestos!$C$11="Lognormal",LOGINV(H636,LN(Supuestos!$D$11)-LN(1+Supuestos!$E$11^2/Supuestos!$D$11^2)/2,SQRT(LN(1+Supuestos!$E$11^2/Supuestos!$D$11^2))),Supuestos!$D$11))))))</f>
        <v/>
      </c>
      <c r="P636" s="33">
        <f>-I636</f>
        <v/>
      </c>
      <c r="Q636" s="33">
        <f>$J636*(1+$K636)^(1-1)*(1-$L636)*(1-$M636)</f>
        <v/>
      </c>
      <c r="R636" s="33">
        <f>$J636*(1+$K636)^(2-1)*(1-$L636)*(1-$M636)</f>
        <v/>
      </c>
      <c r="S636" s="33">
        <f>$J636*(1+$K636)^(3-1)*(1-$L636)*(1-$M636)</f>
        <v/>
      </c>
      <c r="T636" s="33">
        <f>$J636*(1+$K636)^(4-1)*(1-$L636)*(1-$M636)</f>
        <v/>
      </c>
      <c r="U636" s="33">
        <f>$J636*(1+$K636)^(5-1)*(1-$L636)*(1-$M636)+$O636</f>
        <v/>
      </c>
      <c r="V636" s="33">
        <f>P636+NPV($N636,Q636:U636)</f>
        <v/>
      </c>
      <c r="W636" s="32">
        <f>IFERROR(IRR(P636:U636,0.1),"")</f>
        <v/>
      </c>
    </row>
    <row r="637">
      <c r="A637" s="14" t="n">
        <v>633</v>
      </c>
      <c r="B637" s="30">
        <f>RAND()*(1-2E-6)+1E-6</f>
        <v/>
      </c>
      <c r="C637" s="30">
        <f>RAND()*(1-2E-6)+1E-6</f>
        <v/>
      </c>
      <c r="D637" s="30">
        <f>RAND()*(1-2E-6)+1E-6</f>
        <v/>
      </c>
      <c r="E637" s="30">
        <f>RAND()*(1-2E-6)+1E-6</f>
        <v/>
      </c>
      <c r="F637" s="30">
        <f>RAND()*(1-2E-6)+1E-6</f>
        <v/>
      </c>
      <c r="G637" s="30">
        <f>RAND()*(1-2E-6)+1E-6</f>
        <v/>
      </c>
      <c r="H637" s="30">
        <f>RAND()*(1-2E-6)+1E-6</f>
        <v/>
      </c>
      <c r="I637" s="31">
        <f>MIN(IF(Supuestos!$H$5="",1E+99,Supuestos!$H$5),MAX(IF(Supuestos!$G$5="",-1E+99,Supuestos!$G$5),IF(Supuestos!$C$5="Normal",NORMINV(B637,Supuestos!$D$5,Supuestos!$E$5),IF(Supuestos!$C$5="Triangular",IF(B637&lt;(Supuestos!$E$5-Supuestos!$D$5)/(Supuestos!$F$5-Supuestos!$D$5),Supuestos!$D$5+SQRT(B637*(Supuestos!$F$5-Supuestos!$D$5)*(Supuestos!$E$5-Supuestos!$D$5)),Supuestos!$F$5-SQRT((1-B637)*(Supuestos!$F$5-Supuestos!$D$5)*(Supuestos!$F$5-Supuestos!$E$5))),IF(Supuestos!$C$5="Uniforme",Supuestos!$D$5+B637*(Supuestos!$E$5-Supuestos!$D$5),IF(Supuestos!$C$5="Lognormal",LOGINV(B637,LN(Supuestos!$D$5)-LN(1+Supuestos!$E$5^2/Supuestos!$D$5^2)/2,SQRT(LN(1+Supuestos!$E$5^2/Supuestos!$D$5^2))),Supuestos!$D$5))))))</f>
        <v/>
      </c>
      <c r="J637" s="31">
        <f>MIN(IF(Supuestos!$H$6="",1E+99,Supuestos!$H$6),MAX(IF(Supuestos!$G$6="",-1E+99,Supuestos!$G$6),IF(Supuestos!$C$6="Normal",NORMINV(C637,Supuestos!$D$6,Supuestos!$E$6),IF(Supuestos!$C$6="Triangular",IF(C637&lt;(Supuestos!$E$6-Supuestos!$D$6)/(Supuestos!$F$6-Supuestos!$D$6),Supuestos!$D$6+SQRT(C637*(Supuestos!$F$6-Supuestos!$D$6)*(Supuestos!$E$6-Supuestos!$D$6)),Supuestos!$F$6-SQRT((1-C637)*(Supuestos!$F$6-Supuestos!$D$6)*(Supuestos!$F$6-Supuestos!$E$6))),IF(Supuestos!$C$6="Uniforme",Supuestos!$D$6+C637*(Supuestos!$E$6-Supuestos!$D$6),IF(Supuestos!$C$6="Lognormal",LOGINV(C637,LN(Supuestos!$D$6)-LN(1+Supuestos!$E$6^2/Supuestos!$D$6^2)/2,SQRT(LN(1+Supuestos!$E$6^2/Supuestos!$D$6^2))),Supuestos!$D$6))))))</f>
        <v/>
      </c>
      <c r="K637" s="32">
        <f>MIN(IF(Supuestos!$H$7="",1E+99,Supuestos!$H$7),MAX(IF(Supuestos!$G$7="",-1E+99,Supuestos!$G$7),IF(Supuestos!$C$7="Normal",NORMINV(D637,Supuestos!$D$7,Supuestos!$E$7),IF(Supuestos!$C$7="Triangular",IF(D637&lt;(Supuestos!$E$7-Supuestos!$D$7)/(Supuestos!$F$7-Supuestos!$D$7),Supuestos!$D$7+SQRT(D637*(Supuestos!$F$7-Supuestos!$D$7)*(Supuestos!$E$7-Supuestos!$D$7)),Supuestos!$F$7-SQRT((1-D637)*(Supuestos!$F$7-Supuestos!$D$7)*(Supuestos!$F$7-Supuestos!$E$7))),IF(Supuestos!$C$7="Uniforme",Supuestos!$D$7+D637*(Supuestos!$E$7-Supuestos!$D$7),IF(Supuestos!$C$7="Lognormal",LOGINV(D637,LN(Supuestos!$D$7)-LN(1+Supuestos!$E$7^2/Supuestos!$D$7^2)/2,SQRT(LN(1+Supuestos!$E$7^2/Supuestos!$D$7^2))),Supuestos!$D$7))))))</f>
        <v/>
      </c>
      <c r="L637" s="32">
        <f>MIN(IF(Supuestos!$H$8="",1E+99,Supuestos!$H$8),MAX(IF(Supuestos!$G$8="",-1E+99,Supuestos!$G$8),IF(Supuestos!$C$8="Normal",NORMINV(E637,Supuestos!$D$8,Supuestos!$E$8),IF(Supuestos!$C$8="Triangular",IF(E637&lt;(Supuestos!$E$8-Supuestos!$D$8)/(Supuestos!$F$8-Supuestos!$D$8),Supuestos!$D$8+SQRT(E637*(Supuestos!$F$8-Supuestos!$D$8)*(Supuestos!$E$8-Supuestos!$D$8)),Supuestos!$F$8-SQRT((1-E637)*(Supuestos!$F$8-Supuestos!$D$8)*(Supuestos!$F$8-Supuestos!$E$8))),IF(Supuestos!$C$8="Uniforme",Supuestos!$D$8+E637*(Supuestos!$E$8-Supuestos!$D$8),IF(Supuestos!$C$8="Lognormal",LOGINV(E637,LN(Supuestos!$D$8)-LN(1+Supuestos!$E$8^2/Supuestos!$D$8^2)/2,SQRT(LN(1+Supuestos!$E$8^2/Supuestos!$D$8^2))),Supuestos!$D$8))))))</f>
        <v/>
      </c>
      <c r="M637" s="32">
        <f>MIN(IF(Supuestos!$H$9="",1E+99,Supuestos!$H$9),MAX(IF(Supuestos!$G$9="",-1E+99,Supuestos!$G$9),IF(Supuestos!$C$9="Normal",NORMINV(F637,Supuestos!$D$9,Supuestos!$E$9),IF(Supuestos!$C$9="Triangular",IF(F637&lt;(Supuestos!$E$9-Supuestos!$D$9)/(Supuestos!$F$9-Supuestos!$D$9),Supuestos!$D$9+SQRT(F637*(Supuestos!$F$9-Supuestos!$D$9)*(Supuestos!$E$9-Supuestos!$D$9)),Supuestos!$F$9-SQRT((1-F637)*(Supuestos!$F$9-Supuestos!$D$9)*(Supuestos!$F$9-Supuestos!$E$9))),IF(Supuestos!$C$9="Uniforme",Supuestos!$D$9+F637*(Supuestos!$E$9-Supuestos!$D$9),IF(Supuestos!$C$9="Lognormal",LOGINV(F637,LN(Supuestos!$D$9)-LN(1+Supuestos!$E$9^2/Supuestos!$D$9^2)/2,SQRT(LN(1+Supuestos!$E$9^2/Supuestos!$D$9^2))),Supuestos!$D$9))))))</f>
        <v/>
      </c>
      <c r="N637" s="32">
        <f>MIN(IF(Supuestos!$H$10="",1E+99,Supuestos!$H$10),MAX(IF(Supuestos!$G$10="",-1E+99,Supuestos!$G$10),IF(Supuestos!$C$10="Normal",NORMINV(G637,Supuestos!$D$10,Supuestos!$E$10),IF(Supuestos!$C$10="Triangular",IF(G637&lt;(Supuestos!$E$10-Supuestos!$D$10)/(Supuestos!$F$10-Supuestos!$D$10),Supuestos!$D$10+SQRT(G637*(Supuestos!$F$10-Supuestos!$D$10)*(Supuestos!$E$10-Supuestos!$D$10)),Supuestos!$F$10-SQRT((1-G637)*(Supuestos!$F$10-Supuestos!$D$10)*(Supuestos!$F$10-Supuestos!$E$10))),IF(Supuestos!$C$10="Uniforme",Supuestos!$D$10+G637*(Supuestos!$E$10-Supuestos!$D$10),IF(Supuestos!$C$10="Lognormal",LOGINV(G637,LN(Supuestos!$D$10)-LN(1+Supuestos!$E$10^2/Supuestos!$D$10^2)/2,SQRT(LN(1+Supuestos!$E$10^2/Supuestos!$D$10^2))),Supuestos!$D$10))))))</f>
        <v/>
      </c>
      <c r="O637" s="31">
        <f>MIN(IF(Supuestos!$H$11="",1E+99,Supuestos!$H$11),MAX(IF(Supuestos!$G$11="",-1E+99,Supuestos!$G$11),IF(Supuestos!$C$11="Normal",NORMINV(H637,Supuestos!$D$11,Supuestos!$E$11),IF(Supuestos!$C$11="Triangular",IF(H637&lt;(Supuestos!$E$11-Supuestos!$D$11)/(Supuestos!$F$11-Supuestos!$D$11),Supuestos!$D$11+SQRT(H637*(Supuestos!$F$11-Supuestos!$D$11)*(Supuestos!$E$11-Supuestos!$D$11)),Supuestos!$F$11-SQRT((1-H637)*(Supuestos!$F$11-Supuestos!$D$11)*(Supuestos!$F$11-Supuestos!$E$11))),IF(Supuestos!$C$11="Uniforme",Supuestos!$D$11+H637*(Supuestos!$E$11-Supuestos!$D$11),IF(Supuestos!$C$11="Lognormal",LOGINV(H637,LN(Supuestos!$D$11)-LN(1+Supuestos!$E$11^2/Supuestos!$D$11^2)/2,SQRT(LN(1+Supuestos!$E$11^2/Supuestos!$D$11^2))),Supuestos!$D$11))))))</f>
        <v/>
      </c>
      <c r="P637" s="33">
        <f>-I637</f>
        <v/>
      </c>
      <c r="Q637" s="33">
        <f>$J637*(1+$K637)^(1-1)*(1-$L637)*(1-$M637)</f>
        <v/>
      </c>
      <c r="R637" s="33">
        <f>$J637*(1+$K637)^(2-1)*(1-$L637)*(1-$M637)</f>
        <v/>
      </c>
      <c r="S637" s="33">
        <f>$J637*(1+$K637)^(3-1)*(1-$L637)*(1-$M637)</f>
        <v/>
      </c>
      <c r="T637" s="33">
        <f>$J637*(1+$K637)^(4-1)*(1-$L637)*(1-$M637)</f>
        <v/>
      </c>
      <c r="U637" s="33">
        <f>$J637*(1+$K637)^(5-1)*(1-$L637)*(1-$M637)+$O637</f>
        <v/>
      </c>
      <c r="V637" s="33">
        <f>P637+NPV($N637,Q637:U637)</f>
        <v/>
      </c>
      <c r="W637" s="32">
        <f>IFERROR(IRR(P637:U637,0.1),"")</f>
        <v/>
      </c>
    </row>
    <row r="638">
      <c r="A638" s="14" t="n">
        <v>634</v>
      </c>
      <c r="B638" s="30">
        <f>RAND()*(1-2E-6)+1E-6</f>
        <v/>
      </c>
      <c r="C638" s="30">
        <f>RAND()*(1-2E-6)+1E-6</f>
        <v/>
      </c>
      <c r="D638" s="30">
        <f>RAND()*(1-2E-6)+1E-6</f>
        <v/>
      </c>
      <c r="E638" s="30">
        <f>RAND()*(1-2E-6)+1E-6</f>
        <v/>
      </c>
      <c r="F638" s="30">
        <f>RAND()*(1-2E-6)+1E-6</f>
        <v/>
      </c>
      <c r="G638" s="30">
        <f>RAND()*(1-2E-6)+1E-6</f>
        <v/>
      </c>
      <c r="H638" s="30">
        <f>RAND()*(1-2E-6)+1E-6</f>
        <v/>
      </c>
      <c r="I638" s="31">
        <f>MIN(IF(Supuestos!$H$5="",1E+99,Supuestos!$H$5),MAX(IF(Supuestos!$G$5="",-1E+99,Supuestos!$G$5),IF(Supuestos!$C$5="Normal",NORMINV(B638,Supuestos!$D$5,Supuestos!$E$5),IF(Supuestos!$C$5="Triangular",IF(B638&lt;(Supuestos!$E$5-Supuestos!$D$5)/(Supuestos!$F$5-Supuestos!$D$5),Supuestos!$D$5+SQRT(B638*(Supuestos!$F$5-Supuestos!$D$5)*(Supuestos!$E$5-Supuestos!$D$5)),Supuestos!$F$5-SQRT((1-B638)*(Supuestos!$F$5-Supuestos!$D$5)*(Supuestos!$F$5-Supuestos!$E$5))),IF(Supuestos!$C$5="Uniforme",Supuestos!$D$5+B638*(Supuestos!$E$5-Supuestos!$D$5),IF(Supuestos!$C$5="Lognormal",LOGINV(B638,LN(Supuestos!$D$5)-LN(1+Supuestos!$E$5^2/Supuestos!$D$5^2)/2,SQRT(LN(1+Supuestos!$E$5^2/Supuestos!$D$5^2))),Supuestos!$D$5))))))</f>
        <v/>
      </c>
      <c r="J638" s="31">
        <f>MIN(IF(Supuestos!$H$6="",1E+99,Supuestos!$H$6),MAX(IF(Supuestos!$G$6="",-1E+99,Supuestos!$G$6),IF(Supuestos!$C$6="Normal",NORMINV(C638,Supuestos!$D$6,Supuestos!$E$6),IF(Supuestos!$C$6="Triangular",IF(C638&lt;(Supuestos!$E$6-Supuestos!$D$6)/(Supuestos!$F$6-Supuestos!$D$6),Supuestos!$D$6+SQRT(C638*(Supuestos!$F$6-Supuestos!$D$6)*(Supuestos!$E$6-Supuestos!$D$6)),Supuestos!$F$6-SQRT((1-C638)*(Supuestos!$F$6-Supuestos!$D$6)*(Supuestos!$F$6-Supuestos!$E$6))),IF(Supuestos!$C$6="Uniforme",Supuestos!$D$6+C638*(Supuestos!$E$6-Supuestos!$D$6),IF(Supuestos!$C$6="Lognormal",LOGINV(C638,LN(Supuestos!$D$6)-LN(1+Supuestos!$E$6^2/Supuestos!$D$6^2)/2,SQRT(LN(1+Supuestos!$E$6^2/Supuestos!$D$6^2))),Supuestos!$D$6))))))</f>
        <v/>
      </c>
      <c r="K638" s="32">
        <f>MIN(IF(Supuestos!$H$7="",1E+99,Supuestos!$H$7),MAX(IF(Supuestos!$G$7="",-1E+99,Supuestos!$G$7),IF(Supuestos!$C$7="Normal",NORMINV(D638,Supuestos!$D$7,Supuestos!$E$7),IF(Supuestos!$C$7="Triangular",IF(D638&lt;(Supuestos!$E$7-Supuestos!$D$7)/(Supuestos!$F$7-Supuestos!$D$7),Supuestos!$D$7+SQRT(D638*(Supuestos!$F$7-Supuestos!$D$7)*(Supuestos!$E$7-Supuestos!$D$7)),Supuestos!$F$7-SQRT((1-D638)*(Supuestos!$F$7-Supuestos!$D$7)*(Supuestos!$F$7-Supuestos!$E$7))),IF(Supuestos!$C$7="Uniforme",Supuestos!$D$7+D638*(Supuestos!$E$7-Supuestos!$D$7),IF(Supuestos!$C$7="Lognormal",LOGINV(D638,LN(Supuestos!$D$7)-LN(1+Supuestos!$E$7^2/Supuestos!$D$7^2)/2,SQRT(LN(1+Supuestos!$E$7^2/Supuestos!$D$7^2))),Supuestos!$D$7))))))</f>
        <v/>
      </c>
      <c r="L638" s="32">
        <f>MIN(IF(Supuestos!$H$8="",1E+99,Supuestos!$H$8),MAX(IF(Supuestos!$G$8="",-1E+99,Supuestos!$G$8),IF(Supuestos!$C$8="Normal",NORMINV(E638,Supuestos!$D$8,Supuestos!$E$8),IF(Supuestos!$C$8="Triangular",IF(E638&lt;(Supuestos!$E$8-Supuestos!$D$8)/(Supuestos!$F$8-Supuestos!$D$8),Supuestos!$D$8+SQRT(E638*(Supuestos!$F$8-Supuestos!$D$8)*(Supuestos!$E$8-Supuestos!$D$8)),Supuestos!$F$8-SQRT((1-E638)*(Supuestos!$F$8-Supuestos!$D$8)*(Supuestos!$F$8-Supuestos!$E$8))),IF(Supuestos!$C$8="Uniforme",Supuestos!$D$8+E638*(Supuestos!$E$8-Supuestos!$D$8),IF(Supuestos!$C$8="Lognormal",LOGINV(E638,LN(Supuestos!$D$8)-LN(1+Supuestos!$E$8^2/Supuestos!$D$8^2)/2,SQRT(LN(1+Supuestos!$E$8^2/Supuestos!$D$8^2))),Supuestos!$D$8))))))</f>
        <v/>
      </c>
      <c r="M638" s="32">
        <f>MIN(IF(Supuestos!$H$9="",1E+99,Supuestos!$H$9),MAX(IF(Supuestos!$G$9="",-1E+99,Supuestos!$G$9),IF(Supuestos!$C$9="Normal",NORMINV(F638,Supuestos!$D$9,Supuestos!$E$9),IF(Supuestos!$C$9="Triangular",IF(F638&lt;(Supuestos!$E$9-Supuestos!$D$9)/(Supuestos!$F$9-Supuestos!$D$9),Supuestos!$D$9+SQRT(F638*(Supuestos!$F$9-Supuestos!$D$9)*(Supuestos!$E$9-Supuestos!$D$9)),Supuestos!$F$9-SQRT((1-F638)*(Supuestos!$F$9-Supuestos!$D$9)*(Supuestos!$F$9-Supuestos!$E$9))),IF(Supuestos!$C$9="Uniforme",Supuestos!$D$9+F638*(Supuestos!$E$9-Supuestos!$D$9),IF(Supuestos!$C$9="Lognormal",LOGINV(F638,LN(Supuestos!$D$9)-LN(1+Supuestos!$E$9^2/Supuestos!$D$9^2)/2,SQRT(LN(1+Supuestos!$E$9^2/Supuestos!$D$9^2))),Supuestos!$D$9))))))</f>
        <v/>
      </c>
      <c r="N638" s="32">
        <f>MIN(IF(Supuestos!$H$10="",1E+99,Supuestos!$H$10),MAX(IF(Supuestos!$G$10="",-1E+99,Supuestos!$G$10),IF(Supuestos!$C$10="Normal",NORMINV(G638,Supuestos!$D$10,Supuestos!$E$10),IF(Supuestos!$C$10="Triangular",IF(G638&lt;(Supuestos!$E$10-Supuestos!$D$10)/(Supuestos!$F$10-Supuestos!$D$10),Supuestos!$D$10+SQRT(G638*(Supuestos!$F$10-Supuestos!$D$10)*(Supuestos!$E$10-Supuestos!$D$10)),Supuestos!$F$10-SQRT((1-G638)*(Supuestos!$F$10-Supuestos!$D$10)*(Supuestos!$F$10-Supuestos!$E$10))),IF(Supuestos!$C$10="Uniforme",Supuestos!$D$10+G638*(Supuestos!$E$10-Supuestos!$D$10),IF(Supuestos!$C$10="Lognormal",LOGINV(G638,LN(Supuestos!$D$10)-LN(1+Supuestos!$E$10^2/Supuestos!$D$10^2)/2,SQRT(LN(1+Supuestos!$E$10^2/Supuestos!$D$10^2))),Supuestos!$D$10))))))</f>
        <v/>
      </c>
      <c r="O638" s="31">
        <f>MIN(IF(Supuestos!$H$11="",1E+99,Supuestos!$H$11),MAX(IF(Supuestos!$G$11="",-1E+99,Supuestos!$G$11),IF(Supuestos!$C$11="Normal",NORMINV(H638,Supuestos!$D$11,Supuestos!$E$11),IF(Supuestos!$C$11="Triangular",IF(H638&lt;(Supuestos!$E$11-Supuestos!$D$11)/(Supuestos!$F$11-Supuestos!$D$11),Supuestos!$D$11+SQRT(H638*(Supuestos!$F$11-Supuestos!$D$11)*(Supuestos!$E$11-Supuestos!$D$11)),Supuestos!$F$11-SQRT((1-H638)*(Supuestos!$F$11-Supuestos!$D$11)*(Supuestos!$F$11-Supuestos!$E$11))),IF(Supuestos!$C$11="Uniforme",Supuestos!$D$11+H638*(Supuestos!$E$11-Supuestos!$D$11),IF(Supuestos!$C$11="Lognormal",LOGINV(H638,LN(Supuestos!$D$11)-LN(1+Supuestos!$E$11^2/Supuestos!$D$11^2)/2,SQRT(LN(1+Supuestos!$E$11^2/Supuestos!$D$11^2))),Supuestos!$D$11))))))</f>
        <v/>
      </c>
      <c r="P638" s="33">
        <f>-I638</f>
        <v/>
      </c>
      <c r="Q638" s="33">
        <f>$J638*(1+$K638)^(1-1)*(1-$L638)*(1-$M638)</f>
        <v/>
      </c>
      <c r="R638" s="33">
        <f>$J638*(1+$K638)^(2-1)*(1-$L638)*(1-$M638)</f>
        <v/>
      </c>
      <c r="S638" s="33">
        <f>$J638*(1+$K638)^(3-1)*(1-$L638)*(1-$M638)</f>
        <v/>
      </c>
      <c r="T638" s="33">
        <f>$J638*(1+$K638)^(4-1)*(1-$L638)*(1-$M638)</f>
        <v/>
      </c>
      <c r="U638" s="33">
        <f>$J638*(1+$K638)^(5-1)*(1-$L638)*(1-$M638)+$O638</f>
        <v/>
      </c>
      <c r="V638" s="33">
        <f>P638+NPV($N638,Q638:U638)</f>
        <v/>
      </c>
      <c r="W638" s="32">
        <f>IFERROR(IRR(P638:U638,0.1),"")</f>
        <v/>
      </c>
    </row>
    <row r="639">
      <c r="A639" s="14" t="n">
        <v>635</v>
      </c>
      <c r="B639" s="30">
        <f>RAND()*(1-2E-6)+1E-6</f>
        <v/>
      </c>
      <c r="C639" s="30">
        <f>RAND()*(1-2E-6)+1E-6</f>
        <v/>
      </c>
      <c r="D639" s="30">
        <f>RAND()*(1-2E-6)+1E-6</f>
        <v/>
      </c>
      <c r="E639" s="30">
        <f>RAND()*(1-2E-6)+1E-6</f>
        <v/>
      </c>
      <c r="F639" s="30">
        <f>RAND()*(1-2E-6)+1E-6</f>
        <v/>
      </c>
      <c r="G639" s="30">
        <f>RAND()*(1-2E-6)+1E-6</f>
        <v/>
      </c>
      <c r="H639" s="30">
        <f>RAND()*(1-2E-6)+1E-6</f>
        <v/>
      </c>
      <c r="I639" s="31">
        <f>MIN(IF(Supuestos!$H$5="",1E+99,Supuestos!$H$5),MAX(IF(Supuestos!$G$5="",-1E+99,Supuestos!$G$5),IF(Supuestos!$C$5="Normal",NORMINV(B639,Supuestos!$D$5,Supuestos!$E$5),IF(Supuestos!$C$5="Triangular",IF(B639&lt;(Supuestos!$E$5-Supuestos!$D$5)/(Supuestos!$F$5-Supuestos!$D$5),Supuestos!$D$5+SQRT(B639*(Supuestos!$F$5-Supuestos!$D$5)*(Supuestos!$E$5-Supuestos!$D$5)),Supuestos!$F$5-SQRT((1-B639)*(Supuestos!$F$5-Supuestos!$D$5)*(Supuestos!$F$5-Supuestos!$E$5))),IF(Supuestos!$C$5="Uniforme",Supuestos!$D$5+B639*(Supuestos!$E$5-Supuestos!$D$5),IF(Supuestos!$C$5="Lognormal",LOGINV(B639,LN(Supuestos!$D$5)-LN(1+Supuestos!$E$5^2/Supuestos!$D$5^2)/2,SQRT(LN(1+Supuestos!$E$5^2/Supuestos!$D$5^2))),Supuestos!$D$5))))))</f>
        <v/>
      </c>
      <c r="J639" s="31">
        <f>MIN(IF(Supuestos!$H$6="",1E+99,Supuestos!$H$6),MAX(IF(Supuestos!$G$6="",-1E+99,Supuestos!$G$6),IF(Supuestos!$C$6="Normal",NORMINV(C639,Supuestos!$D$6,Supuestos!$E$6),IF(Supuestos!$C$6="Triangular",IF(C639&lt;(Supuestos!$E$6-Supuestos!$D$6)/(Supuestos!$F$6-Supuestos!$D$6),Supuestos!$D$6+SQRT(C639*(Supuestos!$F$6-Supuestos!$D$6)*(Supuestos!$E$6-Supuestos!$D$6)),Supuestos!$F$6-SQRT((1-C639)*(Supuestos!$F$6-Supuestos!$D$6)*(Supuestos!$F$6-Supuestos!$E$6))),IF(Supuestos!$C$6="Uniforme",Supuestos!$D$6+C639*(Supuestos!$E$6-Supuestos!$D$6),IF(Supuestos!$C$6="Lognormal",LOGINV(C639,LN(Supuestos!$D$6)-LN(1+Supuestos!$E$6^2/Supuestos!$D$6^2)/2,SQRT(LN(1+Supuestos!$E$6^2/Supuestos!$D$6^2))),Supuestos!$D$6))))))</f>
        <v/>
      </c>
      <c r="K639" s="32">
        <f>MIN(IF(Supuestos!$H$7="",1E+99,Supuestos!$H$7),MAX(IF(Supuestos!$G$7="",-1E+99,Supuestos!$G$7),IF(Supuestos!$C$7="Normal",NORMINV(D639,Supuestos!$D$7,Supuestos!$E$7),IF(Supuestos!$C$7="Triangular",IF(D639&lt;(Supuestos!$E$7-Supuestos!$D$7)/(Supuestos!$F$7-Supuestos!$D$7),Supuestos!$D$7+SQRT(D639*(Supuestos!$F$7-Supuestos!$D$7)*(Supuestos!$E$7-Supuestos!$D$7)),Supuestos!$F$7-SQRT((1-D639)*(Supuestos!$F$7-Supuestos!$D$7)*(Supuestos!$F$7-Supuestos!$E$7))),IF(Supuestos!$C$7="Uniforme",Supuestos!$D$7+D639*(Supuestos!$E$7-Supuestos!$D$7),IF(Supuestos!$C$7="Lognormal",LOGINV(D639,LN(Supuestos!$D$7)-LN(1+Supuestos!$E$7^2/Supuestos!$D$7^2)/2,SQRT(LN(1+Supuestos!$E$7^2/Supuestos!$D$7^2))),Supuestos!$D$7))))))</f>
        <v/>
      </c>
      <c r="L639" s="32">
        <f>MIN(IF(Supuestos!$H$8="",1E+99,Supuestos!$H$8),MAX(IF(Supuestos!$G$8="",-1E+99,Supuestos!$G$8),IF(Supuestos!$C$8="Normal",NORMINV(E639,Supuestos!$D$8,Supuestos!$E$8),IF(Supuestos!$C$8="Triangular",IF(E639&lt;(Supuestos!$E$8-Supuestos!$D$8)/(Supuestos!$F$8-Supuestos!$D$8),Supuestos!$D$8+SQRT(E639*(Supuestos!$F$8-Supuestos!$D$8)*(Supuestos!$E$8-Supuestos!$D$8)),Supuestos!$F$8-SQRT((1-E639)*(Supuestos!$F$8-Supuestos!$D$8)*(Supuestos!$F$8-Supuestos!$E$8))),IF(Supuestos!$C$8="Uniforme",Supuestos!$D$8+E639*(Supuestos!$E$8-Supuestos!$D$8),IF(Supuestos!$C$8="Lognormal",LOGINV(E639,LN(Supuestos!$D$8)-LN(1+Supuestos!$E$8^2/Supuestos!$D$8^2)/2,SQRT(LN(1+Supuestos!$E$8^2/Supuestos!$D$8^2))),Supuestos!$D$8))))))</f>
        <v/>
      </c>
      <c r="M639" s="32">
        <f>MIN(IF(Supuestos!$H$9="",1E+99,Supuestos!$H$9),MAX(IF(Supuestos!$G$9="",-1E+99,Supuestos!$G$9),IF(Supuestos!$C$9="Normal",NORMINV(F639,Supuestos!$D$9,Supuestos!$E$9),IF(Supuestos!$C$9="Triangular",IF(F639&lt;(Supuestos!$E$9-Supuestos!$D$9)/(Supuestos!$F$9-Supuestos!$D$9),Supuestos!$D$9+SQRT(F639*(Supuestos!$F$9-Supuestos!$D$9)*(Supuestos!$E$9-Supuestos!$D$9)),Supuestos!$F$9-SQRT((1-F639)*(Supuestos!$F$9-Supuestos!$D$9)*(Supuestos!$F$9-Supuestos!$E$9))),IF(Supuestos!$C$9="Uniforme",Supuestos!$D$9+F639*(Supuestos!$E$9-Supuestos!$D$9),IF(Supuestos!$C$9="Lognormal",LOGINV(F639,LN(Supuestos!$D$9)-LN(1+Supuestos!$E$9^2/Supuestos!$D$9^2)/2,SQRT(LN(1+Supuestos!$E$9^2/Supuestos!$D$9^2))),Supuestos!$D$9))))))</f>
        <v/>
      </c>
      <c r="N639" s="32">
        <f>MIN(IF(Supuestos!$H$10="",1E+99,Supuestos!$H$10),MAX(IF(Supuestos!$G$10="",-1E+99,Supuestos!$G$10),IF(Supuestos!$C$10="Normal",NORMINV(G639,Supuestos!$D$10,Supuestos!$E$10),IF(Supuestos!$C$10="Triangular",IF(G639&lt;(Supuestos!$E$10-Supuestos!$D$10)/(Supuestos!$F$10-Supuestos!$D$10),Supuestos!$D$10+SQRT(G639*(Supuestos!$F$10-Supuestos!$D$10)*(Supuestos!$E$10-Supuestos!$D$10)),Supuestos!$F$10-SQRT((1-G639)*(Supuestos!$F$10-Supuestos!$D$10)*(Supuestos!$F$10-Supuestos!$E$10))),IF(Supuestos!$C$10="Uniforme",Supuestos!$D$10+G639*(Supuestos!$E$10-Supuestos!$D$10),IF(Supuestos!$C$10="Lognormal",LOGINV(G639,LN(Supuestos!$D$10)-LN(1+Supuestos!$E$10^2/Supuestos!$D$10^2)/2,SQRT(LN(1+Supuestos!$E$10^2/Supuestos!$D$10^2))),Supuestos!$D$10))))))</f>
        <v/>
      </c>
      <c r="O639" s="31">
        <f>MIN(IF(Supuestos!$H$11="",1E+99,Supuestos!$H$11),MAX(IF(Supuestos!$G$11="",-1E+99,Supuestos!$G$11),IF(Supuestos!$C$11="Normal",NORMINV(H639,Supuestos!$D$11,Supuestos!$E$11),IF(Supuestos!$C$11="Triangular",IF(H639&lt;(Supuestos!$E$11-Supuestos!$D$11)/(Supuestos!$F$11-Supuestos!$D$11),Supuestos!$D$11+SQRT(H639*(Supuestos!$F$11-Supuestos!$D$11)*(Supuestos!$E$11-Supuestos!$D$11)),Supuestos!$F$11-SQRT((1-H639)*(Supuestos!$F$11-Supuestos!$D$11)*(Supuestos!$F$11-Supuestos!$E$11))),IF(Supuestos!$C$11="Uniforme",Supuestos!$D$11+H639*(Supuestos!$E$11-Supuestos!$D$11),IF(Supuestos!$C$11="Lognormal",LOGINV(H639,LN(Supuestos!$D$11)-LN(1+Supuestos!$E$11^2/Supuestos!$D$11^2)/2,SQRT(LN(1+Supuestos!$E$11^2/Supuestos!$D$11^2))),Supuestos!$D$11))))))</f>
        <v/>
      </c>
      <c r="P639" s="33">
        <f>-I639</f>
        <v/>
      </c>
      <c r="Q639" s="33">
        <f>$J639*(1+$K639)^(1-1)*(1-$L639)*(1-$M639)</f>
        <v/>
      </c>
      <c r="R639" s="33">
        <f>$J639*(1+$K639)^(2-1)*(1-$L639)*(1-$M639)</f>
        <v/>
      </c>
      <c r="S639" s="33">
        <f>$J639*(1+$K639)^(3-1)*(1-$L639)*(1-$M639)</f>
        <v/>
      </c>
      <c r="T639" s="33">
        <f>$J639*(1+$K639)^(4-1)*(1-$L639)*(1-$M639)</f>
        <v/>
      </c>
      <c r="U639" s="33">
        <f>$J639*(1+$K639)^(5-1)*(1-$L639)*(1-$M639)+$O639</f>
        <v/>
      </c>
      <c r="V639" s="33">
        <f>P639+NPV($N639,Q639:U639)</f>
        <v/>
      </c>
      <c r="W639" s="32">
        <f>IFERROR(IRR(P639:U639,0.1),"")</f>
        <v/>
      </c>
    </row>
    <row r="640">
      <c r="A640" s="14" t="n">
        <v>636</v>
      </c>
      <c r="B640" s="30">
        <f>RAND()*(1-2E-6)+1E-6</f>
        <v/>
      </c>
      <c r="C640" s="30">
        <f>RAND()*(1-2E-6)+1E-6</f>
        <v/>
      </c>
      <c r="D640" s="30">
        <f>RAND()*(1-2E-6)+1E-6</f>
        <v/>
      </c>
      <c r="E640" s="30">
        <f>RAND()*(1-2E-6)+1E-6</f>
        <v/>
      </c>
      <c r="F640" s="30">
        <f>RAND()*(1-2E-6)+1E-6</f>
        <v/>
      </c>
      <c r="G640" s="30">
        <f>RAND()*(1-2E-6)+1E-6</f>
        <v/>
      </c>
      <c r="H640" s="30">
        <f>RAND()*(1-2E-6)+1E-6</f>
        <v/>
      </c>
      <c r="I640" s="31">
        <f>MIN(IF(Supuestos!$H$5="",1E+99,Supuestos!$H$5),MAX(IF(Supuestos!$G$5="",-1E+99,Supuestos!$G$5),IF(Supuestos!$C$5="Normal",NORMINV(B640,Supuestos!$D$5,Supuestos!$E$5),IF(Supuestos!$C$5="Triangular",IF(B640&lt;(Supuestos!$E$5-Supuestos!$D$5)/(Supuestos!$F$5-Supuestos!$D$5),Supuestos!$D$5+SQRT(B640*(Supuestos!$F$5-Supuestos!$D$5)*(Supuestos!$E$5-Supuestos!$D$5)),Supuestos!$F$5-SQRT((1-B640)*(Supuestos!$F$5-Supuestos!$D$5)*(Supuestos!$F$5-Supuestos!$E$5))),IF(Supuestos!$C$5="Uniforme",Supuestos!$D$5+B640*(Supuestos!$E$5-Supuestos!$D$5),IF(Supuestos!$C$5="Lognormal",LOGINV(B640,LN(Supuestos!$D$5)-LN(1+Supuestos!$E$5^2/Supuestos!$D$5^2)/2,SQRT(LN(1+Supuestos!$E$5^2/Supuestos!$D$5^2))),Supuestos!$D$5))))))</f>
        <v/>
      </c>
      <c r="J640" s="31">
        <f>MIN(IF(Supuestos!$H$6="",1E+99,Supuestos!$H$6),MAX(IF(Supuestos!$G$6="",-1E+99,Supuestos!$G$6),IF(Supuestos!$C$6="Normal",NORMINV(C640,Supuestos!$D$6,Supuestos!$E$6),IF(Supuestos!$C$6="Triangular",IF(C640&lt;(Supuestos!$E$6-Supuestos!$D$6)/(Supuestos!$F$6-Supuestos!$D$6),Supuestos!$D$6+SQRT(C640*(Supuestos!$F$6-Supuestos!$D$6)*(Supuestos!$E$6-Supuestos!$D$6)),Supuestos!$F$6-SQRT((1-C640)*(Supuestos!$F$6-Supuestos!$D$6)*(Supuestos!$F$6-Supuestos!$E$6))),IF(Supuestos!$C$6="Uniforme",Supuestos!$D$6+C640*(Supuestos!$E$6-Supuestos!$D$6),IF(Supuestos!$C$6="Lognormal",LOGINV(C640,LN(Supuestos!$D$6)-LN(1+Supuestos!$E$6^2/Supuestos!$D$6^2)/2,SQRT(LN(1+Supuestos!$E$6^2/Supuestos!$D$6^2))),Supuestos!$D$6))))))</f>
        <v/>
      </c>
      <c r="K640" s="32">
        <f>MIN(IF(Supuestos!$H$7="",1E+99,Supuestos!$H$7),MAX(IF(Supuestos!$G$7="",-1E+99,Supuestos!$G$7),IF(Supuestos!$C$7="Normal",NORMINV(D640,Supuestos!$D$7,Supuestos!$E$7),IF(Supuestos!$C$7="Triangular",IF(D640&lt;(Supuestos!$E$7-Supuestos!$D$7)/(Supuestos!$F$7-Supuestos!$D$7),Supuestos!$D$7+SQRT(D640*(Supuestos!$F$7-Supuestos!$D$7)*(Supuestos!$E$7-Supuestos!$D$7)),Supuestos!$F$7-SQRT((1-D640)*(Supuestos!$F$7-Supuestos!$D$7)*(Supuestos!$F$7-Supuestos!$E$7))),IF(Supuestos!$C$7="Uniforme",Supuestos!$D$7+D640*(Supuestos!$E$7-Supuestos!$D$7),IF(Supuestos!$C$7="Lognormal",LOGINV(D640,LN(Supuestos!$D$7)-LN(1+Supuestos!$E$7^2/Supuestos!$D$7^2)/2,SQRT(LN(1+Supuestos!$E$7^2/Supuestos!$D$7^2))),Supuestos!$D$7))))))</f>
        <v/>
      </c>
      <c r="L640" s="32">
        <f>MIN(IF(Supuestos!$H$8="",1E+99,Supuestos!$H$8),MAX(IF(Supuestos!$G$8="",-1E+99,Supuestos!$G$8),IF(Supuestos!$C$8="Normal",NORMINV(E640,Supuestos!$D$8,Supuestos!$E$8),IF(Supuestos!$C$8="Triangular",IF(E640&lt;(Supuestos!$E$8-Supuestos!$D$8)/(Supuestos!$F$8-Supuestos!$D$8),Supuestos!$D$8+SQRT(E640*(Supuestos!$F$8-Supuestos!$D$8)*(Supuestos!$E$8-Supuestos!$D$8)),Supuestos!$F$8-SQRT((1-E640)*(Supuestos!$F$8-Supuestos!$D$8)*(Supuestos!$F$8-Supuestos!$E$8))),IF(Supuestos!$C$8="Uniforme",Supuestos!$D$8+E640*(Supuestos!$E$8-Supuestos!$D$8),IF(Supuestos!$C$8="Lognormal",LOGINV(E640,LN(Supuestos!$D$8)-LN(1+Supuestos!$E$8^2/Supuestos!$D$8^2)/2,SQRT(LN(1+Supuestos!$E$8^2/Supuestos!$D$8^2))),Supuestos!$D$8))))))</f>
        <v/>
      </c>
      <c r="M640" s="32">
        <f>MIN(IF(Supuestos!$H$9="",1E+99,Supuestos!$H$9),MAX(IF(Supuestos!$G$9="",-1E+99,Supuestos!$G$9),IF(Supuestos!$C$9="Normal",NORMINV(F640,Supuestos!$D$9,Supuestos!$E$9),IF(Supuestos!$C$9="Triangular",IF(F640&lt;(Supuestos!$E$9-Supuestos!$D$9)/(Supuestos!$F$9-Supuestos!$D$9),Supuestos!$D$9+SQRT(F640*(Supuestos!$F$9-Supuestos!$D$9)*(Supuestos!$E$9-Supuestos!$D$9)),Supuestos!$F$9-SQRT((1-F640)*(Supuestos!$F$9-Supuestos!$D$9)*(Supuestos!$F$9-Supuestos!$E$9))),IF(Supuestos!$C$9="Uniforme",Supuestos!$D$9+F640*(Supuestos!$E$9-Supuestos!$D$9),IF(Supuestos!$C$9="Lognormal",LOGINV(F640,LN(Supuestos!$D$9)-LN(1+Supuestos!$E$9^2/Supuestos!$D$9^2)/2,SQRT(LN(1+Supuestos!$E$9^2/Supuestos!$D$9^2))),Supuestos!$D$9))))))</f>
        <v/>
      </c>
      <c r="N640" s="32">
        <f>MIN(IF(Supuestos!$H$10="",1E+99,Supuestos!$H$10),MAX(IF(Supuestos!$G$10="",-1E+99,Supuestos!$G$10),IF(Supuestos!$C$10="Normal",NORMINV(G640,Supuestos!$D$10,Supuestos!$E$10),IF(Supuestos!$C$10="Triangular",IF(G640&lt;(Supuestos!$E$10-Supuestos!$D$10)/(Supuestos!$F$10-Supuestos!$D$10),Supuestos!$D$10+SQRT(G640*(Supuestos!$F$10-Supuestos!$D$10)*(Supuestos!$E$10-Supuestos!$D$10)),Supuestos!$F$10-SQRT((1-G640)*(Supuestos!$F$10-Supuestos!$D$10)*(Supuestos!$F$10-Supuestos!$E$10))),IF(Supuestos!$C$10="Uniforme",Supuestos!$D$10+G640*(Supuestos!$E$10-Supuestos!$D$10),IF(Supuestos!$C$10="Lognormal",LOGINV(G640,LN(Supuestos!$D$10)-LN(1+Supuestos!$E$10^2/Supuestos!$D$10^2)/2,SQRT(LN(1+Supuestos!$E$10^2/Supuestos!$D$10^2))),Supuestos!$D$10))))))</f>
        <v/>
      </c>
      <c r="O640" s="31">
        <f>MIN(IF(Supuestos!$H$11="",1E+99,Supuestos!$H$11),MAX(IF(Supuestos!$G$11="",-1E+99,Supuestos!$G$11),IF(Supuestos!$C$11="Normal",NORMINV(H640,Supuestos!$D$11,Supuestos!$E$11),IF(Supuestos!$C$11="Triangular",IF(H640&lt;(Supuestos!$E$11-Supuestos!$D$11)/(Supuestos!$F$11-Supuestos!$D$11),Supuestos!$D$11+SQRT(H640*(Supuestos!$F$11-Supuestos!$D$11)*(Supuestos!$E$11-Supuestos!$D$11)),Supuestos!$F$11-SQRT((1-H640)*(Supuestos!$F$11-Supuestos!$D$11)*(Supuestos!$F$11-Supuestos!$E$11))),IF(Supuestos!$C$11="Uniforme",Supuestos!$D$11+H640*(Supuestos!$E$11-Supuestos!$D$11),IF(Supuestos!$C$11="Lognormal",LOGINV(H640,LN(Supuestos!$D$11)-LN(1+Supuestos!$E$11^2/Supuestos!$D$11^2)/2,SQRT(LN(1+Supuestos!$E$11^2/Supuestos!$D$11^2))),Supuestos!$D$11))))))</f>
        <v/>
      </c>
      <c r="P640" s="33">
        <f>-I640</f>
        <v/>
      </c>
      <c r="Q640" s="33">
        <f>$J640*(1+$K640)^(1-1)*(1-$L640)*(1-$M640)</f>
        <v/>
      </c>
      <c r="R640" s="33">
        <f>$J640*(1+$K640)^(2-1)*(1-$L640)*(1-$M640)</f>
        <v/>
      </c>
      <c r="S640" s="33">
        <f>$J640*(1+$K640)^(3-1)*(1-$L640)*(1-$M640)</f>
        <v/>
      </c>
      <c r="T640" s="33">
        <f>$J640*(1+$K640)^(4-1)*(1-$L640)*(1-$M640)</f>
        <v/>
      </c>
      <c r="U640" s="33">
        <f>$J640*(1+$K640)^(5-1)*(1-$L640)*(1-$M640)+$O640</f>
        <v/>
      </c>
      <c r="V640" s="33">
        <f>P640+NPV($N640,Q640:U640)</f>
        <v/>
      </c>
      <c r="W640" s="32">
        <f>IFERROR(IRR(P640:U640,0.1),"")</f>
        <v/>
      </c>
    </row>
    <row r="641">
      <c r="A641" s="14" t="n">
        <v>637</v>
      </c>
      <c r="B641" s="30">
        <f>RAND()*(1-2E-6)+1E-6</f>
        <v/>
      </c>
      <c r="C641" s="30">
        <f>RAND()*(1-2E-6)+1E-6</f>
        <v/>
      </c>
      <c r="D641" s="30">
        <f>RAND()*(1-2E-6)+1E-6</f>
        <v/>
      </c>
      <c r="E641" s="30">
        <f>RAND()*(1-2E-6)+1E-6</f>
        <v/>
      </c>
      <c r="F641" s="30">
        <f>RAND()*(1-2E-6)+1E-6</f>
        <v/>
      </c>
      <c r="G641" s="30">
        <f>RAND()*(1-2E-6)+1E-6</f>
        <v/>
      </c>
      <c r="H641" s="30">
        <f>RAND()*(1-2E-6)+1E-6</f>
        <v/>
      </c>
      <c r="I641" s="31">
        <f>MIN(IF(Supuestos!$H$5="",1E+99,Supuestos!$H$5),MAX(IF(Supuestos!$G$5="",-1E+99,Supuestos!$G$5),IF(Supuestos!$C$5="Normal",NORMINV(B641,Supuestos!$D$5,Supuestos!$E$5),IF(Supuestos!$C$5="Triangular",IF(B641&lt;(Supuestos!$E$5-Supuestos!$D$5)/(Supuestos!$F$5-Supuestos!$D$5),Supuestos!$D$5+SQRT(B641*(Supuestos!$F$5-Supuestos!$D$5)*(Supuestos!$E$5-Supuestos!$D$5)),Supuestos!$F$5-SQRT((1-B641)*(Supuestos!$F$5-Supuestos!$D$5)*(Supuestos!$F$5-Supuestos!$E$5))),IF(Supuestos!$C$5="Uniforme",Supuestos!$D$5+B641*(Supuestos!$E$5-Supuestos!$D$5),IF(Supuestos!$C$5="Lognormal",LOGINV(B641,LN(Supuestos!$D$5)-LN(1+Supuestos!$E$5^2/Supuestos!$D$5^2)/2,SQRT(LN(1+Supuestos!$E$5^2/Supuestos!$D$5^2))),Supuestos!$D$5))))))</f>
        <v/>
      </c>
      <c r="J641" s="31">
        <f>MIN(IF(Supuestos!$H$6="",1E+99,Supuestos!$H$6),MAX(IF(Supuestos!$G$6="",-1E+99,Supuestos!$G$6),IF(Supuestos!$C$6="Normal",NORMINV(C641,Supuestos!$D$6,Supuestos!$E$6),IF(Supuestos!$C$6="Triangular",IF(C641&lt;(Supuestos!$E$6-Supuestos!$D$6)/(Supuestos!$F$6-Supuestos!$D$6),Supuestos!$D$6+SQRT(C641*(Supuestos!$F$6-Supuestos!$D$6)*(Supuestos!$E$6-Supuestos!$D$6)),Supuestos!$F$6-SQRT((1-C641)*(Supuestos!$F$6-Supuestos!$D$6)*(Supuestos!$F$6-Supuestos!$E$6))),IF(Supuestos!$C$6="Uniforme",Supuestos!$D$6+C641*(Supuestos!$E$6-Supuestos!$D$6),IF(Supuestos!$C$6="Lognormal",LOGINV(C641,LN(Supuestos!$D$6)-LN(1+Supuestos!$E$6^2/Supuestos!$D$6^2)/2,SQRT(LN(1+Supuestos!$E$6^2/Supuestos!$D$6^2))),Supuestos!$D$6))))))</f>
        <v/>
      </c>
      <c r="K641" s="32">
        <f>MIN(IF(Supuestos!$H$7="",1E+99,Supuestos!$H$7),MAX(IF(Supuestos!$G$7="",-1E+99,Supuestos!$G$7),IF(Supuestos!$C$7="Normal",NORMINV(D641,Supuestos!$D$7,Supuestos!$E$7),IF(Supuestos!$C$7="Triangular",IF(D641&lt;(Supuestos!$E$7-Supuestos!$D$7)/(Supuestos!$F$7-Supuestos!$D$7),Supuestos!$D$7+SQRT(D641*(Supuestos!$F$7-Supuestos!$D$7)*(Supuestos!$E$7-Supuestos!$D$7)),Supuestos!$F$7-SQRT((1-D641)*(Supuestos!$F$7-Supuestos!$D$7)*(Supuestos!$F$7-Supuestos!$E$7))),IF(Supuestos!$C$7="Uniforme",Supuestos!$D$7+D641*(Supuestos!$E$7-Supuestos!$D$7),IF(Supuestos!$C$7="Lognormal",LOGINV(D641,LN(Supuestos!$D$7)-LN(1+Supuestos!$E$7^2/Supuestos!$D$7^2)/2,SQRT(LN(1+Supuestos!$E$7^2/Supuestos!$D$7^2))),Supuestos!$D$7))))))</f>
        <v/>
      </c>
      <c r="L641" s="32">
        <f>MIN(IF(Supuestos!$H$8="",1E+99,Supuestos!$H$8),MAX(IF(Supuestos!$G$8="",-1E+99,Supuestos!$G$8),IF(Supuestos!$C$8="Normal",NORMINV(E641,Supuestos!$D$8,Supuestos!$E$8),IF(Supuestos!$C$8="Triangular",IF(E641&lt;(Supuestos!$E$8-Supuestos!$D$8)/(Supuestos!$F$8-Supuestos!$D$8),Supuestos!$D$8+SQRT(E641*(Supuestos!$F$8-Supuestos!$D$8)*(Supuestos!$E$8-Supuestos!$D$8)),Supuestos!$F$8-SQRT((1-E641)*(Supuestos!$F$8-Supuestos!$D$8)*(Supuestos!$F$8-Supuestos!$E$8))),IF(Supuestos!$C$8="Uniforme",Supuestos!$D$8+E641*(Supuestos!$E$8-Supuestos!$D$8),IF(Supuestos!$C$8="Lognormal",LOGINV(E641,LN(Supuestos!$D$8)-LN(1+Supuestos!$E$8^2/Supuestos!$D$8^2)/2,SQRT(LN(1+Supuestos!$E$8^2/Supuestos!$D$8^2))),Supuestos!$D$8))))))</f>
        <v/>
      </c>
      <c r="M641" s="32">
        <f>MIN(IF(Supuestos!$H$9="",1E+99,Supuestos!$H$9),MAX(IF(Supuestos!$G$9="",-1E+99,Supuestos!$G$9),IF(Supuestos!$C$9="Normal",NORMINV(F641,Supuestos!$D$9,Supuestos!$E$9),IF(Supuestos!$C$9="Triangular",IF(F641&lt;(Supuestos!$E$9-Supuestos!$D$9)/(Supuestos!$F$9-Supuestos!$D$9),Supuestos!$D$9+SQRT(F641*(Supuestos!$F$9-Supuestos!$D$9)*(Supuestos!$E$9-Supuestos!$D$9)),Supuestos!$F$9-SQRT((1-F641)*(Supuestos!$F$9-Supuestos!$D$9)*(Supuestos!$F$9-Supuestos!$E$9))),IF(Supuestos!$C$9="Uniforme",Supuestos!$D$9+F641*(Supuestos!$E$9-Supuestos!$D$9),IF(Supuestos!$C$9="Lognormal",LOGINV(F641,LN(Supuestos!$D$9)-LN(1+Supuestos!$E$9^2/Supuestos!$D$9^2)/2,SQRT(LN(1+Supuestos!$E$9^2/Supuestos!$D$9^2))),Supuestos!$D$9))))))</f>
        <v/>
      </c>
      <c r="N641" s="32">
        <f>MIN(IF(Supuestos!$H$10="",1E+99,Supuestos!$H$10),MAX(IF(Supuestos!$G$10="",-1E+99,Supuestos!$G$10),IF(Supuestos!$C$10="Normal",NORMINV(G641,Supuestos!$D$10,Supuestos!$E$10),IF(Supuestos!$C$10="Triangular",IF(G641&lt;(Supuestos!$E$10-Supuestos!$D$10)/(Supuestos!$F$10-Supuestos!$D$10),Supuestos!$D$10+SQRT(G641*(Supuestos!$F$10-Supuestos!$D$10)*(Supuestos!$E$10-Supuestos!$D$10)),Supuestos!$F$10-SQRT((1-G641)*(Supuestos!$F$10-Supuestos!$D$10)*(Supuestos!$F$10-Supuestos!$E$10))),IF(Supuestos!$C$10="Uniforme",Supuestos!$D$10+G641*(Supuestos!$E$10-Supuestos!$D$10),IF(Supuestos!$C$10="Lognormal",LOGINV(G641,LN(Supuestos!$D$10)-LN(1+Supuestos!$E$10^2/Supuestos!$D$10^2)/2,SQRT(LN(1+Supuestos!$E$10^2/Supuestos!$D$10^2))),Supuestos!$D$10))))))</f>
        <v/>
      </c>
      <c r="O641" s="31">
        <f>MIN(IF(Supuestos!$H$11="",1E+99,Supuestos!$H$11),MAX(IF(Supuestos!$G$11="",-1E+99,Supuestos!$G$11),IF(Supuestos!$C$11="Normal",NORMINV(H641,Supuestos!$D$11,Supuestos!$E$11),IF(Supuestos!$C$11="Triangular",IF(H641&lt;(Supuestos!$E$11-Supuestos!$D$11)/(Supuestos!$F$11-Supuestos!$D$11),Supuestos!$D$11+SQRT(H641*(Supuestos!$F$11-Supuestos!$D$11)*(Supuestos!$E$11-Supuestos!$D$11)),Supuestos!$F$11-SQRT((1-H641)*(Supuestos!$F$11-Supuestos!$D$11)*(Supuestos!$F$11-Supuestos!$E$11))),IF(Supuestos!$C$11="Uniforme",Supuestos!$D$11+H641*(Supuestos!$E$11-Supuestos!$D$11),IF(Supuestos!$C$11="Lognormal",LOGINV(H641,LN(Supuestos!$D$11)-LN(1+Supuestos!$E$11^2/Supuestos!$D$11^2)/2,SQRT(LN(1+Supuestos!$E$11^2/Supuestos!$D$11^2))),Supuestos!$D$11))))))</f>
        <v/>
      </c>
      <c r="P641" s="33">
        <f>-I641</f>
        <v/>
      </c>
      <c r="Q641" s="33">
        <f>$J641*(1+$K641)^(1-1)*(1-$L641)*(1-$M641)</f>
        <v/>
      </c>
      <c r="R641" s="33">
        <f>$J641*(1+$K641)^(2-1)*(1-$L641)*(1-$M641)</f>
        <v/>
      </c>
      <c r="S641" s="33">
        <f>$J641*(1+$K641)^(3-1)*(1-$L641)*(1-$M641)</f>
        <v/>
      </c>
      <c r="T641" s="33">
        <f>$J641*(1+$K641)^(4-1)*(1-$L641)*(1-$M641)</f>
        <v/>
      </c>
      <c r="U641" s="33">
        <f>$J641*(1+$K641)^(5-1)*(1-$L641)*(1-$M641)+$O641</f>
        <v/>
      </c>
      <c r="V641" s="33">
        <f>P641+NPV($N641,Q641:U641)</f>
        <v/>
      </c>
      <c r="W641" s="32">
        <f>IFERROR(IRR(P641:U641,0.1),"")</f>
        <v/>
      </c>
    </row>
    <row r="642">
      <c r="A642" s="14" t="n">
        <v>638</v>
      </c>
      <c r="B642" s="30">
        <f>RAND()*(1-2E-6)+1E-6</f>
        <v/>
      </c>
      <c r="C642" s="30">
        <f>RAND()*(1-2E-6)+1E-6</f>
        <v/>
      </c>
      <c r="D642" s="30">
        <f>RAND()*(1-2E-6)+1E-6</f>
        <v/>
      </c>
      <c r="E642" s="30">
        <f>RAND()*(1-2E-6)+1E-6</f>
        <v/>
      </c>
      <c r="F642" s="30">
        <f>RAND()*(1-2E-6)+1E-6</f>
        <v/>
      </c>
      <c r="G642" s="30">
        <f>RAND()*(1-2E-6)+1E-6</f>
        <v/>
      </c>
      <c r="H642" s="30">
        <f>RAND()*(1-2E-6)+1E-6</f>
        <v/>
      </c>
      <c r="I642" s="31">
        <f>MIN(IF(Supuestos!$H$5="",1E+99,Supuestos!$H$5),MAX(IF(Supuestos!$G$5="",-1E+99,Supuestos!$G$5),IF(Supuestos!$C$5="Normal",NORMINV(B642,Supuestos!$D$5,Supuestos!$E$5),IF(Supuestos!$C$5="Triangular",IF(B642&lt;(Supuestos!$E$5-Supuestos!$D$5)/(Supuestos!$F$5-Supuestos!$D$5),Supuestos!$D$5+SQRT(B642*(Supuestos!$F$5-Supuestos!$D$5)*(Supuestos!$E$5-Supuestos!$D$5)),Supuestos!$F$5-SQRT((1-B642)*(Supuestos!$F$5-Supuestos!$D$5)*(Supuestos!$F$5-Supuestos!$E$5))),IF(Supuestos!$C$5="Uniforme",Supuestos!$D$5+B642*(Supuestos!$E$5-Supuestos!$D$5),IF(Supuestos!$C$5="Lognormal",LOGINV(B642,LN(Supuestos!$D$5)-LN(1+Supuestos!$E$5^2/Supuestos!$D$5^2)/2,SQRT(LN(1+Supuestos!$E$5^2/Supuestos!$D$5^2))),Supuestos!$D$5))))))</f>
        <v/>
      </c>
      <c r="J642" s="31">
        <f>MIN(IF(Supuestos!$H$6="",1E+99,Supuestos!$H$6),MAX(IF(Supuestos!$G$6="",-1E+99,Supuestos!$G$6),IF(Supuestos!$C$6="Normal",NORMINV(C642,Supuestos!$D$6,Supuestos!$E$6),IF(Supuestos!$C$6="Triangular",IF(C642&lt;(Supuestos!$E$6-Supuestos!$D$6)/(Supuestos!$F$6-Supuestos!$D$6),Supuestos!$D$6+SQRT(C642*(Supuestos!$F$6-Supuestos!$D$6)*(Supuestos!$E$6-Supuestos!$D$6)),Supuestos!$F$6-SQRT((1-C642)*(Supuestos!$F$6-Supuestos!$D$6)*(Supuestos!$F$6-Supuestos!$E$6))),IF(Supuestos!$C$6="Uniforme",Supuestos!$D$6+C642*(Supuestos!$E$6-Supuestos!$D$6),IF(Supuestos!$C$6="Lognormal",LOGINV(C642,LN(Supuestos!$D$6)-LN(1+Supuestos!$E$6^2/Supuestos!$D$6^2)/2,SQRT(LN(1+Supuestos!$E$6^2/Supuestos!$D$6^2))),Supuestos!$D$6))))))</f>
        <v/>
      </c>
      <c r="K642" s="32">
        <f>MIN(IF(Supuestos!$H$7="",1E+99,Supuestos!$H$7),MAX(IF(Supuestos!$G$7="",-1E+99,Supuestos!$G$7),IF(Supuestos!$C$7="Normal",NORMINV(D642,Supuestos!$D$7,Supuestos!$E$7),IF(Supuestos!$C$7="Triangular",IF(D642&lt;(Supuestos!$E$7-Supuestos!$D$7)/(Supuestos!$F$7-Supuestos!$D$7),Supuestos!$D$7+SQRT(D642*(Supuestos!$F$7-Supuestos!$D$7)*(Supuestos!$E$7-Supuestos!$D$7)),Supuestos!$F$7-SQRT((1-D642)*(Supuestos!$F$7-Supuestos!$D$7)*(Supuestos!$F$7-Supuestos!$E$7))),IF(Supuestos!$C$7="Uniforme",Supuestos!$D$7+D642*(Supuestos!$E$7-Supuestos!$D$7),IF(Supuestos!$C$7="Lognormal",LOGINV(D642,LN(Supuestos!$D$7)-LN(1+Supuestos!$E$7^2/Supuestos!$D$7^2)/2,SQRT(LN(1+Supuestos!$E$7^2/Supuestos!$D$7^2))),Supuestos!$D$7))))))</f>
        <v/>
      </c>
      <c r="L642" s="32">
        <f>MIN(IF(Supuestos!$H$8="",1E+99,Supuestos!$H$8),MAX(IF(Supuestos!$G$8="",-1E+99,Supuestos!$G$8),IF(Supuestos!$C$8="Normal",NORMINV(E642,Supuestos!$D$8,Supuestos!$E$8),IF(Supuestos!$C$8="Triangular",IF(E642&lt;(Supuestos!$E$8-Supuestos!$D$8)/(Supuestos!$F$8-Supuestos!$D$8),Supuestos!$D$8+SQRT(E642*(Supuestos!$F$8-Supuestos!$D$8)*(Supuestos!$E$8-Supuestos!$D$8)),Supuestos!$F$8-SQRT((1-E642)*(Supuestos!$F$8-Supuestos!$D$8)*(Supuestos!$F$8-Supuestos!$E$8))),IF(Supuestos!$C$8="Uniforme",Supuestos!$D$8+E642*(Supuestos!$E$8-Supuestos!$D$8),IF(Supuestos!$C$8="Lognormal",LOGINV(E642,LN(Supuestos!$D$8)-LN(1+Supuestos!$E$8^2/Supuestos!$D$8^2)/2,SQRT(LN(1+Supuestos!$E$8^2/Supuestos!$D$8^2))),Supuestos!$D$8))))))</f>
        <v/>
      </c>
      <c r="M642" s="32">
        <f>MIN(IF(Supuestos!$H$9="",1E+99,Supuestos!$H$9),MAX(IF(Supuestos!$G$9="",-1E+99,Supuestos!$G$9),IF(Supuestos!$C$9="Normal",NORMINV(F642,Supuestos!$D$9,Supuestos!$E$9),IF(Supuestos!$C$9="Triangular",IF(F642&lt;(Supuestos!$E$9-Supuestos!$D$9)/(Supuestos!$F$9-Supuestos!$D$9),Supuestos!$D$9+SQRT(F642*(Supuestos!$F$9-Supuestos!$D$9)*(Supuestos!$E$9-Supuestos!$D$9)),Supuestos!$F$9-SQRT((1-F642)*(Supuestos!$F$9-Supuestos!$D$9)*(Supuestos!$F$9-Supuestos!$E$9))),IF(Supuestos!$C$9="Uniforme",Supuestos!$D$9+F642*(Supuestos!$E$9-Supuestos!$D$9),IF(Supuestos!$C$9="Lognormal",LOGINV(F642,LN(Supuestos!$D$9)-LN(1+Supuestos!$E$9^2/Supuestos!$D$9^2)/2,SQRT(LN(1+Supuestos!$E$9^2/Supuestos!$D$9^2))),Supuestos!$D$9))))))</f>
        <v/>
      </c>
      <c r="N642" s="32">
        <f>MIN(IF(Supuestos!$H$10="",1E+99,Supuestos!$H$10),MAX(IF(Supuestos!$G$10="",-1E+99,Supuestos!$G$10),IF(Supuestos!$C$10="Normal",NORMINV(G642,Supuestos!$D$10,Supuestos!$E$10),IF(Supuestos!$C$10="Triangular",IF(G642&lt;(Supuestos!$E$10-Supuestos!$D$10)/(Supuestos!$F$10-Supuestos!$D$10),Supuestos!$D$10+SQRT(G642*(Supuestos!$F$10-Supuestos!$D$10)*(Supuestos!$E$10-Supuestos!$D$10)),Supuestos!$F$10-SQRT((1-G642)*(Supuestos!$F$10-Supuestos!$D$10)*(Supuestos!$F$10-Supuestos!$E$10))),IF(Supuestos!$C$10="Uniforme",Supuestos!$D$10+G642*(Supuestos!$E$10-Supuestos!$D$10),IF(Supuestos!$C$10="Lognormal",LOGINV(G642,LN(Supuestos!$D$10)-LN(1+Supuestos!$E$10^2/Supuestos!$D$10^2)/2,SQRT(LN(1+Supuestos!$E$10^2/Supuestos!$D$10^2))),Supuestos!$D$10))))))</f>
        <v/>
      </c>
      <c r="O642" s="31">
        <f>MIN(IF(Supuestos!$H$11="",1E+99,Supuestos!$H$11),MAX(IF(Supuestos!$G$11="",-1E+99,Supuestos!$G$11),IF(Supuestos!$C$11="Normal",NORMINV(H642,Supuestos!$D$11,Supuestos!$E$11),IF(Supuestos!$C$11="Triangular",IF(H642&lt;(Supuestos!$E$11-Supuestos!$D$11)/(Supuestos!$F$11-Supuestos!$D$11),Supuestos!$D$11+SQRT(H642*(Supuestos!$F$11-Supuestos!$D$11)*(Supuestos!$E$11-Supuestos!$D$11)),Supuestos!$F$11-SQRT((1-H642)*(Supuestos!$F$11-Supuestos!$D$11)*(Supuestos!$F$11-Supuestos!$E$11))),IF(Supuestos!$C$11="Uniforme",Supuestos!$D$11+H642*(Supuestos!$E$11-Supuestos!$D$11),IF(Supuestos!$C$11="Lognormal",LOGINV(H642,LN(Supuestos!$D$11)-LN(1+Supuestos!$E$11^2/Supuestos!$D$11^2)/2,SQRT(LN(1+Supuestos!$E$11^2/Supuestos!$D$11^2))),Supuestos!$D$11))))))</f>
        <v/>
      </c>
      <c r="P642" s="33">
        <f>-I642</f>
        <v/>
      </c>
      <c r="Q642" s="33">
        <f>$J642*(1+$K642)^(1-1)*(1-$L642)*(1-$M642)</f>
        <v/>
      </c>
      <c r="R642" s="33">
        <f>$J642*(1+$K642)^(2-1)*(1-$L642)*(1-$M642)</f>
        <v/>
      </c>
      <c r="S642" s="33">
        <f>$J642*(1+$K642)^(3-1)*(1-$L642)*(1-$M642)</f>
        <v/>
      </c>
      <c r="T642" s="33">
        <f>$J642*(1+$K642)^(4-1)*(1-$L642)*(1-$M642)</f>
        <v/>
      </c>
      <c r="U642" s="33">
        <f>$J642*(1+$K642)^(5-1)*(1-$L642)*(1-$M642)+$O642</f>
        <v/>
      </c>
      <c r="V642" s="33">
        <f>P642+NPV($N642,Q642:U642)</f>
        <v/>
      </c>
      <c r="W642" s="32">
        <f>IFERROR(IRR(P642:U642,0.1),"")</f>
        <v/>
      </c>
    </row>
    <row r="643">
      <c r="A643" s="14" t="n">
        <v>639</v>
      </c>
      <c r="B643" s="30">
        <f>RAND()*(1-2E-6)+1E-6</f>
        <v/>
      </c>
      <c r="C643" s="30">
        <f>RAND()*(1-2E-6)+1E-6</f>
        <v/>
      </c>
      <c r="D643" s="30">
        <f>RAND()*(1-2E-6)+1E-6</f>
        <v/>
      </c>
      <c r="E643" s="30">
        <f>RAND()*(1-2E-6)+1E-6</f>
        <v/>
      </c>
      <c r="F643" s="30">
        <f>RAND()*(1-2E-6)+1E-6</f>
        <v/>
      </c>
      <c r="G643" s="30">
        <f>RAND()*(1-2E-6)+1E-6</f>
        <v/>
      </c>
      <c r="H643" s="30">
        <f>RAND()*(1-2E-6)+1E-6</f>
        <v/>
      </c>
      <c r="I643" s="31">
        <f>MIN(IF(Supuestos!$H$5="",1E+99,Supuestos!$H$5),MAX(IF(Supuestos!$G$5="",-1E+99,Supuestos!$G$5),IF(Supuestos!$C$5="Normal",NORMINV(B643,Supuestos!$D$5,Supuestos!$E$5),IF(Supuestos!$C$5="Triangular",IF(B643&lt;(Supuestos!$E$5-Supuestos!$D$5)/(Supuestos!$F$5-Supuestos!$D$5),Supuestos!$D$5+SQRT(B643*(Supuestos!$F$5-Supuestos!$D$5)*(Supuestos!$E$5-Supuestos!$D$5)),Supuestos!$F$5-SQRT((1-B643)*(Supuestos!$F$5-Supuestos!$D$5)*(Supuestos!$F$5-Supuestos!$E$5))),IF(Supuestos!$C$5="Uniforme",Supuestos!$D$5+B643*(Supuestos!$E$5-Supuestos!$D$5),IF(Supuestos!$C$5="Lognormal",LOGINV(B643,LN(Supuestos!$D$5)-LN(1+Supuestos!$E$5^2/Supuestos!$D$5^2)/2,SQRT(LN(1+Supuestos!$E$5^2/Supuestos!$D$5^2))),Supuestos!$D$5))))))</f>
        <v/>
      </c>
      <c r="J643" s="31">
        <f>MIN(IF(Supuestos!$H$6="",1E+99,Supuestos!$H$6),MAX(IF(Supuestos!$G$6="",-1E+99,Supuestos!$G$6),IF(Supuestos!$C$6="Normal",NORMINV(C643,Supuestos!$D$6,Supuestos!$E$6),IF(Supuestos!$C$6="Triangular",IF(C643&lt;(Supuestos!$E$6-Supuestos!$D$6)/(Supuestos!$F$6-Supuestos!$D$6),Supuestos!$D$6+SQRT(C643*(Supuestos!$F$6-Supuestos!$D$6)*(Supuestos!$E$6-Supuestos!$D$6)),Supuestos!$F$6-SQRT((1-C643)*(Supuestos!$F$6-Supuestos!$D$6)*(Supuestos!$F$6-Supuestos!$E$6))),IF(Supuestos!$C$6="Uniforme",Supuestos!$D$6+C643*(Supuestos!$E$6-Supuestos!$D$6),IF(Supuestos!$C$6="Lognormal",LOGINV(C643,LN(Supuestos!$D$6)-LN(1+Supuestos!$E$6^2/Supuestos!$D$6^2)/2,SQRT(LN(1+Supuestos!$E$6^2/Supuestos!$D$6^2))),Supuestos!$D$6))))))</f>
        <v/>
      </c>
      <c r="K643" s="32">
        <f>MIN(IF(Supuestos!$H$7="",1E+99,Supuestos!$H$7),MAX(IF(Supuestos!$G$7="",-1E+99,Supuestos!$G$7),IF(Supuestos!$C$7="Normal",NORMINV(D643,Supuestos!$D$7,Supuestos!$E$7),IF(Supuestos!$C$7="Triangular",IF(D643&lt;(Supuestos!$E$7-Supuestos!$D$7)/(Supuestos!$F$7-Supuestos!$D$7),Supuestos!$D$7+SQRT(D643*(Supuestos!$F$7-Supuestos!$D$7)*(Supuestos!$E$7-Supuestos!$D$7)),Supuestos!$F$7-SQRT((1-D643)*(Supuestos!$F$7-Supuestos!$D$7)*(Supuestos!$F$7-Supuestos!$E$7))),IF(Supuestos!$C$7="Uniforme",Supuestos!$D$7+D643*(Supuestos!$E$7-Supuestos!$D$7),IF(Supuestos!$C$7="Lognormal",LOGINV(D643,LN(Supuestos!$D$7)-LN(1+Supuestos!$E$7^2/Supuestos!$D$7^2)/2,SQRT(LN(1+Supuestos!$E$7^2/Supuestos!$D$7^2))),Supuestos!$D$7))))))</f>
        <v/>
      </c>
      <c r="L643" s="32">
        <f>MIN(IF(Supuestos!$H$8="",1E+99,Supuestos!$H$8),MAX(IF(Supuestos!$G$8="",-1E+99,Supuestos!$G$8),IF(Supuestos!$C$8="Normal",NORMINV(E643,Supuestos!$D$8,Supuestos!$E$8),IF(Supuestos!$C$8="Triangular",IF(E643&lt;(Supuestos!$E$8-Supuestos!$D$8)/(Supuestos!$F$8-Supuestos!$D$8),Supuestos!$D$8+SQRT(E643*(Supuestos!$F$8-Supuestos!$D$8)*(Supuestos!$E$8-Supuestos!$D$8)),Supuestos!$F$8-SQRT((1-E643)*(Supuestos!$F$8-Supuestos!$D$8)*(Supuestos!$F$8-Supuestos!$E$8))),IF(Supuestos!$C$8="Uniforme",Supuestos!$D$8+E643*(Supuestos!$E$8-Supuestos!$D$8),IF(Supuestos!$C$8="Lognormal",LOGINV(E643,LN(Supuestos!$D$8)-LN(1+Supuestos!$E$8^2/Supuestos!$D$8^2)/2,SQRT(LN(1+Supuestos!$E$8^2/Supuestos!$D$8^2))),Supuestos!$D$8))))))</f>
        <v/>
      </c>
      <c r="M643" s="32">
        <f>MIN(IF(Supuestos!$H$9="",1E+99,Supuestos!$H$9),MAX(IF(Supuestos!$G$9="",-1E+99,Supuestos!$G$9),IF(Supuestos!$C$9="Normal",NORMINV(F643,Supuestos!$D$9,Supuestos!$E$9),IF(Supuestos!$C$9="Triangular",IF(F643&lt;(Supuestos!$E$9-Supuestos!$D$9)/(Supuestos!$F$9-Supuestos!$D$9),Supuestos!$D$9+SQRT(F643*(Supuestos!$F$9-Supuestos!$D$9)*(Supuestos!$E$9-Supuestos!$D$9)),Supuestos!$F$9-SQRT((1-F643)*(Supuestos!$F$9-Supuestos!$D$9)*(Supuestos!$F$9-Supuestos!$E$9))),IF(Supuestos!$C$9="Uniforme",Supuestos!$D$9+F643*(Supuestos!$E$9-Supuestos!$D$9),IF(Supuestos!$C$9="Lognormal",LOGINV(F643,LN(Supuestos!$D$9)-LN(1+Supuestos!$E$9^2/Supuestos!$D$9^2)/2,SQRT(LN(1+Supuestos!$E$9^2/Supuestos!$D$9^2))),Supuestos!$D$9))))))</f>
        <v/>
      </c>
      <c r="N643" s="32">
        <f>MIN(IF(Supuestos!$H$10="",1E+99,Supuestos!$H$10),MAX(IF(Supuestos!$G$10="",-1E+99,Supuestos!$G$10),IF(Supuestos!$C$10="Normal",NORMINV(G643,Supuestos!$D$10,Supuestos!$E$10),IF(Supuestos!$C$10="Triangular",IF(G643&lt;(Supuestos!$E$10-Supuestos!$D$10)/(Supuestos!$F$10-Supuestos!$D$10),Supuestos!$D$10+SQRT(G643*(Supuestos!$F$10-Supuestos!$D$10)*(Supuestos!$E$10-Supuestos!$D$10)),Supuestos!$F$10-SQRT((1-G643)*(Supuestos!$F$10-Supuestos!$D$10)*(Supuestos!$F$10-Supuestos!$E$10))),IF(Supuestos!$C$10="Uniforme",Supuestos!$D$10+G643*(Supuestos!$E$10-Supuestos!$D$10),IF(Supuestos!$C$10="Lognormal",LOGINV(G643,LN(Supuestos!$D$10)-LN(1+Supuestos!$E$10^2/Supuestos!$D$10^2)/2,SQRT(LN(1+Supuestos!$E$10^2/Supuestos!$D$10^2))),Supuestos!$D$10))))))</f>
        <v/>
      </c>
      <c r="O643" s="31">
        <f>MIN(IF(Supuestos!$H$11="",1E+99,Supuestos!$H$11),MAX(IF(Supuestos!$G$11="",-1E+99,Supuestos!$G$11),IF(Supuestos!$C$11="Normal",NORMINV(H643,Supuestos!$D$11,Supuestos!$E$11),IF(Supuestos!$C$11="Triangular",IF(H643&lt;(Supuestos!$E$11-Supuestos!$D$11)/(Supuestos!$F$11-Supuestos!$D$11),Supuestos!$D$11+SQRT(H643*(Supuestos!$F$11-Supuestos!$D$11)*(Supuestos!$E$11-Supuestos!$D$11)),Supuestos!$F$11-SQRT((1-H643)*(Supuestos!$F$11-Supuestos!$D$11)*(Supuestos!$F$11-Supuestos!$E$11))),IF(Supuestos!$C$11="Uniforme",Supuestos!$D$11+H643*(Supuestos!$E$11-Supuestos!$D$11),IF(Supuestos!$C$11="Lognormal",LOGINV(H643,LN(Supuestos!$D$11)-LN(1+Supuestos!$E$11^2/Supuestos!$D$11^2)/2,SQRT(LN(1+Supuestos!$E$11^2/Supuestos!$D$11^2))),Supuestos!$D$11))))))</f>
        <v/>
      </c>
      <c r="P643" s="33">
        <f>-I643</f>
        <v/>
      </c>
      <c r="Q643" s="33">
        <f>$J643*(1+$K643)^(1-1)*(1-$L643)*(1-$M643)</f>
        <v/>
      </c>
      <c r="R643" s="33">
        <f>$J643*(1+$K643)^(2-1)*(1-$L643)*(1-$M643)</f>
        <v/>
      </c>
      <c r="S643" s="33">
        <f>$J643*(1+$K643)^(3-1)*(1-$L643)*(1-$M643)</f>
        <v/>
      </c>
      <c r="T643" s="33">
        <f>$J643*(1+$K643)^(4-1)*(1-$L643)*(1-$M643)</f>
        <v/>
      </c>
      <c r="U643" s="33">
        <f>$J643*(1+$K643)^(5-1)*(1-$L643)*(1-$M643)+$O643</f>
        <v/>
      </c>
      <c r="V643" s="33">
        <f>P643+NPV($N643,Q643:U643)</f>
        <v/>
      </c>
      <c r="W643" s="32">
        <f>IFERROR(IRR(P643:U643,0.1),"")</f>
        <v/>
      </c>
    </row>
    <row r="644">
      <c r="A644" s="14" t="n">
        <v>640</v>
      </c>
      <c r="B644" s="30">
        <f>RAND()*(1-2E-6)+1E-6</f>
        <v/>
      </c>
      <c r="C644" s="30">
        <f>RAND()*(1-2E-6)+1E-6</f>
        <v/>
      </c>
      <c r="D644" s="30">
        <f>RAND()*(1-2E-6)+1E-6</f>
        <v/>
      </c>
      <c r="E644" s="30">
        <f>RAND()*(1-2E-6)+1E-6</f>
        <v/>
      </c>
      <c r="F644" s="30">
        <f>RAND()*(1-2E-6)+1E-6</f>
        <v/>
      </c>
      <c r="G644" s="30">
        <f>RAND()*(1-2E-6)+1E-6</f>
        <v/>
      </c>
      <c r="H644" s="30">
        <f>RAND()*(1-2E-6)+1E-6</f>
        <v/>
      </c>
      <c r="I644" s="31">
        <f>MIN(IF(Supuestos!$H$5="",1E+99,Supuestos!$H$5),MAX(IF(Supuestos!$G$5="",-1E+99,Supuestos!$G$5),IF(Supuestos!$C$5="Normal",NORMINV(B644,Supuestos!$D$5,Supuestos!$E$5),IF(Supuestos!$C$5="Triangular",IF(B644&lt;(Supuestos!$E$5-Supuestos!$D$5)/(Supuestos!$F$5-Supuestos!$D$5),Supuestos!$D$5+SQRT(B644*(Supuestos!$F$5-Supuestos!$D$5)*(Supuestos!$E$5-Supuestos!$D$5)),Supuestos!$F$5-SQRT((1-B644)*(Supuestos!$F$5-Supuestos!$D$5)*(Supuestos!$F$5-Supuestos!$E$5))),IF(Supuestos!$C$5="Uniforme",Supuestos!$D$5+B644*(Supuestos!$E$5-Supuestos!$D$5),IF(Supuestos!$C$5="Lognormal",LOGINV(B644,LN(Supuestos!$D$5)-LN(1+Supuestos!$E$5^2/Supuestos!$D$5^2)/2,SQRT(LN(1+Supuestos!$E$5^2/Supuestos!$D$5^2))),Supuestos!$D$5))))))</f>
        <v/>
      </c>
      <c r="J644" s="31">
        <f>MIN(IF(Supuestos!$H$6="",1E+99,Supuestos!$H$6),MAX(IF(Supuestos!$G$6="",-1E+99,Supuestos!$G$6),IF(Supuestos!$C$6="Normal",NORMINV(C644,Supuestos!$D$6,Supuestos!$E$6),IF(Supuestos!$C$6="Triangular",IF(C644&lt;(Supuestos!$E$6-Supuestos!$D$6)/(Supuestos!$F$6-Supuestos!$D$6),Supuestos!$D$6+SQRT(C644*(Supuestos!$F$6-Supuestos!$D$6)*(Supuestos!$E$6-Supuestos!$D$6)),Supuestos!$F$6-SQRT((1-C644)*(Supuestos!$F$6-Supuestos!$D$6)*(Supuestos!$F$6-Supuestos!$E$6))),IF(Supuestos!$C$6="Uniforme",Supuestos!$D$6+C644*(Supuestos!$E$6-Supuestos!$D$6),IF(Supuestos!$C$6="Lognormal",LOGINV(C644,LN(Supuestos!$D$6)-LN(1+Supuestos!$E$6^2/Supuestos!$D$6^2)/2,SQRT(LN(1+Supuestos!$E$6^2/Supuestos!$D$6^2))),Supuestos!$D$6))))))</f>
        <v/>
      </c>
      <c r="K644" s="32">
        <f>MIN(IF(Supuestos!$H$7="",1E+99,Supuestos!$H$7),MAX(IF(Supuestos!$G$7="",-1E+99,Supuestos!$G$7),IF(Supuestos!$C$7="Normal",NORMINV(D644,Supuestos!$D$7,Supuestos!$E$7),IF(Supuestos!$C$7="Triangular",IF(D644&lt;(Supuestos!$E$7-Supuestos!$D$7)/(Supuestos!$F$7-Supuestos!$D$7),Supuestos!$D$7+SQRT(D644*(Supuestos!$F$7-Supuestos!$D$7)*(Supuestos!$E$7-Supuestos!$D$7)),Supuestos!$F$7-SQRT((1-D644)*(Supuestos!$F$7-Supuestos!$D$7)*(Supuestos!$F$7-Supuestos!$E$7))),IF(Supuestos!$C$7="Uniforme",Supuestos!$D$7+D644*(Supuestos!$E$7-Supuestos!$D$7),IF(Supuestos!$C$7="Lognormal",LOGINV(D644,LN(Supuestos!$D$7)-LN(1+Supuestos!$E$7^2/Supuestos!$D$7^2)/2,SQRT(LN(1+Supuestos!$E$7^2/Supuestos!$D$7^2))),Supuestos!$D$7))))))</f>
        <v/>
      </c>
      <c r="L644" s="32">
        <f>MIN(IF(Supuestos!$H$8="",1E+99,Supuestos!$H$8),MAX(IF(Supuestos!$G$8="",-1E+99,Supuestos!$G$8),IF(Supuestos!$C$8="Normal",NORMINV(E644,Supuestos!$D$8,Supuestos!$E$8),IF(Supuestos!$C$8="Triangular",IF(E644&lt;(Supuestos!$E$8-Supuestos!$D$8)/(Supuestos!$F$8-Supuestos!$D$8),Supuestos!$D$8+SQRT(E644*(Supuestos!$F$8-Supuestos!$D$8)*(Supuestos!$E$8-Supuestos!$D$8)),Supuestos!$F$8-SQRT((1-E644)*(Supuestos!$F$8-Supuestos!$D$8)*(Supuestos!$F$8-Supuestos!$E$8))),IF(Supuestos!$C$8="Uniforme",Supuestos!$D$8+E644*(Supuestos!$E$8-Supuestos!$D$8),IF(Supuestos!$C$8="Lognormal",LOGINV(E644,LN(Supuestos!$D$8)-LN(1+Supuestos!$E$8^2/Supuestos!$D$8^2)/2,SQRT(LN(1+Supuestos!$E$8^2/Supuestos!$D$8^2))),Supuestos!$D$8))))))</f>
        <v/>
      </c>
      <c r="M644" s="32">
        <f>MIN(IF(Supuestos!$H$9="",1E+99,Supuestos!$H$9),MAX(IF(Supuestos!$G$9="",-1E+99,Supuestos!$G$9),IF(Supuestos!$C$9="Normal",NORMINV(F644,Supuestos!$D$9,Supuestos!$E$9),IF(Supuestos!$C$9="Triangular",IF(F644&lt;(Supuestos!$E$9-Supuestos!$D$9)/(Supuestos!$F$9-Supuestos!$D$9),Supuestos!$D$9+SQRT(F644*(Supuestos!$F$9-Supuestos!$D$9)*(Supuestos!$E$9-Supuestos!$D$9)),Supuestos!$F$9-SQRT((1-F644)*(Supuestos!$F$9-Supuestos!$D$9)*(Supuestos!$F$9-Supuestos!$E$9))),IF(Supuestos!$C$9="Uniforme",Supuestos!$D$9+F644*(Supuestos!$E$9-Supuestos!$D$9),IF(Supuestos!$C$9="Lognormal",LOGINV(F644,LN(Supuestos!$D$9)-LN(1+Supuestos!$E$9^2/Supuestos!$D$9^2)/2,SQRT(LN(1+Supuestos!$E$9^2/Supuestos!$D$9^2))),Supuestos!$D$9))))))</f>
        <v/>
      </c>
      <c r="N644" s="32">
        <f>MIN(IF(Supuestos!$H$10="",1E+99,Supuestos!$H$10),MAX(IF(Supuestos!$G$10="",-1E+99,Supuestos!$G$10),IF(Supuestos!$C$10="Normal",NORMINV(G644,Supuestos!$D$10,Supuestos!$E$10),IF(Supuestos!$C$10="Triangular",IF(G644&lt;(Supuestos!$E$10-Supuestos!$D$10)/(Supuestos!$F$10-Supuestos!$D$10),Supuestos!$D$10+SQRT(G644*(Supuestos!$F$10-Supuestos!$D$10)*(Supuestos!$E$10-Supuestos!$D$10)),Supuestos!$F$10-SQRT((1-G644)*(Supuestos!$F$10-Supuestos!$D$10)*(Supuestos!$F$10-Supuestos!$E$10))),IF(Supuestos!$C$10="Uniforme",Supuestos!$D$10+G644*(Supuestos!$E$10-Supuestos!$D$10),IF(Supuestos!$C$10="Lognormal",LOGINV(G644,LN(Supuestos!$D$10)-LN(1+Supuestos!$E$10^2/Supuestos!$D$10^2)/2,SQRT(LN(1+Supuestos!$E$10^2/Supuestos!$D$10^2))),Supuestos!$D$10))))))</f>
        <v/>
      </c>
      <c r="O644" s="31">
        <f>MIN(IF(Supuestos!$H$11="",1E+99,Supuestos!$H$11),MAX(IF(Supuestos!$G$11="",-1E+99,Supuestos!$G$11),IF(Supuestos!$C$11="Normal",NORMINV(H644,Supuestos!$D$11,Supuestos!$E$11),IF(Supuestos!$C$11="Triangular",IF(H644&lt;(Supuestos!$E$11-Supuestos!$D$11)/(Supuestos!$F$11-Supuestos!$D$11),Supuestos!$D$11+SQRT(H644*(Supuestos!$F$11-Supuestos!$D$11)*(Supuestos!$E$11-Supuestos!$D$11)),Supuestos!$F$11-SQRT((1-H644)*(Supuestos!$F$11-Supuestos!$D$11)*(Supuestos!$F$11-Supuestos!$E$11))),IF(Supuestos!$C$11="Uniforme",Supuestos!$D$11+H644*(Supuestos!$E$11-Supuestos!$D$11),IF(Supuestos!$C$11="Lognormal",LOGINV(H644,LN(Supuestos!$D$11)-LN(1+Supuestos!$E$11^2/Supuestos!$D$11^2)/2,SQRT(LN(1+Supuestos!$E$11^2/Supuestos!$D$11^2))),Supuestos!$D$11))))))</f>
        <v/>
      </c>
      <c r="P644" s="33">
        <f>-I644</f>
        <v/>
      </c>
      <c r="Q644" s="33">
        <f>$J644*(1+$K644)^(1-1)*(1-$L644)*(1-$M644)</f>
        <v/>
      </c>
      <c r="R644" s="33">
        <f>$J644*(1+$K644)^(2-1)*(1-$L644)*(1-$M644)</f>
        <v/>
      </c>
      <c r="S644" s="33">
        <f>$J644*(1+$K644)^(3-1)*(1-$L644)*(1-$M644)</f>
        <v/>
      </c>
      <c r="T644" s="33">
        <f>$J644*(1+$K644)^(4-1)*(1-$L644)*(1-$M644)</f>
        <v/>
      </c>
      <c r="U644" s="33">
        <f>$J644*(1+$K644)^(5-1)*(1-$L644)*(1-$M644)+$O644</f>
        <v/>
      </c>
      <c r="V644" s="33">
        <f>P644+NPV($N644,Q644:U644)</f>
        <v/>
      </c>
      <c r="W644" s="32">
        <f>IFERROR(IRR(P644:U644,0.1),"")</f>
        <v/>
      </c>
    </row>
    <row r="645">
      <c r="A645" s="14" t="n">
        <v>641</v>
      </c>
      <c r="B645" s="30">
        <f>RAND()*(1-2E-6)+1E-6</f>
        <v/>
      </c>
      <c r="C645" s="30">
        <f>RAND()*(1-2E-6)+1E-6</f>
        <v/>
      </c>
      <c r="D645" s="30">
        <f>RAND()*(1-2E-6)+1E-6</f>
        <v/>
      </c>
      <c r="E645" s="30">
        <f>RAND()*(1-2E-6)+1E-6</f>
        <v/>
      </c>
      <c r="F645" s="30">
        <f>RAND()*(1-2E-6)+1E-6</f>
        <v/>
      </c>
      <c r="G645" s="30">
        <f>RAND()*(1-2E-6)+1E-6</f>
        <v/>
      </c>
      <c r="H645" s="30">
        <f>RAND()*(1-2E-6)+1E-6</f>
        <v/>
      </c>
      <c r="I645" s="31">
        <f>MIN(IF(Supuestos!$H$5="",1E+99,Supuestos!$H$5),MAX(IF(Supuestos!$G$5="",-1E+99,Supuestos!$G$5),IF(Supuestos!$C$5="Normal",NORMINV(B645,Supuestos!$D$5,Supuestos!$E$5),IF(Supuestos!$C$5="Triangular",IF(B645&lt;(Supuestos!$E$5-Supuestos!$D$5)/(Supuestos!$F$5-Supuestos!$D$5),Supuestos!$D$5+SQRT(B645*(Supuestos!$F$5-Supuestos!$D$5)*(Supuestos!$E$5-Supuestos!$D$5)),Supuestos!$F$5-SQRT((1-B645)*(Supuestos!$F$5-Supuestos!$D$5)*(Supuestos!$F$5-Supuestos!$E$5))),IF(Supuestos!$C$5="Uniforme",Supuestos!$D$5+B645*(Supuestos!$E$5-Supuestos!$D$5),IF(Supuestos!$C$5="Lognormal",LOGINV(B645,LN(Supuestos!$D$5)-LN(1+Supuestos!$E$5^2/Supuestos!$D$5^2)/2,SQRT(LN(1+Supuestos!$E$5^2/Supuestos!$D$5^2))),Supuestos!$D$5))))))</f>
        <v/>
      </c>
      <c r="J645" s="31">
        <f>MIN(IF(Supuestos!$H$6="",1E+99,Supuestos!$H$6),MAX(IF(Supuestos!$G$6="",-1E+99,Supuestos!$G$6),IF(Supuestos!$C$6="Normal",NORMINV(C645,Supuestos!$D$6,Supuestos!$E$6),IF(Supuestos!$C$6="Triangular",IF(C645&lt;(Supuestos!$E$6-Supuestos!$D$6)/(Supuestos!$F$6-Supuestos!$D$6),Supuestos!$D$6+SQRT(C645*(Supuestos!$F$6-Supuestos!$D$6)*(Supuestos!$E$6-Supuestos!$D$6)),Supuestos!$F$6-SQRT((1-C645)*(Supuestos!$F$6-Supuestos!$D$6)*(Supuestos!$F$6-Supuestos!$E$6))),IF(Supuestos!$C$6="Uniforme",Supuestos!$D$6+C645*(Supuestos!$E$6-Supuestos!$D$6),IF(Supuestos!$C$6="Lognormal",LOGINV(C645,LN(Supuestos!$D$6)-LN(1+Supuestos!$E$6^2/Supuestos!$D$6^2)/2,SQRT(LN(1+Supuestos!$E$6^2/Supuestos!$D$6^2))),Supuestos!$D$6))))))</f>
        <v/>
      </c>
      <c r="K645" s="32">
        <f>MIN(IF(Supuestos!$H$7="",1E+99,Supuestos!$H$7),MAX(IF(Supuestos!$G$7="",-1E+99,Supuestos!$G$7),IF(Supuestos!$C$7="Normal",NORMINV(D645,Supuestos!$D$7,Supuestos!$E$7),IF(Supuestos!$C$7="Triangular",IF(D645&lt;(Supuestos!$E$7-Supuestos!$D$7)/(Supuestos!$F$7-Supuestos!$D$7),Supuestos!$D$7+SQRT(D645*(Supuestos!$F$7-Supuestos!$D$7)*(Supuestos!$E$7-Supuestos!$D$7)),Supuestos!$F$7-SQRT((1-D645)*(Supuestos!$F$7-Supuestos!$D$7)*(Supuestos!$F$7-Supuestos!$E$7))),IF(Supuestos!$C$7="Uniforme",Supuestos!$D$7+D645*(Supuestos!$E$7-Supuestos!$D$7),IF(Supuestos!$C$7="Lognormal",LOGINV(D645,LN(Supuestos!$D$7)-LN(1+Supuestos!$E$7^2/Supuestos!$D$7^2)/2,SQRT(LN(1+Supuestos!$E$7^2/Supuestos!$D$7^2))),Supuestos!$D$7))))))</f>
        <v/>
      </c>
      <c r="L645" s="32">
        <f>MIN(IF(Supuestos!$H$8="",1E+99,Supuestos!$H$8),MAX(IF(Supuestos!$G$8="",-1E+99,Supuestos!$G$8),IF(Supuestos!$C$8="Normal",NORMINV(E645,Supuestos!$D$8,Supuestos!$E$8),IF(Supuestos!$C$8="Triangular",IF(E645&lt;(Supuestos!$E$8-Supuestos!$D$8)/(Supuestos!$F$8-Supuestos!$D$8),Supuestos!$D$8+SQRT(E645*(Supuestos!$F$8-Supuestos!$D$8)*(Supuestos!$E$8-Supuestos!$D$8)),Supuestos!$F$8-SQRT((1-E645)*(Supuestos!$F$8-Supuestos!$D$8)*(Supuestos!$F$8-Supuestos!$E$8))),IF(Supuestos!$C$8="Uniforme",Supuestos!$D$8+E645*(Supuestos!$E$8-Supuestos!$D$8),IF(Supuestos!$C$8="Lognormal",LOGINV(E645,LN(Supuestos!$D$8)-LN(1+Supuestos!$E$8^2/Supuestos!$D$8^2)/2,SQRT(LN(1+Supuestos!$E$8^2/Supuestos!$D$8^2))),Supuestos!$D$8))))))</f>
        <v/>
      </c>
      <c r="M645" s="32">
        <f>MIN(IF(Supuestos!$H$9="",1E+99,Supuestos!$H$9),MAX(IF(Supuestos!$G$9="",-1E+99,Supuestos!$G$9),IF(Supuestos!$C$9="Normal",NORMINV(F645,Supuestos!$D$9,Supuestos!$E$9),IF(Supuestos!$C$9="Triangular",IF(F645&lt;(Supuestos!$E$9-Supuestos!$D$9)/(Supuestos!$F$9-Supuestos!$D$9),Supuestos!$D$9+SQRT(F645*(Supuestos!$F$9-Supuestos!$D$9)*(Supuestos!$E$9-Supuestos!$D$9)),Supuestos!$F$9-SQRT((1-F645)*(Supuestos!$F$9-Supuestos!$D$9)*(Supuestos!$F$9-Supuestos!$E$9))),IF(Supuestos!$C$9="Uniforme",Supuestos!$D$9+F645*(Supuestos!$E$9-Supuestos!$D$9),IF(Supuestos!$C$9="Lognormal",LOGINV(F645,LN(Supuestos!$D$9)-LN(1+Supuestos!$E$9^2/Supuestos!$D$9^2)/2,SQRT(LN(1+Supuestos!$E$9^2/Supuestos!$D$9^2))),Supuestos!$D$9))))))</f>
        <v/>
      </c>
      <c r="N645" s="32">
        <f>MIN(IF(Supuestos!$H$10="",1E+99,Supuestos!$H$10),MAX(IF(Supuestos!$G$10="",-1E+99,Supuestos!$G$10),IF(Supuestos!$C$10="Normal",NORMINV(G645,Supuestos!$D$10,Supuestos!$E$10),IF(Supuestos!$C$10="Triangular",IF(G645&lt;(Supuestos!$E$10-Supuestos!$D$10)/(Supuestos!$F$10-Supuestos!$D$10),Supuestos!$D$10+SQRT(G645*(Supuestos!$F$10-Supuestos!$D$10)*(Supuestos!$E$10-Supuestos!$D$10)),Supuestos!$F$10-SQRT((1-G645)*(Supuestos!$F$10-Supuestos!$D$10)*(Supuestos!$F$10-Supuestos!$E$10))),IF(Supuestos!$C$10="Uniforme",Supuestos!$D$10+G645*(Supuestos!$E$10-Supuestos!$D$10),IF(Supuestos!$C$10="Lognormal",LOGINV(G645,LN(Supuestos!$D$10)-LN(1+Supuestos!$E$10^2/Supuestos!$D$10^2)/2,SQRT(LN(1+Supuestos!$E$10^2/Supuestos!$D$10^2))),Supuestos!$D$10))))))</f>
        <v/>
      </c>
      <c r="O645" s="31">
        <f>MIN(IF(Supuestos!$H$11="",1E+99,Supuestos!$H$11),MAX(IF(Supuestos!$G$11="",-1E+99,Supuestos!$G$11),IF(Supuestos!$C$11="Normal",NORMINV(H645,Supuestos!$D$11,Supuestos!$E$11),IF(Supuestos!$C$11="Triangular",IF(H645&lt;(Supuestos!$E$11-Supuestos!$D$11)/(Supuestos!$F$11-Supuestos!$D$11),Supuestos!$D$11+SQRT(H645*(Supuestos!$F$11-Supuestos!$D$11)*(Supuestos!$E$11-Supuestos!$D$11)),Supuestos!$F$11-SQRT((1-H645)*(Supuestos!$F$11-Supuestos!$D$11)*(Supuestos!$F$11-Supuestos!$E$11))),IF(Supuestos!$C$11="Uniforme",Supuestos!$D$11+H645*(Supuestos!$E$11-Supuestos!$D$11),IF(Supuestos!$C$11="Lognormal",LOGINV(H645,LN(Supuestos!$D$11)-LN(1+Supuestos!$E$11^2/Supuestos!$D$11^2)/2,SQRT(LN(1+Supuestos!$E$11^2/Supuestos!$D$11^2))),Supuestos!$D$11))))))</f>
        <v/>
      </c>
      <c r="P645" s="33">
        <f>-I645</f>
        <v/>
      </c>
      <c r="Q645" s="33">
        <f>$J645*(1+$K645)^(1-1)*(1-$L645)*(1-$M645)</f>
        <v/>
      </c>
      <c r="R645" s="33">
        <f>$J645*(1+$K645)^(2-1)*(1-$L645)*(1-$M645)</f>
        <v/>
      </c>
      <c r="S645" s="33">
        <f>$J645*(1+$K645)^(3-1)*(1-$L645)*(1-$M645)</f>
        <v/>
      </c>
      <c r="T645" s="33">
        <f>$J645*(1+$K645)^(4-1)*(1-$L645)*(1-$M645)</f>
        <v/>
      </c>
      <c r="U645" s="33">
        <f>$J645*(1+$K645)^(5-1)*(1-$L645)*(1-$M645)+$O645</f>
        <v/>
      </c>
      <c r="V645" s="33">
        <f>P645+NPV($N645,Q645:U645)</f>
        <v/>
      </c>
      <c r="W645" s="32">
        <f>IFERROR(IRR(P645:U645,0.1),"")</f>
        <v/>
      </c>
    </row>
    <row r="646">
      <c r="A646" s="14" t="n">
        <v>642</v>
      </c>
      <c r="B646" s="30">
        <f>RAND()*(1-2E-6)+1E-6</f>
        <v/>
      </c>
      <c r="C646" s="30">
        <f>RAND()*(1-2E-6)+1E-6</f>
        <v/>
      </c>
      <c r="D646" s="30">
        <f>RAND()*(1-2E-6)+1E-6</f>
        <v/>
      </c>
      <c r="E646" s="30">
        <f>RAND()*(1-2E-6)+1E-6</f>
        <v/>
      </c>
      <c r="F646" s="30">
        <f>RAND()*(1-2E-6)+1E-6</f>
        <v/>
      </c>
      <c r="G646" s="30">
        <f>RAND()*(1-2E-6)+1E-6</f>
        <v/>
      </c>
      <c r="H646" s="30">
        <f>RAND()*(1-2E-6)+1E-6</f>
        <v/>
      </c>
      <c r="I646" s="31">
        <f>MIN(IF(Supuestos!$H$5="",1E+99,Supuestos!$H$5),MAX(IF(Supuestos!$G$5="",-1E+99,Supuestos!$G$5),IF(Supuestos!$C$5="Normal",NORMINV(B646,Supuestos!$D$5,Supuestos!$E$5),IF(Supuestos!$C$5="Triangular",IF(B646&lt;(Supuestos!$E$5-Supuestos!$D$5)/(Supuestos!$F$5-Supuestos!$D$5),Supuestos!$D$5+SQRT(B646*(Supuestos!$F$5-Supuestos!$D$5)*(Supuestos!$E$5-Supuestos!$D$5)),Supuestos!$F$5-SQRT((1-B646)*(Supuestos!$F$5-Supuestos!$D$5)*(Supuestos!$F$5-Supuestos!$E$5))),IF(Supuestos!$C$5="Uniforme",Supuestos!$D$5+B646*(Supuestos!$E$5-Supuestos!$D$5),IF(Supuestos!$C$5="Lognormal",LOGINV(B646,LN(Supuestos!$D$5)-LN(1+Supuestos!$E$5^2/Supuestos!$D$5^2)/2,SQRT(LN(1+Supuestos!$E$5^2/Supuestos!$D$5^2))),Supuestos!$D$5))))))</f>
        <v/>
      </c>
      <c r="J646" s="31">
        <f>MIN(IF(Supuestos!$H$6="",1E+99,Supuestos!$H$6),MAX(IF(Supuestos!$G$6="",-1E+99,Supuestos!$G$6),IF(Supuestos!$C$6="Normal",NORMINV(C646,Supuestos!$D$6,Supuestos!$E$6),IF(Supuestos!$C$6="Triangular",IF(C646&lt;(Supuestos!$E$6-Supuestos!$D$6)/(Supuestos!$F$6-Supuestos!$D$6),Supuestos!$D$6+SQRT(C646*(Supuestos!$F$6-Supuestos!$D$6)*(Supuestos!$E$6-Supuestos!$D$6)),Supuestos!$F$6-SQRT((1-C646)*(Supuestos!$F$6-Supuestos!$D$6)*(Supuestos!$F$6-Supuestos!$E$6))),IF(Supuestos!$C$6="Uniforme",Supuestos!$D$6+C646*(Supuestos!$E$6-Supuestos!$D$6),IF(Supuestos!$C$6="Lognormal",LOGINV(C646,LN(Supuestos!$D$6)-LN(1+Supuestos!$E$6^2/Supuestos!$D$6^2)/2,SQRT(LN(1+Supuestos!$E$6^2/Supuestos!$D$6^2))),Supuestos!$D$6))))))</f>
        <v/>
      </c>
      <c r="K646" s="32">
        <f>MIN(IF(Supuestos!$H$7="",1E+99,Supuestos!$H$7),MAX(IF(Supuestos!$G$7="",-1E+99,Supuestos!$G$7),IF(Supuestos!$C$7="Normal",NORMINV(D646,Supuestos!$D$7,Supuestos!$E$7),IF(Supuestos!$C$7="Triangular",IF(D646&lt;(Supuestos!$E$7-Supuestos!$D$7)/(Supuestos!$F$7-Supuestos!$D$7),Supuestos!$D$7+SQRT(D646*(Supuestos!$F$7-Supuestos!$D$7)*(Supuestos!$E$7-Supuestos!$D$7)),Supuestos!$F$7-SQRT((1-D646)*(Supuestos!$F$7-Supuestos!$D$7)*(Supuestos!$F$7-Supuestos!$E$7))),IF(Supuestos!$C$7="Uniforme",Supuestos!$D$7+D646*(Supuestos!$E$7-Supuestos!$D$7),IF(Supuestos!$C$7="Lognormal",LOGINV(D646,LN(Supuestos!$D$7)-LN(1+Supuestos!$E$7^2/Supuestos!$D$7^2)/2,SQRT(LN(1+Supuestos!$E$7^2/Supuestos!$D$7^2))),Supuestos!$D$7))))))</f>
        <v/>
      </c>
      <c r="L646" s="32">
        <f>MIN(IF(Supuestos!$H$8="",1E+99,Supuestos!$H$8),MAX(IF(Supuestos!$G$8="",-1E+99,Supuestos!$G$8),IF(Supuestos!$C$8="Normal",NORMINV(E646,Supuestos!$D$8,Supuestos!$E$8),IF(Supuestos!$C$8="Triangular",IF(E646&lt;(Supuestos!$E$8-Supuestos!$D$8)/(Supuestos!$F$8-Supuestos!$D$8),Supuestos!$D$8+SQRT(E646*(Supuestos!$F$8-Supuestos!$D$8)*(Supuestos!$E$8-Supuestos!$D$8)),Supuestos!$F$8-SQRT((1-E646)*(Supuestos!$F$8-Supuestos!$D$8)*(Supuestos!$F$8-Supuestos!$E$8))),IF(Supuestos!$C$8="Uniforme",Supuestos!$D$8+E646*(Supuestos!$E$8-Supuestos!$D$8),IF(Supuestos!$C$8="Lognormal",LOGINV(E646,LN(Supuestos!$D$8)-LN(1+Supuestos!$E$8^2/Supuestos!$D$8^2)/2,SQRT(LN(1+Supuestos!$E$8^2/Supuestos!$D$8^2))),Supuestos!$D$8))))))</f>
        <v/>
      </c>
      <c r="M646" s="32">
        <f>MIN(IF(Supuestos!$H$9="",1E+99,Supuestos!$H$9),MAX(IF(Supuestos!$G$9="",-1E+99,Supuestos!$G$9),IF(Supuestos!$C$9="Normal",NORMINV(F646,Supuestos!$D$9,Supuestos!$E$9),IF(Supuestos!$C$9="Triangular",IF(F646&lt;(Supuestos!$E$9-Supuestos!$D$9)/(Supuestos!$F$9-Supuestos!$D$9),Supuestos!$D$9+SQRT(F646*(Supuestos!$F$9-Supuestos!$D$9)*(Supuestos!$E$9-Supuestos!$D$9)),Supuestos!$F$9-SQRT((1-F646)*(Supuestos!$F$9-Supuestos!$D$9)*(Supuestos!$F$9-Supuestos!$E$9))),IF(Supuestos!$C$9="Uniforme",Supuestos!$D$9+F646*(Supuestos!$E$9-Supuestos!$D$9),IF(Supuestos!$C$9="Lognormal",LOGINV(F646,LN(Supuestos!$D$9)-LN(1+Supuestos!$E$9^2/Supuestos!$D$9^2)/2,SQRT(LN(1+Supuestos!$E$9^2/Supuestos!$D$9^2))),Supuestos!$D$9))))))</f>
        <v/>
      </c>
      <c r="N646" s="32">
        <f>MIN(IF(Supuestos!$H$10="",1E+99,Supuestos!$H$10),MAX(IF(Supuestos!$G$10="",-1E+99,Supuestos!$G$10),IF(Supuestos!$C$10="Normal",NORMINV(G646,Supuestos!$D$10,Supuestos!$E$10),IF(Supuestos!$C$10="Triangular",IF(G646&lt;(Supuestos!$E$10-Supuestos!$D$10)/(Supuestos!$F$10-Supuestos!$D$10),Supuestos!$D$10+SQRT(G646*(Supuestos!$F$10-Supuestos!$D$10)*(Supuestos!$E$10-Supuestos!$D$10)),Supuestos!$F$10-SQRT((1-G646)*(Supuestos!$F$10-Supuestos!$D$10)*(Supuestos!$F$10-Supuestos!$E$10))),IF(Supuestos!$C$10="Uniforme",Supuestos!$D$10+G646*(Supuestos!$E$10-Supuestos!$D$10),IF(Supuestos!$C$10="Lognormal",LOGINV(G646,LN(Supuestos!$D$10)-LN(1+Supuestos!$E$10^2/Supuestos!$D$10^2)/2,SQRT(LN(1+Supuestos!$E$10^2/Supuestos!$D$10^2))),Supuestos!$D$10))))))</f>
        <v/>
      </c>
      <c r="O646" s="31">
        <f>MIN(IF(Supuestos!$H$11="",1E+99,Supuestos!$H$11),MAX(IF(Supuestos!$G$11="",-1E+99,Supuestos!$G$11),IF(Supuestos!$C$11="Normal",NORMINV(H646,Supuestos!$D$11,Supuestos!$E$11),IF(Supuestos!$C$11="Triangular",IF(H646&lt;(Supuestos!$E$11-Supuestos!$D$11)/(Supuestos!$F$11-Supuestos!$D$11),Supuestos!$D$11+SQRT(H646*(Supuestos!$F$11-Supuestos!$D$11)*(Supuestos!$E$11-Supuestos!$D$11)),Supuestos!$F$11-SQRT((1-H646)*(Supuestos!$F$11-Supuestos!$D$11)*(Supuestos!$F$11-Supuestos!$E$11))),IF(Supuestos!$C$11="Uniforme",Supuestos!$D$11+H646*(Supuestos!$E$11-Supuestos!$D$11),IF(Supuestos!$C$11="Lognormal",LOGINV(H646,LN(Supuestos!$D$11)-LN(1+Supuestos!$E$11^2/Supuestos!$D$11^2)/2,SQRT(LN(1+Supuestos!$E$11^2/Supuestos!$D$11^2))),Supuestos!$D$11))))))</f>
        <v/>
      </c>
      <c r="P646" s="33">
        <f>-I646</f>
        <v/>
      </c>
      <c r="Q646" s="33">
        <f>$J646*(1+$K646)^(1-1)*(1-$L646)*(1-$M646)</f>
        <v/>
      </c>
      <c r="R646" s="33">
        <f>$J646*(1+$K646)^(2-1)*(1-$L646)*(1-$M646)</f>
        <v/>
      </c>
      <c r="S646" s="33">
        <f>$J646*(1+$K646)^(3-1)*(1-$L646)*(1-$M646)</f>
        <v/>
      </c>
      <c r="T646" s="33">
        <f>$J646*(1+$K646)^(4-1)*(1-$L646)*(1-$M646)</f>
        <v/>
      </c>
      <c r="U646" s="33">
        <f>$J646*(1+$K646)^(5-1)*(1-$L646)*(1-$M646)+$O646</f>
        <v/>
      </c>
      <c r="V646" s="33">
        <f>P646+NPV($N646,Q646:U646)</f>
        <v/>
      </c>
      <c r="W646" s="32">
        <f>IFERROR(IRR(P646:U646,0.1),"")</f>
        <v/>
      </c>
    </row>
    <row r="647">
      <c r="A647" s="14" t="n">
        <v>643</v>
      </c>
      <c r="B647" s="30">
        <f>RAND()*(1-2E-6)+1E-6</f>
        <v/>
      </c>
      <c r="C647" s="30">
        <f>RAND()*(1-2E-6)+1E-6</f>
        <v/>
      </c>
      <c r="D647" s="30">
        <f>RAND()*(1-2E-6)+1E-6</f>
        <v/>
      </c>
      <c r="E647" s="30">
        <f>RAND()*(1-2E-6)+1E-6</f>
        <v/>
      </c>
      <c r="F647" s="30">
        <f>RAND()*(1-2E-6)+1E-6</f>
        <v/>
      </c>
      <c r="G647" s="30">
        <f>RAND()*(1-2E-6)+1E-6</f>
        <v/>
      </c>
      <c r="H647" s="30">
        <f>RAND()*(1-2E-6)+1E-6</f>
        <v/>
      </c>
      <c r="I647" s="31">
        <f>MIN(IF(Supuestos!$H$5="",1E+99,Supuestos!$H$5),MAX(IF(Supuestos!$G$5="",-1E+99,Supuestos!$G$5),IF(Supuestos!$C$5="Normal",NORMINV(B647,Supuestos!$D$5,Supuestos!$E$5),IF(Supuestos!$C$5="Triangular",IF(B647&lt;(Supuestos!$E$5-Supuestos!$D$5)/(Supuestos!$F$5-Supuestos!$D$5),Supuestos!$D$5+SQRT(B647*(Supuestos!$F$5-Supuestos!$D$5)*(Supuestos!$E$5-Supuestos!$D$5)),Supuestos!$F$5-SQRT((1-B647)*(Supuestos!$F$5-Supuestos!$D$5)*(Supuestos!$F$5-Supuestos!$E$5))),IF(Supuestos!$C$5="Uniforme",Supuestos!$D$5+B647*(Supuestos!$E$5-Supuestos!$D$5),IF(Supuestos!$C$5="Lognormal",LOGINV(B647,LN(Supuestos!$D$5)-LN(1+Supuestos!$E$5^2/Supuestos!$D$5^2)/2,SQRT(LN(1+Supuestos!$E$5^2/Supuestos!$D$5^2))),Supuestos!$D$5))))))</f>
        <v/>
      </c>
      <c r="J647" s="31">
        <f>MIN(IF(Supuestos!$H$6="",1E+99,Supuestos!$H$6),MAX(IF(Supuestos!$G$6="",-1E+99,Supuestos!$G$6),IF(Supuestos!$C$6="Normal",NORMINV(C647,Supuestos!$D$6,Supuestos!$E$6),IF(Supuestos!$C$6="Triangular",IF(C647&lt;(Supuestos!$E$6-Supuestos!$D$6)/(Supuestos!$F$6-Supuestos!$D$6),Supuestos!$D$6+SQRT(C647*(Supuestos!$F$6-Supuestos!$D$6)*(Supuestos!$E$6-Supuestos!$D$6)),Supuestos!$F$6-SQRT((1-C647)*(Supuestos!$F$6-Supuestos!$D$6)*(Supuestos!$F$6-Supuestos!$E$6))),IF(Supuestos!$C$6="Uniforme",Supuestos!$D$6+C647*(Supuestos!$E$6-Supuestos!$D$6),IF(Supuestos!$C$6="Lognormal",LOGINV(C647,LN(Supuestos!$D$6)-LN(1+Supuestos!$E$6^2/Supuestos!$D$6^2)/2,SQRT(LN(1+Supuestos!$E$6^2/Supuestos!$D$6^2))),Supuestos!$D$6))))))</f>
        <v/>
      </c>
      <c r="K647" s="32">
        <f>MIN(IF(Supuestos!$H$7="",1E+99,Supuestos!$H$7),MAX(IF(Supuestos!$G$7="",-1E+99,Supuestos!$G$7),IF(Supuestos!$C$7="Normal",NORMINV(D647,Supuestos!$D$7,Supuestos!$E$7),IF(Supuestos!$C$7="Triangular",IF(D647&lt;(Supuestos!$E$7-Supuestos!$D$7)/(Supuestos!$F$7-Supuestos!$D$7),Supuestos!$D$7+SQRT(D647*(Supuestos!$F$7-Supuestos!$D$7)*(Supuestos!$E$7-Supuestos!$D$7)),Supuestos!$F$7-SQRT((1-D647)*(Supuestos!$F$7-Supuestos!$D$7)*(Supuestos!$F$7-Supuestos!$E$7))),IF(Supuestos!$C$7="Uniforme",Supuestos!$D$7+D647*(Supuestos!$E$7-Supuestos!$D$7),IF(Supuestos!$C$7="Lognormal",LOGINV(D647,LN(Supuestos!$D$7)-LN(1+Supuestos!$E$7^2/Supuestos!$D$7^2)/2,SQRT(LN(1+Supuestos!$E$7^2/Supuestos!$D$7^2))),Supuestos!$D$7))))))</f>
        <v/>
      </c>
      <c r="L647" s="32">
        <f>MIN(IF(Supuestos!$H$8="",1E+99,Supuestos!$H$8),MAX(IF(Supuestos!$G$8="",-1E+99,Supuestos!$G$8),IF(Supuestos!$C$8="Normal",NORMINV(E647,Supuestos!$D$8,Supuestos!$E$8),IF(Supuestos!$C$8="Triangular",IF(E647&lt;(Supuestos!$E$8-Supuestos!$D$8)/(Supuestos!$F$8-Supuestos!$D$8),Supuestos!$D$8+SQRT(E647*(Supuestos!$F$8-Supuestos!$D$8)*(Supuestos!$E$8-Supuestos!$D$8)),Supuestos!$F$8-SQRT((1-E647)*(Supuestos!$F$8-Supuestos!$D$8)*(Supuestos!$F$8-Supuestos!$E$8))),IF(Supuestos!$C$8="Uniforme",Supuestos!$D$8+E647*(Supuestos!$E$8-Supuestos!$D$8),IF(Supuestos!$C$8="Lognormal",LOGINV(E647,LN(Supuestos!$D$8)-LN(1+Supuestos!$E$8^2/Supuestos!$D$8^2)/2,SQRT(LN(1+Supuestos!$E$8^2/Supuestos!$D$8^2))),Supuestos!$D$8))))))</f>
        <v/>
      </c>
      <c r="M647" s="32">
        <f>MIN(IF(Supuestos!$H$9="",1E+99,Supuestos!$H$9),MAX(IF(Supuestos!$G$9="",-1E+99,Supuestos!$G$9),IF(Supuestos!$C$9="Normal",NORMINV(F647,Supuestos!$D$9,Supuestos!$E$9),IF(Supuestos!$C$9="Triangular",IF(F647&lt;(Supuestos!$E$9-Supuestos!$D$9)/(Supuestos!$F$9-Supuestos!$D$9),Supuestos!$D$9+SQRT(F647*(Supuestos!$F$9-Supuestos!$D$9)*(Supuestos!$E$9-Supuestos!$D$9)),Supuestos!$F$9-SQRT((1-F647)*(Supuestos!$F$9-Supuestos!$D$9)*(Supuestos!$F$9-Supuestos!$E$9))),IF(Supuestos!$C$9="Uniforme",Supuestos!$D$9+F647*(Supuestos!$E$9-Supuestos!$D$9),IF(Supuestos!$C$9="Lognormal",LOGINV(F647,LN(Supuestos!$D$9)-LN(1+Supuestos!$E$9^2/Supuestos!$D$9^2)/2,SQRT(LN(1+Supuestos!$E$9^2/Supuestos!$D$9^2))),Supuestos!$D$9))))))</f>
        <v/>
      </c>
      <c r="N647" s="32">
        <f>MIN(IF(Supuestos!$H$10="",1E+99,Supuestos!$H$10),MAX(IF(Supuestos!$G$10="",-1E+99,Supuestos!$G$10),IF(Supuestos!$C$10="Normal",NORMINV(G647,Supuestos!$D$10,Supuestos!$E$10),IF(Supuestos!$C$10="Triangular",IF(G647&lt;(Supuestos!$E$10-Supuestos!$D$10)/(Supuestos!$F$10-Supuestos!$D$10),Supuestos!$D$10+SQRT(G647*(Supuestos!$F$10-Supuestos!$D$10)*(Supuestos!$E$10-Supuestos!$D$10)),Supuestos!$F$10-SQRT((1-G647)*(Supuestos!$F$10-Supuestos!$D$10)*(Supuestos!$F$10-Supuestos!$E$10))),IF(Supuestos!$C$10="Uniforme",Supuestos!$D$10+G647*(Supuestos!$E$10-Supuestos!$D$10),IF(Supuestos!$C$10="Lognormal",LOGINV(G647,LN(Supuestos!$D$10)-LN(1+Supuestos!$E$10^2/Supuestos!$D$10^2)/2,SQRT(LN(1+Supuestos!$E$10^2/Supuestos!$D$10^2))),Supuestos!$D$10))))))</f>
        <v/>
      </c>
      <c r="O647" s="31">
        <f>MIN(IF(Supuestos!$H$11="",1E+99,Supuestos!$H$11),MAX(IF(Supuestos!$G$11="",-1E+99,Supuestos!$G$11),IF(Supuestos!$C$11="Normal",NORMINV(H647,Supuestos!$D$11,Supuestos!$E$11),IF(Supuestos!$C$11="Triangular",IF(H647&lt;(Supuestos!$E$11-Supuestos!$D$11)/(Supuestos!$F$11-Supuestos!$D$11),Supuestos!$D$11+SQRT(H647*(Supuestos!$F$11-Supuestos!$D$11)*(Supuestos!$E$11-Supuestos!$D$11)),Supuestos!$F$11-SQRT((1-H647)*(Supuestos!$F$11-Supuestos!$D$11)*(Supuestos!$F$11-Supuestos!$E$11))),IF(Supuestos!$C$11="Uniforme",Supuestos!$D$11+H647*(Supuestos!$E$11-Supuestos!$D$11),IF(Supuestos!$C$11="Lognormal",LOGINV(H647,LN(Supuestos!$D$11)-LN(1+Supuestos!$E$11^2/Supuestos!$D$11^2)/2,SQRT(LN(1+Supuestos!$E$11^2/Supuestos!$D$11^2))),Supuestos!$D$11))))))</f>
        <v/>
      </c>
      <c r="P647" s="33">
        <f>-I647</f>
        <v/>
      </c>
      <c r="Q647" s="33">
        <f>$J647*(1+$K647)^(1-1)*(1-$L647)*(1-$M647)</f>
        <v/>
      </c>
      <c r="R647" s="33">
        <f>$J647*(1+$K647)^(2-1)*(1-$L647)*(1-$M647)</f>
        <v/>
      </c>
      <c r="S647" s="33">
        <f>$J647*(1+$K647)^(3-1)*(1-$L647)*(1-$M647)</f>
        <v/>
      </c>
      <c r="T647" s="33">
        <f>$J647*(1+$K647)^(4-1)*(1-$L647)*(1-$M647)</f>
        <v/>
      </c>
      <c r="U647" s="33">
        <f>$J647*(1+$K647)^(5-1)*(1-$L647)*(1-$M647)+$O647</f>
        <v/>
      </c>
      <c r="V647" s="33">
        <f>P647+NPV($N647,Q647:U647)</f>
        <v/>
      </c>
      <c r="W647" s="32">
        <f>IFERROR(IRR(P647:U647,0.1),"")</f>
        <v/>
      </c>
    </row>
    <row r="648">
      <c r="A648" s="14" t="n">
        <v>644</v>
      </c>
      <c r="B648" s="30">
        <f>RAND()*(1-2E-6)+1E-6</f>
        <v/>
      </c>
      <c r="C648" s="30">
        <f>RAND()*(1-2E-6)+1E-6</f>
        <v/>
      </c>
      <c r="D648" s="30">
        <f>RAND()*(1-2E-6)+1E-6</f>
        <v/>
      </c>
      <c r="E648" s="30">
        <f>RAND()*(1-2E-6)+1E-6</f>
        <v/>
      </c>
      <c r="F648" s="30">
        <f>RAND()*(1-2E-6)+1E-6</f>
        <v/>
      </c>
      <c r="G648" s="30">
        <f>RAND()*(1-2E-6)+1E-6</f>
        <v/>
      </c>
      <c r="H648" s="30">
        <f>RAND()*(1-2E-6)+1E-6</f>
        <v/>
      </c>
      <c r="I648" s="31">
        <f>MIN(IF(Supuestos!$H$5="",1E+99,Supuestos!$H$5),MAX(IF(Supuestos!$G$5="",-1E+99,Supuestos!$G$5),IF(Supuestos!$C$5="Normal",NORMINV(B648,Supuestos!$D$5,Supuestos!$E$5),IF(Supuestos!$C$5="Triangular",IF(B648&lt;(Supuestos!$E$5-Supuestos!$D$5)/(Supuestos!$F$5-Supuestos!$D$5),Supuestos!$D$5+SQRT(B648*(Supuestos!$F$5-Supuestos!$D$5)*(Supuestos!$E$5-Supuestos!$D$5)),Supuestos!$F$5-SQRT((1-B648)*(Supuestos!$F$5-Supuestos!$D$5)*(Supuestos!$F$5-Supuestos!$E$5))),IF(Supuestos!$C$5="Uniforme",Supuestos!$D$5+B648*(Supuestos!$E$5-Supuestos!$D$5),IF(Supuestos!$C$5="Lognormal",LOGINV(B648,LN(Supuestos!$D$5)-LN(1+Supuestos!$E$5^2/Supuestos!$D$5^2)/2,SQRT(LN(1+Supuestos!$E$5^2/Supuestos!$D$5^2))),Supuestos!$D$5))))))</f>
        <v/>
      </c>
      <c r="J648" s="31">
        <f>MIN(IF(Supuestos!$H$6="",1E+99,Supuestos!$H$6),MAX(IF(Supuestos!$G$6="",-1E+99,Supuestos!$G$6),IF(Supuestos!$C$6="Normal",NORMINV(C648,Supuestos!$D$6,Supuestos!$E$6),IF(Supuestos!$C$6="Triangular",IF(C648&lt;(Supuestos!$E$6-Supuestos!$D$6)/(Supuestos!$F$6-Supuestos!$D$6),Supuestos!$D$6+SQRT(C648*(Supuestos!$F$6-Supuestos!$D$6)*(Supuestos!$E$6-Supuestos!$D$6)),Supuestos!$F$6-SQRT((1-C648)*(Supuestos!$F$6-Supuestos!$D$6)*(Supuestos!$F$6-Supuestos!$E$6))),IF(Supuestos!$C$6="Uniforme",Supuestos!$D$6+C648*(Supuestos!$E$6-Supuestos!$D$6),IF(Supuestos!$C$6="Lognormal",LOGINV(C648,LN(Supuestos!$D$6)-LN(1+Supuestos!$E$6^2/Supuestos!$D$6^2)/2,SQRT(LN(1+Supuestos!$E$6^2/Supuestos!$D$6^2))),Supuestos!$D$6))))))</f>
        <v/>
      </c>
      <c r="K648" s="32">
        <f>MIN(IF(Supuestos!$H$7="",1E+99,Supuestos!$H$7),MAX(IF(Supuestos!$G$7="",-1E+99,Supuestos!$G$7),IF(Supuestos!$C$7="Normal",NORMINV(D648,Supuestos!$D$7,Supuestos!$E$7),IF(Supuestos!$C$7="Triangular",IF(D648&lt;(Supuestos!$E$7-Supuestos!$D$7)/(Supuestos!$F$7-Supuestos!$D$7),Supuestos!$D$7+SQRT(D648*(Supuestos!$F$7-Supuestos!$D$7)*(Supuestos!$E$7-Supuestos!$D$7)),Supuestos!$F$7-SQRT((1-D648)*(Supuestos!$F$7-Supuestos!$D$7)*(Supuestos!$F$7-Supuestos!$E$7))),IF(Supuestos!$C$7="Uniforme",Supuestos!$D$7+D648*(Supuestos!$E$7-Supuestos!$D$7),IF(Supuestos!$C$7="Lognormal",LOGINV(D648,LN(Supuestos!$D$7)-LN(1+Supuestos!$E$7^2/Supuestos!$D$7^2)/2,SQRT(LN(1+Supuestos!$E$7^2/Supuestos!$D$7^2))),Supuestos!$D$7))))))</f>
        <v/>
      </c>
      <c r="L648" s="32">
        <f>MIN(IF(Supuestos!$H$8="",1E+99,Supuestos!$H$8),MAX(IF(Supuestos!$G$8="",-1E+99,Supuestos!$G$8),IF(Supuestos!$C$8="Normal",NORMINV(E648,Supuestos!$D$8,Supuestos!$E$8),IF(Supuestos!$C$8="Triangular",IF(E648&lt;(Supuestos!$E$8-Supuestos!$D$8)/(Supuestos!$F$8-Supuestos!$D$8),Supuestos!$D$8+SQRT(E648*(Supuestos!$F$8-Supuestos!$D$8)*(Supuestos!$E$8-Supuestos!$D$8)),Supuestos!$F$8-SQRT((1-E648)*(Supuestos!$F$8-Supuestos!$D$8)*(Supuestos!$F$8-Supuestos!$E$8))),IF(Supuestos!$C$8="Uniforme",Supuestos!$D$8+E648*(Supuestos!$E$8-Supuestos!$D$8),IF(Supuestos!$C$8="Lognormal",LOGINV(E648,LN(Supuestos!$D$8)-LN(1+Supuestos!$E$8^2/Supuestos!$D$8^2)/2,SQRT(LN(1+Supuestos!$E$8^2/Supuestos!$D$8^2))),Supuestos!$D$8))))))</f>
        <v/>
      </c>
      <c r="M648" s="32">
        <f>MIN(IF(Supuestos!$H$9="",1E+99,Supuestos!$H$9),MAX(IF(Supuestos!$G$9="",-1E+99,Supuestos!$G$9),IF(Supuestos!$C$9="Normal",NORMINV(F648,Supuestos!$D$9,Supuestos!$E$9),IF(Supuestos!$C$9="Triangular",IF(F648&lt;(Supuestos!$E$9-Supuestos!$D$9)/(Supuestos!$F$9-Supuestos!$D$9),Supuestos!$D$9+SQRT(F648*(Supuestos!$F$9-Supuestos!$D$9)*(Supuestos!$E$9-Supuestos!$D$9)),Supuestos!$F$9-SQRT((1-F648)*(Supuestos!$F$9-Supuestos!$D$9)*(Supuestos!$F$9-Supuestos!$E$9))),IF(Supuestos!$C$9="Uniforme",Supuestos!$D$9+F648*(Supuestos!$E$9-Supuestos!$D$9),IF(Supuestos!$C$9="Lognormal",LOGINV(F648,LN(Supuestos!$D$9)-LN(1+Supuestos!$E$9^2/Supuestos!$D$9^2)/2,SQRT(LN(1+Supuestos!$E$9^2/Supuestos!$D$9^2))),Supuestos!$D$9))))))</f>
        <v/>
      </c>
      <c r="N648" s="32">
        <f>MIN(IF(Supuestos!$H$10="",1E+99,Supuestos!$H$10),MAX(IF(Supuestos!$G$10="",-1E+99,Supuestos!$G$10),IF(Supuestos!$C$10="Normal",NORMINV(G648,Supuestos!$D$10,Supuestos!$E$10),IF(Supuestos!$C$10="Triangular",IF(G648&lt;(Supuestos!$E$10-Supuestos!$D$10)/(Supuestos!$F$10-Supuestos!$D$10),Supuestos!$D$10+SQRT(G648*(Supuestos!$F$10-Supuestos!$D$10)*(Supuestos!$E$10-Supuestos!$D$10)),Supuestos!$F$10-SQRT((1-G648)*(Supuestos!$F$10-Supuestos!$D$10)*(Supuestos!$F$10-Supuestos!$E$10))),IF(Supuestos!$C$10="Uniforme",Supuestos!$D$10+G648*(Supuestos!$E$10-Supuestos!$D$10),IF(Supuestos!$C$10="Lognormal",LOGINV(G648,LN(Supuestos!$D$10)-LN(1+Supuestos!$E$10^2/Supuestos!$D$10^2)/2,SQRT(LN(1+Supuestos!$E$10^2/Supuestos!$D$10^2))),Supuestos!$D$10))))))</f>
        <v/>
      </c>
      <c r="O648" s="31">
        <f>MIN(IF(Supuestos!$H$11="",1E+99,Supuestos!$H$11),MAX(IF(Supuestos!$G$11="",-1E+99,Supuestos!$G$11),IF(Supuestos!$C$11="Normal",NORMINV(H648,Supuestos!$D$11,Supuestos!$E$11),IF(Supuestos!$C$11="Triangular",IF(H648&lt;(Supuestos!$E$11-Supuestos!$D$11)/(Supuestos!$F$11-Supuestos!$D$11),Supuestos!$D$11+SQRT(H648*(Supuestos!$F$11-Supuestos!$D$11)*(Supuestos!$E$11-Supuestos!$D$11)),Supuestos!$F$11-SQRT((1-H648)*(Supuestos!$F$11-Supuestos!$D$11)*(Supuestos!$F$11-Supuestos!$E$11))),IF(Supuestos!$C$11="Uniforme",Supuestos!$D$11+H648*(Supuestos!$E$11-Supuestos!$D$11),IF(Supuestos!$C$11="Lognormal",LOGINV(H648,LN(Supuestos!$D$11)-LN(1+Supuestos!$E$11^2/Supuestos!$D$11^2)/2,SQRT(LN(1+Supuestos!$E$11^2/Supuestos!$D$11^2))),Supuestos!$D$11))))))</f>
        <v/>
      </c>
      <c r="P648" s="33">
        <f>-I648</f>
        <v/>
      </c>
      <c r="Q648" s="33">
        <f>$J648*(1+$K648)^(1-1)*(1-$L648)*(1-$M648)</f>
        <v/>
      </c>
      <c r="R648" s="33">
        <f>$J648*(1+$K648)^(2-1)*(1-$L648)*(1-$M648)</f>
        <v/>
      </c>
      <c r="S648" s="33">
        <f>$J648*(1+$K648)^(3-1)*(1-$L648)*(1-$M648)</f>
        <v/>
      </c>
      <c r="T648" s="33">
        <f>$J648*(1+$K648)^(4-1)*(1-$L648)*(1-$M648)</f>
        <v/>
      </c>
      <c r="U648" s="33">
        <f>$J648*(1+$K648)^(5-1)*(1-$L648)*(1-$M648)+$O648</f>
        <v/>
      </c>
      <c r="V648" s="33">
        <f>P648+NPV($N648,Q648:U648)</f>
        <v/>
      </c>
      <c r="W648" s="32">
        <f>IFERROR(IRR(P648:U648,0.1),"")</f>
        <v/>
      </c>
    </row>
    <row r="649">
      <c r="A649" s="14" t="n">
        <v>645</v>
      </c>
      <c r="B649" s="30">
        <f>RAND()*(1-2E-6)+1E-6</f>
        <v/>
      </c>
      <c r="C649" s="30">
        <f>RAND()*(1-2E-6)+1E-6</f>
        <v/>
      </c>
      <c r="D649" s="30">
        <f>RAND()*(1-2E-6)+1E-6</f>
        <v/>
      </c>
      <c r="E649" s="30">
        <f>RAND()*(1-2E-6)+1E-6</f>
        <v/>
      </c>
      <c r="F649" s="30">
        <f>RAND()*(1-2E-6)+1E-6</f>
        <v/>
      </c>
      <c r="G649" s="30">
        <f>RAND()*(1-2E-6)+1E-6</f>
        <v/>
      </c>
      <c r="H649" s="30">
        <f>RAND()*(1-2E-6)+1E-6</f>
        <v/>
      </c>
      <c r="I649" s="31">
        <f>MIN(IF(Supuestos!$H$5="",1E+99,Supuestos!$H$5),MAX(IF(Supuestos!$G$5="",-1E+99,Supuestos!$G$5),IF(Supuestos!$C$5="Normal",NORMINV(B649,Supuestos!$D$5,Supuestos!$E$5),IF(Supuestos!$C$5="Triangular",IF(B649&lt;(Supuestos!$E$5-Supuestos!$D$5)/(Supuestos!$F$5-Supuestos!$D$5),Supuestos!$D$5+SQRT(B649*(Supuestos!$F$5-Supuestos!$D$5)*(Supuestos!$E$5-Supuestos!$D$5)),Supuestos!$F$5-SQRT((1-B649)*(Supuestos!$F$5-Supuestos!$D$5)*(Supuestos!$F$5-Supuestos!$E$5))),IF(Supuestos!$C$5="Uniforme",Supuestos!$D$5+B649*(Supuestos!$E$5-Supuestos!$D$5),IF(Supuestos!$C$5="Lognormal",LOGINV(B649,LN(Supuestos!$D$5)-LN(1+Supuestos!$E$5^2/Supuestos!$D$5^2)/2,SQRT(LN(1+Supuestos!$E$5^2/Supuestos!$D$5^2))),Supuestos!$D$5))))))</f>
        <v/>
      </c>
      <c r="J649" s="31">
        <f>MIN(IF(Supuestos!$H$6="",1E+99,Supuestos!$H$6),MAX(IF(Supuestos!$G$6="",-1E+99,Supuestos!$G$6),IF(Supuestos!$C$6="Normal",NORMINV(C649,Supuestos!$D$6,Supuestos!$E$6),IF(Supuestos!$C$6="Triangular",IF(C649&lt;(Supuestos!$E$6-Supuestos!$D$6)/(Supuestos!$F$6-Supuestos!$D$6),Supuestos!$D$6+SQRT(C649*(Supuestos!$F$6-Supuestos!$D$6)*(Supuestos!$E$6-Supuestos!$D$6)),Supuestos!$F$6-SQRT((1-C649)*(Supuestos!$F$6-Supuestos!$D$6)*(Supuestos!$F$6-Supuestos!$E$6))),IF(Supuestos!$C$6="Uniforme",Supuestos!$D$6+C649*(Supuestos!$E$6-Supuestos!$D$6),IF(Supuestos!$C$6="Lognormal",LOGINV(C649,LN(Supuestos!$D$6)-LN(1+Supuestos!$E$6^2/Supuestos!$D$6^2)/2,SQRT(LN(1+Supuestos!$E$6^2/Supuestos!$D$6^2))),Supuestos!$D$6))))))</f>
        <v/>
      </c>
      <c r="K649" s="32">
        <f>MIN(IF(Supuestos!$H$7="",1E+99,Supuestos!$H$7),MAX(IF(Supuestos!$G$7="",-1E+99,Supuestos!$G$7),IF(Supuestos!$C$7="Normal",NORMINV(D649,Supuestos!$D$7,Supuestos!$E$7),IF(Supuestos!$C$7="Triangular",IF(D649&lt;(Supuestos!$E$7-Supuestos!$D$7)/(Supuestos!$F$7-Supuestos!$D$7),Supuestos!$D$7+SQRT(D649*(Supuestos!$F$7-Supuestos!$D$7)*(Supuestos!$E$7-Supuestos!$D$7)),Supuestos!$F$7-SQRT((1-D649)*(Supuestos!$F$7-Supuestos!$D$7)*(Supuestos!$F$7-Supuestos!$E$7))),IF(Supuestos!$C$7="Uniforme",Supuestos!$D$7+D649*(Supuestos!$E$7-Supuestos!$D$7),IF(Supuestos!$C$7="Lognormal",LOGINV(D649,LN(Supuestos!$D$7)-LN(1+Supuestos!$E$7^2/Supuestos!$D$7^2)/2,SQRT(LN(1+Supuestos!$E$7^2/Supuestos!$D$7^2))),Supuestos!$D$7))))))</f>
        <v/>
      </c>
      <c r="L649" s="32">
        <f>MIN(IF(Supuestos!$H$8="",1E+99,Supuestos!$H$8),MAX(IF(Supuestos!$G$8="",-1E+99,Supuestos!$G$8),IF(Supuestos!$C$8="Normal",NORMINV(E649,Supuestos!$D$8,Supuestos!$E$8),IF(Supuestos!$C$8="Triangular",IF(E649&lt;(Supuestos!$E$8-Supuestos!$D$8)/(Supuestos!$F$8-Supuestos!$D$8),Supuestos!$D$8+SQRT(E649*(Supuestos!$F$8-Supuestos!$D$8)*(Supuestos!$E$8-Supuestos!$D$8)),Supuestos!$F$8-SQRT((1-E649)*(Supuestos!$F$8-Supuestos!$D$8)*(Supuestos!$F$8-Supuestos!$E$8))),IF(Supuestos!$C$8="Uniforme",Supuestos!$D$8+E649*(Supuestos!$E$8-Supuestos!$D$8),IF(Supuestos!$C$8="Lognormal",LOGINV(E649,LN(Supuestos!$D$8)-LN(1+Supuestos!$E$8^2/Supuestos!$D$8^2)/2,SQRT(LN(1+Supuestos!$E$8^2/Supuestos!$D$8^2))),Supuestos!$D$8))))))</f>
        <v/>
      </c>
      <c r="M649" s="32">
        <f>MIN(IF(Supuestos!$H$9="",1E+99,Supuestos!$H$9),MAX(IF(Supuestos!$G$9="",-1E+99,Supuestos!$G$9),IF(Supuestos!$C$9="Normal",NORMINV(F649,Supuestos!$D$9,Supuestos!$E$9),IF(Supuestos!$C$9="Triangular",IF(F649&lt;(Supuestos!$E$9-Supuestos!$D$9)/(Supuestos!$F$9-Supuestos!$D$9),Supuestos!$D$9+SQRT(F649*(Supuestos!$F$9-Supuestos!$D$9)*(Supuestos!$E$9-Supuestos!$D$9)),Supuestos!$F$9-SQRT((1-F649)*(Supuestos!$F$9-Supuestos!$D$9)*(Supuestos!$F$9-Supuestos!$E$9))),IF(Supuestos!$C$9="Uniforme",Supuestos!$D$9+F649*(Supuestos!$E$9-Supuestos!$D$9),IF(Supuestos!$C$9="Lognormal",LOGINV(F649,LN(Supuestos!$D$9)-LN(1+Supuestos!$E$9^2/Supuestos!$D$9^2)/2,SQRT(LN(1+Supuestos!$E$9^2/Supuestos!$D$9^2))),Supuestos!$D$9))))))</f>
        <v/>
      </c>
      <c r="N649" s="32">
        <f>MIN(IF(Supuestos!$H$10="",1E+99,Supuestos!$H$10),MAX(IF(Supuestos!$G$10="",-1E+99,Supuestos!$G$10),IF(Supuestos!$C$10="Normal",NORMINV(G649,Supuestos!$D$10,Supuestos!$E$10),IF(Supuestos!$C$10="Triangular",IF(G649&lt;(Supuestos!$E$10-Supuestos!$D$10)/(Supuestos!$F$10-Supuestos!$D$10),Supuestos!$D$10+SQRT(G649*(Supuestos!$F$10-Supuestos!$D$10)*(Supuestos!$E$10-Supuestos!$D$10)),Supuestos!$F$10-SQRT((1-G649)*(Supuestos!$F$10-Supuestos!$D$10)*(Supuestos!$F$10-Supuestos!$E$10))),IF(Supuestos!$C$10="Uniforme",Supuestos!$D$10+G649*(Supuestos!$E$10-Supuestos!$D$10),IF(Supuestos!$C$10="Lognormal",LOGINV(G649,LN(Supuestos!$D$10)-LN(1+Supuestos!$E$10^2/Supuestos!$D$10^2)/2,SQRT(LN(1+Supuestos!$E$10^2/Supuestos!$D$10^2))),Supuestos!$D$10))))))</f>
        <v/>
      </c>
      <c r="O649" s="31">
        <f>MIN(IF(Supuestos!$H$11="",1E+99,Supuestos!$H$11),MAX(IF(Supuestos!$G$11="",-1E+99,Supuestos!$G$11),IF(Supuestos!$C$11="Normal",NORMINV(H649,Supuestos!$D$11,Supuestos!$E$11),IF(Supuestos!$C$11="Triangular",IF(H649&lt;(Supuestos!$E$11-Supuestos!$D$11)/(Supuestos!$F$11-Supuestos!$D$11),Supuestos!$D$11+SQRT(H649*(Supuestos!$F$11-Supuestos!$D$11)*(Supuestos!$E$11-Supuestos!$D$11)),Supuestos!$F$11-SQRT((1-H649)*(Supuestos!$F$11-Supuestos!$D$11)*(Supuestos!$F$11-Supuestos!$E$11))),IF(Supuestos!$C$11="Uniforme",Supuestos!$D$11+H649*(Supuestos!$E$11-Supuestos!$D$11),IF(Supuestos!$C$11="Lognormal",LOGINV(H649,LN(Supuestos!$D$11)-LN(1+Supuestos!$E$11^2/Supuestos!$D$11^2)/2,SQRT(LN(1+Supuestos!$E$11^2/Supuestos!$D$11^2))),Supuestos!$D$11))))))</f>
        <v/>
      </c>
      <c r="P649" s="33">
        <f>-I649</f>
        <v/>
      </c>
      <c r="Q649" s="33">
        <f>$J649*(1+$K649)^(1-1)*(1-$L649)*(1-$M649)</f>
        <v/>
      </c>
      <c r="R649" s="33">
        <f>$J649*(1+$K649)^(2-1)*(1-$L649)*(1-$M649)</f>
        <v/>
      </c>
      <c r="S649" s="33">
        <f>$J649*(1+$K649)^(3-1)*(1-$L649)*(1-$M649)</f>
        <v/>
      </c>
      <c r="T649" s="33">
        <f>$J649*(1+$K649)^(4-1)*(1-$L649)*(1-$M649)</f>
        <v/>
      </c>
      <c r="U649" s="33">
        <f>$J649*(1+$K649)^(5-1)*(1-$L649)*(1-$M649)+$O649</f>
        <v/>
      </c>
      <c r="V649" s="33">
        <f>P649+NPV($N649,Q649:U649)</f>
        <v/>
      </c>
      <c r="W649" s="32">
        <f>IFERROR(IRR(P649:U649,0.1),"")</f>
        <v/>
      </c>
    </row>
    <row r="650">
      <c r="A650" s="14" t="n">
        <v>646</v>
      </c>
      <c r="B650" s="30">
        <f>RAND()*(1-2E-6)+1E-6</f>
        <v/>
      </c>
      <c r="C650" s="30">
        <f>RAND()*(1-2E-6)+1E-6</f>
        <v/>
      </c>
      <c r="D650" s="30">
        <f>RAND()*(1-2E-6)+1E-6</f>
        <v/>
      </c>
      <c r="E650" s="30">
        <f>RAND()*(1-2E-6)+1E-6</f>
        <v/>
      </c>
      <c r="F650" s="30">
        <f>RAND()*(1-2E-6)+1E-6</f>
        <v/>
      </c>
      <c r="G650" s="30">
        <f>RAND()*(1-2E-6)+1E-6</f>
        <v/>
      </c>
      <c r="H650" s="30">
        <f>RAND()*(1-2E-6)+1E-6</f>
        <v/>
      </c>
      <c r="I650" s="31">
        <f>MIN(IF(Supuestos!$H$5="",1E+99,Supuestos!$H$5),MAX(IF(Supuestos!$G$5="",-1E+99,Supuestos!$G$5),IF(Supuestos!$C$5="Normal",NORMINV(B650,Supuestos!$D$5,Supuestos!$E$5),IF(Supuestos!$C$5="Triangular",IF(B650&lt;(Supuestos!$E$5-Supuestos!$D$5)/(Supuestos!$F$5-Supuestos!$D$5),Supuestos!$D$5+SQRT(B650*(Supuestos!$F$5-Supuestos!$D$5)*(Supuestos!$E$5-Supuestos!$D$5)),Supuestos!$F$5-SQRT((1-B650)*(Supuestos!$F$5-Supuestos!$D$5)*(Supuestos!$F$5-Supuestos!$E$5))),IF(Supuestos!$C$5="Uniforme",Supuestos!$D$5+B650*(Supuestos!$E$5-Supuestos!$D$5),IF(Supuestos!$C$5="Lognormal",LOGINV(B650,LN(Supuestos!$D$5)-LN(1+Supuestos!$E$5^2/Supuestos!$D$5^2)/2,SQRT(LN(1+Supuestos!$E$5^2/Supuestos!$D$5^2))),Supuestos!$D$5))))))</f>
        <v/>
      </c>
      <c r="J650" s="31">
        <f>MIN(IF(Supuestos!$H$6="",1E+99,Supuestos!$H$6),MAX(IF(Supuestos!$G$6="",-1E+99,Supuestos!$G$6),IF(Supuestos!$C$6="Normal",NORMINV(C650,Supuestos!$D$6,Supuestos!$E$6),IF(Supuestos!$C$6="Triangular",IF(C650&lt;(Supuestos!$E$6-Supuestos!$D$6)/(Supuestos!$F$6-Supuestos!$D$6),Supuestos!$D$6+SQRT(C650*(Supuestos!$F$6-Supuestos!$D$6)*(Supuestos!$E$6-Supuestos!$D$6)),Supuestos!$F$6-SQRT((1-C650)*(Supuestos!$F$6-Supuestos!$D$6)*(Supuestos!$F$6-Supuestos!$E$6))),IF(Supuestos!$C$6="Uniforme",Supuestos!$D$6+C650*(Supuestos!$E$6-Supuestos!$D$6),IF(Supuestos!$C$6="Lognormal",LOGINV(C650,LN(Supuestos!$D$6)-LN(1+Supuestos!$E$6^2/Supuestos!$D$6^2)/2,SQRT(LN(1+Supuestos!$E$6^2/Supuestos!$D$6^2))),Supuestos!$D$6))))))</f>
        <v/>
      </c>
      <c r="K650" s="32">
        <f>MIN(IF(Supuestos!$H$7="",1E+99,Supuestos!$H$7),MAX(IF(Supuestos!$G$7="",-1E+99,Supuestos!$G$7),IF(Supuestos!$C$7="Normal",NORMINV(D650,Supuestos!$D$7,Supuestos!$E$7),IF(Supuestos!$C$7="Triangular",IF(D650&lt;(Supuestos!$E$7-Supuestos!$D$7)/(Supuestos!$F$7-Supuestos!$D$7),Supuestos!$D$7+SQRT(D650*(Supuestos!$F$7-Supuestos!$D$7)*(Supuestos!$E$7-Supuestos!$D$7)),Supuestos!$F$7-SQRT((1-D650)*(Supuestos!$F$7-Supuestos!$D$7)*(Supuestos!$F$7-Supuestos!$E$7))),IF(Supuestos!$C$7="Uniforme",Supuestos!$D$7+D650*(Supuestos!$E$7-Supuestos!$D$7),IF(Supuestos!$C$7="Lognormal",LOGINV(D650,LN(Supuestos!$D$7)-LN(1+Supuestos!$E$7^2/Supuestos!$D$7^2)/2,SQRT(LN(1+Supuestos!$E$7^2/Supuestos!$D$7^2))),Supuestos!$D$7))))))</f>
        <v/>
      </c>
      <c r="L650" s="32">
        <f>MIN(IF(Supuestos!$H$8="",1E+99,Supuestos!$H$8),MAX(IF(Supuestos!$G$8="",-1E+99,Supuestos!$G$8),IF(Supuestos!$C$8="Normal",NORMINV(E650,Supuestos!$D$8,Supuestos!$E$8),IF(Supuestos!$C$8="Triangular",IF(E650&lt;(Supuestos!$E$8-Supuestos!$D$8)/(Supuestos!$F$8-Supuestos!$D$8),Supuestos!$D$8+SQRT(E650*(Supuestos!$F$8-Supuestos!$D$8)*(Supuestos!$E$8-Supuestos!$D$8)),Supuestos!$F$8-SQRT((1-E650)*(Supuestos!$F$8-Supuestos!$D$8)*(Supuestos!$F$8-Supuestos!$E$8))),IF(Supuestos!$C$8="Uniforme",Supuestos!$D$8+E650*(Supuestos!$E$8-Supuestos!$D$8),IF(Supuestos!$C$8="Lognormal",LOGINV(E650,LN(Supuestos!$D$8)-LN(1+Supuestos!$E$8^2/Supuestos!$D$8^2)/2,SQRT(LN(1+Supuestos!$E$8^2/Supuestos!$D$8^2))),Supuestos!$D$8))))))</f>
        <v/>
      </c>
      <c r="M650" s="32">
        <f>MIN(IF(Supuestos!$H$9="",1E+99,Supuestos!$H$9),MAX(IF(Supuestos!$G$9="",-1E+99,Supuestos!$G$9),IF(Supuestos!$C$9="Normal",NORMINV(F650,Supuestos!$D$9,Supuestos!$E$9),IF(Supuestos!$C$9="Triangular",IF(F650&lt;(Supuestos!$E$9-Supuestos!$D$9)/(Supuestos!$F$9-Supuestos!$D$9),Supuestos!$D$9+SQRT(F650*(Supuestos!$F$9-Supuestos!$D$9)*(Supuestos!$E$9-Supuestos!$D$9)),Supuestos!$F$9-SQRT((1-F650)*(Supuestos!$F$9-Supuestos!$D$9)*(Supuestos!$F$9-Supuestos!$E$9))),IF(Supuestos!$C$9="Uniforme",Supuestos!$D$9+F650*(Supuestos!$E$9-Supuestos!$D$9),IF(Supuestos!$C$9="Lognormal",LOGINV(F650,LN(Supuestos!$D$9)-LN(1+Supuestos!$E$9^2/Supuestos!$D$9^2)/2,SQRT(LN(1+Supuestos!$E$9^2/Supuestos!$D$9^2))),Supuestos!$D$9))))))</f>
        <v/>
      </c>
      <c r="N650" s="32">
        <f>MIN(IF(Supuestos!$H$10="",1E+99,Supuestos!$H$10),MAX(IF(Supuestos!$G$10="",-1E+99,Supuestos!$G$10),IF(Supuestos!$C$10="Normal",NORMINV(G650,Supuestos!$D$10,Supuestos!$E$10),IF(Supuestos!$C$10="Triangular",IF(G650&lt;(Supuestos!$E$10-Supuestos!$D$10)/(Supuestos!$F$10-Supuestos!$D$10),Supuestos!$D$10+SQRT(G650*(Supuestos!$F$10-Supuestos!$D$10)*(Supuestos!$E$10-Supuestos!$D$10)),Supuestos!$F$10-SQRT((1-G650)*(Supuestos!$F$10-Supuestos!$D$10)*(Supuestos!$F$10-Supuestos!$E$10))),IF(Supuestos!$C$10="Uniforme",Supuestos!$D$10+G650*(Supuestos!$E$10-Supuestos!$D$10),IF(Supuestos!$C$10="Lognormal",LOGINV(G650,LN(Supuestos!$D$10)-LN(1+Supuestos!$E$10^2/Supuestos!$D$10^2)/2,SQRT(LN(1+Supuestos!$E$10^2/Supuestos!$D$10^2))),Supuestos!$D$10))))))</f>
        <v/>
      </c>
      <c r="O650" s="31">
        <f>MIN(IF(Supuestos!$H$11="",1E+99,Supuestos!$H$11),MAX(IF(Supuestos!$G$11="",-1E+99,Supuestos!$G$11),IF(Supuestos!$C$11="Normal",NORMINV(H650,Supuestos!$D$11,Supuestos!$E$11),IF(Supuestos!$C$11="Triangular",IF(H650&lt;(Supuestos!$E$11-Supuestos!$D$11)/(Supuestos!$F$11-Supuestos!$D$11),Supuestos!$D$11+SQRT(H650*(Supuestos!$F$11-Supuestos!$D$11)*(Supuestos!$E$11-Supuestos!$D$11)),Supuestos!$F$11-SQRT((1-H650)*(Supuestos!$F$11-Supuestos!$D$11)*(Supuestos!$F$11-Supuestos!$E$11))),IF(Supuestos!$C$11="Uniforme",Supuestos!$D$11+H650*(Supuestos!$E$11-Supuestos!$D$11),IF(Supuestos!$C$11="Lognormal",LOGINV(H650,LN(Supuestos!$D$11)-LN(1+Supuestos!$E$11^2/Supuestos!$D$11^2)/2,SQRT(LN(1+Supuestos!$E$11^2/Supuestos!$D$11^2))),Supuestos!$D$11))))))</f>
        <v/>
      </c>
      <c r="P650" s="33">
        <f>-I650</f>
        <v/>
      </c>
      <c r="Q650" s="33">
        <f>$J650*(1+$K650)^(1-1)*(1-$L650)*(1-$M650)</f>
        <v/>
      </c>
      <c r="R650" s="33">
        <f>$J650*(1+$K650)^(2-1)*(1-$L650)*(1-$M650)</f>
        <v/>
      </c>
      <c r="S650" s="33">
        <f>$J650*(1+$K650)^(3-1)*(1-$L650)*(1-$M650)</f>
        <v/>
      </c>
      <c r="T650" s="33">
        <f>$J650*(1+$K650)^(4-1)*(1-$L650)*(1-$M650)</f>
        <v/>
      </c>
      <c r="U650" s="33">
        <f>$J650*(1+$K650)^(5-1)*(1-$L650)*(1-$M650)+$O650</f>
        <v/>
      </c>
      <c r="V650" s="33">
        <f>P650+NPV($N650,Q650:U650)</f>
        <v/>
      </c>
      <c r="W650" s="32">
        <f>IFERROR(IRR(P650:U650,0.1),"")</f>
        <v/>
      </c>
    </row>
    <row r="651">
      <c r="A651" s="14" t="n">
        <v>647</v>
      </c>
      <c r="B651" s="30">
        <f>RAND()*(1-2E-6)+1E-6</f>
        <v/>
      </c>
      <c r="C651" s="30">
        <f>RAND()*(1-2E-6)+1E-6</f>
        <v/>
      </c>
      <c r="D651" s="30">
        <f>RAND()*(1-2E-6)+1E-6</f>
        <v/>
      </c>
      <c r="E651" s="30">
        <f>RAND()*(1-2E-6)+1E-6</f>
        <v/>
      </c>
      <c r="F651" s="30">
        <f>RAND()*(1-2E-6)+1E-6</f>
        <v/>
      </c>
      <c r="G651" s="30">
        <f>RAND()*(1-2E-6)+1E-6</f>
        <v/>
      </c>
      <c r="H651" s="30">
        <f>RAND()*(1-2E-6)+1E-6</f>
        <v/>
      </c>
      <c r="I651" s="31">
        <f>MIN(IF(Supuestos!$H$5="",1E+99,Supuestos!$H$5),MAX(IF(Supuestos!$G$5="",-1E+99,Supuestos!$G$5),IF(Supuestos!$C$5="Normal",NORMINV(B651,Supuestos!$D$5,Supuestos!$E$5),IF(Supuestos!$C$5="Triangular",IF(B651&lt;(Supuestos!$E$5-Supuestos!$D$5)/(Supuestos!$F$5-Supuestos!$D$5),Supuestos!$D$5+SQRT(B651*(Supuestos!$F$5-Supuestos!$D$5)*(Supuestos!$E$5-Supuestos!$D$5)),Supuestos!$F$5-SQRT((1-B651)*(Supuestos!$F$5-Supuestos!$D$5)*(Supuestos!$F$5-Supuestos!$E$5))),IF(Supuestos!$C$5="Uniforme",Supuestos!$D$5+B651*(Supuestos!$E$5-Supuestos!$D$5),IF(Supuestos!$C$5="Lognormal",LOGINV(B651,LN(Supuestos!$D$5)-LN(1+Supuestos!$E$5^2/Supuestos!$D$5^2)/2,SQRT(LN(1+Supuestos!$E$5^2/Supuestos!$D$5^2))),Supuestos!$D$5))))))</f>
        <v/>
      </c>
      <c r="J651" s="31">
        <f>MIN(IF(Supuestos!$H$6="",1E+99,Supuestos!$H$6),MAX(IF(Supuestos!$G$6="",-1E+99,Supuestos!$G$6),IF(Supuestos!$C$6="Normal",NORMINV(C651,Supuestos!$D$6,Supuestos!$E$6),IF(Supuestos!$C$6="Triangular",IF(C651&lt;(Supuestos!$E$6-Supuestos!$D$6)/(Supuestos!$F$6-Supuestos!$D$6),Supuestos!$D$6+SQRT(C651*(Supuestos!$F$6-Supuestos!$D$6)*(Supuestos!$E$6-Supuestos!$D$6)),Supuestos!$F$6-SQRT((1-C651)*(Supuestos!$F$6-Supuestos!$D$6)*(Supuestos!$F$6-Supuestos!$E$6))),IF(Supuestos!$C$6="Uniforme",Supuestos!$D$6+C651*(Supuestos!$E$6-Supuestos!$D$6),IF(Supuestos!$C$6="Lognormal",LOGINV(C651,LN(Supuestos!$D$6)-LN(1+Supuestos!$E$6^2/Supuestos!$D$6^2)/2,SQRT(LN(1+Supuestos!$E$6^2/Supuestos!$D$6^2))),Supuestos!$D$6))))))</f>
        <v/>
      </c>
      <c r="K651" s="32">
        <f>MIN(IF(Supuestos!$H$7="",1E+99,Supuestos!$H$7),MAX(IF(Supuestos!$G$7="",-1E+99,Supuestos!$G$7),IF(Supuestos!$C$7="Normal",NORMINV(D651,Supuestos!$D$7,Supuestos!$E$7),IF(Supuestos!$C$7="Triangular",IF(D651&lt;(Supuestos!$E$7-Supuestos!$D$7)/(Supuestos!$F$7-Supuestos!$D$7),Supuestos!$D$7+SQRT(D651*(Supuestos!$F$7-Supuestos!$D$7)*(Supuestos!$E$7-Supuestos!$D$7)),Supuestos!$F$7-SQRT((1-D651)*(Supuestos!$F$7-Supuestos!$D$7)*(Supuestos!$F$7-Supuestos!$E$7))),IF(Supuestos!$C$7="Uniforme",Supuestos!$D$7+D651*(Supuestos!$E$7-Supuestos!$D$7),IF(Supuestos!$C$7="Lognormal",LOGINV(D651,LN(Supuestos!$D$7)-LN(1+Supuestos!$E$7^2/Supuestos!$D$7^2)/2,SQRT(LN(1+Supuestos!$E$7^2/Supuestos!$D$7^2))),Supuestos!$D$7))))))</f>
        <v/>
      </c>
      <c r="L651" s="32">
        <f>MIN(IF(Supuestos!$H$8="",1E+99,Supuestos!$H$8),MAX(IF(Supuestos!$G$8="",-1E+99,Supuestos!$G$8),IF(Supuestos!$C$8="Normal",NORMINV(E651,Supuestos!$D$8,Supuestos!$E$8),IF(Supuestos!$C$8="Triangular",IF(E651&lt;(Supuestos!$E$8-Supuestos!$D$8)/(Supuestos!$F$8-Supuestos!$D$8),Supuestos!$D$8+SQRT(E651*(Supuestos!$F$8-Supuestos!$D$8)*(Supuestos!$E$8-Supuestos!$D$8)),Supuestos!$F$8-SQRT((1-E651)*(Supuestos!$F$8-Supuestos!$D$8)*(Supuestos!$F$8-Supuestos!$E$8))),IF(Supuestos!$C$8="Uniforme",Supuestos!$D$8+E651*(Supuestos!$E$8-Supuestos!$D$8),IF(Supuestos!$C$8="Lognormal",LOGINV(E651,LN(Supuestos!$D$8)-LN(1+Supuestos!$E$8^2/Supuestos!$D$8^2)/2,SQRT(LN(1+Supuestos!$E$8^2/Supuestos!$D$8^2))),Supuestos!$D$8))))))</f>
        <v/>
      </c>
      <c r="M651" s="32">
        <f>MIN(IF(Supuestos!$H$9="",1E+99,Supuestos!$H$9),MAX(IF(Supuestos!$G$9="",-1E+99,Supuestos!$G$9),IF(Supuestos!$C$9="Normal",NORMINV(F651,Supuestos!$D$9,Supuestos!$E$9),IF(Supuestos!$C$9="Triangular",IF(F651&lt;(Supuestos!$E$9-Supuestos!$D$9)/(Supuestos!$F$9-Supuestos!$D$9),Supuestos!$D$9+SQRT(F651*(Supuestos!$F$9-Supuestos!$D$9)*(Supuestos!$E$9-Supuestos!$D$9)),Supuestos!$F$9-SQRT((1-F651)*(Supuestos!$F$9-Supuestos!$D$9)*(Supuestos!$F$9-Supuestos!$E$9))),IF(Supuestos!$C$9="Uniforme",Supuestos!$D$9+F651*(Supuestos!$E$9-Supuestos!$D$9),IF(Supuestos!$C$9="Lognormal",LOGINV(F651,LN(Supuestos!$D$9)-LN(1+Supuestos!$E$9^2/Supuestos!$D$9^2)/2,SQRT(LN(1+Supuestos!$E$9^2/Supuestos!$D$9^2))),Supuestos!$D$9))))))</f>
        <v/>
      </c>
      <c r="N651" s="32">
        <f>MIN(IF(Supuestos!$H$10="",1E+99,Supuestos!$H$10),MAX(IF(Supuestos!$G$10="",-1E+99,Supuestos!$G$10),IF(Supuestos!$C$10="Normal",NORMINV(G651,Supuestos!$D$10,Supuestos!$E$10),IF(Supuestos!$C$10="Triangular",IF(G651&lt;(Supuestos!$E$10-Supuestos!$D$10)/(Supuestos!$F$10-Supuestos!$D$10),Supuestos!$D$10+SQRT(G651*(Supuestos!$F$10-Supuestos!$D$10)*(Supuestos!$E$10-Supuestos!$D$10)),Supuestos!$F$10-SQRT((1-G651)*(Supuestos!$F$10-Supuestos!$D$10)*(Supuestos!$F$10-Supuestos!$E$10))),IF(Supuestos!$C$10="Uniforme",Supuestos!$D$10+G651*(Supuestos!$E$10-Supuestos!$D$10),IF(Supuestos!$C$10="Lognormal",LOGINV(G651,LN(Supuestos!$D$10)-LN(1+Supuestos!$E$10^2/Supuestos!$D$10^2)/2,SQRT(LN(1+Supuestos!$E$10^2/Supuestos!$D$10^2))),Supuestos!$D$10))))))</f>
        <v/>
      </c>
      <c r="O651" s="31">
        <f>MIN(IF(Supuestos!$H$11="",1E+99,Supuestos!$H$11),MAX(IF(Supuestos!$G$11="",-1E+99,Supuestos!$G$11),IF(Supuestos!$C$11="Normal",NORMINV(H651,Supuestos!$D$11,Supuestos!$E$11),IF(Supuestos!$C$11="Triangular",IF(H651&lt;(Supuestos!$E$11-Supuestos!$D$11)/(Supuestos!$F$11-Supuestos!$D$11),Supuestos!$D$11+SQRT(H651*(Supuestos!$F$11-Supuestos!$D$11)*(Supuestos!$E$11-Supuestos!$D$11)),Supuestos!$F$11-SQRT((1-H651)*(Supuestos!$F$11-Supuestos!$D$11)*(Supuestos!$F$11-Supuestos!$E$11))),IF(Supuestos!$C$11="Uniforme",Supuestos!$D$11+H651*(Supuestos!$E$11-Supuestos!$D$11),IF(Supuestos!$C$11="Lognormal",LOGINV(H651,LN(Supuestos!$D$11)-LN(1+Supuestos!$E$11^2/Supuestos!$D$11^2)/2,SQRT(LN(1+Supuestos!$E$11^2/Supuestos!$D$11^2))),Supuestos!$D$11))))))</f>
        <v/>
      </c>
      <c r="P651" s="33">
        <f>-I651</f>
        <v/>
      </c>
      <c r="Q651" s="33">
        <f>$J651*(1+$K651)^(1-1)*(1-$L651)*(1-$M651)</f>
        <v/>
      </c>
      <c r="R651" s="33">
        <f>$J651*(1+$K651)^(2-1)*(1-$L651)*(1-$M651)</f>
        <v/>
      </c>
      <c r="S651" s="33">
        <f>$J651*(1+$K651)^(3-1)*(1-$L651)*(1-$M651)</f>
        <v/>
      </c>
      <c r="T651" s="33">
        <f>$J651*(1+$K651)^(4-1)*(1-$L651)*(1-$M651)</f>
        <v/>
      </c>
      <c r="U651" s="33">
        <f>$J651*(1+$K651)^(5-1)*(1-$L651)*(1-$M651)+$O651</f>
        <v/>
      </c>
      <c r="V651" s="33">
        <f>P651+NPV($N651,Q651:U651)</f>
        <v/>
      </c>
      <c r="W651" s="32">
        <f>IFERROR(IRR(P651:U651,0.1),"")</f>
        <v/>
      </c>
    </row>
    <row r="652">
      <c r="A652" s="14" t="n">
        <v>648</v>
      </c>
      <c r="B652" s="30">
        <f>RAND()*(1-2E-6)+1E-6</f>
        <v/>
      </c>
      <c r="C652" s="30">
        <f>RAND()*(1-2E-6)+1E-6</f>
        <v/>
      </c>
      <c r="D652" s="30">
        <f>RAND()*(1-2E-6)+1E-6</f>
        <v/>
      </c>
      <c r="E652" s="30">
        <f>RAND()*(1-2E-6)+1E-6</f>
        <v/>
      </c>
      <c r="F652" s="30">
        <f>RAND()*(1-2E-6)+1E-6</f>
        <v/>
      </c>
      <c r="G652" s="30">
        <f>RAND()*(1-2E-6)+1E-6</f>
        <v/>
      </c>
      <c r="H652" s="30">
        <f>RAND()*(1-2E-6)+1E-6</f>
        <v/>
      </c>
      <c r="I652" s="31">
        <f>MIN(IF(Supuestos!$H$5="",1E+99,Supuestos!$H$5),MAX(IF(Supuestos!$G$5="",-1E+99,Supuestos!$G$5),IF(Supuestos!$C$5="Normal",NORMINV(B652,Supuestos!$D$5,Supuestos!$E$5),IF(Supuestos!$C$5="Triangular",IF(B652&lt;(Supuestos!$E$5-Supuestos!$D$5)/(Supuestos!$F$5-Supuestos!$D$5),Supuestos!$D$5+SQRT(B652*(Supuestos!$F$5-Supuestos!$D$5)*(Supuestos!$E$5-Supuestos!$D$5)),Supuestos!$F$5-SQRT((1-B652)*(Supuestos!$F$5-Supuestos!$D$5)*(Supuestos!$F$5-Supuestos!$E$5))),IF(Supuestos!$C$5="Uniforme",Supuestos!$D$5+B652*(Supuestos!$E$5-Supuestos!$D$5),IF(Supuestos!$C$5="Lognormal",LOGINV(B652,LN(Supuestos!$D$5)-LN(1+Supuestos!$E$5^2/Supuestos!$D$5^2)/2,SQRT(LN(1+Supuestos!$E$5^2/Supuestos!$D$5^2))),Supuestos!$D$5))))))</f>
        <v/>
      </c>
      <c r="J652" s="31">
        <f>MIN(IF(Supuestos!$H$6="",1E+99,Supuestos!$H$6),MAX(IF(Supuestos!$G$6="",-1E+99,Supuestos!$G$6),IF(Supuestos!$C$6="Normal",NORMINV(C652,Supuestos!$D$6,Supuestos!$E$6),IF(Supuestos!$C$6="Triangular",IF(C652&lt;(Supuestos!$E$6-Supuestos!$D$6)/(Supuestos!$F$6-Supuestos!$D$6),Supuestos!$D$6+SQRT(C652*(Supuestos!$F$6-Supuestos!$D$6)*(Supuestos!$E$6-Supuestos!$D$6)),Supuestos!$F$6-SQRT((1-C652)*(Supuestos!$F$6-Supuestos!$D$6)*(Supuestos!$F$6-Supuestos!$E$6))),IF(Supuestos!$C$6="Uniforme",Supuestos!$D$6+C652*(Supuestos!$E$6-Supuestos!$D$6),IF(Supuestos!$C$6="Lognormal",LOGINV(C652,LN(Supuestos!$D$6)-LN(1+Supuestos!$E$6^2/Supuestos!$D$6^2)/2,SQRT(LN(1+Supuestos!$E$6^2/Supuestos!$D$6^2))),Supuestos!$D$6))))))</f>
        <v/>
      </c>
      <c r="K652" s="32">
        <f>MIN(IF(Supuestos!$H$7="",1E+99,Supuestos!$H$7),MAX(IF(Supuestos!$G$7="",-1E+99,Supuestos!$G$7),IF(Supuestos!$C$7="Normal",NORMINV(D652,Supuestos!$D$7,Supuestos!$E$7),IF(Supuestos!$C$7="Triangular",IF(D652&lt;(Supuestos!$E$7-Supuestos!$D$7)/(Supuestos!$F$7-Supuestos!$D$7),Supuestos!$D$7+SQRT(D652*(Supuestos!$F$7-Supuestos!$D$7)*(Supuestos!$E$7-Supuestos!$D$7)),Supuestos!$F$7-SQRT((1-D652)*(Supuestos!$F$7-Supuestos!$D$7)*(Supuestos!$F$7-Supuestos!$E$7))),IF(Supuestos!$C$7="Uniforme",Supuestos!$D$7+D652*(Supuestos!$E$7-Supuestos!$D$7),IF(Supuestos!$C$7="Lognormal",LOGINV(D652,LN(Supuestos!$D$7)-LN(1+Supuestos!$E$7^2/Supuestos!$D$7^2)/2,SQRT(LN(1+Supuestos!$E$7^2/Supuestos!$D$7^2))),Supuestos!$D$7))))))</f>
        <v/>
      </c>
      <c r="L652" s="32">
        <f>MIN(IF(Supuestos!$H$8="",1E+99,Supuestos!$H$8),MAX(IF(Supuestos!$G$8="",-1E+99,Supuestos!$G$8),IF(Supuestos!$C$8="Normal",NORMINV(E652,Supuestos!$D$8,Supuestos!$E$8),IF(Supuestos!$C$8="Triangular",IF(E652&lt;(Supuestos!$E$8-Supuestos!$D$8)/(Supuestos!$F$8-Supuestos!$D$8),Supuestos!$D$8+SQRT(E652*(Supuestos!$F$8-Supuestos!$D$8)*(Supuestos!$E$8-Supuestos!$D$8)),Supuestos!$F$8-SQRT((1-E652)*(Supuestos!$F$8-Supuestos!$D$8)*(Supuestos!$F$8-Supuestos!$E$8))),IF(Supuestos!$C$8="Uniforme",Supuestos!$D$8+E652*(Supuestos!$E$8-Supuestos!$D$8),IF(Supuestos!$C$8="Lognormal",LOGINV(E652,LN(Supuestos!$D$8)-LN(1+Supuestos!$E$8^2/Supuestos!$D$8^2)/2,SQRT(LN(1+Supuestos!$E$8^2/Supuestos!$D$8^2))),Supuestos!$D$8))))))</f>
        <v/>
      </c>
      <c r="M652" s="32">
        <f>MIN(IF(Supuestos!$H$9="",1E+99,Supuestos!$H$9),MAX(IF(Supuestos!$G$9="",-1E+99,Supuestos!$G$9),IF(Supuestos!$C$9="Normal",NORMINV(F652,Supuestos!$D$9,Supuestos!$E$9),IF(Supuestos!$C$9="Triangular",IF(F652&lt;(Supuestos!$E$9-Supuestos!$D$9)/(Supuestos!$F$9-Supuestos!$D$9),Supuestos!$D$9+SQRT(F652*(Supuestos!$F$9-Supuestos!$D$9)*(Supuestos!$E$9-Supuestos!$D$9)),Supuestos!$F$9-SQRT((1-F652)*(Supuestos!$F$9-Supuestos!$D$9)*(Supuestos!$F$9-Supuestos!$E$9))),IF(Supuestos!$C$9="Uniforme",Supuestos!$D$9+F652*(Supuestos!$E$9-Supuestos!$D$9),IF(Supuestos!$C$9="Lognormal",LOGINV(F652,LN(Supuestos!$D$9)-LN(1+Supuestos!$E$9^2/Supuestos!$D$9^2)/2,SQRT(LN(1+Supuestos!$E$9^2/Supuestos!$D$9^2))),Supuestos!$D$9))))))</f>
        <v/>
      </c>
      <c r="N652" s="32">
        <f>MIN(IF(Supuestos!$H$10="",1E+99,Supuestos!$H$10),MAX(IF(Supuestos!$G$10="",-1E+99,Supuestos!$G$10),IF(Supuestos!$C$10="Normal",NORMINV(G652,Supuestos!$D$10,Supuestos!$E$10),IF(Supuestos!$C$10="Triangular",IF(G652&lt;(Supuestos!$E$10-Supuestos!$D$10)/(Supuestos!$F$10-Supuestos!$D$10),Supuestos!$D$10+SQRT(G652*(Supuestos!$F$10-Supuestos!$D$10)*(Supuestos!$E$10-Supuestos!$D$10)),Supuestos!$F$10-SQRT((1-G652)*(Supuestos!$F$10-Supuestos!$D$10)*(Supuestos!$F$10-Supuestos!$E$10))),IF(Supuestos!$C$10="Uniforme",Supuestos!$D$10+G652*(Supuestos!$E$10-Supuestos!$D$10),IF(Supuestos!$C$10="Lognormal",LOGINV(G652,LN(Supuestos!$D$10)-LN(1+Supuestos!$E$10^2/Supuestos!$D$10^2)/2,SQRT(LN(1+Supuestos!$E$10^2/Supuestos!$D$10^2))),Supuestos!$D$10))))))</f>
        <v/>
      </c>
      <c r="O652" s="31">
        <f>MIN(IF(Supuestos!$H$11="",1E+99,Supuestos!$H$11),MAX(IF(Supuestos!$G$11="",-1E+99,Supuestos!$G$11),IF(Supuestos!$C$11="Normal",NORMINV(H652,Supuestos!$D$11,Supuestos!$E$11),IF(Supuestos!$C$11="Triangular",IF(H652&lt;(Supuestos!$E$11-Supuestos!$D$11)/(Supuestos!$F$11-Supuestos!$D$11),Supuestos!$D$11+SQRT(H652*(Supuestos!$F$11-Supuestos!$D$11)*(Supuestos!$E$11-Supuestos!$D$11)),Supuestos!$F$11-SQRT((1-H652)*(Supuestos!$F$11-Supuestos!$D$11)*(Supuestos!$F$11-Supuestos!$E$11))),IF(Supuestos!$C$11="Uniforme",Supuestos!$D$11+H652*(Supuestos!$E$11-Supuestos!$D$11),IF(Supuestos!$C$11="Lognormal",LOGINV(H652,LN(Supuestos!$D$11)-LN(1+Supuestos!$E$11^2/Supuestos!$D$11^2)/2,SQRT(LN(1+Supuestos!$E$11^2/Supuestos!$D$11^2))),Supuestos!$D$11))))))</f>
        <v/>
      </c>
      <c r="P652" s="33">
        <f>-I652</f>
        <v/>
      </c>
      <c r="Q652" s="33">
        <f>$J652*(1+$K652)^(1-1)*(1-$L652)*(1-$M652)</f>
        <v/>
      </c>
      <c r="R652" s="33">
        <f>$J652*(1+$K652)^(2-1)*(1-$L652)*(1-$M652)</f>
        <v/>
      </c>
      <c r="S652" s="33">
        <f>$J652*(1+$K652)^(3-1)*(1-$L652)*(1-$M652)</f>
        <v/>
      </c>
      <c r="T652" s="33">
        <f>$J652*(1+$K652)^(4-1)*(1-$L652)*(1-$M652)</f>
        <v/>
      </c>
      <c r="U652" s="33">
        <f>$J652*(1+$K652)^(5-1)*(1-$L652)*(1-$M652)+$O652</f>
        <v/>
      </c>
      <c r="V652" s="33">
        <f>P652+NPV($N652,Q652:U652)</f>
        <v/>
      </c>
      <c r="W652" s="32">
        <f>IFERROR(IRR(P652:U652,0.1),"")</f>
        <v/>
      </c>
    </row>
    <row r="653">
      <c r="A653" s="14" t="n">
        <v>649</v>
      </c>
      <c r="B653" s="30">
        <f>RAND()*(1-2E-6)+1E-6</f>
        <v/>
      </c>
      <c r="C653" s="30">
        <f>RAND()*(1-2E-6)+1E-6</f>
        <v/>
      </c>
      <c r="D653" s="30">
        <f>RAND()*(1-2E-6)+1E-6</f>
        <v/>
      </c>
      <c r="E653" s="30">
        <f>RAND()*(1-2E-6)+1E-6</f>
        <v/>
      </c>
      <c r="F653" s="30">
        <f>RAND()*(1-2E-6)+1E-6</f>
        <v/>
      </c>
      <c r="G653" s="30">
        <f>RAND()*(1-2E-6)+1E-6</f>
        <v/>
      </c>
      <c r="H653" s="30">
        <f>RAND()*(1-2E-6)+1E-6</f>
        <v/>
      </c>
      <c r="I653" s="31">
        <f>MIN(IF(Supuestos!$H$5="",1E+99,Supuestos!$H$5),MAX(IF(Supuestos!$G$5="",-1E+99,Supuestos!$G$5),IF(Supuestos!$C$5="Normal",NORMINV(B653,Supuestos!$D$5,Supuestos!$E$5),IF(Supuestos!$C$5="Triangular",IF(B653&lt;(Supuestos!$E$5-Supuestos!$D$5)/(Supuestos!$F$5-Supuestos!$D$5),Supuestos!$D$5+SQRT(B653*(Supuestos!$F$5-Supuestos!$D$5)*(Supuestos!$E$5-Supuestos!$D$5)),Supuestos!$F$5-SQRT((1-B653)*(Supuestos!$F$5-Supuestos!$D$5)*(Supuestos!$F$5-Supuestos!$E$5))),IF(Supuestos!$C$5="Uniforme",Supuestos!$D$5+B653*(Supuestos!$E$5-Supuestos!$D$5),IF(Supuestos!$C$5="Lognormal",LOGINV(B653,LN(Supuestos!$D$5)-LN(1+Supuestos!$E$5^2/Supuestos!$D$5^2)/2,SQRT(LN(1+Supuestos!$E$5^2/Supuestos!$D$5^2))),Supuestos!$D$5))))))</f>
        <v/>
      </c>
      <c r="J653" s="31">
        <f>MIN(IF(Supuestos!$H$6="",1E+99,Supuestos!$H$6),MAX(IF(Supuestos!$G$6="",-1E+99,Supuestos!$G$6),IF(Supuestos!$C$6="Normal",NORMINV(C653,Supuestos!$D$6,Supuestos!$E$6),IF(Supuestos!$C$6="Triangular",IF(C653&lt;(Supuestos!$E$6-Supuestos!$D$6)/(Supuestos!$F$6-Supuestos!$D$6),Supuestos!$D$6+SQRT(C653*(Supuestos!$F$6-Supuestos!$D$6)*(Supuestos!$E$6-Supuestos!$D$6)),Supuestos!$F$6-SQRT((1-C653)*(Supuestos!$F$6-Supuestos!$D$6)*(Supuestos!$F$6-Supuestos!$E$6))),IF(Supuestos!$C$6="Uniforme",Supuestos!$D$6+C653*(Supuestos!$E$6-Supuestos!$D$6),IF(Supuestos!$C$6="Lognormal",LOGINV(C653,LN(Supuestos!$D$6)-LN(1+Supuestos!$E$6^2/Supuestos!$D$6^2)/2,SQRT(LN(1+Supuestos!$E$6^2/Supuestos!$D$6^2))),Supuestos!$D$6))))))</f>
        <v/>
      </c>
      <c r="K653" s="32">
        <f>MIN(IF(Supuestos!$H$7="",1E+99,Supuestos!$H$7),MAX(IF(Supuestos!$G$7="",-1E+99,Supuestos!$G$7),IF(Supuestos!$C$7="Normal",NORMINV(D653,Supuestos!$D$7,Supuestos!$E$7),IF(Supuestos!$C$7="Triangular",IF(D653&lt;(Supuestos!$E$7-Supuestos!$D$7)/(Supuestos!$F$7-Supuestos!$D$7),Supuestos!$D$7+SQRT(D653*(Supuestos!$F$7-Supuestos!$D$7)*(Supuestos!$E$7-Supuestos!$D$7)),Supuestos!$F$7-SQRT((1-D653)*(Supuestos!$F$7-Supuestos!$D$7)*(Supuestos!$F$7-Supuestos!$E$7))),IF(Supuestos!$C$7="Uniforme",Supuestos!$D$7+D653*(Supuestos!$E$7-Supuestos!$D$7),IF(Supuestos!$C$7="Lognormal",LOGINV(D653,LN(Supuestos!$D$7)-LN(1+Supuestos!$E$7^2/Supuestos!$D$7^2)/2,SQRT(LN(1+Supuestos!$E$7^2/Supuestos!$D$7^2))),Supuestos!$D$7))))))</f>
        <v/>
      </c>
      <c r="L653" s="32">
        <f>MIN(IF(Supuestos!$H$8="",1E+99,Supuestos!$H$8),MAX(IF(Supuestos!$G$8="",-1E+99,Supuestos!$G$8),IF(Supuestos!$C$8="Normal",NORMINV(E653,Supuestos!$D$8,Supuestos!$E$8),IF(Supuestos!$C$8="Triangular",IF(E653&lt;(Supuestos!$E$8-Supuestos!$D$8)/(Supuestos!$F$8-Supuestos!$D$8),Supuestos!$D$8+SQRT(E653*(Supuestos!$F$8-Supuestos!$D$8)*(Supuestos!$E$8-Supuestos!$D$8)),Supuestos!$F$8-SQRT((1-E653)*(Supuestos!$F$8-Supuestos!$D$8)*(Supuestos!$F$8-Supuestos!$E$8))),IF(Supuestos!$C$8="Uniforme",Supuestos!$D$8+E653*(Supuestos!$E$8-Supuestos!$D$8),IF(Supuestos!$C$8="Lognormal",LOGINV(E653,LN(Supuestos!$D$8)-LN(1+Supuestos!$E$8^2/Supuestos!$D$8^2)/2,SQRT(LN(1+Supuestos!$E$8^2/Supuestos!$D$8^2))),Supuestos!$D$8))))))</f>
        <v/>
      </c>
      <c r="M653" s="32">
        <f>MIN(IF(Supuestos!$H$9="",1E+99,Supuestos!$H$9),MAX(IF(Supuestos!$G$9="",-1E+99,Supuestos!$G$9),IF(Supuestos!$C$9="Normal",NORMINV(F653,Supuestos!$D$9,Supuestos!$E$9),IF(Supuestos!$C$9="Triangular",IF(F653&lt;(Supuestos!$E$9-Supuestos!$D$9)/(Supuestos!$F$9-Supuestos!$D$9),Supuestos!$D$9+SQRT(F653*(Supuestos!$F$9-Supuestos!$D$9)*(Supuestos!$E$9-Supuestos!$D$9)),Supuestos!$F$9-SQRT((1-F653)*(Supuestos!$F$9-Supuestos!$D$9)*(Supuestos!$F$9-Supuestos!$E$9))),IF(Supuestos!$C$9="Uniforme",Supuestos!$D$9+F653*(Supuestos!$E$9-Supuestos!$D$9),IF(Supuestos!$C$9="Lognormal",LOGINV(F653,LN(Supuestos!$D$9)-LN(1+Supuestos!$E$9^2/Supuestos!$D$9^2)/2,SQRT(LN(1+Supuestos!$E$9^2/Supuestos!$D$9^2))),Supuestos!$D$9))))))</f>
        <v/>
      </c>
      <c r="N653" s="32">
        <f>MIN(IF(Supuestos!$H$10="",1E+99,Supuestos!$H$10),MAX(IF(Supuestos!$G$10="",-1E+99,Supuestos!$G$10),IF(Supuestos!$C$10="Normal",NORMINV(G653,Supuestos!$D$10,Supuestos!$E$10),IF(Supuestos!$C$10="Triangular",IF(G653&lt;(Supuestos!$E$10-Supuestos!$D$10)/(Supuestos!$F$10-Supuestos!$D$10),Supuestos!$D$10+SQRT(G653*(Supuestos!$F$10-Supuestos!$D$10)*(Supuestos!$E$10-Supuestos!$D$10)),Supuestos!$F$10-SQRT((1-G653)*(Supuestos!$F$10-Supuestos!$D$10)*(Supuestos!$F$10-Supuestos!$E$10))),IF(Supuestos!$C$10="Uniforme",Supuestos!$D$10+G653*(Supuestos!$E$10-Supuestos!$D$10),IF(Supuestos!$C$10="Lognormal",LOGINV(G653,LN(Supuestos!$D$10)-LN(1+Supuestos!$E$10^2/Supuestos!$D$10^2)/2,SQRT(LN(1+Supuestos!$E$10^2/Supuestos!$D$10^2))),Supuestos!$D$10))))))</f>
        <v/>
      </c>
      <c r="O653" s="31">
        <f>MIN(IF(Supuestos!$H$11="",1E+99,Supuestos!$H$11),MAX(IF(Supuestos!$G$11="",-1E+99,Supuestos!$G$11),IF(Supuestos!$C$11="Normal",NORMINV(H653,Supuestos!$D$11,Supuestos!$E$11),IF(Supuestos!$C$11="Triangular",IF(H653&lt;(Supuestos!$E$11-Supuestos!$D$11)/(Supuestos!$F$11-Supuestos!$D$11),Supuestos!$D$11+SQRT(H653*(Supuestos!$F$11-Supuestos!$D$11)*(Supuestos!$E$11-Supuestos!$D$11)),Supuestos!$F$11-SQRT((1-H653)*(Supuestos!$F$11-Supuestos!$D$11)*(Supuestos!$F$11-Supuestos!$E$11))),IF(Supuestos!$C$11="Uniforme",Supuestos!$D$11+H653*(Supuestos!$E$11-Supuestos!$D$11),IF(Supuestos!$C$11="Lognormal",LOGINV(H653,LN(Supuestos!$D$11)-LN(1+Supuestos!$E$11^2/Supuestos!$D$11^2)/2,SQRT(LN(1+Supuestos!$E$11^2/Supuestos!$D$11^2))),Supuestos!$D$11))))))</f>
        <v/>
      </c>
      <c r="P653" s="33">
        <f>-I653</f>
        <v/>
      </c>
      <c r="Q653" s="33">
        <f>$J653*(1+$K653)^(1-1)*(1-$L653)*(1-$M653)</f>
        <v/>
      </c>
      <c r="R653" s="33">
        <f>$J653*(1+$K653)^(2-1)*(1-$L653)*(1-$M653)</f>
        <v/>
      </c>
      <c r="S653" s="33">
        <f>$J653*(1+$K653)^(3-1)*(1-$L653)*(1-$M653)</f>
        <v/>
      </c>
      <c r="T653" s="33">
        <f>$J653*(1+$K653)^(4-1)*(1-$L653)*(1-$M653)</f>
        <v/>
      </c>
      <c r="U653" s="33">
        <f>$J653*(1+$K653)^(5-1)*(1-$L653)*(1-$M653)+$O653</f>
        <v/>
      </c>
      <c r="V653" s="33">
        <f>P653+NPV($N653,Q653:U653)</f>
        <v/>
      </c>
      <c r="W653" s="32">
        <f>IFERROR(IRR(P653:U653,0.1),"")</f>
        <v/>
      </c>
    </row>
    <row r="654">
      <c r="A654" s="14" t="n">
        <v>650</v>
      </c>
      <c r="B654" s="30">
        <f>RAND()*(1-2E-6)+1E-6</f>
        <v/>
      </c>
      <c r="C654" s="30">
        <f>RAND()*(1-2E-6)+1E-6</f>
        <v/>
      </c>
      <c r="D654" s="30">
        <f>RAND()*(1-2E-6)+1E-6</f>
        <v/>
      </c>
      <c r="E654" s="30">
        <f>RAND()*(1-2E-6)+1E-6</f>
        <v/>
      </c>
      <c r="F654" s="30">
        <f>RAND()*(1-2E-6)+1E-6</f>
        <v/>
      </c>
      <c r="G654" s="30">
        <f>RAND()*(1-2E-6)+1E-6</f>
        <v/>
      </c>
      <c r="H654" s="30">
        <f>RAND()*(1-2E-6)+1E-6</f>
        <v/>
      </c>
      <c r="I654" s="31">
        <f>MIN(IF(Supuestos!$H$5="",1E+99,Supuestos!$H$5),MAX(IF(Supuestos!$G$5="",-1E+99,Supuestos!$G$5),IF(Supuestos!$C$5="Normal",NORMINV(B654,Supuestos!$D$5,Supuestos!$E$5),IF(Supuestos!$C$5="Triangular",IF(B654&lt;(Supuestos!$E$5-Supuestos!$D$5)/(Supuestos!$F$5-Supuestos!$D$5),Supuestos!$D$5+SQRT(B654*(Supuestos!$F$5-Supuestos!$D$5)*(Supuestos!$E$5-Supuestos!$D$5)),Supuestos!$F$5-SQRT((1-B654)*(Supuestos!$F$5-Supuestos!$D$5)*(Supuestos!$F$5-Supuestos!$E$5))),IF(Supuestos!$C$5="Uniforme",Supuestos!$D$5+B654*(Supuestos!$E$5-Supuestos!$D$5),IF(Supuestos!$C$5="Lognormal",LOGINV(B654,LN(Supuestos!$D$5)-LN(1+Supuestos!$E$5^2/Supuestos!$D$5^2)/2,SQRT(LN(1+Supuestos!$E$5^2/Supuestos!$D$5^2))),Supuestos!$D$5))))))</f>
        <v/>
      </c>
      <c r="J654" s="31">
        <f>MIN(IF(Supuestos!$H$6="",1E+99,Supuestos!$H$6),MAX(IF(Supuestos!$G$6="",-1E+99,Supuestos!$G$6),IF(Supuestos!$C$6="Normal",NORMINV(C654,Supuestos!$D$6,Supuestos!$E$6),IF(Supuestos!$C$6="Triangular",IF(C654&lt;(Supuestos!$E$6-Supuestos!$D$6)/(Supuestos!$F$6-Supuestos!$D$6),Supuestos!$D$6+SQRT(C654*(Supuestos!$F$6-Supuestos!$D$6)*(Supuestos!$E$6-Supuestos!$D$6)),Supuestos!$F$6-SQRT((1-C654)*(Supuestos!$F$6-Supuestos!$D$6)*(Supuestos!$F$6-Supuestos!$E$6))),IF(Supuestos!$C$6="Uniforme",Supuestos!$D$6+C654*(Supuestos!$E$6-Supuestos!$D$6),IF(Supuestos!$C$6="Lognormal",LOGINV(C654,LN(Supuestos!$D$6)-LN(1+Supuestos!$E$6^2/Supuestos!$D$6^2)/2,SQRT(LN(1+Supuestos!$E$6^2/Supuestos!$D$6^2))),Supuestos!$D$6))))))</f>
        <v/>
      </c>
      <c r="K654" s="32">
        <f>MIN(IF(Supuestos!$H$7="",1E+99,Supuestos!$H$7),MAX(IF(Supuestos!$G$7="",-1E+99,Supuestos!$G$7),IF(Supuestos!$C$7="Normal",NORMINV(D654,Supuestos!$D$7,Supuestos!$E$7),IF(Supuestos!$C$7="Triangular",IF(D654&lt;(Supuestos!$E$7-Supuestos!$D$7)/(Supuestos!$F$7-Supuestos!$D$7),Supuestos!$D$7+SQRT(D654*(Supuestos!$F$7-Supuestos!$D$7)*(Supuestos!$E$7-Supuestos!$D$7)),Supuestos!$F$7-SQRT((1-D654)*(Supuestos!$F$7-Supuestos!$D$7)*(Supuestos!$F$7-Supuestos!$E$7))),IF(Supuestos!$C$7="Uniforme",Supuestos!$D$7+D654*(Supuestos!$E$7-Supuestos!$D$7),IF(Supuestos!$C$7="Lognormal",LOGINV(D654,LN(Supuestos!$D$7)-LN(1+Supuestos!$E$7^2/Supuestos!$D$7^2)/2,SQRT(LN(1+Supuestos!$E$7^2/Supuestos!$D$7^2))),Supuestos!$D$7))))))</f>
        <v/>
      </c>
      <c r="L654" s="32">
        <f>MIN(IF(Supuestos!$H$8="",1E+99,Supuestos!$H$8),MAX(IF(Supuestos!$G$8="",-1E+99,Supuestos!$G$8),IF(Supuestos!$C$8="Normal",NORMINV(E654,Supuestos!$D$8,Supuestos!$E$8),IF(Supuestos!$C$8="Triangular",IF(E654&lt;(Supuestos!$E$8-Supuestos!$D$8)/(Supuestos!$F$8-Supuestos!$D$8),Supuestos!$D$8+SQRT(E654*(Supuestos!$F$8-Supuestos!$D$8)*(Supuestos!$E$8-Supuestos!$D$8)),Supuestos!$F$8-SQRT((1-E654)*(Supuestos!$F$8-Supuestos!$D$8)*(Supuestos!$F$8-Supuestos!$E$8))),IF(Supuestos!$C$8="Uniforme",Supuestos!$D$8+E654*(Supuestos!$E$8-Supuestos!$D$8),IF(Supuestos!$C$8="Lognormal",LOGINV(E654,LN(Supuestos!$D$8)-LN(1+Supuestos!$E$8^2/Supuestos!$D$8^2)/2,SQRT(LN(1+Supuestos!$E$8^2/Supuestos!$D$8^2))),Supuestos!$D$8))))))</f>
        <v/>
      </c>
      <c r="M654" s="32">
        <f>MIN(IF(Supuestos!$H$9="",1E+99,Supuestos!$H$9),MAX(IF(Supuestos!$G$9="",-1E+99,Supuestos!$G$9),IF(Supuestos!$C$9="Normal",NORMINV(F654,Supuestos!$D$9,Supuestos!$E$9),IF(Supuestos!$C$9="Triangular",IF(F654&lt;(Supuestos!$E$9-Supuestos!$D$9)/(Supuestos!$F$9-Supuestos!$D$9),Supuestos!$D$9+SQRT(F654*(Supuestos!$F$9-Supuestos!$D$9)*(Supuestos!$E$9-Supuestos!$D$9)),Supuestos!$F$9-SQRT((1-F654)*(Supuestos!$F$9-Supuestos!$D$9)*(Supuestos!$F$9-Supuestos!$E$9))),IF(Supuestos!$C$9="Uniforme",Supuestos!$D$9+F654*(Supuestos!$E$9-Supuestos!$D$9),IF(Supuestos!$C$9="Lognormal",LOGINV(F654,LN(Supuestos!$D$9)-LN(1+Supuestos!$E$9^2/Supuestos!$D$9^2)/2,SQRT(LN(1+Supuestos!$E$9^2/Supuestos!$D$9^2))),Supuestos!$D$9))))))</f>
        <v/>
      </c>
      <c r="N654" s="32">
        <f>MIN(IF(Supuestos!$H$10="",1E+99,Supuestos!$H$10),MAX(IF(Supuestos!$G$10="",-1E+99,Supuestos!$G$10),IF(Supuestos!$C$10="Normal",NORMINV(G654,Supuestos!$D$10,Supuestos!$E$10),IF(Supuestos!$C$10="Triangular",IF(G654&lt;(Supuestos!$E$10-Supuestos!$D$10)/(Supuestos!$F$10-Supuestos!$D$10),Supuestos!$D$10+SQRT(G654*(Supuestos!$F$10-Supuestos!$D$10)*(Supuestos!$E$10-Supuestos!$D$10)),Supuestos!$F$10-SQRT((1-G654)*(Supuestos!$F$10-Supuestos!$D$10)*(Supuestos!$F$10-Supuestos!$E$10))),IF(Supuestos!$C$10="Uniforme",Supuestos!$D$10+G654*(Supuestos!$E$10-Supuestos!$D$10),IF(Supuestos!$C$10="Lognormal",LOGINV(G654,LN(Supuestos!$D$10)-LN(1+Supuestos!$E$10^2/Supuestos!$D$10^2)/2,SQRT(LN(1+Supuestos!$E$10^2/Supuestos!$D$10^2))),Supuestos!$D$10))))))</f>
        <v/>
      </c>
      <c r="O654" s="31">
        <f>MIN(IF(Supuestos!$H$11="",1E+99,Supuestos!$H$11),MAX(IF(Supuestos!$G$11="",-1E+99,Supuestos!$G$11),IF(Supuestos!$C$11="Normal",NORMINV(H654,Supuestos!$D$11,Supuestos!$E$11),IF(Supuestos!$C$11="Triangular",IF(H654&lt;(Supuestos!$E$11-Supuestos!$D$11)/(Supuestos!$F$11-Supuestos!$D$11),Supuestos!$D$11+SQRT(H654*(Supuestos!$F$11-Supuestos!$D$11)*(Supuestos!$E$11-Supuestos!$D$11)),Supuestos!$F$11-SQRT((1-H654)*(Supuestos!$F$11-Supuestos!$D$11)*(Supuestos!$F$11-Supuestos!$E$11))),IF(Supuestos!$C$11="Uniforme",Supuestos!$D$11+H654*(Supuestos!$E$11-Supuestos!$D$11),IF(Supuestos!$C$11="Lognormal",LOGINV(H654,LN(Supuestos!$D$11)-LN(1+Supuestos!$E$11^2/Supuestos!$D$11^2)/2,SQRT(LN(1+Supuestos!$E$11^2/Supuestos!$D$11^2))),Supuestos!$D$11))))))</f>
        <v/>
      </c>
      <c r="P654" s="33">
        <f>-I654</f>
        <v/>
      </c>
      <c r="Q654" s="33">
        <f>$J654*(1+$K654)^(1-1)*(1-$L654)*(1-$M654)</f>
        <v/>
      </c>
      <c r="R654" s="33">
        <f>$J654*(1+$K654)^(2-1)*(1-$L654)*(1-$M654)</f>
        <v/>
      </c>
      <c r="S654" s="33">
        <f>$J654*(1+$K654)^(3-1)*(1-$L654)*(1-$M654)</f>
        <v/>
      </c>
      <c r="T654" s="33">
        <f>$J654*(1+$K654)^(4-1)*(1-$L654)*(1-$M654)</f>
        <v/>
      </c>
      <c r="U654" s="33">
        <f>$J654*(1+$K654)^(5-1)*(1-$L654)*(1-$M654)+$O654</f>
        <v/>
      </c>
      <c r="V654" s="33">
        <f>P654+NPV($N654,Q654:U654)</f>
        <v/>
      </c>
      <c r="W654" s="32">
        <f>IFERROR(IRR(P654:U654,0.1),"")</f>
        <v/>
      </c>
    </row>
    <row r="655">
      <c r="A655" s="14" t="n">
        <v>651</v>
      </c>
      <c r="B655" s="30">
        <f>RAND()*(1-2E-6)+1E-6</f>
        <v/>
      </c>
      <c r="C655" s="30">
        <f>RAND()*(1-2E-6)+1E-6</f>
        <v/>
      </c>
      <c r="D655" s="30">
        <f>RAND()*(1-2E-6)+1E-6</f>
        <v/>
      </c>
      <c r="E655" s="30">
        <f>RAND()*(1-2E-6)+1E-6</f>
        <v/>
      </c>
      <c r="F655" s="30">
        <f>RAND()*(1-2E-6)+1E-6</f>
        <v/>
      </c>
      <c r="G655" s="30">
        <f>RAND()*(1-2E-6)+1E-6</f>
        <v/>
      </c>
      <c r="H655" s="30">
        <f>RAND()*(1-2E-6)+1E-6</f>
        <v/>
      </c>
      <c r="I655" s="31">
        <f>MIN(IF(Supuestos!$H$5="",1E+99,Supuestos!$H$5),MAX(IF(Supuestos!$G$5="",-1E+99,Supuestos!$G$5),IF(Supuestos!$C$5="Normal",NORMINV(B655,Supuestos!$D$5,Supuestos!$E$5),IF(Supuestos!$C$5="Triangular",IF(B655&lt;(Supuestos!$E$5-Supuestos!$D$5)/(Supuestos!$F$5-Supuestos!$D$5),Supuestos!$D$5+SQRT(B655*(Supuestos!$F$5-Supuestos!$D$5)*(Supuestos!$E$5-Supuestos!$D$5)),Supuestos!$F$5-SQRT((1-B655)*(Supuestos!$F$5-Supuestos!$D$5)*(Supuestos!$F$5-Supuestos!$E$5))),IF(Supuestos!$C$5="Uniforme",Supuestos!$D$5+B655*(Supuestos!$E$5-Supuestos!$D$5),IF(Supuestos!$C$5="Lognormal",LOGINV(B655,LN(Supuestos!$D$5)-LN(1+Supuestos!$E$5^2/Supuestos!$D$5^2)/2,SQRT(LN(1+Supuestos!$E$5^2/Supuestos!$D$5^2))),Supuestos!$D$5))))))</f>
        <v/>
      </c>
      <c r="J655" s="31">
        <f>MIN(IF(Supuestos!$H$6="",1E+99,Supuestos!$H$6),MAX(IF(Supuestos!$G$6="",-1E+99,Supuestos!$G$6),IF(Supuestos!$C$6="Normal",NORMINV(C655,Supuestos!$D$6,Supuestos!$E$6),IF(Supuestos!$C$6="Triangular",IF(C655&lt;(Supuestos!$E$6-Supuestos!$D$6)/(Supuestos!$F$6-Supuestos!$D$6),Supuestos!$D$6+SQRT(C655*(Supuestos!$F$6-Supuestos!$D$6)*(Supuestos!$E$6-Supuestos!$D$6)),Supuestos!$F$6-SQRT((1-C655)*(Supuestos!$F$6-Supuestos!$D$6)*(Supuestos!$F$6-Supuestos!$E$6))),IF(Supuestos!$C$6="Uniforme",Supuestos!$D$6+C655*(Supuestos!$E$6-Supuestos!$D$6),IF(Supuestos!$C$6="Lognormal",LOGINV(C655,LN(Supuestos!$D$6)-LN(1+Supuestos!$E$6^2/Supuestos!$D$6^2)/2,SQRT(LN(1+Supuestos!$E$6^2/Supuestos!$D$6^2))),Supuestos!$D$6))))))</f>
        <v/>
      </c>
      <c r="K655" s="32">
        <f>MIN(IF(Supuestos!$H$7="",1E+99,Supuestos!$H$7),MAX(IF(Supuestos!$G$7="",-1E+99,Supuestos!$G$7),IF(Supuestos!$C$7="Normal",NORMINV(D655,Supuestos!$D$7,Supuestos!$E$7),IF(Supuestos!$C$7="Triangular",IF(D655&lt;(Supuestos!$E$7-Supuestos!$D$7)/(Supuestos!$F$7-Supuestos!$D$7),Supuestos!$D$7+SQRT(D655*(Supuestos!$F$7-Supuestos!$D$7)*(Supuestos!$E$7-Supuestos!$D$7)),Supuestos!$F$7-SQRT((1-D655)*(Supuestos!$F$7-Supuestos!$D$7)*(Supuestos!$F$7-Supuestos!$E$7))),IF(Supuestos!$C$7="Uniforme",Supuestos!$D$7+D655*(Supuestos!$E$7-Supuestos!$D$7),IF(Supuestos!$C$7="Lognormal",LOGINV(D655,LN(Supuestos!$D$7)-LN(1+Supuestos!$E$7^2/Supuestos!$D$7^2)/2,SQRT(LN(1+Supuestos!$E$7^2/Supuestos!$D$7^2))),Supuestos!$D$7))))))</f>
        <v/>
      </c>
      <c r="L655" s="32">
        <f>MIN(IF(Supuestos!$H$8="",1E+99,Supuestos!$H$8),MAX(IF(Supuestos!$G$8="",-1E+99,Supuestos!$G$8),IF(Supuestos!$C$8="Normal",NORMINV(E655,Supuestos!$D$8,Supuestos!$E$8),IF(Supuestos!$C$8="Triangular",IF(E655&lt;(Supuestos!$E$8-Supuestos!$D$8)/(Supuestos!$F$8-Supuestos!$D$8),Supuestos!$D$8+SQRT(E655*(Supuestos!$F$8-Supuestos!$D$8)*(Supuestos!$E$8-Supuestos!$D$8)),Supuestos!$F$8-SQRT((1-E655)*(Supuestos!$F$8-Supuestos!$D$8)*(Supuestos!$F$8-Supuestos!$E$8))),IF(Supuestos!$C$8="Uniforme",Supuestos!$D$8+E655*(Supuestos!$E$8-Supuestos!$D$8),IF(Supuestos!$C$8="Lognormal",LOGINV(E655,LN(Supuestos!$D$8)-LN(1+Supuestos!$E$8^2/Supuestos!$D$8^2)/2,SQRT(LN(1+Supuestos!$E$8^2/Supuestos!$D$8^2))),Supuestos!$D$8))))))</f>
        <v/>
      </c>
      <c r="M655" s="32">
        <f>MIN(IF(Supuestos!$H$9="",1E+99,Supuestos!$H$9),MAX(IF(Supuestos!$G$9="",-1E+99,Supuestos!$G$9),IF(Supuestos!$C$9="Normal",NORMINV(F655,Supuestos!$D$9,Supuestos!$E$9),IF(Supuestos!$C$9="Triangular",IF(F655&lt;(Supuestos!$E$9-Supuestos!$D$9)/(Supuestos!$F$9-Supuestos!$D$9),Supuestos!$D$9+SQRT(F655*(Supuestos!$F$9-Supuestos!$D$9)*(Supuestos!$E$9-Supuestos!$D$9)),Supuestos!$F$9-SQRT((1-F655)*(Supuestos!$F$9-Supuestos!$D$9)*(Supuestos!$F$9-Supuestos!$E$9))),IF(Supuestos!$C$9="Uniforme",Supuestos!$D$9+F655*(Supuestos!$E$9-Supuestos!$D$9),IF(Supuestos!$C$9="Lognormal",LOGINV(F655,LN(Supuestos!$D$9)-LN(1+Supuestos!$E$9^2/Supuestos!$D$9^2)/2,SQRT(LN(1+Supuestos!$E$9^2/Supuestos!$D$9^2))),Supuestos!$D$9))))))</f>
        <v/>
      </c>
      <c r="N655" s="32">
        <f>MIN(IF(Supuestos!$H$10="",1E+99,Supuestos!$H$10),MAX(IF(Supuestos!$G$10="",-1E+99,Supuestos!$G$10),IF(Supuestos!$C$10="Normal",NORMINV(G655,Supuestos!$D$10,Supuestos!$E$10),IF(Supuestos!$C$10="Triangular",IF(G655&lt;(Supuestos!$E$10-Supuestos!$D$10)/(Supuestos!$F$10-Supuestos!$D$10),Supuestos!$D$10+SQRT(G655*(Supuestos!$F$10-Supuestos!$D$10)*(Supuestos!$E$10-Supuestos!$D$10)),Supuestos!$F$10-SQRT((1-G655)*(Supuestos!$F$10-Supuestos!$D$10)*(Supuestos!$F$10-Supuestos!$E$10))),IF(Supuestos!$C$10="Uniforme",Supuestos!$D$10+G655*(Supuestos!$E$10-Supuestos!$D$10),IF(Supuestos!$C$10="Lognormal",LOGINV(G655,LN(Supuestos!$D$10)-LN(1+Supuestos!$E$10^2/Supuestos!$D$10^2)/2,SQRT(LN(1+Supuestos!$E$10^2/Supuestos!$D$10^2))),Supuestos!$D$10))))))</f>
        <v/>
      </c>
      <c r="O655" s="31">
        <f>MIN(IF(Supuestos!$H$11="",1E+99,Supuestos!$H$11),MAX(IF(Supuestos!$G$11="",-1E+99,Supuestos!$G$11),IF(Supuestos!$C$11="Normal",NORMINV(H655,Supuestos!$D$11,Supuestos!$E$11),IF(Supuestos!$C$11="Triangular",IF(H655&lt;(Supuestos!$E$11-Supuestos!$D$11)/(Supuestos!$F$11-Supuestos!$D$11),Supuestos!$D$11+SQRT(H655*(Supuestos!$F$11-Supuestos!$D$11)*(Supuestos!$E$11-Supuestos!$D$11)),Supuestos!$F$11-SQRT((1-H655)*(Supuestos!$F$11-Supuestos!$D$11)*(Supuestos!$F$11-Supuestos!$E$11))),IF(Supuestos!$C$11="Uniforme",Supuestos!$D$11+H655*(Supuestos!$E$11-Supuestos!$D$11),IF(Supuestos!$C$11="Lognormal",LOGINV(H655,LN(Supuestos!$D$11)-LN(1+Supuestos!$E$11^2/Supuestos!$D$11^2)/2,SQRT(LN(1+Supuestos!$E$11^2/Supuestos!$D$11^2))),Supuestos!$D$11))))))</f>
        <v/>
      </c>
      <c r="P655" s="33">
        <f>-I655</f>
        <v/>
      </c>
      <c r="Q655" s="33">
        <f>$J655*(1+$K655)^(1-1)*(1-$L655)*(1-$M655)</f>
        <v/>
      </c>
      <c r="R655" s="33">
        <f>$J655*(1+$K655)^(2-1)*(1-$L655)*(1-$M655)</f>
        <v/>
      </c>
      <c r="S655" s="33">
        <f>$J655*(1+$K655)^(3-1)*(1-$L655)*(1-$M655)</f>
        <v/>
      </c>
      <c r="T655" s="33">
        <f>$J655*(1+$K655)^(4-1)*(1-$L655)*(1-$M655)</f>
        <v/>
      </c>
      <c r="U655" s="33">
        <f>$J655*(1+$K655)^(5-1)*(1-$L655)*(1-$M655)+$O655</f>
        <v/>
      </c>
      <c r="V655" s="33">
        <f>P655+NPV($N655,Q655:U655)</f>
        <v/>
      </c>
      <c r="W655" s="32">
        <f>IFERROR(IRR(P655:U655,0.1),"")</f>
        <v/>
      </c>
    </row>
    <row r="656">
      <c r="A656" s="14" t="n">
        <v>652</v>
      </c>
      <c r="B656" s="30">
        <f>RAND()*(1-2E-6)+1E-6</f>
        <v/>
      </c>
      <c r="C656" s="30">
        <f>RAND()*(1-2E-6)+1E-6</f>
        <v/>
      </c>
      <c r="D656" s="30">
        <f>RAND()*(1-2E-6)+1E-6</f>
        <v/>
      </c>
      <c r="E656" s="30">
        <f>RAND()*(1-2E-6)+1E-6</f>
        <v/>
      </c>
      <c r="F656" s="30">
        <f>RAND()*(1-2E-6)+1E-6</f>
        <v/>
      </c>
      <c r="G656" s="30">
        <f>RAND()*(1-2E-6)+1E-6</f>
        <v/>
      </c>
      <c r="H656" s="30">
        <f>RAND()*(1-2E-6)+1E-6</f>
        <v/>
      </c>
      <c r="I656" s="31">
        <f>MIN(IF(Supuestos!$H$5="",1E+99,Supuestos!$H$5),MAX(IF(Supuestos!$G$5="",-1E+99,Supuestos!$G$5),IF(Supuestos!$C$5="Normal",NORMINV(B656,Supuestos!$D$5,Supuestos!$E$5),IF(Supuestos!$C$5="Triangular",IF(B656&lt;(Supuestos!$E$5-Supuestos!$D$5)/(Supuestos!$F$5-Supuestos!$D$5),Supuestos!$D$5+SQRT(B656*(Supuestos!$F$5-Supuestos!$D$5)*(Supuestos!$E$5-Supuestos!$D$5)),Supuestos!$F$5-SQRT((1-B656)*(Supuestos!$F$5-Supuestos!$D$5)*(Supuestos!$F$5-Supuestos!$E$5))),IF(Supuestos!$C$5="Uniforme",Supuestos!$D$5+B656*(Supuestos!$E$5-Supuestos!$D$5),IF(Supuestos!$C$5="Lognormal",LOGINV(B656,LN(Supuestos!$D$5)-LN(1+Supuestos!$E$5^2/Supuestos!$D$5^2)/2,SQRT(LN(1+Supuestos!$E$5^2/Supuestos!$D$5^2))),Supuestos!$D$5))))))</f>
        <v/>
      </c>
      <c r="J656" s="31">
        <f>MIN(IF(Supuestos!$H$6="",1E+99,Supuestos!$H$6),MAX(IF(Supuestos!$G$6="",-1E+99,Supuestos!$G$6),IF(Supuestos!$C$6="Normal",NORMINV(C656,Supuestos!$D$6,Supuestos!$E$6),IF(Supuestos!$C$6="Triangular",IF(C656&lt;(Supuestos!$E$6-Supuestos!$D$6)/(Supuestos!$F$6-Supuestos!$D$6),Supuestos!$D$6+SQRT(C656*(Supuestos!$F$6-Supuestos!$D$6)*(Supuestos!$E$6-Supuestos!$D$6)),Supuestos!$F$6-SQRT((1-C656)*(Supuestos!$F$6-Supuestos!$D$6)*(Supuestos!$F$6-Supuestos!$E$6))),IF(Supuestos!$C$6="Uniforme",Supuestos!$D$6+C656*(Supuestos!$E$6-Supuestos!$D$6),IF(Supuestos!$C$6="Lognormal",LOGINV(C656,LN(Supuestos!$D$6)-LN(1+Supuestos!$E$6^2/Supuestos!$D$6^2)/2,SQRT(LN(1+Supuestos!$E$6^2/Supuestos!$D$6^2))),Supuestos!$D$6))))))</f>
        <v/>
      </c>
      <c r="K656" s="32">
        <f>MIN(IF(Supuestos!$H$7="",1E+99,Supuestos!$H$7),MAX(IF(Supuestos!$G$7="",-1E+99,Supuestos!$G$7),IF(Supuestos!$C$7="Normal",NORMINV(D656,Supuestos!$D$7,Supuestos!$E$7),IF(Supuestos!$C$7="Triangular",IF(D656&lt;(Supuestos!$E$7-Supuestos!$D$7)/(Supuestos!$F$7-Supuestos!$D$7),Supuestos!$D$7+SQRT(D656*(Supuestos!$F$7-Supuestos!$D$7)*(Supuestos!$E$7-Supuestos!$D$7)),Supuestos!$F$7-SQRT((1-D656)*(Supuestos!$F$7-Supuestos!$D$7)*(Supuestos!$F$7-Supuestos!$E$7))),IF(Supuestos!$C$7="Uniforme",Supuestos!$D$7+D656*(Supuestos!$E$7-Supuestos!$D$7),IF(Supuestos!$C$7="Lognormal",LOGINV(D656,LN(Supuestos!$D$7)-LN(1+Supuestos!$E$7^2/Supuestos!$D$7^2)/2,SQRT(LN(1+Supuestos!$E$7^2/Supuestos!$D$7^2))),Supuestos!$D$7))))))</f>
        <v/>
      </c>
      <c r="L656" s="32">
        <f>MIN(IF(Supuestos!$H$8="",1E+99,Supuestos!$H$8),MAX(IF(Supuestos!$G$8="",-1E+99,Supuestos!$G$8),IF(Supuestos!$C$8="Normal",NORMINV(E656,Supuestos!$D$8,Supuestos!$E$8),IF(Supuestos!$C$8="Triangular",IF(E656&lt;(Supuestos!$E$8-Supuestos!$D$8)/(Supuestos!$F$8-Supuestos!$D$8),Supuestos!$D$8+SQRT(E656*(Supuestos!$F$8-Supuestos!$D$8)*(Supuestos!$E$8-Supuestos!$D$8)),Supuestos!$F$8-SQRT((1-E656)*(Supuestos!$F$8-Supuestos!$D$8)*(Supuestos!$F$8-Supuestos!$E$8))),IF(Supuestos!$C$8="Uniforme",Supuestos!$D$8+E656*(Supuestos!$E$8-Supuestos!$D$8),IF(Supuestos!$C$8="Lognormal",LOGINV(E656,LN(Supuestos!$D$8)-LN(1+Supuestos!$E$8^2/Supuestos!$D$8^2)/2,SQRT(LN(1+Supuestos!$E$8^2/Supuestos!$D$8^2))),Supuestos!$D$8))))))</f>
        <v/>
      </c>
      <c r="M656" s="32">
        <f>MIN(IF(Supuestos!$H$9="",1E+99,Supuestos!$H$9),MAX(IF(Supuestos!$G$9="",-1E+99,Supuestos!$G$9),IF(Supuestos!$C$9="Normal",NORMINV(F656,Supuestos!$D$9,Supuestos!$E$9),IF(Supuestos!$C$9="Triangular",IF(F656&lt;(Supuestos!$E$9-Supuestos!$D$9)/(Supuestos!$F$9-Supuestos!$D$9),Supuestos!$D$9+SQRT(F656*(Supuestos!$F$9-Supuestos!$D$9)*(Supuestos!$E$9-Supuestos!$D$9)),Supuestos!$F$9-SQRT((1-F656)*(Supuestos!$F$9-Supuestos!$D$9)*(Supuestos!$F$9-Supuestos!$E$9))),IF(Supuestos!$C$9="Uniforme",Supuestos!$D$9+F656*(Supuestos!$E$9-Supuestos!$D$9),IF(Supuestos!$C$9="Lognormal",LOGINV(F656,LN(Supuestos!$D$9)-LN(1+Supuestos!$E$9^2/Supuestos!$D$9^2)/2,SQRT(LN(1+Supuestos!$E$9^2/Supuestos!$D$9^2))),Supuestos!$D$9))))))</f>
        <v/>
      </c>
      <c r="N656" s="32">
        <f>MIN(IF(Supuestos!$H$10="",1E+99,Supuestos!$H$10),MAX(IF(Supuestos!$G$10="",-1E+99,Supuestos!$G$10),IF(Supuestos!$C$10="Normal",NORMINV(G656,Supuestos!$D$10,Supuestos!$E$10),IF(Supuestos!$C$10="Triangular",IF(G656&lt;(Supuestos!$E$10-Supuestos!$D$10)/(Supuestos!$F$10-Supuestos!$D$10),Supuestos!$D$10+SQRT(G656*(Supuestos!$F$10-Supuestos!$D$10)*(Supuestos!$E$10-Supuestos!$D$10)),Supuestos!$F$10-SQRT((1-G656)*(Supuestos!$F$10-Supuestos!$D$10)*(Supuestos!$F$10-Supuestos!$E$10))),IF(Supuestos!$C$10="Uniforme",Supuestos!$D$10+G656*(Supuestos!$E$10-Supuestos!$D$10),IF(Supuestos!$C$10="Lognormal",LOGINV(G656,LN(Supuestos!$D$10)-LN(1+Supuestos!$E$10^2/Supuestos!$D$10^2)/2,SQRT(LN(1+Supuestos!$E$10^2/Supuestos!$D$10^2))),Supuestos!$D$10))))))</f>
        <v/>
      </c>
      <c r="O656" s="31">
        <f>MIN(IF(Supuestos!$H$11="",1E+99,Supuestos!$H$11),MAX(IF(Supuestos!$G$11="",-1E+99,Supuestos!$G$11),IF(Supuestos!$C$11="Normal",NORMINV(H656,Supuestos!$D$11,Supuestos!$E$11),IF(Supuestos!$C$11="Triangular",IF(H656&lt;(Supuestos!$E$11-Supuestos!$D$11)/(Supuestos!$F$11-Supuestos!$D$11),Supuestos!$D$11+SQRT(H656*(Supuestos!$F$11-Supuestos!$D$11)*(Supuestos!$E$11-Supuestos!$D$11)),Supuestos!$F$11-SQRT((1-H656)*(Supuestos!$F$11-Supuestos!$D$11)*(Supuestos!$F$11-Supuestos!$E$11))),IF(Supuestos!$C$11="Uniforme",Supuestos!$D$11+H656*(Supuestos!$E$11-Supuestos!$D$11),IF(Supuestos!$C$11="Lognormal",LOGINV(H656,LN(Supuestos!$D$11)-LN(1+Supuestos!$E$11^2/Supuestos!$D$11^2)/2,SQRT(LN(1+Supuestos!$E$11^2/Supuestos!$D$11^2))),Supuestos!$D$11))))))</f>
        <v/>
      </c>
      <c r="P656" s="33">
        <f>-I656</f>
        <v/>
      </c>
      <c r="Q656" s="33">
        <f>$J656*(1+$K656)^(1-1)*(1-$L656)*(1-$M656)</f>
        <v/>
      </c>
      <c r="R656" s="33">
        <f>$J656*(1+$K656)^(2-1)*(1-$L656)*(1-$M656)</f>
        <v/>
      </c>
      <c r="S656" s="33">
        <f>$J656*(1+$K656)^(3-1)*(1-$L656)*(1-$M656)</f>
        <v/>
      </c>
      <c r="T656" s="33">
        <f>$J656*(1+$K656)^(4-1)*(1-$L656)*(1-$M656)</f>
        <v/>
      </c>
      <c r="U656" s="33">
        <f>$J656*(1+$K656)^(5-1)*(1-$L656)*(1-$M656)+$O656</f>
        <v/>
      </c>
      <c r="V656" s="33">
        <f>P656+NPV($N656,Q656:U656)</f>
        <v/>
      </c>
      <c r="W656" s="32">
        <f>IFERROR(IRR(P656:U656,0.1),"")</f>
        <v/>
      </c>
    </row>
    <row r="657">
      <c r="A657" s="14" t="n">
        <v>653</v>
      </c>
      <c r="B657" s="30">
        <f>RAND()*(1-2E-6)+1E-6</f>
        <v/>
      </c>
      <c r="C657" s="30">
        <f>RAND()*(1-2E-6)+1E-6</f>
        <v/>
      </c>
      <c r="D657" s="30">
        <f>RAND()*(1-2E-6)+1E-6</f>
        <v/>
      </c>
      <c r="E657" s="30">
        <f>RAND()*(1-2E-6)+1E-6</f>
        <v/>
      </c>
      <c r="F657" s="30">
        <f>RAND()*(1-2E-6)+1E-6</f>
        <v/>
      </c>
      <c r="G657" s="30">
        <f>RAND()*(1-2E-6)+1E-6</f>
        <v/>
      </c>
      <c r="H657" s="30">
        <f>RAND()*(1-2E-6)+1E-6</f>
        <v/>
      </c>
      <c r="I657" s="31">
        <f>MIN(IF(Supuestos!$H$5="",1E+99,Supuestos!$H$5),MAX(IF(Supuestos!$G$5="",-1E+99,Supuestos!$G$5),IF(Supuestos!$C$5="Normal",NORMINV(B657,Supuestos!$D$5,Supuestos!$E$5),IF(Supuestos!$C$5="Triangular",IF(B657&lt;(Supuestos!$E$5-Supuestos!$D$5)/(Supuestos!$F$5-Supuestos!$D$5),Supuestos!$D$5+SQRT(B657*(Supuestos!$F$5-Supuestos!$D$5)*(Supuestos!$E$5-Supuestos!$D$5)),Supuestos!$F$5-SQRT((1-B657)*(Supuestos!$F$5-Supuestos!$D$5)*(Supuestos!$F$5-Supuestos!$E$5))),IF(Supuestos!$C$5="Uniforme",Supuestos!$D$5+B657*(Supuestos!$E$5-Supuestos!$D$5),IF(Supuestos!$C$5="Lognormal",LOGINV(B657,LN(Supuestos!$D$5)-LN(1+Supuestos!$E$5^2/Supuestos!$D$5^2)/2,SQRT(LN(1+Supuestos!$E$5^2/Supuestos!$D$5^2))),Supuestos!$D$5))))))</f>
        <v/>
      </c>
      <c r="J657" s="31">
        <f>MIN(IF(Supuestos!$H$6="",1E+99,Supuestos!$H$6),MAX(IF(Supuestos!$G$6="",-1E+99,Supuestos!$G$6),IF(Supuestos!$C$6="Normal",NORMINV(C657,Supuestos!$D$6,Supuestos!$E$6),IF(Supuestos!$C$6="Triangular",IF(C657&lt;(Supuestos!$E$6-Supuestos!$D$6)/(Supuestos!$F$6-Supuestos!$D$6),Supuestos!$D$6+SQRT(C657*(Supuestos!$F$6-Supuestos!$D$6)*(Supuestos!$E$6-Supuestos!$D$6)),Supuestos!$F$6-SQRT((1-C657)*(Supuestos!$F$6-Supuestos!$D$6)*(Supuestos!$F$6-Supuestos!$E$6))),IF(Supuestos!$C$6="Uniforme",Supuestos!$D$6+C657*(Supuestos!$E$6-Supuestos!$D$6),IF(Supuestos!$C$6="Lognormal",LOGINV(C657,LN(Supuestos!$D$6)-LN(1+Supuestos!$E$6^2/Supuestos!$D$6^2)/2,SQRT(LN(1+Supuestos!$E$6^2/Supuestos!$D$6^2))),Supuestos!$D$6))))))</f>
        <v/>
      </c>
      <c r="K657" s="32">
        <f>MIN(IF(Supuestos!$H$7="",1E+99,Supuestos!$H$7),MAX(IF(Supuestos!$G$7="",-1E+99,Supuestos!$G$7),IF(Supuestos!$C$7="Normal",NORMINV(D657,Supuestos!$D$7,Supuestos!$E$7),IF(Supuestos!$C$7="Triangular",IF(D657&lt;(Supuestos!$E$7-Supuestos!$D$7)/(Supuestos!$F$7-Supuestos!$D$7),Supuestos!$D$7+SQRT(D657*(Supuestos!$F$7-Supuestos!$D$7)*(Supuestos!$E$7-Supuestos!$D$7)),Supuestos!$F$7-SQRT((1-D657)*(Supuestos!$F$7-Supuestos!$D$7)*(Supuestos!$F$7-Supuestos!$E$7))),IF(Supuestos!$C$7="Uniforme",Supuestos!$D$7+D657*(Supuestos!$E$7-Supuestos!$D$7),IF(Supuestos!$C$7="Lognormal",LOGINV(D657,LN(Supuestos!$D$7)-LN(1+Supuestos!$E$7^2/Supuestos!$D$7^2)/2,SQRT(LN(1+Supuestos!$E$7^2/Supuestos!$D$7^2))),Supuestos!$D$7))))))</f>
        <v/>
      </c>
      <c r="L657" s="32">
        <f>MIN(IF(Supuestos!$H$8="",1E+99,Supuestos!$H$8),MAX(IF(Supuestos!$G$8="",-1E+99,Supuestos!$G$8),IF(Supuestos!$C$8="Normal",NORMINV(E657,Supuestos!$D$8,Supuestos!$E$8),IF(Supuestos!$C$8="Triangular",IF(E657&lt;(Supuestos!$E$8-Supuestos!$D$8)/(Supuestos!$F$8-Supuestos!$D$8),Supuestos!$D$8+SQRT(E657*(Supuestos!$F$8-Supuestos!$D$8)*(Supuestos!$E$8-Supuestos!$D$8)),Supuestos!$F$8-SQRT((1-E657)*(Supuestos!$F$8-Supuestos!$D$8)*(Supuestos!$F$8-Supuestos!$E$8))),IF(Supuestos!$C$8="Uniforme",Supuestos!$D$8+E657*(Supuestos!$E$8-Supuestos!$D$8),IF(Supuestos!$C$8="Lognormal",LOGINV(E657,LN(Supuestos!$D$8)-LN(1+Supuestos!$E$8^2/Supuestos!$D$8^2)/2,SQRT(LN(1+Supuestos!$E$8^2/Supuestos!$D$8^2))),Supuestos!$D$8))))))</f>
        <v/>
      </c>
      <c r="M657" s="32">
        <f>MIN(IF(Supuestos!$H$9="",1E+99,Supuestos!$H$9),MAX(IF(Supuestos!$G$9="",-1E+99,Supuestos!$G$9),IF(Supuestos!$C$9="Normal",NORMINV(F657,Supuestos!$D$9,Supuestos!$E$9),IF(Supuestos!$C$9="Triangular",IF(F657&lt;(Supuestos!$E$9-Supuestos!$D$9)/(Supuestos!$F$9-Supuestos!$D$9),Supuestos!$D$9+SQRT(F657*(Supuestos!$F$9-Supuestos!$D$9)*(Supuestos!$E$9-Supuestos!$D$9)),Supuestos!$F$9-SQRT((1-F657)*(Supuestos!$F$9-Supuestos!$D$9)*(Supuestos!$F$9-Supuestos!$E$9))),IF(Supuestos!$C$9="Uniforme",Supuestos!$D$9+F657*(Supuestos!$E$9-Supuestos!$D$9),IF(Supuestos!$C$9="Lognormal",LOGINV(F657,LN(Supuestos!$D$9)-LN(1+Supuestos!$E$9^2/Supuestos!$D$9^2)/2,SQRT(LN(1+Supuestos!$E$9^2/Supuestos!$D$9^2))),Supuestos!$D$9))))))</f>
        <v/>
      </c>
      <c r="N657" s="32">
        <f>MIN(IF(Supuestos!$H$10="",1E+99,Supuestos!$H$10),MAX(IF(Supuestos!$G$10="",-1E+99,Supuestos!$G$10),IF(Supuestos!$C$10="Normal",NORMINV(G657,Supuestos!$D$10,Supuestos!$E$10),IF(Supuestos!$C$10="Triangular",IF(G657&lt;(Supuestos!$E$10-Supuestos!$D$10)/(Supuestos!$F$10-Supuestos!$D$10),Supuestos!$D$10+SQRT(G657*(Supuestos!$F$10-Supuestos!$D$10)*(Supuestos!$E$10-Supuestos!$D$10)),Supuestos!$F$10-SQRT((1-G657)*(Supuestos!$F$10-Supuestos!$D$10)*(Supuestos!$F$10-Supuestos!$E$10))),IF(Supuestos!$C$10="Uniforme",Supuestos!$D$10+G657*(Supuestos!$E$10-Supuestos!$D$10),IF(Supuestos!$C$10="Lognormal",LOGINV(G657,LN(Supuestos!$D$10)-LN(1+Supuestos!$E$10^2/Supuestos!$D$10^2)/2,SQRT(LN(1+Supuestos!$E$10^2/Supuestos!$D$10^2))),Supuestos!$D$10))))))</f>
        <v/>
      </c>
      <c r="O657" s="31">
        <f>MIN(IF(Supuestos!$H$11="",1E+99,Supuestos!$H$11),MAX(IF(Supuestos!$G$11="",-1E+99,Supuestos!$G$11),IF(Supuestos!$C$11="Normal",NORMINV(H657,Supuestos!$D$11,Supuestos!$E$11),IF(Supuestos!$C$11="Triangular",IF(H657&lt;(Supuestos!$E$11-Supuestos!$D$11)/(Supuestos!$F$11-Supuestos!$D$11),Supuestos!$D$11+SQRT(H657*(Supuestos!$F$11-Supuestos!$D$11)*(Supuestos!$E$11-Supuestos!$D$11)),Supuestos!$F$11-SQRT((1-H657)*(Supuestos!$F$11-Supuestos!$D$11)*(Supuestos!$F$11-Supuestos!$E$11))),IF(Supuestos!$C$11="Uniforme",Supuestos!$D$11+H657*(Supuestos!$E$11-Supuestos!$D$11),IF(Supuestos!$C$11="Lognormal",LOGINV(H657,LN(Supuestos!$D$11)-LN(1+Supuestos!$E$11^2/Supuestos!$D$11^2)/2,SQRT(LN(1+Supuestos!$E$11^2/Supuestos!$D$11^2))),Supuestos!$D$11))))))</f>
        <v/>
      </c>
      <c r="P657" s="33">
        <f>-I657</f>
        <v/>
      </c>
      <c r="Q657" s="33">
        <f>$J657*(1+$K657)^(1-1)*(1-$L657)*(1-$M657)</f>
        <v/>
      </c>
      <c r="R657" s="33">
        <f>$J657*(1+$K657)^(2-1)*(1-$L657)*(1-$M657)</f>
        <v/>
      </c>
      <c r="S657" s="33">
        <f>$J657*(1+$K657)^(3-1)*(1-$L657)*(1-$M657)</f>
        <v/>
      </c>
      <c r="T657" s="33">
        <f>$J657*(1+$K657)^(4-1)*(1-$L657)*(1-$M657)</f>
        <v/>
      </c>
      <c r="U657" s="33">
        <f>$J657*(1+$K657)^(5-1)*(1-$L657)*(1-$M657)+$O657</f>
        <v/>
      </c>
      <c r="V657" s="33">
        <f>P657+NPV($N657,Q657:U657)</f>
        <v/>
      </c>
      <c r="W657" s="32">
        <f>IFERROR(IRR(P657:U657,0.1),"")</f>
        <v/>
      </c>
    </row>
    <row r="658">
      <c r="A658" s="14" t="n">
        <v>654</v>
      </c>
      <c r="B658" s="30">
        <f>RAND()*(1-2E-6)+1E-6</f>
        <v/>
      </c>
      <c r="C658" s="30">
        <f>RAND()*(1-2E-6)+1E-6</f>
        <v/>
      </c>
      <c r="D658" s="30">
        <f>RAND()*(1-2E-6)+1E-6</f>
        <v/>
      </c>
      <c r="E658" s="30">
        <f>RAND()*(1-2E-6)+1E-6</f>
        <v/>
      </c>
      <c r="F658" s="30">
        <f>RAND()*(1-2E-6)+1E-6</f>
        <v/>
      </c>
      <c r="G658" s="30">
        <f>RAND()*(1-2E-6)+1E-6</f>
        <v/>
      </c>
      <c r="H658" s="30">
        <f>RAND()*(1-2E-6)+1E-6</f>
        <v/>
      </c>
      <c r="I658" s="31">
        <f>MIN(IF(Supuestos!$H$5="",1E+99,Supuestos!$H$5),MAX(IF(Supuestos!$G$5="",-1E+99,Supuestos!$G$5),IF(Supuestos!$C$5="Normal",NORMINV(B658,Supuestos!$D$5,Supuestos!$E$5),IF(Supuestos!$C$5="Triangular",IF(B658&lt;(Supuestos!$E$5-Supuestos!$D$5)/(Supuestos!$F$5-Supuestos!$D$5),Supuestos!$D$5+SQRT(B658*(Supuestos!$F$5-Supuestos!$D$5)*(Supuestos!$E$5-Supuestos!$D$5)),Supuestos!$F$5-SQRT((1-B658)*(Supuestos!$F$5-Supuestos!$D$5)*(Supuestos!$F$5-Supuestos!$E$5))),IF(Supuestos!$C$5="Uniforme",Supuestos!$D$5+B658*(Supuestos!$E$5-Supuestos!$D$5),IF(Supuestos!$C$5="Lognormal",LOGINV(B658,LN(Supuestos!$D$5)-LN(1+Supuestos!$E$5^2/Supuestos!$D$5^2)/2,SQRT(LN(1+Supuestos!$E$5^2/Supuestos!$D$5^2))),Supuestos!$D$5))))))</f>
        <v/>
      </c>
      <c r="J658" s="31">
        <f>MIN(IF(Supuestos!$H$6="",1E+99,Supuestos!$H$6),MAX(IF(Supuestos!$G$6="",-1E+99,Supuestos!$G$6),IF(Supuestos!$C$6="Normal",NORMINV(C658,Supuestos!$D$6,Supuestos!$E$6),IF(Supuestos!$C$6="Triangular",IF(C658&lt;(Supuestos!$E$6-Supuestos!$D$6)/(Supuestos!$F$6-Supuestos!$D$6),Supuestos!$D$6+SQRT(C658*(Supuestos!$F$6-Supuestos!$D$6)*(Supuestos!$E$6-Supuestos!$D$6)),Supuestos!$F$6-SQRT((1-C658)*(Supuestos!$F$6-Supuestos!$D$6)*(Supuestos!$F$6-Supuestos!$E$6))),IF(Supuestos!$C$6="Uniforme",Supuestos!$D$6+C658*(Supuestos!$E$6-Supuestos!$D$6),IF(Supuestos!$C$6="Lognormal",LOGINV(C658,LN(Supuestos!$D$6)-LN(1+Supuestos!$E$6^2/Supuestos!$D$6^2)/2,SQRT(LN(1+Supuestos!$E$6^2/Supuestos!$D$6^2))),Supuestos!$D$6))))))</f>
        <v/>
      </c>
      <c r="K658" s="32">
        <f>MIN(IF(Supuestos!$H$7="",1E+99,Supuestos!$H$7),MAX(IF(Supuestos!$G$7="",-1E+99,Supuestos!$G$7),IF(Supuestos!$C$7="Normal",NORMINV(D658,Supuestos!$D$7,Supuestos!$E$7),IF(Supuestos!$C$7="Triangular",IF(D658&lt;(Supuestos!$E$7-Supuestos!$D$7)/(Supuestos!$F$7-Supuestos!$D$7),Supuestos!$D$7+SQRT(D658*(Supuestos!$F$7-Supuestos!$D$7)*(Supuestos!$E$7-Supuestos!$D$7)),Supuestos!$F$7-SQRT((1-D658)*(Supuestos!$F$7-Supuestos!$D$7)*(Supuestos!$F$7-Supuestos!$E$7))),IF(Supuestos!$C$7="Uniforme",Supuestos!$D$7+D658*(Supuestos!$E$7-Supuestos!$D$7),IF(Supuestos!$C$7="Lognormal",LOGINV(D658,LN(Supuestos!$D$7)-LN(1+Supuestos!$E$7^2/Supuestos!$D$7^2)/2,SQRT(LN(1+Supuestos!$E$7^2/Supuestos!$D$7^2))),Supuestos!$D$7))))))</f>
        <v/>
      </c>
      <c r="L658" s="32">
        <f>MIN(IF(Supuestos!$H$8="",1E+99,Supuestos!$H$8),MAX(IF(Supuestos!$G$8="",-1E+99,Supuestos!$G$8),IF(Supuestos!$C$8="Normal",NORMINV(E658,Supuestos!$D$8,Supuestos!$E$8),IF(Supuestos!$C$8="Triangular",IF(E658&lt;(Supuestos!$E$8-Supuestos!$D$8)/(Supuestos!$F$8-Supuestos!$D$8),Supuestos!$D$8+SQRT(E658*(Supuestos!$F$8-Supuestos!$D$8)*(Supuestos!$E$8-Supuestos!$D$8)),Supuestos!$F$8-SQRT((1-E658)*(Supuestos!$F$8-Supuestos!$D$8)*(Supuestos!$F$8-Supuestos!$E$8))),IF(Supuestos!$C$8="Uniforme",Supuestos!$D$8+E658*(Supuestos!$E$8-Supuestos!$D$8),IF(Supuestos!$C$8="Lognormal",LOGINV(E658,LN(Supuestos!$D$8)-LN(1+Supuestos!$E$8^2/Supuestos!$D$8^2)/2,SQRT(LN(1+Supuestos!$E$8^2/Supuestos!$D$8^2))),Supuestos!$D$8))))))</f>
        <v/>
      </c>
      <c r="M658" s="32">
        <f>MIN(IF(Supuestos!$H$9="",1E+99,Supuestos!$H$9),MAX(IF(Supuestos!$G$9="",-1E+99,Supuestos!$G$9),IF(Supuestos!$C$9="Normal",NORMINV(F658,Supuestos!$D$9,Supuestos!$E$9),IF(Supuestos!$C$9="Triangular",IF(F658&lt;(Supuestos!$E$9-Supuestos!$D$9)/(Supuestos!$F$9-Supuestos!$D$9),Supuestos!$D$9+SQRT(F658*(Supuestos!$F$9-Supuestos!$D$9)*(Supuestos!$E$9-Supuestos!$D$9)),Supuestos!$F$9-SQRT((1-F658)*(Supuestos!$F$9-Supuestos!$D$9)*(Supuestos!$F$9-Supuestos!$E$9))),IF(Supuestos!$C$9="Uniforme",Supuestos!$D$9+F658*(Supuestos!$E$9-Supuestos!$D$9),IF(Supuestos!$C$9="Lognormal",LOGINV(F658,LN(Supuestos!$D$9)-LN(1+Supuestos!$E$9^2/Supuestos!$D$9^2)/2,SQRT(LN(1+Supuestos!$E$9^2/Supuestos!$D$9^2))),Supuestos!$D$9))))))</f>
        <v/>
      </c>
      <c r="N658" s="32">
        <f>MIN(IF(Supuestos!$H$10="",1E+99,Supuestos!$H$10),MAX(IF(Supuestos!$G$10="",-1E+99,Supuestos!$G$10),IF(Supuestos!$C$10="Normal",NORMINV(G658,Supuestos!$D$10,Supuestos!$E$10),IF(Supuestos!$C$10="Triangular",IF(G658&lt;(Supuestos!$E$10-Supuestos!$D$10)/(Supuestos!$F$10-Supuestos!$D$10),Supuestos!$D$10+SQRT(G658*(Supuestos!$F$10-Supuestos!$D$10)*(Supuestos!$E$10-Supuestos!$D$10)),Supuestos!$F$10-SQRT((1-G658)*(Supuestos!$F$10-Supuestos!$D$10)*(Supuestos!$F$10-Supuestos!$E$10))),IF(Supuestos!$C$10="Uniforme",Supuestos!$D$10+G658*(Supuestos!$E$10-Supuestos!$D$10),IF(Supuestos!$C$10="Lognormal",LOGINV(G658,LN(Supuestos!$D$10)-LN(1+Supuestos!$E$10^2/Supuestos!$D$10^2)/2,SQRT(LN(1+Supuestos!$E$10^2/Supuestos!$D$10^2))),Supuestos!$D$10))))))</f>
        <v/>
      </c>
      <c r="O658" s="31">
        <f>MIN(IF(Supuestos!$H$11="",1E+99,Supuestos!$H$11),MAX(IF(Supuestos!$G$11="",-1E+99,Supuestos!$G$11),IF(Supuestos!$C$11="Normal",NORMINV(H658,Supuestos!$D$11,Supuestos!$E$11),IF(Supuestos!$C$11="Triangular",IF(H658&lt;(Supuestos!$E$11-Supuestos!$D$11)/(Supuestos!$F$11-Supuestos!$D$11),Supuestos!$D$11+SQRT(H658*(Supuestos!$F$11-Supuestos!$D$11)*(Supuestos!$E$11-Supuestos!$D$11)),Supuestos!$F$11-SQRT((1-H658)*(Supuestos!$F$11-Supuestos!$D$11)*(Supuestos!$F$11-Supuestos!$E$11))),IF(Supuestos!$C$11="Uniforme",Supuestos!$D$11+H658*(Supuestos!$E$11-Supuestos!$D$11),IF(Supuestos!$C$11="Lognormal",LOGINV(H658,LN(Supuestos!$D$11)-LN(1+Supuestos!$E$11^2/Supuestos!$D$11^2)/2,SQRT(LN(1+Supuestos!$E$11^2/Supuestos!$D$11^2))),Supuestos!$D$11))))))</f>
        <v/>
      </c>
      <c r="P658" s="33">
        <f>-I658</f>
        <v/>
      </c>
      <c r="Q658" s="33">
        <f>$J658*(1+$K658)^(1-1)*(1-$L658)*(1-$M658)</f>
        <v/>
      </c>
      <c r="R658" s="33">
        <f>$J658*(1+$K658)^(2-1)*(1-$L658)*(1-$M658)</f>
        <v/>
      </c>
      <c r="S658" s="33">
        <f>$J658*(1+$K658)^(3-1)*(1-$L658)*(1-$M658)</f>
        <v/>
      </c>
      <c r="T658" s="33">
        <f>$J658*(1+$K658)^(4-1)*(1-$L658)*(1-$M658)</f>
        <v/>
      </c>
      <c r="U658" s="33">
        <f>$J658*(1+$K658)^(5-1)*(1-$L658)*(1-$M658)+$O658</f>
        <v/>
      </c>
      <c r="V658" s="33">
        <f>P658+NPV($N658,Q658:U658)</f>
        <v/>
      </c>
      <c r="W658" s="32">
        <f>IFERROR(IRR(P658:U658,0.1),"")</f>
        <v/>
      </c>
    </row>
    <row r="659">
      <c r="A659" s="14" t="n">
        <v>655</v>
      </c>
      <c r="B659" s="30">
        <f>RAND()*(1-2E-6)+1E-6</f>
        <v/>
      </c>
      <c r="C659" s="30">
        <f>RAND()*(1-2E-6)+1E-6</f>
        <v/>
      </c>
      <c r="D659" s="30">
        <f>RAND()*(1-2E-6)+1E-6</f>
        <v/>
      </c>
      <c r="E659" s="30">
        <f>RAND()*(1-2E-6)+1E-6</f>
        <v/>
      </c>
      <c r="F659" s="30">
        <f>RAND()*(1-2E-6)+1E-6</f>
        <v/>
      </c>
      <c r="G659" s="30">
        <f>RAND()*(1-2E-6)+1E-6</f>
        <v/>
      </c>
      <c r="H659" s="30">
        <f>RAND()*(1-2E-6)+1E-6</f>
        <v/>
      </c>
      <c r="I659" s="31">
        <f>MIN(IF(Supuestos!$H$5="",1E+99,Supuestos!$H$5),MAX(IF(Supuestos!$G$5="",-1E+99,Supuestos!$G$5),IF(Supuestos!$C$5="Normal",NORMINV(B659,Supuestos!$D$5,Supuestos!$E$5),IF(Supuestos!$C$5="Triangular",IF(B659&lt;(Supuestos!$E$5-Supuestos!$D$5)/(Supuestos!$F$5-Supuestos!$D$5),Supuestos!$D$5+SQRT(B659*(Supuestos!$F$5-Supuestos!$D$5)*(Supuestos!$E$5-Supuestos!$D$5)),Supuestos!$F$5-SQRT((1-B659)*(Supuestos!$F$5-Supuestos!$D$5)*(Supuestos!$F$5-Supuestos!$E$5))),IF(Supuestos!$C$5="Uniforme",Supuestos!$D$5+B659*(Supuestos!$E$5-Supuestos!$D$5),IF(Supuestos!$C$5="Lognormal",LOGINV(B659,LN(Supuestos!$D$5)-LN(1+Supuestos!$E$5^2/Supuestos!$D$5^2)/2,SQRT(LN(1+Supuestos!$E$5^2/Supuestos!$D$5^2))),Supuestos!$D$5))))))</f>
        <v/>
      </c>
      <c r="J659" s="31">
        <f>MIN(IF(Supuestos!$H$6="",1E+99,Supuestos!$H$6),MAX(IF(Supuestos!$G$6="",-1E+99,Supuestos!$G$6),IF(Supuestos!$C$6="Normal",NORMINV(C659,Supuestos!$D$6,Supuestos!$E$6),IF(Supuestos!$C$6="Triangular",IF(C659&lt;(Supuestos!$E$6-Supuestos!$D$6)/(Supuestos!$F$6-Supuestos!$D$6),Supuestos!$D$6+SQRT(C659*(Supuestos!$F$6-Supuestos!$D$6)*(Supuestos!$E$6-Supuestos!$D$6)),Supuestos!$F$6-SQRT((1-C659)*(Supuestos!$F$6-Supuestos!$D$6)*(Supuestos!$F$6-Supuestos!$E$6))),IF(Supuestos!$C$6="Uniforme",Supuestos!$D$6+C659*(Supuestos!$E$6-Supuestos!$D$6),IF(Supuestos!$C$6="Lognormal",LOGINV(C659,LN(Supuestos!$D$6)-LN(1+Supuestos!$E$6^2/Supuestos!$D$6^2)/2,SQRT(LN(1+Supuestos!$E$6^2/Supuestos!$D$6^2))),Supuestos!$D$6))))))</f>
        <v/>
      </c>
      <c r="K659" s="32">
        <f>MIN(IF(Supuestos!$H$7="",1E+99,Supuestos!$H$7),MAX(IF(Supuestos!$G$7="",-1E+99,Supuestos!$G$7),IF(Supuestos!$C$7="Normal",NORMINV(D659,Supuestos!$D$7,Supuestos!$E$7),IF(Supuestos!$C$7="Triangular",IF(D659&lt;(Supuestos!$E$7-Supuestos!$D$7)/(Supuestos!$F$7-Supuestos!$D$7),Supuestos!$D$7+SQRT(D659*(Supuestos!$F$7-Supuestos!$D$7)*(Supuestos!$E$7-Supuestos!$D$7)),Supuestos!$F$7-SQRT((1-D659)*(Supuestos!$F$7-Supuestos!$D$7)*(Supuestos!$F$7-Supuestos!$E$7))),IF(Supuestos!$C$7="Uniforme",Supuestos!$D$7+D659*(Supuestos!$E$7-Supuestos!$D$7),IF(Supuestos!$C$7="Lognormal",LOGINV(D659,LN(Supuestos!$D$7)-LN(1+Supuestos!$E$7^2/Supuestos!$D$7^2)/2,SQRT(LN(1+Supuestos!$E$7^2/Supuestos!$D$7^2))),Supuestos!$D$7))))))</f>
        <v/>
      </c>
      <c r="L659" s="32">
        <f>MIN(IF(Supuestos!$H$8="",1E+99,Supuestos!$H$8),MAX(IF(Supuestos!$G$8="",-1E+99,Supuestos!$G$8),IF(Supuestos!$C$8="Normal",NORMINV(E659,Supuestos!$D$8,Supuestos!$E$8),IF(Supuestos!$C$8="Triangular",IF(E659&lt;(Supuestos!$E$8-Supuestos!$D$8)/(Supuestos!$F$8-Supuestos!$D$8),Supuestos!$D$8+SQRT(E659*(Supuestos!$F$8-Supuestos!$D$8)*(Supuestos!$E$8-Supuestos!$D$8)),Supuestos!$F$8-SQRT((1-E659)*(Supuestos!$F$8-Supuestos!$D$8)*(Supuestos!$F$8-Supuestos!$E$8))),IF(Supuestos!$C$8="Uniforme",Supuestos!$D$8+E659*(Supuestos!$E$8-Supuestos!$D$8),IF(Supuestos!$C$8="Lognormal",LOGINV(E659,LN(Supuestos!$D$8)-LN(1+Supuestos!$E$8^2/Supuestos!$D$8^2)/2,SQRT(LN(1+Supuestos!$E$8^2/Supuestos!$D$8^2))),Supuestos!$D$8))))))</f>
        <v/>
      </c>
      <c r="M659" s="32">
        <f>MIN(IF(Supuestos!$H$9="",1E+99,Supuestos!$H$9),MAX(IF(Supuestos!$G$9="",-1E+99,Supuestos!$G$9),IF(Supuestos!$C$9="Normal",NORMINV(F659,Supuestos!$D$9,Supuestos!$E$9),IF(Supuestos!$C$9="Triangular",IF(F659&lt;(Supuestos!$E$9-Supuestos!$D$9)/(Supuestos!$F$9-Supuestos!$D$9),Supuestos!$D$9+SQRT(F659*(Supuestos!$F$9-Supuestos!$D$9)*(Supuestos!$E$9-Supuestos!$D$9)),Supuestos!$F$9-SQRT((1-F659)*(Supuestos!$F$9-Supuestos!$D$9)*(Supuestos!$F$9-Supuestos!$E$9))),IF(Supuestos!$C$9="Uniforme",Supuestos!$D$9+F659*(Supuestos!$E$9-Supuestos!$D$9),IF(Supuestos!$C$9="Lognormal",LOGINV(F659,LN(Supuestos!$D$9)-LN(1+Supuestos!$E$9^2/Supuestos!$D$9^2)/2,SQRT(LN(1+Supuestos!$E$9^2/Supuestos!$D$9^2))),Supuestos!$D$9))))))</f>
        <v/>
      </c>
      <c r="N659" s="32">
        <f>MIN(IF(Supuestos!$H$10="",1E+99,Supuestos!$H$10),MAX(IF(Supuestos!$G$10="",-1E+99,Supuestos!$G$10),IF(Supuestos!$C$10="Normal",NORMINV(G659,Supuestos!$D$10,Supuestos!$E$10),IF(Supuestos!$C$10="Triangular",IF(G659&lt;(Supuestos!$E$10-Supuestos!$D$10)/(Supuestos!$F$10-Supuestos!$D$10),Supuestos!$D$10+SQRT(G659*(Supuestos!$F$10-Supuestos!$D$10)*(Supuestos!$E$10-Supuestos!$D$10)),Supuestos!$F$10-SQRT((1-G659)*(Supuestos!$F$10-Supuestos!$D$10)*(Supuestos!$F$10-Supuestos!$E$10))),IF(Supuestos!$C$10="Uniforme",Supuestos!$D$10+G659*(Supuestos!$E$10-Supuestos!$D$10),IF(Supuestos!$C$10="Lognormal",LOGINV(G659,LN(Supuestos!$D$10)-LN(1+Supuestos!$E$10^2/Supuestos!$D$10^2)/2,SQRT(LN(1+Supuestos!$E$10^2/Supuestos!$D$10^2))),Supuestos!$D$10))))))</f>
        <v/>
      </c>
      <c r="O659" s="31">
        <f>MIN(IF(Supuestos!$H$11="",1E+99,Supuestos!$H$11),MAX(IF(Supuestos!$G$11="",-1E+99,Supuestos!$G$11),IF(Supuestos!$C$11="Normal",NORMINV(H659,Supuestos!$D$11,Supuestos!$E$11),IF(Supuestos!$C$11="Triangular",IF(H659&lt;(Supuestos!$E$11-Supuestos!$D$11)/(Supuestos!$F$11-Supuestos!$D$11),Supuestos!$D$11+SQRT(H659*(Supuestos!$F$11-Supuestos!$D$11)*(Supuestos!$E$11-Supuestos!$D$11)),Supuestos!$F$11-SQRT((1-H659)*(Supuestos!$F$11-Supuestos!$D$11)*(Supuestos!$F$11-Supuestos!$E$11))),IF(Supuestos!$C$11="Uniforme",Supuestos!$D$11+H659*(Supuestos!$E$11-Supuestos!$D$11),IF(Supuestos!$C$11="Lognormal",LOGINV(H659,LN(Supuestos!$D$11)-LN(1+Supuestos!$E$11^2/Supuestos!$D$11^2)/2,SQRT(LN(1+Supuestos!$E$11^2/Supuestos!$D$11^2))),Supuestos!$D$11))))))</f>
        <v/>
      </c>
      <c r="P659" s="33">
        <f>-I659</f>
        <v/>
      </c>
      <c r="Q659" s="33">
        <f>$J659*(1+$K659)^(1-1)*(1-$L659)*(1-$M659)</f>
        <v/>
      </c>
      <c r="R659" s="33">
        <f>$J659*(1+$K659)^(2-1)*(1-$L659)*(1-$M659)</f>
        <v/>
      </c>
      <c r="S659" s="33">
        <f>$J659*(1+$K659)^(3-1)*(1-$L659)*(1-$M659)</f>
        <v/>
      </c>
      <c r="T659" s="33">
        <f>$J659*(1+$K659)^(4-1)*(1-$L659)*(1-$M659)</f>
        <v/>
      </c>
      <c r="U659" s="33">
        <f>$J659*(1+$K659)^(5-1)*(1-$L659)*(1-$M659)+$O659</f>
        <v/>
      </c>
      <c r="V659" s="33">
        <f>P659+NPV($N659,Q659:U659)</f>
        <v/>
      </c>
      <c r="W659" s="32">
        <f>IFERROR(IRR(P659:U659,0.1),"")</f>
        <v/>
      </c>
    </row>
    <row r="660">
      <c r="A660" s="14" t="n">
        <v>656</v>
      </c>
      <c r="B660" s="30">
        <f>RAND()*(1-2E-6)+1E-6</f>
        <v/>
      </c>
      <c r="C660" s="30">
        <f>RAND()*(1-2E-6)+1E-6</f>
        <v/>
      </c>
      <c r="D660" s="30">
        <f>RAND()*(1-2E-6)+1E-6</f>
        <v/>
      </c>
      <c r="E660" s="30">
        <f>RAND()*(1-2E-6)+1E-6</f>
        <v/>
      </c>
      <c r="F660" s="30">
        <f>RAND()*(1-2E-6)+1E-6</f>
        <v/>
      </c>
      <c r="G660" s="30">
        <f>RAND()*(1-2E-6)+1E-6</f>
        <v/>
      </c>
      <c r="H660" s="30">
        <f>RAND()*(1-2E-6)+1E-6</f>
        <v/>
      </c>
      <c r="I660" s="31">
        <f>MIN(IF(Supuestos!$H$5="",1E+99,Supuestos!$H$5),MAX(IF(Supuestos!$G$5="",-1E+99,Supuestos!$G$5),IF(Supuestos!$C$5="Normal",NORMINV(B660,Supuestos!$D$5,Supuestos!$E$5),IF(Supuestos!$C$5="Triangular",IF(B660&lt;(Supuestos!$E$5-Supuestos!$D$5)/(Supuestos!$F$5-Supuestos!$D$5),Supuestos!$D$5+SQRT(B660*(Supuestos!$F$5-Supuestos!$D$5)*(Supuestos!$E$5-Supuestos!$D$5)),Supuestos!$F$5-SQRT((1-B660)*(Supuestos!$F$5-Supuestos!$D$5)*(Supuestos!$F$5-Supuestos!$E$5))),IF(Supuestos!$C$5="Uniforme",Supuestos!$D$5+B660*(Supuestos!$E$5-Supuestos!$D$5),IF(Supuestos!$C$5="Lognormal",LOGINV(B660,LN(Supuestos!$D$5)-LN(1+Supuestos!$E$5^2/Supuestos!$D$5^2)/2,SQRT(LN(1+Supuestos!$E$5^2/Supuestos!$D$5^2))),Supuestos!$D$5))))))</f>
        <v/>
      </c>
      <c r="J660" s="31">
        <f>MIN(IF(Supuestos!$H$6="",1E+99,Supuestos!$H$6),MAX(IF(Supuestos!$G$6="",-1E+99,Supuestos!$G$6),IF(Supuestos!$C$6="Normal",NORMINV(C660,Supuestos!$D$6,Supuestos!$E$6),IF(Supuestos!$C$6="Triangular",IF(C660&lt;(Supuestos!$E$6-Supuestos!$D$6)/(Supuestos!$F$6-Supuestos!$D$6),Supuestos!$D$6+SQRT(C660*(Supuestos!$F$6-Supuestos!$D$6)*(Supuestos!$E$6-Supuestos!$D$6)),Supuestos!$F$6-SQRT((1-C660)*(Supuestos!$F$6-Supuestos!$D$6)*(Supuestos!$F$6-Supuestos!$E$6))),IF(Supuestos!$C$6="Uniforme",Supuestos!$D$6+C660*(Supuestos!$E$6-Supuestos!$D$6),IF(Supuestos!$C$6="Lognormal",LOGINV(C660,LN(Supuestos!$D$6)-LN(1+Supuestos!$E$6^2/Supuestos!$D$6^2)/2,SQRT(LN(1+Supuestos!$E$6^2/Supuestos!$D$6^2))),Supuestos!$D$6))))))</f>
        <v/>
      </c>
      <c r="K660" s="32">
        <f>MIN(IF(Supuestos!$H$7="",1E+99,Supuestos!$H$7),MAX(IF(Supuestos!$G$7="",-1E+99,Supuestos!$G$7),IF(Supuestos!$C$7="Normal",NORMINV(D660,Supuestos!$D$7,Supuestos!$E$7),IF(Supuestos!$C$7="Triangular",IF(D660&lt;(Supuestos!$E$7-Supuestos!$D$7)/(Supuestos!$F$7-Supuestos!$D$7),Supuestos!$D$7+SQRT(D660*(Supuestos!$F$7-Supuestos!$D$7)*(Supuestos!$E$7-Supuestos!$D$7)),Supuestos!$F$7-SQRT((1-D660)*(Supuestos!$F$7-Supuestos!$D$7)*(Supuestos!$F$7-Supuestos!$E$7))),IF(Supuestos!$C$7="Uniforme",Supuestos!$D$7+D660*(Supuestos!$E$7-Supuestos!$D$7),IF(Supuestos!$C$7="Lognormal",LOGINV(D660,LN(Supuestos!$D$7)-LN(1+Supuestos!$E$7^2/Supuestos!$D$7^2)/2,SQRT(LN(1+Supuestos!$E$7^2/Supuestos!$D$7^2))),Supuestos!$D$7))))))</f>
        <v/>
      </c>
      <c r="L660" s="32">
        <f>MIN(IF(Supuestos!$H$8="",1E+99,Supuestos!$H$8),MAX(IF(Supuestos!$G$8="",-1E+99,Supuestos!$G$8),IF(Supuestos!$C$8="Normal",NORMINV(E660,Supuestos!$D$8,Supuestos!$E$8),IF(Supuestos!$C$8="Triangular",IF(E660&lt;(Supuestos!$E$8-Supuestos!$D$8)/(Supuestos!$F$8-Supuestos!$D$8),Supuestos!$D$8+SQRT(E660*(Supuestos!$F$8-Supuestos!$D$8)*(Supuestos!$E$8-Supuestos!$D$8)),Supuestos!$F$8-SQRT((1-E660)*(Supuestos!$F$8-Supuestos!$D$8)*(Supuestos!$F$8-Supuestos!$E$8))),IF(Supuestos!$C$8="Uniforme",Supuestos!$D$8+E660*(Supuestos!$E$8-Supuestos!$D$8),IF(Supuestos!$C$8="Lognormal",LOGINV(E660,LN(Supuestos!$D$8)-LN(1+Supuestos!$E$8^2/Supuestos!$D$8^2)/2,SQRT(LN(1+Supuestos!$E$8^2/Supuestos!$D$8^2))),Supuestos!$D$8))))))</f>
        <v/>
      </c>
      <c r="M660" s="32">
        <f>MIN(IF(Supuestos!$H$9="",1E+99,Supuestos!$H$9),MAX(IF(Supuestos!$G$9="",-1E+99,Supuestos!$G$9),IF(Supuestos!$C$9="Normal",NORMINV(F660,Supuestos!$D$9,Supuestos!$E$9),IF(Supuestos!$C$9="Triangular",IF(F660&lt;(Supuestos!$E$9-Supuestos!$D$9)/(Supuestos!$F$9-Supuestos!$D$9),Supuestos!$D$9+SQRT(F660*(Supuestos!$F$9-Supuestos!$D$9)*(Supuestos!$E$9-Supuestos!$D$9)),Supuestos!$F$9-SQRT((1-F660)*(Supuestos!$F$9-Supuestos!$D$9)*(Supuestos!$F$9-Supuestos!$E$9))),IF(Supuestos!$C$9="Uniforme",Supuestos!$D$9+F660*(Supuestos!$E$9-Supuestos!$D$9),IF(Supuestos!$C$9="Lognormal",LOGINV(F660,LN(Supuestos!$D$9)-LN(1+Supuestos!$E$9^2/Supuestos!$D$9^2)/2,SQRT(LN(1+Supuestos!$E$9^2/Supuestos!$D$9^2))),Supuestos!$D$9))))))</f>
        <v/>
      </c>
      <c r="N660" s="32">
        <f>MIN(IF(Supuestos!$H$10="",1E+99,Supuestos!$H$10),MAX(IF(Supuestos!$G$10="",-1E+99,Supuestos!$G$10),IF(Supuestos!$C$10="Normal",NORMINV(G660,Supuestos!$D$10,Supuestos!$E$10),IF(Supuestos!$C$10="Triangular",IF(G660&lt;(Supuestos!$E$10-Supuestos!$D$10)/(Supuestos!$F$10-Supuestos!$D$10),Supuestos!$D$10+SQRT(G660*(Supuestos!$F$10-Supuestos!$D$10)*(Supuestos!$E$10-Supuestos!$D$10)),Supuestos!$F$10-SQRT((1-G660)*(Supuestos!$F$10-Supuestos!$D$10)*(Supuestos!$F$10-Supuestos!$E$10))),IF(Supuestos!$C$10="Uniforme",Supuestos!$D$10+G660*(Supuestos!$E$10-Supuestos!$D$10),IF(Supuestos!$C$10="Lognormal",LOGINV(G660,LN(Supuestos!$D$10)-LN(1+Supuestos!$E$10^2/Supuestos!$D$10^2)/2,SQRT(LN(1+Supuestos!$E$10^2/Supuestos!$D$10^2))),Supuestos!$D$10))))))</f>
        <v/>
      </c>
      <c r="O660" s="31">
        <f>MIN(IF(Supuestos!$H$11="",1E+99,Supuestos!$H$11),MAX(IF(Supuestos!$G$11="",-1E+99,Supuestos!$G$11),IF(Supuestos!$C$11="Normal",NORMINV(H660,Supuestos!$D$11,Supuestos!$E$11),IF(Supuestos!$C$11="Triangular",IF(H660&lt;(Supuestos!$E$11-Supuestos!$D$11)/(Supuestos!$F$11-Supuestos!$D$11),Supuestos!$D$11+SQRT(H660*(Supuestos!$F$11-Supuestos!$D$11)*(Supuestos!$E$11-Supuestos!$D$11)),Supuestos!$F$11-SQRT((1-H660)*(Supuestos!$F$11-Supuestos!$D$11)*(Supuestos!$F$11-Supuestos!$E$11))),IF(Supuestos!$C$11="Uniforme",Supuestos!$D$11+H660*(Supuestos!$E$11-Supuestos!$D$11),IF(Supuestos!$C$11="Lognormal",LOGINV(H660,LN(Supuestos!$D$11)-LN(1+Supuestos!$E$11^2/Supuestos!$D$11^2)/2,SQRT(LN(1+Supuestos!$E$11^2/Supuestos!$D$11^2))),Supuestos!$D$11))))))</f>
        <v/>
      </c>
      <c r="P660" s="33">
        <f>-I660</f>
        <v/>
      </c>
      <c r="Q660" s="33">
        <f>$J660*(1+$K660)^(1-1)*(1-$L660)*(1-$M660)</f>
        <v/>
      </c>
      <c r="R660" s="33">
        <f>$J660*(1+$K660)^(2-1)*(1-$L660)*(1-$M660)</f>
        <v/>
      </c>
      <c r="S660" s="33">
        <f>$J660*(1+$K660)^(3-1)*(1-$L660)*(1-$M660)</f>
        <v/>
      </c>
      <c r="T660" s="33">
        <f>$J660*(1+$K660)^(4-1)*(1-$L660)*(1-$M660)</f>
        <v/>
      </c>
      <c r="U660" s="33">
        <f>$J660*(1+$K660)^(5-1)*(1-$L660)*(1-$M660)+$O660</f>
        <v/>
      </c>
      <c r="V660" s="33">
        <f>P660+NPV($N660,Q660:U660)</f>
        <v/>
      </c>
      <c r="W660" s="32">
        <f>IFERROR(IRR(P660:U660,0.1),"")</f>
        <v/>
      </c>
    </row>
    <row r="661">
      <c r="A661" s="14" t="n">
        <v>657</v>
      </c>
      <c r="B661" s="30">
        <f>RAND()*(1-2E-6)+1E-6</f>
        <v/>
      </c>
      <c r="C661" s="30">
        <f>RAND()*(1-2E-6)+1E-6</f>
        <v/>
      </c>
      <c r="D661" s="30">
        <f>RAND()*(1-2E-6)+1E-6</f>
        <v/>
      </c>
      <c r="E661" s="30">
        <f>RAND()*(1-2E-6)+1E-6</f>
        <v/>
      </c>
      <c r="F661" s="30">
        <f>RAND()*(1-2E-6)+1E-6</f>
        <v/>
      </c>
      <c r="G661" s="30">
        <f>RAND()*(1-2E-6)+1E-6</f>
        <v/>
      </c>
      <c r="H661" s="30">
        <f>RAND()*(1-2E-6)+1E-6</f>
        <v/>
      </c>
      <c r="I661" s="31">
        <f>MIN(IF(Supuestos!$H$5="",1E+99,Supuestos!$H$5),MAX(IF(Supuestos!$G$5="",-1E+99,Supuestos!$G$5),IF(Supuestos!$C$5="Normal",NORMINV(B661,Supuestos!$D$5,Supuestos!$E$5),IF(Supuestos!$C$5="Triangular",IF(B661&lt;(Supuestos!$E$5-Supuestos!$D$5)/(Supuestos!$F$5-Supuestos!$D$5),Supuestos!$D$5+SQRT(B661*(Supuestos!$F$5-Supuestos!$D$5)*(Supuestos!$E$5-Supuestos!$D$5)),Supuestos!$F$5-SQRT((1-B661)*(Supuestos!$F$5-Supuestos!$D$5)*(Supuestos!$F$5-Supuestos!$E$5))),IF(Supuestos!$C$5="Uniforme",Supuestos!$D$5+B661*(Supuestos!$E$5-Supuestos!$D$5),IF(Supuestos!$C$5="Lognormal",LOGINV(B661,LN(Supuestos!$D$5)-LN(1+Supuestos!$E$5^2/Supuestos!$D$5^2)/2,SQRT(LN(1+Supuestos!$E$5^2/Supuestos!$D$5^2))),Supuestos!$D$5))))))</f>
        <v/>
      </c>
      <c r="J661" s="31">
        <f>MIN(IF(Supuestos!$H$6="",1E+99,Supuestos!$H$6),MAX(IF(Supuestos!$G$6="",-1E+99,Supuestos!$G$6),IF(Supuestos!$C$6="Normal",NORMINV(C661,Supuestos!$D$6,Supuestos!$E$6),IF(Supuestos!$C$6="Triangular",IF(C661&lt;(Supuestos!$E$6-Supuestos!$D$6)/(Supuestos!$F$6-Supuestos!$D$6),Supuestos!$D$6+SQRT(C661*(Supuestos!$F$6-Supuestos!$D$6)*(Supuestos!$E$6-Supuestos!$D$6)),Supuestos!$F$6-SQRT((1-C661)*(Supuestos!$F$6-Supuestos!$D$6)*(Supuestos!$F$6-Supuestos!$E$6))),IF(Supuestos!$C$6="Uniforme",Supuestos!$D$6+C661*(Supuestos!$E$6-Supuestos!$D$6),IF(Supuestos!$C$6="Lognormal",LOGINV(C661,LN(Supuestos!$D$6)-LN(1+Supuestos!$E$6^2/Supuestos!$D$6^2)/2,SQRT(LN(1+Supuestos!$E$6^2/Supuestos!$D$6^2))),Supuestos!$D$6))))))</f>
        <v/>
      </c>
      <c r="K661" s="32">
        <f>MIN(IF(Supuestos!$H$7="",1E+99,Supuestos!$H$7),MAX(IF(Supuestos!$G$7="",-1E+99,Supuestos!$G$7),IF(Supuestos!$C$7="Normal",NORMINV(D661,Supuestos!$D$7,Supuestos!$E$7),IF(Supuestos!$C$7="Triangular",IF(D661&lt;(Supuestos!$E$7-Supuestos!$D$7)/(Supuestos!$F$7-Supuestos!$D$7),Supuestos!$D$7+SQRT(D661*(Supuestos!$F$7-Supuestos!$D$7)*(Supuestos!$E$7-Supuestos!$D$7)),Supuestos!$F$7-SQRT((1-D661)*(Supuestos!$F$7-Supuestos!$D$7)*(Supuestos!$F$7-Supuestos!$E$7))),IF(Supuestos!$C$7="Uniforme",Supuestos!$D$7+D661*(Supuestos!$E$7-Supuestos!$D$7),IF(Supuestos!$C$7="Lognormal",LOGINV(D661,LN(Supuestos!$D$7)-LN(1+Supuestos!$E$7^2/Supuestos!$D$7^2)/2,SQRT(LN(1+Supuestos!$E$7^2/Supuestos!$D$7^2))),Supuestos!$D$7))))))</f>
        <v/>
      </c>
      <c r="L661" s="32">
        <f>MIN(IF(Supuestos!$H$8="",1E+99,Supuestos!$H$8),MAX(IF(Supuestos!$G$8="",-1E+99,Supuestos!$G$8),IF(Supuestos!$C$8="Normal",NORMINV(E661,Supuestos!$D$8,Supuestos!$E$8),IF(Supuestos!$C$8="Triangular",IF(E661&lt;(Supuestos!$E$8-Supuestos!$D$8)/(Supuestos!$F$8-Supuestos!$D$8),Supuestos!$D$8+SQRT(E661*(Supuestos!$F$8-Supuestos!$D$8)*(Supuestos!$E$8-Supuestos!$D$8)),Supuestos!$F$8-SQRT((1-E661)*(Supuestos!$F$8-Supuestos!$D$8)*(Supuestos!$F$8-Supuestos!$E$8))),IF(Supuestos!$C$8="Uniforme",Supuestos!$D$8+E661*(Supuestos!$E$8-Supuestos!$D$8),IF(Supuestos!$C$8="Lognormal",LOGINV(E661,LN(Supuestos!$D$8)-LN(1+Supuestos!$E$8^2/Supuestos!$D$8^2)/2,SQRT(LN(1+Supuestos!$E$8^2/Supuestos!$D$8^2))),Supuestos!$D$8))))))</f>
        <v/>
      </c>
      <c r="M661" s="32">
        <f>MIN(IF(Supuestos!$H$9="",1E+99,Supuestos!$H$9),MAX(IF(Supuestos!$G$9="",-1E+99,Supuestos!$G$9),IF(Supuestos!$C$9="Normal",NORMINV(F661,Supuestos!$D$9,Supuestos!$E$9),IF(Supuestos!$C$9="Triangular",IF(F661&lt;(Supuestos!$E$9-Supuestos!$D$9)/(Supuestos!$F$9-Supuestos!$D$9),Supuestos!$D$9+SQRT(F661*(Supuestos!$F$9-Supuestos!$D$9)*(Supuestos!$E$9-Supuestos!$D$9)),Supuestos!$F$9-SQRT((1-F661)*(Supuestos!$F$9-Supuestos!$D$9)*(Supuestos!$F$9-Supuestos!$E$9))),IF(Supuestos!$C$9="Uniforme",Supuestos!$D$9+F661*(Supuestos!$E$9-Supuestos!$D$9),IF(Supuestos!$C$9="Lognormal",LOGINV(F661,LN(Supuestos!$D$9)-LN(1+Supuestos!$E$9^2/Supuestos!$D$9^2)/2,SQRT(LN(1+Supuestos!$E$9^2/Supuestos!$D$9^2))),Supuestos!$D$9))))))</f>
        <v/>
      </c>
      <c r="N661" s="32">
        <f>MIN(IF(Supuestos!$H$10="",1E+99,Supuestos!$H$10),MAX(IF(Supuestos!$G$10="",-1E+99,Supuestos!$G$10),IF(Supuestos!$C$10="Normal",NORMINV(G661,Supuestos!$D$10,Supuestos!$E$10),IF(Supuestos!$C$10="Triangular",IF(G661&lt;(Supuestos!$E$10-Supuestos!$D$10)/(Supuestos!$F$10-Supuestos!$D$10),Supuestos!$D$10+SQRT(G661*(Supuestos!$F$10-Supuestos!$D$10)*(Supuestos!$E$10-Supuestos!$D$10)),Supuestos!$F$10-SQRT((1-G661)*(Supuestos!$F$10-Supuestos!$D$10)*(Supuestos!$F$10-Supuestos!$E$10))),IF(Supuestos!$C$10="Uniforme",Supuestos!$D$10+G661*(Supuestos!$E$10-Supuestos!$D$10),IF(Supuestos!$C$10="Lognormal",LOGINV(G661,LN(Supuestos!$D$10)-LN(1+Supuestos!$E$10^2/Supuestos!$D$10^2)/2,SQRT(LN(1+Supuestos!$E$10^2/Supuestos!$D$10^2))),Supuestos!$D$10))))))</f>
        <v/>
      </c>
      <c r="O661" s="31">
        <f>MIN(IF(Supuestos!$H$11="",1E+99,Supuestos!$H$11),MAX(IF(Supuestos!$G$11="",-1E+99,Supuestos!$G$11),IF(Supuestos!$C$11="Normal",NORMINV(H661,Supuestos!$D$11,Supuestos!$E$11),IF(Supuestos!$C$11="Triangular",IF(H661&lt;(Supuestos!$E$11-Supuestos!$D$11)/(Supuestos!$F$11-Supuestos!$D$11),Supuestos!$D$11+SQRT(H661*(Supuestos!$F$11-Supuestos!$D$11)*(Supuestos!$E$11-Supuestos!$D$11)),Supuestos!$F$11-SQRT((1-H661)*(Supuestos!$F$11-Supuestos!$D$11)*(Supuestos!$F$11-Supuestos!$E$11))),IF(Supuestos!$C$11="Uniforme",Supuestos!$D$11+H661*(Supuestos!$E$11-Supuestos!$D$11),IF(Supuestos!$C$11="Lognormal",LOGINV(H661,LN(Supuestos!$D$11)-LN(1+Supuestos!$E$11^2/Supuestos!$D$11^2)/2,SQRT(LN(1+Supuestos!$E$11^2/Supuestos!$D$11^2))),Supuestos!$D$11))))))</f>
        <v/>
      </c>
      <c r="P661" s="33">
        <f>-I661</f>
        <v/>
      </c>
      <c r="Q661" s="33">
        <f>$J661*(1+$K661)^(1-1)*(1-$L661)*(1-$M661)</f>
        <v/>
      </c>
      <c r="R661" s="33">
        <f>$J661*(1+$K661)^(2-1)*(1-$L661)*(1-$M661)</f>
        <v/>
      </c>
      <c r="S661" s="33">
        <f>$J661*(1+$K661)^(3-1)*(1-$L661)*(1-$M661)</f>
        <v/>
      </c>
      <c r="T661" s="33">
        <f>$J661*(1+$K661)^(4-1)*(1-$L661)*(1-$M661)</f>
        <v/>
      </c>
      <c r="U661" s="33">
        <f>$J661*(1+$K661)^(5-1)*(1-$L661)*(1-$M661)+$O661</f>
        <v/>
      </c>
      <c r="V661" s="33">
        <f>P661+NPV($N661,Q661:U661)</f>
        <v/>
      </c>
      <c r="W661" s="32">
        <f>IFERROR(IRR(P661:U661,0.1),"")</f>
        <v/>
      </c>
    </row>
    <row r="662">
      <c r="A662" s="14" t="n">
        <v>658</v>
      </c>
      <c r="B662" s="30">
        <f>RAND()*(1-2E-6)+1E-6</f>
        <v/>
      </c>
      <c r="C662" s="30">
        <f>RAND()*(1-2E-6)+1E-6</f>
        <v/>
      </c>
      <c r="D662" s="30">
        <f>RAND()*(1-2E-6)+1E-6</f>
        <v/>
      </c>
      <c r="E662" s="30">
        <f>RAND()*(1-2E-6)+1E-6</f>
        <v/>
      </c>
      <c r="F662" s="30">
        <f>RAND()*(1-2E-6)+1E-6</f>
        <v/>
      </c>
      <c r="G662" s="30">
        <f>RAND()*(1-2E-6)+1E-6</f>
        <v/>
      </c>
      <c r="H662" s="30">
        <f>RAND()*(1-2E-6)+1E-6</f>
        <v/>
      </c>
      <c r="I662" s="31">
        <f>MIN(IF(Supuestos!$H$5="",1E+99,Supuestos!$H$5),MAX(IF(Supuestos!$G$5="",-1E+99,Supuestos!$G$5),IF(Supuestos!$C$5="Normal",NORMINV(B662,Supuestos!$D$5,Supuestos!$E$5),IF(Supuestos!$C$5="Triangular",IF(B662&lt;(Supuestos!$E$5-Supuestos!$D$5)/(Supuestos!$F$5-Supuestos!$D$5),Supuestos!$D$5+SQRT(B662*(Supuestos!$F$5-Supuestos!$D$5)*(Supuestos!$E$5-Supuestos!$D$5)),Supuestos!$F$5-SQRT((1-B662)*(Supuestos!$F$5-Supuestos!$D$5)*(Supuestos!$F$5-Supuestos!$E$5))),IF(Supuestos!$C$5="Uniforme",Supuestos!$D$5+B662*(Supuestos!$E$5-Supuestos!$D$5),IF(Supuestos!$C$5="Lognormal",LOGINV(B662,LN(Supuestos!$D$5)-LN(1+Supuestos!$E$5^2/Supuestos!$D$5^2)/2,SQRT(LN(1+Supuestos!$E$5^2/Supuestos!$D$5^2))),Supuestos!$D$5))))))</f>
        <v/>
      </c>
      <c r="J662" s="31">
        <f>MIN(IF(Supuestos!$H$6="",1E+99,Supuestos!$H$6),MAX(IF(Supuestos!$G$6="",-1E+99,Supuestos!$G$6),IF(Supuestos!$C$6="Normal",NORMINV(C662,Supuestos!$D$6,Supuestos!$E$6),IF(Supuestos!$C$6="Triangular",IF(C662&lt;(Supuestos!$E$6-Supuestos!$D$6)/(Supuestos!$F$6-Supuestos!$D$6),Supuestos!$D$6+SQRT(C662*(Supuestos!$F$6-Supuestos!$D$6)*(Supuestos!$E$6-Supuestos!$D$6)),Supuestos!$F$6-SQRT((1-C662)*(Supuestos!$F$6-Supuestos!$D$6)*(Supuestos!$F$6-Supuestos!$E$6))),IF(Supuestos!$C$6="Uniforme",Supuestos!$D$6+C662*(Supuestos!$E$6-Supuestos!$D$6),IF(Supuestos!$C$6="Lognormal",LOGINV(C662,LN(Supuestos!$D$6)-LN(1+Supuestos!$E$6^2/Supuestos!$D$6^2)/2,SQRT(LN(1+Supuestos!$E$6^2/Supuestos!$D$6^2))),Supuestos!$D$6))))))</f>
        <v/>
      </c>
      <c r="K662" s="32">
        <f>MIN(IF(Supuestos!$H$7="",1E+99,Supuestos!$H$7),MAX(IF(Supuestos!$G$7="",-1E+99,Supuestos!$G$7),IF(Supuestos!$C$7="Normal",NORMINV(D662,Supuestos!$D$7,Supuestos!$E$7),IF(Supuestos!$C$7="Triangular",IF(D662&lt;(Supuestos!$E$7-Supuestos!$D$7)/(Supuestos!$F$7-Supuestos!$D$7),Supuestos!$D$7+SQRT(D662*(Supuestos!$F$7-Supuestos!$D$7)*(Supuestos!$E$7-Supuestos!$D$7)),Supuestos!$F$7-SQRT((1-D662)*(Supuestos!$F$7-Supuestos!$D$7)*(Supuestos!$F$7-Supuestos!$E$7))),IF(Supuestos!$C$7="Uniforme",Supuestos!$D$7+D662*(Supuestos!$E$7-Supuestos!$D$7),IF(Supuestos!$C$7="Lognormal",LOGINV(D662,LN(Supuestos!$D$7)-LN(1+Supuestos!$E$7^2/Supuestos!$D$7^2)/2,SQRT(LN(1+Supuestos!$E$7^2/Supuestos!$D$7^2))),Supuestos!$D$7))))))</f>
        <v/>
      </c>
      <c r="L662" s="32">
        <f>MIN(IF(Supuestos!$H$8="",1E+99,Supuestos!$H$8),MAX(IF(Supuestos!$G$8="",-1E+99,Supuestos!$G$8),IF(Supuestos!$C$8="Normal",NORMINV(E662,Supuestos!$D$8,Supuestos!$E$8),IF(Supuestos!$C$8="Triangular",IF(E662&lt;(Supuestos!$E$8-Supuestos!$D$8)/(Supuestos!$F$8-Supuestos!$D$8),Supuestos!$D$8+SQRT(E662*(Supuestos!$F$8-Supuestos!$D$8)*(Supuestos!$E$8-Supuestos!$D$8)),Supuestos!$F$8-SQRT((1-E662)*(Supuestos!$F$8-Supuestos!$D$8)*(Supuestos!$F$8-Supuestos!$E$8))),IF(Supuestos!$C$8="Uniforme",Supuestos!$D$8+E662*(Supuestos!$E$8-Supuestos!$D$8),IF(Supuestos!$C$8="Lognormal",LOGINV(E662,LN(Supuestos!$D$8)-LN(1+Supuestos!$E$8^2/Supuestos!$D$8^2)/2,SQRT(LN(1+Supuestos!$E$8^2/Supuestos!$D$8^2))),Supuestos!$D$8))))))</f>
        <v/>
      </c>
      <c r="M662" s="32">
        <f>MIN(IF(Supuestos!$H$9="",1E+99,Supuestos!$H$9),MAX(IF(Supuestos!$G$9="",-1E+99,Supuestos!$G$9),IF(Supuestos!$C$9="Normal",NORMINV(F662,Supuestos!$D$9,Supuestos!$E$9),IF(Supuestos!$C$9="Triangular",IF(F662&lt;(Supuestos!$E$9-Supuestos!$D$9)/(Supuestos!$F$9-Supuestos!$D$9),Supuestos!$D$9+SQRT(F662*(Supuestos!$F$9-Supuestos!$D$9)*(Supuestos!$E$9-Supuestos!$D$9)),Supuestos!$F$9-SQRT((1-F662)*(Supuestos!$F$9-Supuestos!$D$9)*(Supuestos!$F$9-Supuestos!$E$9))),IF(Supuestos!$C$9="Uniforme",Supuestos!$D$9+F662*(Supuestos!$E$9-Supuestos!$D$9),IF(Supuestos!$C$9="Lognormal",LOGINV(F662,LN(Supuestos!$D$9)-LN(1+Supuestos!$E$9^2/Supuestos!$D$9^2)/2,SQRT(LN(1+Supuestos!$E$9^2/Supuestos!$D$9^2))),Supuestos!$D$9))))))</f>
        <v/>
      </c>
      <c r="N662" s="32">
        <f>MIN(IF(Supuestos!$H$10="",1E+99,Supuestos!$H$10),MAX(IF(Supuestos!$G$10="",-1E+99,Supuestos!$G$10),IF(Supuestos!$C$10="Normal",NORMINV(G662,Supuestos!$D$10,Supuestos!$E$10),IF(Supuestos!$C$10="Triangular",IF(G662&lt;(Supuestos!$E$10-Supuestos!$D$10)/(Supuestos!$F$10-Supuestos!$D$10),Supuestos!$D$10+SQRT(G662*(Supuestos!$F$10-Supuestos!$D$10)*(Supuestos!$E$10-Supuestos!$D$10)),Supuestos!$F$10-SQRT((1-G662)*(Supuestos!$F$10-Supuestos!$D$10)*(Supuestos!$F$10-Supuestos!$E$10))),IF(Supuestos!$C$10="Uniforme",Supuestos!$D$10+G662*(Supuestos!$E$10-Supuestos!$D$10),IF(Supuestos!$C$10="Lognormal",LOGINV(G662,LN(Supuestos!$D$10)-LN(1+Supuestos!$E$10^2/Supuestos!$D$10^2)/2,SQRT(LN(1+Supuestos!$E$10^2/Supuestos!$D$10^2))),Supuestos!$D$10))))))</f>
        <v/>
      </c>
      <c r="O662" s="31">
        <f>MIN(IF(Supuestos!$H$11="",1E+99,Supuestos!$H$11),MAX(IF(Supuestos!$G$11="",-1E+99,Supuestos!$G$11),IF(Supuestos!$C$11="Normal",NORMINV(H662,Supuestos!$D$11,Supuestos!$E$11),IF(Supuestos!$C$11="Triangular",IF(H662&lt;(Supuestos!$E$11-Supuestos!$D$11)/(Supuestos!$F$11-Supuestos!$D$11),Supuestos!$D$11+SQRT(H662*(Supuestos!$F$11-Supuestos!$D$11)*(Supuestos!$E$11-Supuestos!$D$11)),Supuestos!$F$11-SQRT((1-H662)*(Supuestos!$F$11-Supuestos!$D$11)*(Supuestos!$F$11-Supuestos!$E$11))),IF(Supuestos!$C$11="Uniforme",Supuestos!$D$11+H662*(Supuestos!$E$11-Supuestos!$D$11),IF(Supuestos!$C$11="Lognormal",LOGINV(H662,LN(Supuestos!$D$11)-LN(1+Supuestos!$E$11^2/Supuestos!$D$11^2)/2,SQRT(LN(1+Supuestos!$E$11^2/Supuestos!$D$11^2))),Supuestos!$D$11))))))</f>
        <v/>
      </c>
      <c r="P662" s="33">
        <f>-I662</f>
        <v/>
      </c>
      <c r="Q662" s="33">
        <f>$J662*(1+$K662)^(1-1)*(1-$L662)*(1-$M662)</f>
        <v/>
      </c>
      <c r="R662" s="33">
        <f>$J662*(1+$K662)^(2-1)*(1-$L662)*(1-$M662)</f>
        <v/>
      </c>
      <c r="S662" s="33">
        <f>$J662*(1+$K662)^(3-1)*(1-$L662)*(1-$M662)</f>
        <v/>
      </c>
      <c r="T662" s="33">
        <f>$J662*(1+$K662)^(4-1)*(1-$L662)*(1-$M662)</f>
        <v/>
      </c>
      <c r="U662" s="33">
        <f>$J662*(1+$K662)^(5-1)*(1-$L662)*(1-$M662)+$O662</f>
        <v/>
      </c>
      <c r="V662" s="33">
        <f>P662+NPV($N662,Q662:U662)</f>
        <v/>
      </c>
      <c r="W662" s="32">
        <f>IFERROR(IRR(P662:U662,0.1),"")</f>
        <v/>
      </c>
    </row>
    <row r="663">
      <c r="A663" s="14" t="n">
        <v>659</v>
      </c>
      <c r="B663" s="30">
        <f>RAND()*(1-2E-6)+1E-6</f>
        <v/>
      </c>
      <c r="C663" s="30">
        <f>RAND()*(1-2E-6)+1E-6</f>
        <v/>
      </c>
      <c r="D663" s="30">
        <f>RAND()*(1-2E-6)+1E-6</f>
        <v/>
      </c>
      <c r="E663" s="30">
        <f>RAND()*(1-2E-6)+1E-6</f>
        <v/>
      </c>
      <c r="F663" s="30">
        <f>RAND()*(1-2E-6)+1E-6</f>
        <v/>
      </c>
      <c r="G663" s="30">
        <f>RAND()*(1-2E-6)+1E-6</f>
        <v/>
      </c>
      <c r="H663" s="30">
        <f>RAND()*(1-2E-6)+1E-6</f>
        <v/>
      </c>
      <c r="I663" s="31">
        <f>MIN(IF(Supuestos!$H$5="",1E+99,Supuestos!$H$5),MAX(IF(Supuestos!$G$5="",-1E+99,Supuestos!$G$5),IF(Supuestos!$C$5="Normal",NORMINV(B663,Supuestos!$D$5,Supuestos!$E$5),IF(Supuestos!$C$5="Triangular",IF(B663&lt;(Supuestos!$E$5-Supuestos!$D$5)/(Supuestos!$F$5-Supuestos!$D$5),Supuestos!$D$5+SQRT(B663*(Supuestos!$F$5-Supuestos!$D$5)*(Supuestos!$E$5-Supuestos!$D$5)),Supuestos!$F$5-SQRT((1-B663)*(Supuestos!$F$5-Supuestos!$D$5)*(Supuestos!$F$5-Supuestos!$E$5))),IF(Supuestos!$C$5="Uniforme",Supuestos!$D$5+B663*(Supuestos!$E$5-Supuestos!$D$5),IF(Supuestos!$C$5="Lognormal",LOGINV(B663,LN(Supuestos!$D$5)-LN(1+Supuestos!$E$5^2/Supuestos!$D$5^2)/2,SQRT(LN(1+Supuestos!$E$5^2/Supuestos!$D$5^2))),Supuestos!$D$5))))))</f>
        <v/>
      </c>
      <c r="J663" s="31">
        <f>MIN(IF(Supuestos!$H$6="",1E+99,Supuestos!$H$6),MAX(IF(Supuestos!$G$6="",-1E+99,Supuestos!$G$6),IF(Supuestos!$C$6="Normal",NORMINV(C663,Supuestos!$D$6,Supuestos!$E$6),IF(Supuestos!$C$6="Triangular",IF(C663&lt;(Supuestos!$E$6-Supuestos!$D$6)/(Supuestos!$F$6-Supuestos!$D$6),Supuestos!$D$6+SQRT(C663*(Supuestos!$F$6-Supuestos!$D$6)*(Supuestos!$E$6-Supuestos!$D$6)),Supuestos!$F$6-SQRT((1-C663)*(Supuestos!$F$6-Supuestos!$D$6)*(Supuestos!$F$6-Supuestos!$E$6))),IF(Supuestos!$C$6="Uniforme",Supuestos!$D$6+C663*(Supuestos!$E$6-Supuestos!$D$6),IF(Supuestos!$C$6="Lognormal",LOGINV(C663,LN(Supuestos!$D$6)-LN(1+Supuestos!$E$6^2/Supuestos!$D$6^2)/2,SQRT(LN(1+Supuestos!$E$6^2/Supuestos!$D$6^2))),Supuestos!$D$6))))))</f>
        <v/>
      </c>
      <c r="K663" s="32">
        <f>MIN(IF(Supuestos!$H$7="",1E+99,Supuestos!$H$7),MAX(IF(Supuestos!$G$7="",-1E+99,Supuestos!$G$7),IF(Supuestos!$C$7="Normal",NORMINV(D663,Supuestos!$D$7,Supuestos!$E$7),IF(Supuestos!$C$7="Triangular",IF(D663&lt;(Supuestos!$E$7-Supuestos!$D$7)/(Supuestos!$F$7-Supuestos!$D$7),Supuestos!$D$7+SQRT(D663*(Supuestos!$F$7-Supuestos!$D$7)*(Supuestos!$E$7-Supuestos!$D$7)),Supuestos!$F$7-SQRT((1-D663)*(Supuestos!$F$7-Supuestos!$D$7)*(Supuestos!$F$7-Supuestos!$E$7))),IF(Supuestos!$C$7="Uniforme",Supuestos!$D$7+D663*(Supuestos!$E$7-Supuestos!$D$7),IF(Supuestos!$C$7="Lognormal",LOGINV(D663,LN(Supuestos!$D$7)-LN(1+Supuestos!$E$7^2/Supuestos!$D$7^2)/2,SQRT(LN(1+Supuestos!$E$7^2/Supuestos!$D$7^2))),Supuestos!$D$7))))))</f>
        <v/>
      </c>
      <c r="L663" s="32">
        <f>MIN(IF(Supuestos!$H$8="",1E+99,Supuestos!$H$8),MAX(IF(Supuestos!$G$8="",-1E+99,Supuestos!$G$8),IF(Supuestos!$C$8="Normal",NORMINV(E663,Supuestos!$D$8,Supuestos!$E$8),IF(Supuestos!$C$8="Triangular",IF(E663&lt;(Supuestos!$E$8-Supuestos!$D$8)/(Supuestos!$F$8-Supuestos!$D$8),Supuestos!$D$8+SQRT(E663*(Supuestos!$F$8-Supuestos!$D$8)*(Supuestos!$E$8-Supuestos!$D$8)),Supuestos!$F$8-SQRT((1-E663)*(Supuestos!$F$8-Supuestos!$D$8)*(Supuestos!$F$8-Supuestos!$E$8))),IF(Supuestos!$C$8="Uniforme",Supuestos!$D$8+E663*(Supuestos!$E$8-Supuestos!$D$8),IF(Supuestos!$C$8="Lognormal",LOGINV(E663,LN(Supuestos!$D$8)-LN(1+Supuestos!$E$8^2/Supuestos!$D$8^2)/2,SQRT(LN(1+Supuestos!$E$8^2/Supuestos!$D$8^2))),Supuestos!$D$8))))))</f>
        <v/>
      </c>
      <c r="M663" s="32">
        <f>MIN(IF(Supuestos!$H$9="",1E+99,Supuestos!$H$9),MAX(IF(Supuestos!$G$9="",-1E+99,Supuestos!$G$9),IF(Supuestos!$C$9="Normal",NORMINV(F663,Supuestos!$D$9,Supuestos!$E$9),IF(Supuestos!$C$9="Triangular",IF(F663&lt;(Supuestos!$E$9-Supuestos!$D$9)/(Supuestos!$F$9-Supuestos!$D$9),Supuestos!$D$9+SQRT(F663*(Supuestos!$F$9-Supuestos!$D$9)*(Supuestos!$E$9-Supuestos!$D$9)),Supuestos!$F$9-SQRT((1-F663)*(Supuestos!$F$9-Supuestos!$D$9)*(Supuestos!$F$9-Supuestos!$E$9))),IF(Supuestos!$C$9="Uniforme",Supuestos!$D$9+F663*(Supuestos!$E$9-Supuestos!$D$9),IF(Supuestos!$C$9="Lognormal",LOGINV(F663,LN(Supuestos!$D$9)-LN(1+Supuestos!$E$9^2/Supuestos!$D$9^2)/2,SQRT(LN(1+Supuestos!$E$9^2/Supuestos!$D$9^2))),Supuestos!$D$9))))))</f>
        <v/>
      </c>
      <c r="N663" s="32">
        <f>MIN(IF(Supuestos!$H$10="",1E+99,Supuestos!$H$10),MAX(IF(Supuestos!$G$10="",-1E+99,Supuestos!$G$10),IF(Supuestos!$C$10="Normal",NORMINV(G663,Supuestos!$D$10,Supuestos!$E$10),IF(Supuestos!$C$10="Triangular",IF(G663&lt;(Supuestos!$E$10-Supuestos!$D$10)/(Supuestos!$F$10-Supuestos!$D$10),Supuestos!$D$10+SQRT(G663*(Supuestos!$F$10-Supuestos!$D$10)*(Supuestos!$E$10-Supuestos!$D$10)),Supuestos!$F$10-SQRT((1-G663)*(Supuestos!$F$10-Supuestos!$D$10)*(Supuestos!$F$10-Supuestos!$E$10))),IF(Supuestos!$C$10="Uniforme",Supuestos!$D$10+G663*(Supuestos!$E$10-Supuestos!$D$10),IF(Supuestos!$C$10="Lognormal",LOGINV(G663,LN(Supuestos!$D$10)-LN(1+Supuestos!$E$10^2/Supuestos!$D$10^2)/2,SQRT(LN(1+Supuestos!$E$10^2/Supuestos!$D$10^2))),Supuestos!$D$10))))))</f>
        <v/>
      </c>
      <c r="O663" s="31">
        <f>MIN(IF(Supuestos!$H$11="",1E+99,Supuestos!$H$11),MAX(IF(Supuestos!$G$11="",-1E+99,Supuestos!$G$11),IF(Supuestos!$C$11="Normal",NORMINV(H663,Supuestos!$D$11,Supuestos!$E$11),IF(Supuestos!$C$11="Triangular",IF(H663&lt;(Supuestos!$E$11-Supuestos!$D$11)/(Supuestos!$F$11-Supuestos!$D$11),Supuestos!$D$11+SQRT(H663*(Supuestos!$F$11-Supuestos!$D$11)*(Supuestos!$E$11-Supuestos!$D$11)),Supuestos!$F$11-SQRT((1-H663)*(Supuestos!$F$11-Supuestos!$D$11)*(Supuestos!$F$11-Supuestos!$E$11))),IF(Supuestos!$C$11="Uniforme",Supuestos!$D$11+H663*(Supuestos!$E$11-Supuestos!$D$11),IF(Supuestos!$C$11="Lognormal",LOGINV(H663,LN(Supuestos!$D$11)-LN(1+Supuestos!$E$11^2/Supuestos!$D$11^2)/2,SQRT(LN(1+Supuestos!$E$11^2/Supuestos!$D$11^2))),Supuestos!$D$11))))))</f>
        <v/>
      </c>
      <c r="P663" s="33">
        <f>-I663</f>
        <v/>
      </c>
      <c r="Q663" s="33">
        <f>$J663*(1+$K663)^(1-1)*(1-$L663)*(1-$M663)</f>
        <v/>
      </c>
      <c r="R663" s="33">
        <f>$J663*(1+$K663)^(2-1)*(1-$L663)*(1-$M663)</f>
        <v/>
      </c>
      <c r="S663" s="33">
        <f>$J663*(1+$K663)^(3-1)*(1-$L663)*(1-$M663)</f>
        <v/>
      </c>
      <c r="T663" s="33">
        <f>$J663*(1+$K663)^(4-1)*(1-$L663)*(1-$M663)</f>
        <v/>
      </c>
      <c r="U663" s="33">
        <f>$J663*(1+$K663)^(5-1)*(1-$L663)*(1-$M663)+$O663</f>
        <v/>
      </c>
      <c r="V663" s="33">
        <f>P663+NPV($N663,Q663:U663)</f>
        <v/>
      </c>
      <c r="W663" s="32">
        <f>IFERROR(IRR(P663:U663,0.1),"")</f>
        <v/>
      </c>
    </row>
    <row r="664">
      <c r="A664" s="14" t="n">
        <v>660</v>
      </c>
      <c r="B664" s="30">
        <f>RAND()*(1-2E-6)+1E-6</f>
        <v/>
      </c>
      <c r="C664" s="30">
        <f>RAND()*(1-2E-6)+1E-6</f>
        <v/>
      </c>
      <c r="D664" s="30">
        <f>RAND()*(1-2E-6)+1E-6</f>
        <v/>
      </c>
      <c r="E664" s="30">
        <f>RAND()*(1-2E-6)+1E-6</f>
        <v/>
      </c>
      <c r="F664" s="30">
        <f>RAND()*(1-2E-6)+1E-6</f>
        <v/>
      </c>
      <c r="G664" s="30">
        <f>RAND()*(1-2E-6)+1E-6</f>
        <v/>
      </c>
      <c r="H664" s="30">
        <f>RAND()*(1-2E-6)+1E-6</f>
        <v/>
      </c>
      <c r="I664" s="31">
        <f>MIN(IF(Supuestos!$H$5="",1E+99,Supuestos!$H$5),MAX(IF(Supuestos!$G$5="",-1E+99,Supuestos!$G$5),IF(Supuestos!$C$5="Normal",NORMINV(B664,Supuestos!$D$5,Supuestos!$E$5),IF(Supuestos!$C$5="Triangular",IF(B664&lt;(Supuestos!$E$5-Supuestos!$D$5)/(Supuestos!$F$5-Supuestos!$D$5),Supuestos!$D$5+SQRT(B664*(Supuestos!$F$5-Supuestos!$D$5)*(Supuestos!$E$5-Supuestos!$D$5)),Supuestos!$F$5-SQRT((1-B664)*(Supuestos!$F$5-Supuestos!$D$5)*(Supuestos!$F$5-Supuestos!$E$5))),IF(Supuestos!$C$5="Uniforme",Supuestos!$D$5+B664*(Supuestos!$E$5-Supuestos!$D$5),IF(Supuestos!$C$5="Lognormal",LOGINV(B664,LN(Supuestos!$D$5)-LN(1+Supuestos!$E$5^2/Supuestos!$D$5^2)/2,SQRT(LN(1+Supuestos!$E$5^2/Supuestos!$D$5^2))),Supuestos!$D$5))))))</f>
        <v/>
      </c>
      <c r="J664" s="31">
        <f>MIN(IF(Supuestos!$H$6="",1E+99,Supuestos!$H$6),MAX(IF(Supuestos!$G$6="",-1E+99,Supuestos!$G$6),IF(Supuestos!$C$6="Normal",NORMINV(C664,Supuestos!$D$6,Supuestos!$E$6),IF(Supuestos!$C$6="Triangular",IF(C664&lt;(Supuestos!$E$6-Supuestos!$D$6)/(Supuestos!$F$6-Supuestos!$D$6),Supuestos!$D$6+SQRT(C664*(Supuestos!$F$6-Supuestos!$D$6)*(Supuestos!$E$6-Supuestos!$D$6)),Supuestos!$F$6-SQRT((1-C664)*(Supuestos!$F$6-Supuestos!$D$6)*(Supuestos!$F$6-Supuestos!$E$6))),IF(Supuestos!$C$6="Uniforme",Supuestos!$D$6+C664*(Supuestos!$E$6-Supuestos!$D$6),IF(Supuestos!$C$6="Lognormal",LOGINV(C664,LN(Supuestos!$D$6)-LN(1+Supuestos!$E$6^2/Supuestos!$D$6^2)/2,SQRT(LN(1+Supuestos!$E$6^2/Supuestos!$D$6^2))),Supuestos!$D$6))))))</f>
        <v/>
      </c>
      <c r="K664" s="32">
        <f>MIN(IF(Supuestos!$H$7="",1E+99,Supuestos!$H$7),MAX(IF(Supuestos!$G$7="",-1E+99,Supuestos!$G$7),IF(Supuestos!$C$7="Normal",NORMINV(D664,Supuestos!$D$7,Supuestos!$E$7),IF(Supuestos!$C$7="Triangular",IF(D664&lt;(Supuestos!$E$7-Supuestos!$D$7)/(Supuestos!$F$7-Supuestos!$D$7),Supuestos!$D$7+SQRT(D664*(Supuestos!$F$7-Supuestos!$D$7)*(Supuestos!$E$7-Supuestos!$D$7)),Supuestos!$F$7-SQRT((1-D664)*(Supuestos!$F$7-Supuestos!$D$7)*(Supuestos!$F$7-Supuestos!$E$7))),IF(Supuestos!$C$7="Uniforme",Supuestos!$D$7+D664*(Supuestos!$E$7-Supuestos!$D$7),IF(Supuestos!$C$7="Lognormal",LOGINV(D664,LN(Supuestos!$D$7)-LN(1+Supuestos!$E$7^2/Supuestos!$D$7^2)/2,SQRT(LN(1+Supuestos!$E$7^2/Supuestos!$D$7^2))),Supuestos!$D$7))))))</f>
        <v/>
      </c>
      <c r="L664" s="32">
        <f>MIN(IF(Supuestos!$H$8="",1E+99,Supuestos!$H$8),MAX(IF(Supuestos!$G$8="",-1E+99,Supuestos!$G$8),IF(Supuestos!$C$8="Normal",NORMINV(E664,Supuestos!$D$8,Supuestos!$E$8),IF(Supuestos!$C$8="Triangular",IF(E664&lt;(Supuestos!$E$8-Supuestos!$D$8)/(Supuestos!$F$8-Supuestos!$D$8),Supuestos!$D$8+SQRT(E664*(Supuestos!$F$8-Supuestos!$D$8)*(Supuestos!$E$8-Supuestos!$D$8)),Supuestos!$F$8-SQRT((1-E664)*(Supuestos!$F$8-Supuestos!$D$8)*(Supuestos!$F$8-Supuestos!$E$8))),IF(Supuestos!$C$8="Uniforme",Supuestos!$D$8+E664*(Supuestos!$E$8-Supuestos!$D$8),IF(Supuestos!$C$8="Lognormal",LOGINV(E664,LN(Supuestos!$D$8)-LN(1+Supuestos!$E$8^2/Supuestos!$D$8^2)/2,SQRT(LN(1+Supuestos!$E$8^2/Supuestos!$D$8^2))),Supuestos!$D$8))))))</f>
        <v/>
      </c>
      <c r="M664" s="32">
        <f>MIN(IF(Supuestos!$H$9="",1E+99,Supuestos!$H$9),MAX(IF(Supuestos!$G$9="",-1E+99,Supuestos!$G$9),IF(Supuestos!$C$9="Normal",NORMINV(F664,Supuestos!$D$9,Supuestos!$E$9),IF(Supuestos!$C$9="Triangular",IF(F664&lt;(Supuestos!$E$9-Supuestos!$D$9)/(Supuestos!$F$9-Supuestos!$D$9),Supuestos!$D$9+SQRT(F664*(Supuestos!$F$9-Supuestos!$D$9)*(Supuestos!$E$9-Supuestos!$D$9)),Supuestos!$F$9-SQRT((1-F664)*(Supuestos!$F$9-Supuestos!$D$9)*(Supuestos!$F$9-Supuestos!$E$9))),IF(Supuestos!$C$9="Uniforme",Supuestos!$D$9+F664*(Supuestos!$E$9-Supuestos!$D$9),IF(Supuestos!$C$9="Lognormal",LOGINV(F664,LN(Supuestos!$D$9)-LN(1+Supuestos!$E$9^2/Supuestos!$D$9^2)/2,SQRT(LN(1+Supuestos!$E$9^2/Supuestos!$D$9^2))),Supuestos!$D$9))))))</f>
        <v/>
      </c>
      <c r="N664" s="32">
        <f>MIN(IF(Supuestos!$H$10="",1E+99,Supuestos!$H$10),MAX(IF(Supuestos!$G$10="",-1E+99,Supuestos!$G$10),IF(Supuestos!$C$10="Normal",NORMINV(G664,Supuestos!$D$10,Supuestos!$E$10),IF(Supuestos!$C$10="Triangular",IF(G664&lt;(Supuestos!$E$10-Supuestos!$D$10)/(Supuestos!$F$10-Supuestos!$D$10),Supuestos!$D$10+SQRT(G664*(Supuestos!$F$10-Supuestos!$D$10)*(Supuestos!$E$10-Supuestos!$D$10)),Supuestos!$F$10-SQRT((1-G664)*(Supuestos!$F$10-Supuestos!$D$10)*(Supuestos!$F$10-Supuestos!$E$10))),IF(Supuestos!$C$10="Uniforme",Supuestos!$D$10+G664*(Supuestos!$E$10-Supuestos!$D$10),IF(Supuestos!$C$10="Lognormal",LOGINV(G664,LN(Supuestos!$D$10)-LN(1+Supuestos!$E$10^2/Supuestos!$D$10^2)/2,SQRT(LN(1+Supuestos!$E$10^2/Supuestos!$D$10^2))),Supuestos!$D$10))))))</f>
        <v/>
      </c>
      <c r="O664" s="31">
        <f>MIN(IF(Supuestos!$H$11="",1E+99,Supuestos!$H$11),MAX(IF(Supuestos!$G$11="",-1E+99,Supuestos!$G$11),IF(Supuestos!$C$11="Normal",NORMINV(H664,Supuestos!$D$11,Supuestos!$E$11),IF(Supuestos!$C$11="Triangular",IF(H664&lt;(Supuestos!$E$11-Supuestos!$D$11)/(Supuestos!$F$11-Supuestos!$D$11),Supuestos!$D$11+SQRT(H664*(Supuestos!$F$11-Supuestos!$D$11)*(Supuestos!$E$11-Supuestos!$D$11)),Supuestos!$F$11-SQRT((1-H664)*(Supuestos!$F$11-Supuestos!$D$11)*(Supuestos!$F$11-Supuestos!$E$11))),IF(Supuestos!$C$11="Uniforme",Supuestos!$D$11+H664*(Supuestos!$E$11-Supuestos!$D$11),IF(Supuestos!$C$11="Lognormal",LOGINV(H664,LN(Supuestos!$D$11)-LN(1+Supuestos!$E$11^2/Supuestos!$D$11^2)/2,SQRT(LN(1+Supuestos!$E$11^2/Supuestos!$D$11^2))),Supuestos!$D$11))))))</f>
        <v/>
      </c>
      <c r="P664" s="33">
        <f>-I664</f>
        <v/>
      </c>
      <c r="Q664" s="33">
        <f>$J664*(1+$K664)^(1-1)*(1-$L664)*(1-$M664)</f>
        <v/>
      </c>
      <c r="R664" s="33">
        <f>$J664*(1+$K664)^(2-1)*(1-$L664)*(1-$M664)</f>
        <v/>
      </c>
      <c r="S664" s="33">
        <f>$J664*(1+$K664)^(3-1)*(1-$L664)*(1-$M664)</f>
        <v/>
      </c>
      <c r="T664" s="33">
        <f>$J664*(1+$K664)^(4-1)*(1-$L664)*(1-$M664)</f>
        <v/>
      </c>
      <c r="U664" s="33">
        <f>$J664*(1+$K664)^(5-1)*(1-$L664)*(1-$M664)+$O664</f>
        <v/>
      </c>
      <c r="V664" s="33">
        <f>P664+NPV($N664,Q664:U664)</f>
        <v/>
      </c>
      <c r="W664" s="32">
        <f>IFERROR(IRR(P664:U664,0.1),"")</f>
        <v/>
      </c>
    </row>
    <row r="665">
      <c r="A665" s="14" t="n">
        <v>661</v>
      </c>
      <c r="B665" s="30">
        <f>RAND()*(1-2E-6)+1E-6</f>
        <v/>
      </c>
      <c r="C665" s="30">
        <f>RAND()*(1-2E-6)+1E-6</f>
        <v/>
      </c>
      <c r="D665" s="30">
        <f>RAND()*(1-2E-6)+1E-6</f>
        <v/>
      </c>
      <c r="E665" s="30">
        <f>RAND()*(1-2E-6)+1E-6</f>
        <v/>
      </c>
      <c r="F665" s="30">
        <f>RAND()*(1-2E-6)+1E-6</f>
        <v/>
      </c>
      <c r="G665" s="30">
        <f>RAND()*(1-2E-6)+1E-6</f>
        <v/>
      </c>
      <c r="H665" s="30">
        <f>RAND()*(1-2E-6)+1E-6</f>
        <v/>
      </c>
      <c r="I665" s="31">
        <f>MIN(IF(Supuestos!$H$5="",1E+99,Supuestos!$H$5),MAX(IF(Supuestos!$G$5="",-1E+99,Supuestos!$G$5),IF(Supuestos!$C$5="Normal",NORMINV(B665,Supuestos!$D$5,Supuestos!$E$5),IF(Supuestos!$C$5="Triangular",IF(B665&lt;(Supuestos!$E$5-Supuestos!$D$5)/(Supuestos!$F$5-Supuestos!$D$5),Supuestos!$D$5+SQRT(B665*(Supuestos!$F$5-Supuestos!$D$5)*(Supuestos!$E$5-Supuestos!$D$5)),Supuestos!$F$5-SQRT((1-B665)*(Supuestos!$F$5-Supuestos!$D$5)*(Supuestos!$F$5-Supuestos!$E$5))),IF(Supuestos!$C$5="Uniforme",Supuestos!$D$5+B665*(Supuestos!$E$5-Supuestos!$D$5),IF(Supuestos!$C$5="Lognormal",LOGINV(B665,LN(Supuestos!$D$5)-LN(1+Supuestos!$E$5^2/Supuestos!$D$5^2)/2,SQRT(LN(1+Supuestos!$E$5^2/Supuestos!$D$5^2))),Supuestos!$D$5))))))</f>
        <v/>
      </c>
      <c r="J665" s="31">
        <f>MIN(IF(Supuestos!$H$6="",1E+99,Supuestos!$H$6),MAX(IF(Supuestos!$G$6="",-1E+99,Supuestos!$G$6),IF(Supuestos!$C$6="Normal",NORMINV(C665,Supuestos!$D$6,Supuestos!$E$6),IF(Supuestos!$C$6="Triangular",IF(C665&lt;(Supuestos!$E$6-Supuestos!$D$6)/(Supuestos!$F$6-Supuestos!$D$6),Supuestos!$D$6+SQRT(C665*(Supuestos!$F$6-Supuestos!$D$6)*(Supuestos!$E$6-Supuestos!$D$6)),Supuestos!$F$6-SQRT((1-C665)*(Supuestos!$F$6-Supuestos!$D$6)*(Supuestos!$F$6-Supuestos!$E$6))),IF(Supuestos!$C$6="Uniforme",Supuestos!$D$6+C665*(Supuestos!$E$6-Supuestos!$D$6),IF(Supuestos!$C$6="Lognormal",LOGINV(C665,LN(Supuestos!$D$6)-LN(1+Supuestos!$E$6^2/Supuestos!$D$6^2)/2,SQRT(LN(1+Supuestos!$E$6^2/Supuestos!$D$6^2))),Supuestos!$D$6))))))</f>
        <v/>
      </c>
      <c r="K665" s="32">
        <f>MIN(IF(Supuestos!$H$7="",1E+99,Supuestos!$H$7),MAX(IF(Supuestos!$G$7="",-1E+99,Supuestos!$G$7),IF(Supuestos!$C$7="Normal",NORMINV(D665,Supuestos!$D$7,Supuestos!$E$7),IF(Supuestos!$C$7="Triangular",IF(D665&lt;(Supuestos!$E$7-Supuestos!$D$7)/(Supuestos!$F$7-Supuestos!$D$7),Supuestos!$D$7+SQRT(D665*(Supuestos!$F$7-Supuestos!$D$7)*(Supuestos!$E$7-Supuestos!$D$7)),Supuestos!$F$7-SQRT((1-D665)*(Supuestos!$F$7-Supuestos!$D$7)*(Supuestos!$F$7-Supuestos!$E$7))),IF(Supuestos!$C$7="Uniforme",Supuestos!$D$7+D665*(Supuestos!$E$7-Supuestos!$D$7),IF(Supuestos!$C$7="Lognormal",LOGINV(D665,LN(Supuestos!$D$7)-LN(1+Supuestos!$E$7^2/Supuestos!$D$7^2)/2,SQRT(LN(1+Supuestos!$E$7^2/Supuestos!$D$7^2))),Supuestos!$D$7))))))</f>
        <v/>
      </c>
      <c r="L665" s="32">
        <f>MIN(IF(Supuestos!$H$8="",1E+99,Supuestos!$H$8),MAX(IF(Supuestos!$G$8="",-1E+99,Supuestos!$G$8),IF(Supuestos!$C$8="Normal",NORMINV(E665,Supuestos!$D$8,Supuestos!$E$8),IF(Supuestos!$C$8="Triangular",IF(E665&lt;(Supuestos!$E$8-Supuestos!$D$8)/(Supuestos!$F$8-Supuestos!$D$8),Supuestos!$D$8+SQRT(E665*(Supuestos!$F$8-Supuestos!$D$8)*(Supuestos!$E$8-Supuestos!$D$8)),Supuestos!$F$8-SQRT((1-E665)*(Supuestos!$F$8-Supuestos!$D$8)*(Supuestos!$F$8-Supuestos!$E$8))),IF(Supuestos!$C$8="Uniforme",Supuestos!$D$8+E665*(Supuestos!$E$8-Supuestos!$D$8),IF(Supuestos!$C$8="Lognormal",LOGINV(E665,LN(Supuestos!$D$8)-LN(1+Supuestos!$E$8^2/Supuestos!$D$8^2)/2,SQRT(LN(1+Supuestos!$E$8^2/Supuestos!$D$8^2))),Supuestos!$D$8))))))</f>
        <v/>
      </c>
      <c r="M665" s="32">
        <f>MIN(IF(Supuestos!$H$9="",1E+99,Supuestos!$H$9),MAX(IF(Supuestos!$G$9="",-1E+99,Supuestos!$G$9),IF(Supuestos!$C$9="Normal",NORMINV(F665,Supuestos!$D$9,Supuestos!$E$9),IF(Supuestos!$C$9="Triangular",IF(F665&lt;(Supuestos!$E$9-Supuestos!$D$9)/(Supuestos!$F$9-Supuestos!$D$9),Supuestos!$D$9+SQRT(F665*(Supuestos!$F$9-Supuestos!$D$9)*(Supuestos!$E$9-Supuestos!$D$9)),Supuestos!$F$9-SQRT((1-F665)*(Supuestos!$F$9-Supuestos!$D$9)*(Supuestos!$F$9-Supuestos!$E$9))),IF(Supuestos!$C$9="Uniforme",Supuestos!$D$9+F665*(Supuestos!$E$9-Supuestos!$D$9),IF(Supuestos!$C$9="Lognormal",LOGINV(F665,LN(Supuestos!$D$9)-LN(1+Supuestos!$E$9^2/Supuestos!$D$9^2)/2,SQRT(LN(1+Supuestos!$E$9^2/Supuestos!$D$9^2))),Supuestos!$D$9))))))</f>
        <v/>
      </c>
      <c r="N665" s="32">
        <f>MIN(IF(Supuestos!$H$10="",1E+99,Supuestos!$H$10),MAX(IF(Supuestos!$G$10="",-1E+99,Supuestos!$G$10),IF(Supuestos!$C$10="Normal",NORMINV(G665,Supuestos!$D$10,Supuestos!$E$10),IF(Supuestos!$C$10="Triangular",IF(G665&lt;(Supuestos!$E$10-Supuestos!$D$10)/(Supuestos!$F$10-Supuestos!$D$10),Supuestos!$D$10+SQRT(G665*(Supuestos!$F$10-Supuestos!$D$10)*(Supuestos!$E$10-Supuestos!$D$10)),Supuestos!$F$10-SQRT((1-G665)*(Supuestos!$F$10-Supuestos!$D$10)*(Supuestos!$F$10-Supuestos!$E$10))),IF(Supuestos!$C$10="Uniforme",Supuestos!$D$10+G665*(Supuestos!$E$10-Supuestos!$D$10),IF(Supuestos!$C$10="Lognormal",LOGINV(G665,LN(Supuestos!$D$10)-LN(1+Supuestos!$E$10^2/Supuestos!$D$10^2)/2,SQRT(LN(1+Supuestos!$E$10^2/Supuestos!$D$10^2))),Supuestos!$D$10))))))</f>
        <v/>
      </c>
      <c r="O665" s="31">
        <f>MIN(IF(Supuestos!$H$11="",1E+99,Supuestos!$H$11),MAX(IF(Supuestos!$G$11="",-1E+99,Supuestos!$G$11),IF(Supuestos!$C$11="Normal",NORMINV(H665,Supuestos!$D$11,Supuestos!$E$11),IF(Supuestos!$C$11="Triangular",IF(H665&lt;(Supuestos!$E$11-Supuestos!$D$11)/(Supuestos!$F$11-Supuestos!$D$11),Supuestos!$D$11+SQRT(H665*(Supuestos!$F$11-Supuestos!$D$11)*(Supuestos!$E$11-Supuestos!$D$11)),Supuestos!$F$11-SQRT((1-H665)*(Supuestos!$F$11-Supuestos!$D$11)*(Supuestos!$F$11-Supuestos!$E$11))),IF(Supuestos!$C$11="Uniforme",Supuestos!$D$11+H665*(Supuestos!$E$11-Supuestos!$D$11),IF(Supuestos!$C$11="Lognormal",LOGINV(H665,LN(Supuestos!$D$11)-LN(1+Supuestos!$E$11^2/Supuestos!$D$11^2)/2,SQRT(LN(1+Supuestos!$E$11^2/Supuestos!$D$11^2))),Supuestos!$D$11))))))</f>
        <v/>
      </c>
      <c r="P665" s="33">
        <f>-I665</f>
        <v/>
      </c>
      <c r="Q665" s="33">
        <f>$J665*(1+$K665)^(1-1)*(1-$L665)*(1-$M665)</f>
        <v/>
      </c>
      <c r="R665" s="33">
        <f>$J665*(1+$K665)^(2-1)*(1-$L665)*(1-$M665)</f>
        <v/>
      </c>
      <c r="S665" s="33">
        <f>$J665*(1+$K665)^(3-1)*(1-$L665)*(1-$M665)</f>
        <v/>
      </c>
      <c r="T665" s="33">
        <f>$J665*(1+$K665)^(4-1)*(1-$L665)*(1-$M665)</f>
        <v/>
      </c>
      <c r="U665" s="33">
        <f>$J665*(1+$K665)^(5-1)*(1-$L665)*(1-$M665)+$O665</f>
        <v/>
      </c>
      <c r="V665" s="33">
        <f>P665+NPV($N665,Q665:U665)</f>
        <v/>
      </c>
      <c r="W665" s="32">
        <f>IFERROR(IRR(P665:U665,0.1),"")</f>
        <v/>
      </c>
    </row>
    <row r="666">
      <c r="A666" s="14" t="n">
        <v>662</v>
      </c>
      <c r="B666" s="30">
        <f>RAND()*(1-2E-6)+1E-6</f>
        <v/>
      </c>
      <c r="C666" s="30">
        <f>RAND()*(1-2E-6)+1E-6</f>
        <v/>
      </c>
      <c r="D666" s="30">
        <f>RAND()*(1-2E-6)+1E-6</f>
        <v/>
      </c>
      <c r="E666" s="30">
        <f>RAND()*(1-2E-6)+1E-6</f>
        <v/>
      </c>
      <c r="F666" s="30">
        <f>RAND()*(1-2E-6)+1E-6</f>
        <v/>
      </c>
      <c r="G666" s="30">
        <f>RAND()*(1-2E-6)+1E-6</f>
        <v/>
      </c>
      <c r="H666" s="30">
        <f>RAND()*(1-2E-6)+1E-6</f>
        <v/>
      </c>
      <c r="I666" s="31">
        <f>MIN(IF(Supuestos!$H$5="",1E+99,Supuestos!$H$5),MAX(IF(Supuestos!$G$5="",-1E+99,Supuestos!$G$5),IF(Supuestos!$C$5="Normal",NORMINV(B666,Supuestos!$D$5,Supuestos!$E$5),IF(Supuestos!$C$5="Triangular",IF(B666&lt;(Supuestos!$E$5-Supuestos!$D$5)/(Supuestos!$F$5-Supuestos!$D$5),Supuestos!$D$5+SQRT(B666*(Supuestos!$F$5-Supuestos!$D$5)*(Supuestos!$E$5-Supuestos!$D$5)),Supuestos!$F$5-SQRT((1-B666)*(Supuestos!$F$5-Supuestos!$D$5)*(Supuestos!$F$5-Supuestos!$E$5))),IF(Supuestos!$C$5="Uniforme",Supuestos!$D$5+B666*(Supuestos!$E$5-Supuestos!$D$5),IF(Supuestos!$C$5="Lognormal",LOGINV(B666,LN(Supuestos!$D$5)-LN(1+Supuestos!$E$5^2/Supuestos!$D$5^2)/2,SQRT(LN(1+Supuestos!$E$5^2/Supuestos!$D$5^2))),Supuestos!$D$5))))))</f>
        <v/>
      </c>
      <c r="J666" s="31">
        <f>MIN(IF(Supuestos!$H$6="",1E+99,Supuestos!$H$6),MAX(IF(Supuestos!$G$6="",-1E+99,Supuestos!$G$6),IF(Supuestos!$C$6="Normal",NORMINV(C666,Supuestos!$D$6,Supuestos!$E$6),IF(Supuestos!$C$6="Triangular",IF(C666&lt;(Supuestos!$E$6-Supuestos!$D$6)/(Supuestos!$F$6-Supuestos!$D$6),Supuestos!$D$6+SQRT(C666*(Supuestos!$F$6-Supuestos!$D$6)*(Supuestos!$E$6-Supuestos!$D$6)),Supuestos!$F$6-SQRT((1-C666)*(Supuestos!$F$6-Supuestos!$D$6)*(Supuestos!$F$6-Supuestos!$E$6))),IF(Supuestos!$C$6="Uniforme",Supuestos!$D$6+C666*(Supuestos!$E$6-Supuestos!$D$6),IF(Supuestos!$C$6="Lognormal",LOGINV(C666,LN(Supuestos!$D$6)-LN(1+Supuestos!$E$6^2/Supuestos!$D$6^2)/2,SQRT(LN(1+Supuestos!$E$6^2/Supuestos!$D$6^2))),Supuestos!$D$6))))))</f>
        <v/>
      </c>
      <c r="K666" s="32">
        <f>MIN(IF(Supuestos!$H$7="",1E+99,Supuestos!$H$7),MAX(IF(Supuestos!$G$7="",-1E+99,Supuestos!$G$7),IF(Supuestos!$C$7="Normal",NORMINV(D666,Supuestos!$D$7,Supuestos!$E$7),IF(Supuestos!$C$7="Triangular",IF(D666&lt;(Supuestos!$E$7-Supuestos!$D$7)/(Supuestos!$F$7-Supuestos!$D$7),Supuestos!$D$7+SQRT(D666*(Supuestos!$F$7-Supuestos!$D$7)*(Supuestos!$E$7-Supuestos!$D$7)),Supuestos!$F$7-SQRT((1-D666)*(Supuestos!$F$7-Supuestos!$D$7)*(Supuestos!$F$7-Supuestos!$E$7))),IF(Supuestos!$C$7="Uniforme",Supuestos!$D$7+D666*(Supuestos!$E$7-Supuestos!$D$7),IF(Supuestos!$C$7="Lognormal",LOGINV(D666,LN(Supuestos!$D$7)-LN(1+Supuestos!$E$7^2/Supuestos!$D$7^2)/2,SQRT(LN(1+Supuestos!$E$7^2/Supuestos!$D$7^2))),Supuestos!$D$7))))))</f>
        <v/>
      </c>
      <c r="L666" s="32">
        <f>MIN(IF(Supuestos!$H$8="",1E+99,Supuestos!$H$8),MAX(IF(Supuestos!$G$8="",-1E+99,Supuestos!$G$8),IF(Supuestos!$C$8="Normal",NORMINV(E666,Supuestos!$D$8,Supuestos!$E$8),IF(Supuestos!$C$8="Triangular",IF(E666&lt;(Supuestos!$E$8-Supuestos!$D$8)/(Supuestos!$F$8-Supuestos!$D$8),Supuestos!$D$8+SQRT(E666*(Supuestos!$F$8-Supuestos!$D$8)*(Supuestos!$E$8-Supuestos!$D$8)),Supuestos!$F$8-SQRT((1-E666)*(Supuestos!$F$8-Supuestos!$D$8)*(Supuestos!$F$8-Supuestos!$E$8))),IF(Supuestos!$C$8="Uniforme",Supuestos!$D$8+E666*(Supuestos!$E$8-Supuestos!$D$8),IF(Supuestos!$C$8="Lognormal",LOGINV(E666,LN(Supuestos!$D$8)-LN(1+Supuestos!$E$8^2/Supuestos!$D$8^2)/2,SQRT(LN(1+Supuestos!$E$8^2/Supuestos!$D$8^2))),Supuestos!$D$8))))))</f>
        <v/>
      </c>
      <c r="M666" s="32">
        <f>MIN(IF(Supuestos!$H$9="",1E+99,Supuestos!$H$9),MAX(IF(Supuestos!$G$9="",-1E+99,Supuestos!$G$9),IF(Supuestos!$C$9="Normal",NORMINV(F666,Supuestos!$D$9,Supuestos!$E$9),IF(Supuestos!$C$9="Triangular",IF(F666&lt;(Supuestos!$E$9-Supuestos!$D$9)/(Supuestos!$F$9-Supuestos!$D$9),Supuestos!$D$9+SQRT(F666*(Supuestos!$F$9-Supuestos!$D$9)*(Supuestos!$E$9-Supuestos!$D$9)),Supuestos!$F$9-SQRT((1-F666)*(Supuestos!$F$9-Supuestos!$D$9)*(Supuestos!$F$9-Supuestos!$E$9))),IF(Supuestos!$C$9="Uniforme",Supuestos!$D$9+F666*(Supuestos!$E$9-Supuestos!$D$9),IF(Supuestos!$C$9="Lognormal",LOGINV(F666,LN(Supuestos!$D$9)-LN(1+Supuestos!$E$9^2/Supuestos!$D$9^2)/2,SQRT(LN(1+Supuestos!$E$9^2/Supuestos!$D$9^2))),Supuestos!$D$9))))))</f>
        <v/>
      </c>
      <c r="N666" s="32">
        <f>MIN(IF(Supuestos!$H$10="",1E+99,Supuestos!$H$10),MAX(IF(Supuestos!$G$10="",-1E+99,Supuestos!$G$10),IF(Supuestos!$C$10="Normal",NORMINV(G666,Supuestos!$D$10,Supuestos!$E$10),IF(Supuestos!$C$10="Triangular",IF(G666&lt;(Supuestos!$E$10-Supuestos!$D$10)/(Supuestos!$F$10-Supuestos!$D$10),Supuestos!$D$10+SQRT(G666*(Supuestos!$F$10-Supuestos!$D$10)*(Supuestos!$E$10-Supuestos!$D$10)),Supuestos!$F$10-SQRT((1-G666)*(Supuestos!$F$10-Supuestos!$D$10)*(Supuestos!$F$10-Supuestos!$E$10))),IF(Supuestos!$C$10="Uniforme",Supuestos!$D$10+G666*(Supuestos!$E$10-Supuestos!$D$10),IF(Supuestos!$C$10="Lognormal",LOGINV(G666,LN(Supuestos!$D$10)-LN(1+Supuestos!$E$10^2/Supuestos!$D$10^2)/2,SQRT(LN(1+Supuestos!$E$10^2/Supuestos!$D$10^2))),Supuestos!$D$10))))))</f>
        <v/>
      </c>
      <c r="O666" s="31">
        <f>MIN(IF(Supuestos!$H$11="",1E+99,Supuestos!$H$11),MAX(IF(Supuestos!$G$11="",-1E+99,Supuestos!$G$11),IF(Supuestos!$C$11="Normal",NORMINV(H666,Supuestos!$D$11,Supuestos!$E$11),IF(Supuestos!$C$11="Triangular",IF(H666&lt;(Supuestos!$E$11-Supuestos!$D$11)/(Supuestos!$F$11-Supuestos!$D$11),Supuestos!$D$11+SQRT(H666*(Supuestos!$F$11-Supuestos!$D$11)*(Supuestos!$E$11-Supuestos!$D$11)),Supuestos!$F$11-SQRT((1-H666)*(Supuestos!$F$11-Supuestos!$D$11)*(Supuestos!$F$11-Supuestos!$E$11))),IF(Supuestos!$C$11="Uniforme",Supuestos!$D$11+H666*(Supuestos!$E$11-Supuestos!$D$11),IF(Supuestos!$C$11="Lognormal",LOGINV(H666,LN(Supuestos!$D$11)-LN(1+Supuestos!$E$11^2/Supuestos!$D$11^2)/2,SQRT(LN(1+Supuestos!$E$11^2/Supuestos!$D$11^2))),Supuestos!$D$11))))))</f>
        <v/>
      </c>
      <c r="P666" s="33">
        <f>-I666</f>
        <v/>
      </c>
      <c r="Q666" s="33">
        <f>$J666*(1+$K666)^(1-1)*(1-$L666)*(1-$M666)</f>
        <v/>
      </c>
      <c r="R666" s="33">
        <f>$J666*(1+$K666)^(2-1)*(1-$L666)*(1-$M666)</f>
        <v/>
      </c>
      <c r="S666" s="33">
        <f>$J666*(1+$K666)^(3-1)*(1-$L666)*(1-$M666)</f>
        <v/>
      </c>
      <c r="T666" s="33">
        <f>$J666*(1+$K666)^(4-1)*(1-$L666)*(1-$M666)</f>
        <v/>
      </c>
      <c r="U666" s="33">
        <f>$J666*(1+$K666)^(5-1)*(1-$L666)*(1-$M666)+$O666</f>
        <v/>
      </c>
      <c r="V666" s="33">
        <f>P666+NPV($N666,Q666:U666)</f>
        <v/>
      </c>
      <c r="W666" s="32">
        <f>IFERROR(IRR(P666:U666,0.1),"")</f>
        <v/>
      </c>
    </row>
    <row r="667">
      <c r="A667" s="14" t="n">
        <v>663</v>
      </c>
      <c r="B667" s="30">
        <f>RAND()*(1-2E-6)+1E-6</f>
        <v/>
      </c>
      <c r="C667" s="30">
        <f>RAND()*(1-2E-6)+1E-6</f>
        <v/>
      </c>
      <c r="D667" s="30">
        <f>RAND()*(1-2E-6)+1E-6</f>
        <v/>
      </c>
      <c r="E667" s="30">
        <f>RAND()*(1-2E-6)+1E-6</f>
        <v/>
      </c>
      <c r="F667" s="30">
        <f>RAND()*(1-2E-6)+1E-6</f>
        <v/>
      </c>
      <c r="G667" s="30">
        <f>RAND()*(1-2E-6)+1E-6</f>
        <v/>
      </c>
      <c r="H667" s="30">
        <f>RAND()*(1-2E-6)+1E-6</f>
        <v/>
      </c>
      <c r="I667" s="31">
        <f>MIN(IF(Supuestos!$H$5="",1E+99,Supuestos!$H$5),MAX(IF(Supuestos!$G$5="",-1E+99,Supuestos!$G$5),IF(Supuestos!$C$5="Normal",NORMINV(B667,Supuestos!$D$5,Supuestos!$E$5),IF(Supuestos!$C$5="Triangular",IF(B667&lt;(Supuestos!$E$5-Supuestos!$D$5)/(Supuestos!$F$5-Supuestos!$D$5),Supuestos!$D$5+SQRT(B667*(Supuestos!$F$5-Supuestos!$D$5)*(Supuestos!$E$5-Supuestos!$D$5)),Supuestos!$F$5-SQRT((1-B667)*(Supuestos!$F$5-Supuestos!$D$5)*(Supuestos!$F$5-Supuestos!$E$5))),IF(Supuestos!$C$5="Uniforme",Supuestos!$D$5+B667*(Supuestos!$E$5-Supuestos!$D$5),IF(Supuestos!$C$5="Lognormal",LOGINV(B667,LN(Supuestos!$D$5)-LN(1+Supuestos!$E$5^2/Supuestos!$D$5^2)/2,SQRT(LN(1+Supuestos!$E$5^2/Supuestos!$D$5^2))),Supuestos!$D$5))))))</f>
        <v/>
      </c>
      <c r="J667" s="31">
        <f>MIN(IF(Supuestos!$H$6="",1E+99,Supuestos!$H$6),MAX(IF(Supuestos!$G$6="",-1E+99,Supuestos!$G$6),IF(Supuestos!$C$6="Normal",NORMINV(C667,Supuestos!$D$6,Supuestos!$E$6),IF(Supuestos!$C$6="Triangular",IF(C667&lt;(Supuestos!$E$6-Supuestos!$D$6)/(Supuestos!$F$6-Supuestos!$D$6),Supuestos!$D$6+SQRT(C667*(Supuestos!$F$6-Supuestos!$D$6)*(Supuestos!$E$6-Supuestos!$D$6)),Supuestos!$F$6-SQRT((1-C667)*(Supuestos!$F$6-Supuestos!$D$6)*(Supuestos!$F$6-Supuestos!$E$6))),IF(Supuestos!$C$6="Uniforme",Supuestos!$D$6+C667*(Supuestos!$E$6-Supuestos!$D$6),IF(Supuestos!$C$6="Lognormal",LOGINV(C667,LN(Supuestos!$D$6)-LN(1+Supuestos!$E$6^2/Supuestos!$D$6^2)/2,SQRT(LN(1+Supuestos!$E$6^2/Supuestos!$D$6^2))),Supuestos!$D$6))))))</f>
        <v/>
      </c>
      <c r="K667" s="32">
        <f>MIN(IF(Supuestos!$H$7="",1E+99,Supuestos!$H$7),MAX(IF(Supuestos!$G$7="",-1E+99,Supuestos!$G$7),IF(Supuestos!$C$7="Normal",NORMINV(D667,Supuestos!$D$7,Supuestos!$E$7),IF(Supuestos!$C$7="Triangular",IF(D667&lt;(Supuestos!$E$7-Supuestos!$D$7)/(Supuestos!$F$7-Supuestos!$D$7),Supuestos!$D$7+SQRT(D667*(Supuestos!$F$7-Supuestos!$D$7)*(Supuestos!$E$7-Supuestos!$D$7)),Supuestos!$F$7-SQRT((1-D667)*(Supuestos!$F$7-Supuestos!$D$7)*(Supuestos!$F$7-Supuestos!$E$7))),IF(Supuestos!$C$7="Uniforme",Supuestos!$D$7+D667*(Supuestos!$E$7-Supuestos!$D$7),IF(Supuestos!$C$7="Lognormal",LOGINV(D667,LN(Supuestos!$D$7)-LN(1+Supuestos!$E$7^2/Supuestos!$D$7^2)/2,SQRT(LN(1+Supuestos!$E$7^2/Supuestos!$D$7^2))),Supuestos!$D$7))))))</f>
        <v/>
      </c>
      <c r="L667" s="32">
        <f>MIN(IF(Supuestos!$H$8="",1E+99,Supuestos!$H$8),MAX(IF(Supuestos!$G$8="",-1E+99,Supuestos!$G$8),IF(Supuestos!$C$8="Normal",NORMINV(E667,Supuestos!$D$8,Supuestos!$E$8),IF(Supuestos!$C$8="Triangular",IF(E667&lt;(Supuestos!$E$8-Supuestos!$D$8)/(Supuestos!$F$8-Supuestos!$D$8),Supuestos!$D$8+SQRT(E667*(Supuestos!$F$8-Supuestos!$D$8)*(Supuestos!$E$8-Supuestos!$D$8)),Supuestos!$F$8-SQRT((1-E667)*(Supuestos!$F$8-Supuestos!$D$8)*(Supuestos!$F$8-Supuestos!$E$8))),IF(Supuestos!$C$8="Uniforme",Supuestos!$D$8+E667*(Supuestos!$E$8-Supuestos!$D$8),IF(Supuestos!$C$8="Lognormal",LOGINV(E667,LN(Supuestos!$D$8)-LN(1+Supuestos!$E$8^2/Supuestos!$D$8^2)/2,SQRT(LN(1+Supuestos!$E$8^2/Supuestos!$D$8^2))),Supuestos!$D$8))))))</f>
        <v/>
      </c>
      <c r="M667" s="32">
        <f>MIN(IF(Supuestos!$H$9="",1E+99,Supuestos!$H$9),MAX(IF(Supuestos!$G$9="",-1E+99,Supuestos!$G$9),IF(Supuestos!$C$9="Normal",NORMINV(F667,Supuestos!$D$9,Supuestos!$E$9),IF(Supuestos!$C$9="Triangular",IF(F667&lt;(Supuestos!$E$9-Supuestos!$D$9)/(Supuestos!$F$9-Supuestos!$D$9),Supuestos!$D$9+SQRT(F667*(Supuestos!$F$9-Supuestos!$D$9)*(Supuestos!$E$9-Supuestos!$D$9)),Supuestos!$F$9-SQRT((1-F667)*(Supuestos!$F$9-Supuestos!$D$9)*(Supuestos!$F$9-Supuestos!$E$9))),IF(Supuestos!$C$9="Uniforme",Supuestos!$D$9+F667*(Supuestos!$E$9-Supuestos!$D$9),IF(Supuestos!$C$9="Lognormal",LOGINV(F667,LN(Supuestos!$D$9)-LN(1+Supuestos!$E$9^2/Supuestos!$D$9^2)/2,SQRT(LN(1+Supuestos!$E$9^2/Supuestos!$D$9^2))),Supuestos!$D$9))))))</f>
        <v/>
      </c>
      <c r="N667" s="32">
        <f>MIN(IF(Supuestos!$H$10="",1E+99,Supuestos!$H$10),MAX(IF(Supuestos!$G$10="",-1E+99,Supuestos!$G$10),IF(Supuestos!$C$10="Normal",NORMINV(G667,Supuestos!$D$10,Supuestos!$E$10),IF(Supuestos!$C$10="Triangular",IF(G667&lt;(Supuestos!$E$10-Supuestos!$D$10)/(Supuestos!$F$10-Supuestos!$D$10),Supuestos!$D$10+SQRT(G667*(Supuestos!$F$10-Supuestos!$D$10)*(Supuestos!$E$10-Supuestos!$D$10)),Supuestos!$F$10-SQRT((1-G667)*(Supuestos!$F$10-Supuestos!$D$10)*(Supuestos!$F$10-Supuestos!$E$10))),IF(Supuestos!$C$10="Uniforme",Supuestos!$D$10+G667*(Supuestos!$E$10-Supuestos!$D$10),IF(Supuestos!$C$10="Lognormal",LOGINV(G667,LN(Supuestos!$D$10)-LN(1+Supuestos!$E$10^2/Supuestos!$D$10^2)/2,SQRT(LN(1+Supuestos!$E$10^2/Supuestos!$D$10^2))),Supuestos!$D$10))))))</f>
        <v/>
      </c>
      <c r="O667" s="31">
        <f>MIN(IF(Supuestos!$H$11="",1E+99,Supuestos!$H$11),MAX(IF(Supuestos!$G$11="",-1E+99,Supuestos!$G$11),IF(Supuestos!$C$11="Normal",NORMINV(H667,Supuestos!$D$11,Supuestos!$E$11),IF(Supuestos!$C$11="Triangular",IF(H667&lt;(Supuestos!$E$11-Supuestos!$D$11)/(Supuestos!$F$11-Supuestos!$D$11),Supuestos!$D$11+SQRT(H667*(Supuestos!$F$11-Supuestos!$D$11)*(Supuestos!$E$11-Supuestos!$D$11)),Supuestos!$F$11-SQRT((1-H667)*(Supuestos!$F$11-Supuestos!$D$11)*(Supuestos!$F$11-Supuestos!$E$11))),IF(Supuestos!$C$11="Uniforme",Supuestos!$D$11+H667*(Supuestos!$E$11-Supuestos!$D$11),IF(Supuestos!$C$11="Lognormal",LOGINV(H667,LN(Supuestos!$D$11)-LN(1+Supuestos!$E$11^2/Supuestos!$D$11^2)/2,SQRT(LN(1+Supuestos!$E$11^2/Supuestos!$D$11^2))),Supuestos!$D$11))))))</f>
        <v/>
      </c>
      <c r="P667" s="33">
        <f>-I667</f>
        <v/>
      </c>
      <c r="Q667" s="33">
        <f>$J667*(1+$K667)^(1-1)*(1-$L667)*(1-$M667)</f>
        <v/>
      </c>
      <c r="R667" s="33">
        <f>$J667*(1+$K667)^(2-1)*(1-$L667)*(1-$M667)</f>
        <v/>
      </c>
      <c r="S667" s="33">
        <f>$J667*(1+$K667)^(3-1)*(1-$L667)*(1-$M667)</f>
        <v/>
      </c>
      <c r="T667" s="33">
        <f>$J667*(1+$K667)^(4-1)*(1-$L667)*(1-$M667)</f>
        <v/>
      </c>
      <c r="U667" s="33">
        <f>$J667*(1+$K667)^(5-1)*(1-$L667)*(1-$M667)+$O667</f>
        <v/>
      </c>
      <c r="V667" s="33">
        <f>P667+NPV($N667,Q667:U667)</f>
        <v/>
      </c>
      <c r="W667" s="32">
        <f>IFERROR(IRR(P667:U667,0.1),"")</f>
        <v/>
      </c>
    </row>
    <row r="668">
      <c r="A668" s="14" t="n">
        <v>664</v>
      </c>
      <c r="B668" s="30">
        <f>RAND()*(1-2E-6)+1E-6</f>
        <v/>
      </c>
      <c r="C668" s="30">
        <f>RAND()*(1-2E-6)+1E-6</f>
        <v/>
      </c>
      <c r="D668" s="30">
        <f>RAND()*(1-2E-6)+1E-6</f>
        <v/>
      </c>
      <c r="E668" s="30">
        <f>RAND()*(1-2E-6)+1E-6</f>
        <v/>
      </c>
      <c r="F668" s="30">
        <f>RAND()*(1-2E-6)+1E-6</f>
        <v/>
      </c>
      <c r="G668" s="30">
        <f>RAND()*(1-2E-6)+1E-6</f>
        <v/>
      </c>
      <c r="H668" s="30">
        <f>RAND()*(1-2E-6)+1E-6</f>
        <v/>
      </c>
      <c r="I668" s="31">
        <f>MIN(IF(Supuestos!$H$5="",1E+99,Supuestos!$H$5),MAX(IF(Supuestos!$G$5="",-1E+99,Supuestos!$G$5),IF(Supuestos!$C$5="Normal",NORMINV(B668,Supuestos!$D$5,Supuestos!$E$5),IF(Supuestos!$C$5="Triangular",IF(B668&lt;(Supuestos!$E$5-Supuestos!$D$5)/(Supuestos!$F$5-Supuestos!$D$5),Supuestos!$D$5+SQRT(B668*(Supuestos!$F$5-Supuestos!$D$5)*(Supuestos!$E$5-Supuestos!$D$5)),Supuestos!$F$5-SQRT((1-B668)*(Supuestos!$F$5-Supuestos!$D$5)*(Supuestos!$F$5-Supuestos!$E$5))),IF(Supuestos!$C$5="Uniforme",Supuestos!$D$5+B668*(Supuestos!$E$5-Supuestos!$D$5),IF(Supuestos!$C$5="Lognormal",LOGINV(B668,LN(Supuestos!$D$5)-LN(1+Supuestos!$E$5^2/Supuestos!$D$5^2)/2,SQRT(LN(1+Supuestos!$E$5^2/Supuestos!$D$5^2))),Supuestos!$D$5))))))</f>
        <v/>
      </c>
      <c r="J668" s="31">
        <f>MIN(IF(Supuestos!$H$6="",1E+99,Supuestos!$H$6),MAX(IF(Supuestos!$G$6="",-1E+99,Supuestos!$G$6),IF(Supuestos!$C$6="Normal",NORMINV(C668,Supuestos!$D$6,Supuestos!$E$6),IF(Supuestos!$C$6="Triangular",IF(C668&lt;(Supuestos!$E$6-Supuestos!$D$6)/(Supuestos!$F$6-Supuestos!$D$6),Supuestos!$D$6+SQRT(C668*(Supuestos!$F$6-Supuestos!$D$6)*(Supuestos!$E$6-Supuestos!$D$6)),Supuestos!$F$6-SQRT((1-C668)*(Supuestos!$F$6-Supuestos!$D$6)*(Supuestos!$F$6-Supuestos!$E$6))),IF(Supuestos!$C$6="Uniforme",Supuestos!$D$6+C668*(Supuestos!$E$6-Supuestos!$D$6),IF(Supuestos!$C$6="Lognormal",LOGINV(C668,LN(Supuestos!$D$6)-LN(1+Supuestos!$E$6^2/Supuestos!$D$6^2)/2,SQRT(LN(1+Supuestos!$E$6^2/Supuestos!$D$6^2))),Supuestos!$D$6))))))</f>
        <v/>
      </c>
      <c r="K668" s="32">
        <f>MIN(IF(Supuestos!$H$7="",1E+99,Supuestos!$H$7),MAX(IF(Supuestos!$G$7="",-1E+99,Supuestos!$G$7),IF(Supuestos!$C$7="Normal",NORMINV(D668,Supuestos!$D$7,Supuestos!$E$7),IF(Supuestos!$C$7="Triangular",IF(D668&lt;(Supuestos!$E$7-Supuestos!$D$7)/(Supuestos!$F$7-Supuestos!$D$7),Supuestos!$D$7+SQRT(D668*(Supuestos!$F$7-Supuestos!$D$7)*(Supuestos!$E$7-Supuestos!$D$7)),Supuestos!$F$7-SQRT((1-D668)*(Supuestos!$F$7-Supuestos!$D$7)*(Supuestos!$F$7-Supuestos!$E$7))),IF(Supuestos!$C$7="Uniforme",Supuestos!$D$7+D668*(Supuestos!$E$7-Supuestos!$D$7),IF(Supuestos!$C$7="Lognormal",LOGINV(D668,LN(Supuestos!$D$7)-LN(1+Supuestos!$E$7^2/Supuestos!$D$7^2)/2,SQRT(LN(1+Supuestos!$E$7^2/Supuestos!$D$7^2))),Supuestos!$D$7))))))</f>
        <v/>
      </c>
      <c r="L668" s="32">
        <f>MIN(IF(Supuestos!$H$8="",1E+99,Supuestos!$H$8),MAX(IF(Supuestos!$G$8="",-1E+99,Supuestos!$G$8),IF(Supuestos!$C$8="Normal",NORMINV(E668,Supuestos!$D$8,Supuestos!$E$8),IF(Supuestos!$C$8="Triangular",IF(E668&lt;(Supuestos!$E$8-Supuestos!$D$8)/(Supuestos!$F$8-Supuestos!$D$8),Supuestos!$D$8+SQRT(E668*(Supuestos!$F$8-Supuestos!$D$8)*(Supuestos!$E$8-Supuestos!$D$8)),Supuestos!$F$8-SQRT((1-E668)*(Supuestos!$F$8-Supuestos!$D$8)*(Supuestos!$F$8-Supuestos!$E$8))),IF(Supuestos!$C$8="Uniforme",Supuestos!$D$8+E668*(Supuestos!$E$8-Supuestos!$D$8),IF(Supuestos!$C$8="Lognormal",LOGINV(E668,LN(Supuestos!$D$8)-LN(1+Supuestos!$E$8^2/Supuestos!$D$8^2)/2,SQRT(LN(1+Supuestos!$E$8^2/Supuestos!$D$8^2))),Supuestos!$D$8))))))</f>
        <v/>
      </c>
      <c r="M668" s="32">
        <f>MIN(IF(Supuestos!$H$9="",1E+99,Supuestos!$H$9),MAX(IF(Supuestos!$G$9="",-1E+99,Supuestos!$G$9),IF(Supuestos!$C$9="Normal",NORMINV(F668,Supuestos!$D$9,Supuestos!$E$9),IF(Supuestos!$C$9="Triangular",IF(F668&lt;(Supuestos!$E$9-Supuestos!$D$9)/(Supuestos!$F$9-Supuestos!$D$9),Supuestos!$D$9+SQRT(F668*(Supuestos!$F$9-Supuestos!$D$9)*(Supuestos!$E$9-Supuestos!$D$9)),Supuestos!$F$9-SQRT((1-F668)*(Supuestos!$F$9-Supuestos!$D$9)*(Supuestos!$F$9-Supuestos!$E$9))),IF(Supuestos!$C$9="Uniforme",Supuestos!$D$9+F668*(Supuestos!$E$9-Supuestos!$D$9),IF(Supuestos!$C$9="Lognormal",LOGINV(F668,LN(Supuestos!$D$9)-LN(1+Supuestos!$E$9^2/Supuestos!$D$9^2)/2,SQRT(LN(1+Supuestos!$E$9^2/Supuestos!$D$9^2))),Supuestos!$D$9))))))</f>
        <v/>
      </c>
      <c r="N668" s="32">
        <f>MIN(IF(Supuestos!$H$10="",1E+99,Supuestos!$H$10),MAX(IF(Supuestos!$G$10="",-1E+99,Supuestos!$G$10),IF(Supuestos!$C$10="Normal",NORMINV(G668,Supuestos!$D$10,Supuestos!$E$10),IF(Supuestos!$C$10="Triangular",IF(G668&lt;(Supuestos!$E$10-Supuestos!$D$10)/(Supuestos!$F$10-Supuestos!$D$10),Supuestos!$D$10+SQRT(G668*(Supuestos!$F$10-Supuestos!$D$10)*(Supuestos!$E$10-Supuestos!$D$10)),Supuestos!$F$10-SQRT((1-G668)*(Supuestos!$F$10-Supuestos!$D$10)*(Supuestos!$F$10-Supuestos!$E$10))),IF(Supuestos!$C$10="Uniforme",Supuestos!$D$10+G668*(Supuestos!$E$10-Supuestos!$D$10),IF(Supuestos!$C$10="Lognormal",LOGINV(G668,LN(Supuestos!$D$10)-LN(1+Supuestos!$E$10^2/Supuestos!$D$10^2)/2,SQRT(LN(1+Supuestos!$E$10^2/Supuestos!$D$10^2))),Supuestos!$D$10))))))</f>
        <v/>
      </c>
      <c r="O668" s="31">
        <f>MIN(IF(Supuestos!$H$11="",1E+99,Supuestos!$H$11),MAX(IF(Supuestos!$G$11="",-1E+99,Supuestos!$G$11),IF(Supuestos!$C$11="Normal",NORMINV(H668,Supuestos!$D$11,Supuestos!$E$11),IF(Supuestos!$C$11="Triangular",IF(H668&lt;(Supuestos!$E$11-Supuestos!$D$11)/(Supuestos!$F$11-Supuestos!$D$11),Supuestos!$D$11+SQRT(H668*(Supuestos!$F$11-Supuestos!$D$11)*(Supuestos!$E$11-Supuestos!$D$11)),Supuestos!$F$11-SQRT((1-H668)*(Supuestos!$F$11-Supuestos!$D$11)*(Supuestos!$F$11-Supuestos!$E$11))),IF(Supuestos!$C$11="Uniforme",Supuestos!$D$11+H668*(Supuestos!$E$11-Supuestos!$D$11),IF(Supuestos!$C$11="Lognormal",LOGINV(H668,LN(Supuestos!$D$11)-LN(1+Supuestos!$E$11^2/Supuestos!$D$11^2)/2,SQRT(LN(1+Supuestos!$E$11^2/Supuestos!$D$11^2))),Supuestos!$D$11))))))</f>
        <v/>
      </c>
      <c r="P668" s="33">
        <f>-I668</f>
        <v/>
      </c>
      <c r="Q668" s="33">
        <f>$J668*(1+$K668)^(1-1)*(1-$L668)*(1-$M668)</f>
        <v/>
      </c>
      <c r="R668" s="33">
        <f>$J668*(1+$K668)^(2-1)*(1-$L668)*(1-$M668)</f>
        <v/>
      </c>
      <c r="S668" s="33">
        <f>$J668*(1+$K668)^(3-1)*(1-$L668)*(1-$M668)</f>
        <v/>
      </c>
      <c r="T668" s="33">
        <f>$J668*(1+$K668)^(4-1)*(1-$L668)*(1-$M668)</f>
        <v/>
      </c>
      <c r="U668" s="33">
        <f>$J668*(1+$K668)^(5-1)*(1-$L668)*(1-$M668)+$O668</f>
        <v/>
      </c>
      <c r="V668" s="33">
        <f>P668+NPV($N668,Q668:U668)</f>
        <v/>
      </c>
      <c r="W668" s="32">
        <f>IFERROR(IRR(P668:U668,0.1),"")</f>
        <v/>
      </c>
    </row>
    <row r="669">
      <c r="A669" s="14" t="n">
        <v>665</v>
      </c>
      <c r="B669" s="30">
        <f>RAND()*(1-2E-6)+1E-6</f>
        <v/>
      </c>
      <c r="C669" s="30">
        <f>RAND()*(1-2E-6)+1E-6</f>
        <v/>
      </c>
      <c r="D669" s="30">
        <f>RAND()*(1-2E-6)+1E-6</f>
        <v/>
      </c>
      <c r="E669" s="30">
        <f>RAND()*(1-2E-6)+1E-6</f>
        <v/>
      </c>
      <c r="F669" s="30">
        <f>RAND()*(1-2E-6)+1E-6</f>
        <v/>
      </c>
      <c r="G669" s="30">
        <f>RAND()*(1-2E-6)+1E-6</f>
        <v/>
      </c>
      <c r="H669" s="30">
        <f>RAND()*(1-2E-6)+1E-6</f>
        <v/>
      </c>
      <c r="I669" s="31">
        <f>MIN(IF(Supuestos!$H$5="",1E+99,Supuestos!$H$5),MAX(IF(Supuestos!$G$5="",-1E+99,Supuestos!$G$5),IF(Supuestos!$C$5="Normal",NORMINV(B669,Supuestos!$D$5,Supuestos!$E$5),IF(Supuestos!$C$5="Triangular",IF(B669&lt;(Supuestos!$E$5-Supuestos!$D$5)/(Supuestos!$F$5-Supuestos!$D$5),Supuestos!$D$5+SQRT(B669*(Supuestos!$F$5-Supuestos!$D$5)*(Supuestos!$E$5-Supuestos!$D$5)),Supuestos!$F$5-SQRT((1-B669)*(Supuestos!$F$5-Supuestos!$D$5)*(Supuestos!$F$5-Supuestos!$E$5))),IF(Supuestos!$C$5="Uniforme",Supuestos!$D$5+B669*(Supuestos!$E$5-Supuestos!$D$5),IF(Supuestos!$C$5="Lognormal",LOGINV(B669,LN(Supuestos!$D$5)-LN(1+Supuestos!$E$5^2/Supuestos!$D$5^2)/2,SQRT(LN(1+Supuestos!$E$5^2/Supuestos!$D$5^2))),Supuestos!$D$5))))))</f>
        <v/>
      </c>
      <c r="J669" s="31">
        <f>MIN(IF(Supuestos!$H$6="",1E+99,Supuestos!$H$6),MAX(IF(Supuestos!$G$6="",-1E+99,Supuestos!$G$6),IF(Supuestos!$C$6="Normal",NORMINV(C669,Supuestos!$D$6,Supuestos!$E$6),IF(Supuestos!$C$6="Triangular",IF(C669&lt;(Supuestos!$E$6-Supuestos!$D$6)/(Supuestos!$F$6-Supuestos!$D$6),Supuestos!$D$6+SQRT(C669*(Supuestos!$F$6-Supuestos!$D$6)*(Supuestos!$E$6-Supuestos!$D$6)),Supuestos!$F$6-SQRT((1-C669)*(Supuestos!$F$6-Supuestos!$D$6)*(Supuestos!$F$6-Supuestos!$E$6))),IF(Supuestos!$C$6="Uniforme",Supuestos!$D$6+C669*(Supuestos!$E$6-Supuestos!$D$6),IF(Supuestos!$C$6="Lognormal",LOGINV(C669,LN(Supuestos!$D$6)-LN(1+Supuestos!$E$6^2/Supuestos!$D$6^2)/2,SQRT(LN(1+Supuestos!$E$6^2/Supuestos!$D$6^2))),Supuestos!$D$6))))))</f>
        <v/>
      </c>
      <c r="K669" s="32">
        <f>MIN(IF(Supuestos!$H$7="",1E+99,Supuestos!$H$7),MAX(IF(Supuestos!$G$7="",-1E+99,Supuestos!$G$7),IF(Supuestos!$C$7="Normal",NORMINV(D669,Supuestos!$D$7,Supuestos!$E$7),IF(Supuestos!$C$7="Triangular",IF(D669&lt;(Supuestos!$E$7-Supuestos!$D$7)/(Supuestos!$F$7-Supuestos!$D$7),Supuestos!$D$7+SQRT(D669*(Supuestos!$F$7-Supuestos!$D$7)*(Supuestos!$E$7-Supuestos!$D$7)),Supuestos!$F$7-SQRT((1-D669)*(Supuestos!$F$7-Supuestos!$D$7)*(Supuestos!$F$7-Supuestos!$E$7))),IF(Supuestos!$C$7="Uniforme",Supuestos!$D$7+D669*(Supuestos!$E$7-Supuestos!$D$7),IF(Supuestos!$C$7="Lognormal",LOGINV(D669,LN(Supuestos!$D$7)-LN(1+Supuestos!$E$7^2/Supuestos!$D$7^2)/2,SQRT(LN(1+Supuestos!$E$7^2/Supuestos!$D$7^2))),Supuestos!$D$7))))))</f>
        <v/>
      </c>
      <c r="L669" s="32">
        <f>MIN(IF(Supuestos!$H$8="",1E+99,Supuestos!$H$8),MAX(IF(Supuestos!$G$8="",-1E+99,Supuestos!$G$8),IF(Supuestos!$C$8="Normal",NORMINV(E669,Supuestos!$D$8,Supuestos!$E$8),IF(Supuestos!$C$8="Triangular",IF(E669&lt;(Supuestos!$E$8-Supuestos!$D$8)/(Supuestos!$F$8-Supuestos!$D$8),Supuestos!$D$8+SQRT(E669*(Supuestos!$F$8-Supuestos!$D$8)*(Supuestos!$E$8-Supuestos!$D$8)),Supuestos!$F$8-SQRT((1-E669)*(Supuestos!$F$8-Supuestos!$D$8)*(Supuestos!$F$8-Supuestos!$E$8))),IF(Supuestos!$C$8="Uniforme",Supuestos!$D$8+E669*(Supuestos!$E$8-Supuestos!$D$8),IF(Supuestos!$C$8="Lognormal",LOGINV(E669,LN(Supuestos!$D$8)-LN(1+Supuestos!$E$8^2/Supuestos!$D$8^2)/2,SQRT(LN(1+Supuestos!$E$8^2/Supuestos!$D$8^2))),Supuestos!$D$8))))))</f>
        <v/>
      </c>
      <c r="M669" s="32">
        <f>MIN(IF(Supuestos!$H$9="",1E+99,Supuestos!$H$9),MAX(IF(Supuestos!$G$9="",-1E+99,Supuestos!$G$9),IF(Supuestos!$C$9="Normal",NORMINV(F669,Supuestos!$D$9,Supuestos!$E$9),IF(Supuestos!$C$9="Triangular",IF(F669&lt;(Supuestos!$E$9-Supuestos!$D$9)/(Supuestos!$F$9-Supuestos!$D$9),Supuestos!$D$9+SQRT(F669*(Supuestos!$F$9-Supuestos!$D$9)*(Supuestos!$E$9-Supuestos!$D$9)),Supuestos!$F$9-SQRT((1-F669)*(Supuestos!$F$9-Supuestos!$D$9)*(Supuestos!$F$9-Supuestos!$E$9))),IF(Supuestos!$C$9="Uniforme",Supuestos!$D$9+F669*(Supuestos!$E$9-Supuestos!$D$9),IF(Supuestos!$C$9="Lognormal",LOGINV(F669,LN(Supuestos!$D$9)-LN(1+Supuestos!$E$9^2/Supuestos!$D$9^2)/2,SQRT(LN(1+Supuestos!$E$9^2/Supuestos!$D$9^2))),Supuestos!$D$9))))))</f>
        <v/>
      </c>
      <c r="N669" s="32">
        <f>MIN(IF(Supuestos!$H$10="",1E+99,Supuestos!$H$10),MAX(IF(Supuestos!$G$10="",-1E+99,Supuestos!$G$10),IF(Supuestos!$C$10="Normal",NORMINV(G669,Supuestos!$D$10,Supuestos!$E$10),IF(Supuestos!$C$10="Triangular",IF(G669&lt;(Supuestos!$E$10-Supuestos!$D$10)/(Supuestos!$F$10-Supuestos!$D$10),Supuestos!$D$10+SQRT(G669*(Supuestos!$F$10-Supuestos!$D$10)*(Supuestos!$E$10-Supuestos!$D$10)),Supuestos!$F$10-SQRT((1-G669)*(Supuestos!$F$10-Supuestos!$D$10)*(Supuestos!$F$10-Supuestos!$E$10))),IF(Supuestos!$C$10="Uniforme",Supuestos!$D$10+G669*(Supuestos!$E$10-Supuestos!$D$10),IF(Supuestos!$C$10="Lognormal",LOGINV(G669,LN(Supuestos!$D$10)-LN(1+Supuestos!$E$10^2/Supuestos!$D$10^2)/2,SQRT(LN(1+Supuestos!$E$10^2/Supuestos!$D$10^2))),Supuestos!$D$10))))))</f>
        <v/>
      </c>
      <c r="O669" s="31">
        <f>MIN(IF(Supuestos!$H$11="",1E+99,Supuestos!$H$11),MAX(IF(Supuestos!$G$11="",-1E+99,Supuestos!$G$11),IF(Supuestos!$C$11="Normal",NORMINV(H669,Supuestos!$D$11,Supuestos!$E$11),IF(Supuestos!$C$11="Triangular",IF(H669&lt;(Supuestos!$E$11-Supuestos!$D$11)/(Supuestos!$F$11-Supuestos!$D$11),Supuestos!$D$11+SQRT(H669*(Supuestos!$F$11-Supuestos!$D$11)*(Supuestos!$E$11-Supuestos!$D$11)),Supuestos!$F$11-SQRT((1-H669)*(Supuestos!$F$11-Supuestos!$D$11)*(Supuestos!$F$11-Supuestos!$E$11))),IF(Supuestos!$C$11="Uniforme",Supuestos!$D$11+H669*(Supuestos!$E$11-Supuestos!$D$11),IF(Supuestos!$C$11="Lognormal",LOGINV(H669,LN(Supuestos!$D$11)-LN(1+Supuestos!$E$11^2/Supuestos!$D$11^2)/2,SQRT(LN(1+Supuestos!$E$11^2/Supuestos!$D$11^2))),Supuestos!$D$11))))))</f>
        <v/>
      </c>
      <c r="P669" s="33">
        <f>-I669</f>
        <v/>
      </c>
      <c r="Q669" s="33">
        <f>$J669*(1+$K669)^(1-1)*(1-$L669)*(1-$M669)</f>
        <v/>
      </c>
      <c r="R669" s="33">
        <f>$J669*(1+$K669)^(2-1)*(1-$L669)*(1-$M669)</f>
        <v/>
      </c>
      <c r="S669" s="33">
        <f>$J669*(1+$K669)^(3-1)*(1-$L669)*(1-$M669)</f>
        <v/>
      </c>
      <c r="T669" s="33">
        <f>$J669*(1+$K669)^(4-1)*(1-$L669)*(1-$M669)</f>
        <v/>
      </c>
      <c r="U669" s="33">
        <f>$J669*(1+$K669)^(5-1)*(1-$L669)*(1-$M669)+$O669</f>
        <v/>
      </c>
      <c r="V669" s="33">
        <f>P669+NPV($N669,Q669:U669)</f>
        <v/>
      </c>
      <c r="W669" s="32">
        <f>IFERROR(IRR(P669:U669,0.1),"")</f>
        <v/>
      </c>
    </row>
    <row r="670">
      <c r="A670" s="14" t="n">
        <v>666</v>
      </c>
      <c r="B670" s="30">
        <f>RAND()*(1-2E-6)+1E-6</f>
        <v/>
      </c>
      <c r="C670" s="30">
        <f>RAND()*(1-2E-6)+1E-6</f>
        <v/>
      </c>
      <c r="D670" s="30">
        <f>RAND()*(1-2E-6)+1E-6</f>
        <v/>
      </c>
      <c r="E670" s="30">
        <f>RAND()*(1-2E-6)+1E-6</f>
        <v/>
      </c>
      <c r="F670" s="30">
        <f>RAND()*(1-2E-6)+1E-6</f>
        <v/>
      </c>
      <c r="G670" s="30">
        <f>RAND()*(1-2E-6)+1E-6</f>
        <v/>
      </c>
      <c r="H670" s="30">
        <f>RAND()*(1-2E-6)+1E-6</f>
        <v/>
      </c>
      <c r="I670" s="31">
        <f>MIN(IF(Supuestos!$H$5="",1E+99,Supuestos!$H$5),MAX(IF(Supuestos!$G$5="",-1E+99,Supuestos!$G$5),IF(Supuestos!$C$5="Normal",NORMINV(B670,Supuestos!$D$5,Supuestos!$E$5),IF(Supuestos!$C$5="Triangular",IF(B670&lt;(Supuestos!$E$5-Supuestos!$D$5)/(Supuestos!$F$5-Supuestos!$D$5),Supuestos!$D$5+SQRT(B670*(Supuestos!$F$5-Supuestos!$D$5)*(Supuestos!$E$5-Supuestos!$D$5)),Supuestos!$F$5-SQRT((1-B670)*(Supuestos!$F$5-Supuestos!$D$5)*(Supuestos!$F$5-Supuestos!$E$5))),IF(Supuestos!$C$5="Uniforme",Supuestos!$D$5+B670*(Supuestos!$E$5-Supuestos!$D$5),IF(Supuestos!$C$5="Lognormal",LOGINV(B670,LN(Supuestos!$D$5)-LN(1+Supuestos!$E$5^2/Supuestos!$D$5^2)/2,SQRT(LN(1+Supuestos!$E$5^2/Supuestos!$D$5^2))),Supuestos!$D$5))))))</f>
        <v/>
      </c>
      <c r="J670" s="31">
        <f>MIN(IF(Supuestos!$H$6="",1E+99,Supuestos!$H$6),MAX(IF(Supuestos!$G$6="",-1E+99,Supuestos!$G$6),IF(Supuestos!$C$6="Normal",NORMINV(C670,Supuestos!$D$6,Supuestos!$E$6),IF(Supuestos!$C$6="Triangular",IF(C670&lt;(Supuestos!$E$6-Supuestos!$D$6)/(Supuestos!$F$6-Supuestos!$D$6),Supuestos!$D$6+SQRT(C670*(Supuestos!$F$6-Supuestos!$D$6)*(Supuestos!$E$6-Supuestos!$D$6)),Supuestos!$F$6-SQRT((1-C670)*(Supuestos!$F$6-Supuestos!$D$6)*(Supuestos!$F$6-Supuestos!$E$6))),IF(Supuestos!$C$6="Uniforme",Supuestos!$D$6+C670*(Supuestos!$E$6-Supuestos!$D$6),IF(Supuestos!$C$6="Lognormal",LOGINV(C670,LN(Supuestos!$D$6)-LN(1+Supuestos!$E$6^2/Supuestos!$D$6^2)/2,SQRT(LN(1+Supuestos!$E$6^2/Supuestos!$D$6^2))),Supuestos!$D$6))))))</f>
        <v/>
      </c>
      <c r="K670" s="32">
        <f>MIN(IF(Supuestos!$H$7="",1E+99,Supuestos!$H$7),MAX(IF(Supuestos!$G$7="",-1E+99,Supuestos!$G$7),IF(Supuestos!$C$7="Normal",NORMINV(D670,Supuestos!$D$7,Supuestos!$E$7),IF(Supuestos!$C$7="Triangular",IF(D670&lt;(Supuestos!$E$7-Supuestos!$D$7)/(Supuestos!$F$7-Supuestos!$D$7),Supuestos!$D$7+SQRT(D670*(Supuestos!$F$7-Supuestos!$D$7)*(Supuestos!$E$7-Supuestos!$D$7)),Supuestos!$F$7-SQRT((1-D670)*(Supuestos!$F$7-Supuestos!$D$7)*(Supuestos!$F$7-Supuestos!$E$7))),IF(Supuestos!$C$7="Uniforme",Supuestos!$D$7+D670*(Supuestos!$E$7-Supuestos!$D$7),IF(Supuestos!$C$7="Lognormal",LOGINV(D670,LN(Supuestos!$D$7)-LN(1+Supuestos!$E$7^2/Supuestos!$D$7^2)/2,SQRT(LN(1+Supuestos!$E$7^2/Supuestos!$D$7^2))),Supuestos!$D$7))))))</f>
        <v/>
      </c>
      <c r="L670" s="32">
        <f>MIN(IF(Supuestos!$H$8="",1E+99,Supuestos!$H$8),MAX(IF(Supuestos!$G$8="",-1E+99,Supuestos!$G$8),IF(Supuestos!$C$8="Normal",NORMINV(E670,Supuestos!$D$8,Supuestos!$E$8),IF(Supuestos!$C$8="Triangular",IF(E670&lt;(Supuestos!$E$8-Supuestos!$D$8)/(Supuestos!$F$8-Supuestos!$D$8),Supuestos!$D$8+SQRT(E670*(Supuestos!$F$8-Supuestos!$D$8)*(Supuestos!$E$8-Supuestos!$D$8)),Supuestos!$F$8-SQRT((1-E670)*(Supuestos!$F$8-Supuestos!$D$8)*(Supuestos!$F$8-Supuestos!$E$8))),IF(Supuestos!$C$8="Uniforme",Supuestos!$D$8+E670*(Supuestos!$E$8-Supuestos!$D$8),IF(Supuestos!$C$8="Lognormal",LOGINV(E670,LN(Supuestos!$D$8)-LN(1+Supuestos!$E$8^2/Supuestos!$D$8^2)/2,SQRT(LN(1+Supuestos!$E$8^2/Supuestos!$D$8^2))),Supuestos!$D$8))))))</f>
        <v/>
      </c>
      <c r="M670" s="32">
        <f>MIN(IF(Supuestos!$H$9="",1E+99,Supuestos!$H$9),MAX(IF(Supuestos!$G$9="",-1E+99,Supuestos!$G$9),IF(Supuestos!$C$9="Normal",NORMINV(F670,Supuestos!$D$9,Supuestos!$E$9),IF(Supuestos!$C$9="Triangular",IF(F670&lt;(Supuestos!$E$9-Supuestos!$D$9)/(Supuestos!$F$9-Supuestos!$D$9),Supuestos!$D$9+SQRT(F670*(Supuestos!$F$9-Supuestos!$D$9)*(Supuestos!$E$9-Supuestos!$D$9)),Supuestos!$F$9-SQRT((1-F670)*(Supuestos!$F$9-Supuestos!$D$9)*(Supuestos!$F$9-Supuestos!$E$9))),IF(Supuestos!$C$9="Uniforme",Supuestos!$D$9+F670*(Supuestos!$E$9-Supuestos!$D$9),IF(Supuestos!$C$9="Lognormal",LOGINV(F670,LN(Supuestos!$D$9)-LN(1+Supuestos!$E$9^2/Supuestos!$D$9^2)/2,SQRT(LN(1+Supuestos!$E$9^2/Supuestos!$D$9^2))),Supuestos!$D$9))))))</f>
        <v/>
      </c>
      <c r="N670" s="32">
        <f>MIN(IF(Supuestos!$H$10="",1E+99,Supuestos!$H$10),MAX(IF(Supuestos!$G$10="",-1E+99,Supuestos!$G$10),IF(Supuestos!$C$10="Normal",NORMINV(G670,Supuestos!$D$10,Supuestos!$E$10),IF(Supuestos!$C$10="Triangular",IF(G670&lt;(Supuestos!$E$10-Supuestos!$D$10)/(Supuestos!$F$10-Supuestos!$D$10),Supuestos!$D$10+SQRT(G670*(Supuestos!$F$10-Supuestos!$D$10)*(Supuestos!$E$10-Supuestos!$D$10)),Supuestos!$F$10-SQRT((1-G670)*(Supuestos!$F$10-Supuestos!$D$10)*(Supuestos!$F$10-Supuestos!$E$10))),IF(Supuestos!$C$10="Uniforme",Supuestos!$D$10+G670*(Supuestos!$E$10-Supuestos!$D$10),IF(Supuestos!$C$10="Lognormal",LOGINV(G670,LN(Supuestos!$D$10)-LN(1+Supuestos!$E$10^2/Supuestos!$D$10^2)/2,SQRT(LN(1+Supuestos!$E$10^2/Supuestos!$D$10^2))),Supuestos!$D$10))))))</f>
        <v/>
      </c>
      <c r="O670" s="31">
        <f>MIN(IF(Supuestos!$H$11="",1E+99,Supuestos!$H$11),MAX(IF(Supuestos!$G$11="",-1E+99,Supuestos!$G$11),IF(Supuestos!$C$11="Normal",NORMINV(H670,Supuestos!$D$11,Supuestos!$E$11),IF(Supuestos!$C$11="Triangular",IF(H670&lt;(Supuestos!$E$11-Supuestos!$D$11)/(Supuestos!$F$11-Supuestos!$D$11),Supuestos!$D$11+SQRT(H670*(Supuestos!$F$11-Supuestos!$D$11)*(Supuestos!$E$11-Supuestos!$D$11)),Supuestos!$F$11-SQRT((1-H670)*(Supuestos!$F$11-Supuestos!$D$11)*(Supuestos!$F$11-Supuestos!$E$11))),IF(Supuestos!$C$11="Uniforme",Supuestos!$D$11+H670*(Supuestos!$E$11-Supuestos!$D$11),IF(Supuestos!$C$11="Lognormal",LOGINV(H670,LN(Supuestos!$D$11)-LN(1+Supuestos!$E$11^2/Supuestos!$D$11^2)/2,SQRT(LN(1+Supuestos!$E$11^2/Supuestos!$D$11^2))),Supuestos!$D$11))))))</f>
        <v/>
      </c>
      <c r="P670" s="33">
        <f>-I670</f>
        <v/>
      </c>
      <c r="Q670" s="33">
        <f>$J670*(1+$K670)^(1-1)*(1-$L670)*(1-$M670)</f>
        <v/>
      </c>
      <c r="R670" s="33">
        <f>$J670*(1+$K670)^(2-1)*(1-$L670)*(1-$M670)</f>
        <v/>
      </c>
      <c r="S670" s="33">
        <f>$J670*(1+$K670)^(3-1)*(1-$L670)*(1-$M670)</f>
        <v/>
      </c>
      <c r="T670" s="33">
        <f>$J670*(1+$K670)^(4-1)*(1-$L670)*(1-$M670)</f>
        <v/>
      </c>
      <c r="U670" s="33">
        <f>$J670*(1+$K670)^(5-1)*(1-$L670)*(1-$M670)+$O670</f>
        <v/>
      </c>
      <c r="V670" s="33">
        <f>P670+NPV($N670,Q670:U670)</f>
        <v/>
      </c>
      <c r="W670" s="32">
        <f>IFERROR(IRR(P670:U670,0.1),"")</f>
        <v/>
      </c>
    </row>
    <row r="671">
      <c r="A671" s="14" t="n">
        <v>667</v>
      </c>
      <c r="B671" s="30">
        <f>RAND()*(1-2E-6)+1E-6</f>
        <v/>
      </c>
      <c r="C671" s="30">
        <f>RAND()*(1-2E-6)+1E-6</f>
        <v/>
      </c>
      <c r="D671" s="30">
        <f>RAND()*(1-2E-6)+1E-6</f>
        <v/>
      </c>
      <c r="E671" s="30">
        <f>RAND()*(1-2E-6)+1E-6</f>
        <v/>
      </c>
      <c r="F671" s="30">
        <f>RAND()*(1-2E-6)+1E-6</f>
        <v/>
      </c>
      <c r="G671" s="30">
        <f>RAND()*(1-2E-6)+1E-6</f>
        <v/>
      </c>
      <c r="H671" s="30">
        <f>RAND()*(1-2E-6)+1E-6</f>
        <v/>
      </c>
      <c r="I671" s="31">
        <f>MIN(IF(Supuestos!$H$5="",1E+99,Supuestos!$H$5),MAX(IF(Supuestos!$G$5="",-1E+99,Supuestos!$G$5),IF(Supuestos!$C$5="Normal",NORMINV(B671,Supuestos!$D$5,Supuestos!$E$5),IF(Supuestos!$C$5="Triangular",IF(B671&lt;(Supuestos!$E$5-Supuestos!$D$5)/(Supuestos!$F$5-Supuestos!$D$5),Supuestos!$D$5+SQRT(B671*(Supuestos!$F$5-Supuestos!$D$5)*(Supuestos!$E$5-Supuestos!$D$5)),Supuestos!$F$5-SQRT((1-B671)*(Supuestos!$F$5-Supuestos!$D$5)*(Supuestos!$F$5-Supuestos!$E$5))),IF(Supuestos!$C$5="Uniforme",Supuestos!$D$5+B671*(Supuestos!$E$5-Supuestos!$D$5),IF(Supuestos!$C$5="Lognormal",LOGINV(B671,LN(Supuestos!$D$5)-LN(1+Supuestos!$E$5^2/Supuestos!$D$5^2)/2,SQRT(LN(1+Supuestos!$E$5^2/Supuestos!$D$5^2))),Supuestos!$D$5))))))</f>
        <v/>
      </c>
      <c r="J671" s="31">
        <f>MIN(IF(Supuestos!$H$6="",1E+99,Supuestos!$H$6),MAX(IF(Supuestos!$G$6="",-1E+99,Supuestos!$G$6),IF(Supuestos!$C$6="Normal",NORMINV(C671,Supuestos!$D$6,Supuestos!$E$6),IF(Supuestos!$C$6="Triangular",IF(C671&lt;(Supuestos!$E$6-Supuestos!$D$6)/(Supuestos!$F$6-Supuestos!$D$6),Supuestos!$D$6+SQRT(C671*(Supuestos!$F$6-Supuestos!$D$6)*(Supuestos!$E$6-Supuestos!$D$6)),Supuestos!$F$6-SQRT((1-C671)*(Supuestos!$F$6-Supuestos!$D$6)*(Supuestos!$F$6-Supuestos!$E$6))),IF(Supuestos!$C$6="Uniforme",Supuestos!$D$6+C671*(Supuestos!$E$6-Supuestos!$D$6),IF(Supuestos!$C$6="Lognormal",LOGINV(C671,LN(Supuestos!$D$6)-LN(1+Supuestos!$E$6^2/Supuestos!$D$6^2)/2,SQRT(LN(1+Supuestos!$E$6^2/Supuestos!$D$6^2))),Supuestos!$D$6))))))</f>
        <v/>
      </c>
      <c r="K671" s="32">
        <f>MIN(IF(Supuestos!$H$7="",1E+99,Supuestos!$H$7),MAX(IF(Supuestos!$G$7="",-1E+99,Supuestos!$G$7),IF(Supuestos!$C$7="Normal",NORMINV(D671,Supuestos!$D$7,Supuestos!$E$7),IF(Supuestos!$C$7="Triangular",IF(D671&lt;(Supuestos!$E$7-Supuestos!$D$7)/(Supuestos!$F$7-Supuestos!$D$7),Supuestos!$D$7+SQRT(D671*(Supuestos!$F$7-Supuestos!$D$7)*(Supuestos!$E$7-Supuestos!$D$7)),Supuestos!$F$7-SQRT((1-D671)*(Supuestos!$F$7-Supuestos!$D$7)*(Supuestos!$F$7-Supuestos!$E$7))),IF(Supuestos!$C$7="Uniforme",Supuestos!$D$7+D671*(Supuestos!$E$7-Supuestos!$D$7),IF(Supuestos!$C$7="Lognormal",LOGINV(D671,LN(Supuestos!$D$7)-LN(1+Supuestos!$E$7^2/Supuestos!$D$7^2)/2,SQRT(LN(1+Supuestos!$E$7^2/Supuestos!$D$7^2))),Supuestos!$D$7))))))</f>
        <v/>
      </c>
      <c r="L671" s="32">
        <f>MIN(IF(Supuestos!$H$8="",1E+99,Supuestos!$H$8),MAX(IF(Supuestos!$G$8="",-1E+99,Supuestos!$G$8),IF(Supuestos!$C$8="Normal",NORMINV(E671,Supuestos!$D$8,Supuestos!$E$8),IF(Supuestos!$C$8="Triangular",IF(E671&lt;(Supuestos!$E$8-Supuestos!$D$8)/(Supuestos!$F$8-Supuestos!$D$8),Supuestos!$D$8+SQRT(E671*(Supuestos!$F$8-Supuestos!$D$8)*(Supuestos!$E$8-Supuestos!$D$8)),Supuestos!$F$8-SQRT((1-E671)*(Supuestos!$F$8-Supuestos!$D$8)*(Supuestos!$F$8-Supuestos!$E$8))),IF(Supuestos!$C$8="Uniforme",Supuestos!$D$8+E671*(Supuestos!$E$8-Supuestos!$D$8),IF(Supuestos!$C$8="Lognormal",LOGINV(E671,LN(Supuestos!$D$8)-LN(1+Supuestos!$E$8^2/Supuestos!$D$8^2)/2,SQRT(LN(1+Supuestos!$E$8^2/Supuestos!$D$8^2))),Supuestos!$D$8))))))</f>
        <v/>
      </c>
      <c r="M671" s="32">
        <f>MIN(IF(Supuestos!$H$9="",1E+99,Supuestos!$H$9),MAX(IF(Supuestos!$G$9="",-1E+99,Supuestos!$G$9),IF(Supuestos!$C$9="Normal",NORMINV(F671,Supuestos!$D$9,Supuestos!$E$9),IF(Supuestos!$C$9="Triangular",IF(F671&lt;(Supuestos!$E$9-Supuestos!$D$9)/(Supuestos!$F$9-Supuestos!$D$9),Supuestos!$D$9+SQRT(F671*(Supuestos!$F$9-Supuestos!$D$9)*(Supuestos!$E$9-Supuestos!$D$9)),Supuestos!$F$9-SQRT((1-F671)*(Supuestos!$F$9-Supuestos!$D$9)*(Supuestos!$F$9-Supuestos!$E$9))),IF(Supuestos!$C$9="Uniforme",Supuestos!$D$9+F671*(Supuestos!$E$9-Supuestos!$D$9),IF(Supuestos!$C$9="Lognormal",LOGINV(F671,LN(Supuestos!$D$9)-LN(1+Supuestos!$E$9^2/Supuestos!$D$9^2)/2,SQRT(LN(1+Supuestos!$E$9^2/Supuestos!$D$9^2))),Supuestos!$D$9))))))</f>
        <v/>
      </c>
      <c r="N671" s="32">
        <f>MIN(IF(Supuestos!$H$10="",1E+99,Supuestos!$H$10),MAX(IF(Supuestos!$G$10="",-1E+99,Supuestos!$G$10),IF(Supuestos!$C$10="Normal",NORMINV(G671,Supuestos!$D$10,Supuestos!$E$10),IF(Supuestos!$C$10="Triangular",IF(G671&lt;(Supuestos!$E$10-Supuestos!$D$10)/(Supuestos!$F$10-Supuestos!$D$10),Supuestos!$D$10+SQRT(G671*(Supuestos!$F$10-Supuestos!$D$10)*(Supuestos!$E$10-Supuestos!$D$10)),Supuestos!$F$10-SQRT((1-G671)*(Supuestos!$F$10-Supuestos!$D$10)*(Supuestos!$F$10-Supuestos!$E$10))),IF(Supuestos!$C$10="Uniforme",Supuestos!$D$10+G671*(Supuestos!$E$10-Supuestos!$D$10),IF(Supuestos!$C$10="Lognormal",LOGINV(G671,LN(Supuestos!$D$10)-LN(1+Supuestos!$E$10^2/Supuestos!$D$10^2)/2,SQRT(LN(1+Supuestos!$E$10^2/Supuestos!$D$10^2))),Supuestos!$D$10))))))</f>
        <v/>
      </c>
      <c r="O671" s="31">
        <f>MIN(IF(Supuestos!$H$11="",1E+99,Supuestos!$H$11),MAX(IF(Supuestos!$G$11="",-1E+99,Supuestos!$G$11),IF(Supuestos!$C$11="Normal",NORMINV(H671,Supuestos!$D$11,Supuestos!$E$11),IF(Supuestos!$C$11="Triangular",IF(H671&lt;(Supuestos!$E$11-Supuestos!$D$11)/(Supuestos!$F$11-Supuestos!$D$11),Supuestos!$D$11+SQRT(H671*(Supuestos!$F$11-Supuestos!$D$11)*(Supuestos!$E$11-Supuestos!$D$11)),Supuestos!$F$11-SQRT((1-H671)*(Supuestos!$F$11-Supuestos!$D$11)*(Supuestos!$F$11-Supuestos!$E$11))),IF(Supuestos!$C$11="Uniforme",Supuestos!$D$11+H671*(Supuestos!$E$11-Supuestos!$D$11),IF(Supuestos!$C$11="Lognormal",LOGINV(H671,LN(Supuestos!$D$11)-LN(1+Supuestos!$E$11^2/Supuestos!$D$11^2)/2,SQRT(LN(1+Supuestos!$E$11^2/Supuestos!$D$11^2))),Supuestos!$D$11))))))</f>
        <v/>
      </c>
      <c r="P671" s="33">
        <f>-I671</f>
        <v/>
      </c>
      <c r="Q671" s="33">
        <f>$J671*(1+$K671)^(1-1)*(1-$L671)*(1-$M671)</f>
        <v/>
      </c>
      <c r="R671" s="33">
        <f>$J671*(1+$K671)^(2-1)*(1-$L671)*(1-$M671)</f>
        <v/>
      </c>
      <c r="S671" s="33">
        <f>$J671*(1+$K671)^(3-1)*(1-$L671)*(1-$M671)</f>
        <v/>
      </c>
      <c r="T671" s="33">
        <f>$J671*(1+$K671)^(4-1)*(1-$L671)*(1-$M671)</f>
        <v/>
      </c>
      <c r="U671" s="33">
        <f>$J671*(1+$K671)^(5-1)*(1-$L671)*(1-$M671)+$O671</f>
        <v/>
      </c>
      <c r="V671" s="33">
        <f>P671+NPV($N671,Q671:U671)</f>
        <v/>
      </c>
      <c r="W671" s="32">
        <f>IFERROR(IRR(P671:U671,0.1),"")</f>
        <v/>
      </c>
    </row>
    <row r="672">
      <c r="A672" s="14" t="n">
        <v>668</v>
      </c>
      <c r="B672" s="30">
        <f>RAND()*(1-2E-6)+1E-6</f>
        <v/>
      </c>
      <c r="C672" s="30">
        <f>RAND()*(1-2E-6)+1E-6</f>
        <v/>
      </c>
      <c r="D672" s="30">
        <f>RAND()*(1-2E-6)+1E-6</f>
        <v/>
      </c>
      <c r="E672" s="30">
        <f>RAND()*(1-2E-6)+1E-6</f>
        <v/>
      </c>
      <c r="F672" s="30">
        <f>RAND()*(1-2E-6)+1E-6</f>
        <v/>
      </c>
      <c r="G672" s="30">
        <f>RAND()*(1-2E-6)+1E-6</f>
        <v/>
      </c>
      <c r="H672" s="30">
        <f>RAND()*(1-2E-6)+1E-6</f>
        <v/>
      </c>
      <c r="I672" s="31">
        <f>MIN(IF(Supuestos!$H$5="",1E+99,Supuestos!$H$5),MAX(IF(Supuestos!$G$5="",-1E+99,Supuestos!$G$5),IF(Supuestos!$C$5="Normal",NORMINV(B672,Supuestos!$D$5,Supuestos!$E$5),IF(Supuestos!$C$5="Triangular",IF(B672&lt;(Supuestos!$E$5-Supuestos!$D$5)/(Supuestos!$F$5-Supuestos!$D$5),Supuestos!$D$5+SQRT(B672*(Supuestos!$F$5-Supuestos!$D$5)*(Supuestos!$E$5-Supuestos!$D$5)),Supuestos!$F$5-SQRT((1-B672)*(Supuestos!$F$5-Supuestos!$D$5)*(Supuestos!$F$5-Supuestos!$E$5))),IF(Supuestos!$C$5="Uniforme",Supuestos!$D$5+B672*(Supuestos!$E$5-Supuestos!$D$5),IF(Supuestos!$C$5="Lognormal",LOGINV(B672,LN(Supuestos!$D$5)-LN(1+Supuestos!$E$5^2/Supuestos!$D$5^2)/2,SQRT(LN(1+Supuestos!$E$5^2/Supuestos!$D$5^2))),Supuestos!$D$5))))))</f>
        <v/>
      </c>
      <c r="J672" s="31">
        <f>MIN(IF(Supuestos!$H$6="",1E+99,Supuestos!$H$6),MAX(IF(Supuestos!$G$6="",-1E+99,Supuestos!$G$6),IF(Supuestos!$C$6="Normal",NORMINV(C672,Supuestos!$D$6,Supuestos!$E$6),IF(Supuestos!$C$6="Triangular",IF(C672&lt;(Supuestos!$E$6-Supuestos!$D$6)/(Supuestos!$F$6-Supuestos!$D$6),Supuestos!$D$6+SQRT(C672*(Supuestos!$F$6-Supuestos!$D$6)*(Supuestos!$E$6-Supuestos!$D$6)),Supuestos!$F$6-SQRT((1-C672)*(Supuestos!$F$6-Supuestos!$D$6)*(Supuestos!$F$6-Supuestos!$E$6))),IF(Supuestos!$C$6="Uniforme",Supuestos!$D$6+C672*(Supuestos!$E$6-Supuestos!$D$6),IF(Supuestos!$C$6="Lognormal",LOGINV(C672,LN(Supuestos!$D$6)-LN(1+Supuestos!$E$6^2/Supuestos!$D$6^2)/2,SQRT(LN(1+Supuestos!$E$6^2/Supuestos!$D$6^2))),Supuestos!$D$6))))))</f>
        <v/>
      </c>
      <c r="K672" s="32">
        <f>MIN(IF(Supuestos!$H$7="",1E+99,Supuestos!$H$7),MAX(IF(Supuestos!$G$7="",-1E+99,Supuestos!$G$7),IF(Supuestos!$C$7="Normal",NORMINV(D672,Supuestos!$D$7,Supuestos!$E$7),IF(Supuestos!$C$7="Triangular",IF(D672&lt;(Supuestos!$E$7-Supuestos!$D$7)/(Supuestos!$F$7-Supuestos!$D$7),Supuestos!$D$7+SQRT(D672*(Supuestos!$F$7-Supuestos!$D$7)*(Supuestos!$E$7-Supuestos!$D$7)),Supuestos!$F$7-SQRT((1-D672)*(Supuestos!$F$7-Supuestos!$D$7)*(Supuestos!$F$7-Supuestos!$E$7))),IF(Supuestos!$C$7="Uniforme",Supuestos!$D$7+D672*(Supuestos!$E$7-Supuestos!$D$7),IF(Supuestos!$C$7="Lognormal",LOGINV(D672,LN(Supuestos!$D$7)-LN(1+Supuestos!$E$7^2/Supuestos!$D$7^2)/2,SQRT(LN(1+Supuestos!$E$7^2/Supuestos!$D$7^2))),Supuestos!$D$7))))))</f>
        <v/>
      </c>
      <c r="L672" s="32">
        <f>MIN(IF(Supuestos!$H$8="",1E+99,Supuestos!$H$8),MAX(IF(Supuestos!$G$8="",-1E+99,Supuestos!$G$8),IF(Supuestos!$C$8="Normal",NORMINV(E672,Supuestos!$D$8,Supuestos!$E$8),IF(Supuestos!$C$8="Triangular",IF(E672&lt;(Supuestos!$E$8-Supuestos!$D$8)/(Supuestos!$F$8-Supuestos!$D$8),Supuestos!$D$8+SQRT(E672*(Supuestos!$F$8-Supuestos!$D$8)*(Supuestos!$E$8-Supuestos!$D$8)),Supuestos!$F$8-SQRT((1-E672)*(Supuestos!$F$8-Supuestos!$D$8)*(Supuestos!$F$8-Supuestos!$E$8))),IF(Supuestos!$C$8="Uniforme",Supuestos!$D$8+E672*(Supuestos!$E$8-Supuestos!$D$8),IF(Supuestos!$C$8="Lognormal",LOGINV(E672,LN(Supuestos!$D$8)-LN(1+Supuestos!$E$8^2/Supuestos!$D$8^2)/2,SQRT(LN(1+Supuestos!$E$8^2/Supuestos!$D$8^2))),Supuestos!$D$8))))))</f>
        <v/>
      </c>
      <c r="M672" s="32">
        <f>MIN(IF(Supuestos!$H$9="",1E+99,Supuestos!$H$9),MAX(IF(Supuestos!$G$9="",-1E+99,Supuestos!$G$9),IF(Supuestos!$C$9="Normal",NORMINV(F672,Supuestos!$D$9,Supuestos!$E$9),IF(Supuestos!$C$9="Triangular",IF(F672&lt;(Supuestos!$E$9-Supuestos!$D$9)/(Supuestos!$F$9-Supuestos!$D$9),Supuestos!$D$9+SQRT(F672*(Supuestos!$F$9-Supuestos!$D$9)*(Supuestos!$E$9-Supuestos!$D$9)),Supuestos!$F$9-SQRT((1-F672)*(Supuestos!$F$9-Supuestos!$D$9)*(Supuestos!$F$9-Supuestos!$E$9))),IF(Supuestos!$C$9="Uniforme",Supuestos!$D$9+F672*(Supuestos!$E$9-Supuestos!$D$9),IF(Supuestos!$C$9="Lognormal",LOGINV(F672,LN(Supuestos!$D$9)-LN(1+Supuestos!$E$9^2/Supuestos!$D$9^2)/2,SQRT(LN(1+Supuestos!$E$9^2/Supuestos!$D$9^2))),Supuestos!$D$9))))))</f>
        <v/>
      </c>
      <c r="N672" s="32">
        <f>MIN(IF(Supuestos!$H$10="",1E+99,Supuestos!$H$10),MAX(IF(Supuestos!$G$10="",-1E+99,Supuestos!$G$10),IF(Supuestos!$C$10="Normal",NORMINV(G672,Supuestos!$D$10,Supuestos!$E$10),IF(Supuestos!$C$10="Triangular",IF(G672&lt;(Supuestos!$E$10-Supuestos!$D$10)/(Supuestos!$F$10-Supuestos!$D$10),Supuestos!$D$10+SQRT(G672*(Supuestos!$F$10-Supuestos!$D$10)*(Supuestos!$E$10-Supuestos!$D$10)),Supuestos!$F$10-SQRT((1-G672)*(Supuestos!$F$10-Supuestos!$D$10)*(Supuestos!$F$10-Supuestos!$E$10))),IF(Supuestos!$C$10="Uniforme",Supuestos!$D$10+G672*(Supuestos!$E$10-Supuestos!$D$10),IF(Supuestos!$C$10="Lognormal",LOGINV(G672,LN(Supuestos!$D$10)-LN(1+Supuestos!$E$10^2/Supuestos!$D$10^2)/2,SQRT(LN(1+Supuestos!$E$10^2/Supuestos!$D$10^2))),Supuestos!$D$10))))))</f>
        <v/>
      </c>
      <c r="O672" s="31">
        <f>MIN(IF(Supuestos!$H$11="",1E+99,Supuestos!$H$11),MAX(IF(Supuestos!$G$11="",-1E+99,Supuestos!$G$11),IF(Supuestos!$C$11="Normal",NORMINV(H672,Supuestos!$D$11,Supuestos!$E$11),IF(Supuestos!$C$11="Triangular",IF(H672&lt;(Supuestos!$E$11-Supuestos!$D$11)/(Supuestos!$F$11-Supuestos!$D$11),Supuestos!$D$11+SQRT(H672*(Supuestos!$F$11-Supuestos!$D$11)*(Supuestos!$E$11-Supuestos!$D$11)),Supuestos!$F$11-SQRT((1-H672)*(Supuestos!$F$11-Supuestos!$D$11)*(Supuestos!$F$11-Supuestos!$E$11))),IF(Supuestos!$C$11="Uniforme",Supuestos!$D$11+H672*(Supuestos!$E$11-Supuestos!$D$11),IF(Supuestos!$C$11="Lognormal",LOGINV(H672,LN(Supuestos!$D$11)-LN(1+Supuestos!$E$11^2/Supuestos!$D$11^2)/2,SQRT(LN(1+Supuestos!$E$11^2/Supuestos!$D$11^2))),Supuestos!$D$11))))))</f>
        <v/>
      </c>
      <c r="P672" s="33">
        <f>-I672</f>
        <v/>
      </c>
      <c r="Q672" s="33">
        <f>$J672*(1+$K672)^(1-1)*(1-$L672)*(1-$M672)</f>
        <v/>
      </c>
      <c r="R672" s="33">
        <f>$J672*(1+$K672)^(2-1)*(1-$L672)*(1-$M672)</f>
        <v/>
      </c>
      <c r="S672" s="33">
        <f>$J672*(1+$K672)^(3-1)*(1-$L672)*(1-$M672)</f>
        <v/>
      </c>
      <c r="T672" s="33">
        <f>$J672*(1+$K672)^(4-1)*(1-$L672)*(1-$M672)</f>
        <v/>
      </c>
      <c r="U672" s="33">
        <f>$J672*(1+$K672)^(5-1)*(1-$L672)*(1-$M672)+$O672</f>
        <v/>
      </c>
      <c r="V672" s="33">
        <f>P672+NPV($N672,Q672:U672)</f>
        <v/>
      </c>
      <c r="W672" s="32">
        <f>IFERROR(IRR(P672:U672,0.1),"")</f>
        <v/>
      </c>
    </row>
    <row r="673">
      <c r="A673" s="14" t="n">
        <v>669</v>
      </c>
      <c r="B673" s="30">
        <f>RAND()*(1-2E-6)+1E-6</f>
        <v/>
      </c>
      <c r="C673" s="30">
        <f>RAND()*(1-2E-6)+1E-6</f>
        <v/>
      </c>
      <c r="D673" s="30">
        <f>RAND()*(1-2E-6)+1E-6</f>
        <v/>
      </c>
      <c r="E673" s="30">
        <f>RAND()*(1-2E-6)+1E-6</f>
        <v/>
      </c>
      <c r="F673" s="30">
        <f>RAND()*(1-2E-6)+1E-6</f>
        <v/>
      </c>
      <c r="G673" s="30">
        <f>RAND()*(1-2E-6)+1E-6</f>
        <v/>
      </c>
      <c r="H673" s="30">
        <f>RAND()*(1-2E-6)+1E-6</f>
        <v/>
      </c>
      <c r="I673" s="31">
        <f>MIN(IF(Supuestos!$H$5="",1E+99,Supuestos!$H$5),MAX(IF(Supuestos!$G$5="",-1E+99,Supuestos!$G$5),IF(Supuestos!$C$5="Normal",NORMINV(B673,Supuestos!$D$5,Supuestos!$E$5),IF(Supuestos!$C$5="Triangular",IF(B673&lt;(Supuestos!$E$5-Supuestos!$D$5)/(Supuestos!$F$5-Supuestos!$D$5),Supuestos!$D$5+SQRT(B673*(Supuestos!$F$5-Supuestos!$D$5)*(Supuestos!$E$5-Supuestos!$D$5)),Supuestos!$F$5-SQRT((1-B673)*(Supuestos!$F$5-Supuestos!$D$5)*(Supuestos!$F$5-Supuestos!$E$5))),IF(Supuestos!$C$5="Uniforme",Supuestos!$D$5+B673*(Supuestos!$E$5-Supuestos!$D$5),IF(Supuestos!$C$5="Lognormal",LOGINV(B673,LN(Supuestos!$D$5)-LN(1+Supuestos!$E$5^2/Supuestos!$D$5^2)/2,SQRT(LN(1+Supuestos!$E$5^2/Supuestos!$D$5^2))),Supuestos!$D$5))))))</f>
        <v/>
      </c>
      <c r="J673" s="31">
        <f>MIN(IF(Supuestos!$H$6="",1E+99,Supuestos!$H$6),MAX(IF(Supuestos!$G$6="",-1E+99,Supuestos!$G$6),IF(Supuestos!$C$6="Normal",NORMINV(C673,Supuestos!$D$6,Supuestos!$E$6),IF(Supuestos!$C$6="Triangular",IF(C673&lt;(Supuestos!$E$6-Supuestos!$D$6)/(Supuestos!$F$6-Supuestos!$D$6),Supuestos!$D$6+SQRT(C673*(Supuestos!$F$6-Supuestos!$D$6)*(Supuestos!$E$6-Supuestos!$D$6)),Supuestos!$F$6-SQRT((1-C673)*(Supuestos!$F$6-Supuestos!$D$6)*(Supuestos!$F$6-Supuestos!$E$6))),IF(Supuestos!$C$6="Uniforme",Supuestos!$D$6+C673*(Supuestos!$E$6-Supuestos!$D$6),IF(Supuestos!$C$6="Lognormal",LOGINV(C673,LN(Supuestos!$D$6)-LN(1+Supuestos!$E$6^2/Supuestos!$D$6^2)/2,SQRT(LN(1+Supuestos!$E$6^2/Supuestos!$D$6^2))),Supuestos!$D$6))))))</f>
        <v/>
      </c>
      <c r="K673" s="32">
        <f>MIN(IF(Supuestos!$H$7="",1E+99,Supuestos!$H$7),MAX(IF(Supuestos!$G$7="",-1E+99,Supuestos!$G$7),IF(Supuestos!$C$7="Normal",NORMINV(D673,Supuestos!$D$7,Supuestos!$E$7),IF(Supuestos!$C$7="Triangular",IF(D673&lt;(Supuestos!$E$7-Supuestos!$D$7)/(Supuestos!$F$7-Supuestos!$D$7),Supuestos!$D$7+SQRT(D673*(Supuestos!$F$7-Supuestos!$D$7)*(Supuestos!$E$7-Supuestos!$D$7)),Supuestos!$F$7-SQRT((1-D673)*(Supuestos!$F$7-Supuestos!$D$7)*(Supuestos!$F$7-Supuestos!$E$7))),IF(Supuestos!$C$7="Uniforme",Supuestos!$D$7+D673*(Supuestos!$E$7-Supuestos!$D$7),IF(Supuestos!$C$7="Lognormal",LOGINV(D673,LN(Supuestos!$D$7)-LN(1+Supuestos!$E$7^2/Supuestos!$D$7^2)/2,SQRT(LN(1+Supuestos!$E$7^2/Supuestos!$D$7^2))),Supuestos!$D$7))))))</f>
        <v/>
      </c>
      <c r="L673" s="32">
        <f>MIN(IF(Supuestos!$H$8="",1E+99,Supuestos!$H$8),MAX(IF(Supuestos!$G$8="",-1E+99,Supuestos!$G$8),IF(Supuestos!$C$8="Normal",NORMINV(E673,Supuestos!$D$8,Supuestos!$E$8),IF(Supuestos!$C$8="Triangular",IF(E673&lt;(Supuestos!$E$8-Supuestos!$D$8)/(Supuestos!$F$8-Supuestos!$D$8),Supuestos!$D$8+SQRT(E673*(Supuestos!$F$8-Supuestos!$D$8)*(Supuestos!$E$8-Supuestos!$D$8)),Supuestos!$F$8-SQRT((1-E673)*(Supuestos!$F$8-Supuestos!$D$8)*(Supuestos!$F$8-Supuestos!$E$8))),IF(Supuestos!$C$8="Uniforme",Supuestos!$D$8+E673*(Supuestos!$E$8-Supuestos!$D$8),IF(Supuestos!$C$8="Lognormal",LOGINV(E673,LN(Supuestos!$D$8)-LN(1+Supuestos!$E$8^2/Supuestos!$D$8^2)/2,SQRT(LN(1+Supuestos!$E$8^2/Supuestos!$D$8^2))),Supuestos!$D$8))))))</f>
        <v/>
      </c>
      <c r="M673" s="32">
        <f>MIN(IF(Supuestos!$H$9="",1E+99,Supuestos!$H$9),MAX(IF(Supuestos!$G$9="",-1E+99,Supuestos!$G$9),IF(Supuestos!$C$9="Normal",NORMINV(F673,Supuestos!$D$9,Supuestos!$E$9),IF(Supuestos!$C$9="Triangular",IF(F673&lt;(Supuestos!$E$9-Supuestos!$D$9)/(Supuestos!$F$9-Supuestos!$D$9),Supuestos!$D$9+SQRT(F673*(Supuestos!$F$9-Supuestos!$D$9)*(Supuestos!$E$9-Supuestos!$D$9)),Supuestos!$F$9-SQRT((1-F673)*(Supuestos!$F$9-Supuestos!$D$9)*(Supuestos!$F$9-Supuestos!$E$9))),IF(Supuestos!$C$9="Uniforme",Supuestos!$D$9+F673*(Supuestos!$E$9-Supuestos!$D$9),IF(Supuestos!$C$9="Lognormal",LOGINV(F673,LN(Supuestos!$D$9)-LN(1+Supuestos!$E$9^2/Supuestos!$D$9^2)/2,SQRT(LN(1+Supuestos!$E$9^2/Supuestos!$D$9^2))),Supuestos!$D$9))))))</f>
        <v/>
      </c>
      <c r="N673" s="32">
        <f>MIN(IF(Supuestos!$H$10="",1E+99,Supuestos!$H$10),MAX(IF(Supuestos!$G$10="",-1E+99,Supuestos!$G$10),IF(Supuestos!$C$10="Normal",NORMINV(G673,Supuestos!$D$10,Supuestos!$E$10),IF(Supuestos!$C$10="Triangular",IF(G673&lt;(Supuestos!$E$10-Supuestos!$D$10)/(Supuestos!$F$10-Supuestos!$D$10),Supuestos!$D$10+SQRT(G673*(Supuestos!$F$10-Supuestos!$D$10)*(Supuestos!$E$10-Supuestos!$D$10)),Supuestos!$F$10-SQRT((1-G673)*(Supuestos!$F$10-Supuestos!$D$10)*(Supuestos!$F$10-Supuestos!$E$10))),IF(Supuestos!$C$10="Uniforme",Supuestos!$D$10+G673*(Supuestos!$E$10-Supuestos!$D$10),IF(Supuestos!$C$10="Lognormal",LOGINV(G673,LN(Supuestos!$D$10)-LN(1+Supuestos!$E$10^2/Supuestos!$D$10^2)/2,SQRT(LN(1+Supuestos!$E$10^2/Supuestos!$D$10^2))),Supuestos!$D$10))))))</f>
        <v/>
      </c>
      <c r="O673" s="31">
        <f>MIN(IF(Supuestos!$H$11="",1E+99,Supuestos!$H$11),MAX(IF(Supuestos!$G$11="",-1E+99,Supuestos!$G$11),IF(Supuestos!$C$11="Normal",NORMINV(H673,Supuestos!$D$11,Supuestos!$E$11),IF(Supuestos!$C$11="Triangular",IF(H673&lt;(Supuestos!$E$11-Supuestos!$D$11)/(Supuestos!$F$11-Supuestos!$D$11),Supuestos!$D$11+SQRT(H673*(Supuestos!$F$11-Supuestos!$D$11)*(Supuestos!$E$11-Supuestos!$D$11)),Supuestos!$F$11-SQRT((1-H673)*(Supuestos!$F$11-Supuestos!$D$11)*(Supuestos!$F$11-Supuestos!$E$11))),IF(Supuestos!$C$11="Uniforme",Supuestos!$D$11+H673*(Supuestos!$E$11-Supuestos!$D$11),IF(Supuestos!$C$11="Lognormal",LOGINV(H673,LN(Supuestos!$D$11)-LN(1+Supuestos!$E$11^2/Supuestos!$D$11^2)/2,SQRT(LN(1+Supuestos!$E$11^2/Supuestos!$D$11^2))),Supuestos!$D$11))))))</f>
        <v/>
      </c>
      <c r="P673" s="33">
        <f>-I673</f>
        <v/>
      </c>
      <c r="Q673" s="33">
        <f>$J673*(1+$K673)^(1-1)*(1-$L673)*(1-$M673)</f>
        <v/>
      </c>
      <c r="R673" s="33">
        <f>$J673*(1+$K673)^(2-1)*(1-$L673)*(1-$M673)</f>
        <v/>
      </c>
      <c r="S673" s="33">
        <f>$J673*(1+$K673)^(3-1)*(1-$L673)*(1-$M673)</f>
        <v/>
      </c>
      <c r="T673" s="33">
        <f>$J673*(1+$K673)^(4-1)*(1-$L673)*(1-$M673)</f>
        <v/>
      </c>
      <c r="U673" s="33">
        <f>$J673*(1+$K673)^(5-1)*(1-$L673)*(1-$M673)+$O673</f>
        <v/>
      </c>
      <c r="V673" s="33">
        <f>P673+NPV($N673,Q673:U673)</f>
        <v/>
      </c>
      <c r="W673" s="32">
        <f>IFERROR(IRR(P673:U673,0.1),"")</f>
        <v/>
      </c>
    </row>
    <row r="674">
      <c r="A674" s="14" t="n">
        <v>670</v>
      </c>
      <c r="B674" s="30">
        <f>RAND()*(1-2E-6)+1E-6</f>
        <v/>
      </c>
      <c r="C674" s="30">
        <f>RAND()*(1-2E-6)+1E-6</f>
        <v/>
      </c>
      <c r="D674" s="30">
        <f>RAND()*(1-2E-6)+1E-6</f>
        <v/>
      </c>
      <c r="E674" s="30">
        <f>RAND()*(1-2E-6)+1E-6</f>
        <v/>
      </c>
      <c r="F674" s="30">
        <f>RAND()*(1-2E-6)+1E-6</f>
        <v/>
      </c>
      <c r="G674" s="30">
        <f>RAND()*(1-2E-6)+1E-6</f>
        <v/>
      </c>
      <c r="H674" s="30">
        <f>RAND()*(1-2E-6)+1E-6</f>
        <v/>
      </c>
      <c r="I674" s="31">
        <f>MIN(IF(Supuestos!$H$5="",1E+99,Supuestos!$H$5),MAX(IF(Supuestos!$G$5="",-1E+99,Supuestos!$G$5),IF(Supuestos!$C$5="Normal",NORMINV(B674,Supuestos!$D$5,Supuestos!$E$5),IF(Supuestos!$C$5="Triangular",IF(B674&lt;(Supuestos!$E$5-Supuestos!$D$5)/(Supuestos!$F$5-Supuestos!$D$5),Supuestos!$D$5+SQRT(B674*(Supuestos!$F$5-Supuestos!$D$5)*(Supuestos!$E$5-Supuestos!$D$5)),Supuestos!$F$5-SQRT((1-B674)*(Supuestos!$F$5-Supuestos!$D$5)*(Supuestos!$F$5-Supuestos!$E$5))),IF(Supuestos!$C$5="Uniforme",Supuestos!$D$5+B674*(Supuestos!$E$5-Supuestos!$D$5),IF(Supuestos!$C$5="Lognormal",LOGINV(B674,LN(Supuestos!$D$5)-LN(1+Supuestos!$E$5^2/Supuestos!$D$5^2)/2,SQRT(LN(1+Supuestos!$E$5^2/Supuestos!$D$5^2))),Supuestos!$D$5))))))</f>
        <v/>
      </c>
      <c r="J674" s="31">
        <f>MIN(IF(Supuestos!$H$6="",1E+99,Supuestos!$H$6),MAX(IF(Supuestos!$G$6="",-1E+99,Supuestos!$G$6),IF(Supuestos!$C$6="Normal",NORMINV(C674,Supuestos!$D$6,Supuestos!$E$6),IF(Supuestos!$C$6="Triangular",IF(C674&lt;(Supuestos!$E$6-Supuestos!$D$6)/(Supuestos!$F$6-Supuestos!$D$6),Supuestos!$D$6+SQRT(C674*(Supuestos!$F$6-Supuestos!$D$6)*(Supuestos!$E$6-Supuestos!$D$6)),Supuestos!$F$6-SQRT((1-C674)*(Supuestos!$F$6-Supuestos!$D$6)*(Supuestos!$F$6-Supuestos!$E$6))),IF(Supuestos!$C$6="Uniforme",Supuestos!$D$6+C674*(Supuestos!$E$6-Supuestos!$D$6),IF(Supuestos!$C$6="Lognormal",LOGINV(C674,LN(Supuestos!$D$6)-LN(1+Supuestos!$E$6^2/Supuestos!$D$6^2)/2,SQRT(LN(1+Supuestos!$E$6^2/Supuestos!$D$6^2))),Supuestos!$D$6))))))</f>
        <v/>
      </c>
      <c r="K674" s="32">
        <f>MIN(IF(Supuestos!$H$7="",1E+99,Supuestos!$H$7),MAX(IF(Supuestos!$G$7="",-1E+99,Supuestos!$G$7),IF(Supuestos!$C$7="Normal",NORMINV(D674,Supuestos!$D$7,Supuestos!$E$7),IF(Supuestos!$C$7="Triangular",IF(D674&lt;(Supuestos!$E$7-Supuestos!$D$7)/(Supuestos!$F$7-Supuestos!$D$7),Supuestos!$D$7+SQRT(D674*(Supuestos!$F$7-Supuestos!$D$7)*(Supuestos!$E$7-Supuestos!$D$7)),Supuestos!$F$7-SQRT((1-D674)*(Supuestos!$F$7-Supuestos!$D$7)*(Supuestos!$F$7-Supuestos!$E$7))),IF(Supuestos!$C$7="Uniforme",Supuestos!$D$7+D674*(Supuestos!$E$7-Supuestos!$D$7),IF(Supuestos!$C$7="Lognormal",LOGINV(D674,LN(Supuestos!$D$7)-LN(1+Supuestos!$E$7^2/Supuestos!$D$7^2)/2,SQRT(LN(1+Supuestos!$E$7^2/Supuestos!$D$7^2))),Supuestos!$D$7))))))</f>
        <v/>
      </c>
      <c r="L674" s="32">
        <f>MIN(IF(Supuestos!$H$8="",1E+99,Supuestos!$H$8),MAX(IF(Supuestos!$G$8="",-1E+99,Supuestos!$G$8),IF(Supuestos!$C$8="Normal",NORMINV(E674,Supuestos!$D$8,Supuestos!$E$8),IF(Supuestos!$C$8="Triangular",IF(E674&lt;(Supuestos!$E$8-Supuestos!$D$8)/(Supuestos!$F$8-Supuestos!$D$8),Supuestos!$D$8+SQRT(E674*(Supuestos!$F$8-Supuestos!$D$8)*(Supuestos!$E$8-Supuestos!$D$8)),Supuestos!$F$8-SQRT((1-E674)*(Supuestos!$F$8-Supuestos!$D$8)*(Supuestos!$F$8-Supuestos!$E$8))),IF(Supuestos!$C$8="Uniforme",Supuestos!$D$8+E674*(Supuestos!$E$8-Supuestos!$D$8),IF(Supuestos!$C$8="Lognormal",LOGINV(E674,LN(Supuestos!$D$8)-LN(1+Supuestos!$E$8^2/Supuestos!$D$8^2)/2,SQRT(LN(1+Supuestos!$E$8^2/Supuestos!$D$8^2))),Supuestos!$D$8))))))</f>
        <v/>
      </c>
      <c r="M674" s="32">
        <f>MIN(IF(Supuestos!$H$9="",1E+99,Supuestos!$H$9),MAX(IF(Supuestos!$G$9="",-1E+99,Supuestos!$G$9),IF(Supuestos!$C$9="Normal",NORMINV(F674,Supuestos!$D$9,Supuestos!$E$9),IF(Supuestos!$C$9="Triangular",IF(F674&lt;(Supuestos!$E$9-Supuestos!$D$9)/(Supuestos!$F$9-Supuestos!$D$9),Supuestos!$D$9+SQRT(F674*(Supuestos!$F$9-Supuestos!$D$9)*(Supuestos!$E$9-Supuestos!$D$9)),Supuestos!$F$9-SQRT((1-F674)*(Supuestos!$F$9-Supuestos!$D$9)*(Supuestos!$F$9-Supuestos!$E$9))),IF(Supuestos!$C$9="Uniforme",Supuestos!$D$9+F674*(Supuestos!$E$9-Supuestos!$D$9),IF(Supuestos!$C$9="Lognormal",LOGINV(F674,LN(Supuestos!$D$9)-LN(1+Supuestos!$E$9^2/Supuestos!$D$9^2)/2,SQRT(LN(1+Supuestos!$E$9^2/Supuestos!$D$9^2))),Supuestos!$D$9))))))</f>
        <v/>
      </c>
      <c r="N674" s="32">
        <f>MIN(IF(Supuestos!$H$10="",1E+99,Supuestos!$H$10),MAX(IF(Supuestos!$G$10="",-1E+99,Supuestos!$G$10),IF(Supuestos!$C$10="Normal",NORMINV(G674,Supuestos!$D$10,Supuestos!$E$10),IF(Supuestos!$C$10="Triangular",IF(G674&lt;(Supuestos!$E$10-Supuestos!$D$10)/(Supuestos!$F$10-Supuestos!$D$10),Supuestos!$D$10+SQRT(G674*(Supuestos!$F$10-Supuestos!$D$10)*(Supuestos!$E$10-Supuestos!$D$10)),Supuestos!$F$10-SQRT((1-G674)*(Supuestos!$F$10-Supuestos!$D$10)*(Supuestos!$F$10-Supuestos!$E$10))),IF(Supuestos!$C$10="Uniforme",Supuestos!$D$10+G674*(Supuestos!$E$10-Supuestos!$D$10),IF(Supuestos!$C$10="Lognormal",LOGINV(G674,LN(Supuestos!$D$10)-LN(1+Supuestos!$E$10^2/Supuestos!$D$10^2)/2,SQRT(LN(1+Supuestos!$E$10^2/Supuestos!$D$10^2))),Supuestos!$D$10))))))</f>
        <v/>
      </c>
      <c r="O674" s="31">
        <f>MIN(IF(Supuestos!$H$11="",1E+99,Supuestos!$H$11),MAX(IF(Supuestos!$G$11="",-1E+99,Supuestos!$G$11),IF(Supuestos!$C$11="Normal",NORMINV(H674,Supuestos!$D$11,Supuestos!$E$11),IF(Supuestos!$C$11="Triangular",IF(H674&lt;(Supuestos!$E$11-Supuestos!$D$11)/(Supuestos!$F$11-Supuestos!$D$11),Supuestos!$D$11+SQRT(H674*(Supuestos!$F$11-Supuestos!$D$11)*(Supuestos!$E$11-Supuestos!$D$11)),Supuestos!$F$11-SQRT((1-H674)*(Supuestos!$F$11-Supuestos!$D$11)*(Supuestos!$F$11-Supuestos!$E$11))),IF(Supuestos!$C$11="Uniforme",Supuestos!$D$11+H674*(Supuestos!$E$11-Supuestos!$D$11),IF(Supuestos!$C$11="Lognormal",LOGINV(H674,LN(Supuestos!$D$11)-LN(1+Supuestos!$E$11^2/Supuestos!$D$11^2)/2,SQRT(LN(1+Supuestos!$E$11^2/Supuestos!$D$11^2))),Supuestos!$D$11))))))</f>
        <v/>
      </c>
      <c r="P674" s="33">
        <f>-I674</f>
        <v/>
      </c>
      <c r="Q674" s="33">
        <f>$J674*(1+$K674)^(1-1)*(1-$L674)*(1-$M674)</f>
        <v/>
      </c>
      <c r="R674" s="33">
        <f>$J674*(1+$K674)^(2-1)*(1-$L674)*(1-$M674)</f>
        <v/>
      </c>
      <c r="S674" s="33">
        <f>$J674*(1+$K674)^(3-1)*(1-$L674)*(1-$M674)</f>
        <v/>
      </c>
      <c r="T674" s="33">
        <f>$J674*(1+$K674)^(4-1)*(1-$L674)*(1-$M674)</f>
        <v/>
      </c>
      <c r="U674" s="33">
        <f>$J674*(1+$K674)^(5-1)*(1-$L674)*(1-$M674)+$O674</f>
        <v/>
      </c>
      <c r="V674" s="33">
        <f>P674+NPV($N674,Q674:U674)</f>
        <v/>
      </c>
      <c r="W674" s="32">
        <f>IFERROR(IRR(P674:U674,0.1),"")</f>
        <v/>
      </c>
    </row>
    <row r="675">
      <c r="A675" s="14" t="n">
        <v>671</v>
      </c>
      <c r="B675" s="30">
        <f>RAND()*(1-2E-6)+1E-6</f>
        <v/>
      </c>
      <c r="C675" s="30">
        <f>RAND()*(1-2E-6)+1E-6</f>
        <v/>
      </c>
      <c r="D675" s="30">
        <f>RAND()*(1-2E-6)+1E-6</f>
        <v/>
      </c>
      <c r="E675" s="30">
        <f>RAND()*(1-2E-6)+1E-6</f>
        <v/>
      </c>
      <c r="F675" s="30">
        <f>RAND()*(1-2E-6)+1E-6</f>
        <v/>
      </c>
      <c r="G675" s="30">
        <f>RAND()*(1-2E-6)+1E-6</f>
        <v/>
      </c>
      <c r="H675" s="30">
        <f>RAND()*(1-2E-6)+1E-6</f>
        <v/>
      </c>
      <c r="I675" s="31">
        <f>MIN(IF(Supuestos!$H$5="",1E+99,Supuestos!$H$5),MAX(IF(Supuestos!$G$5="",-1E+99,Supuestos!$G$5),IF(Supuestos!$C$5="Normal",NORMINV(B675,Supuestos!$D$5,Supuestos!$E$5),IF(Supuestos!$C$5="Triangular",IF(B675&lt;(Supuestos!$E$5-Supuestos!$D$5)/(Supuestos!$F$5-Supuestos!$D$5),Supuestos!$D$5+SQRT(B675*(Supuestos!$F$5-Supuestos!$D$5)*(Supuestos!$E$5-Supuestos!$D$5)),Supuestos!$F$5-SQRT((1-B675)*(Supuestos!$F$5-Supuestos!$D$5)*(Supuestos!$F$5-Supuestos!$E$5))),IF(Supuestos!$C$5="Uniforme",Supuestos!$D$5+B675*(Supuestos!$E$5-Supuestos!$D$5),IF(Supuestos!$C$5="Lognormal",LOGINV(B675,LN(Supuestos!$D$5)-LN(1+Supuestos!$E$5^2/Supuestos!$D$5^2)/2,SQRT(LN(1+Supuestos!$E$5^2/Supuestos!$D$5^2))),Supuestos!$D$5))))))</f>
        <v/>
      </c>
      <c r="J675" s="31">
        <f>MIN(IF(Supuestos!$H$6="",1E+99,Supuestos!$H$6),MAX(IF(Supuestos!$G$6="",-1E+99,Supuestos!$G$6),IF(Supuestos!$C$6="Normal",NORMINV(C675,Supuestos!$D$6,Supuestos!$E$6),IF(Supuestos!$C$6="Triangular",IF(C675&lt;(Supuestos!$E$6-Supuestos!$D$6)/(Supuestos!$F$6-Supuestos!$D$6),Supuestos!$D$6+SQRT(C675*(Supuestos!$F$6-Supuestos!$D$6)*(Supuestos!$E$6-Supuestos!$D$6)),Supuestos!$F$6-SQRT((1-C675)*(Supuestos!$F$6-Supuestos!$D$6)*(Supuestos!$F$6-Supuestos!$E$6))),IF(Supuestos!$C$6="Uniforme",Supuestos!$D$6+C675*(Supuestos!$E$6-Supuestos!$D$6),IF(Supuestos!$C$6="Lognormal",LOGINV(C675,LN(Supuestos!$D$6)-LN(1+Supuestos!$E$6^2/Supuestos!$D$6^2)/2,SQRT(LN(1+Supuestos!$E$6^2/Supuestos!$D$6^2))),Supuestos!$D$6))))))</f>
        <v/>
      </c>
      <c r="K675" s="32">
        <f>MIN(IF(Supuestos!$H$7="",1E+99,Supuestos!$H$7),MAX(IF(Supuestos!$G$7="",-1E+99,Supuestos!$G$7),IF(Supuestos!$C$7="Normal",NORMINV(D675,Supuestos!$D$7,Supuestos!$E$7),IF(Supuestos!$C$7="Triangular",IF(D675&lt;(Supuestos!$E$7-Supuestos!$D$7)/(Supuestos!$F$7-Supuestos!$D$7),Supuestos!$D$7+SQRT(D675*(Supuestos!$F$7-Supuestos!$D$7)*(Supuestos!$E$7-Supuestos!$D$7)),Supuestos!$F$7-SQRT((1-D675)*(Supuestos!$F$7-Supuestos!$D$7)*(Supuestos!$F$7-Supuestos!$E$7))),IF(Supuestos!$C$7="Uniforme",Supuestos!$D$7+D675*(Supuestos!$E$7-Supuestos!$D$7),IF(Supuestos!$C$7="Lognormal",LOGINV(D675,LN(Supuestos!$D$7)-LN(1+Supuestos!$E$7^2/Supuestos!$D$7^2)/2,SQRT(LN(1+Supuestos!$E$7^2/Supuestos!$D$7^2))),Supuestos!$D$7))))))</f>
        <v/>
      </c>
      <c r="L675" s="32">
        <f>MIN(IF(Supuestos!$H$8="",1E+99,Supuestos!$H$8),MAX(IF(Supuestos!$G$8="",-1E+99,Supuestos!$G$8),IF(Supuestos!$C$8="Normal",NORMINV(E675,Supuestos!$D$8,Supuestos!$E$8),IF(Supuestos!$C$8="Triangular",IF(E675&lt;(Supuestos!$E$8-Supuestos!$D$8)/(Supuestos!$F$8-Supuestos!$D$8),Supuestos!$D$8+SQRT(E675*(Supuestos!$F$8-Supuestos!$D$8)*(Supuestos!$E$8-Supuestos!$D$8)),Supuestos!$F$8-SQRT((1-E675)*(Supuestos!$F$8-Supuestos!$D$8)*(Supuestos!$F$8-Supuestos!$E$8))),IF(Supuestos!$C$8="Uniforme",Supuestos!$D$8+E675*(Supuestos!$E$8-Supuestos!$D$8),IF(Supuestos!$C$8="Lognormal",LOGINV(E675,LN(Supuestos!$D$8)-LN(1+Supuestos!$E$8^2/Supuestos!$D$8^2)/2,SQRT(LN(1+Supuestos!$E$8^2/Supuestos!$D$8^2))),Supuestos!$D$8))))))</f>
        <v/>
      </c>
      <c r="M675" s="32">
        <f>MIN(IF(Supuestos!$H$9="",1E+99,Supuestos!$H$9),MAX(IF(Supuestos!$G$9="",-1E+99,Supuestos!$G$9),IF(Supuestos!$C$9="Normal",NORMINV(F675,Supuestos!$D$9,Supuestos!$E$9),IF(Supuestos!$C$9="Triangular",IF(F675&lt;(Supuestos!$E$9-Supuestos!$D$9)/(Supuestos!$F$9-Supuestos!$D$9),Supuestos!$D$9+SQRT(F675*(Supuestos!$F$9-Supuestos!$D$9)*(Supuestos!$E$9-Supuestos!$D$9)),Supuestos!$F$9-SQRT((1-F675)*(Supuestos!$F$9-Supuestos!$D$9)*(Supuestos!$F$9-Supuestos!$E$9))),IF(Supuestos!$C$9="Uniforme",Supuestos!$D$9+F675*(Supuestos!$E$9-Supuestos!$D$9),IF(Supuestos!$C$9="Lognormal",LOGINV(F675,LN(Supuestos!$D$9)-LN(1+Supuestos!$E$9^2/Supuestos!$D$9^2)/2,SQRT(LN(1+Supuestos!$E$9^2/Supuestos!$D$9^2))),Supuestos!$D$9))))))</f>
        <v/>
      </c>
      <c r="N675" s="32">
        <f>MIN(IF(Supuestos!$H$10="",1E+99,Supuestos!$H$10),MAX(IF(Supuestos!$G$10="",-1E+99,Supuestos!$G$10),IF(Supuestos!$C$10="Normal",NORMINV(G675,Supuestos!$D$10,Supuestos!$E$10),IF(Supuestos!$C$10="Triangular",IF(G675&lt;(Supuestos!$E$10-Supuestos!$D$10)/(Supuestos!$F$10-Supuestos!$D$10),Supuestos!$D$10+SQRT(G675*(Supuestos!$F$10-Supuestos!$D$10)*(Supuestos!$E$10-Supuestos!$D$10)),Supuestos!$F$10-SQRT((1-G675)*(Supuestos!$F$10-Supuestos!$D$10)*(Supuestos!$F$10-Supuestos!$E$10))),IF(Supuestos!$C$10="Uniforme",Supuestos!$D$10+G675*(Supuestos!$E$10-Supuestos!$D$10),IF(Supuestos!$C$10="Lognormal",LOGINV(G675,LN(Supuestos!$D$10)-LN(1+Supuestos!$E$10^2/Supuestos!$D$10^2)/2,SQRT(LN(1+Supuestos!$E$10^2/Supuestos!$D$10^2))),Supuestos!$D$10))))))</f>
        <v/>
      </c>
      <c r="O675" s="31">
        <f>MIN(IF(Supuestos!$H$11="",1E+99,Supuestos!$H$11),MAX(IF(Supuestos!$G$11="",-1E+99,Supuestos!$G$11),IF(Supuestos!$C$11="Normal",NORMINV(H675,Supuestos!$D$11,Supuestos!$E$11),IF(Supuestos!$C$11="Triangular",IF(H675&lt;(Supuestos!$E$11-Supuestos!$D$11)/(Supuestos!$F$11-Supuestos!$D$11),Supuestos!$D$11+SQRT(H675*(Supuestos!$F$11-Supuestos!$D$11)*(Supuestos!$E$11-Supuestos!$D$11)),Supuestos!$F$11-SQRT((1-H675)*(Supuestos!$F$11-Supuestos!$D$11)*(Supuestos!$F$11-Supuestos!$E$11))),IF(Supuestos!$C$11="Uniforme",Supuestos!$D$11+H675*(Supuestos!$E$11-Supuestos!$D$11),IF(Supuestos!$C$11="Lognormal",LOGINV(H675,LN(Supuestos!$D$11)-LN(1+Supuestos!$E$11^2/Supuestos!$D$11^2)/2,SQRT(LN(1+Supuestos!$E$11^2/Supuestos!$D$11^2))),Supuestos!$D$11))))))</f>
        <v/>
      </c>
      <c r="P675" s="33">
        <f>-I675</f>
        <v/>
      </c>
      <c r="Q675" s="33">
        <f>$J675*(1+$K675)^(1-1)*(1-$L675)*(1-$M675)</f>
        <v/>
      </c>
      <c r="R675" s="33">
        <f>$J675*(1+$K675)^(2-1)*(1-$L675)*(1-$M675)</f>
        <v/>
      </c>
      <c r="S675" s="33">
        <f>$J675*(1+$K675)^(3-1)*(1-$L675)*(1-$M675)</f>
        <v/>
      </c>
      <c r="T675" s="33">
        <f>$J675*(1+$K675)^(4-1)*(1-$L675)*(1-$M675)</f>
        <v/>
      </c>
      <c r="U675" s="33">
        <f>$J675*(1+$K675)^(5-1)*(1-$L675)*(1-$M675)+$O675</f>
        <v/>
      </c>
      <c r="V675" s="33">
        <f>P675+NPV($N675,Q675:U675)</f>
        <v/>
      </c>
      <c r="W675" s="32">
        <f>IFERROR(IRR(P675:U675,0.1),"")</f>
        <v/>
      </c>
    </row>
    <row r="676">
      <c r="A676" s="14" t="n">
        <v>672</v>
      </c>
      <c r="B676" s="30">
        <f>RAND()*(1-2E-6)+1E-6</f>
        <v/>
      </c>
      <c r="C676" s="30">
        <f>RAND()*(1-2E-6)+1E-6</f>
        <v/>
      </c>
      <c r="D676" s="30">
        <f>RAND()*(1-2E-6)+1E-6</f>
        <v/>
      </c>
      <c r="E676" s="30">
        <f>RAND()*(1-2E-6)+1E-6</f>
        <v/>
      </c>
      <c r="F676" s="30">
        <f>RAND()*(1-2E-6)+1E-6</f>
        <v/>
      </c>
      <c r="G676" s="30">
        <f>RAND()*(1-2E-6)+1E-6</f>
        <v/>
      </c>
      <c r="H676" s="30">
        <f>RAND()*(1-2E-6)+1E-6</f>
        <v/>
      </c>
      <c r="I676" s="31">
        <f>MIN(IF(Supuestos!$H$5="",1E+99,Supuestos!$H$5),MAX(IF(Supuestos!$G$5="",-1E+99,Supuestos!$G$5),IF(Supuestos!$C$5="Normal",NORMINV(B676,Supuestos!$D$5,Supuestos!$E$5),IF(Supuestos!$C$5="Triangular",IF(B676&lt;(Supuestos!$E$5-Supuestos!$D$5)/(Supuestos!$F$5-Supuestos!$D$5),Supuestos!$D$5+SQRT(B676*(Supuestos!$F$5-Supuestos!$D$5)*(Supuestos!$E$5-Supuestos!$D$5)),Supuestos!$F$5-SQRT((1-B676)*(Supuestos!$F$5-Supuestos!$D$5)*(Supuestos!$F$5-Supuestos!$E$5))),IF(Supuestos!$C$5="Uniforme",Supuestos!$D$5+B676*(Supuestos!$E$5-Supuestos!$D$5),IF(Supuestos!$C$5="Lognormal",LOGINV(B676,LN(Supuestos!$D$5)-LN(1+Supuestos!$E$5^2/Supuestos!$D$5^2)/2,SQRT(LN(1+Supuestos!$E$5^2/Supuestos!$D$5^2))),Supuestos!$D$5))))))</f>
        <v/>
      </c>
      <c r="J676" s="31">
        <f>MIN(IF(Supuestos!$H$6="",1E+99,Supuestos!$H$6),MAX(IF(Supuestos!$G$6="",-1E+99,Supuestos!$G$6),IF(Supuestos!$C$6="Normal",NORMINV(C676,Supuestos!$D$6,Supuestos!$E$6),IF(Supuestos!$C$6="Triangular",IF(C676&lt;(Supuestos!$E$6-Supuestos!$D$6)/(Supuestos!$F$6-Supuestos!$D$6),Supuestos!$D$6+SQRT(C676*(Supuestos!$F$6-Supuestos!$D$6)*(Supuestos!$E$6-Supuestos!$D$6)),Supuestos!$F$6-SQRT((1-C676)*(Supuestos!$F$6-Supuestos!$D$6)*(Supuestos!$F$6-Supuestos!$E$6))),IF(Supuestos!$C$6="Uniforme",Supuestos!$D$6+C676*(Supuestos!$E$6-Supuestos!$D$6),IF(Supuestos!$C$6="Lognormal",LOGINV(C676,LN(Supuestos!$D$6)-LN(1+Supuestos!$E$6^2/Supuestos!$D$6^2)/2,SQRT(LN(1+Supuestos!$E$6^2/Supuestos!$D$6^2))),Supuestos!$D$6))))))</f>
        <v/>
      </c>
      <c r="K676" s="32">
        <f>MIN(IF(Supuestos!$H$7="",1E+99,Supuestos!$H$7),MAX(IF(Supuestos!$G$7="",-1E+99,Supuestos!$G$7),IF(Supuestos!$C$7="Normal",NORMINV(D676,Supuestos!$D$7,Supuestos!$E$7),IF(Supuestos!$C$7="Triangular",IF(D676&lt;(Supuestos!$E$7-Supuestos!$D$7)/(Supuestos!$F$7-Supuestos!$D$7),Supuestos!$D$7+SQRT(D676*(Supuestos!$F$7-Supuestos!$D$7)*(Supuestos!$E$7-Supuestos!$D$7)),Supuestos!$F$7-SQRT((1-D676)*(Supuestos!$F$7-Supuestos!$D$7)*(Supuestos!$F$7-Supuestos!$E$7))),IF(Supuestos!$C$7="Uniforme",Supuestos!$D$7+D676*(Supuestos!$E$7-Supuestos!$D$7),IF(Supuestos!$C$7="Lognormal",LOGINV(D676,LN(Supuestos!$D$7)-LN(1+Supuestos!$E$7^2/Supuestos!$D$7^2)/2,SQRT(LN(1+Supuestos!$E$7^2/Supuestos!$D$7^2))),Supuestos!$D$7))))))</f>
        <v/>
      </c>
      <c r="L676" s="32">
        <f>MIN(IF(Supuestos!$H$8="",1E+99,Supuestos!$H$8),MAX(IF(Supuestos!$G$8="",-1E+99,Supuestos!$G$8),IF(Supuestos!$C$8="Normal",NORMINV(E676,Supuestos!$D$8,Supuestos!$E$8),IF(Supuestos!$C$8="Triangular",IF(E676&lt;(Supuestos!$E$8-Supuestos!$D$8)/(Supuestos!$F$8-Supuestos!$D$8),Supuestos!$D$8+SQRT(E676*(Supuestos!$F$8-Supuestos!$D$8)*(Supuestos!$E$8-Supuestos!$D$8)),Supuestos!$F$8-SQRT((1-E676)*(Supuestos!$F$8-Supuestos!$D$8)*(Supuestos!$F$8-Supuestos!$E$8))),IF(Supuestos!$C$8="Uniforme",Supuestos!$D$8+E676*(Supuestos!$E$8-Supuestos!$D$8),IF(Supuestos!$C$8="Lognormal",LOGINV(E676,LN(Supuestos!$D$8)-LN(1+Supuestos!$E$8^2/Supuestos!$D$8^2)/2,SQRT(LN(1+Supuestos!$E$8^2/Supuestos!$D$8^2))),Supuestos!$D$8))))))</f>
        <v/>
      </c>
      <c r="M676" s="32">
        <f>MIN(IF(Supuestos!$H$9="",1E+99,Supuestos!$H$9),MAX(IF(Supuestos!$G$9="",-1E+99,Supuestos!$G$9),IF(Supuestos!$C$9="Normal",NORMINV(F676,Supuestos!$D$9,Supuestos!$E$9),IF(Supuestos!$C$9="Triangular",IF(F676&lt;(Supuestos!$E$9-Supuestos!$D$9)/(Supuestos!$F$9-Supuestos!$D$9),Supuestos!$D$9+SQRT(F676*(Supuestos!$F$9-Supuestos!$D$9)*(Supuestos!$E$9-Supuestos!$D$9)),Supuestos!$F$9-SQRT((1-F676)*(Supuestos!$F$9-Supuestos!$D$9)*(Supuestos!$F$9-Supuestos!$E$9))),IF(Supuestos!$C$9="Uniforme",Supuestos!$D$9+F676*(Supuestos!$E$9-Supuestos!$D$9),IF(Supuestos!$C$9="Lognormal",LOGINV(F676,LN(Supuestos!$D$9)-LN(1+Supuestos!$E$9^2/Supuestos!$D$9^2)/2,SQRT(LN(1+Supuestos!$E$9^2/Supuestos!$D$9^2))),Supuestos!$D$9))))))</f>
        <v/>
      </c>
      <c r="N676" s="32">
        <f>MIN(IF(Supuestos!$H$10="",1E+99,Supuestos!$H$10),MAX(IF(Supuestos!$G$10="",-1E+99,Supuestos!$G$10),IF(Supuestos!$C$10="Normal",NORMINV(G676,Supuestos!$D$10,Supuestos!$E$10),IF(Supuestos!$C$10="Triangular",IF(G676&lt;(Supuestos!$E$10-Supuestos!$D$10)/(Supuestos!$F$10-Supuestos!$D$10),Supuestos!$D$10+SQRT(G676*(Supuestos!$F$10-Supuestos!$D$10)*(Supuestos!$E$10-Supuestos!$D$10)),Supuestos!$F$10-SQRT((1-G676)*(Supuestos!$F$10-Supuestos!$D$10)*(Supuestos!$F$10-Supuestos!$E$10))),IF(Supuestos!$C$10="Uniforme",Supuestos!$D$10+G676*(Supuestos!$E$10-Supuestos!$D$10),IF(Supuestos!$C$10="Lognormal",LOGINV(G676,LN(Supuestos!$D$10)-LN(1+Supuestos!$E$10^2/Supuestos!$D$10^2)/2,SQRT(LN(1+Supuestos!$E$10^2/Supuestos!$D$10^2))),Supuestos!$D$10))))))</f>
        <v/>
      </c>
      <c r="O676" s="31">
        <f>MIN(IF(Supuestos!$H$11="",1E+99,Supuestos!$H$11),MAX(IF(Supuestos!$G$11="",-1E+99,Supuestos!$G$11),IF(Supuestos!$C$11="Normal",NORMINV(H676,Supuestos!$D$11,Supuestos!$E$11),IF(Supuestos!$C$11="Triangular",IF(H676&lt;(Supuestos!$E$11-Supuestos!$D$11)/(Supuestos!$F$11-Supuestos!$D$11),Supuestos!$D$11+SQRT(H676*(Supuestos!$F$11-Supuestos!$D$11)*(Supuestos!$E$11-Supuestos!$D$11)),Supuestos!$F$11-SQRT((1-H676)*(Supuestos!$F$11-Supuestos!$D$11)*(Supuestos!$F$11-Supuestos!$E$11))),IF(Supuestos!$C$11="Uniforme",Supuestos!$D$11+H676*(Supuestos!$E$11-Supuestos!$D$11),IF(Supuestos!$C$11="Lognormal",LOGINV(H676,LN(Supuestos!$D$11)-LN(1+Supuestos!$E$11^2/Supuestos!$D$11^2)/2,SQRT(LN(1+Supuestos!$E$11^2/Supuestos!$D$11^2))),Supuestos!$D$11))))))</f>
        <v/>
      </c>
      <c r="P676" s="33">
        <f>-I676</f>
        <v/>
      </c>
      <c r="Q676" s="33">
        <f>$J676*(1+$K676)^(1-1)*(1-$L676)*(1-$M676)</f>
        <v/>
      </c>
      <c r="R676" s="33">
        <f>$J676*(1+$K676)^(2-1)*(1-$L676)*(1-$M676)</f>
        <v/>
      </c>
      <c r="S676" s="33">
        <f>$J676*(1+$K676)^(3-1)*(1-$L676)*(1-$M676)</f>
        <v/>
      </c>
      <c r="T676" s="33">
        <f>$J676*(1+$K676)^(4-1)*(1-$L676)*(1-$M676)</f>
        <v/>
      </c>
      <c r="U676" s="33">
        <f>$J676*(1+$K676)^(5-1)*(1-$L676)*(1-$M676)+$O676</f>
        <v/>
      </c>
      <c r="V676" s="33">
        <f>P676+NPV($N676,Q676:U676)</f>
        <v/>
      </c>
      <c r="W676" s="32">
        <f>IFERROR(IRR(P676:U676,0.1),"")</f>
        <v/>
      </c>
    </row>
    <row r="677">
      <c r="A677" s="14" t="n">
        <v>673</v>
      </c>
      <c r="B677" s="30">
        <f>RAND()*(1-2E-6)+1E-6</f>
        <v/>
      </c>
      <c r="C677" s="30">
        <f>RAND()*(1-2E-6)+1E-6</f>
        <v/>
      </c>
      <c r="D677" s="30">
        <f>RAND()*(1-2E-6)+1E-6</f>
        <v/>
      </c>
      <c r="E677" s="30">
        <f>RAND()*(1-2E-6)+1E-6</f>
        <v/>
      </c>
      <c r="F677" s="30">
        <f>RAND()*(1-2E-6)+1E-6</f>
        <v/>
      </c>
      <c r="G677" s="30">
        <f>RAND()*(1-2E-6)+1E-6</f>
        <v/>
      </c>
      <c r="H677" s="30">
        <f>RAND()*(1-2E-6)+1E-6</f>
        <v/>
      </c>
      <c r="I677" s="31">
        <f>MIN(IF(Supuestos!$H$5="",1E+99,Supuestos!$H$5),MAX(IF(Supuestos!$G$5="",-1E+99,Supuestos!$G$5),IF(Supuestos!$C$5="Normal",NORMINV(B677,Supuestos!$D$5,Supuestos!$E$5),IF(Supuestos!$C$5="Triangular",IF(B677&lt;(Supuestos!$E$5-Supuestos!$D$5)/(Supuestos!$F$5-Supuestos!$D$5),Supuestos!$D$5+SQRT(B677*(Supuestos!$F$5-Supuestos!$D$5)*(Supuestos!$E$5-Supuestos!$D$5)),Supuestos!$F$5-SQRT((1-B677)*(Supuestos!$F$5-Supuestos!$D$5)*(Supuestos!$F$5-Supuestos!$E$5))),IF(Supuestos!$C$5="Uniforme",Supuestos!$D$5+B677*(Supuestos!$E$5-Supuestos!$D$5),IF(Supuestos!$C$5="Lognormal",LOGINV(B677,LN(Supuestos!$D$5)-LN(1+Supuestos!$E$5^2/Supuestos!$D$5^2)/2,SQRT(LN(1+Supuestos!$E$5^2/Supuestos!$D$5^2))),Supuestos!$D$5))))))</f>
        <v/>
      </c>
      <c r="J677" s="31">
        <f>MIN(IF(Supuestos!$H$6="",1E+99,Supuestos!$H$6),MAX(IF(Supuestos!$G$6="",-1E+99,Supuestos!$G$6),IF(Supuestos!$C$6="Normal",NORMINV(C677,Supuestos!$D$6,Supuestos!$E$6),IF(Supuestos!$C$6="Triangular",IF(C677&lt;(Supuestos!$E$6-Supuestos!$D$6)/(Supuestos!$F$6-Supuestos!$D$6),Supuestos!$D$6+SQRT(C677*(Supuestos!$F$6-Supuestos!$D$6)*(Supuestos!$E$6-Supuestos!$D$6)),Supuestos!$F$6-SQRT((1-C677)*(Supuestos!$F$6-Supuestos!$D$6)*(Supuestos!$F$6-Supuestos!$E$6))),IF(Supuestos!$C$6="Uniforme",Supuestos!$D$6+C677*(Supuestos!$E$6-Supuestos!$D$6),IF(Supuestos!$C$6="Lognormal",LOGINV(C677,LN(Supuestos!$D$6)-LN(1+Supuestos!$E$6^2/Supuestos!$D$6^2)/2,SQRT(LN(1+Supuestos!$E$6^2/Supuestos!$D$6^2))),Supuestos!$D$6))))))</f>
        <v/>
      </c>
      <c r="K677" s="32">
        <f>MIN(IF(Supuestos!$H$7="",1E+99,Supuestos!$H$7),MAX(IF(Supuestos!$G$7="",-1E+99,Supuestos!$G$7),IF(Supuestos!$C$7="Normal",NORMINV(D677,Supuestos!$D$7,Supuestos!$E$7),IF(Supuestos!$C$7="Triangular",IF(D677&lt;(Supuestos!$E$7-Supuestos!$D$7)/(Supuestos!$F$7-Supuestos!$D$7),Supuestos!$D$7+SQRT(D677*(Supuestos!$F$7-Supuestos!$D$7)*(Supuestos!$E$7-Supuestos!$D$7)),Supuestos!$F$7-SQRT((1-D677)*(Supuestos!$F$7-Supuestos!$D$7)*(Supuestos!$F$7-Supuestos!$E$7))),IF(Supuestos!$C$7="Uniforme",Supuestos!$D$7+D677*(Supuestos!$E$7-Supuestos!$D$7),IF(Supuestos!$C$7="Lognormal",LOGINV(D677,LN(Supuestos!$D$7)-LN(1+Supuestos!$E$7^2/Supuestos!$D$7^2)/2,SQRT(LN(1+Supuestos!$E$7^2/Supuestos!$D$7^2))),Supuestos!$D$7))))))</f>
        <v/>
      </c>
      <c r="L677" s="32">
        <f>MIN(IF(Supuestos!$H$8="",1E+99,Supuestos!$H$8),MAX(IF(Supuestos!$G$8="",-1E+99,Supuestos!$G$8),IF(Supuestos!$C$8="Normal",NORMINV(E677,Supuestos!$D$8,Supuestos!$E$8),IF(Supuestos!$C$8="Triangular",IF(E677&lt;(Supuestos!$E$8-Supuestos!$D$8)/(Supuestos!$F$8-Supuestos!$D$8),Supuestos!$D$8+SQRT(E677*(Supuestos!$F$8-Supuestos!$D$8)*(Supuestos!$E$8-Supuestos!$D$8)),Supuestos!$F$8-SQRT((1-E677)*(Supuestos!$F$8-Supuestos!$D$8)*(Supuestos!$F$8-Supuestos!$E$8))),IF(Supuestos!$C$8="Uniforme",Supuestos!$D$8+E677*(Supuestos!$E$8-Supuestos!$D$8),IF(Supuestos!$C$8="Lognormal",LOGINV(E677,LN(Supuestos!$D$8)-LN(1+Supuestos!$E$8^2/Supuestos!$D$8^2)/2,SQRT(LN(1+Supuestos!$E$8^2/Supuestos!$D$8^2))),Supuestos!$D$8))))))</f>
        <v/>
      </c>
      <c r="M677" s="32">
        <f>MIN(IF(Supuestos!$H$9="",1E+99,Supuestos!$H$9),MAX(IF(Supuestos!$G$9="",-1E+99,Supuestos!$G$9),IF(Supuestos!$C$9="Normal",NORMINV(F677,Supuestos!$D$9,Supuestos!$E$9),IF(Supuestos!$C$9="Triangular",IF(F677&lt;(Supuestos!$E$9-Supuestos!$D$9)/(Supuestos!$F$9-Supuestos!$D$9),Supuestos!$D$9+SQRT(F677*(Supuestos!$F$9-Supuestos!$D$9)*(Supuestos!$E$9-Supuestos!$D$9)),Supuestos!$F$9-SQRT((1-F677)*(Supuestos!$F$9-Supuestos!$D$9)*(Supuestos!$F$9-Supuestos!$E$9))),IF(Supuestos!$C$9="Uniforme",Supuestos!$D$9+F677*(Supuestos!$E$9-Supuestos!$D$9),IF(Supuestos!$C$9="Lognormal",LOGINV(F677,LN(Supuestos!$D$9)-LN(1+Supuestos!$E$9^2/Supuestos!$D$9^2)/2,SQRT(LN(1+Supuestos!$E$9^2/Supuestos!$D$9^2))),Supuestos!$D$9))))))</f>
        <v/>
      </c>
      <c r="N677" s="32">
        <f>MIN(IF(Supuestos!$H$10="",1E+99,Supuestos!$H$10),MAX(IF(Supuestos!$G$10="",-1E+99,Supuestos!$G$10),IF(Supuestos!$C$10="Normal",NORMINV(G677,Supuestos!$D$10,Supuestos!$E$10),IF(Supuestos!$C$10="Triangular",IF(G677&lt;(Supuestos!$E$10-Supuestos!$D$10)/(Supuestos!$F$10-Supuestos!$D$10),Supuestos!$D$10+SQRT(G677*(Supuestos!$F$10-Supuestos!$D$10)*(Supuestos!$E$10-Supuestos!$D$10)),Supuestos!$F$10-SQRT((1-G677)*(Supuestos!$F$10-Supuestos!$D$10)*(Supuestos!$F$10-Supuestos!$E$10))),IF(Supuestos!$C$10="Uniforme",Supuestos!$D$10+G677*(Supuestos!$E$10-Supuestos!$D$10),IF(Supuestos!$C$10="Lognormal",LOGINV(G677,LN(Supuestos!$D$10)-LN(1+Supuestos!$E$10^2/Supuestos!$D$10^2)/2,SQRT(LN(1+Supuestos!$E$10^2/Supuestos!$D$10^2))),Supuestos!$D$10))))))</f>
        <v/>
      </c>
      <c r="O677" s="31">
        <f>MIN(IF(Supuestos!$H$11="",1E+99,Supuestos!$H$11),MAX(IF(Supuestos!$G$11="",-1E+99,Supuestos!$G$11),IF(Supuestos!$C$11="Normal",NORMINV(H677,Supuestos!$D$11,Supuestos!$E$11),IF(Supuestos!$C$11="Triangular",IF(H677&lt;(Supuestos!$E$11-Supuestos!$D$11)/(Supuestos!$F$11-Supuestos!$D$11),Supuestos!$D$11+SQRT(H677*(Supuestos!$F$11-Supuestos!$D$11)*(Supuestos!$E$11-Supuestos!$D$11)),Supuestos!$F$11-SQRT((1-H677)*(Supuestos!$F$11-Supuestos!$D$11)*(Supuestos!$F$11-Supuestos!$E$11))),IF(Supuestos!$C$11="Uniforme",Supuestos!$D$11+H677*(Supuestos!$E$11-Supuestos!$D$11),IF(Supuestos!$C$11="Lognormal",LOGINV(H677,LN(Supuestos!$D$11)-LN(1+Supuestos!$E$11^2/Supuestos!$D$11^2)/2,SQRT(LN(1+Supuestos!$E$11^2/Supuestos!$D$11^2))),Supuestos!$D$11))))))</f>
        <v/>
      </c>
      <c r="P677" s="33">
        <f>-I677</f>
        <v/>
      </c>
      <c r="Q677" s="33">
        <f>$J677*(1+$K677)^(1-1)*(1-$L677)*(1-$M677)</f>
        <v/>
      </c>
      <c r="R677" s="33">
        <f>$J677*(1+$K677)^(2-1)*(1-$L677)*(1-$M677)</f>
        <v/>
      </c>
      <c r="S677" s="33">
        <f>$J677*(1+$K677)^(3-1)*(1-$L677)*(1-$M677)</f>
        <v/>
      </c>
      <c r="T677" s="33">
        <f>$J677*(1+$K677)^(4-1)*(1-$L677)*(1-$M677)</f>
        <v/>
      </c>
      <c r="U677" s="33">
        <f>$J677*(1+$K677)^(5-1)*(1-$L677)*(1-$M677)+$O677</f>
        <v/>
      </c>
      <c r="V677" s="33">
        <f>P677+NPV($N677,Q677:U677)</f>
        <v/>
      </c>
      <c r="W677" s="32">
        <f>IFERROR(IRR(P677:U677,0.1),"")</f>
        <v/>
      </c>
    </row>
    <row r="678">
      <c r="A678" s="14" t="n">
        <v>674</v>
      </c>
      <c r="B678" s="30">
        <f>RAND()*(1-2E-6)+1E-6</f>
        <v/>
      </c>
      <c r="C678" s="30">
        <f>RAND()*(1-2E-6)+1E-6</f>
        <v/>
      </c>
      <c r="D678" s="30">
        <f>RAND()*(1-2E-6)+1E-6</f>
        <v/>
      </c>
      <c r="E678" s="30">
        <f>RAND()*(1-2E-6)+1E-6</f>
        <v/>
      </c>
      <c r="F678" s="30">
        <f>RAND()*(1-2E-6)+1E-6</f>
        <v/>
      </c>
      <c r="G678" s="30">
        <f>RAND()*(1-2E-6)+1E-6</f>
        <v/>
      </c>
      <c r="H678" s="30">
        <f>RAND()*(1-2E-6)+1E-6</f>
        <v/>
      </c>
      <c r="I678" s="31">
        <f>MIN(IF(Supuestos!$H$5="",1E+99,Supuestos!$H$5),MAX(IF(Supuestos!$G$5="",-1E+99,Supuestos!$G$5),IF(Supuestos!$C$5="Normal",NORMINV(B678,Supuestos!$D$5,Supuestos!$E$5),IF(Supuestos!$C$5="Triangular",IF(B678&lt;(Supuestos!$E$5-Supuestos!$D$5)/(Supuestos!$F$5-Supuestos!$D$5),Supuestos!$D$5+SQRT(B678*(Supuestos!$F$5-Supuestos!$D$5)*(Supuestos!$E$5-Supuestos!$D$5)),Supuestos!$F$5-SQRT((1-B678)*(Supuestos!$F$5-Supuestos!$D$5)*(Supuestos!$F$5-Supuestos!$E$5))),IF(Supuestos!$C$5="Uniforme",Supuestos!$D$5+B678*(Supuestos!$E$5-Supuestos!$D$5),IF(Supuestos!$C$5="Lognormal",LOGINV(B678,LN(Supuestos!$D$5)-LN(1+Supuestos!$E$5^2/Supuestos!$D$5^2)/2,SQRT(LN(1+Supuestos!$E$5^2/Supuestos!$D$5^2))),Supuestos!$D$5))))))</f>
        <v/>
      </c>
      <c r="J678" s="31">
        <f>MIN(IF(Supuestos!$H$6="",1E+99,Supuestos!$H$6),MAX(IF(Supuestos!$G$6="",-1E+99,Supuestos!$G$6),IF(Supuestos!$C$6="Normal",NORMINV(C678,Supuestos!$D$6,Supuestos!$E$6),IF(Supuestos!$C$6="Triangular",IF(C678&lt;(Supuestos!$E$6-Supuestos!$D$6)/(Supuestos!$F$6-Supuestos!$D$6),Supuestos!$D$6+SQRT(C678*(Supuestos!$F$6-Supuestos!$D$6)*(Supuestos!$E$6-Supuestos!$D$6)),Supuestos!$F$6-SQRT((1-C678)*(Supuestos!$F$6-Supuestos!$D$6)*(Supuestos!$F$6-Supuestos!$E$6))),IF(Supuestos!$C$6="Uniforme",Supuestos!$D$6+C678*(Supuestos!$E$6-Supuestos!$D$6),IF(Supuestos!$C$6="Lognormal",LOGINV(C678,LN(Supuestos!$D$6)-LN(1+Supuestos!$E$6^2/Supuestos!$D$6^2)/2,SQRT(LN(1+Supuestos!$E$6^2/Supuestos!$D$6^2))),Supuestos!$D$6))))))</f>
        <v/>
      </c>
      <c r="K678" s="32">
        <f>MIN(IF(Supuestos!$H$7="",1E+99,Supuestos!$H$7),MAX(IF(Supuestos!$G$7="",-1E+99,Supuestos!$G$7),IF(Supuestos!$C$7="Normal",NORMINV(D678,Supuestos!$D$7,Supuestos!$E$7),IF(Supuestos!$C$7="Triangular",IF(D678&lt;(Supuestos!$E$7-Supuestos!$D$7)/(Supuestos!$F$7-Supuestos!$D$7),Supuestos!$D$7+SQRT(D678*(Supuestos!$F$7-Supuestos!$D$7)*(Supuestos!$E$7-Supuestos!$D$7)),Supuestos!$F$7-SQRT((1-D678)*(Supuestos!$F$7-Supuestos!$D$7)*(Supuestos!$F$7-Supuestos!$E$7))),IF(Supuestos!$C$7="Uniforme",Supuestos!$D$7+D678*(Supuestos!$E$7-Supuestos!$D$7),IF(Supuestos!$C$7="Lognormal",LOGINV(D678,LN(Supuestos!$D$7)-LN(1+Supuestos!$E$7^2/Supuestos!$D$7^2)/2,SQRT(LN(1+Supuestos!$E$7^2/Supuestos!$D$7^2))),Supuestos!$D$7))))))</f>
        <v/>
      </c>
      <c r="L678" s="32">
        <f>MIN(IF(Supuestos!$H$8="",1E+99,Supuestos!$H$8),MAX(IF(Supuestos!$G$8="",-1E+99,Supuestos!$G$8),IF(Supuestos!$C$8="Normal",NORMINV(E678,Supuestos!$D$8,Supuestos!$E$8),IF(Supuestos!$C$8="Triangular",IF(E678&lt;(Supuestos!$E$8-Supuestos!$D$8)/(Supuestos!$F$8-Supuestos!$D$8),Supuestos!$D$8+SQRT(E678*(Supuestos!$F$8-Supuestos!$D$8)*(Supuestos!$E$8-Supuestos!$D$8)),Supuestos!$F$8-SQRT((1-E678)*(Supuestos!$F$8-Supuestos!$D$8)*(Supuestos!$F$8-Supuestos!$E$8))),IF(Supuestos!$C$8="Uniforme",Supuestos!$D$8+E678*(Supuestos!$E$8-Supuestos!$D$8),IF(Supuestos!$C$8="Lognormal",LOGINV(E678,LN(Supuestos!$D$8)-LN(1+Supuestos!$E$8^2/Supuestos!$D$8^2)/2,SQRT(LN(1+Supuestos!$E$8^2/Supuestos!$D$8^2))),Supuestos!$D$8))))))</f>
        <v/>
      </c>
      <c r="M678" s="32">
        <f>MIN(IF(Supuestos!$H$9="",1E+99,Supuestos!$H$9),MAX(IF(Supuestos!$G$9="",-1E+99,Supuestos!$G$9),IF(Supuestos!$C$9="Normal",NORMINV(F678,Supuestos!$D$9,Supuestos!$E$9),IF(Supuestos!$C$9="Triangular",IF(F678&lt;(Supuestos!$E$9-Supuestos!$D$9)/(Supuestos!$F$9-Supuestos!$D$9),Supuestos!$D$9+SQRT(F678*(Supuestos!$F$9-Supuestos!$D$9)*(Supuestos!$E$9-Supuestos!$D$9)),Supuestos!$F$9-SQRT((1-F678)*(Supuestos!$F$9-Supuestos!$D$9)*(Supuestos!$F$9-Supuestos!$E$9))),IF(Supuestos!$C$9="Uniforme",Supuestos!$D$9+F678*(Supuestos!$E$9-Supuestos!$D$9),IF(Supuestos!$C$9="Lognormal",LOGINV(F678,LN(Supuestos!$D$9)-LN(1+Supuestos!$E$9^2/Supuestos!$D$9^2)/2,SQRT(LN(1+Supuestos!$E$9^2/Supuestos!$D$9^2))),Supuestos!$D$9))))))</f>
        <v/>
      </c>
      <c r="N678" s="32">
        <f>MIN(IF(Supuestos!$H$10="",1E+99,Supuestos!$H$10),MAX(IF(Supuestos!$G$10="",-1E+99,Supuestos!$G$10),IF(Supuestos!$C$10="Normal",NORMINV(G678,Supuestos!$D$10,Supuestos!$E$10),IF(Supuestos!$C$10="Triangular",IF(G678&lt;(Supuestos!$E$10-Supuestos!$D$10)/(Supuestos!$F$10-Supuestos!$D$10),Supuestos!$D$10+SQRT(G678*(Supuestos!$F$10-Supuestos!$D$10)*(Supuestos!$E$10-Supuestos!$D$10)),Supuestos!$F$10-SQRT((1-G678)*(Supuestos!$F$10-Supuestos!$D$10)*(Supuestos!$F$10-Supuestos!$E$10))),IF(Supuestos!$C$10="Uniforme",Supuestos!$D$10+G678*(Supuestos!$E$10-Supuestos!$D$10),IF(Supuestos!$C$10="Lognormal",LOGINV(G678,LN(Supuestos!$D$10)-LN(1+Supuestos!$E$10^2/Supuestos!$D$10^2)/2,SQRT(LN(1+Supuestos!$E$10^2/Supuestos!$D$10^2))),Supuestos!$D$10))))))</f>
        <v/>
      </c>
      <c r="O678" s="31">
        <f>MIN(IF(Supuestos!$H$11="",1E+99,Supuestos!$H$11),MAX(IF(Supuestos!$G$11="",-1E+99,Supuestos!$G$11),IF(Supuestos!$C$11="Normal",NORMINV(H678,Supuestos!$D$11,Supuestos!$E$11),IF(Supuestos!$C$11="Triangular",IF(H678&lt;(Supuestos!$E$11-Supuestos!$D$11)/(Supuestos!$F$11-Supuestos!$D$11),Supuestos!$D$11+SQRT(H678*(Supuestos!$F$11-Supuestos!$D$11)*(Supuestos!$E$11-Supuestos!$D$11)),Supuestos!$F$11-SQRT((1-H678)*(Supuestos!$F$11-Supuestos!$D$11)*(Supuestos!$F$11-Supuestos!$E$11))),IF(Supuestos!$C$11="Uniforme",Supuestos!$D$11+H678*(Supuestos!$E$11-Supuestos!$D$11),IF(Supuestos!$C$11="Lognormal",LOGINV(H678,LN(Supuestos!$D$11)-LN(1+Supuestos!$E$11^2/Supuestos!$D$11^2)/2,SQRT(LN(1+Supuestos!$E$11^2/Supuestos!$D$11^2))),Supuestos!$D$11))))))</f>
        <v/>
      </c>
      <c r="P678" s="33">
        <f>-I678</f>
        <v/>
      </c>
      <c r="Q678" s="33">
        <f>$J678*(1+$K678)^(1-1)*(1-$L678)*(1-$M678)</f>
        <v/>
      </c>
      <c r="R678" s="33">
        <f>$J678*(1+$K678)^(2-1)*(1-$L678)*(1-$M678)</f>
        <v/>
      </c>
      <c r="S678" s="33">
        <f>$J678*(1+$K678)^(3-1)*(1-$L678)*(1-$M678)</f>
        <v/>
      </c>
      <c r="T678" s="33">
        <f>$J678*(1+$K678)^(4-1)*(1-$L678)*(1-$M678)</f>
        <v/>
      </c>
      <c r="U678" s="33">
        <f>$J678*(1+$K678)^(5-1)*(1-$L678)*(1-$M678)+$O678</f>
        <v/>
      </c>
      <c r="V678" s="33">
        <f>P678+NPV($N678,Q678:U678)</f>
        <v/>
      </c>
      <c r="W678" s="32">
        <f>IFERROR(IRR(P678:U678,0.1),"")</f>
        <v/>
      </c>
    </row>
    <row r="679">
      <c r="A679" s="14" t="n">
        <v>675</v>
      </c>
      <c r="B679" s="30">
        <f>RAND()*(1-2E-6)+1E-6</f>
        <v/>
      </c>
      <c r="C679" s="30">
        <f>RAND()*(1-2E-6)+1E-6</f>
        <v/>
      </c>
      <c r="D679" s="30">
        <f>RAND()*(1-2E-6)+1E-6</f>
        <v/>
      </c>
      <c r="E679" s="30">
        <f>RAND()*(1-2E-6)+1E-6</f>
        <v/>
      </c>
      <c r="F679" s="30">
        <f>RAND()*(1-2E-6)+1E-6</f>
        <v/>
      </c>
      <c r="G679" s="30">
        <f>RAND()*(1-2E-6)+1E-6</f>
        <v/>
      </c>
      <c r="H679" s="30">
        <f>RAND()*(1-2E-6)+1E-6</f>
        <v/>
      </c>
      <c r="I679" s="31">
        <f>MIN(IF(Supuestos!$H$5="",1E+99,Supuestos!$H$5),MAX(IF(Supuestos!$G$5="",-1E+99,Supuestos!$G$5),IF(Supuestos!$C$5="Normal",NORMINV(B679,Supuestos!$D$5,Supuestos!$E$5),IF(Supuestos!$C$5="Triangular",IF(B679&lt;(Supuestos!$E$5-Supuestos!$D$5)/(Supuestos!$F$5-Supuestos!$D$5),Supuestos!$D$5+SQRT(B679*(Supuestos!$F$5-Supuestos!$D$5)*(Supuestos!$E$5-Supuestos!$D$5)),Supuestos!$F$5-SQRT((1-B679)*(Supuestos!$F$5-Supuestos!$D$5)*(Supuestos!$F$5-Supuestos!$E$5))),IF(Supuestos!$C$5="Uniforme",Supuestos!$D$5+B679*(Supuestos!$E$5-Supuestos!$D$5),IF(Supuestos!$C$5="Lognormal",LOGINV(B679,LN(Supuestos!$D$5)-LN(1+Supuestos!$E$5^2/Supuestos!$D$5^2)/2,SQRT(LN(1+Supuestos!$E$5^2/Supuestos!$D$5^2))),Supuestos!$D$5))))))</f>
        <v/>
      </c>
      <c r="J679" s="31">
        <f>MIN(IF(Supuestos!$H$6="",1E+99,Supuestos!$H$6),MAX(IF(Supuestos!$G$6="",-1E+99,Supuestos!$G$6),IF(Supuestos!$C$6="Normal",NORMINV(C679,Supuestos!$D$6,Supuestos!$E$6),IF(Supuestos!$C$6="Triangular",IF(C679&lt;(Supuestos!$E$6-Supuestos!$D$6)/(Supuestos!$F$6-Supuestos!$D$6),Supuestos!$D$6+SQRT(C679*(Supuestos!$F$6-Supuestos!$D$6)*(Supuestos!$E$6-Supuestos!$D$6)),Supuestos!$F$6-SQRT((1-C679)*(Supuestos!$F$6-Supuestos!$D$6)*(Supuestos!$F$6-Supuestos!$E$6))),IF(Supuestos!$C$6="Uniforme",Supuestos!$D$6+C679*(Supuestos!$E$6-Supuestos!$D$6),IF(Supuestos!$C$6="Lognormal",LOGINV(C679,LN(Supuestos!$D$6)-LN(1+Supuestos!$E$6^2/Supuestos!$D$6^2)/2,SQRT(LN(1+Supuestos!$E$6^2/Supuestos!$D$6^2))),Supuestos!$D$6))))))</f>
        <v/>
      </c>
      <c r="K679" s="32">
        <f>MIN(IF(Supuestos!$H$7="",1E+99,Supuestos!$H$7),MAX(IF(Supuestos!$G$7="",-1E+99,Supuestos!$G$7),IF(Supuestos!$C$7="Normal",NORMINV(D679,Supuestos!$D$7,Supuestos!$E$7),IF(Supuestos!$C$7="Triangular",IF(D679&lt;(Supuestos!$E$7-Supuestos!$D$7)/(Supuestos!$F$7-Supuestos!$D$7),Supuestos!$D$7+SQRT(D679*(Supuestos!$F$7-Supuestos!$D$7)*(Supuestos!$E$7-Supuestos!$D$7)),Supuestos!$F$7-SQRT((1-D679)*(Supuestos!$F$7-Supuestos!$D$7)*(Supuestos!$F$7-Supuestos!$E$7))),IF(Supuestos!$C$7="Uniforme",Supuestos!$D$7+D679*(Supuestos!$E$7-Supuestos!$D$7),IF(Supuestos!$C$7="Lognormal",LOGINV(D679,LN(Supuestos!$D$7)-LN(1+Supuestos!$E$7^2/Supuestos!$D$7^2)/2,SQRT(LN(1+Supuestos!$E$7^2/Supuestos!$D$7^2))),Supuestos!$D$7))))))</f>
        <v/>
      </c>
      <c r="L679" s="32">
        <f>MIN(IF(Supuestos!$H$8="",1E+99,Supuestos!$H$8),MAX(IF(Supuestos!$G$8="",-1E+99,Supuestos!$G$8),IF(Supuestos!$C$8="Normal",NORMINV(E679,Supuestos!$D$8,Supuestos!$E$8),IF(Supuestos!$C$8="Triangular",IF(E679&lt;(Supuestos!$E$8-Supuestos!$D$8)/(Supuestos!$F$8-Supuestos!$D$8),Supuestos!$D$8+SQRT(E679*(Supuestos!$F$8-Supuestos!$D$8)*(Supuestos!$E$8-Supuestos!$D$8)),Supuestos!$F$8-SQRT((1-E679)*(Supuestos!$F$8-Supuestos!$D$8)*(Supuestos!$F$8-Supuestos!$E$8))),IF(Supuestos!$C$8="Uniforme",Supuestos!$D$8+E679*(Supuestos!$E$8-Supuestos!$D$8),IF(Supuestos!$C$8="Lognormal",LOGINV(E679,LN(Supuestos!$D$8)-LN(1+Supuestos!$E$8^2/Supuestos!$D$8^2)/2,SQRT(LN(1+Supuestos!$E$8^2/Supuestos!$D$8^2))),Supuestos!$D$8))))))</f>
        <v/>
      </c>
      <c r="M679" s="32">
        <f>MIN(IF(Supuestos!$H$9="",1E+99,Supuestos!$H$9),MAX(IF(Supuestos!$G$9="",-1E+99,Supuestos!$G$9),IF(Supuestos!$C$9="Normal",NORMINV(F679,Supuestos!$D$9,Supuestos!$E$9),IF(Supuestos!$C$9="Triangular",IF(F679&lt;(Supuestos!$E$9-Supuestos!$D$9)/(Supuestos!$F$9-Supuestos!$D$9),Supuestos!$D$9+SQRT(F679*(Supuestos!$F$9-Supuestos!$D$9)*(Supuestos!$E$9-Supuestos!$D$9)),Supuestos!$F$9-SQRT((1-F679)*(Supuestos!$F$9-Supuestos!$D$9)*(Supuestos!$F$9-Supuestos!$E$9))),IF(Supuestos!$C$9="Uniforme",Supuestos!$D$9+F679*(Supuestos!$E$9-Supuestos!$D$9),IF(Supuestos!$C$9="Lognormal",LOGINV(F679,LN(Supuestos!$D$9)-LN(1+Supuestos!$E$9^2/Supuestos!$D$9^2)/2,SQRT(LN(1+Supuestos!$E$9^2/Supuestos!$D$9^2))),Supuestos!$D$9))))))</f>
        <v/>
      </c>
      <c r="N679" s="32">
        <f>MIN(IF(Supuestos!$H$10="",1E+99,Supuestos!$H$10),MAX(IF(Supuestos!$G$10="",-1E+99,Supuestos!$G$10),IF(Supuestos!$C$10="Normal",NORMINV(G679,Supuestos!$D$10,Supuestos!$E$10),IF(Supuestos!$C$10="Triangular",IF(G679&lt;(Supuestos!$E$10-Supuestos!$D$10)/(Supuestos!$F$10-Supuestos!$D$10),Supuestos!$D$10+SQRT(G679*(Supuestos!$F$10-Supuestos!$D$10)*(Supuestos!$E$10-Supuestos!$D$10)),Supuestos!$F$10-SQRT((1-G679)*(Supuestos!$F$10-Supuestos!$D$10)*(Supuestos!$F$10-Supuestos!$E$10))),IF(Supuestos!$C$10="Uniforme",Supuestos!$D$10+G679*(Supuestos!$E$10-Supuestos!$D$10),IF(Supuestos!$C$10="Lognormal",LOGINV(G679,LN(Supuestos!$D$10)-LN(1+Supuestos!$E$10^2/Supuestos!$D$10^2)/2,SQRT(LN(1+Supuestos!$E$10^2/Supuestos!$D$10^2))),Supuestos!$D$10))))))</f>
        <v/>
      </c>
      <c r="O679" s="31">
        <f>MIN(IF(Supuestos!$H$11="",1E+99,Supuestos!$H$11),MAX(IF(Supuestos!$G$11="",-1E+99,Supuestos!$G$11),IF(Supuestos!$C$11="Normal",NORMINV(H679,Supuestos!$D$11,Supuestos!$E$11),IF(Supuestos!$C$11="Triangular",IF(H679&lt;(Supuestos!$E$11-Supuestos!$D$11)/(Supuestos!$F$11-Supuestos!$D$11),Supuestos!$D$11+SQRT(H679*(Supuestos!$F$11-Supuestos!$D$11)*(Supuestos!$E$11-Supuestos!$D$11)),Supuestos!$F$11-SQRT((1-H679)*(Supuestos!$F$11-Supuestos!$D$11)*(Supuestos!$F$11-Supuestos!$E$11))),IF(Supuestos!$C$11="Uniforme",Supuestos!$D$11+H679*(Supuestos!$E$11-Supuestos!$D$11),IF(Supuestos!$C$11="Lognormal",LOGINV(H679,LN(Supuestos!$D$11)-LN(1+Supuestos!$E$11^2/Supuestos!$D$11^2)/2,SQRT(LN(1+Supuestos!$E$11^2/Supuestos!$D$11^2))),Supuestos!$D$11))))))</f>
        <v/>
      </c>
      <c r="P679" s="33">
        <f>-I679</f>
        <v/>
      </c>
      <c r="Q679" s="33">
        <f>$J679*(1+$K679)^(1-1)*(1-$L679)*(1-$M679)</f>
        <v/>
      </c>
      <c r="R679" s="33">
        <f>$J679*(1+$K679)^(2-1)*(1-$L679)*(1-$M679)</f>
        <v/>
      </c>
      <c r="S679" s="33">
        <f>$J679*(1+$K679)^(3-1)*(1-$L679)*(1-$M679)</f>
        <v/>
      </c>
      <c r="T679" s="33">
        <f>$J679*(1+$K679)^(4-1)*(1-$L679)*(1-$M679)</f>
        <v/>
      </c>
      <c r="U679" s="33">
        <f>$J679*(1+$K679)^(5-1)*(1-$L679)*(1-$M679)+$O679</f>
        <v/>
      </c>
      <c r="V679" s="33">
        <f>P679+NPV($N679,Q679:U679)</f>
        <v/>
      </c>
      <c r="W679" s="32">
        <f>IFERROR(IRR(P679:U679,0.1),"")</f>
        <v/>
      </c>
    </row>
    <row r="680">
      <c r="A680" s="14" t="n">
        <v>676</v>
      </c>
      <c r="B680" s="30">
        <f>RAND()*(1-2E-6)+1E-6</f>
        <v/>
      </c>
      <c r="C680" s="30">
        <f>RAND()*(1-2E-6)+1E-6</f>
        <v/>
      </c>
      <c r="D680" s="30">
        <f>RAND()*(1-2E-6)+1E-6</f>
        <v/>
      </c>
      <c r="E680" s="30">
        <f>RAND()*(1-2E-6)+1E-6</f>
        <v/>
      </c>
      <c r="F680" s="30">
        <f>RAND()*(1-2E-6)+1E-6</f>
        <v/>
      </c>
      <c r="G680" s="30">
        <f>RAND()*(1-2E-6)+1E-6</f>
        <v/>
      </c>
      <c r="H680" s="30">
        <f>RAND()*(1-2E-6)+1E-6</f>
        <v/>
      </c>
      <c r="I680" s="31">
        <f>MIN(IF(Supuestos!$H$5="",1E+99,Supuestos!$H$5),MAX(IF(Supuestos!$G$5="",-1E+99,Supuestos!$G$5),IF(Supuestos!$C$5="Normal",NORMINV(B680,Supuestos!$D$5,Supuestos!$E$5),IF(Supuestos!$C$5="Triangular",IF(B680&lt;(Supuestos!$E$5-Supuestos!$D$5)/(Supuestos!$F$5-Supuestos!$D$5),Supuestos!$D$5+SQRT(B680*(Supuestos!$F$5-Supuestos!$D$5)*(Supuestos!$E$5-Supuestos!$D$5)),Supuestos!$F$5-SQRT((1-B680)*(Supuestos!$F$5-Supuestos!$D$5)*(Supuestos!$F$5-Supuestos!$E$5))),IF(Supuestos!$C$5="Uniforme",Supuestos!$D$5+B680*(Supuestos!$E$5-Supuestos!$D$5),IF(Supuestos!$C$5="Lognormal",LOGINV(B680,LN(Supuestos!$D$5)-LN(1+Supuestos!$E$5^2/Supuestos!$D$5^2)/2,SQRT(LN(1+Supuestos!$E$5^2/Supuestos!$D$5^2))),Supuestos!$D$5))))))</f>
        <v/>
      </c>
      <c r="J680" s="31">
        <f>MIN(IF(Supuestos!$H$6="",1E+99,Supuestos!$H$6),MAX(IF(Supuestos!$G$6="",-1E+99,Supuestos!$G$6),IF(Supuestos!$C$6="Normal",NORMINV(C680,Supuestos!$D$6,Supuestos!$E$6),IF(Supuestos!$C$6="Triangular",IF(C680&lt;(Supuestos!$E$6-Supuestos!$D$6)/(Supuestos!$F$6-Supuestos!$D$6),Supuestos!$D$6+SQRT(C680*(Supuestos!$F$6-Supuestos!$D$6)*(Supuestos!$E$6-Supuestos!$D$6)),Supuestos!$F$6-SQRT((1-C680)*(Supuestos!$F$6-Supuestos!$D$6)*(Supuestos!$F$6-Supuestos!$E$6))),IF(Supuestos!$C$6="Uniforme",Supuestos!$D$6+C680*(Supuestos!$E$6-Supuestos!$D$6),IF(Supuestos!$C$6="Lognormal",LOGINV(C680,LN(Supuestos!$D$6)-LN(1+Supuestos!$E$6^2/Supuestos!$D$6^2)/2,SQRT(LN(1+Supuestos!$E$6^2/Supuestos!$D$6^2))),Supuestos!$D$6))))))</f>
        <v/>
      </c>
      <c r="K680" s="32">
        <f>MIN(IF(Supuestos!$H$7="",1E+99,Supuestos!$H$7),MAX(IF(Supuestos!$G$7="",-1E+99,Supuestos!$G$7),IF(Supuestos!$C$7="Normal",NORMINV(D680,Supuestos!$D$7,Supuestos!$E$7),IF(Supuestos!$C$7="Triangular",IF(D680&lt;(Supuestos!$E$7-Supuestos!$D$7)/(Supuestos!$F$7-Supuestos!$D$7),Supuestos!$D$7+SQRT(D680*(Supuestos!$F$7-Supuestos!$D$7)*(Supuestos!$E$7-Supuestos!$D$7)),Supuestos!$F$7-SQRT((1-D680)*(Supuestos!$F$7-Supuestos!$D$7)*(Supuestos!$F$7-Supuestos!$E$7))),IF(Supuestos!$C$7="Uniforme",Supuestos!$D$7+D680*(Supuestos!$E$7-Supuestos!$D$7),IF(Supuestos!$C$7="Lognormal",LOGINV(D680,LN(Supuestos!$D$7)-LN(1+Supuestos!$E$7^2/Supuestos!$D$7^2)/2,SQRT(LN(1+Supuestos!$E$7^2/Supuestos!$D$7^2))),Supuestos!$D$7))))))</f>
        <v/>
      </c>
      <c r="L680" s="32">
        <f>MIN(IF(Supuestos!$H$8="",1E+99,Supuestos!$H$8),MAX(IF(Supuestos!$G$8="",-1E+99,Supuestos!$G$8),IF(Supuestos!$C$8="Normal",NORMINV(E680,Supuestos!$D$8,Supuestos!$E$8),IF(Supuestos!$C$8="Triangular",IF(E680&lt;(Supuestos!$E$8-Supuestos!$D$8)/(Supuestos!$F$8-Supuestos!$D$8),Supuestos!$D$8+SQRT(E680*(Supuestos!$F$8-Supuestos!$D$8)*(Supuestos!$E$8-Supuestos!$D$8)),Supuestos!$F$8-SQRT((1-E680)*(Supuestos!$F$8-Supuestos!$D$8)*(Supuestos!$F$8-Supuestos!$E$8))),IF(Supuestos!$C$8="Uniforme",Supuestos!$D$8+E680*(Supuestos!$E$8-Supuestos!$D$8),IF(Supuestos!$C$8="Lognormal",LOGINV(E680,LN(Supuestos!$D$8)-LN(1+Supuestos!$E$8^2/Supuestos!$D$8^2)/2,SQRT(LN(1+Supuestos!$E$8^2/Supuestos!$D$8^2))),Supuestos!$D$8))))))</f>
        <v/>
      </c>
      <c r="M680" s="32">
        <f>MIN(IF(Supuestos!$H$9="",1E+99,Supuestos!$H$9),MAX(IF(Supuestos!$G$9="",-1E+99,Supuestos!$G$9),IF(Supuestos!$C$9="Normal",NORMINV(F680,Supuestos!$D$9,Supuestos!$E$9),IF(Supuestos!$C$9="Triangular",IF(F680&lt;(Supuestos!$E$9-Supuestos!$D$9)/(Supuestos!$F$9-Supuestos!$D$9),Supuestos!$D$9+SQRT(F680*(Supuestos!$F$9-Supuestos!$D$9)*(Supuestos!$E$9-Supuestos!$D$9)),Supuestos!$F$9-SQRT((1-F680)*(Supuestos!$F$9-Supuestos!$D$9)*(Supuestos!$F$9-Supuestos!$E$9))),IF(Supuestos!$C$9="Uniforme",Supuestos!$D$9+F680*(Supuestos!$E$9-Supuestos!$D$9),IF(Supuestos!$C$9="Lognormal",LOGINV(F680,LN(Supuestos!$D$9)-LN(1+Supuestos!$E$9^2/Supuestos!$D$9^2)/2,SQRT(LN(1+Supuestos!$E$9^2/Supuestos!$D$9^2))),Supuestos!$D$9))))))</f>
        <v/>
      </c>
      <c r="N680" s="32">
        <f>MIN(IF(Supuestos!$H$10="",1E+99,Supuestos!$H$10),MAX(IF(Supuestos!$G$10="",-1E+99,Supuestos!$G$10),IF(Supuestos!$C$10="Normal",NORMINV(G680,Supuestos!$D$10,Supuestos!$E$10),IF(Supuestos!$C$10="Triangular",IF(G680&lt;(Supuestos!$E$10-Supuestos!$D$10)/(Supuestos!$F$10-Supuestos!$D$10),Supuestos!$D$10+SQRT(G680*(Supuestos!$F$10-Supuestos!$D$10)*(Supuestos!$E$10-Supuestos!$D$10)),Supuestos!$F$10-SQRT((1-G680)*(Supuestos!$F$10-Supuestos!$D$10)*(Supuestos!$F$10-Supuestos!$E$10))),IF(Supuestos!$C$10="Uniforme",Supuestos!$D$10+G680*(Supuestos!$E$10-Supuestos!$D$10),IF(Supuestos!$C$10="Lognormal",LOGINV(G680,LN(Supuestos!$D$10)-LN(1+Supuestos!$E$10^2/Supuestos!$D$10^2)/2,SQRT(LN(1+Supuestos!$E$10^2/Supuestos!$D$10^2))),Supuestos!$D$10))))))</f>
        <v/>
      </c>
      <c r="O680" s="31">
        <f>MIN(IF(Supuestos!$H$11="",1E+99,Supuestos!$H$11),MAX(IF(Supuestos!$G$11="",-1E+99,Supuestos!$G$11),IF(Supuestos!$C$11="Normal",NORMINV(H680,Supuestos!$D$11,Supuestos!$E$11),IF(Supuestos!$C$11="Triangular",IF(H680&lt;(Supuestos!$E$11-Supuestos!$D$11)/(Supuestos!$F$11-Supuestos!$D$11),Supuestos!$D$11+SQRT(H680*(Supuestos!$F$11-Supuestos!$D$11)*(Supuestos!$E$11-Supuestos!$D$11)),Supuestos!$F$11-SQRT((1-H680)*(Supuestos!$F$11-Supuestos!$D$11)*(Supuestos!$F$11-Supuestos!$E$11))),IF(Supuestos!$C$11="Uniforme",Supuestos!$D$11+H680*(Supuestos!$E$11-Supuestos!$D$11),IF(Supuestos!$C$11="Lognormal",LOGINV(H680,LN(Supuestos!$D$11)-LN(1+Supuestos!$E$11^2/Supuestos!$D$11^2)/2,SQRT(LN(1+Supuestos!$E$11^2/Supuestos!$D$11^2))),Supuestos!$D$11))))))</f>
        <v/>
      </c>
      <c r="P680" s="33">
        <f>-I680</f>
        <v/>
      </c>
      <c r="Q680" s="33">
        <f>$J680*(1+$K680)^(1-1)*(1-$L680)*(1-$M680)</f>
        <v/>
      </c>
      <c r="R680" s="33">
        <f>$J680*(1+$K680)^(2-1)*(1-$L680)*(1-$M680)</f>
        <v/>
      </c>
      <c r="S680" s="33">
        <f>$J680*(1+$K680)^(3-1)*(1-$L680)*(1-$M680)</f>
        <v/>
      </c>
      <c r="T680" s="33">
        <f>$J680*(1+$K680)^(4-1)*(1-$L680)*(1-$M680)</f>
        <v/>
      </c>
      <c r="U680" s="33">
        <f>$J680*(1+$K680)^(5-1)*(1-$L680)*(1-$M680)+$O680</f>
        <v/>
      </c>
      <c r="V680" s="33">
        <f>P680+NPV($N680,Q680:U680)</f>
        <v/>
      </c>
      <c r="W680" s="32">
        <f>IFERROR(IRR(P680:U680,0.1),"")</f>
        <v/>
      </c>
    </row>
    <row r="681">
      <c r="A681" s="14" t="n">
        <v>677</v>
      </c>
      <c r="B681" s="30">
        <f>RAND()*(1-2E-6)+1E-6</f>
        <v/>
      </c>
      <c r="C681" s="30">
        <f>RAND()*(1-2E-6)+1E-6</f>
        <v/>
      </c>
      <c r="D681" s="30">
        <f>RAND()*(1-2E-6)+1E-6</f>
        <v/>
      </c>
      <c r="E681" s="30">
        <f>RAND()*(1-2E-6)+1E-6</f>
        <v/>
      </c>
      <c r="F681" s="30">
        <f>RAND()*(1-2E-6)+1E-6</f>
        <v/>
      </c>
      <c r="G681" s="30">
        <f>RAND()*(1-2E-6)+1E-6</f>
        <v/>
      </c>
      <c r="H681" s="30">
        <f>RAND()*(1-2E-6)+1E-6</f>
        <v/>
      </c>
      <c r="I681" s="31">
        <f>MIN(IF(Supuestos!$H$5="",1E+99,Supuestos!$H$5),MAX(IF(Supuestos!$G$5="",-1E+99,Supuestos!$G$5),IF(Supuestos!$C$5="Normal",NORMINV(B681,Supuestos!$D$5,Supuestos!$E$5),IF(Supuestos!$C$5="Triangular",IF(B681&lt;(Supuestos!$E$5-Supuestos!$D$5)/(Supuestos!$F$5-Supuestos!$D$5),Supuestos!$D$5+SQRT(B681*(Supuestos!$F$5-Supuestos!$D$5)*(Supuestos!$E$5-Supuestos!$D$5)),Supuestos!$F$5-SQRT((1-B681)*(Supuestos!$F$5-Supuestos!$D$5)*(Supuestos!$F$5-Supuestos!$E$5))),IF(Supuestos!$C$5="Uniforme",Supuestos!$D$5+B681*(Supuestos!$E$5-Supuestos!$D$5),IF(Supuestos!$C$5="Lognormal",LOGINV(B681,LN(Supuestos!$D$5)-LN(1+Supuestos!$E$5^2/Supuestos!$D$5^2)/2,SQRT(LN(1+Supuestos!$E$5^2/Supuestos!$D$5^2))),Supuestos!$D$5))))))</f>
        <v/>
      </c>
      <c r="J681" s="31">
        <f>MIN(IF(Supuestos!$H$6="",1E+99,Supuestos!$H$6),MAX(IF(Supuestos!$G$6="",-1E+99,Supuestos!$G$6),IF(Supuestos!$C$6="Normal",NORMINV(C681,Supuestos!$D$6,Supuestos!$E$6),IF(Supuestos!$C$6="Triangular",IF(C681&lt;(Supuestos!$E$6-Supuestos!$D$6)/(Supuestos!$F$6-Supuestos!$D$6),Supuestos!$D$6+SQRT(C681*(Supuestos!$F$6-Supuestos!$D$6)*(Supuestos!$E$6-Supuestos!$D$6)),Supuestos!$F$6-SQRT((1-C681)*(Supuestos!$F$6-Supuestos!$D$6)*(Supuestos!$F$6-Supuestos!$E$6))),IF(Supuestos!$C$6="Uniforme",Supuestos!$D$6+C681*(Supuestos!$E$6-Supuestos!$D$6),IF(Supuestos!$C$6="Lognormal",LOGINV(C681,LN(Supuestos!$D$6)-LN(1+Supuestos!$E$6^2/Supuestos!$D$6^2)/2,SQRT(LN(1+Supuestos!$E$6^2/Supuestos!$D$6^2))),Supuestos!$D$6))))))</f>
        <v/>
      </c>
      <c r="K681" s="32">
        <f>MIN(IF(Supuestos!$H$7="",1E+99,Supuestos!$H$7),MAX(IF(Supuestos!$G$7="",-1E+99,Supuestos!$G$7),IF(Supuestos!$C$7="Normal",NORMINV(D681,Supuestos!$D$7,Supuestos!$E$7),IF(Supuestos!$C$7="Triangular",IF(D681&lt;(Supuestos!$E$7-Supuestos!$D$7)/(Supuestos!$F$7-Supuestos!$D$7),Supuestos!$D$7+SQRT(D681*(Supuestos!$F$7-Supuestos!$D$7)*(Supuestos!$E$7-Supuestos!$D$7)),Supuestos!$F$7-SQRT((1-D681)*(Supuestos!$F$7-Supuestos!$D$7)*(Supuestos!$F$7-Supuestos!$E$7))),IF(Supuestos!$C$7="Uniforme",Supuestos!$D$7+D681*(Supuestos!$E$7-Supuestos!$D$7),IF(Supuestos!$C$7="Lognormal",LOGINV(D681,LN(Supuestos!$D$7)-LN(1+Supuestos!$E$7^2/Supuestos!$D$7^2)/2,SQRT(LN(1+Supuestos!$E$7^2/Supuestos!$D$7^2))),Supuestos!$D$7))))))</f>
        <v/>
      </c>
      <c r="L681" s="32">
        <f>MIN(IF(Supuestos!$H$8="",1E+99,Supuestos!$H$8),MAX(IF(Supuestos!$G$8="",-1E+99,Supuestos!$G$8),IF(Supuestos!$C$8="Normal",NORMINV(E681,Supuestos!$D$8,Supuestos!$E$8),IF(Supuestos!$C$8="Triangular",IF(E681&lt;(Supuestos!$E$8-Supuestos!$D$8)/(Supuestos!$F$8-Supuestos!$D$8),Supuestos!$D$8+SQRT(E681*(Supuestos!$F$8-Supuestos!$D$8)*(Supuestos!$E$8-Supuestos!$D$8)),Supuestos!$F$8-SQRT((1-E681)*(Supuestos!$F$8-Supuestos!$D$8)*(Supuestos!$F$8-Supuestos!$E$8))),IF(Supuestos!$C$8="Uniforme",Supuestos!$D$8+E681*(Supuestos!$E$8-Supuestos!$D$8),IF(Supuestos!$C$8="Lognormal",LOGINV(E681,LN(Supuestos!$D$8)-LN(1+Supuestos!$E$8^2/Supuestos!$D$8^2)/2,SQRT(LN(1+Supuestos!$E$8^2/Supuestos!$D$8^2))),Supuestos!$D$8))))))</f>
        <v/>
      </c>
      <c r="M681" s="32">
        <f>MIN(IF(Supuestos!$H$9="",1E+99,Supuestos!$H$9),MAX(IF(Supuestos!$G$9="",-1E+99,Supuestos!$G$9),IF(Supuestos!$C$9="Normal",NORMINV(F681,Supuestos!$D$9,Supuestos!$E$9),IF(Supuestos!$C$9="Triangular",IF(F681&lt;(Supuestos!$E$9-Supuestos!$D$9)/(Supuestos!$F$9-Supuestos!$D$9),Supuestos!$D$9+SQRT(F681*(Supuestos!$F$9-Supuestos!$D$9)*(Supuestos!$E$9-Supuestos!$D$9)),Supuestos!$F$9-SQRT((1-F681)*(Supuestos!$F$9-Supuestos!$D$9)*(Supuestos!$F$9-Supuestos!$E$9))),IF(Supuestos!$C$9="Uniforme",Supuestos!$D$9+F681*(Supuestos!$E$9-Supuestos!$D$9),IF(Supuestos!$C$9="Lognormal",LOGINV(F681,LN(Supuestos!$D$9)-LN(1+Supuestos!$E$9^2/Supuestos!$D$9^2)/2,SQRT(LN(1+Supuestos!$E$9^2/Supuestos!$D$9^2))),Supuestos!$D$9))))))</f>
        <v/>
      </c>
      <c r="N681" s="32">
        <f>MIN(IF(Supuestos!$H$10="",1E+99,Supuestos!$H$10),MAX(IF(Supuestos!$G$10="",-1E+99,Supuestos!$G$10),IF(Supuestos!$C$10="Normal",NORMINV(G681,Supuestos!$D$10,Supuestos!$E$10),IF(Supuestos!$C$10="Triangular",IF(G681&lt;(Supuestos!$E$10-Supuestos!$D$10)/(Supuestos!$F$10-Supuestos!$D$10),Supuestos!$D$10+SQRT(G681*(Supuestos!$F$10-Supuestos!$D$10)*(Supuestos!$E$10-Supuestos!$D$10)),Supuestos!$F$10-SQRT((1-G681)*(Supuestos!$F$10-Supuestos!$D$10)*(Supuestos!$F$10-Supuestos!$E$10))),IF(Supuestos!$C$10="Uniforme",Supuestos!$D$10+G681*(Supuestos!$E$10-Supuestos!$D$10),IF(Supuestos!$C$10="Lognormal",LOGINV(G681,LN(Supuestos!$D$10)-LN(1+Supuestos!$E$10^2/Supuestos!$D$10^2)/2,SQRT(LN(1+Supuestos!$E$10^2/Supuestos!$D$10^2))),Supuestos!$D$10))))))</f>
        <v/>
      </c>
      <c r="O681" s="31">
        <f>MIN(IF(Supuestos!$H$11="",1E+99,Supuestos!$H$11),MAX(IF(Supuestos!$G$11="",-1E+99,Supuestos!$G$11),IF(Supuestos!$C$11="Normal",NORMINV(H681,Supuestos!$D$11,Supuestos!$E$11),IF(Supuestos!$C$11="Triangular",IF(H681&lt;(Supuestos!$E$11-Supuestos!$D$11)/(Supuestos!$F$11-Supuestos!$D$11),Supuestos!$D$11+SQRT(H681*(Supuestos!$F$11-Supuestos!$D$11)*(Supuestos!$E$11-Supuestos!$D$11)),Supuestos!$F$11-SQRT((1-H681)*(Supuestos!$F$11-Supuestos!$D$11)*(Supuestos!$F$11-Supuestos!$E$11))),IF(Supuestos!$C$11="Uniforme",Supuestos!$D$11+H681*(Supuestos!$E$11-Supuestos!$D$11),IF(Supuestos!$C$11="Lognormal",LOGINV(H681,LN(Supuestos!$D$11)-LN(1+Supuestos!$E$11^2/Supuestos!$D$11^2)/2,SQRT(LN(1+Supuestos!$E$11^2/Supuestos!$D$11^2))),Supuestos!$D$11))))))</f>
        <v/>
      </c>
      <c r="P681" s="33">
        <f>-I681</f>
        <v/>
      </c>
      <c r="Q681" s="33">
        <f>$J681*(1+$K681)^(1-1)*(1-$L681)*(1-$M681)</f>
        <v/>
      </c>
      <c r="R681" s="33">
        <f>$J681*(1+$K681)^(2-1)*(1-$L681)*(1-$M681)</f>
        <v/>
      </c>
      <c r="S681" s="33">
        <f>$J681*(1+$K681)^(3-1)*(1-$L681)*(1-$M681)</f>
        <v/>
      </c>
      <c r="T681" s="33">
        <f>$J681*(1+$K681)^(4-1)*(1-$L681)*(1-$M681)</f>
        <v/>
      </c>
      <c r="U681" s="33">
        <f>$J681*(1+$K681)^(5-1)*(1-$L681)*(1-$M681)+$O681</f>
        <v/>
      </c>
      <c r="V681" s="33">
        <f>P681+NPV($N681,Q681:U681)</f>
        <v/>
      </c>
      <c r="W681" s="32">
        <f>IFERROR(IRR(P681:U681,0.1),"")</f>
        <v/>
      </c>
    </row>
    <row r="682">
      <c r="A682" s="14" t="n">
        <v>678</v>
      </c>
      <c r="B682" s="30">
        <f>RAND()*(1-2E-6)+1E-6</f>
        <v/>
      </c>
      <c r="C682" s="30">
        <f>RAND()*(1-2E-6)+1E-6</f>
        <v/>
      </c>
      <c r="D682" s="30">
        <f>RAND()*(1-2E-6)+1E-6</f>
        <v/>
      </c>
      <c r="E682" s="30">
        <f>RAND()*(1-2E-6)+1E-6</f>
        <v/>
      </c>
      <c r="F682" s="30">
        <f>RAND()*(1-2E-6)+1E-6</f>
        <v/>
      </c>
      <c r="G682" s="30">
        <f>RAND()*(1-2E-6)+1E-6</f>
        <v/>
      </c>
      <c r="H682" s="30">
        <f>RAND()*(1-2E-6)+1E-6</f>
        <v/>
      </c>
      <c r="I682" s="31">
        <f>MIN(IF(Supuestos!$H$5="",1E+99,Supuestos!$H$5),MAX(IF(Supuestos!$G$5="",-1E+99,Supuestos!$G$5),IF(Supuestos!$C$5="Normal",NORMINV(B682,Supuestos!$D$5,Supuestos!$E$5),IF(Supuestos!$C$5="Triangular",IF(B682&lt;(Supuestos!$E$5-Supuestos!$D$5)/(Supuestos!$F$5-Supuestos!$D$5),Supuestos!$D$5+SQRT(B682*(Supuestos!$F$5-Supuestos!$D$5)*(Supuestos!$E$5-Supuestos!$D$5)),Supuestos!$F$5-SQRT((1-B682)*(Supuestos!$F$5-Supuestos!$D$5)*(Supuestos!$F$5-Supuestos!$E$5))),IF(Supuestos!$C$5="Uniforme",Supuestos!$D$5+B682*(Supuestos!$E$5-Supuestos!$D$5),IF(Supuestos!$C$5="Lognormal",LOGINV(B682,LN(Supuestos!$D$5)-LN(1+Supuestos!$E$5^2/Supuestos!$D$5^2)/2,SQRT(LN(1+Supuestos!$E$5^2/Supuestos!$D$5^2))),Supuestos!$D$5))))))</f>
        <v/>
      </c>
      <c r="J682" s="31">
        <f>MIN(IF(Supuestos!$H$6="",1E+99,Supuestos!$H$6),MAX(IF(Supuestos!$G$6="",-1E+99,Supuestos!$G$6),IF(Supuestos!$C$6="Normal",NORMINV(C682,Supuestos!$D$6,Supuestos!$E$6),IF(Supuestos!$C$6="Triangular",IF(C682&lt;(Supuestos!$E$6-Supuestos!$D$6)/(Supuestos!$F$6-Supuestos!$D$6),Supuestos!$D$6+SQRT(C682*(Supuestos!$F$6-Supuestos!$D$6)*(Supuestos!$E$6-Supuestos!$D$6)),Supuestos!$F$6-SQRT((1-C682)*(Supuestos!$F$6-Supuestos!$D$6)*(Supuestos!$F$6-Supuestos!$E$6))),IF(Supuestos!$C$6="Uniforme",Supuestos!$D$6+C682*(Supuestos!$E$6-Supuestos!$D$6),IF(Supuestos!$C$6="Lognormal",LOGINV(C682,LN(Supuestos!$D$6)-LN(1+Supuestos!$E$6^2/Supuestos!$D$6^2)/2,SQRT(LN(1+Supuestos!$E$6^2/Supuestos!$D$6^2))),Supuestos!$D$6))))))</f>
        <v/>
      </c>
      <c r="K682" s="32">
        <f>MIN(IF(Supuestos!$H$7="",1E+99,Supuestos!$H$7),MAX(IF(Supuestos!$G$7="",-1E+99,Supuestos!$G$7),IF(Supuestos!$C$7="Normal",NORMINV(D682,Supuestos!$D$7,Supuestos!$E$7),IF(Supuestos!$C$7="Triangular",IF(D682&lt;(Supuestos!$E$7-Supuestos!$D$7)/(Supuestos!$F$7-Supuestos!$D$7),Supuestos!$D$7+SQRT(D682*(Supuestos!$F$7-Supuestos!$D$7)*(Supuestos!$E$7-Supuestos!$D$7)),Supuestos!$F$7-SQRT((1-D682)*(Supuestos!$F$7-Supuestos!$D$7)*(Supuestos!$F$7-Supuestos!$E$7))),IF(Supuestos!$C$7="Uniforme",Supuestos!$D$7+D682*(Supuestos!$E$7-Supuestos!$D$7),IF(Supuestos!$C$7="Lognormal",LOGINV(D682,LN(Supuestos!$D$7)-LN(1+Supuestos!$E$7^2/Supuestos!$D$7^2)/2,SQRT(LN(1+Supuestos!$E$7^2/Supuestos!$D$7^2))),Supuestos!$D$7))))))</f>
        <v/>
      </c>
      <c r="L682" s="32">
        <f>MIN(IF(Supuestos!$H$8="",1E+99,Supuestos!$H$8),MAX(IF(Supuestos!$G$8="",-1E+99,Supuestos!$G$8),IF(Supuestos!$C$8="Normal",NORMINV(E682,Supuestos!$D$8,Supuestos!$E$8),IF(Supuestos!$C$8="Triangular",IF(E682&lt;(Supuestos!$E$8-Supuestos!$D$8)/(Supuestos!$F$8-Supuestos!$D$8),Supuestos!$D$8+SQRT(E682*(Supuestos!$F$8-Supuestos!$D$8)*(Supuestos!$E$8-Supuestos!$D$8)),Supuestos!$F$8-SQRT((1-E682)*(Supuestos!$F$8-Supuestos!$D$8)*(Supuestos!$F$8-Supuestos!$E$8))),IF(Supuestos!$C$8="Uniforme",Supuestos!$D$8+E682*(Supuestos!$E$8-Supuestos!$D$8),IF(Supuestos!$C$8="Lognormal",LOGINV(E682,LN(Supuestos!$D$8)-LN(1+Supuestos!$E$8^2/Supuestos!$D$8^2)/2,SQRT(LN(1+Supuestos!$E$8^2/Supuestos!$D$8^2))),Supuestos!$D$8))))))</f>
        <v/>
      </c>
      <c r="M682" s="32">
        <f>MIN(IF(Supuestos!$H$9="",1E+99,Supuestos!$H$9),MAX(IF(Supuestos!$G$9="",-1E+99,Supuestos!$G$9),IF(Supuestos!$C$9="Normal",NORMINV(F682,Supuestos!$D$9,Supuestos!$E$9),IF(Supuestos!$C$9="Triangular",IF(F682&lt;(Supuestos!$E$9-Supuestos!$D$9)/(Supuestos!$F$9-Supuestos!$D$9),Supuestos!$D$9+SQRT(F682*(Supuestos!$F$9-Supuestos!$D$9)*(Supuestos!$E$9-Supuestos!$D$9)),Supuestos!$F$9-SQRT((1-F682)*(Supuestos!$F$9-Supuestos!$D$9)*(Supuestos!$F$9-Supuestos!$E$9))),IF(Supuestos!$C$9="Uniforme",Supuestos!$D$9+F682*(Supuestos!$E$9-Supuestos!$D$9),IF(Supuestos!$C$9="Lognormal",LOGINV(F682,LN(Supuestos!$D$9)-LN(1+Supuestos!$E$9^2/Supuestos!$D$9^2)/2,SQRT(LN(1+Supuestos!$E$9^2/Supuestos!$D$9^2))),Supuestos!$D$9))))))</f>
        <v/>
      </c>
      <c r="N682" s="32">
        <f>MIN(IF(Supuestos!$H$10="",1E+99,Supuestos!$H$10),MAX(IF(Supuestos!$G$10="",-1E+99,Supuestos!$G$10),IF(Supuestos!$C$10="Normal",NORMINV(G682,Supuestos!$D$10,Supuestos!$E$10),IF(Supuestos!$C$10="Triangular",IF(G682&lt;(Supuestos!$E$10-Supuestos!$D$10)/(Supuestos!$F$10-Supuestos!$D$10),Supuestos!$D$10+SQRT(G682*(Supuestos!$F$10-Supuestos!$D$10)*(Supuestos!$E$10-Supuestos!$D$10)),Supuestos!$F$10-SQRT((1-G682)*(Supuestos!$F$10-Supuestos!$D$10)*(Supuestos!$F$10-Supuestos!$E$10))),IF(Supuestos!$C$10="Uniforme",Supuestos!$D$10+G682*(Supuestos!$E$10-Supuestos!$D$10),IF(Supuestos!$C$10="Lognormal",LOGINV(G682,LN(Supuestos!$D$10)-LN(1+Supuestos!$E$10^2/Supuestos!$D$10^2)/2,SQRT(LN(1+Supuestos!$E$10^2/Supuestos!$D$10^2))),Supuestos!$D$10))))))</f>
        <v/>
      </c>
      <c r="O682" s="31">
        <f>MIN(IF(Supuestos!$H$11="",1E+99,Supuestos!$H$11),MAX(IF(Supuestos!$G$11="",-1E+99,Supuestos!$G$11),IF(Supuestos!$C$11="Normal",NORMINV(H682,Supuestos!$D$11,Supuestos!$E$11),IF(Supuestos!$C$11="Triangular",IF(H682&lt;(Supuestos!$E$11-Supuestos!$D$11)/(Supuestos!$F$11-Supuestos!$D$11),Supuestos!$D$11+SQRT(H682*(Supuestos!$F$11-Supuestos!$D$11)*(Supuestos!$E$11-Supuestos!$D$11)),Supuestos!$F$11-SQRT((1-H682)*(Supuestos!$F$11-Supuestos!$D$11)*(Supuestos!$F$11-Supuestos!$E$11))),IF(Supuestos!$C$11="Uniforme",Supuestos!$D$11+H682*(Supuestos!$E$11-Supuestos!$D$11),IF(Supuestos!$C$11="Lognormal",LOGINV(H682,LN(Supuestos!$D$11)-LN(1+Supuestos!$E$11^2/Supuestos!$D$11^2)/2,SQRT(LN(1+Supuestos!$E$11^2/Supuestos!$D$11^2))),Supuestos!$D$11))))))</f>
        <v/>
      </c>
      <c r="P682" s="33">
        <f>-I682</f>
        <v/>
      </c>
      <c r="Q682" s="33">
        <f>$J682*(1+$K682)^(1-1)*(1-$L682)*(1-$M682)</f>
        <v/>
      </c>
      <c r="R682" s="33">
        <f>$J682*(1+$K682)^(2-1)*(1-$L682)*(1-$M682)</f>
        <v/>
      </c>
      <c r="S682" s="33">
        <f>$J682*(1+$K682)^(3-1)*(1-$L682)*(1-$M682)</f>
        <v/>
      </c>
      <c r="T682" s="33">
        <f>$J682*(1+$K682)^(4-1)*(1-$L682)*(1-$M682)</f>
        <v/>
      </c>
      <c r="U682" s="33">
        <f>$J682*(1+$K682)^(5-1)*(1-$L682)*(1-$M682)+$O682</f>
        <v/>
      </c>
      <c r="V682" s="33">
        <f>P682+NPV($N682,Q682:U682)</f>
        <v/>
      </c>
      <c r="W682" s="32">
        <f>IFERROR(IRR(P682:U682,0.1),"")</f>
        <v/>
      </c>
    </row>
    <row r="683">
      <c r="A683" s="14" t="n">
        <v>679</v>
      </c>
      <c r="B683" s="30">
        <f>RAND()*(1-2E-6)+1E-6</f>
        <v/>
      </c>
      <c r="C683" s="30">
        <f>RAND()*(1-2E-6)+1E-6</f>
        <v/>
      </c>
      <c r="D683" s="30">
        <f>RAND()*(1-2E-6)+1E-6</f>
        <v/>
      </c>
      <c r="E683" s="30">
        <f>RAND()*(1-2E-6)+1E-6</f>
        <v/>
      </c>
      <c r="F683" s="30">
        <f>RAND()*(1-2E-6)+1E-6</f>
        <v/>
      </c>
      <c r="G683" s="30">
        <f>RAND()*(1-2E-6)+1E-6</f>
        <v/>
      </c>
      <c r="H683" s="30">
        <f>RAND()*(1-2E-6)+1E-6</f>
        <v/>
      </c>
      <c r="I683" s="31">
        <f>MIN(IF(Supuestos!$H$5="",1E+99,Supuestos!$H$5),MAX(IF(Supuestos!$G$5="",-1E+99,Supuestos!$G$5),IF(Supuestos!$C$5="Normal",NORMINV(B683,Supuestos!$D$5,Supuestos!$E$5),IF(Supuestos!$C$5="Triangular",IF(B683&lt;(Supuestos!$E$5-Supuestos!$D$5)/(Supuestos!$F$5-Supuestos!$D$5),Supuestos!$D$5+SQRT(B683*(Supuestos!$F$5-Supuestos!$D$5)*(Supuestos!$E$5-Supuestos!$D$5)),Supuestos!$F$5-SQRT((1-B683)*(Supuestos!$F$5-Supuestos!$D$5)*(Supuestos!$F$5-Supuestos!$E$5))),IF(Supuestos!$C$5="Uniforme",Supuestos!$D$5+B683*(Supuestos!$E$5-Supuestos!$D$5),IF(Supuestos!$C$5="Lognormal",LOGINV(B683,LN(Supuestos!$D$5)-LN(1+Supuestos!$E$5^2/Supuestos!$D$5^2)/2,SQRT(LN(1+Supuestos!$E$5^2/Supuestos!$D$5^2))),Supuestos!$D$5))))))</f>
        <v/>
      </c>
      <c r="J683" s="31">
        <f>MIN(IF(Supuestos!$H$6="",1E+99,Supuestos!$H$6),MAX(IF(Supuestos!$G$6="",-1E+99,Supuestos!$G$6),IF(Supuestos!$C$6="Normal",NORMINV(C683,Supuestos!$D$6,Supuestos!$E$6),IF(Supuestos!$C$6="Triangular",IF(C683&lt;(Supuestos!$E$6-Supuestos!$D$6)/(Supuestos!$F$6-Supuestos!$D$6),Supuestos!$D$6+SQRT(C683*(Supuestos!$F$6-Supuestos!$D$6)*(Supuestos!$E$6-Supuestos!$D$6)),Supuestos!$F$6-SQRT((1-C683)*(Supuestos!$F$6-Supuestos!$D$6)*(Supuestos!$F$6-Supuestos!$E$6))),IF(Supuestos!$C$6="Uniforme",Supuestos!$D$6+C683*(Supuestos!$E$6-Supuestos!$D$6),IF(Supuestos!$C$6="Lognormal",LOGINV(C683,LN(Supuestos!$D$6)-LN(1+Supuestos!$E$6^2/Supuestos!$D$6^2)/2,SQRT(LN(1+Supuestos!$E$6^2/Supuestos!$D$6^2))),Supuestos!$D$6))))))</f>
        <v/>
      </c>
      <c r="K683" s="32">
        <f>MIN(IF(Supuestos!$H$7="",1E+99,Supuestos!$H$7),MAX(IF(Supuestos!$G$7="",-1E+99,Supuestos!$G$7),IF(Supuestos!$C$7="Normal",NORMINV(D683,Supuestos!$D$7,Supuestos!$E$7),IF(Supuestos!$C$7="Triangular",IF(D683&lt;(Supuestos!$E$7-Supuestos!$D$7)/(Supuestos!$F$7-Supuestos!$D$7),Supuestos!$D$7+SQRT(D683*(Supuestos!$F$7-Supuestos!$D$7)*(Supuestos!$E$7-Supuestos!$D$7)),Supuestos!$F$7-SQRT((1-D683)*(Supuestos!$F$7-Supuestos!$D$7)*(Supuestos!$F$7-Supuestos!$E$7))),IF(Supuestos!$C$7="Uniforme",Supuestos!$D$7+D683*(Supuestos!$E$7-Supuestos!$D$7),IF(Supuestos!$C$7="Lognormal",LOGINV(D683,LN(Supuestos!$D$7)-LN(1+Supuestos!$E$7^2/Supuestos!$D$7^2)/2,SQRT(LN(1+Supuestos!$E$7^2/Supuestos!$D$7^2))),Supuestos!$D$7))))))</f>
        <v/>
      </c>
      <c r="L683" s="32">
        <f>MIN(IF(Supuestos!$H$8="",1E+99,Supuestos!$H$8),MAX(IF(Supuestos!$G$8="",-1E+99,Supuestos!$G$8),IF(Supuestos!$C$8="Normal",NORMINV(E683,Supuestos!$D$8,Supuestos!$E$8),IF(Supuestos!$C$8="Triangular",IF(E683&lt;(Supuestos!$E$8-Supuestos!$D$8)/(Supuestos!$F$8-Supuestos!$D$8),Supuestos!$D$8+SQRT(E683*(Supuestos!$F$8-Supuestos!$D$8)*(Supuestos!$E$8-Supuestos!$D$8)),Supuestos!$F$8-SQRT((1-E683)*(Supuestos!$F$8-Supuestos!$D$8)*(Supuestos!$F$8-Supuestos!$E$8))),IF(Supuestos!$C$8="Uniforme",Supuestos!$D$8+E683*(Supuestos!$E$8-Supuestos!$D$8),IF(Supuestos!$C$8="Lognormal",LOGINV(E683,LN(Supuestos!$D$8)-LN(1+Supuestos!$E$8^2/Supuestos!$D$8^2)/2,SQRT(LN(1+Supuestos!$E$8^2/Supuestos!$D$8^2))),Supuestos!$D$8))))))</f>
        <v/>
      </c>
      <c r="M683" s="32">
        <f>MIN(IF(Supuestos!$H$9="",1E+99,Supuestos!$H$9),MAX(IF(Supuestos!$G$9="",-1E+99,Supuestos!$G$9),IF(Supuestos!$C$9="Normal",NORMINV(F683,Supuestos!$D$9,Supuestos!$E$9),IF(Supuestos!$C$9="Triangular",IF(F683&lt;(Supuestos!$E$9-Supuestos!$D$9)/(Supuestos!$F$9-Supuestos!$D$9),Supuestos!$D$9+SQRT(F683*(Supuestos!$F$9-Supuestos!$D$9)*(Supuestos!$E$9-Supuestos!$D$9)),Supuestos!$F$9-SQRT((1-F683)*(Supuestos!$F$9-Supuestos!$D$9)*(Supuestos!$F$9-Supuestos!$E$9))),IF(Supuestos!$C$9="Uniforme",Supuestos!$D$9+F683*(Supuestos!$E$9-Supuestos!$D$9),IF(Supuestos!$C$9="Lognormal",LOGINV(F683,LN(Supuestos!$D$9)-LN(1+Supuestos!$E$9^2/Supuestos!$D$9^2)/2,SQRT(LN(1+Supuestos!$E$9^2/Supuestos!$D$9^2))),Supuestos!$D$9))))))</f>
        <v/>
      </c>
      <c r="N683" s="32">
        <f>MIN(IF(Supuestos!$H$10="",1E+99,Supuestos!$H$10),MAX(IF(Supuestos!$G$10="",-1E+99,Supuestos!$G$10),IF(Supuestos!$C$10="Normal",NORMINV(G683,Supuestos!$D$10,Supuestos!$E$10),IF(Supuestos!$C$10="Triangular",IF(G683&lt;(Supuestos!$E$10-Supuestos!$D$10)/(Supuestos!$F$10-Supuestos!$D$10),Supuestos!$D$10+SQRT(G683*(Supuestos!$F$10-Supuestos!$D$10)*(Supuestos!$E$10-Supuestos!$D$10)),Supuestos!$F$10-SQRT((1-G683)*(Supuestos!$F$10-Supuestos!$D$10)*(Supuestos!$F$10-Supuestos!$E$10))),IF(Supuestos!$C$10="Uniforme",Supuestos!$D$10+G683*(Supuestos!$E$10-Supuestos!$D$10),IF(Supuestos!$C$10="Lognormal",LOGINV(G683,LN(Supuestos!$D$10)-LN(1+Supuestos!$E$10^2/Supuestos!$D$10^2)/2,SQRT(LN(1+Supuestos!$E$10^2/Supuestos!$D$10^2))),Supuestos!$D$10))))))</f>
        <v/>
      </c>
      <c r="O683" s="31">
        <f>MIN(IF(Supuestos!$H$11="",1E+99,Supuestos!$H$11),MAX(IF(Supuestos!$G$11="",-1E+99,Supuestos!$G$11),IF(Supuestos!$C$11="Normal",NORMINV(H683,Supuestos!$D$11,Supuestos!$E$11),IF(Supuestos!$C$11="Triangular",IF(H683&lt;(Supuestos!$E$11-Supuestos!$D$11)/(Supuestos!$F$11-Supuestos!$D$11),Supuestos!$D$11+SQRT(H683*(Supuestos!$F$11-Supuestos!$D$11)*(Supuestos!$E$11-Supuestos!$D$11)),Supuestos!$F$11-SQRT((1-H683)*(Supuestos!$F$11-Supuestos!$D$11)*(Supuestos!$F$11-Supuestos!$E$11))),IF(Supuestos!$C$11="Uniforme",Supuestos!$D$11+H683*(Supuestos!$E$11-Supuestos!$D$11),IF(Supuestos!$C$11="Lognormal",LOGINV(H683,LN(Supuestos!$D$11)-LN(1+Supuestos!$E$11^2/Supuestos!$D$11^2)/2,SQRT(LN(1+Supuestos!$E$11^2/Supuestos!$D$11^2))),Supuestos!$D$11))))))</f>
        <v/>
      </c>
      <c r="P683" s="33">
        <f>-I683</f>
        <v/>
      </c>
      <c r="Q683" s="33">
        <f>$J683*(1+$K683)^(1-1)*(1-$L683)*(1-$M683)</f>
        <v/>
      </c>
      <c r="R683" s="33">
        <f>$J683*(1+$K683)^(2-1)*(1-$L683)*(1-$M683)</f>
        <v/>
      </c>
      <c r="S683" s="33">
        <f>$J683*(1+$K683)^(3-1)*(1-$L683)*(1-$M683)</f>
        <v/>
      </c>
      <c r="T683" s="33">
        <f>$J683*(1+$K683)^(4-1)*(1-$L683)*(1-$M683)</f>
        <v/>
      </c>
      <c r="U683" s="33">
        <f>$J683*(1+$K683)^(5-1)*(1-$L683)*(1-$M683)+$O683</f>
        <v/>
      </c>
      <c r="V683" s="33">
        <f>P683+NPV($N683,Q683:U683)</f>
        <v/>
      </c>
      <c r="W683" s="32">
        <f>IFERROR(IRR(P683:U683,0.1),"")</f>
        <v/>
      </c>
    </row>
    <row r="684">
      <c r="A684" s="14" t="n">
        <v>680</v>
      </c>
      <c r="B684" s="30">
        <f>RAND()*(1-2E-6)+1E-6</f>
        <v/>
      </c>
      <c r="C684" s="30">
        <f>RAND()*(1-2E-6)+1E-6</f>
        <v/>
      </c>
      <c r="D684" s="30">
        <f>RAND()*(1-2E-6)+1E-6</f>
        <v/>
      </c>
      <c r="E684" s="30">
        <f>RAND()*(1-2E-6)+1E-6</f>
        <v/>
      </c>
      <c r="F684" s="30">
        <f>RAND()*(1-2E-6)+1E-6</f>
        <v/>
      </c>
      <c r="G684" s="30">
        <f>RAND()*(1-2E-6)+1E-6</f>
        <v/>
      </c>
      <c r="H684" s="30">
        <f>RAND()*(1-2E-6)+1E-6</f>
        <v/>
      </c>
      <c r="I684" s="31">
        <f>MIN(IF(Supuestos!$H$5="",1E+99,Supuestos!$H$5),MAX(IF(Supuestos!$G$5="",-1E+99,Supuestos!$G$5),IF(Supuestos!$C$5="Normal",NORMINV(B684,Supuestos!$D$5,Supuestos!$E$5),IF(Supuestos!$C$5="Triangular",IF(B684&lt;(Supuestos!$E$5-Supuestos!$D$5)/(Supuestos!$F$5-Supuestos!$D$5),Supuestos!$D$5+SQRT(B684*(Supuestos!$F$5-Supuestos!$D$5)*(Supuestos!$E$5-Supuestos!$D$5)),Supuestos!$F$5-SQRT((1-B684)*(Supuestos!$F$5-Supuestos!$D$5)*(Supuestos!$F$5-Supuestos!$E$5))),IF(Supuestos!$C$5="Uniforme",Supuestos!$D$5+B684*(Supuestos!$E$5-Supuestos!$D$5),IF(Supuestos!$C$5="Lognormal",LOGINV(B684,LN(Supuestos!$D$5)-LN(1+Supuestos!$E$5^2/Supuestos!$D$5^2)/2,SQRT(LN(1+Supuestos!$E$5^2/Supuestos!$D$5^2))),Supuestos!$D$5))))))</f>
        <v/>
      </c>
      <c r="J684" s="31">
        <f>MIN(IF(Supuestos!$H$6="",1E+99,Supuestos!$H$6),MAX(IF(Supuestos!$G$6="",-1E+99,Supuestos!$G$6),IF(Supuestos!$C$6="Normal",NORMINV(C684,Supuestos!$D$6,Supuestos!$E$6),IF(Supuestos!$C$6="Triangular",IF(C684&lt;(Supuestos!$E$6-Supuestos!$D$6)/(Supuestos!$F$6-Supuestos!$D$6),Supuestos!$D$6+SQRT(C684*(Supuestos!$F$6-Supuestos!$D$6)*(Supuestos!$E$6-Supuestos!$D$6)),Supuestos!$F$6-SQRT((1-C684)*(Supuestos!$F$6-Supuestos!$D$6)*(Supuestos!$F$6-Supuestos!$E$6))),IF(Supuestos!$C$6="Uniforme",Supuestos!$D$6+C684*(Supuestos!$E$6-Supuestos!$D$6),IF(Supuestos!$C$6="Lognormal",LOGINV(C684,LN(Supuestos!$D$6)-LN(1+Supuestos!$E$6^2/Supuestos!$D$6^2)/2,SQRT(LN(1+Supuestos!$E$6^2/Supuestos!$D$6^2))),Supuestos!$D$6))))))</f>
        <v/>
      </c>
      <c r="K684" s="32">
        <f>MIN(IF(Supuestos!$H$7="",1E+99,Supuestos!$H$7),MAX(IF(Supuestos!$G$7="",-1E+99,Supuestos!$G$7),IF(Supuestos!$C$7="Normal",NORMINV(D684,Supuestos!$D$7,Supuestos!$E$7),IF(Supuestos!$C$7="Triangular",IF(D684&lt;(Supuestos!$E$7-Supuestos!$D$7)/(Supuestos!$F$7-Supuestos!$D$7),Supuestos!$D$7+SQRT(D684*(Supuestos!$F$7-Supuestos!$D$7)*(Supuestos!$E$7-Supuestos!$D$7)),Supuestos!$F$7-SQRT((1-D684)*(Supuestos!$F$7-Supuestos!$D$7)*(Supuestos!$F$7-Supuestos!$E$7))),IF(Supuestos!$C$7="Uniforme",Supuestos!$D$7+D684*(Supuestos!$E$7-Supuestos!$D$7),IF(Supuestos!$C$7="Lognormal",LOGINV(D684,LN(Supuestos!$D$7)-LN(1+Supuestos!$E$7^2/Supuestos!$D$7^2)/2,SQRT(LN(1+Supuestos!$E$7^2/Supuestos!$D$7^2))),Supuestos!$D$7))))))</f>
        <v/>
      </c>
      <c r="L684" s="32">
        <f>MIN(IF(Supuestos!$H$8="",1E+99,Supuestos!$H$8),MAX(IF(Supuestos!$G$8="",-1E+99,Supuestos!$G$8),IF(Supuestos!$C$8="Normal",NORMINV(E684,Supuestos!$D$8,Supuestos!$E$8),IF(Supuestos!$C$8="Triangular",IF(E684&lt;(Supuestos!$E$8-Supuestos!$D$8)/(Supuestos!$F$8-Supuestos!$D$8),Supuestos!$D$8+SQRT(E684*(Supuestos!$F$8-Supuestos!$D$8)*(Supuestos!$E$8-Supuestos!$D$8)),Supuestos!$F$8-SQRT((1-E684)*(Supuestos!$F$8-Supuestos!$D$8)*(Supuestos!$F$8-Supuestos!$E$8))),IF(Supuestos!$C$8="Uniforme",Supuestos!$D$8+E684*(Supuestos!$E$8-Supuestos!$D$8),IF(Supuestos!$C$8="Lognormal",LOGINV(E684,LN(Supuestos!$D$8)-LN(1+Supuestos!$E$8^2/Supuestos!$D$8^2)/2,SQRT(LN(1+Supuestos!$E$8^2/Supuestos!$D$8^2))),Supuestos!$D$8))))))</f>
        <v/>
      </c>
      <c r="M684" s="32">
        <f>MIN(IF(Supuestos!$H$9="",1E+99,Supuestos!$H$9),MAX(IF(Supuestos!$G$9="",-1E+99,Supuestos!$G$9),IF(Supuestos!$C$9="Normal",NORMINV(F684,Supuestos!$D$9,Supuestos!$E$9),IF(Supuestos!$C$9="Triangular",IF(F684&lt;(Supuestos!$E$9-Supuestos!$D$9)/(Supuestos!$F$9-Supuestos!$D$9),Supuestos!$D$9+SQRT(F684*(Supuestos!$F$9-Supuestos!$D$9)*(Supuestos!$E$9-Supuestos!$D$9)),Supuestos!$F$9-SQRT((1-F684)*(Supuestos!$F$9-Supuestos!$D$9)*(Supuestos!$F$9-Supuestos!$E$9))),IF(Supuestos!$C$9="Uniforme",Supuestos!$D$9+F684*(Supuestos!$E$9-Supuestos!$D$9),IF(Supuestos!$C$9="Lognormal",LOGINV(F684,LN(Supuestos!$D$9)-LN(1+Supuestos!$E$9^2/Supuestos!$D$9^2)/2,SQRT(LN(1+Supuestos!$E$9^2/Supuestos!$D$9^2))),Supuestos!$D$9))))))</f>
        <v/>
      </c>
      <c r="N684" s="32">
        <f>MIN(IF(Supuestos!$H$10="",1E+99,Supuestos!$H$10),MAX(IF(Supuestos!$G$10="",-1E+99,Supuestos!$G$10),IF(Supuestos!$C$10="Normal",NORMINV(G684,Supuestos!$D$10,Supuestos!$E$10),IF(Supuestos!$C$10="Triangular",IF(G684&lt;(Supuestos!$E$10-Supuestos!$D$10)/(Supuestos!$F$10-Supuestos!$D$10),Supuestos!$D$10+SQRT(G684*(Supuestos!$F$10-Supuestos!$D$10)*(Supuestos!$E$10-Supuestos!$D$10)),Supuestos!$F$10-SQRT((1-G684)*(Supuestos!$F$10-Supuestos!$D$10)*(Supuestos!$F$10-Supuestos!$E$10))),IF(Supuestos!$C$10="Uniforme",Supuestos!$D$10+G684*(Supuestos!$E$10-Supuestos!$D$10),IF(Supuestos!$C$10="Lognormal",LOGINV(G684,LN(Supuestos!$D$10)-LN(1+Supuestos!$E$10^2/Supuestos!$D$10^2)/2,SQRT(LN(1+Supuestos!$E$10^2/Supuestos!$D$10^2))),Supuestos!$D$10))))))</f>
        <v/>
      </c>
      <c r="O684" s="31">
        <f>MIN(IF(Supuestos!$H$11="",1E+99,Supuestos!$H$11),MAX(IF(Supuestos!$G$11="",-1E+99,Supuestos!$G$11),IF(Supuestos!$C$11="Normal",NORMINV(H684,Supuestos!$D$11,Supuestos!$E$11),IF(Supuestos!$C$11="Triangular",IF(H684&lt;(Supuestos!$E$11-Supuestos!$D$11)/(Supuestos!$F$11-Supuestos!$D$11),Supuestos!$D$11+SQRT(H684*(Supuestos!$F$11-Supuestos!$D$11)*(Supuestos!$E$11-Supuestos!$D$11)),Supuestos!$F$11-SQRT((1-H684)*(Supuestos!$F$11-Supuestos!$D$11)*(Supuestos!$F$11-Supuestos!$E$11))),IF(Supuestos!$C$11="Uniforme",Supuestos!$D$11+H684*(Supuestos!$E$11-Supuestos!$D$11),IF(Supuestos!$C$11="Lognormal",LOGINV(H684,LN(Supuestos!$D$11)-LN(1+Supuestos!$E$11^2/Supuestos!$D$11^2)/2,SQRT(LN(1+Supuestos!$E$11^2/Supuestos!$D$11^2))),Supuestos!$D$11))))))</f>
        <v/>
      </c>
      <c r="P684" s="33">
        <f>-I684</f>
        <v/>
      </c>
      <c r="Q684" s="33">
        <f>$J684*(1+$K684)^(1-1)*(1-$L684)*(1-$M684)</f>
        <v/>
      </c>
      <c r="R684" s="33">
        <f>$J684*(1+$K684)^(2-1)*(1-$L684)*(1-$M684)</f>
        <v/>
      </c>
      <c r="S684" s="33">
        <f>$J684*(1+$K684)^(3-1)*(1-$L684)*(1-$M684)</f>
        <v/>
      </c>
      <c r="T684" s="33">
        <f>$J684*(1+$K684)^(4-1)*(1-$L684)*(1-$M684)</f>
        <v/>
      </c>
      <c r="U684" s="33">
        <f>$J684*(1+$K684)^(5-1)*(1-$L684)*(1-$M684)+$O684</f>
        <v/>
      </c>
      <c r="V684" s="33">
        <f>P684+NPV($N684,Q684:U684)</f>
        <v/>
      </c>
      <c r="W684" s="32">
        <f>IFERROR(IRR(P684:U684,0.1),"")</f>
        <v/>
      </c>
    </row>
    <row r="685">
      <c r="A685" s="14" t="n">
        <v>681</v>
      </c>
      <c r="B685" s="30">
        <f>RAND()*(1-2E-6)+1E-6</f>
        <v/>
      </c>
      <c r="C685" s="30">
        <f>RAND()*(1-2E-6)+1E-6</f>
        <v/>
      </c>
      <c r="D685" s="30">
        <f>RAND()*(1-2E-6)+1E-6</f>
        <v/>
      </c>
      <c r="E685" s="30">
        <f>RAND()*(1-2E-6)+1E-6</f>
        <v/>
      </c>
      <c r="F685" s="30">
        <f>RAND()*(1-2E-6)+1E-6</f>
        <v/>
      </c>
      <c r="G685" s="30">
        <f>RAND()*(1-2E-6)+1E-6</f>
        <v/>
      </c>
      <c r="H685" s="30">
        <f>RAND()*(1-2E-6)+1E-6</f>
        <v/>
      </c>
      <c r="I685" s="31">
        <f>MIN(IF(Supuestos!$H$5="",1E+99,Supuestos!$H$5),MAX(IF(Supuestos!$G$5="",-1E+99,Supuestos!$G$5),IF(Supuestos!$C$5="Normal",NORMINV(B685,Supuestos!$D$5,Supuestos!$E$5),IF(Supuestos!$C$5="Triangular",IF(B685&lt;(Supuestos!$E$5-Supuestos!$D$5)/(Supuestos!$F$5-Supuestos!$D$5),Supuestos!$D$5+SQRT(B685*(Supuestos!$F$5-Supuestos!$D$5)*(Supuestos!$E$5-Supuestos!$D$5)),Supuestos!$F$5-SQRT((1-B685)*(Supuestos!$F$5-Supuestos!$D$5)*(Supuestos!$F$5-Supuestos!$E$5))),IF(Supuestos!$C$5="Uniforme",Supuestos!$D$5+B685*(Supuestos!$E$5-Supuestos!$D$5),IF(Supuestos!$C$5="Lognormal",LOGINV(B685,LN(Supuestos!$D$5)-LN(1+Supuestos!$E$5^2/Supuestos!$D$5^2)/2,SQRT(LN(1+Supuestos!$E$5^2/Supuestos!$D$5^2))),Supuestos!$D$5))))))</f>
        <v/>
      </c>
      <c r="J685" s="31">
        <f>MIN(IF(Supuestos!$H$6="",1E+99,Supuestos!$H$6),MAX(IF(Supuestos!$G$6="",-1E+99,Supuestos!$G$6),IF(Supuestos!$C$6="Normal",NORMINV(C685,Supuestos!$D$6,Supuestos!$E$6),IF(Supuestos!$C$6="Triangular",IF(C685&lt;(Supuestos!$E$6-Supuestos!$D$6)/(Supuestos!$F$6-Supuestos!$D$6),Supuestos!$D$6+SQRT(C685*(Supuestos!$F$6-Supuestos!$D$6)*(Supuestos!$E$6-Supuestos!$D$6)),Supuestos!$F$6-SQRT((1-C685)*(Supuestos!$F$6-Supuestos!$D$6)*(Supuestos!$F$6-Supuestos!$E$6))),IF(Supuestos!$C$6="Uniforme",Supuestos!$D$6+C685*(Supuestos!$E$6-Supuestos!$D$6),IF(Supuestos!$C$6="Lognormal",LOGINV(C685,LN(Supuestos!$D$6)-LN(1+Supuestos!$E$6^2/Supuestos!$D$6^2)/2,SQRT(LN(1+Supuestos!$E$6^2/Supuestos!$D$6^2))),Supuestos!$D$6))))))</f>
        <v/>
      </c>
      <c r="K685" s="32">
        <f>MIN(IF(Supuestos!$H$7="",1E+99,Supuestos!$H$7),MAX(IF(Supuestos!$G$7="",-1E+99,Supuestos!$G$7),IF(Supuestos!$C$7="Normal",NORMINV(D685,Supuestos!$D$7,Supuestos!$E$7),IF(Supuestos!$C$7="Triangular",IF(D685&lt;(Supuestos!$E$7-Supuestos!$D$7)/(Supuestos!$F$7-Supuestos!$D$7),Supuestos!$D$7+SQRT(D685*(Supuestos!$F$7-Supuestos!$D$7)*(Supuestos!$E$7-Supuestos!$D$7)),Supuestos!$F$7-SQRT((1-D685)*(Supuestos!$F$7-Supuestos!$D$7)*(Supuestos!$F$7-Supuestos!$E$7))),IF(Supuestos!$C$7="Uniforme",Supuestos!$D$7+D685*(Supuestos!$E$7-Supuestos!$D$7),IF(Supuestos!$C$7="Lognormal",LOGINV(D685,LN(Supuestos!$D$7)-LN(1+Supuestos!$E$7^2/Supuestos!$D$7^2)/2,SQRT(LN(1+Supuestos!$E$7^2/Supuestos!$D$7^2))),Supuestos!$D$7))))))</f>
        <v/>
      </c>
      <c r="L685" s="32">
        <f>MIN(IF(Supuestos!$H$8="",1E+99,Supuestos!$H$8),MAX(IF(Supuestos!$G$8="",-1E+99,Supuestos!$G$8),IF(Supuestos!$C$8="Normal",NORMINV(E685,Supuestos!$D$8,Supuestos!$E$8),IF(Supuestos!$C$8="Triangular",IF(E685&lt;(Supuestos!$E$8-Supuestos!$D$8)/(Supuestos!$F$8-Supuestos!$D$8),Supuestos!$D$8+SQRT(E685*(Supuestos!$F$8-Supuestos!$D$8)*(Supuestos!$E$8-Supuestos!$D$8)),Supuestos!$F$8-SQRT((1-E685)*(Supuestos!$F$8-Supuestos!$D$8)*(Supuestos!$F$8-Supuestos!$E$8))),IF(Supuestos!$C$8="Uniforme",Supuestos!$D$8+E685*(Supuestos!$E$8-Supuestos!$D$8),IF(Supuestos!$C$8="Lognormal",LOGINV(E685,LN(Supuestos!$D$8)-LN(1+Supuestos!$E$8^2/Supuestos!$D$8^2)/2,SQRT(LN(1+Supuestos!$E$8^2/Supuestos!$D$8^2))),Supuestos!$D$8))))))</f>
        <v/>
      </c>
      <c r="M685" s="32">
        <f>MIN(IF(Supuestos!$H$9="",1E+99,Supuestos!$H$9),MAX(IF(Supuestos!$G$9="",-1E+99,Supuestos!$G$9),IF(Supuestos!$C$9="Normal",NORMINV(F685,Supuestos!$D$9,Supuestos!$E$9),IF(Supuestos!$C$9="Triangular",IF(F685&lt;(Supuestos!$E$9-Supuestos!$D$9)/(Supuestos!$F$9-Supuestos!$D$9),Supuestos!$D$9+SQRT(F685*(Supuestos!$F$9-Supuestos!$D$9)*(Supuestos!$E$9-Supuestos!$D$9)),Supuestos!$F$9-SQRT((1-F685)*(Supuestos!$F$9-Supuestos!$D$9)*(Supuestos!$F$9-Supuestos!$E$9))),IF(Supuestos!$C$9="Uniforme",Supuestos!$D$9+F685*(Supuestos!$E$9-Supuestos!$D$9),IF(Supuestos!$C$9="Lognormal",LOGINV(F685,LN(Supuestos!$D$9)-LN(1+Supuestos!$E$9^2/Supuestos!$D$9^2)/2,SQRT(LN(1+Supuestos!$E$9^2/Supuestos!$D$9^2))),Supuestos!$D$9))))))</f>
        <v/>
      </c>
      <c r="N685" s="32">
        <f>MIN(IF(Supuestos!$H$10="",1E+99,Supuestos!$H$10),MAX(IF(Supuestos!$G$10="",-1E+99,Supuestos!$G$10),IF(Supuestos!$C$10="Normal",NORMINV(G685,Supuestos!$D$10,Supuestos!$E$10),IF(Supuestos!$C$10="Triangular",IF(G685&lt;(Supuestos!$E$10-Supuestos!$D$10)/(Supuestos!$F$10-Supuestos!$D$10),Supuestos!$D$10+SQRT(G685*(Supuestos!$F$10-Supuestos!$D$10)*(Supuestos!$E$10-Supuestos!$D$10)),Supuestos!$F$10-SQRT((1-G685)*(Supuestos!$F$10-Supuestos!$D$10)*(Supuestos!$F$10-Supuestos!$E$10))),IF(Supuestos!$C$10="Uniforme",Supuestos!$D$10+G685*(Supuestos!$E$10-Supuestos!$D$10),IF(Supuestos!$C$10="Lognormal",LOGINV(G685,LN(Supuestos!$D$10)-LN(1+Supuestos!$E$10^2/Supuestos!$D$10^2)/2,SQRT(LN(1+Supuestos!$E$10^2/Supuestos!$D$10^2))),Supuestos!$D$10))))))</f>
        <v/>
      </c>
      <c r="O685" s="31">
        <f>MIN(IF(Supuestos!$H$11="",1E+99,Supuestos!$H$11),MAX(IF(Supuestos!$G$11="",-1E+99,Supuestos!$G$11),IF(Supuestos!$C$11="Normal",NORMINV(H685,Supuestos!$D$11,Supuestos!$E$11),IF(Supuestos!$C$11="Triangular",IF(H685&lt;(Supuestos!$E$11-Supuestos!$D$11)/(Supuestos!$F$11-Supuestos!$D$11),Supuestos!$D$11+SQRT(H685*(Supuestos!$F$11-Supuestos!$D$11)*(Supuestos!$E$11-Supuestos!$D$11)),Supuestos!$F$11-SQRT((1-H685)*(Supuestos!$F$11-Supuestos!$D$11)*(Supuestos!$F$11-Supuestos!$E$11))),IF(Supuestos!$C$11="Uniforme",Supuestos!$D$11+H685*(Supuestos!$E$11-Supuestos!$D$11),IF(Supuestos!$C$11="Lognormal",LOGINV(H685,LN(Supuestos!$D$11)-LN(1+Supuestos!$E$11^2/Supuestos!$D$11^2)/2,SQRT(LN(1+Supuestos!$E$11^2/Supuestos!$D$11^2))),Supuestos!$D$11))))))</f>
        <v/>
      </c>
      <c r="P685" s="33">
        <f>-I685</f>
        <v/>
      </c>
      <c r="Q685" s="33">
        <f>$J685*(1+$K685)^(1-1)*(1-$L685)*(1-$M685)</f>
        <v/>
      </c>
      <c r="R685" s="33">
        <f>$J685*(1+$K685)^(2-1)*(1-$L685)*(1-$M685)</f>
        <v/>
      </c>
      <c r="S685" s="33">
        <f>$J685*(1+$K685)^(3-1)*(1-$L685)*(1-$M685)</f>
        <v/>
      </c>
      <c r="T685" s="33">
        <f>$J685*(1+$K685)^(4-1)*(1-$L685)*(1-$M685)</f>
        <v/>
      </c>
      <c r="U685" s="33">
        <f>$J685*(1+$K685)^(5-1)*(1-$L685)*(1-$M685)+$O685</f>
        <v/>
      </c>
      <c r="V685" s="33">
        <f>P685+NPV($N685,Q685:U685)</f>
        <v/>
      </c>
      <c r="W685" s="32">
        <f>IFERROR(IRR(P685:U685,0.1),"")</f>
        <v/>
      </c>
    </row>
    <row r="686">
      <c r="A686" s="14" t="n">
        <v>682</v>
      </c>
      <c r="B686" s="30">
        <f>RAND()*(1-2E-6)+1E-6</f>
        <v/>
      </c>
      <c r="C686" s="30">
        <f>RAND()*(1-2E-6)+1E-6</f>
        <v/>
      </c>
      <c r="D686" s="30">
        <f>RAND()*(1-2E-6)+1E-6</f>
        <v/>
      </c>
      <c r="E686" s="30">
        <f>RAND()*(1-2E-6)+1E-6</f>
        <v/>
      </c>
      <c r="F686" s="30">
        <f>RAND()*(1-2E-6)+1E-6</f>
        <v/>
      </c>
      <c r="G686" s="30">
        <f>RAND()*(1-2E-6)+1E-6</f>
        <v/>
      </c>
      <c r="H686" s="30">
        <f>RAND()*(1-2E-6)+1E-6</f>
        <v/>
      </c>
      <c r="I686" s="31">
        <f>MIN(IF(Supuestos!$H$5="",1E+99,Supuestos!$H$5),MAX(IF(Supuestos!$G$5="",-1E+99,Supuestos!$G$5),IF(Supuestos!$C$5="Normal",NORMINV(B686,Supuestos!$D$5,Supuestos!$E$5),IF(Supuestos!$C$5="Triangular",IF(B686&lt;(Supuestos!$E$5-Supuestos!$D$5)/(Supuestos!$F$5-Supuestos!$D$5),Supuestos!$D$5+SQRT(B686*(Supuestos!$F$5-Supuestos!$D$5)*(Supuestos!$E$5-Supuestos!$D$5)),Supuestos!$F$5-SQRT((1-B686)*(Supuestos!$F$5-Supuestos!$D$5)*(Supuestos!$F$5-Supuestos!$E$5))),IF(Supuestos!$C$5="Uniforme",Supuestos!$D$5+B686*(Supuestos!$E$5-Supuestos!$D$5),IF(Supuestos!$C$5="Lognormal",LOGINV(B686,LN(Supuestos!$D$5)-LN(1+Supuestos!$E$5^2/Supuestos!$D$5^2)/2,SQRT(LN(1+Supuestos!$E$5^2/Supuestos!$D$5^2))),Supuestos!$D$5))))))</f>
        <v/>
      </c>
      <c r="J686" s="31">
        <f>MIN(IF(Supuestos!$H$6="",1E+99,Supuestos!$H$6),MAX(IF(Supuestos!$G$6="",-1E+99,Supuestos!$G$6),IF(Supuestos!$C$6="Normal",NORMINV(C686,Supuestos!$D$6,Supuestos!$E$6),IF(Supuestos!$C$6="Triangular",IF(C686&lt;(Supuestos!$E$6-Supuestos!$D$6)/(Supuestos!$F$6-Supuestos!$D$6),Supuestos!$D$6+SQRT(C686*(Supuestos!$F$6-Supuestos!$D$6)*(Supuestos!$E$6-Supuestos!$D$6)),Supuestos!$F$6-SQRT((1-C686)*(Supuestos!$F$6-Supuestos!$D$6)*(Supuestos!$F$6-Supuestos!$E$6))),IF(Supuestos!$C$6="Uniforme",Supuestos!$D$6+C686*(Supuestos!$E$6-Supuestos!$D$6),IF(Supuestos!$C$6="Lognormal",LOGINV(C686,LN(Supuestos!$D$6)-LN(1+Supuestos!$E$6^2/Supuestos!$D$6^2)/2,SQRT(LN(1+Supuestos!$E$6^2/Supuestos!$D$6^2))),Supuestos!$D$6))))))</f>
        <v/>
      </c>
      <c r="K686" s="32">
        <f>MIN(IF(Supuestos!$H$7="",1E+99,Supuestos!$H$7),MAX(IF(Supuestos!$G$7="",-1E+99,Supuestos!$G$7),IF(Supuestos!$C$7="Normal",NORMINV(D686,Supuestos!$D$7,Supuestos!$E$7),IF(Supuestos!$C$7="Triangular",IF(D686&lt;(Supuestos!$E$7-Supuestos!$D$7)/(Supuestos!$F$7-Supuestos!$D$7),Supuestos!$D$7+SQRT(D686*(Supuestos!$F$7-Supuestos!$D$7)*(Supuestos!$E$7-Supuestos!$D$7)),Supuestos!$F$7-SQRT((1-D686)*(Supuestos!$F$7-Supuestos!$D$7)*(Supuestos!$F$7-Supuestos!$E$7))),IF(Supuestos!$C$7="Uniforme",Supuestos!$D$7+D686*(Supuestos!$E$7-Supuestos!$D$7),IF(Supuestos!$C$7="Lognormal",LOGINV(D686,LN(Supuestos!$D$7)-LN(1+Supuestos!$E$7^2/Supuestos!$D$7^2)/2,SQRT(LN(1+Supuestos!$E$7^2/Supuestos!$D$7^2))),Supuestos!$D$7))))))</f>
        <v/>
      </c>
      <c r="L686" s="32">
        <f>MIN(IF(Supuestos!$H$8="",1E+99,Supuestos!$H$8),MAX(IF(Supuestos!$G$8="",-1E+99,Supuestos!$G$8),IF(Supuestos!$C$8="Normal",NORMINV(E686,Supuestos!$D$8,Supuestos!$E$8),IF(Supuestos!$C$8="Triangular",IF(E686&lt;(Supuestos!$E$8-Supuestos!$D$8)/(Supuestos!$F$8-Supuestos!$D$8),Supuestos!$D$8+SQRT(E686*(Supuestos!$F$8-Supuestos!$D$8)*(Supuestos!$E$8-Supuestos!$D$8)),Supuestos!$F$8-SQRT((1-E686)*(Supuestos!$F$8-Supuestos!$D$8)*(Supuestos!$F$8-Supuestos!$E$8))),IF(Supuestos!$C$8="Uniforme",Supuestos!$D$8+E686*(Supuestos!$E$8-Supuestos!$D$8),IF(Supuestos!$C$8="Lognormal",LOGINV(E686,LN(Supuestos!$D$8)-LN(1+Supuestos!$E$8^2/Supuestos!$D$8^2)/2,SQRT(LN(1+Supuestos!$E$8^2/Supuestos!$D$8^2))),Supuestos!$D$8))))))</f>
        <v/>
      </c>
      <c r="M686" s="32">
        <f>MIN(IF(Supuestos!$H$9="",1E+99,Supuestos!$H$9),MAX(IF(Supuestos!$G$9="",-1E+99,Supuestos!$G$9),IF(Supuestos!$C$9="Normal",NORMINV(F686,Supuestos!$D$9,Supuestos!$E$9),IF(Supuestos!$C$9="Triangular",IF(F686&lt;(Supuestos!$E$9-Supuestos!$D$9)/(Supuestos!$F$9-Supuestos!$D$9),Supuestos!$D$9+SQRT(F686*(Supuestos!$F$9-Supuestos!$D$9)*(Supuestos!$E$9-Supuestos!$D$9)),Supuestos!$F$9-SQRT((1-F686)*(Supuestos!$F$9-Supuestos!$D$9)*(Supuestos!$F$9-Supuestos!$E$9))),IF(Supuestos!$C$9="Uniforme",Supuestos!$D$9+F686*(Supuestos!$E$9-Supuestos!$D$9),IF(Supuestos!$C$9="Lognormal",LOGINV(F686,LN(Supuestos!$D$9)-LN(1+Supuestos!$E$9^2/Supuestos!$D$9^2)/2,SQRT(LN(1+Supuestos!$E$9^2/Supuestos!$D$9^2))),Supuestos!$D$9))))))</f>
        <v/>
      </c>
      <c r="N686" s="32">
        <f>MIN(IF(Supuestos!$H$10="",1E+99,Supuestos!$H$10),MAX(IF(Supuestos!$G$10="",-1E+99,Supuestos!$G$10),IF(Supuestos!$C$10="Normal",NORMINV(G686,Supuestos!$D$10,Supuestos!$E$10),IF(Supuestos!$C$10="Triangular",IF(G686&lt;(Supuestos!$E$10-Supuestos!$D$10)/(Supuestos!$F$10-Supuestos!$D$10),Supuestos!$D$10+SQRT(G686*(Supuestos!$F$10-Supuestos!$D$10)*(Supuestos!$E$10-Supuestos!$D$10)),Supuestos!$F$10-SQRT((1-G686)*(Supuestos!$F$10-Supuestos!$D$10)*(Supuestos!$F$10-Supuestos!$E$10))),IF(Supuestos!$C$10="Uniforme",Supuestos!$D$10+G686*(Supuestos!$E$10-Supuestos!$D$10),IF(Supuestos!$C$10="Lognormal",LOGINV(G686,LN(Supuestos!$D$10)-LN(1+Supuestos!$E$10^2/Supuestos!$D$10^2)/2,SQRT(LN(1+Supuestos!$E$10^2/Supuestos!$D$10^2))),Supuestos!$D$10))))))</f>
        <v/>
      </c>
      <c r="O686" s="31">
        <f>MIN(IF(Supuestos!$H$11="",1E+99,Supuestos!$H$11),MAX(IF(Supuestos!$G$11="",-1E+99,Supuestos!$G$11),IF(Supuestos!$C$11="Normal",NORMINV(H686,Supuestos!$D$11,Supuestos!$E$11),IF(Supuestos!$C$11="Triangular",IF(H686&lt;(Supuestos!$E$11-Supuestos!$D$11)/(Supuestos!$F$11-Supuestos!$D$11),Supuestos!$D$11+SQRT(H686*(Supuestos!$F$11-Supuestos!$D$11)*(Supuestos!$E$11-Supuestos!$D$11)),Supuestos!$F$11-SQRT((1-H686)*(Supuestos!$F$11-Supuestos!$D$11)*(Supuestos!$F$11-Supuestos!$E$11))),IF(Supuestos!$C$11="Uniforme",Supuestos!$D$11+H686*(Supuestos!$E$11-Supuestos!$D$11),IF(Supuestos!$C$11="Lognormal",LOGINV(H686,LN(Supuestos!$D$11)-LN(1+Supuestos!$E$11^2/Supuestos!$D$11^2)/2,SQRT(LN(1+Supuestos!$E$11^2/Supuestos!$D$11^2))),Supuestos!$D$11))))))</f>
        <v/>
      </c>
      <c r="P686" s="33">
        <f>-I686</f>
        <v/>
      </c>
      <c r="Q686" s="33">
        <f>$J686*(1+$K686)^(1-1)*(1-$L686)*(1-$M686)</f>
        <v/>
      </c>
      <c r="R686" s="33">
        <f>$J686*(1+$K686)^(2-1)*(1-$L686)*(1-$M686)</f>
        <v/>
      </c>
      <c r="S686" s="33">
        <f>$J686*(1+$K686)^(3-1)*(1-$L686)*(1-$M686)</f>
        <v/>
      </c>
      <c r="T686" s="33">
        <f>$J686*(1+$K686)^(4-1)*(1-$L686)*(1-$M686)</f>
        <v/>
      </c>
      <c r="U686" s="33">
        <f>$J686*(1+$K686)^(5-1)*(1-$L686)*(1-$M686)+$O686</f>
        <v/>
      </c>
      <c r="V686" s="33">
        <f>P686+NPV($N686,Q686:U686)</f>
        <v/>
      </c>
      <c r="W686" s="32">
        <f>IFERROR(IRR(P686:U686,0.1),"")</f>
        <v/>
      </c>
    </row>
    <row r="687">
      <c r="A687" s="14" t="n">
        <v>683</v>
      </c>
      <c r="B687" s="30">
        <f>RAND()*(1-2E-6)+1E-6</f>
        <v/>
      </c>
      <c r="C687" s="30">
        <f>RAND()*(1-2E-6)+1E-6</f>
        <v/>
      </c>
      <c r="D687" s="30">
        <f>RAND()*(1-2E-6)+1E-6</f>
        <v/>
      </c>
      <c r="E687" s="30">
        <f>RAND()*(1-2E-6)+1E-6</f>
        <v/>
      </c>
      <c r="F687" s="30">
        <f>RAND()*(1-2E-6)+1E-6</f>
        <v/>
      </c>
      <c r="G687" s="30">
        <f>RAND()*(1-2E-6)+1E-6</f>
        <v/>
      </c>
      <c r="H687" s="30">
        <f>RAND()*(1-2E-6)+1E-6</f>
        <v/>
      </c>
      <c r="I687" s="31">
        <f>MIN(IF(Supuestos!$H$5="",1E+99,Supuestos!$H$5),MAX(IF(Supuestos!$G$5="",-1E+99,Supuestos!$G$5),IF(Supuestos!$C$5="Normal",NORMINV(B687,Supuestos!$D$5,Supuestos!$E$5),IF(Supuestos!$C$5="Triangular",IF(B687&lt;(Supuestos!$E$5-Supuestos!$D$5)/(Supuestos!$F$5-Supuestos!$D$5),Supuestos!$D$5+SQRT(B687*(Supuestos!$F$5-Supuestos!$D$5)*(Supuestos!$E$5-Supuestos!$D$5)),Supuestos!$F$5-SQRT((1-B687)*(Supuestos!$F$5-Supuestos!$D$5)*(Supuestos!$F$5-Supuestos!$E$5))),IF(Supuestos!$C$5="Uniforme",Supuestos!$D$5+B687*(Supuestos!$E$5-Supuestos!$D$5),IF(Supuestos!$C$5="Lognormal",LOGINV(B687,LN(Supuestos!$D$5)-LN(1+Supuestos!$E$5^2/Supuestos!$D$5^2)/2,SQRT(LN(1+Supuestos!$E$5^2/Supuestos!$D$5^2))),Supuestos!$D$5))))))</f>
        <v/>
      </c>
      <c r="J687" s="31">
        <f>MIN(IF(Supuestos!$H$6="",1E+99,Supuestos!$H$6),MAX(IF(Supuestos!$G$6="",-1E+99,Supuestos!$G$6),IF(Supuestos!$C$6="Normal",NORMINV(C687,Supuestos!$D$6,Supuestos!$E$6),IF(Supuestos!$C$6="Triangular",IF(C687&lt;(Supuestos!$E$6-Supuestos!$D$6)/(Supuestos!$F$6-Supuestos!$D$6),Supuestos!$D$6+SQRT(C687*(Supuestos!$F$6-Supuestos!$D$6)*(Supuestos!$E$6-Supuestos!$D$6)),Supuestos!$F$6-SQRT((1-C687)*(Supuestos!$F$6-Supuestos!$D$6)*(Supuestos!$F$6-Supuestos!$E$6))),IF(Supuestos!$C$6="Uniforme",Supuestos!$D$6+C687*(Supuestos!$E$6-Supuestos!$D$6),IF(Supuestos!$C$6="Lognormal",LOGINV(C687,LN(Supuestos!$D$6)-LN(1+Supuestos!$E$6^2/Supuestos!$D$6^2)/2,SQRT(LN(1+Supuestos!$E$6^2/Supuestos!$D$6^2))),Supuestos!$D$6))))))</f>
        <v/>
      </c>
      <c r="K687" s="32">
        <f>MIN(IF(Supuestos!$H$7="",1E+99,Supuestos!$H$7),MAX(IF(Supuestos!$G$7="",-1E+99,Supuestos!$G$7),IF(Supuestos!$C$7="Normal",NORMINV(D687,Supuestos!$D$7,Supuestos!$E$7),IF(Supuestos!$C$7="Triangular",IF(D687&lt;(Supuestos!$E$7-Supuestos!$D$7)/(Supuestos!$F$7-Supuestos!$D$7),Supuestos!$D$7+SQRT(D687*(Supuestos!$F$7-Supuestos!$D$7)*(Supuestos!$E$7-Supuestos!$D$7)),Supuestos!$F$7-SQRT((1-D687)*(Supuestos!$F$7-Supuestos!$D$7)*(Supuestos!$F$7-Supuestos!$E$7))),IF(Supuestos!$C$7="Uniforme",Supuestos!$D$7+D687*(Supuestos!$E$7-Supuestos!$D$7),IF(Supuestos!$C$7="Lognormal",LOGINV(D687,LN(Supuestos!$D$7)-LN(1+Supuestos!$E$7^2/Supuestos!$D$7^2)/2,SQRT(LN(1+Supuestos!$E$7^2/Supuestos!$D$7^2))),Supuestos!$D$7))))))</f>
        <v/>
      </c>
      <c r="L687" s="32">
        <f>MIN(IF(Supuestos!$H$8="",1E+99,Supuestos!$H$8),MAX(IF(Supuestos!$G$8="",-1E+99,Supuestos!$G$8),IF(Supuestos!$C$8="Normal",NORMINV(E687,Supuestos!$D$8,Supuestos!$E$8),IF(Supuestos!$C$8="Triangular",IF(E687&lt;(Supuestos!$E$8-Supuestos!$D$8)/(Supuestos!$F$8-Supuestos!$D$8),Supuestos!$D$8+SQRT(E687*(Supuestos!$F$8-Supuestos!$D$8)*(Supuestos!$E$8-Supuestos!$D$8)),Supuestos!$F$8-SQRT((1-E687)*(Supuestos!$F$8-Supuestos!$D$8)*(Supuestos!$F$8-Supuestos!$E$8))),IF(Supuestos!$C$8="Uniforme",Supuestos!$D$8+E687*(Supuestos!$E$8-Supuestos!$D$8),IF(Supuestos!$C$8="Lognormal",LOGINV(E687,LN(Supuestos!$D$8)-LN(1+Supuestos!$E$8^2/Supuestos!$D$8^2)/2,SQRT(LN(1+Supuestos!$E$8^2/Supuestos!$D$8^2))),Supuestos!$D$8))))))</f>
        <v/>
      </c>
      <c r="M687" s="32">
        <f>MIN(IF(Supuestos!$H$9="",1E+99,Supuestos!$H$9),MAX(IF(Supuestos!$G$9="",-1E+99,Supuestos!$G$9),IF(Supuestos!$C$9="Normal",NORMINV(F687,Supuestos!$D$9,Supuestos!$E$9),IF(Supuestos!$C$9="Triangular",IF(F687&lt;(Supuestos!$E$9-Supuestos!$D$9)/(Supuestos!$F$9-Supuestos!$D$9),Supuestos!$D$9+SQRT(F687*(Supuestos!$F$9-Supuestos!$D$9)*(Supuestos!$E$9-Supuestos!$D$9)),Supuestos!$F$9-SQRT((1-F687)*(Supuestos!$F$9-Supuestos!$D$9)*(Supuestos!$F$9-Supuestos!$E$9))),IF(Supuestos!$C$9="Uniforme",Supuestos!$D$9+F687*(Supuestos!$E$9-Supuestos!$D$9),IF(Supuestos!$C$9="Lognormal",LOGINV(F687,LN(Supuestos!$D$9)-LN(1+Supuestos!$E$9^2/Supuestos!$D$9^2)/2,SQRT(LN(1+Supuestos!$E$9^2/Supuestos!$D$9^2))),Supuestos!$D$9))))))</f>
        <v/>
      </c>
      <c r="N687" s="32">
        <f>MIN(IF(Supuestos!$H$10="",1E+99,Supuestos!$H$10),MAX(IF(Supuestos!$G$10="",-1E+99,Supuestos!$G$10),IF(Supuestos!$C$10="Normal",NORMINV(G687,Supuestos!$D$10,Supuestos!$E$10),IF(Supuestos!$C$10="Triangular",IF(G687&lt;(Supuestos!$E$10-Supuestos!$D$10)/(Supuestos!$F$10-Supuestos!$D$10),Supuestos!$D$10+SQRT(G687*(Supuestos!$F$10-Supuestos!$D$10)*(Supuestos!$E$10-Supuestos!$D$10)),Supuestos!$F$10-SQRT((1-G687)*(Supuestos!$F$10-Supuestos!$D$10)*(Supuestos!$F$10-Supuestos!$E$10))),IF(Supuestos!$C$10="Uniforme",Supuestos!$D$10+G687*(Supuestos!$E$10-Supuestos!$D$10),IF(Supuestos!$C$10="Lognormal",LOGINV(G687,LN(Supuestos!$D$10)-LN(1+Supuestos!$E$10^2/Supuestos!$D$10^2)/2,SQRT(LN(1+Supuestos!$E$10^2/Supuestos!$D$10^2))),Supuestos!$D$10))))))</f>
        <v/>
      </c>
      <c r="O687" s="31">
        <f>MIN(IF(Supuestos!$H$11="",1E+99,Supuestos!$H$11),MAX(IF(Supuestos!$G$11="",-1E+99,Supuestos!$G$11),IF(Supuestos!$C$11="Normal",NORMINV(H687,Supuestos!$D$11,Supuestos!$E$11),IF(Supuestos!$C$11="Triangular",IF(H687&lt;(Supuestos!$E$11-Supuestos!$D$11)/(Supuestos!$F$11-Supuestos!$D$11),Supuestos!$D$11+SQRT(H687*(Supuestos!$F$11-Supuestos!$D$11)*(Supuestos!$E$11-Supuestos!$D$11)),Supuestos!$F$11-SQRT((1-H687)*(Supuestos!$F$11-Supuestos!$D$11)*(Supuestos!$F$11-Supuestos!$E$11))),IF(Supuestos!$C$11="Uniforme",Supuestos!$D$11+H687*(Supuestos!$E$11-Supuestos!$D$11),IF(Supuestos!$C$11="Lognormal",LOGINV(H687,LN(Supuestos!$D$11)-LN(1+Supuestos!$E$11^2/Supuestos!$D$11^2)/2,SQRT(LN(1+Supuestos!$E$11^2/Supuestos!$D$11^2))),Supuestos!$D$11))))))</f>
        <v/>
      </c>
      <c r="P687" s="33">
        <f>-I687</f>
        <v/>
      </c>
      <c r="Q687" s="33">
        <f>$J687*(1+$K687)^(1-1)*(1-$L687)*(1-$M687)</f>
        <v/>
      </c>
      <c r="R687" s="33">
        <f>$J687*(1+$K687)^(2-1)*(1-$L687)*(1-$M687)</f>
        <v/>
      </c>
      <c r="S687" s="33">
        <f>$J687*(1+$K687)^(3-1)*(1-$L687)*(1-$M687)</f>
        <v/>
      </c>
      <c r="T687" s="33">
        <f>$J687*(1+$K687)^(4-1)*(1-$L687)*(1-$M687)</f>
        <v/>
      </c>
      <c r="U687" s="33">
        <f>$J687*(1+$K687)^(5-1)*(1-$L687)*(1-$M687)+$O687</f>
        <v/>
      </c>
      <c r="V687" s="33">
        <f>P687+NPV($N687,Q687:U687)</f>
        <v/>
      </c>
      <c r="W687" s="32">
        <f>IFERROR(IRR(P687:U687,0.1),"")</f>
        <v/>
      </c>
    </row>
    <row r="688">
      <c r="A688" s="14" t="n">
        <v>684</v>
      </c>
      <c r="B688" s="30">
        <f>RAND()*(1-2E-6)+1E-6</f>
        <v/>
      </c>
      <c r="C688" s="30">
        <f>RAND()*(1-2E-6)+1E-6</f>
        <v/>
      </c>
      <c r="D688" s="30">
        <f>RAND()*(1-2E-6)+1E-6</f>
        <v/>
      </c>
      <c r="E688" s="30">
        <f>RAND()*(1-2E-6)+1E-6</f>
        <v/>
      </c>
      <c r="F688" s="30">
        <f>RAND()*(1-2E-6)+1E-6</f>
        <v/>
      </c>
      <c r="G688" s="30">
        <f>RAND()*(1-2E-6)+1E-6</f>
        <v/>
      </c>
      <c r="H688" s="30">
        <f>RAND()*(1-2E-6)+1E-6</f>
        <v/>
      </c>
      <c r="I688" s="31">
        <f>MIN(IF(Supuestos!$H$5="",1E+99,Supuestos!$H$5),MAX(IF(Supuestos!$G$5="",-1E+99,Supuestos!$G$5),IF(Supuestos!$C$5="Normal",NORMINV(B688,Supuestos!$D$5,Supuestos!$E$5),IF(Supuestos!$C$5="Triangular",IF(B688&lt;(Supuestos!$E$5-Supuestos!$D$5)/(Supuestos!$F$5-Supuestos!$D$5),Supuestos!$D$5+SQRT(B688*(Supuestos!$F$5-Supuestos!$D$5)*(Supuestos!$E$5-Supuestos!$D$5)),Supuestos!$F$5-SQRT((1-B688)*(Supuestos!$F$5-Supuestos!$D$5)*(Supuestos!$F$5-Supuestos!$E$5))),IF(Supuestos!$C$5="Uniforme",Supuestos!$D$5+B688*(Supuestos!$E$5-Supuestos!$D$5),IF(Supuestos!$C$5="Lognormal",LOGINV(B688,LN(Supuestos!$D$5)-LN(1+Supuestos!$E$5^2/Supuestos!$D$5^2)/2,SQRT(LN(1+Supuestos!$E$5^2/Supuestos!$D$5^2))),Supuestos!$D$5))))))</f>
        <v/>
      </c>
      <c r="J688" s="31">
        <f>MIN(IF(Supuestos!$H$6="",1E+99,Supuestos!$H$6),MAX(IF(Supuestos!$G$6="",-1E+99,Supuestos!$G$6),IF(Supuestos!$C$6="Normal",NORMINV(C688,Supuestos!$D$6,Supuestos!$E$6),IF(Supuestos!$C$6="Triangular",IF(C688&lt;(Supuestos!$E$6-Supuestos!$D$6)/(Supuestos!$F$6-Supuestos!$D$6),Supuestos!$D$6+SQRT(C688*(Supuestos!$F$6-Supuestos!$D$6)*(Supuestos!$E$6-Supuestos!$D$6)),Supuestos!$F$6-SQRT((1-C688)*(Supuestos!$F$6-Supuestos!$D$6)*(Supuestos!$F$6-Supuestos!$E$6))),IF(Supuestos!$C$6="Uniforme",Supuestos!$D$6+C688*(Supuestos!$E$6-Supuestos!$D$6),IF(Supuestos!$C$6="Lognormal",LOGINV(C688,LN(Supuestos!$D$6)-LN(1+Supuestos!$E$6^2/Supuestos!$D$6^2)/2,SQRT(LN(1+Supuestos!$E$6^2/Supuestos!$D$6^2))),Supuestos!$D$6))))))</f>
        <v/>
      </c>
      <c r="K688" s="32">
        <f>MIN(IF(Supuestos!$H$7="",1E+99,Supuestos!$H$7),MAX(IF(Supuestos!$G$7="",-1E+99,Supuestos!$G$7),IF(Supuestos!$C$7="Normal",NORMINV(D688,Supuestos!$D$7,Supuestos!$E$7),IF(Supuestos!$C$7="Triangular",IF(D688&lt;(Supuestos!$E$7-Supuestos!$D$7)/(Supuestos!$F$7-Supuestos!$D$7),Supuestos!$D$7+SQRT(D688*(Supuestos!$F$7-Supuestos!$D$7)*(Supuestos!$E$7-Supuestos!$D$7)),Supuestos!$F$7-SQRT((1-D688)*(Supuestos!$F$7-Supuestos!$D$7)*(Supuestos!$F$7-Supuestos!$E$7))),IF(Supuestos!$C$7="Uniforme",Supuestos!$D$7+D688*(Supuestos!$E$7-Supuestos!$D$7),IF(Supuestos!$C$7="Lognormal",LOGINV(D688,LN(Supuestos!$D$7)-LN(1+Supuestos!$E$7^2/Supuestos!$D$7^2)/2,SQRT(LN(1+Supuestos!$E$7^2/Supuestos!$D$7^2))),Supuestos!$D$7))))))</f>
        <v/>
      </c>
      <c r="L688" s="32">
        <f>MIN(IF(Supuestos!$H$8="",1E+99,Supuestos!$H$8),MAX(IF(Supuestos!$G$8="",-1E+99,Supuestos!$G$8),IF(Supuestos!$C$8="Normal",NORMINV(E688,Supuestos!$D$8,Supuestos!$E$8),IF(Supuestos!$C$8="Triangular",IF(E688&lt;(Supuestos!$E$8-Supuestos!$D$8)/(Supuestos!$F$8-Supuestos!$D$8),Supuestos!$D$8+SQRT(E688*(Supuestos!$F$8-Supuestos!$D$8)*(Supuestos!$E$8-Supuestos!$D$8)),Supuestos!$F$8-SQRT((1-E688)*(Supuestos!$F$8-Supuestos!$D$8)*(Supuestos!$F$8-Supuestos!$E$8))),IF(Supuestos!$C$8="Uniforme",Supuestos!$D$8+E688*(Supuestos!$E$8-Supuestos!$D$8),IF(Supuestos!$C$8="Lognormal",LOGINV(E688,LN(Supuestos!$D$8)-LN(1+Supuestos!$E$8^2/Supuestos!$D$8^2)/2,SQRT(LN(1+Supuestos!$E$8^2/Supuestos!$D$8^2))),Supuestos!$D$8))))))</f>
        <v/>
      </c>
      <c r="M688" s="32">
        <f>MIN(IF(Supuestos!$H$9="",1E+99,Supuestos!$H$9),MAX(IF(Supuestos!$G$9="",-1E+99,Supuestos!$G$9),IF(Supuestos!$C$9="Normal",NORMINV(F688,Supuestos!$D$9,Supuestos!$E$9),IF(Supuestos!$C$9="Triangular",IF(F688&lt;(Supuestos!$E$9-Supuestos!$D$9)/(Supuestos!$F$9-Supuestos!$D$9),Supuestos!$D$9+SQRT(F688*(Supuestos!$F$9-Supuestos!$D$9)*(Supuestos!$E$9-Supuestos!$D$9)),Supuestos!$F$9-SQRT((1-F688)*(Supuestos!$F$9-Supuestos!$D$9)*(Supuestos!$F$9-Supuestos!$E$9))),IF(Supuestos!$C$9="Uniforme",Supuestos!$D$9+F688*(Supuestos!$E$9-Supuestos!$D$9),IF(Supuestos!$C$9="Lognormal",LOGINV(F688,LN(Supuestos!$D$9)-LN(1+Supuestos!$E$9^2/Supuestos!$D$9^2)/2,SQRT(LN(1+Supuestos!$E$9^2/Supuestos!$D$9^2))),Supuestos!$D$9))))))</f>
        <v/>
      </c>
      <c r="N688" s="32">
        <f>MIN(IF(Supuestos!$H$10="",1E+99,Supuestos!$H$10),MAX(IF(Supuestos!$G$10="",-1E+99,Supuestos!$G$10),IF(Supuestos!$C$10="Normal",NORMINV(G688,Supuestos!$D$10,Supuestos!$E$10),IF(Supuestos!$C$10="Triangular",IF(G688&lt;(Supuestos!$E$10-Supuestos!$D$10)/(Supuestos!$F$10-Supuestos!$D$10),Supuestos!$D$10+SQRT(G688*(Supuestos!$F$10-Supuestos!$D$10)*(Supuestos!$E$10-Supuestos!$D$10)),Supuestos!$F$10-SQRT((1-G688)*(Supuestos!$F$10-Supuestos!$D$10)*(Supuestos!$F$10-Supuestos!$E$10))),IF(Supuestos!$C$10="Uniforme",Supuestos!$D$10+G688*(Supuestos!$E$10-Supuestos!$D$10),IF(Supuestos!$C$10="Lognormal",LOGINV(G688,LN(Supuestos!$D$10)-LN(1+Supuestos!$E$10^2/Supuestos!$D$10^2)/2,SQRT(LN(1+Supuestos!$E$10^2/Supuestos!$D$10^2))),Supuestos!$D$10))))))</f>
        <v/>
      </c>
      <c r="O688" s="31">
        <f>MIN(IF(Supuestos!$H$11="",1E+99,Supuestos!$H$11),MAX(IF(Supuestos!$G$11="",-1E+99,Supuestos!$G$11),IF(Supuestos!$C$11="Normal",NORMINV(H688,Supuestos!$D$11,Supuestos!$E$11),IF(Supuestos!$C$11="Triangular",IF(H688&lt;(Supuestos!$E$11-Supuestos!$D$11)/(Supuestos!$F$11-Supuestos!$D$11),Supuestos!$D$11+SQRT(H688*(Supuestos!$F$11-Supuestos!$D$11)*(Supuestos!$E$11-Supuestos!$D$11)),Supuestos!$F$11-SQRT((1-H688)*(Supuestos!$F$11-Supuestos!$D$11)*(Supuestos!$F$11-Supuestos!$E$11))),IF(Supuestos!$C$11="Uniforme",Supuestos!$D$11+H688*(Supuestos!$E$11-Supuestos!$D$11),IF(Supuestos!$C$11="Lognormal",LOGINV(H688,LN(Supuestos!$D$11)-LN(1+Supuestos!$E$11^2/Supuestos!$D$11^2)/2,SQRT(LN(1+Supuestos!$E$11^2/Supuestos!$D$11^2))),Supuestos!$D$11))))))</f>
        <v/>
      </c>
      <c r="P688" s="33">
        <f>-I688</f>
        <v/>
      </c>
      <c r="Q688" s="33">
        <f>$J688*(1+$K688)^(1-1)*(1-$L688)*(1-$M688)</f>
        <v/>
      </c>
      <c r="R688" s="33">
        <f>$J688*(1+$K688)^(2-1)*(1-$L688)*(1-$M688)</f>
        <v/>
      </c>
      <c r="S688" s="33">
        <f>$J688*(1+$K688)^(3-1)*(1-$L688)*(1-$M688)</f>
        <v/>
      </c>
      <c r="T688" s="33">
        <f>$J688*(1+$K688)^(4-1)*(1-$L688)*(1-$M688)</f>
        <v/>
      </c>
      <c r="U688" s="33">
        <f>$J688*(1+$K688)^(5-1)*(1-$L688)*(1-$M688)+$O688</f>
        <v/>
      </c>
      <c r="V688" s="33">
        <f>P688+NPV($N688,Q688:U688)</f>
        <v/>
      </c>
      <c r="W688" s="32">
        <f>IFERROR(IRR(P688:U688,0.1),"")</f>
        <v/>
      </c>
    </row>
    <row r="689">
      <c r="A689" s="14" t="n">
        <v>685</v>
      </c>
      <c r="B689" s="30">
        <f>RAND()*(1-2E-6)+1E-6</f>
        <v/>
      </c>
      <c r="C689" s="30">
        <f>RAND()*(1-2E-6)+1E-6</f>
        <v/>
      </c>
      <c r="D689" s="30">
        <f>RAND()*(1-2E-6)+1E-6</f>
        <v/>
      </c>
      <c r="E689" s="30">
        <f>RAND()*(1-2E-6)+1E-6</f>
        <v/>
      </c>
      <c r="F689" s="30">
        <f>RAND()*(1-2E-6)+1E-6</f>
        <v/>
      </c>
      <c r="G689" s="30">
        <f>RAND()*(1-2E-6)+1E-6</f>
        <v/>
      </c>
      <c r="H689" s="30">
        <f>RAND()*(1-2E-6)+1E-6</f>
        <v/>
      </c>
      <c r="I689" s="31">
        <f>MIN(IF(Supuestos!$H$5="",1E+99,Supuestos!$H$5),MAX(IF(Supuestos!$G$5="",-1E+99,Supuestos!$G$5),IF(Supuestos!$C$5="Normal",NORMINV(B689,Supuestos!$D$5,Supuestos!$E$5),IF(Supuestos!$C$5="Triangular",IF(B689&lt;(Supuestos!$E$5-Supuestos!$D$5)/(Supuestos!$F$5-Supuestos!$D$5),Supuestos!$D$5+SQRT(B689*(Supuestos!$F$5-Supuestos!$D$5)*(Supuestos!$E$5-Supuestos!$D$5)),Supuestos!$F$5-SQRT((1-B689)*(Supuestos!$F$5-Supuestos!$D$5)*(Supuestos!$F$5-Supuestos!$E$5))),IF(Supuestos!$C$5="Uniforme",Supuestos!$D$5+B689*(Supuestos!$E$5-Supuestos!$D$5),IF(Supuestos!$C$5="Lognormal",LOGINV(B689,LN(Supuestos!$D$5)-LN(1+Supuestos!$E$5^2/Supuestos!$D$5^2)/2,SQRT(LN(1+Supuestos!$E$5^2/Supuestos!$D$5^2))),Supuestos!$D$5))))))</f>
        <v/>
      </c>
      <c r="J689" s="31">
        <f>MIN(IF(Supuestos!$H$6="",1E+99,Supuestos!$H$6),MAX(IF(Supuestos!$G$6="",-1E+99,Supuestos!$G$6),IF(Supuestos!$C$6="Normal",NORMINV(C689,Supuestos!$D$6,Supuestos!$E$6),IF(Supuestos!$C$6="Triangular",IF(C689&lt;(Supuestos!$E$6-Supuestos!$D$6)/(Supuestos!$F$6-Supuestos!$D$6),Supuestos!$D$6+SQRT(C689*(Supuestos!$F$6-Supuestos!$D$6)*(Supuestos!$E$6-Supuestos!$D$6)),Supuestos!$F$6-SQRT((1-C689)*(Supuestos!$F$6-Supuestos!$D$6)*(Supuestos!$F$6-Supuestos!$E$6))),IF(Supuestos!$C$6="Uniforme",Supuestos!$D$6+C689*(Supuestos!$E$6-Supuestos!$D$6),IF(Supuestos!$C$6="Lognormal",LOGINV(C689,LN(Supuestos!$D$6)-LN(1+Supuestos!$E$6^2/Supuestos!$D$6^2)/2,SQRT(LN(1+Supuestos!$E$6^2/Supuestos!$D$6^2))),Supuestos!$D$6))))))</f>
        <v/>
      </c>
      <c r="K689" s="32">
        <f>MIN(IF(Supuestos!$H$7="",1E+99,Supuestos!$H$7),MAX(IF(Supuestos!$G$7="",-1E+99,Supuestos!$G$7),IF(Supuestos!$C$7="Normal",NORMINV(D689,Supuestos!$D$7,Supuestos!$E$7),IF(Supuestos!$C$7="Triangular",IF(D689&lt;(Supuestos!$E$7-Supuestos!$D$7)/(Supuestos!$F$7-Supuestos!$D$7),Supuestos!$D$7+SQRT(D689*(Supuestos!$F$7-Supuestos!$D$7)*(Supuestos!$E$7-Supuestos!$D$7)),Supuestos!$F$7-SQRT((1-D689)*(Supuestos!$F$7-Supuestos!$D$7)*(Supuestos!$F$7-Supuestos!$E$7))),IF(Supuestos!$C$7="Uniforme",Supuestos!$D$7+D689*(Supuestos!$E$7-Supuestos!$D$7),IF(Supuestos!$C$7="Lognormal",LOGINV(D689,LN(Supuestos!$D$7)-LN(1+Supuestos!$E$7^2/Supuestos!$D$7^2)/2,SQRT(LN(1+Supuestos!$E$7^2/Supuestos!$D$7^2))),Supuestos!$D$7))))))</f>
        <v/>
      </c>
      <c r="L689" s="32">
        <f>MIN(IF(Supuestos!$H$8="",1E+99,Supuestos!$H$8),MAX(IF(Supuestos!$G$8="",-1E+99,Supuestos!$G$8),IF(Supuestos!$C$8="Normal",NORMINV(E689,Supuestos!$D$8,Supuestos!$E$8),IF(Supuestos!$C$8="Triangular",IF(E689&lt;(Supuestos!$E$8-Supuestos!$D$8)/(Supuestos!$F$8-Supuestos!$D$8),Supuestos!$D$8+SQRT(E689*(Supuestos!$F$8-Supuestos!$D$8)*(Supuestos!$E$8-Supuestos!$D$8)),Supuestos!$F$8-SQRT((1-E689)*(Supuestos!$F$8-Supuestos!$D$8)*(Supuestos!$F$8-Supuestos!$E$8))),IF(Supuestos!$C$8="Uniforme",Supuestos!$D$8+E689*(Supuestos!$E$8-Supuestos!$D$8),IF(Supuestos!$C$8="Lognormal",LOGINV(E689,LN(Supuestos!$D$8)-LN(1+Supuestos!$E$8^2/Supuestos!$D$8^2)/2,SQRT(LN(1+Supuestos!$E$8^2/Supuestos!$D$8^2))),Supuestos!$D$8))))))</f>
        <v/>
      </c>
      <c r="M689" s="32">
        <f>MIN(IF(Supuestos!$H$9="",1E+99,Supuestos!$H$9),MAX(IF(Supuestos!$G$9="",-1E+99,Supuestos!$G$9),IF(Supuestos!$C$9="Normal",NORMINV(F689,Supuestos!$D$9,Supuestos!$E$9),IF(Supuestos!$C$9="Triangular",IF(F689&lt;(Supuestos!$E$9-Supuestos!$D$9)/(Supuestos!$F$9-Supuestos!$D$9),Supuestos!$D$9+SQRT(F689*(Supuestos!$F$9-Supuestos!$D$9)*(Supuestos!$E$9-Supuestos!$D$9)),Supuestos!$F$9-SQRT((1-F689)*(Supuestos!$F$9-Supuestos!$D$9)*(Supuestos!$F$9-Supuestos!$E$9))),IF(Supuestos!$C$9="Uniforme",Supuestos!$D$9+F689*(Supuestos!$E$9-Supuestos!$D$9),IF(Supuestos!$C$9="Lognormal",LOGINV(F689,LN(Supuestos!$D$9)-LN(1+Supuestos!$E$9^2/Supuestos!$D$9^2)/2,SQRT(LN(1+Supuestos!$E$9^2/Supuestos!$D$9^2))),Supuestos!$D$9))))))</f>
        <v/>
      </c>
      <c r="N689" s="32">
        <f>MIN(IF(Supuestos!$H$10="",1E+99,Supuestos!$H$10),MAX(IF(Supuestos!$G$10="",-1E+99,Supuestos!$G$10),IF(Supuestos!$C$10="Normal",NORMINV(G689,Supuestos!$D$10,Supuestos!$E$10),IF(Supuestos!$C$10="Triangular",IF(G689&lt;(Supuestos!$E$10-Supuestos!$D$10)/(Supuestos!$F$10-Supuestos!$D$10),Supuestos!$D$10+SQRT(G689*(Supuestos!$F$10-Supuestos!$D$10)*(Supuestos!$E$10-Supuestos!$D$10)),Supuestos!$F$10-SQRT((1-G689)*(Supuestos!$F$10-Supuestos!$D$10)*(Supuestos!$F$10-Supuestos!$E$10))),IF(Supuestos!$C$10="Uniforme",Supuestos!$D$10+G689*(Supuestos!$E$10-Supuestos!$D$10),IF(Supuestos!$C$10="Lognormal",LOGINV(G689,LN(Supuestos!$D$10)-LN(1+Supuestos!$E$10^2/Supuestos!$D$10^2)/2,SQRT(LN(1+Supuestos!$E$10^2/Supuestos!$D$10^2))),Supuestos!$D$10))))))</f>
        <v/>
      </c>
      <c r="O689" s="31">
        <f>MIN(IF(Supuestos!$H$11="",1E+99,Supuestos!$H$11),MAX(IF(Supuestos!$G$11="",-1E+99,Supuestos!$G$11),IF(Supuestos!$C$11="Normal",NORMINV(H689,Supuestos!$D$11,Supuestos!$E$11),IF(Supuestos!$C$11="Triangular",IF(H689&lt;(Supuestos!$E$11-Supuestos!$D$11)/(Supuestos!$F$11-Supuestos!$D$11),Supuestos!$D$11+SQRT(H689*(Supuestos!$F$11-Supuestos!$D$11)*(Supuestos!$E$11-Supuestos!$D$11)),Supuestos!$F$11-SQRT((1-H689)*(Supuestos!$F$11-Supuestos!$D$11)*(Supuestos!$F$11-Supuestos!$E$11))),IF(Supuestos!$C$11="Uniforme",Supuestos!$D$11+H689*(Supuestos!$E$11-Supuestos!$D$11),IF(Supuestos!$C$11="Lognormal",LOGINV(H689,LN(Supuestos!$D$11)-LN(1+Supuestos!$E$11^2/Supuestos!$D$11^2)/2,SQRT(LN(1+Supuestos!$E$11^2/Supuestos!$D$11^2))),Supuestos!$D$11))))))</f>
        <v/>
      </c>
      <c r="P689" s="33">
        <f>-I689</f>
        <v/>
      </c>
      <c r="Q689" s="33">
        <f>$J689*(1+$K689)^(1-1)*(1-$L689)*(1-$M689)</f>
        <v/>
      </c>
      <c r="R689" s="33">
        <f>$J689*(1+$K689)^(2-1)*(1-$L689)*(1-$M689)</f>
        <v/>
      </c>
      <c r="S689" s="33">
        <f>$J689*(1+$K689)^(3-1)*(1-$L689)*(1-$M689)</f>
        <v/>
      </c>
      <c r="T689" s="33">
        <f>$J689*(1+$K689)^(4-1)*(1-$L689)*(1-$M689)</f>
        <v/>
      </c>
      <c r="U689" s="33">
        <f>$J689*(1+$K689)^(5-1)*(1-$L689)*(1-$M689)+$O689</f>
        <v/>
      </c>
      <c r="V689" s="33">
        <f>P689+NPV($N689,Q689:U689)</f>
        <v/>
      </c>
      <c r="W689" s="32">
        <f>IFERROR(IRR(P689:U689,0.1),"")</f>
        <v/>
      </c>
    </row>
    <row r="690">
      <c r="A690" s="14" t="n">
        <v>686</v>
      </c>
      <c r="B690" s="30">
        <f>RAND()*(1-2E-6)+1E-6</f>
        <v/>
      </c>
      <c r="C690" s="30">
        <f>RAND()*(1-2E-6)+1E-6</f>
        <v/>
      </c>
      <c r="D690" s="30">
        <f>RAND()*(1-2E-6)+1E-6</f>
        <v/>
      </c>
      <c r="E690" s="30">
        <f>RAND()*(1-2E-6)+1E-6</f>
        <v/>
      </c>
      <c r="F690" s="30">
        <f>RAND()*(1-2E-6)+1E-6</f>
        <v/>
      </c>
      <c r="G690" s="30">
        <f>RAND()*(1-2E-6)+1E-6</f>
        <v/>
      </c>
      <c r="H690" s="30">
        <f>RAND()*(1-2E-6)+1E-6</f>
        <v/>
      </c>
      <c r="I690" s="31">
        <f>MIN(IF(Supuestos!$H$5="",1E+99,Supuestos!$H$5),MAX(IF(Supuestos!$G$5="",-1E+99,Supuestos!$G$5),IF(Supuestos!$C$5="Normal",NORMINV(B690,Supuestos!$D$5,Supuestos!$E$5),IF(Supuestos!$C$5="Triangular",IF(B690&lt;(Supuestos!$E$5-Supuestos!$D$5)/(Supuestos!$F$5-Supuestos!$D$5),Supuestos!$D$5+SQRT(B690*(Supuestos!$F$5-Supuestos!$D$5)*(Supuestos!$E$5-Supuestos!$D$5)),Supuestos!$F$5-SQRT((1-B690)*(Supuestos!$F$5-Supuestos!$D$5)*(Supuestos!$F$5-Supuestos!$E$5))),IF(Supuestos!$C$5="Uniforme",Supuestos!$D$5+B690*(Supuestos!$E$5-Supuestos!$D$5),IF(Supuestos!$C$5="Lognormal",LOGINV(B690,LN(Supuestos!$D$5)-LN(1+Supuestos!$E$5^2/Supuestos!$D$5^2)/2,SQRT(LN(1+Supuestos!$E$5^2/Supuestos!$D$5^2))),Supuestos!$D$5))))))</f>
        <v/>
      </c>
      <c r="J690" s="31">
        <f>MIN(IF(Supuestos!$H$6="",1E+99,Supuestos!$H$6),MAX(IF(Supuestos!$G$6="",-1E+99,Supuestos!$G$6),IF(Supuestos!$C$6="Normal",NORMINV(C690,Supuestos!$D$6,Supuestos!$E$6),IF(Supuestos!$C$6="Triangular",IF(C690&lt;(Supuestos!$E$6-Supuestos!$D$6)/(Supuestos!$F$6-Supuestos!$D$6),Supuestos!$D$6+SQRT(C690*(Supuestos!$F$6-Supuestos!$D$6)*(Supuestos!$E$6-Supuestos!$D$6)),Supuestos!$F$6-SQRT((1-C690)*(Supuestos!$F$6-Supuestos!$D$6)*(Supuestos!$F$6-Supuestos!$E$6))),IF(Supuestos!$C$6="Uniforme",Supuestos!$D$6+C690*(Supuestos!$E$6-Supuestos!$D$6),IF(Supuestos!$C$6="Lognormal",LOGINV(C690,LN(Supuestos!$D$6)-LN(1+Supuestos!$E$6^2/Supuestos!$D$6^2)/2,SQRT(LN(1+Supuestos!$E$6^2/Supuestos!$D$6^2))),Supuestos!$D$6))))))</f>
        <v/>
      </c>
      <c r="K690" s="32">
        <f>MIN(IF(Supuestos!$H$7="",1E+99,Supuestos!$H$7),MAX(IF(Supuestos!$G$7="",-1E+99,Supuestos!$G$7),IF(Supuestos!$C$7="Normal",NORMINV(D690,Supuestos!$D$7,Supuestos!$E$7),IF(Supuestos!$C$7="Triangular",IF(D690&lt;(Supuestos!$E$7-Supuestos!$D$7)/(Supuestos!$F$7-Supuestos!$D$7),Supuestos!$D$7+SQRT(D690*(Supuestos!$F$7-Supuestos!$D$7)*(Supuestos!$E$7-Supuestos!$D$7)),Supuestos!$F$7-SQRT((1-D690)*(Supuestos!$F$7-Supuestos!$D$7)*(Supuestos!$F$7-Supuestos!$E$7))),IF(Supuestos!$C$7="Uniforme",Supuestos!$D$7+D690*(Supuestos!$E$7-Supuestos!$D$7),IF(Supuestos!$C$7="Lognormal",LOGINV(D690,LN(Supuestos!$D$7)-LN(1+Supuestos!$E$7^2/Supuestos!$D$7^2)/2,SQRT(LN(1+Supuestos!$E$7^2/Supuestos!$D$7^2))),Supuestos!$D$7))))))</f>
        <v/>
      </c>
      <c r="L690" s="32">
        <f>MIN(IF(Supuestos!$H$8="",1E+99,Supuestos!$H$8),MAX(IF(Supuestos!$G$8="",-1E+99,Supuestos!$G$8),IF(Supuestos!$C$8="Normal",NORMINV(E690,Supuestos!$D$8,Supuestos!$E$8),IF(Supuestos!$C$8="Triangular",IF(E690&lt;(Supuestos!$E$8-Supuestos!$D$8)/(Supuestos!$F$8-Supuestos!$D$8),Supuestos!$D$8+SQRT(E690*(Supuestos!$F$8-Supuestos!$D$8)*(Supuestos!$E$8-Supuestos!$D$8)),Supuestos!$F$8-SQRT((1-E690)*(Supuestos!$F$8-Supuestos!$D$8)*(Supuestos!$F$8-Supuestos!$E$8))),IF(Supuestos!$C$8="Uniforme",Supuestos!$D$8+E690*(Supuestos!$E$8-Supuestos!$D$8),IF(Supuestos!$C$8="Lognormal",LOGINV(E690,LN(Supuestos!$D$8)-LN(1+Supuestos!$E$8^2/Supuestos!$D$8^2)/2,SQRT(LN(1+Supuestos!$E$8^2/Supuestos!$D$8^2))),Supuestos!$D$8))))))</f>
        <v/>
      </c>
      <c r="M690" s="32">
        <f>MIN(IF(Supuestos!$H$9="",1E+99,Supuestos!$H$9),MAX(IF(Supuestos!$G$9="",-1E+99,Supuestos!$G$9),IF(Supuestos!$C$9="Normal",NORMINV(F690,Supuestos!$D$9,Supuestos!$E$9),IF(Supuestos!$C$9="Triangular",IF(F690&lt;(Supuestos!$E$9-Supuestos!$D$9)/(Supuestos!$F$9-Supuestos!$D$9),Supuestos!$D$9+SQRT(F690*(Supuestos!$F$9-Supuestos!$D$9)*(Supuestos!$E$9-Supuestos!$D$9)),Supuestos!$F$9-SQRT((1-F690)*(Supuestos!$F$9-Supuestos!$D$9)*(Supuestos!$F$9-Supuestos!$E$9))),IF(Supuestos!$C$9="Uniforme",Supuestos!$D$9+F690*(Supuestos!$E$9-Supuestos!$D$9),IF(Supuestos!$C$9="Lognormal",LOGINV(F690,LN(Supuestos!$D$9)-LN(1+Supuestos!$E$9^2/Supuestos!$D$9^2)/2,SQRT(LN(1+Supuestos!$E$9^2/Supuestos!$D$9^2))),Supuestos!$D$9))))))</f>
        <v/>
      </c>
      <c r="N690" s="32">
        <f>MIN(IF(Supuestos!$H$10="",1E+99,Supuestos!$H$10),MAX(IF(Supuestos!$G$10="",-1E+99,Supuestos!$G$10),IF(Supuestos!$C$10="Normal",NORMINV(G690,Supuestos!$D$10,Supuestos!$E$10),IF(Supuestos!$C$10="Triangular",IF(G690&lt;(Supuestos!$E$10-Supuestos!$D$10)/(Supuestos!$F$10-Supuestos!$D$10),Supuestos!$D$10+SQRT(G690*(Supuestos!$F$10-Supuestos!$D$10)*(Supuestos!$E$10-Supuestos!$D$10)),Supuestos!$F$10-SQRT((1-G690)*(Supuestos!$F$10-Supuestos!$D$10)*(Supuestos!$F$10-Supuestos!$E$10))),IF(Supuestos!$C$10="Uniforme",Supuestos!$D$10+G690*(Supuestos!$E$10-Supuestos!$D$10),IF(Supuestos!$C$10="Lognormal",LOGINV(G690,LN(Supuestos!$D$10)-LN(1+Supuestos!$E$10^2/Supuestos!$D$10^2)/2,SQRT(LN(1+Supuestos!$E$10^2/Supuestos!$D$10^2))),Supuestos!$D$10))))))</f>
        <v/>
      </c>
      <c r="O690" s="31">
        <f>MIN(IF(Supuestos!$H$11="",1E+99,Supuestos!$H$11),MAX(IF(Supuestos!$G$11="",-1E+99,Supuestos!$G$11),IF(Supuestos!$C$11="Normal",NORMINV(H690,Supuestos!$D$11,Supuestos!$E$11),IF(Supuestos!$C$11="Triangular",IF(H690&lt;(Supuestos!$E$11-Supuestos!$D$11)/(Supuestos!$F$11-Supuestos!$D$11),Supuestos!$D$11+SQRT(H690*(Supuestos!$F$11-Supuestos!$D$11)*(Supuestos!$E$11-Supuestos!$D$11)),Supuestos!$F$11-SQRT((1-H690)*(Supuestos!$F$11-Supuestos!$D$11)*(Supuestos!$F$11-Supuestos!$E$11))),IF(Supuestos!$C$11="Uniforme",Supuestos!$D$11+H690*(Supuestos!$E$11-Supuestos!$D$11),IF(Supuestos!$C$11="Lognormal",LOGINV(H690,LN(Supuestos!$D$11)-LN(1+Supuestos!$E$11^2/Supuestos!$D$11^2)/2,SQRT(LN(1+Supuestos!$E$11^2/Supuestos!$D$11^2))),Supuestos!$D$11))))))</f>
        <v/>
      </c>
      <c r="P690" s="33">
        <f>-I690</f>
        <v/>
      </c>
      <c r="Q690" s="33">
        <f>$J690*(1+$K690)^(1-1)*(1-$L690)*(1-$M690)</f>
        <v/>
      </c>
      <c r="R690" s="33">
        <f>$J690*(1+$K690)^(2-1)*(1-$L690)*(1-$M690)</f>
        <v/>
      </c>
      <c r="S690" s="33">
        <f>$J690*(1+$K690)^(3-1)*(1-$L690)*(1-$M690)</f>
        <v/>
      </c>
      <c r="T690" s="33">
        <f>$J690*(1+$K690)^(4-1)*(1-$L690)*(1-$M690)</f>
        <v/>
      </c>
      <c r="U690" s="33">
        <f>$J690*(1+$K690)^(5-1)*(1-$L690)*(1-$M690)+$O690</f>
        <v/>
      </c>
      <c r="V690" s="33">
        <f>P690+NPV($N690,Q690:U690)</f>
        <v/>
      </c>
      <c r="W690" s="32">
        <f>IFERROR(IRR(P690:U690,0.1),"")</f>
        <v/>
      </c>
    </row>
    <row r="691">
      <c r="A691" s="14" t="n">
        <v>687</v>
      </c>
      <c r="B691" s="30">
        <f>RAND()*(1-2E-6)+1E-6</f>
        <v/>
      </c>
      <c r="C691" s="30">
        <f>RAND()*(1-2E-6)+1E-6</f>
        <v/>
      </c>
      <c r="D691" s="30">
        <f>RAND()*(1-2E-6)+1E-6</f>
        <v/>
      </c>
      <c r="E691" s="30">
        <f>RAND()*(1-2E-6)+1E-6</f>
        <v/>
      </c>
      <c r="F691" s="30">
        <f>RAND()*(1-2E-6)+1E-6</f>
        <v/>
      </c>
      <c r="G691" s="30">
        <f>RAND()*(1-2E-6)+1E-6</f>
        <v/>
      </c>
      <c r="H691" s="30">
        <f>RAND()*(1-2E-6)+1E-6</f>
        <v/>
      </c>
      <c r="I691" s="31">
        <f>MIN(IF(Supuestos!$H$5="",1E+99,Supuestos!$H$5),MAX(IF(Supuestos!$G$5="",-1E+99,Supuestos!$G$5),IF(Supuestos!$C$5="Normal",NORMINV(B691,Supuestos!$D$5,Supuestos!$E$5),IF(Supuestos!$C$5="Triangular",IF(B691&lt;(Supuestos!$E$5-Supuestos!$D$5)/(Supuestos!$F$5-Supuestos!$D$5),Supuestos!$D$5+SQRT(B691*(Supuestos!$F$5-Supuestos!$D$5)*(Supuestos!$E$5-Supuestos!$D$5)),Supuestos!$F$5-SQRT((1-B691)*(Supuestos!$F$5-Supuestos!$D$5)*(Supuestos!$F$5-Supuestos!$E$5))),IF(Supuestos!$C$5="Uniforme",Supuestos!$D$5+B691*(Supuestos!$E$5-Supuestos!$D$5),IF(Supuestos!$C$5="Lognormal",LOGINV(B691,LN(Supuestos!$D$5)-LN(1+Supuestos!$E$5^2/Supuestos!$D$5^2)/2,SQRT(LN(1+Supuestos!$E$5^2/Supuestos!$D$5^2))),Supuestos!$D$5))))))</f>
        <v/>
      </c>
      <c r="J691" s="31">
        <f>MIN(IF(Supuestos!$H$6="",1E+99,Supuestos!$H$6),MAX(IF(Supuestos!$G$6="",-1E+99,Supuestos!$G$6),IF(Supuestos!$C$6="Normal",NORMINV(C691,Supuestos!$D$6,Supuestos!$E$6),IF(Supuestos!$C$6="Triangular",IF(C691&lt;(Supuestos!$E$6-Supuestos!$D$6)/(Supuestos!$F$6-Supuestos!$D$6),Supuestos!$D$6+SQRT(C691*(Supuestos!$F$6-Supuestos!$D$6)*(Supuestos!$E$6-Supuestos!$D$6)),Supuestos!$F$6-SQRT((1-C691)*(Supuestos!$F$6-Supuestos!$D$6)*(Supuestos!$F$6-Supuestos!$E$6))),IF(Supuestos!$C$6="Uniforme",Supuestos!$D$6+C691*(Supuestos!$E$6-Supuestos!$D$6),IF(Supuestos!$C$6="Lognormal",LOGINV(C691,LN(Supuestos!$D$6)-LN(1+Supuestos!$E$6^2/Supuestos!$D$6^2)/2,SQRT(LN(1+Supuestos!$E$6^2/Supuestos!$D$6^2))),Supuestos!$D$6))))))</f>
        <v/>
      </c>
      <c r="K691" s="32">
        <f>MIN(IF(Supuestos!$H$7="",1E+99,Supuestos!$H$7),MAX(IF(Supuestos!$G$7="",-1E+99,Supuestos!$G$7),IF(Supuestos!$C$7="Normal",NORMINV(D691,Supuestos!$D$7,Supuestos!$E$7),IF(Supuestos!$C$7="Triangular",IF(D691&lt;(Supuestos!$E$7-Supuestos!$D$7)/(Supuestos!$F$7-Supuestos!$D$7),Supuestos!$D$7+SQRT(D691*(Supuestos!$F$7-Supuestos!$D$7)*(Supuestos!$E$7-Supuestos!$D$7)),Supuestos!$F$7-SQRT((1-D691)*(Supuestos!$F$7-Supuestos!$D$7)*(Supuestos!$F$7-Supuestos!$E$7))),IF(Supuestos!$C$7="Uniforme",Supuestos!$D$7+D691*(Supuestos!$E$7-Supuestos!$D$7),IF(Supuestos!$C$7="Lognormal",LOGINV(D691,LN(Supuestos!$D$7)-LN(1+Supuestos!$E$7^2/Supuestos!$D$7^2)/2,SQRT(LN(1+Supuestos!$E$7^2/Supuestos!$D$7^2))),Supuestos!$D$7))))))</f>
        <v/>
      </c>
      <c r="L691" s="32">
        <f>MIN(IF(Supuestos!$H$8="",1E+99,Supuestos!$H$8),MAX(IF(Supuestos!$G$8="",-1E+99,Supuestos!$G$8),IF(Supuestos!$C$8="Normal",NORMINV(E691,Supuestos!$D$8,Supuestos!$E$8),IF(Supuestos!$C$8="Triangular",IF(E691&lt;(Supuestos!$E$8-Supuestos!$D$8)/(Supuestos!$F$8-Supuestos!$D$8),Supuestos!$D$8+SQRT(E691*(Supuestos!$F$8-Supuestos!$D$8)*(Supuestos!$E$8-Supuestos!$D$8)),Supuestos!$F$8-SQRT((1-E691)*(Supuestos!$F$8-Supuestos!$D$8)*(Supuestos!$F$8-Supuestos!$E$8))),IF(Supuestos!$C$8="Uniforme",Supuestos!$D$8+E691*(Supuestos!$E$8-Supuestos!$D$8),IF(Supuestos!$C$8="Lognormal",LOGINV(E691,LN(Supuestos!$D$8)-LN(1+Supuestos!$E$8^2/Supuestos!$D$8^2)/2,SQRT(LN(1+Supuestos!$E$8^2/Supuestos!$D$8^2))),Supuestos!$D$8))))))</f>
        <v/>
      </c>
      <c r="M691" s="32">
        <f>MIN(IF(Supuestos!$H$9="",1E+99,Supuestos!$H$9),MAX(IF(Supuestos!$G$9="",-1E+99,Supuestos!$G$9),IF(Supuestos!$C$9="Normal",NORMINV(F691,Supuestos!$D$9,Supuestos!$E$9),IF(Supuestos!$C$9="Triangular",IF(F691&lt;(Supuestos!$E$9-Supuestos!$D$9)/(Supuestos!$F$9-Supuestos!$D$9),Supuestos!$D$9+SQRT(F691*(Supuestos!$F$9-Supuestos!$D$9)*(Supuestos!$E$9-Supuestos!$D$9)),Supuestos!$F$9-SQRT((1-F691)*(Supuestos!$F$9-Supuestos!$D$9)*(Supuestos!$F$9-Supuestos!$E$9))),IF(Supuestos!$C$9="Uniforme",Supuestos!$D$9+F691*(Supuestos!$E$9-Supuestos!$D$9),IF(Supuestos!$C$9="Lognormal",LOGINV(F691,LN(Supuestos!$D$9)-LN(1+Supuestos!$E$9^2/Supuestos!$D$9^2)/2,SQRT(LN(1+Supuestos!$E$9^2/Supuestos!$D$9^2))),Supuestos!$D$9))))))</f>
        <v/>
      </c>
      <c r="N691" s="32">
        <f>MIN(IF(Supuestos!$H$10="",1E+99,Supuestos!$H$10),MAX(IF(Supuestos!$G$10="",-1E+99,Supuestos!$G$10),IF(Supuestos!$C$10="Normal",NORMINV(G691,Supuestos!$D$10,Supuestos!$E$10),IF(Supuestos!$C$10="Triangular",IF(G691&lt;(Supuestos!$E$10-Supuestos!$D$10)/(Supuestos!$F$10-Supuestos!$D$10),Supuestos!$D$10+SQRT(G691*(Supuestos!$F$10-Supuestos!$D$10)*(Supuestos!$E$10-Supuestos!$D$10)),Supuestos!$F$10-SQRT((1-G691)*(Supuestos!$F$10-Supuestos!$D$10)*(Supuestos!$F$10-Supuestos!$E$10))),IF(Supuestos!$C$10="Uniforme",Supuestos!$D$10+G691*(Supuestos!$E$10-Supuestos!$D$10),IF(Supuestos!$C$10="Lognormal",LOGINV(G691,LN(Supuestos!$D$10)-LN(1+Supuestos!$E$10^2/Supuestos!$D$10^2)/2,SQRT(LN(1+Supuestos!$E$10^2/Supuestos!$D$10^2))),Supuestos!$D$10))))))</f>
        <v/>
      </c>
      <c r="O691" s="31">
        <f>MIN(IF(Supuestos!$H$11="",1E+99,Supuestos!$H$11),MAX(IF(Supuestos!$G$11="",-1E+99,Supuestos!$G$11),IF(Supuestos!$C$11="Normal",NORMINV(H691,Supuestos!$D$11,Supuestos!$E$11),IF(Supuestos!$C$11="Triangular",IF(H691&lt;(Supuestos!$E$11-Supuestos!$D$11)/(Supuestos!$F$11-Supuestos!$D$11),Supuestos!$D$11+SQRT(H691*(Supuestos!$F$11-Supuestos!$D$11)*(Supuestos!$E$11-Supuestos!$D$11)),Supuestos!$F$11-SQRT((1-H691)*(Supuestos!$F$11-Supuestos!$D$11)*(Supuestos!$F$11-Supuestos!$E$11))),IF(Supuestos!$C$11="Uniforme",Supuestos!$D$11+H691*(Supuestos!$E$11-Supuestos!$D$11),IF(Supuestos!$C$11="Lognormal",LOGINV(H691,LN(Supuestos!$D$11)-LN(1+Supuestos!$E$11^2/Supuestos!$D$11^2)/2,SQRT(LN(1+Supuestos!$E$11^2/Supuestos!$D$11^2))),Supuestos!$D$11))))))</f>
        <v/>
      </c>
      <c r="P691" s="33">
        <f>-I691</f>
        <v/>
      </c>
      <c r="Q691" s="33">
        <f>$J691*(1+$K691)^(1-1)*(1-$L691)*(1-$M691)</f>
        <v/>
      </c>
      <c r="R691" s="33">
        <f>$J691*(1+$K691)^(2-1)*(1-$L691)*(1-$M691)</f>
        <v/>
      </c>
      <c r="S691" s="33">
        <f>$J691*(1+$K691)^(3-1)*(1-$L691)*(1-$M691)</f>
        <v/>
      </c>
      <c r="T691" s="33">
        <f>$J691*(1+$K691)^(4-1)*(1-$L691)*(1-$M691)</f>
        <v/>
      </c>
      <c r="U691" s="33">
        <f>$J691*(1+$K691)^(5-1)*(1-$L691)*(1-$M691)+$O691</f>
        <v/>
      </c>
      <c r="V691" s="33">
        <f>P691+NPV($N691,Q691:U691)</f>
        <v/>
      </c>
      <c r="W691" s="32">
        <f>IFERROR(IRR(P691:U691,0.1),"")</f>
        <v/>
      </c>
    </row>
    <row r="692">
      <c r="A692" s="14" t="n">
        <v>688</v>
      </c>
      <c r="B692" s="30">
        <f>RAND()*(1-2E-6)+1E-6</f>
        <v/>
      </c>
      <c r="C692" s="30">
        <f>RAND()*(1-2E-6)+1E-6</f>
        <v/>
      </c>
      <c r="D692" s="30">
        <f>RAND()*(1-2E-6)+1E-6</f>
        <v/>
      </c>
      <c r="E692" s="30">
        <f>RAND()*(1-2E-6)+1E-6</f>
        <v/>
      </c>
      <c r="F692" s="30">
        <f>RAND()*(1-2E-6)+1E-6</f>
        <v/>
      </c>
      <c r="G692" s="30">
        <f>RAND()*(1-2E-6)+1E-6</f>
        <v/>
      </c>
      <c r="H692" s="30">
        <f>RAND()*(1-2E-6)+1E-6</f>
        <v/>
      </c>
      <c r="I692" s="31">
        <f>MIN(IF(Supuestos!$H$5="",1E+99,Supuestos!$H$5),MAX(IF(Supuestos!$G$5="",-1E+99,Supuestos!$G$5),IF(Supuestos!$C$5="Normal",NORMINV(B692,Supuestos!$D$5,Supuestos!$E$5),IF(Supuestos!$C$5="Triangular",IF(B692&lt;(Supuestos!$E$5-Supuestos!$D$5)/(Supuestos!$F$5-Supuestos!$D$5),Supuestos!$D$5+SQRT(B692*(Supuestos!$F$5-Supuestos!$D$5)*(Supuestos!$E$5-Supuestos!$D$5)),Supuestos!$F$5-SQRT((1-B692)*(Supuestos!$F$5-Supuestos!$D$5)*(Supuestos!$F$5-Supuestos!$E$5))),IF(Supuestos!$C$5="Uniforme",Supuestos!$D$5+B692*(Supuestos!$E$5-Supuestos!$D$5),IF(Supuestos!$C$5="Lognormal",LOGINV(B692,LN(Supuestos!$D$5)-LN(1+Supuestos!$E$5^2/Supuestos!$D$5^2)/2,SQRT(LN(1+Supuestos!$E$5^2/Supuestos!$D$5^2))),Supuestos!$D$5))))))</f>
        <v/>
      </c>
      <c r="J692" s="31">
        <f>MIN(IF(Supuestos!$H$6="",1E+99,Supuestos!$H$6),MAX(IF(Supuestos!$G$6="",-1E+99,Supuestos!$G$6),IF(Supuestos!$C$6="Normal",NORMINV(C692,Supuestos!$D$6,Supuestos!$E$6),IF(Supuestos!$C$6="Triangular",IF(C692&lt;(Supuestos!$E$6-Supuestos!$D$6)/(Supuestos!$F$6-Supuestos!$D$6),Supuestos!$D$6+SQRT(C692*(Supuestos!$F$6-Supuestos!$D$6)*(Supuestos!$E$6-Supuestos!$D$6)),Supuestos!$F$6-SQRT((1-C692)*(Supuestos!$F$6-Supuestos!$D$6)*(Supuestos!$F$6-Supuestos!$E$6))),IF(Supuestos!$C$6="Uniforme",Supuestos!$D$6+C692*(Supuestos!$E$6-Supuestos!$D$6),IF(Supuestos!$C$6="Lognormal",LOGINV(C692,LN(Supuestos!$D$6)-LN(1+Supuestos!$E$6^2/Supuestos!$D$6^2)/2,SQRT(LN(1+Supuestos!$E$6^2/Supuestos!$D$6^2))),Supuestos!$D$6))))))</f>
        <v/>
      </c>
      <c r="K692" s="32">
        <f>MIN(IF(Supuestos!$H$7="",1E+99,Supuestos!$H$7),MAX(IF(Supuestos!$G$7="",-1E+99,Supuestos!$G$7),IF(Supuestos!$C$7="Normal",NORMINV(D692,Supuestos!$D$7,Supuestos!$E$7),IF(Supuestos!$C$7="Triangular",IF(D692&lt;(Supuestos!$E$7-Supuestos!$D$7)/(Supuestos!$F$7-Supuestos!$D$7),Supuestos!$D$7+SQRT(D692*(Supuestos!$F$7-Supuestos!$D$7)*(Supuestos!$E$7-Supuestos!$D$7)),Supuestos!$F$7-SQRT((1-D692)*(Supuestos!$F$7-Supuestos!$D$7)*(Supuestos!$F$7-Supuestos!$E$7))),IF(Supuestos!$C$7="Uniforme",Supuestos!$D$7+D692*(Supuestos!$E$7-Supuestos!$D$7),IF(Supuestos!$C$7="Lognormal",LOGINV(D692,LN(Supuestos!$D$7)-LN(1+Supuestos!$E$7^2/Supuestos!$D$7^2)/2,SQRT(LN(1+Supuestos!$E$7^2/Supuestos!$D$7^2))),Supuestos!$D$7))))))</f>
        <v/>
      </c>
      <c r="L692" s="32">
        <f>MIN(IF(Supuestos!$H$8="",1E+99,Supuestos!$H$8),MAX(IF(Supuestos!$G$8="",-1E+99,Supuestos!$G$8),IF(Supuestos!$C$8="Normal",NORMINV(E692,Supuestos!$D$8,Supuestos!$E$8),IF(Supuestos!$C$8="Triangular",IF(E692&lt;(Supuestos!$E$8-Supuestos!$D$8)/(Supuestos!$F$8-Supuestos!$D$8),Supuestos!$D$8+SQRT(E692*(Supuestos!$F$8-Supuestos!$D$8)*(Supuestos!$E$8-Supuestos!$D$8)),Supuestos!$F$8-SQRT((1-E692)*(Supuestos!$F$8-Supuestos!$D$8)*(Supuestos!$F$8-Supuestos!$E$8))),IF(Supuestos!$C$8="Uniforme",Supuestos!$D$8+E692*(Supuestos!$E$8-Supuestos!$D$8),IF(Supuestos!$C$8="Lognormal",LOGINV(E692,LN(Supuestos!$D$8)-LN(1+Supuestos!$E$8^2/Supuestos!$D$8^2)/2,SQRT(LN(1+Supuestos!$E$8^2/Supuestos!$D$8^2))),Supuestos!$D$8))))))</f>
        <v/>
      </c>
      <c r="M692" s="32">
        <f>MIN(IF(Supuestos!$H$9="",1E+99,Supuestos!$H$9),MAX(IF(Supuestos!$G$9="",-1E+99,Supuestos!$G$9),IF(Supuestos!$C$9="Normal",NORMINV(F692,Supuestos!$D$9,Supuestos!$E$9),IF(Supuestos!$C$9="Triangular",IF(F692&lt;(Supuestos!$E$9-Supuestos!$D$9)/(Supuestos!$F$9-Supuestos!$D$9),Supuestos!$D$9+SQRT(F692*(Supuestos!$F$9-Supuestos!$D$9)*(Supuestos!$E$9-Supuestos!$D$9)),Supuestos!$F$9-SQRT((1-F692)*(Supuestos!$F$9-Supuestos!$D$9)*(Supuestos!$F$9-Supuestos!$E$9))),IF(Supuestos!$C$9="Uniforme",Supuestos!$D$9+F692*(Supuestos!$E$9-Supuestos!$D$9),IF(Supuestos!$C$9="Lognormal",LOGINV(F692,LN(Supuestos!$D$9)-LN(1+Supuestos!$E$9^2/Supuestos!$D$9^2)/2,SQRT(LN(1+Supuestos!$E$9^2/Supuestos!$D$9^2))),Supuestos!$D$9))))))</f>
        <v/>
      </c>
      <c r="N692" s="32">
        <f>MIN(IF(Supuestos!$H$10="",1E+99,Supuestos!$H$10),MAX(IF(Supuestos!$G$10="",-1E+99,Supuestos!$G$10),IF(Supuestos!$C$10="Normal",NORMINV(G692,Supuestos!$D$10,Supuestos!$E$10),IF(Supuestos!$C$10="Triangular",IF(G692&lt;(Supuestos!$E$10-Supuestos!$D$10)/(Supuestos!$F$10-Supuestos!$D$10),Supuestos!$D$10+SQRT(G692*(Supuestos!$F$10-Supuestos!$D$10)*(Supuestos!$E$10-Supuestos!$D$10)),Supuestos!$F$10-SQRT((1-G692)*(Supuestos!$F$10-Supuestos!$D$10)*(Supuestos!$F$10-Supuestos!$E$10))),IF(Supuestos!$C$10="Uniforme",Supuestos!$D$10+G692*(Supuestos!$E$10-Supuestos!$D$10),IF(Supuestos!$C$10="Lognormal",LOGINV(G692,LN(Supuestos!$D$10)-LN(1+Supuestos!$E$10^2/Supuestos!$D$10^2)/2,SQRT(LN(1+Supuestos!$E$10^2/Supuestos!$D$10^2))),Supuestos!$D$10))))))</f>
        <v/>
      </c>
      <c r="O692" s="31">
        <f>MIN(IF(Supuestos!$H$11="",1E+99,Supuestos!$H$11),MAX(IF(Supuestos!$G$11="",-1E+99,Supuestos!$G$11),IF(Supuestos!$C$11="Normal",NORMINV(H692,Supuestos!$D$11,Supuestos!$E$11),IF(Supuestos!$C$11="Triangular",IF(H692&lt;(Supuestos!$E$11-Supuestos!$D$11)/(Supuestos!$F$11-Supuestos!$D$11),Supuestos!$D$11+SQRT(H692*(Supuestos!$F$11-Supuestos!$D$11)*(Supuestos!$E$11-Supuestos!$D$11)),Supuestos!$F$11-SQRT((1-H692)*(Supuestos!$F$11-Supuestos!$D$11)*(Supuestos!$F$11-Supuestos!$E$11))),IF(Supuestos!$C$11="Uniforme",Supuestos!$D$11+H692*(Supuestos!$E$11-Supuestos!$D$11),IF(Supuestos!$C$11="Lognormal",LOGINV(H692,LN(Supuestos!$D$11)-LN(1+Supuestos!$E$11^2/Supuestos!$D$11^2)/2,SQRT(LN(1+Supuestos!$E$11^2/Supuestos!$D$11^2))),Supuestos!$D$11))))))</f>
        <v/>
      </c>
      <c r="P692" s="33">
        <f>-I692</f>
        <v/>
      </c>
      <c r="Q692" s="33">
        <f>$J692*(1+$K692)^(1-1)*(1-$L692)*(1-$M692)</f>
        <v/>
      </c>
      <c r="R692" s="33">
        <f>$J692*(1+$K692)^(2-1)*(1-$L692)*(1-$M692)</f>
        <v/>
      </c>
      <c r="S692" s="33">
        <f>$J692*(1+$K692)^(3-1)*(1-$L692)*(1-$M692)</f>
        <v/>
      </c>
      <c r="T692" s="33">
        <f>$J692*(1+$K692)^(4-1)*(1-$L692)*(1-$M692)</f>
        <v/>
      </c>
      <c r="U692" s="33">
        <f>$J692*(1+$K692)^(5-1)*(1-$L692)*(1-$M692)+$O692</f>
        <v/>
      </c>
      <c r="V692" s="33">
        <f>P692+NPV($N692,Q692:U692)</f>
        <v/>
      </c>
      <c r="W692" s="32">
        <f>IFERROR(IRR(P692:U692,0.1),"")</f>
        <v/>
      </c>
    </row>
    <row r="693">
      <c r="A693" s="14" t="n">
        <v>689</v>
      </c>
      <c r="B693" s="30">
        <f>RAND()*(1-2E-6)+1E-6</f>
        <v/>
      </c>
      <c r="C693" s="30">
        <f>RAND()*(1-2E-6)+1E-6</f>
        <v/>
      </c>
      <c r="D693" s="30">
        <f>RAND()*(1-2E-6)+1E-6</f>
        <v/>
      </c>
      <c r="E693" s="30">
        <f>RAND()*(1-2E-6)+1E-6</f>
        <v/>
      </c>
      <c r="F693" s="30">
        <f>RAND()*(1-2E-6)+1E-6</f>
        <v/>
      </c>
      <c r="G693" s="30">
        <f>RAND()*(1-2E-6)+1E-6</f>
        <v/>
      </c>
      <c r="H693" s="30">
        <f>RAND()*(1-2E-6)+1E-6</f>
        <v/>
      </c>
      <c r="I693" s="31">
        <f>MIN(IF(Supuestos!$H$5="",1E+99,Supuestos!$H$5),MAX(IF(Supuestos!$G$5="",-1E+99,Supuestos!$G$5),IF(Supuestos!$C$5="Normal",NORMINV(B693,Supuestos!$D$5,Supuestos!$E$5),IF(Supuestos!$C$5="Triangular",IF(B693&lt;(Supuestos!$E$5-Supuestos!$D$5)/(Supuestos!$F$5-Supuestos!$D$5),Supuestos!$D$5+SQRT(B693*(Supuestos!$F$5-Supuestos!$D$5)*(Supuestos!$E$5-Supuestos!$D$5)),Supuestos!$F$5-SQRT((1-B693)*(Supuestos!$F$5-Supuestos!$D$5)*(Supuestos!$F$5-Supuestos!$E$5))),IF(Supuestos!$C$5="Uniforme",Supuestos!$D$5+B693*(Supuestos!$E$5-Supuestos!$D$5),IF(Supuestos!$C$5="Lognormal",LOGINV(B693,LN(Supuestos!$D$5)-LN(1+Supuestos!$E$5^2/Supuestos!$D$5^2)/2,SQRT(LN(1+Supuestos!$E$5^2/Supuestos!$D$5^2))),Supuestos!$D$5))))))</f>
        <v/>
      </c>
      <c r="J693" s="31">
        <f>MIN(IF(Supuestos!$H$6="",1E+99,Supuestos!$H$6),MAX(IF(Supuestos!$G$6="",-1E+99,Supuestos!$G$6),IF(Supuestos!$C$6="Normal",NORMINV(C693,Supuestos!$D$6,Supuestos!$E$6),IF(Supuestos!$C$6="Triangular",IF(C693&lt;(Supuestos!$E$6-Supuestos!$D$6)/(Supuestos!$F$6-Supuestos!$D$6),Supuestos!$D$6+SQRT(C693*(Supuestos!$F$6-Supuestos!$D$6)*(Supuestos!$E$6-Supuestos!$D$6)),Supuestos!$F$6-SQRT((1-C693)*(Supuestos!$F$6-Supuestos!$D$6)*(Supuestos!$F$6-Supuestos!$E$6))),IF(Supuestos!$C$6="Uniforme",Supuestos!$D$6+C693*(Supuestos!$E$6-Supuestos!$D$6),IF(Supuestos!$C$6="Lognormal",LOGINV(C693,LN(Supuestos!$D$6)-LN(1+Supuestos!$E$6^2/Supuestos!$D$6^2)/2,SQRT(LN(1+Supuestos!$E$6^2/Supuestos!$D$6^2))),Supuestos!$D$6))))))</f>
        <v/>
      </c>
      <c r="K693" s="32">
        <f>MIN(IF(Supuestos!$H$7="",1E+99,Supuestos!$H$7),MAX(IF(Supuestos!$G$7="",-1E+99,Supuestos!$G$7),IF(Supuestos!$C$7="Normal",NORMINV(D693,Supuestos!$D$7,Supuestos!$E$7),IF(Supuestos!$C$7="Triangular",IF(D693&lt;(Supuestos!$E$7-Supuestos!$D$7)/(Supuestos!$F$7-Supuestos!$D$7),Supuestos!$D$7+SQRT(D693*(Supuestos!$F$7-Supuestos!$D$7)*(Supuestos!$E$7-Supuestos!$D$7)),Supuestos!$F$7-SQRT((1-D693)*(Supuestos!$F$7-Supuestos!$D$7)*(Supuestos!$F$7-Supuestos!$E$7))),IF(Supuestos!$C$7="Uniforme",Supuestos!$D$7+D693*(Supuestos!$E$7-Supuestos!$D$7),IF(Supuestos!$C$7="Lognormal",LOGINV(D693,LN(Supuestos!$D$7)-LN(1+Supuestos!$E$7^2/Supuestos!$D$7^2)/2,SQRT(LN(1+Supuestos!$E$7^2/Supuestos!$D$7^2))),Supuestos!$D$7))))))</f>
        <v/>
      </c>
      <c r="L693" s="32">
        <f>MIN(IF(Supuestos!$H$8="",1E+99,Supuestos!$H$8),MAX(IF(Supuestos!$G$8="",-1E+99,Supuestos!$G$8),IF(Supuestos!$C$8="Normal",NORMINV(E693,Supuestos!$D$8,Supuestos!$E$8),IF(Supuestos!$C$8="Triangular",IF(E693&lt;(Supuestos!$E$8-Supuestos!$D$8)/(Supuestos!$F$8-Supuestos!$D$8),Supuestos!$D$8+SQRT(E693*(Supuestos!$F$8-Supuestos!$D$8)*(Supuestos!$E$8-Supuestos!$D$8)),Supuestos!$F$8-SQRT((1-E693)*(Supuestos!$F$8-Supuestos!$D$8)*(Supuestos!$F$8-Supuestos!$E$8))),IF(Supuestos!$C$8="Uniforme",Supuestos!$D$8+E693*(Supuestos!$E$8-Supuestos!$D$8),IF(Supuestos!$C$8="Lognormal",LOGINV(E693,LN(Supuestos!$D$8)-LN(1+Supuestos!$E$8^2/Supuestos!$D$8^2)/2,SQRT(LN(1+Supuestos!$E$8^2/Supuestos!$D$8^2))),Supuestos!$D$8))))))</f>
        <v/>
      </c>
      <c r="M693" s="32">
        <f>MIN(IF(Supuestos!$H$9="",1E+99,Supuestos!$H$9),MAX(IF(Supuestos!$G$9="",-1E+99,Supuestos!$G$9),IF(Supuestos!$C$9="Normal",NORMINV(F693,Supuestos!$D$9,Supuestos!$E$9),IF(Supuestos!$C$9="Triangular",IF(F693&lt;(Supuestos!$E$9-Supuestos!$D$9)/(Supuestos!$F$9-Supuestos!$D$9),Supuestos!$D$9+SQRT(F693*(Supuestos!$F$9-Supuestos!$D$9)*(Supuestos!$E$9-Supuestos!$D$9)),Supuestos!$F$9-SQRT((1-F693)*(Supuestos!$F$9-Supuestos!$D$9)*(Supuestos!$F$9-Supuestos!$E$9))),IF(Supuestos!$C$9="Uniforme",Supuestos!$D$9+F693*(Supuestos!$E$9-Supuestos!$D$9),IF(Supuestos!$C$9="Lognormal",LOGINV(F693,LN(Supuestos!$D$9)-LN(1+Supuestos!$E$9^2/Supuestos!$D$9^2)/2,SQRT(LN(1+Supuestos!$E$9^2/Supuestos!$D$9^2))),Supuestos!$D$9))))))</f>
        <v/>
      </c>
      <c r="N693" s="32">
        <f>MIN(IF(Supuestos!$H$10="",1E+99,Supuestos!$H$10),MAX(IF(Supuestos!$G$10="",-1E+99,Supuestos!$G$10),IF(Supuestos!$C$10="Normal",NORMINV(G693,Supuestos!$D$10,Supuestos!$E$10),IF(Supuestos!$C$10="Triangular",IF(G693&lt;(Supuestos!$E$10-Supuestos!$D$10)/(Supuestos!$F$10-Supuestos!$D$10),Supuestos!$D$10+SQRT(G693*(Supuestos!$F$10-Supuestos!$D$10)*(Supuestos!$E$10-Supuestos!$D$10)),Supuestos!$F$10-SQRT((1-G693)*(Supuestos!$F$10-Supuestos!$D$10)*(Supuestos!$F$10-Supuestos!$E$10))),IF(Supuestos!$C$10="Uniforme",Supuestos!$D$10+G693*(Supuestos!$E$10-Supuestos!$D$10),IF(Supuestos!$C$10="Lognormal",LOGINV(G693,LN(Supuestos!$D$10)-LN(1+Supuestos!$E$10^2/Supuestos!$D$10^2)/2,SQRT(LN(1+Supuestos!$E$10^2/Supuestos!$D$10^2))),Supuestos!$D$10))))))</f>
        <v/>
      </c>
      <c r="O693" s="31">
        <f>MIN(IF(Supuestos!$H$11="",1E+99,Supuestos!$H$11),MAX(IF(Supuestos!$G$11="",-1E+99,Supuestos!$G$11),IF(Supuestos!$C$11="Normal",NORMINV(H693,Supuestos!$D$11,Supuestos!$E$11),IF(Supuestos!$C$11="Triangular",IF(H693&lt;(Supuestos!$E$11-Supuestos!$D$11)/(Supuestos!$F$11-Supuestos!$D$11),Supuestos!$D$11+SQRT(H693*(Supuestos!$F$11-Supuestos!$D$11)*(Supuestos!$E$11-Supuestos!$D$11)),Supuestos!$F$11-SQRT((1-H693)*(Supuestos!$F$11-Supuestos!$D$11)*(Supuestos!$F$11-Supuestos!$E$11))),IF(Supuestos!$C$11="Uniforme",Supuestos!$D$11+H693*(Supuestos!$E$11-Supuestos!$D$11),IF(Supuestos!$C$11="Lognormal",LOGINV(H693,LN(Supuestos!$D$11)-LN(1+Supuestos!$E$11^2/Supuestos!$D$11^2)/2,SQRT(LN(1+Supuestos!$E$11^2/Supuestos!$D$11^2))),Supuestos!$D$11))))))</f>
        <v/>
      </c>
      <c r="P693" s="33">
        <f>-I693</f>
        <v/>
      </c>
      <c r="Q693" s="33">
        <f>$J693*(1+$K693)^(1-1)*(1-$L693)*(1-$M693)</f>
        <v/>
      </c>
      <c r="R693" s="33">
        <f>$J693*(1+$K693)^(2-1)*(1-$L693)*(1-$M693)</f>
        <v/>
      </c>
      <c r="S693" s="33">
        <f>$J693*(1+$K693)^(3-1)*(1-$L693)*(1-$M693)</f>
        <v/>
      </c>
      <c r="T693" s="33">
        <f>$J693*(1+$K693)^(4-1)*(1-$L693)*(1-$M693)</f>
        <v/>
      </c>
      <c r="U693" s="33">
        <f>$J693*(1+$K693)^(5-1)*(1-$L693)*(1-$M693)+$O693</f>
        <v/>
      </c>
      <c r="V693" s="33">
        <f>P693+NPV($N693,Q693:U693)</f>
        <v/>
      </c>
      <c r="W693" s="32">
        <f>IFERROR(IRR(P693:U693,0.1),"")</f>
        <v/>
      </c>
    </row>
    <row r="694">
      <c r="A694" s="14" t="n">
        <v>690</v>
      </c>
      <c r="B694" s="30">
        <f>RAND()*(1-2E-6)+1E-6</f>
        <v/>
      </c>
      <c r="C694" s="30">
        <f>RAND()*(1-2E-6)+1E-6</f>
        <v/>
      </c>
      <c r="D694" s="30">
        <f>RAND()*(1-2E-6)+1E-6</f>
        <v/>
      </c>
      <c r="E694" s="30">
        <f>RAND()*(1-2E-6)+1E-6</f>
        <v/>
      </c>
      <c r="F694" s="30">
        <f>RAND()*(1-2E-6)+1E-6</f>
        <v/>
      </c>
      <c r="G694" s="30">
        <f>RAND()*(1-2E-6)+1E-6</f>
        <v/>
      </c>
      <c r="H694" s="30">
        <f>RAND()*(1-2E-6)+1E-6</f>
        <v/>
      </c>
      <c r="I694" s="31">
        <f>MIN(IF(Supuestos!$H$5="",1E+99,Supuestos!$H$5),MAX(IF(Supuestos!$G$5="",-1E+99,Supuestos!$G$5),IF(Supuestos!$C$5="Normal",NORMINV(B694,Supuestos!$D$5,Supuestos!$E$5),IF(Supuestos!$C$5="Triangular",IF(B694&lt;(Supuestos!$E$5-Supuestos!$D$5)/(Supuestos!$F$5-Supuestos!$D$5),Supuestos!$D$5+SQRT(B694*(Supuestos!$F$5-Supuestos!$D$5)*(Supuestos!$E$5-Supuestos!$D$5)),Supuestos!$F$5-SQRT((1-B694)*(Supuestos!$F$5-Supuestos!$D$5)*(Supuestos!$F$5-Supuestos!$E$5))),IF(Supuestos!$C$5="Uniforme",Supuestos!$D$5+B694*(Supuestos!$E$5-Supuestos!$D$5),IF(Supuestos!$C$5="Lognormal",LOGINV(B694,LN(Supuestos!$D$5)-LN(1+Supuestos!$E$5^2/Supuestos!$D$5^2)/2,SQRT(LN(1+Supuestos!$E$5^2/Supuestos!$D$5^2))),Supuestos!$D$5))))))</f>
        <v/>
      </c>
      <c r="J694" s="31">
        <f>MIN(IF(Supuestos!$H$6="",1E+99,Supuestos!$H$6),MAX(IF(Supuestos!$G$6="",-1E+99,Supuestos!$G$6),IF(Supuestos!$C$6="Normal",NORMINV(C694,Supuestos!$D$6,Supuestos!$E$6),IF(Supuestos!$C$6="Triangular",IF(C694&lt;(Supuestos!$E$6-Supuestos!$D$6)/(Supuestos!$F$6-Supuestos!$D$6),Supuestos!$D$6+SQRT(C694*(Supuestos!$F$6-Supuestos!$D$6)*(Supuestos!$E$6-Supuestos!$D$6)),Supuestos!$F$6-SQRT((1-C694)*(Supuestos!$F$6-Supuestos!$D$6)*(Supuestos!$F$6-Supuestos!$E$6))),IF(Supuestos!$C$6="Uniforme",Supuestos!$D$6+C694*(Supuestos!$E$6-Supuestos!$D$6),IF(Supuestos!$C$6="Lognormal",LOGINV(C694,LN(Supuestos!$D$6)-LN(1+Supuestos!$E$6^2/Supuestos!$D$6^2)/2,SQRT(LN(1+Supuestos!$E$6^2/Supuestos!$D$6^2))),Supuestos!$D$6))))))</f>
        <v/>
      </c>
      <c r="K694" s="32">
        <f>MIN(IF(Supuestos!$H$7="",1E+99,Supuestos!$H$7),MAX(IF(Supuestos!$G$7="",-1E+99,Supuestos!$G$7),IF(Supuestos!$C$7="Normal",NORMINV(D694,Supuestos!$D$7,Supuestos!$E$7),IF(Supuestos!$C$7="Triangular",IF(D694&lt;(Supuestos!$E$7-Supuestos!$D$7)/(Supuestos!$F$7-Supuestos!$D$7),Supuestos!$D$7+SQRT(D694*(Supuestos!$F$7-Supuestos!$D$7)*(Supuestos!$E$7-Supuestos!$D$7)),Supuestos!$F$7-SQRT((1-D694)*(Supuestos!$F$7-Supuestos!$D$7)*(Supuestos!$F$7-Supuestos!$E$7))),IF(Supuestos!$C$7="Uniforme",Supuestos!$D$7+D694*(Supuestos!$E$7-Supuestos!$D$7),IF(Supuestos!$C$7="Lognormal",LOGINV(D694,LN(Supuestos!$D$7)-LN(1+Supuestos!$E$7^2/Supuestos!$D$7^2)/2,SQRT(LN(1+Supuestos!$E$7^2/Supuestos!$D$7^2))),Supuestos!$D$7))))))</f>
        <v/>
      </c>
      <c r="L694" s="32">
        <f>MIN(IF(Supuestos!$H$8="",1E+99,Supuestos!$H$8),MAX(IF(Supuestos!$G$8="",-1E+99,Supuestos!$G$8),IF(Supuestos!$C$8="Normal",NORMINV(E694,Supuestos!$D$8,Supuestos!$E$8),IF(Supuestos!$C$8="Triangular",IF(E694&lt;(Supuestos!$E$8-Supuestos!$D$8)/(Supuestos!$F$8-Supuestos!$D$8),Supuestos!$D$8+SQRT(E694*(Supuestos!$F$8-Supuestos!$D$8)*(Supuestos!$E$8-Supuestos!$D$8)),Supuestos!$F$8-SQRT((1-E694)*(Supuestos!$F$8-Supuestos!$D$8)*(Supuestos!$F$8-Supuestos!$E$8))),IF(Supuestos!$C$8="Uniforme",Supuestos!$D$8+E694*(Supuestos!$E$8-Supuestos!$D$8),IF(Supuestos!$C$8="Lognormal",LOGINV(E694,LN(Supuestos!$D$8)-LN(1+Supuestos!$E$8^2/Supuestos!$D$8^2)/2,SQRT(LN(1+Supuestos!$E$8^2/Supuestos!$D$8^2))),Supuestos!$D$8))))))</f>
        <v/>
      </c>
      <c r="M694" s="32">
        <f>MIN(IF(Supuestos!$H$9="",1E+99,Supuestos!$H$9),MAX(IF(Supuestos!$G$9="",-1E+99,Supuestos!$G$9),IF(Supuestos!$C$9="Normal",NORMINV(F694,Supuestos!$D$9,Supuestos!$E$9),IF(Supuestos!$C$9="Triangular",IF(F694&lt;(Supuestos!$E$9-Supuestos!$D$9)/(Supuestos!$F$9-Supuestos!$D$9),Supuestos!$D$9+SQRT(F694*(Supuestos!$F$9-Supuestos!$D$9)*(Supuestos!$E$9-Supuestos!$D$9)),Supuestos!$F$9-SQRT((1-F694)*(Supuestos!$F$9-Supuestos!$D$9)*(Supuestos!$F$9-Supuestos!$E$9))),IF(Supuestos!$C$9="Uniforme",Supuestos!$D$9+F694*(Supuestos!$E$9-Supuestos!$D$9),IF(Supuestos!$C$9="Lognormal",LOGINV(F694,LN(Supuestos!$D$9)-LN(1+Supuestos!$E$9^2/Supuestos!$D$9^2)/2,SQRT(LN(1+Supuestos!$E$9^2/Supuestos!$D$9^2))),Supuestos!$D$9))))))</f>
        <v/>
      </c>
      <c r="N694" s="32">
        <f>MIN(IF(Supuestos!$H$10="",1E+99,Supuestos!$H$10),MAX(IF(Supuestos!$G$10="",-1E+99,Supuestos!$G$10),IF(Supuestos!$C$10="Normal",NORMINV(G694,Supuestos!$D$10,Supuestos!$E$10),IF(Supuestos!$C$10="Triangular",IF(G694&lt;(Supuestos!$E$10-Supuestos!$D$10)/(Supuestos!$F$10-Supuestos!$D$10),Supuestos!$D$10+SQRT(G694*(Supuestos!$F$10-Supuestos!$D$10)*(Supuestos!$E$10-Supuestos!$D$10)),Supuestos!$F$10-SQRT((1-G694)*(Supuestos!$F$10-Supuestos!$D$10)*(Supuestos!$F$10-Supuestos!$E$10))),IF(Supuestos!$C$10="Uniforme",Supuestos!$D$10+G694*(Supuestos!$E$10-Supuestos!$D$10),IF(Supuestos!$C$10="Lognormal",LOGINV(G694,LN(Supuestos!$D$10)-LN(1+Supuestos!$E$10^2/Supuestos!$D$10^2)/2,SQRT(LN(1+Supuestos!$E$10^2/Supuestos!$D$10^2))),Supuestos!$D$10))))))</f>
        <v/>
      </c>
      <c r="O694" s="31">
        <f>MIN(IF(Supuestos!$H$11="",1E+99,Supuestos!$H$11),MAX(IF(Supuestos!$G$11="",-1E+99,Supuestos!$G$11),IF(Supuestos!$C$11="Normal",NORMINV(H694,Supuestos!$D$11,Supuestos!$E$11),IF(Supuestos!$C$11="Triangular",IF(H694&lt;(Supuestos!$E$11-Supuestos!$D$11)/(Supuestos!$F$11-Supuestos!$D$11),Supuestos!$D$11+SQRT(H694*(Supuestos!$F$11-Supuestos!$D$11)*(Supuestos!$E$11-Supuestos!$D$11)),Supuestos!$F$11-SQRT((1-H694)*(Supuestos!$F$11-Supuestos!$D$11)*(Supuestos!$F$11-Supuestos!$E$11))),IF(Supuestos!$C$11="Uniforme",Supuestos!$D$11+H694*(Supuestos!$E$11-Supuestos!$D$11),IF(Supuestos!$C$11="Lognormal",LOGINV(H694,LN(Supuestos!$D$11)-LN(1+Supuestos!$E$11^2/Supuestos!$D$11^2)/2,SQRT(LN(1+Supuestos!$E$11^2/Supuestos!$D$11^2))),Supuestos!$D$11))))))</f>
        <v/>
      </c>
      <c r="P694" s="33">
        <f>-I694</f>
        <v/>
      </c>
      <c r="Q694" s="33">
        <f>$J694*(1+$K694)^(1-1)*(1-$L694)*(1-$M694)</f>
        <v/>
      </c>
      <c r="R694" s="33">
        <f>$J694*(1+$K694)^(2-1)*(1-$L694)*(1-$M694)</f>
        <v/>
      </c>
      <c r="S694" s="33">
        <f>$J694*(1+$K694)^(3-1)*(1-$L694)*(1-$M694)</f>
        <v/>
      </c>
      <c r="T694" s="33">
        <f>$J694*(1+$K694)^(4-1)*(1-$L694)*(1-$M694)</f>
        <v/>
      </c>
      <c r="U694" s="33">
        <f>$J694*(1+$K694)^(5-1)*(1-$L694)*(1-$M694)+$O694</f>
        <v/>
      </c>
      <c r="V694" s="33">
        <f>P694+NPV($N694,Q694:U694)</f>
        <v/>
      </c>
      <c r="W694" s="32">
        <f>IFERROR(IRR(P694:U694,0.1),"")</f>
        <v/>
      </c>
    </row>
    <row r="695">
      <c r="A695" s="14" t="n">
        <v>691</v>
      </c>
      <c r="B695" s="30">
        <f>RAND()*(1-2E-6)+1E-6</f>
        <v/>
      </c>
      <c r="C695" s="30">
        <f>RAND()*(1-2E-6)+1E-6</f>
        <v/>
      </c>
      <c r="D695" s="30">
        <f>RAND()*(1-2E-6)+1E-6</f>
        <v/>
      </c>
      <c r="E695" s="30">
        <f>RAND()*(1-2E-6)+1E-6</f>
        <v/>
      </c>
      <c r="F695" s="30">
        <f>RAND()*(1-2E-6)+1E-6</f>
        <v/>
      </c>
      <c r="G695" s="30">
        <f>RAND()*(1-2E-6)+1E-6</f>
        <v/>
      </c>
      <c r="H695" s="30">
        <f>RAND()*(1-2E-6)+1E-6</f>
        <v/>
      </c>
      <c r="I695" s="31">
        <f>MIN(IF(Supuestos!$H$5="",1E+99,Supuestos!$H$5),MAX(IF(Supuestos!$G$5="",-1E+99,Supuestos!$G$5),IF(Supuestos!$C$5="Normal",NORMINV(B695,Supuestos!$D$5,Supuestos!$E$5),IF(Supuestos!$C$5="Triangular",IF(B695&lt;(Supuestos!$E$5-Supuestos!$D$5)/(Supuestos!$F$5-Supuestos!$D$5),Supuestos!$D$5+SQRT(B695*(Supuestos!$F$5-Supuestos!$D$5)*(Supuestos!$E$5-Supuestos!$D$5)),Supuestos!$F$5-SQRT((1-B695)*(Supuestos!$F$5-Supuestos!$D$5)*(Supuestos!$F$5-Supuestos!$E$5))),IF(Supuestos!$C$5="Uniforme",Supuestos!$D$5+B695*(Supuestos!$E$5-Supuestos!$D$5),IF(Supuestos!$C$5="Lognormal",LOGINV(B695,LN(Supuestos!$D$5)-LN(1+Supuestos!$E$5^2/Supuestos!$D$5^2)/2,SQRT(LN(1+Supuestos!$E$5^2/Supuestos!$D$5^2))),Supuestos!$D$5))))))</f>
        <v/>
      </c>
      <c r="J695" s="31">
        <f>MIN(IF(Supuestos!$H$6="",1E+99,Supuestos!$H$6),MAX(IF(Supuestos!$G$6="",-1E+99,Supuestos!$G$6),IF(Supuestos!$C$6="Normal",NORMINV(C695,Supuestos!$D$6,Supuestos!$E$6),IF(Supuestos!$C$6="Triangular",IF(C695&lt;(Supuestos!$E$6-Supuestos!$D$6)/(Supuestos!$F$6-Supuestos!$D$6),Supuestos!$D$6+SQRT(C695*(Supuestos!$F$6-Supuestos!$D$6)*(Supuestos!$E$6-Supuestos!$D$6)),Supuestos!$F$6-SQRT((1-C695)*(Supuestos!$F$6-Supuestos!$D$6)*(Supuestos!$F$6-Supuestos!$E$6))),IF(Supuestos!$C$6="Uniforme",Supuestos!$D$6+C695*(Supuestos!$E$6-Supuestos!$D$6),IF(Supuestos!$C$6="Lognormal",LOGINV(C695,LN(Supuestos!$D$6)-LN(1+Supuestos!$E$6^2/Supuestos!$D$6^2)/2,SQRT(LN(1+Supuestos!$E$6^2/Supuestos!$D$6^2))),Supuestos!$D$6))))))</f>
        <v/>
      </c>
      <c r="K695" s="32">
        <f>MIN(IF(Supuestos!$H$7="",1E+99,Supuestos!$H$7),MAX(IF(Supuestos!$G$7="",-1E+99,Supuestos!$G$7),IF(Supuestos!$C$7="Normal",NORMINV(D695,Supuestos!$D$7,Supuestos!$E$7),IF(Supuestos!$C$7="Triangular",IF(D695&lt;(Supuestos!$E$7-Supuestos!$D$7)/(Supuestos!$F$7-Supuestos!$D$7),Supuestos!$D$7+SQRT(D695*(Supuestos!$F$7-Supuestos!$D$7)*(Supuestos!$E$7-Supuestos!$D$7)),Supuestos!$F$7-SQRT((1-D695)*(Supuestos!$F$7-Supuestos!$D$7)*(Supuestos!$F$7-Supuestos!$E$7))),IF(Supuestos!$C$7="Uniforme",Supuestos!$D$7+D695*(Supuestos!$E$7-Supuestos!$D$7),IF(Supuestos!$C$7="Lognormal",LOGINV(D695,LN(Supuestos!$D$7)-LN(1+Supuestos!$E$7^2/Supuestos!$D$7^2)/2,SQRT(LN(1+Supuestos!$E$7^2/Supuestos!$D$7^2))),Supuestos!$D$7))))))</f>
        <v/>
      </c>
      <c r="L695" s="32">
        <f>MIN(IF(Supuestos!$H$8="",1E+99,Supuestos!$H$8),MAX(IF(Supuestos!$G$8="",-1E+99,Supuestos!$G$8),IF(Supuestos!$C$8="Normal",NORMINV(E695,Supuestos!$D$8,Supuestos!$E$8),IF(Supuestos!$C$8="Triangular",IF(E695&lt;(Supuestos!$E$8-Supuestos!$D$8)/(Supuestos!$F$8-Supuestos!$D$8),Supuestos!$D$8+SQRT(E695*(Supuestos!$F$8-Supuestos!$D$8)*(Supuestos!$E$8-Supuestos!$D$8)),Supuestos!$F$8-SQRT((1-E695)*(Supuestos!$F$8-Supuestos!$D$8)*(Supuestos!$F$8-Supuestos!$E$8))),IF(Supuestos!$C$8="Uniforme",Supuestos!$D$8+E695*(Supuestos!$E$8-Supuestos!$D$8),IF(Supuestos!$C$8="Lognormal",LOGINV(E695,LN(Supuestos!$D$8)-LN(1+Supuestos!$E$8^2/Supuestos!$D$8^2)/2,SQRT(LN(1+Supuestos!$E$8^2/Supuestos!$D$8^2))),Supuestos!$D$8))))))</f>
        <v/>
      </c>
      <c r="M695" s="32">
        <f>MIN(IF(Supuestos!$H$9="",1E+99,Supuestos!$H$9),MAX(IF(Supuestos!$G$9="",-1E+99,Supuestos!$G$9),IF(Supuestos!$C$9="Normal",NORMINV(F695,Supuestos!$D$9,Supuestos!$E$9),IF(Supuestos!$C$9="Triangular",IF(F695&lt;(Supuestos!$E$9-Supuestos!$D$9)/(Supuestos!$F$9-Supuestos!$D$9),Supuestos!$D$9+SQRT(F695*(Supuestos!$F$9-Supuestos!$D$9)*(Supuestos!$E$9-Supuestos!$D$9)),Supuestos!$F$9-SQRT((1-F695)*(Supuestos!$F$9-Supuestos!$D$9)*(Supuestos!$F$9-Supuestos!$E$9))),IF(Supuestos!$C$9="Uniforme",Supuestos!$D$9+F695*(Supuestos!$E$9-Supuestos!$D$9),IF(Supuestos!$C$9="Lognormal",LOGINV(F695,LN(Supuestos!$D$9)-LN(1+Supuestos!$E$9^2/Supuestos!$D$9^2)/2,SQRT(LN(1+Supuestos!$E$9^2/Supuestos!$D$9^2))),Supuestos!$D$9))))))</f>
        <v/>
      </c>
      <c r="N695" s="32">
        <f>MIN(IF(Supuestos!$H$10="",1E+99,Supuestos!$H$10),MAX(IF(Supuestos!$G$10="",-1E+99,Supuestos!$G$10),IF(Supuestos!$C$10="Normal",NORMINV(G695,Supuestos!$D$10,Supuestos!$E$10),IF(Supuestos!$C$10="Triangular",IF(G695&lt;(Supuestos!$E$10-Supuestos!$D$10)/(Supuestos!$F$10-Supuestos!$D$10),Supuestos!$D$10+SQRT(G695*(Supuestos!$F$10-Supuestos!$D$10)*(Supuestos!$E$10-Supuestos!$D$10)),Supuestos!$F$10-SQRT((1-G695)*(Supuestos!$F$10-Supuestos!$D$10)*(Supuestos!$F$10-Supuestos!$E$10))),IF(Supuestos!$C$10="Uniforme",Supuestos!$D$10+G695*(Supuestos!$E$10-Supuestos!$D$10),IF(Supuestos!$C$10="Lognormal",LOGINV(G695,LN(Supuestos!$D$10)-LN(1+Supuestos!$E$10^2/Supuestos!$D$10^2)/2,SQRT(LN(1+Supuestos!$E$10^2/Supuestos!$D$10^2))),Supuestos!$D$10))))))</f>
        <v/>
      </c>
      <c r="O695" s="31">
        <f>MIN(IF(Supuestos!$H$11="",1E+99,Supuestos!$H$11),MAX(IF(Supuestos!$G$11="",-1E+99,Supuestos!$G$11),IF(Supuestos!$C$11="Normal",NORMINV(H695,Supuestos!$D$11,Supuestos!$E$11),IF(Supuestos!$C$11="Triangular",IF(H695&lt;(Supuestos!$E$11-Supuestos!$D$11)/(Supuestos!$F$11-Supuestos!$D$11),Supuestos!$D$11+SQRT(H695*(Supuestos!$F$11-Supuestos!$D$11)*(Supuestos!$E$11-Supuestos!$D$11)),Supuestos!$F$11-SQRT((1-H695)*(Supuestos!$F$11-Supuestos!$D$11)*(Supuestos!$F$11-Supuestos!$E$11))),IF(Supuestos!$C$11="Uniforme",Supuestos!$D$11+H695*(Supuestos!$E$11-Supuestos!$D$11),IF(Supuestos!$C$11="Lognormal",LOGINV(H695,LN(Supuestos!$D$11)-LN(1+Supuestos!$E$11^2/Supuestos!$D$11^2)/2,SQRT(LN(1+Supuestos!$E$11^2/Supuestos!$D$11^2))),Supuestos!$D$11))))))</f>
        <v/>
      </c>
      <c r="P695" s="33">
        <f>-I695</f>
        <v/>
      </c>
      <c r="Q695" s="33">
        <f>$J695*(1+$K695)^(1-1)*(1-$L695)*(1-$M695)</f>
        <v/>
      </c>
      <c r="R695" s="33">
        <f>$J695*(1+$K695)^(2-1)*(1-$L695)*(1-$M695)</f>
        <v/>
      </c>
      <c r="S695" s="33">
        <f>$J695*(1+$K695)^(3-1)*(1-$L695)*(1-$M695)</f>
        <v/>
      </c>
      <c r="T695" s="33">
        <f>$J695*(1+$K695)^(4-1)*(1-$L695)*(1-$M695)</f>
        <v/>
      </c>
      <c r="U695" s="33">
        <f>$J695*(1+$K695)^(5-1)*(1-$L695)*(1-$M695)+$O695</f>
        <v/>
      </c>
      <c r="V695" s="33">
        <f>P695+NPV($N695,Q695:U695)</f>
        <v/>
      </c>
      <c r="W695" s="32">
        <f>IFERROR(IRR(P695:U695,0.1),"")</f>
        <v/>
      </c>
    </row>
    <row r="696">
      <c r="A696" s="14" t="n">
        <v>692</v>
      </c>
      <c r="B696" s="30">
        <f>RAND()*(1-2E-6)+1E-6</f>
        <v/>
      </c>
      <c r="C696" s="30">
        <f>RAND()*(1-2E-6)+1E-6</f>
        <v/>
      </c>
      <c r="D696" s="30">
        <f>RAND()*(1-2E-6)+1E-6</f>
        <v/>
      </c>
      <c r="E696" s="30">
        <f>RAND()*(1-2E-6)+1E-6</f>
        <v/>
      </c>
      <c r="F696" s="30">
        <f>RAND()*(1-2E-6)+1E-6</f>
        <v/>
      </c>
      <c r="G696" s="30">
        <f>RAND()*(1-2E-6)+1E-6</f>
        <v/>
      </c>
      <c r="H696" s="30">
        <f>RAND()*(1-2E-6)+1E-6</f>
        <v/>
      </c>
      <c r="I696" s="31">
        <f>MIN(IF(Supuestos!$H$5="",1E+99,Supuestos!$H$5),MAX(IF(Supuestos!$G$5="",-1E+99,Supuestos!$G$5),IF(Supuestos!$C$5="Normal",NORMINV(B696,Supuestos!$D$5,Supuestos!$E$5),IF(Supuestos!$C$5="Triangular",IF(B696&lt;(Supuestos!$E$5-Supuestos!$D$5)/(Supuestos!$F$5-Supuestos!$D$5),Supuestos!$D$5+SQRT(B696*(Supuestos!$F$5-Supuestos!$D$5)*(Supuestos!$E$5-Supuestos!$D$5)),Supuestos!$F$5-SQRT((1-B696)*(Supuestos!$F$5-Supuestos!$D$5)*(Supuestos!$F$5-Supuestos!$E$5))),IF(Supuestos!$C$5="Uniforme",Supuestos!$D$5+B696*(Supuestos!$E$5-Supuestos!$D$5),IF(Supuestos!$C$5="Lognormal",LOGINV(B696,LN(Supuestos!$D$5)-LN(1+Supuestos!$E$5^2/Supuestos!$D$5^2)/2,SQRT(LN(1+Supuestos!$E$5^2/Supuestos!$D$5^2))),Supuestos!$D$5))))))</f>
        <v/>
      </c>
      <c r="J696" s="31">
        <f>MIN(IF(Supuestos!$H$6="",1E+99,Supuestos!$H$6),MAX(IF(Supuestos!$G$6="",-1E+99,Supuestos!$G$6),IF(Supuestos!$C$6="Normal",NORMINV(C696,Supuestos!$D$6,Supuestos!$E$6),IF(Supuestos!$C$6="Triangular",IF(C696&lt;(Supuestos!$E$6-Supuestos!$D$6)/(Supuestos!$F$6-Supuestos!$D$6),Supuestos!$D$6+SQRT(C696*(Supuestos!$F$6-Supuestos!$D$6)*(Supuestos!$E$6-Supuestos!$D$6)),Supuestos!$F$6-SQRT((1-C696)*(Supuestos!$F$6-Supuestos!$D$6)*(Supuestos!$F$6-Supuestos!$E$6))),IF(Supuestos!$C$6="Uniforme",Supuestos!$D$6+C696*(Supuestos!$E$6-Supuestos!$D$6),IF(Supuestos!$C$6="Lognormal",LOGINV(C696,LN(Supuestos!$D$6)-LN(1+Supuestos!$E$6^2/Supuestos!$D$6^2)/2,SQRT(LN(1+Supuestos!$E$6^2/Supuestos!$D$6^2))),Supuestos!$D$6))))))</f>
        <v/>
      </c>
      <c r="K696" s="32">
        <f>MIN(IF(Supuestos!$H$7="",1E+99,Supuestos!$H$7),MAX(IF(Supuestos!$G$7="",-1E+99,Supuestos!$G$7),IF(Supuestos!$C$7="Normal",NORMINV(D696,Supuestos!$D$7,Supuestos!$E$7),IF(Supuestos!$C$7="Triangular",IF(D696&lt;(Supuestos!$E$7-Supuestos!$D$7)/(Supuestos!$F$7-Supuestos!$D$7),Supuestos!$D$7+SQRT(D696*(Supuestos!$F$7-Supuestos!$D$7)*(Supuestos!$E$7-Supuestos!$D$7)),Supuestos!$F$7-SQRT((1-D696)*(Supuestos!$F$7-Supuestos!$D$7)*(Supuestos!$F$7-Supuestos!$E$7))),IF(Supuestos!$C$7="Uniforme",Supuestos!$D$7+D696*(Supuestos!$E$7-Supuestos!$D$7),IF(Supuestos!$C$7="Lognormal",LOGINV(D696,LN(Supuestos!$D$7)-LN(1+Supuestos!$E$7^2/Supuestos!$D$7^2)/2,SQRT(LN(1+Supuestos!$E$7^2/Supuestos!$D$7^2))),Supuestos!$D$7))))))</f>
        <v/>
      </c>
      <c r="L696" s="32">
        <f>MIN(IF(Supuestos!$H$8="",1E+99,Supuestos!$H$8),MAX(IF(Supuestos!$G$8="",-1E+99,Supuestos!$G$8),IF(Supuestos!$C$8="Normal",NORMINV(E696,Supuestos!$D$8,Supuestos!$E$8),IF(Supuestos!$C$8="Triangular",IF(E696&lt;(Supuestos!$E$8-Supuestos!$D$8)/(Supuestos!$F$8-Supuestos!$D$8),Supuestos!$D$8+SQRT(E696*(Supuestos!$F$8-Supuestos!$D$8)*(Supuestos!$E$8-Supuestos!$D$8)),Supuestos!$F$8-SQRT((1-E696)*(Supuestos!$F$8-Supuestos!$D$8)*(Supuestos!$F$8-Supuestos!$E$8))),IF(Supuestos!$C$8="Uniforme",Supuestos!$D$8+E696*(Supuestos!$E$8-Supuestos!$D$8),IF(Supuestos!$C$8="Lognormal",LOGINV(E696,LN(Supuestos!$D$8)-LN(1+Supuestos!$E$8^2/Supuestos!$D$8^2)/2,SQRT(LN(1+Supuestos!$E$8^2/Supuestos!$D$8^2))),Supuestos!$D$8))))))</f>
        <v/>
      </c>
      <c r="M696" s="32">
        <f>MIN(IF(Supuestos!$H$9="",1E+99,Supuestos!$H$9),MAX(IF(Supuestos!$G$9="",-1E+99,Supuestos!$G$9),IF(Supuestos!$C$9="Normal",NORMINV(F696,Supuestos!$D$9,Supuestos!$E$9),IF(Supuestos!$C$9="Triangular",IF(F696&lt;(Supuestos!$E$9-Supuestos!$D$9)/(Supuestos!$F$9-Supuestos!$D$9),Supuestos!$D$9+SQRT(F696*(Supuestos!$F$9-Supuestos!$D$9)*(Supuestos!$E$9-Supuestos!$D$9)),Supuestos!$F$9-SQRT((1-F696)*(Supuestos!$F$9-Supuestos!$D$9)*(Supuestos!$F$9-Supuestos!$E$9))),IF(Supuestos!$C$9="Uniforme",Supuestos!$D$9+F696*(Supuestos!$E$9-Supuestos!$D$9),IF(Supuestos!$C$9="Lognormal",LOGINV(F696,LN(Supuestos!$D$9)-LN(1+Supuestos!$E$9^2/Supuestos!$D$9^2)/2,SQRT(LN(1+Supuestos!$E$9^2/Supuestos!$D$9^2))),Supuestos!$D$9))))))</f>
        <v/>
      </c>
      <c r="N696" s="32">
        <f>MIN(IF(Supuestos!$H$10="",1E+99,Supuestos!$H$10),MAX(IF(Supuestos!$G$10="",-1E+99,Supuestos!$G$10),IF(Supuestos!$C$10="Normal",NORMINV(G696,Supuestos!$D$10,Supuestos!$E$10),IF(Supuestos!$C$10="Triangular",IF(G696&lt;(Supuestos!$E$10-Supuestos!$D$10)/(Supuestos!$F$10-Supuestos!$D$10),Supuestos!$D$10+SQRT(G696*(Supuestos!$F$10-Supuestos!$D$10)*(Supuestos!$E$10-Supuestos!$D$10)),Supuestos!$F$10-SQRT((1-G696)*(Supuestos!$F$10-Supuestos!$D$10)*(Supuestos!$F$10-Supuestos!$E$10))),IF(Supuestos!$C$10="Uniforme",Supuestos!$D$10+G696*(Supuestos!$E$10-Supuestos!$D$10),IF(Supuestos!$C$10="Lognormal",LOGINV(G696,LN(Supuestos!$D$10)-LN(1+Supuestos!$E$10^2/Supuestos!$D$10^2)/2,SQRT(LN(1+Supuestos!$E$10^2/Supuestos!$D$10^2))),Supuestos!$D$10))))))</f>
        <v/>
      </c>
      <c r="O696" s="31">
        <f>MIN(IF(Supuestos!$H$11="",1E+99,Supuestos!$H$11),MAX(IF(Supuestos!$G$11="",-1E+99,Supuestos!$G$11),IF(Supuestos!$C$11="Normal",NORMINV(H696,Supuestos!$D$11,Supuestos!$E$11),IF(Supuestos!$C$11="Triangular",IF(H696&lt;(Supuestos!$E$11-Supuestos!$D$11)/(Supuestos!$F$11-Supuestos!$D$11),Supuestos!$D$11+SQRT(H696*(Supuestos!$F$11-Supuestos!$D$11)*(Supuestos!$E$11-Supuestos!$D$11)),Supuestos!$F$11-SQRT((1-H696)*(Supuestos!$F$11-Supuestos!$D$11)*(Supuestos!$F$11-Supuestos!$E$11))),IF(Supuestos!$C$11="Uniforme",Supuestos!$D$11+H696*(Supuestos!$E$11-Supuestos!$D$11),IF(Supuestos!$C$11="Lognormal",LOGINV(H696,LN(Supuestos!$D$11)-LN(1+Supuestos!$E$11^2/Supuestos!$D$11^2)/2,SQRT(LN(1+Supuestos!$E$11^2/Supuestos!$D$11^2))),Supuestos!$D$11))))))</f>
        <v/>
      </c>
      <c r="P696" s="33">
        <f>-I696</f>
        <v/>
      </c>
      <c r="Q696" s="33">
        <f>$J696*(1+$K696)^(1-1)*(1-$L696)*(1-$M696)</f>
        <v/>
      </c>
      <c r="R696" s="33">
        <f>$J696*(1+$K696)^(2-1)*(1-$L696)*(1-$M696)</f>
        <v/>
      </c>
      <c r="S696" s="33">
        <f>$J696*(1+$K696)^(3-1)*(1-$L696)*(1-$M696)</f>
        <v/>
      </c>
      <c r="T696" s="33">
        <f>$J696*(1+$K696)^(4-1)*(1-$L696)*(1-$M696)</f>
        <v/>
      </c>
      <c r="U696" s="33">
        <f>$J696*(1+$K696)^(5-1)*(1-$L696)*(1-$M696)+$O696</f>
        <v/>
      </c>
      <c r="V696" s="33">
        <f>P696+NPV($N696,Q696:U696)</f>
        <v/>
      </c>
      <c r="W696" s="32">
        <f>IFERROR(IRR(P696:U696,0.1),"")</f>
        <v/>
      </c>
    </row>
    <row r="697">
      <c r="A697" s="14" t="n">
        <v>693</v>
      </c>
      <c r="B697" s="30">
        <f>RAND()*(1-2E-6)+1E-6</f>
        <v/>
      </c>
      <c r="C697" s="30">
        <f>RAND()*(1-2E-6)+1E-6</f>
        <v/>
      </c>
      <c r="D697" s="30">
        <f>RAND()*(1-2E-6)+1E-6</f>
        <v/>
      </c>
      <c r="E697" s="30">
        <f>RAND()*(1-2E-6)+1E-6</f>
        <v/>
      </c>
      <c r="F697" s="30">
        <f>RAND()*(1-2E-6)+1E-6</f>
        <v/>
      </c>
      <c r="G697" s="30">
        <f>RAND()*(1-2E-6)+1E-6</f>
        <v/>
      </c>
      <c r="H697" s="30">
        <f>RAND()*(1-2E-6)+1E-6</f>
        <v/>
      </c>
      <c r="I697" s="31">
        <f>MIN(IF(Supuestos!$H$5="",1E+99,Supuestos!$H$5),MAX(IF(Supuestos!$G$5="",-1E+99,Supuestos!$G$5),IF(Supuestos!$C$5="Normal",NORMINV(B697,Supuestos!$D$5,Supuestos!$E$5),IF(Supuestos!$C$5="Triangular",IF(B697&lt;(Supuestos!$E$5-Supuestos!$D$5)/(Supuestos!$F$5-Supuestos!$D$5),Supuestos!$D$5+SQRT(B697*(Supuestos!$F$5-Supuestos!$D$5)*(Supuestos!$E$5-Supuestos!$D$5)),Supuestos!$F$5-SQRT((1-B697)*(Supuestos!$F$5-Supuestos!$D$5)*(Supuestos!$F$5-Supuestos!$E$5))),IF(Supuestos!$C$5="Uniforme",Supuestos!$D$5+B697*(Supuestos!$E$5-Supuestos!$D$5),IF(Supuestos!$C$5="Lognormal",LOGINV(B697,LN(Supuestos!$D$5)-LN(1+Supuestos!$E$5^2/Supuestos!$D$5^2)/2,SQRT(LN(1+Supuestos!$E$5^2/Supuestos!$D$5^2))),Supuestos!$D$5))))))</f>
        <v/>
      </c>
      <c r="J697" s="31">
        <f>MIN(IF(Supuestos!$H$6="",1E+99,Supuestos!$H$6),MAX(IF(Supuestos!$G$6="",-1E+99,Supuestos!$G$6),IF(Supuestos!$C$6="Normal",NORMINV(C697,Supuestos!$D$6,Supuestos!$E$6),IF(Supuestos!$C$6="Triangular",IF(C697&lt;(Supuestos!$E$6-Supuestos!$D$6)/(Supuestos!$F$6-Supuestos!$D$6),Supuestos!$D$6+SQRT(C697*(Supuestos!$F$6-Supuestos!$D$6)*(Supuestos!$E$6-Supuestos!$D$6)),Supuestos!$F$6-SQRT((1-C697)*(Supuestos!$F$6-Supuestos!$D$6)*(Supuestos!$F$6-Supuestos!$E$6))),IF(Supuestos!$C$6="Uniforme",Supuestos!$D$6+C697*(Supuestos!$E$6-Supuestos!$D$6),IF(Supuestos!$C$6="Lognormal",LOGINV(C697,LN(Supuestos!$D$6)-LN(1+Supuestos!$E$6^2/Supuestos!$D$6^2)/2,SQRT(LN(1+Supuestos!$E$6^2/Supuestos!$D$6^2))),Supuestos!$D$6))))))</f>
        <v/>
      </c>
      <c r="K697" s="32">
        <f>MIN(IF(Supuestos!$H$7="",1E+99,Supuestos!$H$7),MAX(IF(Supuestos!$G$7="",-1E+99,Supuestos!$G$7),IF(Supuestos!$C$7="Normal",NORMINV(D697,Supuestos!$D$7,Supuestos!$E$7),IF(Supuestos!$C$7="Triangular",IF(D697&lt;(Supuestos!$E$7-Supuestos!$D$7)/(Supuestos!$F$7-Supuestos!$D$7),Supuestos!$D$7+SQRT(D697*(Supuestos!$F$7-Supuestos!$D$7)*(Supuestos!$E$7-Supuestos!$D$7)),Supuestos!$F$7-SQRT((1-D697)*(Supuestos!$F$7-Supuestos!$D$7)*(Supuestos!$F$7-Supuestos!$E$7))),IF(Supuestos!$C$7="Uniforme",Supuestos!$D$7+D697*(Supuestos!$E$7-Supuestos!$D$7),IF(Supuestos!$C$7="Lognormal",LOGINV(D697,LN(Supuestos!$D$7)-LN(1+Supuestos!$E$7^2/Supuestos!$D$7^2)/2,SQRT(LN(1+Supuestos!$E$7^2/Supuestos!$D$7^2))),Supuestos!$D$7))))))</f>
        <v/>
      </c>
      <c r="L697" s="32">
        <f>MIN(IF(Supuestos!$H$8="",1E+99,Supuestos!$H$8),MAX(IF(Supuestos!$G$8="",-1E+99,Supuestos!$G$8),IF(Supuestos!$C$8="Normal",NORMINV(E697,Supuestos!$D$8,Supuestos!$E$8),IF(Supuestos!$C$8="Triangular",IF(E697&lt;(Supuestos!$E$8-Supuestos!$D$8)/(Supuestos!$F$8-Supuestos!$D$8),Supuestos!$D$8+SQRT(E697*(Supuestos!$F$8-Supuestos!$D$8)*(Supuestos!$E$8-Supuestos!$D$8)),Supuestos!$F$8-SQRT((1-E697)*(Supuestos!$F$8-Supuestos!$D$8)*(Supuestos!$F$8-Supuestos!$E$8))),IF(Supuestos!$C$8="Uniforme",Supuestos!$D$8+E697*(Supuestos!$E$8-Supuestos!$D$8),IF(Supuestos!$C$8="Lognormal",LOGINV(E697,LN(Supuestos!$D$8)-LN(1+Supuestos!$E$8^2/Supuestos!$D$8^2)/2,SQRT(LN(1+Supuestos!$E$8^2/Supuestos!$D$8^2))),Supuestos!$D$8))))))</f>
        <v/>
      </c>
      <c r="M697" s="32">
        <f>MIN(IF(Supuestos!$H$9="",1E+99,Supuestos!$H$9),MAX(IF(Supuestos!$G$9="",-1E+99,Supuestos!$G$9),IF(Supuestos!$C$9="Normal",NORMINV(F697,Supuestos!$D$9,Supuestos!$E$9),IF(Supuestos!$C$9="Triangular",IF(F697&lt;(Supuestos!$E$9-Supuestos!$D$9)/(Supuestos!$F$9-Supuestos!$D$9),Supuestos!$D$9+SQRT(F697*(Supuestos!$F$9-Supuestos!$D$9)*(Supuestos!$E$9-Supuestos!$D$9)),Supuestos!$F$9-SQRT((1-F697)*(Supuestos!$F$9-Supuestos!$D$9)*(Supuestos!$F$9-Supuestos!$E$9))),IF(Supuestos!$C$9="Uniforme",Supuestos!$D$9+F697*(Supuestos!$E$9-Supuestos!$D$9),IF(Supuestos!$C$9="Lognormal",LOGINV(F697,LN(Supuestos!$D$9)-LN(1+Supuestos!$E$9^2/Supuestos!$D$9^2)/2,SQRT(LN(1+Supuestos!$E$9^2/Supuestos!$D$9^2))),Supuestos!$D$9))))))</f>
        <v/>
      </c>
      <c r="N697" s="32">
        <f>MIN(IF(Supuestos!$H$10="",1E+99,Supuestos!$H$10),MAX(IF(Supuestos!$G$10="",-1E+99,Supuestos!$G$10),IF(Supuestos!$C$10="Normal",NORMINV(G697,Supuestos!$D$10,Supuestos!$E$10),IF(Supuestos!$C$10="Triangular",IF(G697&lt;(Supuestos!$E$10-Supuestos!$D$10)/(Supuestos!$F$10-Supuestos!$D$10),Supuestos!$D$10+SQRT(G697*(Supuestos!$F$10-Supuestos!$D$10)*(Supuestos!$E$10-Supuestos!$D$10)),Supuestos!$F$10-SQRT((1-G697)*(Supuestos!$F$10-Supuestos!$D$10)*(Supuestos!$F$10-Supuestos!$E$10))),IF(Supuestos!$C$10="Uniforme",Supuestos!$D$10+G697*(Supuestos!$E$10-Supuestos!$D$10),IF(Supuestos!$C$10="Lognormal",LOGINV(G697,LN(Supuestos!$D$10)-LN(1+Supuestos!$E$10^2/Supuestos!$D$10^2)/2,SQRT(LN(1+Supuestos!$E$10^2/Supuestos!$D$10^2))),Supuestos!$D$10))))))</f>
        <v/>
      </c>
      <c r="O697" s="31">
        <f>MIN(IF(Supuestos!$H$11="",1E+99,Supuestos!$H$11),MAX(IF(Supuestos!$G$11="",-1E+99,Supuestos!$G$11),IF(Supuestos!$C$11="Normal",NORMINV(H697,Supuestos!$D$11,Supuestos!$E$11),IF(Supuestos!$C$11="Triangular",IF(H697&lt;(Supuestos!$E$11-Supuestos!$D$11)/(Supuestos!$F$11-Supuestos!$D$11),Supuestos!$D$11+SQRT(H697*(Supuestos!$F$11-Supuestos!$D$11)*(Supuestos!$E$11-Supuestos!$D$11)),Supuestos!$F$11-SQRT((1-H697)*(Supuestos!$F$11-Supuestos!$D$11)*(Supuestos!$F$11-Supuestos!$E$11))),IF(Supuestos!$C$11="Uniforme",Supuestos!$D$11+H697*(Supuestos!$E$11-Supuestos!$D$11),IF(Supuestos!$C$11="Lognormal",LOGINV(H697,LN(Supuestos!$D$11)-LN(1+Supuestos!$E$11^2/Supuestos!$D$11^2)/2,SQRT(LN(1+Supuestos!$E$11^2/Supuestos!$D$11^2))),Supuestos!$D$11))))))</f>
        <v/>
      </c>
      <c r="P697" s="33">
        <f>-I697</f>
        <v/>
      </c>
      <c r="Q697" s="33">
        <f>$J697*(1+$K697)^(1-1)*(1-$L697)*(1-$M697)</f>
        <v/>
      </c>
      <c r="R697" s="33">
        <f>$J697*(1+$K697)^(2-1)*(1-$L697)*(1-$M697)</f>
        <v/>
      </c>
      <c r="S697" s="33">
        <f>$J697*(1+$K697)^(3-1)*(1-$L697)*(1-$M697)</f>
        <v/>
      </c>
      <c r="T697" s="33">
        <f>$J697*(1+$K697)^(4-1)*(1-$L697)*(1-$M697)</f>
        <v/>
      </c>
      <c r="U697" s="33">
        <f>$J697*(1+$K697)^(5-1)*(1-$L697)*(1-$M697)+$O697</f>
        <v/>
      </c>
      <c r="V697" s="33">
        <f>P697+NPV($N697,Q697:U697)</f>
        <v/>
      </c>
      <c r="W697" s="32">
        <f>IFERROR(IRR(P697:U697,0.1),"")</f>
        <v/>
      </c>
    </row>
    <row r="698">
      <c r="A698" s="14" t="n">
        <v>694</v>
      </c>
      <c r="B698" s="30">
        <f>RAND()*(1-2E-6)+1E-6</f>
        <v/>
      </c>
      <c r="C698" s="30">
        <f>RAND()*(1-2E-6)+1E-6</f>
        <v/>
      </c>
      <c r="D698" s="30">
        <f>RAND()*(1-2E-6)+1E-6</f>
        <v/>
      </c>
      <c r="E698" s="30">
        <f>RAND()*(1-2E-6)+1E-6</f>
        <v/>
      </c>
      <c r="F698" s="30">
        <f>RAND()*(1-2E-6)+1E-6</f>
        <v/>
      </c>
      <c r="G698" s="30">
        <f>RAND()*(1-2E-6)+1E-6</f>
        <v/>
      </c>
      <c r="H698" s="30">
        <f>RAND()*(1-2E-6)+1E-6</f>
        <v/>
      </c>
      <c r="I698" s="31">
        <f>MIN(IF(Supuestos!$H$5="",1E+99,Supuestos!$H$5),MAX(IF(Supuestos!$G$5="",-1E+99,Supuestos!$G$5),IF(Supuestos!$C$5="Normal",NORMINV(B698,Supuestos!$D$5,Supuestos!$E$5),IF(Supuestos!$C$5="Triangular",IF(B698&lt;(Supuestos!$E$5-Supuestos!$D$5)/(Supuestos!$F$5-Supuestos!$D$5),Supuestos!$D$5+SQRT(B698*(Supuestos!$F$5-Supuestos!$D$5)*(Supuestos!$E$5-Supuestos!$D$5)),Supuestos!$F$5-SQRT((1-B698)*(Supuestos!$F$5-Supuestos!$D$5)*(Supuestos!$F$5-Supuestos!$E$5))),IF(Supuestos!$C$5="Uniforme",Supuestos!$D$5+B698*(Supuestos!$E$5-Supuestos!$D$5),IF(Supuestos!$C$5="Lognormal",LOGINV(B698,LN(Supuestos!$D$5)-LN(1+Supuestos!$E$5^2/Supuestos!$D$5^2)/2,SQRT(LN(1+Supuestos!$E$5^2/Supuestos!$D$5^2))),Supuestos!$D$5))))))</f>
        <v/>
      </c>
      <c r="J698" s="31">
        <f>MIN(IF(Supuestos!$H$6="",1E+99,Supuestos!$H$6),MAX(IF(Supuestos!$G$6="",-1E+99,Supuestos!$G$6),IF(Supuestos!$C$6="Normal",NORMINV(C698,Supuestos!$D$6,Supuestos!$E$6),IF(Supuestos!$C$6="Triangular",IF(C698&lt;(Supuestos!$E$6-Supuestos!$D$6)/(Supuestos!$F$6-Supuestos!$D$6),Supuestos!$D$6+SQRT(C698*(Supuestos!$F$6-Supuestos!$D$6)*(Supuestos!$E$6-Supuestos!$D$6)),Supuestos!$F$6-SQRT((1-C698)*(Supuestos!$F$6-Supuestos!$D$6)*(Supuestos!$F$6-Supuestos!$E$6))),IF(Supuestos!$C$6="Uniforme",Supuestos!$D$6+C698*(Supuestos!$E$6-Supuestos!$D$6),IF(Supuestos!$C$6="Lognormal",LOGINV(C698,LN(Supuestos!$D$6)-LN(1+Supuestos!$E$6^2/Supuestos!$D$6^2)/2,SQRT(LN(1+Supuestos!$E$6^2/Supuestos!$D$6^2))),Supuestos!$D$6))))))</f>
        <v/>
      </c>
      <c r="K698" s="32">
        <f>MIN(IF(Supuestos!$H$7="",1E+99,Supuestos!$H$7),MAX(IF(Supuestos!$G$7="",-1E+99,Supuestos!$G$7),IF(Supuestos!$C$7="Normal",NORMINV(D698,Supuestos!$D$7,Supuestos!$E$7),IF(Supuestos!$C$7="Triangular",IF(D698&lt;(Supuestos!$E$7-Supuestos!$D$7)/(Supuestos!$F$7-Supuestos!$D$7),Supuestos!$D$7+SQRT(D698*(Supuestos!$F$7-Supuestos!$D$7)*(Supuestos!$E$7-Supuestos!$D$7)),Supuestos!$F$7-SQRT((1-D698)*(Supuestos!$F$7-Supuestos!$D$7)*(Supuestos!$F$7-Supuestos!$E$7))),IF(Supuestos!$C$7="Uniforme",Supuestos!$D$7+D698*(Supuestos!$E$7-Supuestos!$D$7),IF(Supuestos!$C$7="Lognormal",LOGINV(D698,LN(Supuestos!$D$7)-LN(1+Supuestos!$E$7^2/Supuestos!$D$7^2)/2,SQRT(LN(1+Supuestos!$E$7^2/Supuestos!$D$7^2))),Supuestos!$D$7))))))</f>
        <v/>
      </c>
      <c r="L698" s="32">
        <f>MIN(IF(Supuestos!$H$8="",1E+99,Supuestos!$H$8),MAX(IF(Supuestos!$G$8="",-1E+99,Supuestos!$G$8),IF(Supuestos!$C$8="Normal",NORMINV(E698,Supuestos!$D$8,Supuestos!$E$8),IF(Supuestos!$C$8="Triangular",IF(E698&lt;(Supuestos!$E$8-Supuestos!$D$8)/(Supuestos!$F$8-Supuestos!$D$8),Supuestos!$D$8+SQRT(E698*(Supuestos!$F$8-Supuestos!$D$8)*(Supuestos!$E$8-Supuestos!$D$8)),Supuestos!$F$8-SQRT((1-E698)*(Supuestos!$F$8-Supuestos!$D$8)*(Supuestos!$F$8-Supuestos!$E$8))),IF(Supuestos!$C$8="Uniforme",Supuestos!$D$8+E698*(Supuestos!$E$8-Supuestos!$D$8),IF(Supuestos!$C$8="Lognormal",LOGINV(E698,LN(Supuestos!$D$8)-LN(1+Supuestos!$E$8^2/Supuestos!$D$8^2)/2,SQRT(LN(1+Supuestos!$E$8^2/Supuestos!$D$8^2))),Supuestos!$D$8))))))</f>
        <v/>
      </c>
      <c r="M698" s="32">
        <f>MIN(IF(Supuestos!$H$9="",1E+99,Supuestos!$H$9),MAX(IF(Supuestos!$G$9="",-1E+99,Supuestos!$G$9),IF(Supuestos!$C$9="Normal",NORMINV(F698,Supuestos!$D$9,Supuestos!$E$9),IF(Supuestos!$C$9="Triangular",IF(F698&lt;(Supuestos!$E$9-Supuestos!$D$9)/(Supuestos!$F$9-Supuestos!$D$9),Supuestos!$D$9+SQRT(F698*(Supuestos!$F$9-Supuestos!$D$9)*(Supuestos!$E$9-Supuestos!$D$9)),Supuestos!$F$9-SQRT((1-F698)*(Supuestos!$F$9-Supuestos!$D$9)*(Supuestos!$F$9-Supuestos!$E$9))),IF(Supuestos!$C$9="Uniforme",Supuestos!$D$9+F698*(Supuestos!$E$9-Supuestos!$D$9),IF(Supuestos!$C$9="Lognormal",LOGINV(F698,LN(Supuestos!$D$9)-LN(1+Supuestos!$E$9^2/Supuestos!$D$9^2)/2,SQRT(LN(1+Supuestos!$E$9^2/Supuestos!$D$9^2))),Supuestos!$D$9))))))</f>
        <v/>
      </c>
      <c r="N698" s="32">
        <f>MIN(IF(Supuestos!$H$10="",1E+99,Supuestos!$H$10),MAX(IF(Supuestos!$G$10="",-1E+99,Supuestos!$G$10),IF(Supuestos!$C$10="Normal",NORMINV(G698,Supuestos!$D$10,Supuestos!$E$10),IF(Supuestos!$C$10="Triangular",IF(G698&lt;(Supuestos!$E$10-Supuestos!$D$10)/(Supuestos!$F$10-Supuestos!$D$10),Supuestos!$D$10+SQRT(G698*(Supuestos!$F$10-Supuestos!$D$10)*(Supuestos!$E$10-Supuestos!$D$10)),Supuestos!$F$10-SQRT((1-G698)*(Supuestos!$F$10-Supuestos!$D$10)*(Supuestos!$F$10-Supuestos!$E$10))),IF(Supuestos!$C$10="Uniforme",Supuestos!$D$10+G698*(Supuestos!$E$10-Supuestos!$D$10),IF(Supuestos!$C$10="Lognormal",LOGINV(G698,LN(Supuestos!$D$10)-LN(1+Supuestos!$E$10^2/Supuestos!$D$10^2)/2,SQRT(LN(1+Supuestos!$E$10^2/Supuestos!$D$10^2))),Supuestos!$D$10))))))</f>
        <v/>
      </c>
      <c r="O698" s="31">
        <f>MIN(IF(Supuestos!$H$11="",1E+99,Supuestos!$H$11),MAX(IF(Supuestos!$G$11="",-1E+99,Supuestos!$G$11),IF(Supuestos!$C$11="Normal",NORMINV(H698,Supuestos!$D$11,Supuestos!$E$11),IF(Supuestos!$C$11="Triangular",IF(H698&lt;(Supuestos!$E$11-Supuestos!$D$11)/(Supuestos!$F$11-Supuestos!$D$11),Supuestos!$D$11+SQRT(H698*(Supuestos!$F$11-Supuestos!$D$11)*(Supuestos!$E$11-Supuestos!$D$11)),Supuestos!$F$11-SQRT((1-H698)*(Supuestos!$F$11-Supuestos!$D$11)*(Supuestos!$F$11-Supuestos!$E$11))),IF(Supuestos!$C$11="Uniforme",Supuestos!$D$11+H698*(Supuestos!$E$11-Supuestos!$D$11),IF(Supuestos!$C$11="Lognormal",LOGINV(H698,LN(Supuestos!$D$11)-LN(1+Supuestos!$E$11^2/Supuestos!$D$11^2)/2,SQRT(LN(1+Supuestos!$E$11^2/Supuestos!$D$11^2))),Supuestos!$D$11))))))</f>
        <v/>
      </c>
      <c r="P698" s="33">
        <f>-I698</f>
        <v/>
      </c>
      <c r="Q698" s="33">
        <f>$J698*(1+$K698)^(1-1)*(1-$L698)*(1-$M698)</f>
        <v/>
      </c>
      <c r="R698" s="33">
        <f>$J698*(1+$K698)^(2-1)*(1-$L698)*(1-$M698)</f>
        <v/>
      </c>
      <c r="S698" s="33">
        <f>$J698*(1+$K698)^(3-1)*(1-$L698)*(1-$M698)</f>
        <v/>
      </c>
      <c r="T698" s="33">
        <f>$J698*(1+$K698)^(4-1)*(1-$L698)*(1-$M698)</f>
        <v/>
      </c>
      <c r="U698" s="33">
        <f>$J698*(1+$K698)^(5-1)*(1-$L698)*(1-$M698)+$O698</f>
        <v/>
      </c>
      <c r="V698" s="33">
        <f>P698+NPV($N698,Q698:U698)</f>
        <v/>
      </c>
      <c r="W698" s="32">
        <f>IFERROR(IRR(P698:U698,0.1),"")</f>
        <v/>
      </c>
    </row>
    <row r="699">
      <c r="A699" s="14" t="n">
        <v>695</v>
      </c>
      <c r="B699" s="30">
        <f>RAND()*(1-2E-6)+1E-6</f>
        <v/>
      </c>
      <c r="C699" s="30">
        <f>RAND()*(1-2E-6)+1E-6</f>
        <v/>
      </c>
      <c r="D699" s="30">
        <f>RAND()*(1-2E-6)+1E-6</f>
        <v/>
      </c>
      <c r="E699" s="30">
        <f>RAND()*(1-2E-6)+1E-6</f>
        <v/>
      </c>
      <c r="F699" s="30">
        <f>RAND()*(1-2E-6)+1E-6</f>
        <v/>
      </c>
      <c r="G699" s="30">
        <f>RAND()*(1-2E-6)+1E-6</f>
        <v/>
      </c>
      <c r="H699" s="30">
        <f>RAND()*(1-2E-6)+1E-6</f>
        <v/>
      </c>
      <c r="I699" s="31">
        <f>MIN(IF(Supuestos!$H$5="",1E+99,Supuestos!$H$5),MAX(IF(Supuestos!$G$5="",-1E+99,Supuestos!$G$5),IF(Supuestos!$C$5="Normal",NORMINV(B699,Supuestos!$D$5,Supuestos!$E$5),IF(Supuestos!$C$5="Triangular",IF(B699&lt;(Supuestos!$E$5-Supuestos!$D$5)/(Supuestos!$F$5-Supuestos!$D$5),Supuestos!$D$5+SQRT(B699*(Supuestos!$F$5-Supuestos!$D$5)*(Supuestos!$E$5-Supuestos!$D$5)),Supuestos!$F$5-SQRT((1-B699)*(Supuestos!$F$5-Supuestos!$D$5)*(Supuestos!$F$5-Supuestos!$E$5))),IF(Supuestos!$C$5="Uniforme",Supuestos!$D$5+B699*(Supuestos!$E$5-Supuestos!$D$5),IF(Supuestos!$C$5="Lognormal",LOGINV(B699,LN(Supuestos!$D$5)-LN(1+Supuestos!$E$5^2/Supuestos!$D$5^2)/2,SQRT(LN(1+Supuestos!$E$5^2/Supuestos!$D$5^2))),Supuestos!$D$5))))))</f>
        <v/>
      </c>
      <c r="J699" s="31">
        <f>MIN(IF(Supuestos!$H$6="",1E+99,Supuestos!$H$6),MAX(IF(Supuestos!$G$6="",-1E+99,Supuestos!$G$6),IF(Supuestos!$C$6="Normal",NORMINV(C699,Supuestos!$D$6,Supuestos!$E$6),IF(Supuestos!$C$6="Triangular",IF(C699&lt;(Supuestos!$E$6-Supuestos!$D$6)/(Supuestos!$F$6-Supuestos!$D$6),Supuestos!$D$6+SQRT(C699*(Supuestos!$F$6-Supuestos!$D$6)*(Supuestos!$E$6-Supuestos!$D$6)),Supuestos!$F$6-SQRT((1-C699)*(Supuestos!$F$6-Supuestos!$D$6)*(Supuestos!$F$6-Supuestos!$E$6))),IF(Supuestos!$C$6="Uniforme",Supuestos!$D$6+C699*(Supuestos!$E$6-Supuestos!$D$6),IF(Supuestos!$C$6="Lognormal",LOGINV(C699,LN(Supuestos!$D$6)-LN(1+Supuestos!$E$6^2/Supuestos!$D$6^2)/2,SQRT(LN(1+Supuestos!$E$6^2/Supuestos!$D$6^2))),Supuestos!$D$6))))))</f>
        <v/>
      </c>
      <c r="K699" s="32">
        <f>MIN(IF(Supuestos!$H$7="",1E+99,Supuestos!$H$7),MAX(IF(Supuestos!$G$7="",-1E+99,Supuestos!$G$7),IF(Supuestos!$C$7="Normal",NORMINV(D699,Supuestos!$D$7,Supuestos!$E$7),IF(Supuestos!$C$7="Triangular",IF(D699&lt;(Supuestos!$E$7-Supuestos!$D$7)/(Supuestos!$F$7-Supuestos!$D$7),Supuestos!$D$7+SQRT(D699*(Supuestos!$F$7-Supuestos!$D$7)*(Supuestos!$E$7-Supuestos!$D$7)),Supuestos!$F$7-SQRT((1-D699)*(Supuestos!$F$7-Supuestos!$D$7)*(Supuestos!$F$7-Supuestos!$E$7))),IF(Supuestos!$C$7="Uniforme",Supuestos!$D$7+D699*(Supuestos!$E$7-Supuestos!$D$7),IF(Supuestos!$C$7="Lognormal",LOGINV(D699,LN(Supuestos!$D$7)-LN(1+Supuestos!$E$7^2/Supuestos!$D$7^2)/2,SQRT(LN(1+Supuestos!$E$7^2/Supuestos!$D$7^2))),Supuestos!$D$7))))))</f>
        <v/>
      </c>
      <c r="L699" s="32">
        <f>MIN(IF(Supuestos!$H$8="",1E+99,Supuestos!$H$8),MAX(IF(Supuestos!$G$8="",-1E+99,Supuestos!$G$8),IF(Supuestos!$C$8="Normal",NORMINV(E699,Supuestos!$D$8,Supuestos!$E$8),IF(Supuestos!$C$8="Triangular",IF(E699&lt;(Supuestos!$E$8-Supuestos!$D$8)/(Supuestos!$F$8-Supuestos!$D$8),Supuestos!$D$8+SQRT(E699*(Supuestos!$F$8-Supuestos!$D$8)*(Supuestos!$E$8-Supuestos!$D$8)),Supuestos!$F$8-SQRT((1-E699)*(Supuestos!$F$8-Supuestos!$D$8)*(Supuestos!$F$8-Supuestos!$E$8))),IF(Supuestos!$C$8="Uniforme",Supuestos!$D$8+E699*(Supuestos!$E$8-Supuestos!$D$8),IF(Supuestos!$C$8="Lognormal",LOGINV(E699,LN(Supuestos!$D$8)-LN(1+Supuestos!$E$8^2/Supuestos!$D$8^2)/2,SQRT(LN(1+Supuestos!$E$8^2/Supuestos!$D$8^2))),Supuestos!$D$8))))))</f>
        <v/>
      </c>
      <c r="M699" s="32">
        <f>MIN(IF(Supuestos!$H$9="",1E+99,Supuestos!$H$9),MAX(IF(Supuestos!$G$9="",-1E+99,Supuestos!$G$9),IF(Supuestos!$C$9="Normal",NORMINV(F699,Supuestos!$D$9,Supuestos!$E$9),IF(Supuestos!$C$9="Triangular",IF(F699&lt;(Supuestos!$E$9-Supuestos!$D$9)/(Supuestos!$F$9-Supuestos!$D$9),Supuestos!$D$9+SQRT(F699*(Supuestos!$F$9-Supuestos!$D$9)*(Supuestos!$E$9-Supuestos!$D$9)),Supuestos!$F$9-SQRT((1-F699)*(Supuestos!$F$9-Supuestos!$D$9)*(Supuestos!$F$9-Supuestos!$E$9))),IF(Supuestos!$C$9="Uniforme",Supuestos!$D$9+F699*(Supuestos!$E$9-Supuestos!$D$9),IF(Supuestos!$C$9="Lognormal",LOGINV(F699,LN(Supuestos!$D$9)-LN(1+Supuestos!$E$9^2/Supuestos!$D$9^2)/2,SQRT(LN(1+Supuestos!$E$9^2/Supuestos!$D$9^2))),Supuestos!$D$9))))))</f>
        <v/>
      </c>
      <c r="N699" s="32">
        <f>MIN(IF(Supuestos!$H$10="",1E+99,Supuestos!$H$10),MAX(IF(Supuestos!$G$10="",-1E+99,Supuestos!$G$10),IF(Supuestos!$C$10="Normal",NORMINV(G699,Supuestos!$D$10,Supuestos!$E$10),IF(Supuestos!$C$10="Triangular",IF(G699&lt;(Supuestos!$E$10-Supuestos!$D$10)/(Supuestos!$F$10-Supuestos!$D$10),Supuestos!$D$10+SQRT(G699*(Supuestos!$F$10-Supuestos!$D$10)*(Supuestos!$E$10-Supuestos!$D$10)),Supuestos!$F$10-SQRT((1-G699)*(Supuestos!$F$10-Supuestos!$D$10)*(Supuestos!$F$10-Supuestos!$E$10))),IF(Supuestos!$C$10="Uniforme",Supuestos!$D$10+G699*(Supuestos!$E$10-Supuestos!$D$10),IF(Supuestos!$C$10="Lognormal",LOGINV(G699,LN(Supuestos!$D$10)-LN(1+Supuestos!$E$10^2/Supuestos!$D$10^2)/2,SQRT(LN(1+Supuestos!$E$10^2/Supuestos!$D$10^2))),Supuestos!$D$10))))))</f>
        <v/>
      </c>
      <c r="O699" s="31">
        <f>MIN(IF(Supuestos!$H$11="",1E+99,Supuestos!$H$11),MAX(IF(Supuestos!$G$11="",-1E+99,Supuestos!$G$11),IF(Supuestos!$C$11="Normal",NORMINV(H699,Supuestos!$D$11,Supuestos!$E$11),IF(Supuestos!$C$11="Triangular",IF(H699&lt;(Supuestos!$E$11-Supuestos!$D$11)/(Supuestos!$F$11-Supuestos!$D$11),Supuestos!$D$11+SQRT(H699*(Supuestos!$F$11-Supuestos!$D$11)*(Supuestos!$E$11-Supuestos!$D$11)),Supuestos!$F$11-SQRT((1-H699)*(Supuestos!$F$11-Supuestos!$D$11)*(Supuestos!$F$11-Supuestos!$E$11))),IF(Supuestos!$C$11="Uniforme",Supuestos!$D$11+H699*(Supuestos!$E$11-Supuestos!$D$11),IF(Supuestos!$C$11="Lognormal",LOGINV(H699,LN(Supuestos!$D$11)-LN(1+Supuestos!$E$11^2/Supuestos!$D$11^2)/2,SQRT(LN(1+Supuestos!$E$11^2/Supuestos!$D$11^2))),Supuestos!$D$11))))))</f>
        <v/>
      </c>
      <c r="P699" s="33">
        <f>-I699</f>
        <v/>
      </c>
      <c r="Q699" s="33">
        <f>$J699*(1+$K699)^(1-1)*(1-$L699)*(1-$M699)</f>
        <v/>
      </c>
      <c r="R699" s="33">
        <f>$J699*(1+$K699)^(2-1)*(1-$L699)*(1-$M699)</f>
        <v/>
      </c>
      <c r="S699" s="33">
        <f>$J699*(1+$K699)^(3-1)*(1-$L699)*(1-$M699)</f>
        <v/>
      </c>
      <c r="T699" s="33">
        <f>$J699*(1+$K699)^(4-1)*(1-$L699)*(1-$M699)</f>
        <v/>
      </c>
      <c r="U699" s="33">
        <f>$J699*(1+$K699)^(5-1)*(1-$L699)*(1-$M699)+$O699</f>
        <v/>
      </c>
      <c r="V699" s="33">
        <f>P699+NPV($N699,Q699:U699)</f>
        <v/>
      </c>
      <c r="W699" s="32">
        <f>IFERROR(IRR(P699:U699,0.1),"")</f>
        <v/>
      </c>
    </row>
    <row r="700">
      <c r="A700" s="14" t="n">
        <v>696</v>
      </c>
      <c r="B700" s="30">
        <f>RAND()*(1-2E-6)+1E-6</f>
        <v/>
      </c>
      <c r="C700" s="30">
        <f>RAND()*(1-2E-6)+1E-6</f>
        <v/>
      </c>
      <c r="D700" s="30">
        <f>RAND()*(1-2E-6)+1E-6</f>
        <v/>
      </c>
      <c r="E700" s="30">
        <f>RAND()*(1-2E-6)+1E-6</f>
        <v/>
      </c>
      <c r="F700" s="30">
        <f>RAND()*(1-2E-6)+1E-6</f>
        <v/>
      </c>
      <c r="G700" s="30">
        <f>RAND()*(1-2E-6)+1E-6</f>
        <v/>
      </c>
      <c r="H700" s="30">
        <f>RAND()*(1-2E-6)+1E-6</f>
        <v/>
      </c>
      <c r="I700" s="31">
        <f>MIN(IF(Supuestos!$H$5="",1E+99,Supuestos!$H$5),MAX(IF(Supuestos!$G$5="",-1E+99,Supuestos!$G$5),IF(Supuestos!$C$5="Normal",NORMINV(B700,Supuestos!$D$5,Supuestos!$E$5),IF(Supuestos!$C$5="Triangular",IF(B700&lt;(Supuestos!$E$5-Supuestos!$D$5)/(Supuestos!$F$5-Supuestos!$D$5),Supuestos!$D$5+SQRT(B700*(Supuestos!$F$5-Supuestos!$D$5)*(Supuestos!$E$5-Supuestos!$D$5)),Supuestos!$F$5-SQRT((1-B700)*(Supuestos!$F$5-Supuestos!$D$5)*(Supuestos!$F$5-Supuestos!$E$5))),IF(Supuestos!$C$5="Uniforme",Supuestos!$D$5+B700*(Supuestos!$E$5-Supuestos!$D$5),IF(Supuestos!$C$5="Lognormal",LOGINV(B700,LN(Supuestos!$D$5)-LN(1+Supuestos!$E$5^2/Supuestos!$D$5^2)/2,SQRT(LN(1+Supuestos!$E$5^2/Supuestos!$D$5^2))),Supuestos!$D$5))))))</f>
        <v/>
      </c>
      <c r="J700" s="31">
        <f>MIN(IF(Supuestos!$H$6="",1E+99,Supuestos!$H$6),MAX(IF(Supuestos!$G$6="",-1E+99,Supuestos!$G$6),IF(Supuestos!$C$6="Normal",NORMINV(C700,Supuestos!$D$6,Supuestos!$E$6),IF(Supuestos!$C$6="Triangular",IF(C700&lt;(Supuestos!$E$6-Supuestos!$D$6)/(Supuestos!$F$6-Supuestos!$D$6),Supuestos!$D$6+SQRT(C700*(Supuestos!$F$6-Supuestos!$D$6)*(Supuestos!$E$6-Supuestos!$D$6)),Supuestos!$F$6-SQRT((1-C700)*(Supuestos!$F$6-Supuestos!$D$6)*(Supuestos!$F$6-Supuestos!$E$6))),IF(Supuestos!$C$6="Uniforme",Supuestos!$D$6+C700*(Supuestos!$E$6-Supuestos!$D$6),IF(Supuestos!$C$6="Lognormal",LOGINV(C700,LN(Supuestos!$D$6)-LN(1+Supuestos!$E$6^2/Supuestos!$D$6^2)/2,SQRT(LN(1+Supuestos!$E$6^2/Supuestos!$D$6^2))),Supuestos!$D$6))))))</f>
        <v/>
      </c>
      <c r="K700" s="32">
        <f>MIN(IF(Supuestos!$H$7="",1E+99,Supuestos!$H$7),MAX(IF(Supuestos!$G$7="",-1E+99,Supuestos!$G$7),IF(Supuestos!$C$7="Normal",NORMINV(D700,Supuestos!$D$7,Supuestos!$E$7),IF(Supuestos!$C$7="Triangular",IF(D700&lt;(Supuestos!$E$7-Supuestos!$D$7)/(Supuestos!$F$7-Supuestos!$D$7),Supuestos!$D$7+SQRT(D700*(Supuestos!$F$7-Supuestos!$D$7)*(Supuestos!$E$7-Supuestos!$D$7)),Supuestos!$F$7-SQRT((1-D700)*(Supuestos!$F$7-Supuestos!$D$7)*(Supuestos!$F$7-Supuestos!$E$7))),IF(Supuestos!$C$7="Uniforme",Supuestos!$D$7+D700*(Supuestos!$E$7-Supuestos!$D$7),IF(Supuestos!$C$7="Lognormal",LOGINV(D700,LN(Supuestos!$D$7)-LN(1+Supuestos!$E$7^2/Supuestos!$D$7^2)/2,SQRT(LN(1+Supuestos!$E$7^2/Supuestos!$D$7^2))),Supuestos!$D$7))))))</f>
        <v/>
      </c>
      <c r="L700" s="32">
        <f>MIN(IF(Supuestos!$H$8="",1E+99,Supuestos!$H$8),MAX(IF(Supuestos!$G$8="",-1E+99,Supuestos!$G$8),IF(Supuestos!$C$8="Normal",NORMINV(E700,Supuestos!$D$8,Supuestos!$E$8),IF(Supuestos!$C$8="Triangular",IF(E700&lt;(Supuestos!$E$8-Supuestos!$D$8)/(Supuestos!$F$8-Supuestos!$D$8),Supuestos!$D$8+SQRT(E700*(Supuestos!$F$8-Supuestos!$D$8)*(Supuestos!$E$8-Supuestos!$D$8)),Supuestos!$F$8-SQRT((1-E700)*(Supuestos!$F$8-Supuestos!$D$8)*(Supuestos!$F$8-Supuestos!$E$8))),IF(Supuestos!$C$8="Uniforme",Supuestos!$D$8+E700*(Supuestos!$E$8-Supuestos!$D$8),IF(Supuestos!$C$8="Lognormal",LOGINV(E700,LN(Supuestos!$D$8)-LN(1+Supuestos!$E$8^2/Supuestos!$D$8^2)/2,SQRT(LN(1+Supuestos!$E$8^2/Supuestos!$D$8^2))),Supuestos!$D$8))))))</f>
        <v/>
      </c>
      <c r="M700" s="32">
        <f>MIN(IF(Supuestos!$H$9="",1E+99,Supuestos!$H$9),MAX(IF(Supuestos!$G$9="",-1E+99,Supuestos!$G$9),IF(Supuestos!$C$9="Normal",NORMINV(F700,Supuestos!$D$9,Supuestos!$E$9),IF(Supuestos!$C$9="Triangular",IF(F700&lt;(Supuestos!$E$9-Supuestos!$D$9)/(Supuestos!$F$9-Supuestos!$D$9),Supuestos!$D$9+SQRT(F700*(Supuestos!$F$9-Supuestos!$D$9)*(Supuestos!$E$9-Supuestos!$D$9)),Supuestos!$F$9-SQRT((1-F700)*(Supuestos!$F$9-Supuestos!$D$9)*(Supuestos!$F$9-Supuestos!$E$9))),IF(Supuestos!$C$9="Uniforme",Supuestos!$D$9+F700*(Supuestos!$E$9-Supuestos!$D$9),IF(Supuestos!$C$9="Lognormal",LOGINV(F700,LN(Supuestos!$D$9)-LN(1+Supuestos!$E$9^2/Supuestos!$D$9^2)/2,SQRT(LN(1+Supuestos!$E$9^2/Supuestos!$D$9^2))),Supuestos!$D$9))))))</f>
        <v/>
      </c>
      <c r="N700" s="32">
        <f>MIN(IF(Supuestos!$H$10="",1E+99,Supuestos!$H$10),MAX(IF(Supuestos!$G$10="",-1E+99,Supuestos!$G$10),IF(Supuestos!$C$10="Normal",NORMINV(G700,Supuestos!$D$10,Supuestos!$E$10),IF(Supuestos!$C$10="Triangular",IF(G700&lt;(Supuestos!$E$10-Supuestos!$D$10)/(Supuestos!$F$10-Supuestos!$D$10),Supuestos!$D$10+SQRT(G700*(Supuestos!$F$10-Supuestos!$D$10)*(Supuestos!$E$10-Supuestos!$D$10)),Supuestos!$F$10-SQRT((1-G700)*(Supuestos!$F$10-Supuestos!$D$10)*(Supuestos!$F$10-Supuestos!$E$10))),IF(Supuestos!$C$10="Uniforme",Supuestos!$D$10+G700*(Supuestos!$E$10-Supuestos!$D$10),IF(Supuestos!$C$10="Lognormal",LOGINV(G700,LN(Supuestos!$D$10)-LN(1+Supuestos!$E$10^2/Supuestos!$D$10^2)/2,SQRT(LN(1+Supuestos!$E$10^2/Supuestos!$D$10^2))),Supuestos!$D$10))))))</f>
        <v/>
      </c>
      <c r="O700" s="31">
        <f>MIN(IF(Supuestos!$H$11="",1E+99,Supuestos!$H$11),MAX(IF(Supuestos!$G$11="",-1E+99,Supuestos!$G$11),IF(Supuestos!$C$11="Normal",NORMINV(H700,Supuestos!$D$11,Supuestos!$E$11),IF(Supuestos!$C$11="Triangular",IF(H700&lt;(Supuestos!$E$11-Supuestos!$D$11)/(Supuestos!$F$11-Supuestos!$D$11),Supuestos!$D$11+SQRT(H700*(Supuestos!$F$11-Supuestos!$D$11)*(Supuestos!$E$11-Supuestos!$D$11)),Supuestos!$F$11-SQRT((1-H700)*(Supuestos!$F$11-Supuestos!$D$11)*(Supuestos!$F$11-Supuestos!$E$11))),IF(Supuestos!$C$11="Uniforme",Supuestos!$D$11+H700*(Supuestos!$E$11-Supuestos!$D$11),IF(Supuestos!$C$11="Lognormal",LOGINV(H700,LN(Supuestos!$D$11)-LN(1+Supuestos!$E$11^2/Supuestos!$D$11^2)/2,SQRT(LN(1+Supuestos!$E$11^2/Supuestos!$D$11^2))),Supuestos!$D$11))))))</f>
        <v/>
      </c>
      <c r="P700" s="33">
        <f>-I700</f>
        <v/>
      </c>
      <c r="Q700" s="33">
        <f>$J700*(1+$K700)^(1-1)*(1-$L700)*(1-$M700)</f>
        <v/>
      </c>
      <c r="R700" s="33">
        <f>$J700*(1+$K700)^(2-1)*(1-$L700)*(1-$M700)</f>
        <v/>
      </c>
      <c r="S700" s="33">
        <f>$J700*(1+$K700)^(3-1)*(1-$L700)*(1-$M700)</f>
        <v/>
      </c>
      <c r="T700" s="33">
        <f>$J700*(1+$K700)^(4-1)*(1-$L700)*(1-$M700)</f>
        <v/>
      </c>
      <c r="U700" s="33">
        <f>$J700*(1+$K700)^(5-1)*(1-$L700)*(1-$M700)+$O700</f>
        <v/>
      </c>
      <c r="V700" s="33">
        <f>P700+NPV($N700,Q700:U700)</f>
        <v/>
      </c>
      <c r="W700" s="32">
        <f>IFERROR(IRR(P700:U700,0.1),"")</f>
        <v/>
      </c>
    </row>
    <row r="701">
      <c r="A701" s="14" t="n">
        <v>697</v>
      </c>
      <c r="B701" s="30">
        <f>RAND()*(1-2E-6)+1E-6</f>
        <v/>
      </c>
      <c r="C701" s="30">
        <f>RAND()*(1-2E-6)+1E-6</f>
        <v/>
      </c>
      <c r="D701" s="30">
        <f>RAND()*(1-2E-6)+1E-6</f>
        <v/>
      </c>
      <c r="E701" s="30">
        <f>RAND()*(1-2E-6)+1E-6</f>
        <v/>
      </c>
      <c r="F701" s="30">
        <f>RAND()*(1-2E-6)+1E-6</f>
        <v/>
      </c>
      <c r="G701" s="30">
        <f>RAND()*(1-2E-6)+1E-6</f>
        <v/>
      </c>
      <c r="H701" s="30">
        <f>RAND()*(1-2E-6)+1E-6</f>
        <v/>
      </c>
      <c r="I701" s="31">
        <f>MIN(IF(Supuestos!$H$5="",1E+99,Supuestos!$H$5),MAX(IF(Supuestos!$G$5="",-1E+99,Supuestos!$G$5),IF(Supuestos!$C$5="Normal",NORMINV(B701,Supuestos!$D$5,Supuestos!$E$5),IF(Supuestos!$C$5="Triangular",IF(B701&lt;(Supuestos!$E$5-Supuestos!$D$5)/(Supuestos!$F$5-Supuestos!$D$5),Supuestos!$D$5+SQRT(B701*(Supuestos!$F$5-Supuestos!$D$5)*(Supuestos!$E$5-Supuestos!$D$5)),Supuestos!$F$5-SQRT((1-B701)*(Supuestos!$F$5-Supuestos!$D$5)*(Supuestos!$F$5-Supuestos!$E$5))),IF(Supuestos!$C$5="Uniforme",Supuestos!$D$5+B701*(Supuestos!$E$5-Supuestos!$D$5),IF(Supuestos!$C$5="Lognormal",LOGINV(B701,LN(Supuestos!$D$5)-LN(1+Supuestos!$E$5^2/Supuestos!$D$5^2)/2,SQRT(LN(1+Supuestos!$E$5^2/Supuestos!$D$5^2))),Supuestos!$D$5))))))</f>
        <v/>
      </c>
      <c r="J701" s="31">
        <f>MIN(IF(Supuestos!$H$6="",1E+99,Supuestos!$H$6),MAX(IF(Supuestos!$G$6="",-1E+99,Supuestos!$G$6),IF(Supuestos!$C$6="Normal",NORMINV(C701,Supuestos!$D$6,Supuestos!$E$6),IF(Supuestos!$C$6="Triangular",IF(C701&lt;(Supuestos!$E$6-Supuestos!$D$6)/(Supuestos!$F$6-Supuestos!$D$6),Supuestos!$D$6+SQRT(C701*(Supuestos!$F$6-Supuestos!$D$6)*(Supuestos!$E$6-Supuestos!$D$6)),Supuestos!$F$6-SQRT((1-C701)*(Supuestos!$F$6-Supuestos!$D$6)*(Supuestos!$F$6-Supuestos!$E$6))),IF(Supuestos!$C$6="Uniforme",Supuestos!$D$6+C701*(Supuestos!$E$6-Supuestos!$D$6),IF(Supuestos!$C$6="Lognormal",LOGINV(C701,LN(Supuestos!$D$6)-LN(1+Supuestos!$E$6^2/Supuestos!$D$6^2)/2,SQRT(LN(1+Supuestos!$E$6^2/Supuestos!$D$6^2))),Supuestos!$D$6))))))</f>
        <v/>
      </c>
      <c r="K701" s="32">
        <f>MIN(IF(Supuestos!$H$7="",1E+99,Supuestos!$H$7),MAX(IF(Supuestos!$G$7="",-1E+99,Supuestos!$G$7),IF(Supuestos!$C$7="Normal",NORMINV(D701,Supuestos!$D$7,Supuestos!$E$7),IF(Supuestos!$C$7="Triangular",IF(D701&lt;(Supuestos!$E$7-Supuestos!$D$7)/(Supuestos!$F$7-Supuestos!$D$7),Supuestos!$D$7+SQRT(D701*(Supuestos!$F$7-Supuestos!$D$7)*(Supuestos!$E$7-Supuestos!$D$7)),Supuestos!$F$7-SQRT((1-D701)*(Supuestos!$F$7-Supuestos!$D$7)*(Supuestos!$F$7-Supuestos!$E$7))),IF(Supuestos!$C$7="Uniforme",Supuestos!$D$7+D701*(Supuestos!$E$7-Supuestos!$D$7),IF(Supuestos!$C$7="Lognormal",LOGINV(D701,LN(Supuestos!$D$7)-LN(1+Supuestos!$E$7^2/Supuestos!$D$7^2)/2,SQRT(LN(1+Supuestos!$E$7^2/Supuestos!$D$7^2))),Supuestos!$D$7))))))</f>
        <v/>
      </c>
      <c r="L701" s="32">
        <f>MIN(IF(Supuestos!$H$8="",1E+99,Supuestos!$H$8),MAX(IF(Supuestos!$G$8="",-1E+99,Supuestos!$G$8),IF(Supuestos!$C$8="Normal",NORMINV(E701,Supuestos!$D$8,Supuestos!$E$8),IF(Supuestos!$C$8="Triangular",IF(E701&lt;(Supuestos!$E$8-Supuestos!$D$8)/(Supuestos!$F$8-Supuestos!$D$8),Supuestos!$D$8+SQRT(E701*(Supuestos!$F$8-Supuestos!$D$8)*(Supuestos!$E$8-Supuestos!$D$8)),Supuestos!$F$8-SQRT((1-E701)*(Supuestos!$F$8-Supuestos!$D$8)*(Supuestos!$F$8-Supuestos!$E$8))),IF(Supuestos!$C$8="Uniforme",Supuestos!$D$8+E701*(Supuestos!$E$8-Supuestos!$D$8),IF(Supuestos!$C$8="Lognormal",LOGINV(E701,LN(Supuestos!$D$8)-LN(1+Supuestos!$E$8^2/Supuestos!$D$8^2)/2,SQRT(LN(1+Supuestos!$E$8^2/Supuestos!$D$8^2))),Supuestos!$D$8))))))</f>
        <v/>
      </c>
      <c r="M701" s="32">
        <f>MIN(IF(Supuestos!$H$9="",1E+99,Supuestos!$H$9),MAX(IF(Supuestos!$G$9="",-1E+99,Supuestos!$G$9),IF(Supuestos!$C$9="Normal",NORMINV(F701,Supuestos!$D$9,Supuestos!$E$9),IF(Supuestos!$C$9="Triangular",IF(F701&lt;(Supuestos!$E$9-Supuestos!$D$9)/(Supuestos!$F$9-Supuestos!$D$9),Supuestos!$D$9+SQRT(F701*(Supuestos!$F$9-Supuestos!$D$9)*(Supuestos!$E$9-Supuestos!$D$9)),Supuestos!$F$9-SQRT((1-F701)*(Supuestos!$F$9-Supuestos!$D$9)*(Supuestos!$F$9-Supuestos!$E$9))),IF(Supuestos!$C$9="Uniforme",Supuestos!$D$9+F701*(Supuestos!$E$9-Supuestos!$D$9),IF(Supuestos!$C$9="Lognormal",LOGINV(F701,LN(Supuestos!$D$9)-LN(1+Supuestos!$E$9^2/Supuestos!$D$9^2)/2,SQRT(LN(1+Supuestos!$E$9^2/Supuestos!$D$9^2))),Supuestos!$D$9))))))</f>
        <v/>
      </c>
      <c r="N701" s="32">
        <f>MIN(IF(Supuestos!$H$10="",1E+99,Supuestos!$H$10),MAX(IF(Supuestos!$G$10="",-1E+99,Supuestos!$G$10),IF(Supuestos!$C$10="Normal",NORMINV(G701,Supuestos!$D$10,Supuestos!$E$10),IF(Supuestos!$C$10="Triangular",IF(G701&lt;(Supuestos!$E$10-Supuestos!$D$10)/(Supuestos!$F$10-Supuestos!$D$10),Supuestos!$D$10+SQRT(G701*(Supuestos!$F$10-Supuestos!$D$10)*(Supuestos!$E$10-Supuestos!$D$10)),Supuestos!$F$10-SQRT((1-G701)*(Supuestos!$F$10-Supuestos!$D$10)*(Supuestos!$F$10-Supuestos!$E$10))),IF(Supuestos!$C$10="Uniforme",Supuestos!$D$10+G701*(Supuestos!$E$10-Supuestos!$D$10),IF(Supuestos!$C$10="Lognormal",LOGINV(G701,LN(Supuestos!$D$10)-LN(1+Supuestos!$E$10^2/Supuestos!$D$10^2)/2,SQRT(LN(1+Supuestos!$E$10^2/Supuestos!$D$10^2))),Supuestos!$D$10))))))</f>
        <v/>
      </c>
      <c r="O701" s="31">
        <f>MIN(IF(Supuestos!$H$11="",1E+99,Supuestos!$H$11),MAX(IF(Supuestos!$G$11="",-1E+99,Supuestos!$G$11),IF(Supuestos!$C$11="Normal",NORMINV(H701,Supuestos!$D$11,Supuestos!$E$11),IF(Supuestos!$C$11="Triangular",IF(H701&lt;(Supuestos!$E$11-Supuestos!$D$11)/(Supuestos!$F$11-Supuestos!$D$11),Supuestos!$D$11+SQRT(H701*(Supuestos!$F$11-Supuestos!$D$11)*(Supuestos!$E$11-Supuestos!$D$11)),Supuestos!$F$11-SQRT((1-H701)*(Supuestos!$F$11-Supuestos!$D$11)*(Supuestos!$F$11-Supuestos!$E$11))),IF(Supuestos!$C$11="Uniforme",Supuestos!$D$11+H701*(Supuestos!$E$11-Supuestos!$D$11),IF(Supuestos!$C$11="Lognormal",LOGINV(H701,LN(Supuestos!$D$11)-LN(1+Supuestos!$E$11^2/Supuestos!$D$11^2)/2,SQRT(LN(1+Supuestos!$E$11^2/Supuestos!$D$11^2))),Supuestos!$D$11))))))</f>
        <v/>
      </c>
      <c r="P701" s="33">
        <f>-I701</f>
        <v/>
      </c>
      <c r="Q701" s="33">
        <f>$J701*(1+$K701)^(1-1)*(1-$L701)*(1-$M701)</f>
        <v/>
      </c>
      <c r="R701" s="33">
        <f>$J701*(1+$K701)^(2-1)*(1-$L701)*(1-$M701)</f>
        <v/>
      </c>
      <c r="S701" s="33">
        <f>$J701*(1+$K701)^(3-1)*(1-$L701)*(1-$M701)</f>
        <v/>
      </c>
      <c r="T701" s="33">
        <f>$J701*(1+$K701)^(4-1)*(1-$L701)*(1-$M701)</f>
        <v/>
      </c>
      <c r="U701" s="33">
        <f>$J701*(1+$K701)^(5-1)*(1-$L701)*(1-$M701)+$O701</f>
        <v/>
      </c>
      <c r="V701" s="33">
        <f>P701+NPV($N701,Q701:U701)</f>
        <v/>
      </c>
      <c r="W701" s="32">
        <f>IFERROR(IRR(P701:U701,0.1),"")</f>
        <v/>
      </c>
    </row>
    <row r="702">
      <c r="A702" s="14" t="n">
        <v>698</v>
      </c>
      <c r="B702" s="30">
        <f>RAND()*(1-2E-6)+1E-6</f>
        <v/>
      </c>
      <c r="C702" s="30">
        <f>RAND()*(1-2E-6)+1E-6</f>
        <v/>
      </c>
      <c r="D702" s="30">
        <f>RAND()*(1-2E-6)+1E-6</f>
        <v/>
      </c>
      <c r="E702" s="30">
        <f>RAND()*(1-2E-6)+1E-6</f>
        <v/>
      </c>
      <c r="F702" s="30">
        <f>RAND()*(1-2E-6)+1E-6</f>
        <v/>
      </c>
      <c r="G702" s="30">
        <f>RAND()*(1-2E-6)+1E-6</f>
        <v/>
      </c>
      <c r="H702" s="30">
        <f>RAND()*(1-2E-6)+1E-6</f>
        <v/>
      </c>
      <c r="I702" s="31">
        <f>MIN(IF(Supuestos!$H$5="",1E+99,Supuestos!$H$5),MAX(IF(Supuestos!$G$5="",-1E+99,Supuestos!$G$5),IF(Supuestos!$C$5="Normal",NORMINV(B702,Supuestos!$D$5,Supuestos!$E$5),IF(Supuestos!$C$5="Triangular",IF(B702&lt;(Supuestos!$E$5-Supuestos!$D$5)/(Supuestos!$F$5-Supuestos!$D$5),Supuestos!$D$5+SQRT(B702*(Supuestos!$F$5-Supuestos!$D$5)*(Supuestos!$E$5-Supuestos!$D$5)),Supuestos!$F$5-SQRT((1-B702)*(Supuestos!$F$5-Supuestos!$D$5)*(Supuestos!$F$5-Supuestos!$E$5))),IF(Supuestos!$C$5="Uniforme",Supuestos!$D$5+B702*(Supuestos!$E$5-Supuestos!$D$5),IF(Supuestos!$C$5="Lognormal",LOGINV(B702,LN(Supuestos!$D$5)-LN(1+Supuestos!$E$5^2/Supuestos!$D$5^2)/2,SQRT(LN(1+Supuestos!$E$5^2/Supuestos!$D$5^2))),Supuestos!$D$5))))))</f>
        <v/>
      </c>
      <c r="J702" s="31">
        <f>MIN(IF(Supuestos!$H$6="",1E+99,Supuestos!$H$6),MAX(IF(Supuestos!$G$6="",-1E+99,Supuestos!$G$6),IF(Supuestos!$C$6="Normal",NORMINV(C702,Supuestos!$D$6,Supuestos!$E$6),IF(Supuestos!$C$6="Triangular",IF(C702&lt;(Supuestos!$E$6-Supuestos!$D$6)/(Supuestos!$F$6-Supuestos!$D$6),Supuestos!$D$6+SQRT(C702*(Supuestos!$F$6-Supuestos!$D$6)*(Supuestos!$E$6-Supuestos!$D$6)),Supuestos!$F$6-SQRT((1-C702)*(Supuestos!$F$6-Supuestos!$D$6)*(Supuestos!$F$6-Supuestos!$E$6))),IF(Supuestos!$C$6="Uniforme",Supuestos!$D$6+C702*(Supuestos!$E$6-Supuestos!$D$6),IF(Supuestos!$C$6="Lognormal",LOGINV(C702,LN(Supuestos!$D$6)-LN(1+Supuestos!$E$6^2/Supuestos!$D$6^2)/2,SQRT(LN(1+Supuestos!$E$6^2/Supuestos!$D$6^2))),Supuestos!$D$6))))))</f>
        <v/>
      </c>
      <c r="K702" s="32">
        <f>MIN(IF(Supuestos!$H$7="",1E+99,Supuestos!$H$7),MAX(IF(Supuestos!$G$7="",-1E+99,Supuestos!$G$7),IF(Supuestos!$C$7="Normal",NORMINV(D702,Supuestos!$D$7,Supuestos!$E$7),IF(Supuestos!$C$7="Triangular",IF(D702&lt;(Supuestos!$E$7-Supuestos!$D$7)/(Supuestos!$F$7-Supuestos!$D$7),Supuestos!$D$7+SQRT(D702*(Supuestos!$F$7-Supuestos!$D$7)*(Supuestos!$E$7-Supuestos!$D$7)),Supuestos!$F$7-SQRT((1-D702)*(Supuestos!$F$7-Supuestos!$D$7)*(Supuestos!$F$7-Supuestos!$E$7))),IF(Supuestos!$C$7="Uniforme",Supuestos!$D$7+D702*(Supuestos!$E$7-Supuestos!$D$7),IF(Supuestos!$C$7="Lognormal",LOGINV(D702,LN(Supuestos!$D$7)-LN(1+Supuestos!$E$7^2/Supuestos!$D$7^2)/2,SQRT(LN(1+Supuestos!$E$7^2/Supuestos!$D$7^2))),Supuestos!$D$7))))))</f>
        <v/>
      </c>
      <c r="L702" s="32">
        <f>MIN(IF(Supuestos!$H$8="",1E+99,Supuestos!$H$8),MAX(IF(Supuestos!$G$8="",-1E+99,Supuestos!$G$8),IF(Supuestos!$C$8="Normal",NORMINV(E702,Supuestos!$D$8,Supuestos!$E$8),IF(Supuestos!$C$8="Triangular",IF(E702&lt;(Supuestos!$E$8-Supuestos!$D$8)/(Supuestos!$F$8-Supuestos!$D$8),Supuestos!$D$8+SQRT(E702*(Supuestos!$F$8-Supuestos!$D$8)*(Supuestos!$E$8-Supuestos!$D$8)),Supuestos!$F$8-SQRT((1-E702)*(Supuestos!$F$8-Supuestos!$D$8)*(Supuestos!$F$8-Supuestos!$E$8))),IF(Supuestos!$C$8="Uniforme",Supuestos!$D$8+E702*(Supuestos!$E$8-Supuestos!$D$8),IF(Supuestos!$C$8="Lognormal",LOGINV(E702,LN(Supuestos!$D$8)-LN(1+Supuestos!$E$8^2/Supuestos!$D$8^2)/2,SQRT(LN(1+Supuestos!$E$8^2/Supuestos!$D$8^2))),Supuestos!$D$8))))))</f>
        <v/>
      </c>
      <c r="M702" s="32">
        <f>MIN(IF(Supuestos!$H$9="",1E+99,Supuestos!$H$9),MAX(IF(Supuestos!$G$9="",-1E+99,Supuestos!$G$9),IF(Supuestos!$C$9="Normal",NORMINV(F702,Supuestos!$D$9,Supuestos!$E$9),IF(Supuestos!$C$9="Triangular",IF(F702&lt;(Supuestos!$E$9-Supuestos!$D$9)/(Supuestos!$F$9-Supuestos!$D$9),Supuestos!$D$9+SQRT(F702*(Supuestos!$F$9-Supuestos!$D$9)*(Supuestos!$E$9-Supuestos!$D$9)),Supuestos!$F$9-SQRT((1-F702)*(Supuestos!$F$9-Supuestos!$D$9)*(Supuestos!$F$9-Supuestos!$E$9))),IF(Supuestos!$C$9="Uniforme",Supuestos!$D$9+F702*(Supuestos!$E$9-Supuestos!$D$9),IF(Supuestos!$C$9="Lognormal",LOGINV(F702,LN(Supuestos!$D$9)-LN(1+Supuestos!$E$9^2/Supuestos!$D$9^2)/2,SQRT(LN(1+Supuestos!$E$9^2/Supuestos!$D$9^2))),Supuestos!$D$9))))))</f>
        <v/>
      </c>
      <c r="N702" s="32">
        <f>MIN(IF(Supuestos!$H$10="",1E+99,Supuestos!$H$10),MAX(IF(Supuestos!$G$10="",-1E+99,Supuestos!$G$10),IF(Supuestos!$C$10="Normal",NORMINV(G702,Supuestos!$D$10,Supuestos!$E$10),IF(Supuestos!$C$10="Triangular",IF(G702&lt;(Supuestos!$E$10-Supuestos!$D$10)/(Supuestos!$F$10-Supuestos!$D$10),Supuestos!$D$10+SQRT(G702*(Supuestos!$F$10-Supuestos!$D$10)*(Supuestos!$E$10-Supuestos!$D$10)),Supuestos!$F$10-SQRT((1-G702)*(Supuestos!$F$10-Supuestos!$D$10)*(Supuestos!$F$10-Supuestos!$E$10))),IF(Supuestos!$C$10="Uniforme",Supuestos!$D$10+G702*(Supuestos!$E$10-Supuestos!$D$10),IF(Supuestos!$C$10="Lognormal",LOGINV(G702,LN(Supuestos!$D$10)-LN(1+Supuestos!$E$10^2/Supuestos!$D$10^2)/2,SQRT(LN(1+Supuestos!$E$10^2/Supuestos!$D$10^2))),Supuestos!$D$10))))))</f>
        <v/>
      </c>
      <c r="O702" s="31">
        <f>MIN(IF(Supuestos!$H$11="",1E+99,Supuestos!$H$11),MAX(IF(Supuestos!$G$11="",-1E+99,Supuestos!$G$11),IF(Supuestos!$C$11="Normal",NORMINV(H702,Supuestos!$D$11,Supuestos!$E$11),IF(Supuestos!$C$11="Triangular",IF(H702&lt;(Supuestos!$E$11-Supuestos!$D$11)/(Supuestos!$F$11-Supuestos!$D$11),Supuestos!$D$11+SQRT(H702*(Supuestos!$F$11-Supuestos!$D$11)*(Supuestos!$E$11-Supuestos!$D$11)),Supuestos!$F$11-SQRT((1-H702)*(Supuestos!$F$11-Supuestos!$D$11)*(Supuestos!$F$11-Supuestos!$E$11))),IF(Supuestos!$C$11="Uniforme",Supuestos!$D$11+H702*(Supuestos!$E$11-Supuestos!$D$11),IF(Supuestos!$C$11="Lognormal",LOGINV(H702,LN(Supuestos!$D$11)-LN(1+Supuestos!$E$11^2/Supuestos!$D$11^2)/2,SQRT(LN(1+Supuestos!$E$11^2/Supuestos!$D$11^2))),Supuestos!$D$11))))))</f>
        <v/>
      </c>
      <c r="P702" s="33">
        <f>-I702</f>
        <v/>
      </c>
      <c r="Q702" s="33">
        <f>$J702*(1+$K702)^(1-1)*(1-$L702)*(1-$M702)</f>
        <v/>
      </c>
      <c r="R702" s="33">
        <f>$J702*(1+$K702)^(2-1)*(1-$L702)*(1-$M702)</f>
        <v/>
      </c>
      <c r="S702" s="33">
        <f>$J702*(1+$K702)^(3-1)*(1-$L702)*(1-$M702)</f>
        <v/>
      </c>
      <c r="T702" s="33">
        <f>$J702*(1+$K702)^(4-1)*(1-$L702)*(1-$M702)</f>
        <v/>
      </c>
      <c r="U702" s="33">
        <f>$J702*(1+$K702)^(5-1)*(1-$L702)*(1-$M702)+$O702</f>
        <v/>
      </c>
      <c r="V702" s="33">
        <f>P702+NPV($N702,Q702:U702)</f>
        <v/>
      </c>
      <c r="W702" s="32">
        <f>IFERROR(IRR(P702:U702,0.1),"")</f>
        <v/>
      </c>
    </row>
    <row r="703">
      <c r="A703" s="14" t="n">
        <v>699</v>
      </c>
      <c r="B703" s="30">
        <f>RAND()*(1-2E-6)+1E-6</f>
        <v/>
      </c>
      <c r="C703" s="30">
        <f>RAND()*(1-2E-6)+1E-6</f>
        <v/>
      </c>
      <c r="D703" s="30">
        <f>RAND()*(1-2E-6)+1E-6</f>
        <v/>
      </c>
      <c r="E703" s="30">
        <f>RAND()*(1-2E-6)+1E-6</f>
        <v/>
      </c>
      <c r="F703" s="30">
        <f>RAND()*(1-2E-6)+1E-6</f>
        <v/>
      </c>
      <c r="G703" s="30">
        <f>RAND()*(1-2E-6)+1E-6</f>
        <v/>
      </c>
      <c r="H703" s="30">
        <f>RAND()*(1-2E-6)+1E-6</f>
        <v/>
      </c>
      <c r="I703" s="31">
        <f>MIN(IF(Supuestos!$H$5="",1E+99,Supuestos!$H$5),MAX(IF(Supuestos!$G$5="",-1E+99,Supuestos!$G$5),IF(Supuestos!$C$5="Normal",NORMINV(B703,Supuestos!$D$5,Supuestos!$E$5),IF(Supuestos!$C$5="Triangular",IF(B703&lt;(Supuestos!$E$5-Supuestos!$D$5)/(Supuestos!$F$5-Supuestos!$D$5),Supuestos!$D$5+SQRT(B703*(Supuestos!$F$5-Supuestos!$D$5)*(Supuestos!$E$5-Supuestos!$D$5)),Supuestos!$F$5-SQRT((1-B703)*(Supuestos!$F$5-Supuestos!$D$5)*(Supuestos!$F$5-Supuestos!$E$5))),IF(Supuestos!$C$5="Uniforme",Supuestos!$D$5+B703*(Supuestos!$E$5-Supuestos!$D$5),IF(Supuestos!$C$5="Lognormal",LOGINV(B703,LN(Supuestos!$D$5)-LN(1+Supuestos!$E$5^2/Supuestos!$D$5^2)/2,SQRT(LN(1+Supuestos!$E$5^2/Supuestos!$D$5^2))),Supuestos!$D$5))))))</f>
        <v/>
      </c>
      <c r="J703" s="31">
        <f>MIN(IF(Supuestos!$H$6="",1E+99,Supuestos!$H$6),MAX(IF(Supuestos!$G$6="",-1E+99,Supuestos!$G$6),IF(Supuestos!$C$6="Normal",NORMINV(C703,Supuestos!$D$6,Supuestos!$E$6),IF(Supuestos!$C$6="Triangular",IF(C703&lt;(Supuestos!$E$6-Supuestos!$D$6)/(Supuestos!$F$6-Supuestos!$D$6),Supuestos!$D$6+SQRT(C703*(Supuestos!$F$6-Supuestos!$D$6)*(Supuestos!$E$6-Supuestos!$D$6)),Supuestos!$F$6-SQRT((1-C703)*(Supuestos!$F$6-Supuestos!$D$6)*(Supuestos!$F$6-Supuestos!$E$6))),IF(Supuestos!$C$6="Uniforme",Supuestos!$D$6+C703*(Supuestos!$E$6-Supuestos!$D$6),IF(Supuestos!$C$6="Lognormal",LOGINV(C703,LN(Supuestos!$D$6)-LN(1+Supuestos!$E$6^2/Supuestos!$D$6^2)/2,SQRT(LN(1+Supuestos!$E$6^2/Supuestos!$D$6^2))),Supuestos!$D$6))))))</f>
        <v/>
      </c>
      <c r="K703" s="32">
        <f>MIN(IF(Supuestos!$H$7="",1E+99,Supuestos!$H$7),MAX(IF(Supuestos!$G$7="",-1E+99,Supuestos!$G$7),IF(Supuestos!$C$7="Normal",NORMINV(D703,Supuestos!$D$7,Supuestos!$E$7),IF(Supuestos!$C$7="Triangular",IF(D703&lt;(Supuestos!$E$7-Supuestos!$D$7)/(Supuestos!$F$7-Supuestos!$D$7),Supuestos!$D$7+SQRT(D703*(Supuestos!$F$7-Supuestos!$D$7)*(Supuestos!$E$7-Supuestos!$D$7)),Supuestos!$F$7-SQRT((1-D703)*(Supuestos!$F$7-Supuestos!$D$7)*(Supuestos!$F$7-Supuestos!$E$7))),IF(Supuestos!$C$7="Uniforme",Supuestos!$D$7+D703*(Supuestos!$E$7-Supuestos!$D$7),IF(Supuestos!$C$7="Lognormal",LOGINV(D703,LN(Supuestos!$D$7)-LN(1+Supuestos!$E$7^2/Supuestos!$D$7^2)/2,SQRT(LN(1+Supuestos!$E$7^2/Supuestos!$D$7^2))),Supuestos!$D$7))))))</f>
        <v/>
      </c>
      <c r="L703" s="32">
        <f>MIN(IF(Supuestos!$H$8="",1E+99,Supuestos!$H$8),MAX(IF(Supuestos!$G$8="",-1E+99,Supuestos!$G$8),IF(Supuestos!$C$8="Normal",NORMINV(E703,Supuestos!$D$8,Supuestos!$E$8),IF(Supuestos!$C$8="Triangular",IF(E703&lt;(Supuestos!$E$8-Supuestos!$D$8)/(Supuestos!$F$8-Supuestos!$D$8),Supuestos!$D$8+SQRT(E703*(Supuestos!$F$8-Supuestos!$D$8)*(Supuestos!$E$8-Supuestos!$D$8)),Supuestos!$F$8-SQRT((1-E703)*(Supuestos!$F$8-Supuestos!$D$8)*(Supuestos!$F$8-Supuestos!$E$8))),IF(Supuestos!$C$8="Uniforme",Supuestos!$D$8+E703*(Supuestos!$E$8-Supuestos!$D$8),IF(Supuestos!$C$8="Lognormal",LOGINV(E703,LN(Supuestos!$D$8)-LN(1+Supuestos!$E$8^2/Supuestos!$D$8^2)/2,SQRT(LN(1+Supuestos!$E$8^2/Supuestos!$D$8^2))),Supuestos!$D$8))))))</f>
        <v/>
      </c>
      <c r="M703" s="32">
        <f>MIN(IF(Supuestos!$H$9="",1E+99,Supuestos!$H$9),MAX(IF(Supuestos!$G$9="",-1E+99,Supuestos!$G$9),IF(Supuestos!$C$9="Normal",NORMINV(F703,Supuestos!$D$9,Supuestos!$E$9),IF(Supuestos!$C$9="Triangular",IF(F703&lt;(Supuestos!$E$9-Supuestos!$D$9)/(Supuestos!$F$9-Supuestos!$D$9),Supuestos!$D$9+SQRT(F703*(Supuestos!$F$9-Supuestos!$D$9)*(Supuestos!$E$9-Supuestos!$D$9)),Supuestos!$F$9-SQRT((1-F703)*(Supuestos!$F$9-Supuestos!$D$9)*(Supuestos!$F$9-Supuestos!$E$9))),IF(Supuestos!$C$9="Uniforme",Supuestos!$D$9+F703*(Supuestos!$E$9-Supuestos!$D$9),IF(Supuestos!$C$9="Lognormal",LOGINV(F703,LN(Supuestos!$D$9)-LN(1+Supuestos!$E$9^2/Supuestos!$D$9^2)/2,SQRT(LN(1+Supuestos!$E$9^2/Supuestos!$D$9^2))),Supuestos!$D$9))))))</f>
        <v/>
      </c>
      <c r="N703" s="32">
        <f>MIN(IF(Supuestos!$H$10="",1E+99,Supuestos!$H$10),MAX(IF(Supuestos!$G$10="",-1E+99,Supuestos!$G$10),IF(Supuestos!$C$10="Normal",NORMINV(G703,Supuestos!$D$10,Supuestos!$E$10),IF(Supuestos!$C$10="Triangular",IF(G703&lt;(Supuestos!$E$10-Supuestos!$D$10)/(Supuestos!$F$10-Supuestos!$D$10),Supuestos!$D$10+SQRT(G703*(Supuestos!$F$10-Supuestos!$D$10)*(Supuestos!$E$10-Supuestos!$D$10)),Supuestos!$F$10-SQRT((1-G703)*(Supuestos!$F$10-Supuestos!$D$10)*(Supuestos!$F$10-Supuestos!$E$10))),IF(Supuestos!$C$10="Uniforme",Supuestos!$D$10+G703*(Supuestos!$E$10-Supuestos!$D$10),IF(Supuestos!$C$10="Lognormal",LOGINV(G703,LN(Supuestos!$D$10)-LN(1+Supuestos!$E$10^2/Supuestos!$D$10^2)/2,SQRT(LN(1+Supuestos!$E$10^2/Supuestos!$D$10^2))),Supuestos!$D$10))))))</f>
        <v/>
      </c>
      <c r="O703" s="31">
        <f>MIN(IF(Supuestos!$H$11="",1E+99,Supuestos!$H$11),MAX(IF(Supuestos!$G$11="",-1E+99,Supuestos!$G$11),IF(Supuestos!$C$11="Normal",NORMINV(H703,Supuestos!$D$11,Supuestos!$E$11),IF(Supuestos!$C$11="Triangular",IF(H703&lt;(Supuestos!$E$11-Supuestos!$D$11)/(Supuestos!$F$11-Supuestos!$D$11),Supuestos!$D$11+SQRT(H703*(Supuestos!$F$11-Supuestos!$D$11)*(Supuestos!$E$11-Supuestos!$D$11)),Supuestos!$F$11-SQRT((1-H703)*(Supuestos!$F$11-Supuestos!$D$11)*(Supuestos!$F$11-Supuestos!$E$11))),IF(Supuestos!$C$11="Uniforme",Supuestos!$D$11+H703*(Supuestos!$E$11-Supuestos!$D$11),IF(Supuestos!$C$11="Lognormal",LOGINV(H703,LN(Supuestos!$D$11)-LN(1+Supuestos!$E$11^2/Supuestos!$D$11^2)/2,SQRT(LN(1+Supuestos!$E$11^2/Supuestos!$D$11^2))),Supuestos!$D$11))))))</f>
        <v/>
      </c>
      <c r="P703" s="33">
        <f>-I703</f>
        <v/>
      </c>
      <c r="Q703" s="33">
        <f>$J703*(1+$K703)^(1-1)*(1-$L703)*(1-$M703)</f>
        <v/>
      </c>
      <c r="R703" s="33">
        <f>$J703*(1+$K703)^(2-1)*(1-$L703)*(1-$M703)</f>
        <v/>
      </c>
      <c r="S703" s="33">
        <f>$J703*(1+$K703)^(3-1)*(1-$L703)*(1-$M703)</f>
        <v/>
      </c>
      <c r="T703" s="33">
        <f>$J703*(1+$K703)^(4-1)*(1-$L703)*(1-$M703)</f>
        <v/>
      </c>
      <c r="U703" s="33">
        <f>$J703*(1+$K703)^(5-1)*(1-$L703)*(1-$M703)+$O703</f>
        <v/>
      </c>
      <c r="V703" s="33">
        <f>P703+NPV($N703,Q703:U703)</f>
        <v/>
      </c>
      <c r="W703" s="32">
        <f>IFERROR(IRR(P703:U703,0.1),"")</f>
        <v/>
      </c>
    </row>
    <row r="704">
      <c r="A704" s="14" t="n">
        <v>700</v>
      </c>
      <c r="B704" s="30">
        <f>RAND()*(1-2E-6)+1E-6</f>
        <v/>
      </c>
      <c r="C704" s="30">
        <f>RAND()*(1-2E-6)+1E-6</f>
        <v/>
      </c>
      <c r="D704" s="30">
        <f>RAND()*(1-2E-6)+1E-6</f>
        <v/>
      </c>
      <c r="E704" s="30">
        <f>RAND()*(1-2E-6)+1E-6</f>
        <v/>
      </c>
      <c r="F704" s="30">
        <f>RAND()*(1-2E-6)+1E-6</f>
        <v/>
      </c>
      <c r="G704" s="30">
        <f>RAND()*(1-2E-6)+1E-6</f>
        <v/>
      </c>
      <c r="H704" s="30">
        <f>RAND()*(1-2E-6)+1E-6</f>
        <v/>
      </c>
      <c r="I704" s="31">
        <f>MIN(IF(Supuestos!$H$5="",1E+99,Supuestos!$H$5),MAX(IF(Supuestos!$G$5="",-1E+99,Supuestos!$G$5),IF(Supuestos!$C$5="Normal",NORMINV(B704,Supuestos!$D$5,Supuestos!$E$5),IF(Supuestos!$C$5="Triangular",IF(B704&lt;(Supuestos!$E$5-Supuestos!$D$5)/(Supuestos!$F$5-Supuestos!$D$5),Supuestos!$D$5+SQRT(B704*(Supuestos!$F$5-Supuestos!$D$5)*(Supuestos!$E$5-Supuestos!$D$5)),Supuestos!$F$5-SQRT((1-B704)*(Supuestos!$F$5-Supuestos!$D$5)*(Supuestos!$F$5-Supuestos!$E$5))),IF(Supuestos!$C$5="Uniforme",Supuestos!$D$5+B704*(Supuestos!$E$5-Supuestos!$D$5),IF(Supuestos!$C$5="Lognormal",LOGINV(B704,LN(Supuestos!$D$5)-LN(1+Supuestos!$E$5^2/Supuestos!$D$5^2)/2,SQRT(LN(1+Supuestos!$E$5^2/Supuestos!$D$5^2))),Supuestos!$D$5))))))</f>
        <v/>
      </c>
      <c r="J704" s="31">
        <f>MIN(IF(Supuestos!$H$6="",1E+99,Supuestos!$H$6),MAX(IF(Supuestos!$G$6="",-1E+99,Supuestos!$G$6),IF(Supuestos!$C$6="Normal",NORMINV(C704,Supuestos!$D$6,Supuestos!$E$6),IF(Supuestos!$C$6="Triangular",IF(C704&lt;(Supuestos!$E$6-Supuestos!$D$6)/(Supuestos!$F$6-Supuestos!$D$6),Supuestos!$D$6+SQRT(C704*(Supuestos!$F$6-Supuestos!$D$6)*(Supuestos!$E$6-Supuestos!$D$6)),Supuestos!$F$6-SQRT((1-C704)*(Supuestos!$F$6-Supuestos!$D$6)*(Supuestos!$F$6-Supuestos!$E$6))),IF(Supuestos!$C$6="Uniforme",Supuestos!$D$6+C704*(Supuestos!$E$6-Supuestos!$D$6),IF(Supuestos!$C$6="Lognormal",LOGINV(C704,LN(Supuestos!$D$6)-LN(1+Supuestos!$E$6^2/Supuestos!$D$6^2)/2,SQRT(LN(1+Supuestos!$E$6^2/Supuestos!$D$6^2))),Supuestos!$D$6))))))</f>
        <v/>
      </c>
      <c r="K704" s="32">
        <f>MIN(IF(Supuestos!$H$7="",1E+99,Supuestos!$H$7),MAX(IF(Supuestos!$G$7="",-1E+99,Supuestos!$G$7),IF(Supuestos!$C$7="Normal",NORMINV(D704,Supuestos!$D$7,Supuestos!$E$7),IF(Supuestos!$C$7="Triangular",IF(D704&lt;(Supuestos!$E$7-Supuestos!$D$7)/(Supuestos!$F$7-Supuestos!$D$7),Supuestos!$D$7+SQRT(D704*(Supuestos!$F$7-Supuestos!$D$7)*(Supuestos!$E$7-Supuestos!$D$7)),Supuestos!$F$7-SQRT((1-D704)*(Supuestos!$F$7-Supuestos!$D$7)*(Supuestos!$F$7-Supuestos!$E$7))),IF(Supuestos!$C$7="Uniforme",Supuestos!$D$7+D704*(Supuestos!$E$7-Supuestos!$D$7),IF(Supuestos!$C$7="Lognormal",LOGINV(D704,LN(Supuestos!$D$7)-LN(1+Supuestos!$E$7^2/Supuestos!$D$7^2)/2,SQRT(LN(1+Supuestos!$E$7^2/Supuestos!$D$7^2))),Supuestos!$D$7))))))</f>
        <v/>
      </c>
      <c r="L704" s="32">
        <f>MIN(IF(Supuestos!$H$8="",1E+99,Supuestos!$H$8),MAX(IF(Supuestos!$G$8="",-1E+99,Supuestos!$G$8),IF(Supuestos!$C$8="Normal",NORMINV(E704,Supuestos!$D$8,Supuestos!$E$8),IF(Supuestos!$C$8="Triangular",IF(E704&lt;(Supuestos!$E$8-Supuestos!$D$8)/(Supuestos!$F$8-Supuestos!$D$8),Supuestos!$D$8+SQRT(E704*(Supuestos!$F$8-Supuestos!$D$8)*(Supuestos!$E$8-Supuestos!$D$8)),Supuestos!$F$8-SQRT((1-E704)*(Supuestos!$F$8-Supuestos!$D$8)*(Supuestos!$F$8-Supuestos!$E$8))),IF(Supuestos!$C$8="Uniforme",Supuestos!$D$8+E704*(Supuestos!$E$8-Supuestos!$D$8),IF(Supuestos!$C$8="Lognormal",LOGINV(E704,LN(Supuestos!$D$8)-LN(1+Supuestos!$E$8^2/Supuestos!$D$8^2)/2,SQRT(LN(1+Supuestos!$E$8^2/Supuestos!$D$8^2))),Supuestos!$D$8))))))</f>
        <v/>
      </c>
      <c r="M704" s="32">
        <f>MIN(IF(Supuestos!$H$9="",1E+99,Supuestos!$H$9),MAX(IF(Supuestos!$G$9="",-1E+99,Supuestos!$G$9),IF(Supuestos!$C$9="Normal",NORMINV(F704,Supuestos!$D$9,Supuestos!$E$9),IF(Supuestos!$C$9="Triangular",IF(F704&lt;(Supuestos!$E$9-Supuestos!$D$9)/(Supuestos!$F$9-Supuestos!$D$9),Supuestos!$D$9+SQRT(F704*(Supuestos!$F$9-Supuestos!$D$9)*(Supuestos!$E$9-Supuestos!$D$9)),Supuestos!$F$9-SQRT((1-F704)*(Supuestos!$F$9-Supuestos!$D$9)*(Supuestos!$F$9-Supuestos!$E$9))),IF(Supuestos!$C$9="Uniforme",Supuestos!$D$9+F704*(Supuestos!$E$9-Supuestos!$D$9),IF(Supuestos!$C$9="Lognormal",LOGINV(F704,LN(Supuestos!$D$9)-LN(1+Supuestos!$E$9^2/Supuestos!$D$9^2)/2,SQRT(LN(1+Supuestos!$E$9^2/Supuestos!$D$9^2))),Supuestos!$D$9))))))</f>
        <v/>
      </c>
      <c r="N704" s="32">
        <f>MIN(IF(Supuestos!$H$10="",1E+99,Supuestos!$H$10),MAX(IF(Supuestos!$G$10="",-1E+99,Supuestos!$G$10),IF(Supuestos!$C$10="Normal",NORMINV(G704,Supuestos!$D$10,Supuestos!$E$10),IF(Supuestos!$C$10="Triangular",IF(G704&lt;(Supuestos!$E$10-Supuestos!$D$10)/(Supuestos!$F$10-Supuestos!$D$10),Supuestos!$D$10+SQRT(G704*(Supuestos!$F$10-Supuestos!$D$10)*(Supuestos!$E$10-Supuestos!$D$10)),Supuestos!$F$10-SQRT((1-G704)*(Supuestos!$F$10-Supuestos!$D$10)*(Supuestos!$F$10-Supuestos!$E$10))),IF(Supuestos!$C$10="Uniforme",Supuestos!$D$10+G704*(Supuestos!$E$10-Supuestos!$D$10),IF(Supuestos!$C$10="Lognormal",LOGINV(G704,LN(Supuestos!$D$10)-LN(1+Supuestos!$E$10^2/Supuestos!$D$10^2)/2,SQRT(LN(1+Supuestos!$E$10^2/Supuestos!$D$10^2))),Supuestos!$D$10))))))</f>
        <v/>
      </c>
      <c r="O704" s="31">
        <f>MIN(IF(Supuestos!$H$11="",1E+99,Supuestos!$H$11),MAX(IF(Supuestos!$G$11="",-1E+99,Supuestos!$G$11),IF(Supuestos!$C$11="Normal",NORMINV(H704,Supuestos!$D$11,Supuestos!$E$11),IF(Supuestos!$C$11="Triangular",IF(H704&lt;(Supuestos!$E$11-Supuestos!$D$11)/(Supuestos!$F$11-Supuestos!$D$11),Supuestos!$D$11+SQRT(H704*(Supuestos!$F$11-Supuestos!$D$11)*(Supuestos!$E$11-Supuestos!$D$11)),Supuestos!$F$11-SQRT((1-H704)*(Supuestos!$F$11-Supuestos!$D$11)*(Supuestos!$F$11-Supuestos!$E$11))),IF(Supuestos!$C$11="Uniforme",Supuestos!$D$11+H704*(Supuestos!$E$11-Supuestos!$D$11),IF(Supuestos!$C$11="Lognormal",LOGINV(H704,LN(Supuestos!$D$11)-LN(1+Supuestos!$E$11^2/Supuestos!$D$11^2)/2,SQRT(LN(1+Supuestos!$E$11^2/Supuestos!$D$11^2))),Supuestos!$D$11))))))</f>
        <v/>
      </c>
      <c r="P704" s="33">
        <f>-I704</f>
        <v/>
      </c>
      <c r="Q704" s="33">
        <f>$J704*(1+$K704)^(1-1)*(1-$L704)*(1-$M704)</f>
        <v/>
      </c>
      <c r="R704" s="33">
        <f>$J704*(1+$K704)^(2-1)*(1-$L704)*(1-$M704)</f>
        <v/>
      </c>
      <c r="S704" s="33">
        <f>$J704*(1+$K704)^(3-1)*(1-$L704)*(1-$M704)</f>
        <v/>
      </c>
      <c r="T704" s="33">
        <f>$J704*(1+$K704)^(4-1)*(1-$L704)*(1-$M704)</f>
        <v/>
      </c>
      <c r="U704" s="33">
        <f>$J704*(1+$K704)^(5-1)*(1-$L704)*(1-$M704)+$O704</f>
        <v/>
      </c>
      <c r="V704" s="33">
        <f>P704+NPV($N704,Q704:U704)</f>
        <v/>
      </c>
      <c r="W704" s="32">
        <f>IFERROR(IRR(P704:U704,0.1),"")</f>
        <v/>
      </c>
    </row>
    <row r="705">
      <c r="A705" s="14" t="n">
        <v>701</v>
      </c>
      <c r="B705" s="30">
        <f>RAND()*(1-2E-6)+1E-6</f>
        <v/>
      </c>
      <c r="C705" s="30">
        <f>RAND()*(1-2E-6)+1E-6</f>
        <v/>
      </c>
      <c r="D705" s="30">
        <f>RAND()*(1-2E-6)+1E-6</f>
        <v/>
      </c>
      <c r="E705" s="30">
        <f>RAND()*(1-2E-6)+1E-6</f>
        <v/>
      </c>
      <c r="F705" s="30">
        <f>RAND()*(1-2E-6)+1E-6</f>
        <v/>
      </c>
      <c r="G705" s="30">
        <f>RAND()*(1-2E-6)+1E-6</f>
        <v/>
      </c>
      <c r="H705" s="30">
        <f>RAND()*(1-2E-6)+1E-6</f>
        <v/>
      </c>
      <c r="I705" s="31">
        <f>MIN(IF(Supuestos!$H$5="",1E+99,Supuestos!$H$5),MAX(IF(Supuestos!$G$5="",-1E+99,Supuestos!$G$5),IF(Supuestos!$C$5="Normal",NORMINV(B705,Supuestos!$D$5,Supuestos!$E$5),IF(Supuestos!$C$5="Triangular",IF(B705&lt;(Supuestos!$E$5-Supuestos!$D$5)/(Supuestos!$F$5-Supuestos!$D$5),Supuestos!$D$5+SQRT(B705*(Supuestos!$F$5-Supuestos!$D$5)*(Supuestos!$E$5-Supuestos!$D$5)),Supuestos!$F$5-SQRT((1-B705)*(Supuestos!$F$5-Supuestos!$D$5)*(Supuestos!$F$5-Supuestos!$E$5))),IF(Supuestos!$C$5="Uniforme",Supuestos!$D$5+B705*(Supuestos!$E$5-Supuestos!$D$5),IF(Supuestos!$C$5="Lognormal",LOGINV(B705,LN(Supuestos!$D$5)-LN(1+Supuestos!$E$5^2/Supuestos!$D$5^2)/2,SQRT(LN(1+Supuestos!$E$5^2/Supuestos!$D$5^2))),Supuestos!$D$5))))))</f>
        <v/>
      </c>
      <c r="J705" s="31">
        <f>MIN(IF(Supuestos!$H$6="",1E+99,Supuestos!$H$6),MAX(IF(Supuestos!$G$6="",-1E+99,Supuestos!$G$6),IF(Supuestos!$C$6="Normal",NORMINV(C705,Supuestos!$D$6,Supuestos!$E$6),IF(Supuestos!$C$6="Triangular",IF(C705&lt;(Supuestos!$E$6-Supuestos!$D$6)/(Supuestos!$F$6-Supuestos!$D$6),Supuestos!$D$6+SQRT(C705*(Supuestos!$F$6-Supuestos!$D$6)*(Supuestos!$E$6-Supuestos!$D$6)),Supuestos!$F$6-SQRT((1-C705)*(Supuestos!$F$6-Supuestos!$D$6)*(Supuestos!$F$6-Supuestos!$E$6))),IF(Supuestos!$C$6="Uniforme",Supuestos!$D$6+C705*(Supuestos!$E$6-Supuestos!$D$6),IF(Supuestos!$C$6="Lognormal",LOGINV(C705,LN(Supuestos!$D$6)-LN(1+Supuestos!$E$6^2/Supuestos!$D$6^2)/2,SQRT(LN(1+Supuestos!$E$6^2/Supuestos!$D$6^2))),Supuestos!$D$6))))))</f>
        <v/>
      </c>
      <c r="K705" s="32">
        <f>MIN(IF(Supuestos!$H$7="",1E+99,Supuestos!$H$7),MAX(IF(Supuestos!$G$7="",-1E+99,Supuestos!$G$7),IF(Supuestos!$C$7="Normal",NORMINV(D705,Supuestos!$D$7,Supuestos!$E$7),IF(Supuestos!$C$7="Triangular",IF(D705&lt;(Supuestos!$E$7-Supuestos!$D$7)/(Supuestos!$F$7-Supuestos!$D$7),Supuestos!$D$7+SQRT(D705*(Supuestos!$F$7-Supuestos!$D$7)*(Supuestos!$E$7-Supuestos!$D$7)),Supuestos!$F$7-SQRT((1-D705)*(Supuestos!$F$7-Supuestos!$D$7)*(Supuestos!$F$7-Supuestos!$E$7))),IF(Supuestos!$C$7="Uniforme",Supuestos!$D$7+D705*(Supuestos!$E$7-Supuestos!$D$7),IF(Supuestos!$C$7="Lognormal",LOGINV(D705,LN(Supuestos!$D$7)-LN(1+Supuestos!$E$7^2/Supuestos!$D$7^2)/2,SQRT(LN(1+Supuestos!$E$7^2/Supuestos!$D$7^2))),Supuestos!$D$7))))))</f>
        <v/>
      </c>
      <c r="L705" s="32">
        <f>MIN(IF(Supuestos!$H$8="",1E+99,Supuestos!$H$8),MAX(IF(Supuestos!$G$8="",-1E+99,Supuestos!$G$8),IF(Supuestos!$C$8="Normal",NORMINV(E705,Supuestos!$D$8,Supuestos!$E$8),IF(Supuestos!$C$8="Triangular",IF(E705&lt;(Supuestos!$E$8-Supuestos!$D$8)/(Supuestos!$F$8-Supuestos!$D$8),Supuestos!$D$8+SQRT(E705*(Supuestos!$F$8-Supuestos!$D$8)*(Supuestos!$E$8-Supuestos!$D$8)),Supuestos!$F$8-SQRT((1-E705)*(Supuestos!$F$8-Supuestos!$D$8)*(Supuestos!$F$8-Supuestos!$E$8))),IF(Supuestos!$C$8="Uniforme",Supuestos!$D$8+E705*(Supuestos!$E$8-Supuestos!$D$8),IF(Supuestos!$C$8="Lognormal",LOGINV(E705,LN(Supuestos!$D$8)-LN(1+Supuestos!$E$8^2/Supuestos!$D$8^2)/2,SQRT(LN(1+Supuestos!$E$8^2/Supuestos!$D$8^2))),Supuestos!$D$8))))))</f>
        <v/>
      </c>
      <c r="M705" s="32">
        <f>MIN(IF(Supuestos!$H$9="",1E+99,Supuestos!$H$9),MAX(IF(Supuestos!$G$9="",-1E+99,Supuestos!$G$9),IF(Supuestos!$C$9="Normal",NORMINV(F705,Supuestos!$D$9,Supuestos!$E$9),IF(Supuestos!$C$9="Triangular",IF(F705&lt;(Supuestos!$E$9-Supuestos!$D$9)/(Supuestos!$F$9-Supuestos!$D$9),Supuestos!$D$9+SQRT(F705*(Supuestos!$F$9-Supuestos!$D$9)*(Supuestos!$E$9-Supuestos!$D$9)),Supuestos!$F$9-SQRT((1-F705)*(Supuestos!$F$9-Supuestos!$D$9)*(Supuestos!$F$9-Supuestos!$E$9))),IF(Supuestos!$C$9="Uniforme",Supuestos!$D$9+F705*(Supuestos!$E$9-Supuestos!$D$9),IF(Supuestos!$C$9="Lognormal",LOGINV(F705,LN(Supuestos!$D$9)-LN(1+Supuestos!$E$9^2/Supuestos!$D$9^2)/2,SQRT(LN(1+Supuestos!$E$9^2/Supuestos!$D$9^2))),Supuestos!$D$9))))))</f>
        <v/>
      </c>
      <c r="N705" s="32">
        <f>MIN(IF(Supuestos!$H$10="",1E+99,Supuestos!$H$10),MAX(IF(Supuestos!$G$10="",-1E+99,Supuestos!$G$10),IF(Supuestos!$C$10="Normal",NORMINV(G705,Supuestos!$D$10,Supuestos!$E$10),IF(Supuestos!$C$10="Triangular",IF(G705&lt;(Supuestos!$E$10-Supuestos!$D$10)/(Supuestos!$F$10-Supuestos!$D$10),Supuestos!$D$10+SQRT(G705*(Supuestos!$F$10-Supuestos!$D$10)*(Supuestos!$E$10-Supuestos!$D$10)),Supuestos!$F$10-SQRT((1-G705)*(Supuestos!$F$10-Supuestos!$D$10)*(Supuestos!$F$10-Supuestos!$E$10))),IF(Supuestos!$C$10="Uniforme",Supuestos!$D$10+G705*(Supuestos!$E$10-Supuestos!$D$10),IF(Supuestos!$C$10="Lognormal",LOGINV(G705,LN(Supuestos!$D$10)-LN(1+Supuestos!$E$10^2/Supuestos!$D$10^2)/2,SQRT(LN(1+Supuestos!$E$10^2/Supuestos!$D$10^2))),Supuestos!$D$10))))))</f>
        <v/>
      </c>
      <c r="O705" s="31">
        <f>MIN(IF(Supuestos!$H$11="",1E+99,Supuestos!$H$11),MAX(IF(Supuestos!$G$11="",-1E+99,Supuestos!$G$11),IF(Supuestos!$C$11="Normal",NORMINV(H705,Supuestos!$D$11,Supuestos!$E$11),IF(Supuestos!$C$11="Triangular",IF(H705&lt;(Supuestos!$E$11-Supuestos!$D$11)/(Supuestos!$F$11-Supuestos!$D$11),Supuestos!$D$11+SQRT(H705*(Supuestos!$F$11-Supuestos!$D$11)*(Supuestos!$E$11-Supuestos!$D$11)),Supuestos!$F$11-SQRT((1-H705)*(Supuestos!$F$11-Supuestos!$D$11)*(Supuestos!$F$11-Supuestos!$E$11))),IF(Supuestos!$C$11="Uniforme",Supuestos!$D$11+H705*(Supuestos!$E$11-Supuestos!$D$11),IF(Supuestos!$C$11="Lognormal",LOGINV(H705,LN(Supuestos!$D$11)-LN(1+Supuestos!$E$11^2/Supuestos!$D$11^2)/2,SQRT(LN(1+Supuestos!$E$11^2/Supuestos!$D$11^2))),Supuestos!$D$11))))))</f>
        <v/>
      </c>
      <c r="P705" s="33">
        <f>-I705</f>
        <v/>
      </c>
      <c r="Q705" s="33">
        <f>$J705*(1+$K705)^(1-1)*(1-$L705)*(1-$M705)</f>
        <v/>
      </c>
      <c r="R705" s="33">
        <f>$J705*(1+$K705)^(2-1)*(1-$L705)*(1-$M705)</f>
        <v/>
      </c>
      <c r="S705" s="33">
        <f>$J705*(1+$K705)^(3-1)*(1-$L705)*(1-$M705)</f>
        <v/>
      </c>
      <c r="T705" s="33">
        <f>$J705*(1+$K705)^(4-1)*(1-$L705)*(1-$M705)</f>
        <v/>
      </c>
      <c r="U705" s="33">
        <f>$J705*(1+$K705)^(5-1)*(1-$L705)*(1-$M705)+$O705</f>
        <v/>
      </c>
      <c r="V705" s="33">
        <f>P705+NPV($N705,Q705:U705)</f>
        <v/>
      </c>
      <c r="W705" s="32">
        <f>IFERROR(IRR(P705:U705,0.1),"")</f>
        <v/>
      </c>
    </row>
    <row r="706">
      <c r="A706" s="14" t="n">
        <v>702</v>
      </c>
      <c r="B706" s="30">
        <f>RAND()*(1-2E-6)+1E-6</f>
        <v/>
      </c>
      <c r="C706" s="30">
        <f>RAND()*(1-2E-6)+1E-6</f>
        <v/>
      </c>
      <c r="D706" s="30">
        <f>RAND()*(1-2E-6)+1E-6</f>
        <v/>
      </c>
      <c r="E706" s="30">
        <f>RAND()*(1-2E-6)+1E-6</f>
        <v/>
      </c>
      <c r="F706" s="30">
        <f>RAND()*(1-2E-6)+1E-6</f>
        <v/>
      </c>
      <c r="G706" s="30">
        <f>RAND()*(1-2E-6)+1E-6</f>
        <v/>
      </c>
      <c r="H706" s="30">
        <f>RAND()*(1-2E-6)+1E-6</f>
        <v/>
      </c>
      <c r="I706" s="31">
        <f>MIN(IF(Supuestos!$H$5="",1E+99,Supuestos!$H$5),MAX(IF(Supuestos!$G$5="",-1E+99,Supuestos!$G$5),IF(Supuestos!$C$5="Normal",NORMINV(B706,Supuestos!$D$5,Supuestos!$E$5),IF(Supuestos!$C$5="Triangular",IF(B706&lt;(Supuestos!$E$5-Supuestos!$D$5)/(Supuestos!$F$5-Supuestos!$D$5),Supuestos!$D$5+SQRT(B706*(Supuestos!$F$5-Supuestos!$D$5)*(Supuestos!$E$5-Supuestos!$D$5)),Supuestos!$F$5-SQRT((1-B706)*(Supuestos!$F$5-Supuestos!$D$5)*(Supuestos!$F$5-Supuestos!$E$5))),IF(Supuestos!$C$5="Uniforme",Supuestos!$D$5+B706*(Supuestos!$E$5-Supuestos!$D$5),IF(Supuestos!$C$5="Lognormal",LOGINV(B706,LN(Supuestos!$D$5)-LN(1+Supuestos!$E$5^2/Supuestos!$D$5^2)/2,SQRT(LN(1+Supuestos!$E$5^2/Supuestos!$D$5^2))),Supuestos!$D$5))))))</f>
        <v/>
      </c>
      <c r="J706" s="31">
        <f>MIN(IF(Supuestos!$H$6="",1E+99,Supuestos!$H$6),MAX(IF(Supuestos!$G$6="",-1E+99,Supuestos!$G$6),IF(Supuestos!$C$6="Normal",NORMINV(C706,Supuestos!$D$6,Supuestos!$E$6),IF(Supuestos!$C$6="Triangular",IF(C706&lt;(Supuestos!$E$6-Supuestos!$D$6)/(Supuestos!$F$6-Supuestos!$D$6),Supuestos!$D$6+SQRT(C706*(Supuestos!$F$6-Supuestos!$D$6)*(Supuestos!$E$6-Supuestos!$D$6)),Supuestos!$F$6-SQRT((1-C706)*(Supuestos!$F$6-Supuestos!$D$6)*(Supuestos!$F$6-Supuestos!$E$6))),IF(Supuestos!$C$6="Uniforme",Supuestos!$D$6+C706*(Supuestos!$E$6-Supuestos!$D$6),IF(Supuestos!$C$6="Lognormal",LOGINV(C706,LN(Supuestos!$D$6)-LN(1+Supuestos!$E$6^2/Supuestos!$D$6^2)/2,SQRT(LN(1+Supuestos!$E$6^2/Supuestos!$D$6^2))),Supuestos!$D$6))))))</f>
        <v/>
      </c>
      <c r="K706" s="32">
        <f>MIN(IF(Supuestos!$H$7="",1E+99,Supuestos!$H$7),MAX(IF(Supuestos!$G$7="",-1E+99,Supuestos!$G$7),IF(Supuestos!$C$7="Normal",NORMINV(D706,Supuestos!$D$7,Supuestos!$E$7),IF(Supuestos!$C$7="Triangular",IF(D706&lt;(Supuestos!$E$7-Supuestos!$D$7)/(Supuestos!$F$7-Supuestos!$D$7),Supuestos!$D$7+SQRT(D706*(Supuestos!$F$7-Supuestos!$D$7)*(Supuestos!$E$7-Supuestos!$D$7)),Supuestos!$F$7-SQRT((1-D706)*(Supuestos!$F$7-Supuestos!$D$7)*(Supuestos!$F$7-Supuestos!$E$7))),IF(Supuestos!$C$7="Uniforme",Supuestos!$D$7+D706*(Supuestos!$E$7-Supuestos!$D$7),IF(Supuestos!$C$7="Lognormal",LOGINV(D706,LN(Supuestos!$D$7)-LN(1+Supuestos!$E$7^2/Supuestos!$D$7^2)/2,SQRT(LN(1+Supuestos!$E$7^2/Supuestos!$D$7^2))),Supuestos!$D$7))))))</f>
        <v/>
      </c>
      <c r="L706" s="32">
        <f>MIN(IF(Supuestos!$H$8="",1E+99,Supuestos!$H$8),MAX(IF(Supuestos!$G$8="",-1E+99,Supuestos!$G$8),IF(Supuestos!$C$8="Normal",NORMINV(E706,Supuestos!$D$8,Supuestos!$E$8),IF(Supuestos!$C$8="Triangular",IF(E706&lt;(Supuestos!$E$8-Supuestos!$D$8)/(Supuestos!$F$8-Supuestos!$D$8),Supuestos!$D$8+SQRT(E706*(Supuestos!$F$8-Supuestos!$D$8)*(Supuestos!$E$8-Supuestos!$D$8)),Supuestos!$F$8-SQRT((1-E706)*(Supuestos!$F$8-Supuestos!$D$8)*(Supuestos!$F$8-Supuestos!$E$8))),IF(Supuestos!$C$8="Uniforme",Supuestos!$D$8+E706*(Supuestos!$E$8-Supuestos!$D$8),IF(Supuestos!$C$8="Lognormal",LOGINV(E706,LN(Supuestos!$D$8)-LN(1+Supuestos!$E$8^2/Supuestos!$D$8^2)/2,SQRT(LN(1+Supuestos!$E$8^2/Supuestos!$D$8^2))),Supuestos!$D$8))))))</f>
        <v/>
      </c>
      <c r="M706" s="32">
        <f>MIN(IF(Supuestos!$H$9="",1E+99,Supuestos!$H$9),MAX(IF(Supuestos!$G$9="",-1E+99,Supuestos!$G$9),IF(Supuestos!$C$9="Normal",NORMINV(F706,Supuestos!$D$9,Supuestos!$E$9),IF(Supuestos!$C$9="Triangular",IF(F706&lt;(Supuestos!$E$9-Supuestos!$D$9)/(Supuestos!$F$9-Supuestos!$D$9),Supuestos!$D$9+SQRT(F706*(Supuestos!$F$9-Supuestos!$D$9)*(Supuestos!$E$9-Supuestos!$D$9)),Supuestos!$F$9-SQRT((1-F706)*(Supuestos!$F$9-Supuestos!$D$9)*(Supuestos!$F$9-Supuestos!$E$9))),IF(Supuestos!$C$9="Uniforme",Supuestos!$D$9+F706*(Supuestos!$E$9-Supuestos!$D$9),IF(Supuestos!$C$9="Lognormal",LOGINV(F706,LN(Supuestos!$D$9)-LN(1+Supuestos!$E$9^2/Supuestos!$D$9^2)/2,SQRT(LN(1+Supuestos!$E$9^2/Supuestos!$D$9^2))),Supuestos!$D$9))))))</f>
        <v/>
      </c>
      <c r="N706" s="32">
        <f>MIN(IF(Supuestos!$H$10="",1E+99,Supuestos!$H$10),MAX(IF(Supuestos!$G$10="",-1E+99,Supuestos!$G$10),IF(Supuestos!$C$10="Normal",NORMINV(G706,Supuestos!$D$10,Supuestos!$E$10),IF(Supuestos!$C$10="Triangular",IF(G706&lt;(Supuestos!$E$10-Supuestos!$D$10)/(Supuestos!$F$10-Supuestos!$D$10),Supuestos!$D$10+SQRT(G706*(Supuestos!$F$10-Supuestos!$D$10)*(Supuestos!$E$10-Supuestos!$D$10)),Supuestos!$F$10-SQRT((1-G706)*(Supuestos!$F$10-Supuestos!$D$10)*(Supuestos!$F$10-Supuestos!$E$10))),IF(Supuestos!$C$10="Uniforme",Supuestos!$D$10+G706*(Supuestos!$E$10-Supuestos!$D$10),IF(Supuestos!$C$10="Lognormal",LOGINV(G706,LN(Supuestos!$D$10)-LN(1+Supuestos!$E$10^2/Supuestos!$D$10^2)/2,SQRT(LN(1+Supuestos!$E$10^2/Supuestos!$D$10^2))),Supuestos!$D$10))))))</f>
        <v/>
      </c>
      <c r="O706" s="31">
        <f>MIN(IF(Supuestos!$H$11="",1E+99,Supuestos!$H$11),MAX(IF(Supuestos!$G$11="",-1E+99,Supuestos!$G$11),IF(Supuestos!$C$11="Normal",NORMINV(H706,Supuestos!$D$11,Supuestos!$E$11),IF(Supuestos!$C$11="Triangular",IF(H706&lt;(Supuestos!$E$11-Supuestos!$D$11)/(Supuestos!$F$11-Supuestos!$D$11),Supuestos!$D$11+SQRT(H706*(Supuestos!$F$11-Supuestos!$D$11)*(Supuestos!$E$11-Supuestos!$D$11)),Supuestos!$F$11-SQRT((1-H706)*(Supuestos!$F$11-Supuestos!$D$11)*(Supuestos!$F$11-Supuestos!$E$11))),IF(Supuestos!$C$11="Uniforme",Supuestos!$D$11+H706*(Supuestos!$E$11-Supuestos!$D$11),IF(Supuestos!$C$11="Lognormal",LOGINV(H706,LN(Supuestos!$D$11)-LN(1+Supuestos!$E$11^2/Supuestos!$D$11^2)/2,SQRT(LN(1+Supuestos!$E$11^2/Supuestos!$D$11^2))),Supuestos!$D$11))))))</f>
        <v/>
      </c>
      <c r="P706" s="33">
        <f>-I706</f>
        <v/>
      </c>
      <c r="Q706" s="33">
        <f>$J706*(1+$K706)^(1-1)*(1-$L706)*(1-$M706)</f>
        <v/>
      </c>
      <c r="R706" s="33">
        <f>$J706*(1+$K706)^(2-1)*(1-$L706)*(1-$M706)</f>
        <v/>
      </c>
      <c r="S706" s="33">
        <f>$J706*(1+$K706)^(3-1)*(1-$L706)*(1-$M706)</f>
        <v/>
      </c>
      <c r="T706" s="33">
        <f>$J706*(1+$K706)^(4-1)*(1-$L706)*(1-$M706)</f>
        <v/>
      </c>
      <c r="U706" s="33">
        <f>$J706*(1+$K706)^(5-1)*(1-$L706)*(1-$M706)+$O706</f>
        <v/>
      </c>
      <c r="V706" s="33">
        <f>P706+NPV($N706,Q706:U706)</f>
        <v/>
      </c>
      <c r="W706" s="32">
        <f>IFERROR(IRR(P706:U706,0.1),"")</f>
        <v/>
      </c>
    </row>
    <row r="707">
      <c r="A707" s="14" t="n">
        <v>703</v>
      </c>
      <c r="B707" s="30">
        <f>RAND()*(1-2E-6)+1E-6</f>
        <v/>
      </c>
      <c r="C707" s="30">
        <f>RAND()*(1-2E-6)+1E-6</f>
        <v/>
      </c>
      <c r="D707" s="30">
        <f>RAND()*(1-2E-6)+1E-6</f>
        <v/>
      </c>
      <c r="E707" s="30">
        <f>RAND()*(1-2E-6)+1E-6</f>
        <v/>
      </c>
      <c r="F707" s="30">
        <f>RAND()*(1-2E-6)+1E-6</f>
        <v/>
      </c>
      <c r="G707" s="30">
        <f>RAND()*(1-2E-6)+1E-6</f>
        <v/>
      </c>
      <c r="H707" s="30">
        <f>RAND()*(1-2E-6)+1E-6</f>
        <v/>
      </c>
      <c r="I707" s="31">
        <f>MIN(IF(Supuestos!$H$5="",1E+99,Supuestos!$H$5),MAX(IF(Supuestos!$G$5="",-1E+99,Supuestos!$G$5),IF(Supuestos!$C$5="Normal",NORMINV(B707,Supuestos!$D$5,Supuestos!$E$5),IF(Supuestos!$C$5="Triangular",IF(B707&lt;(Supuestos!$E$5-Supuestos!$D$5)/(Supuestos!$F$5-Supuestos!$D$5),Supuestos!$D$5+SQRT(B707*(Supuestos!$F$5-Supuestos!$D$5)*(Supuestos!$E$5-Supuestos!$D$5)),Supuestos!$F$5-SQRT((1-B707)*(Supuestos!$F$5-Supuestos!$D$5)*(Supuestos!$F$5-Supuestos!$E$5))),IF(Supuestos!$C$5="Uniforme",Supuestos!$D$5+B707*(Supuestos!$E$5-Supuestos!$D$5),IF(Supuestos!$C$5="Lognormal",LOGINV(B707,LN(Supuestos!$D$5)-LN(1+Supuestos!$E$5^2/Supuestos!$D$5^2)/2,SQRT(LN(1+Supuestos!$E$5^2/Supuestos!$D$5^2))),Supuestos!$D$5))))))</f>
        <v/>
      </c>
      <c r="J707" s="31">
        <f>MIN(IF(Supuestos!$H$6="",1E+99,Supuestos!$H$6),MAX(IF(Supuestos!$G$6="",-1E+99,Supuestos!$G$6),IF(Supuestos!$C$6="Normal",NORMINV(C707,Supuestos!$D$6,Supuestos!$E$6),IF(Supuestos!$C$6="Triangular",IF(C707&lt;(Supuestos!$E$6-Supuestos!$D$6)/(Supuestos!$F$6-Supuestos!$D$6),Supuestos!$D$6+SQRT(C707*(Supuestos!$F$6-Supuestos!$D$6)*(Supuestos!$E$6-Supuestos!$D$6)),Supuestos!$F$6-SQRT((1-C707)*(Supuestos!$F$6-Supuestos!$D$6)*(Supuestos!$F$6-Supuestos!$E$6))),IF(Supuestos!$C$6="Uniforme",Supuestos!$D$6+C707*(Supuestos!$E$6-Supuestos!$D$6),IF(Supuestos!$C$6="Lognormal",LOGINV(C707,LN(Supuestos!$D$6)-LN(1+Supuestos!$E$6^2/Supuestos!$D$6^2)/2,SQRT(LN(1+Supuestos!$E$6^2/Supuestos!$D$6^2))),Supuestos!$D$6))))))</f>
        <v/>
      </c>
      <c r="K707" s="32">
        <f>MIN(IF(Supuestos!$H$7="",1E+99,Supuestos!$H$7),MAX(IF(Supuestos!$G$7="",-1E+99,Supuestos!$G$7),IF(Supuestos!$C$7="Normal",NORMINV(D707,Supuestos!$D$7,Supuestos!$E$7),IF(Supuestos!$C$7="Triangular",IF(D707&lt;(Supuestos!$E$7-Supuestos!$D$7)/(Supuestos!$F$7-Supuestos!$D$7),Supuestos!$D$7+SQRT(D707*(Supuestos!$F$7-Supuestos!$D$7)*(Supuestos!$E$7-Supuestos!$D$7)),Supuestos!$F$7-SQRT((1-D707)*(Supuestos!$F$7-Supuestos!$D$7)*(Supuestos!$F$7-Supuestos!$E$7))),IF(Supuestos!$C$7="Uniforme",Supuestos!$D$7+D707*(Supuestos!$E$7-Supuestos!$D$7),IF(Supuestos!$C$7="Lognormal",LOGINV(D707,LN(Supuestos!$D$7)-LN(1+Supuestos!$E$7^2/Supuestos!$D$7^2)/2,SQRT(LN(1+Supuestos!$E$7^2/Supuestos!$D$7^2))),Supuestos!$D$7))))))</f>
        <v/>
      </c>
      <c r="L707" s="32">
        <f>MIN(IF(Supuestos!$H$8="",1E+99,Supuestos!$H$8),MAX(IF(Supuestos!$G$8="",-1E+99,Supuestos!$G$8),IF(Supuestos!$C$8="Normal",NORMINV(E707,Supuestos!$D$8,Supuestos!$E$8),IF(Supuestos!$C$8="Triangular",IF(E707&lt;(Supuestos!$E$8-Supuestos!$D$8)/(Supuestos!$F$8-Supuestos!$D$8),Supuestos!$D$8+SQRT(E707*(Supuestos!$F$8-Supuestos!$D$8)*(Supuestos!$E$8-Supuestos!$D$8)),Supuestos!$F$8-SQRT((1-E707)*(Supuestos!$F$8-Supuestos!$D$8)*(Supuestos!$F$8-Supuestos!$E$8))),IF(Supuestos!$C$8="Uniforme",Supuestos!$D$8+E707*(Supuestos!$E$8-Supuestos!$D$8),IF(Supuestos!$C$8="Lognormal",LOGINV(E707,LN(Supuestos!$D$8)-LN(1+Supuestos!$E$8^2/Supuestos!$D$8^2)/2,SQRT(LN(1+Supuestos!$E$8^2/Supuestos!$D$8^2))),Supuestos!$D$8))))))</f>
        <v/>
      </c>
      <c r="M707" s="32">
        <f>MIN(IF(Supuestos!$H$9="",1E+99,Supuestos!$H$9),MAX(IF(Supuestos!$G$9="",-1E+99,Supuestos!$G$9),IF(Supuestos!$C$9="Normal",NORMINV(F707,Supuestos!$D$9,Supuestos!$E$9),IF(Supuestos!$C$9="Triangular",IF(F707&lt;(Supuestos!$E$9-Supuestos!$D$9)/(Supuestos!$F$9-Supuestos!$D$9),Supuestos!$D$9+SQRT(F707*(Supuestos!$F$9-Supuestos!$D$9)*(Supuestos!$E$9-Supuestos!$D$9)),Supuestos!$F$9-SQRT((1-F707)*(Supuestos!$F$9-Supuestos!$D$9)*(Supuestos!$F$9-Supuestos!$E$9))),IF(Supuestos!$C$9="Uniforme",Supuestos!$D$9+F707*(Supuestos!$E$9-Supuestos!$D$9),IF(Supuestos!$C$9="Lognormal",LOGINV(F707,LN(Supuestos!$D$9)-LN(1+Supuestos!$E$9^2/Supuestos!$D$9^2)/2,SQRT(LN(1+Supuestos!$E$9^2/Supuestos!$D$9^2))),Supuestos!$D$9))))))</f>
        <v/>
      </c>
      <c r="N707" s="32">
        <f>MIN(IF(Supuestos!$H$10="",1E+99,Supuestos!$H$10),MAX(IF(Supuestos!$G$10="",-1E+99,Supuestos!$G$10),IF(Supuestos!$C$10="Normal",NORMINV(G707,Supuestos!$D$10,Supuestos!$E$10),IF(Supuestos!$C$10="Triangular",IF(G707&lt;(Supuestos!$E$10-Supuestos!$D$10)/(Supuestos!$F$10-Supuestos!$D$10),Supuestos!$D$10+SQRT(G707*(Supuestos!$F$10-Supuestos!$D$10)*(Supuestos!$E$10-Supuestos!$D$10)),Supuestos!$F$10-SQRT((1-G707)*(Supuestos!$F$10-Supuestos!$D$10)*(Supuestos!$F$10-Supuestos!$E$10))),IF(Supuestos!$C$10="Uniforme",Supuestos!$D$10+G707*(Supuestos!$E$10-Supuestos!$D$10),IF(Supuestos!$C$10="Lognormal",LOGINV(G707,LN(Supuestos!$D$10)-LN(1+Supuestos!$E$10^2/Supuestos!$D$10^2)/2,SQRT(LN(1+Supuestos!$E$10^2/Supuestos!$D$10^2))),Supuestos!$D$10))))))</f>
        <v/>
      </c>
      <c r="O707" s="31">
        <f>MIN(IF(Supuestos!$H$11="",1E+99,Supuestos!$H$11),MAX(IF(Supuestos!$G$11="",-1E+99,Supuestos!$G$11),IF(Supuestos!$C$11="Normal",NORMINV(H707,Supuestos!$D$11,Supuestos!$E$11),IF(Supuestos!$C$11="Triangular",IF(H707&lt;(Supuestos!$E$11-Supuestos!$D$11)/(Supuestos!$F$11-Supuestos!$D$11),Supuestos!$D$11+SQRT(H707*(Supuestos!$F$11-Supuestos!$D$11)*(Supuestos!$E$11-Supuestos!$D$11)),Supuestos!$F$11-SQRT((1-H707)*(Supuestos!$F$11-Supuestos!$D$11)*(Supuestos!$F$11-Supuestos!$E$11))),IF(Supuestos!$C$11="Uniforme",Supuestos!$D$11+H707*(Supuestos!$E$11-Supuestos!$D$11),IF(Supuestos!$C$11="Lognormal",LOGINV(H707,LN(Supuestos!$D$11)-LN(1+Supuestos!$E$11^2/Supuestos!$D$11^2)/2,SQRT(LN(1+Supuestos!$E$11^2/Supuestos!$D$11^2))),Supuestos!$D$11))))))</f>
        <v/>
      </c>
      <c r="P707" s="33">
        <f>-I707</f>
        <v/>
      </c>
      <c r="Q707" s="33">
        <f>$J707*(1+$K707)^(1-1)*(1-$L707)*(1-$M707)</f>
        <v/>
      </c>
      <c r="R707" s="33">
        <f>$J707*(1+$K707)^(2-1)*(1-$L707)*(1-$M707)</f>
        <v/>
      </c>
      <c r="S707" s="33">
        <f>$J707*(1+$K707)^(3-1)*(1-$L707)*(1-$M707)</f>
        <v/>
      </c>
      <c r="T707" s="33">
        <f>$J707*(1+$K707)^(4-1)*(1-$L707)*(1-$M707)</f>
        <v/>
      </c>
      <c r="U707" s="33">
        <f>$J707*(1+$K707)^(5-1)*(1-$L707)*(1-$M707)+$O707</f>
        <v/>
      </c>
      <c r="V707" s="33">
        <f>P707+NPV($N707,Q707:U707)</f>
        <v/>
      </c>
      <c r="W707" s="32">
        <f>IFERROR(IRR(P707:U707,0.1),"")</f>
        <v/>
      </c>
    </row>
    <row r="708">
      <c r="A708" s="14" t="n">
        <v>704</v>
      </c>
      <c r="B708" s="30">
        <f>RAND()*(1-2E-6)+1E-6</f>
        <v/>
      </c>
      <c r="C708" s="30">
        <f>RAND()*(1-2E-6)+1E-6</f>
        <v/>
      </c>
      <c r="D708" s="30">
        <f>RAND()*(1-2E-6)+1E-6</f>
        <v/>
      </c>
      <c r="E708" s="30">
        <f>RAND()*(1-2E-6)+1E-6</f>
        <v/>
      </c>
      <c r="F708" s="30">
        <f>RAND()*(1-2E-6)+1E-6</f>
        <v/>
      </c>
      <c r="G708" s="30">
        <f>RAND()*(1-2E-6)+1E-6</f>
        <v/>
      </c>
      <c r="H708" s="30">
        <f>RAND()*(1-2E-6)+1E-6</f>
        <v/>
      </c>
      <c r="I708" s="31">
        <f>MIN(IF(Supuestos!$H$5="",1E+99,Supuestos!$H$5),MAX(IF(Supuestos!$G$5="",-1E+99,Supuestos!$G$5),IF(Supuestos!$C$5="Normal",NORMINV(B708,Supuestos!$D$5,Supuestos!$E$5),IF(Supuestos!$C$5="Triangular",IF(B708&lt;(Supuestos!$E$5-Supuestos!$D$5)/(Supuestos!$F$5-Supuestos!$D$5),Supuestos!$D$5+SQRT(B708*(Supuestos!$F$5-Supuestos!$D$5)*(Supuestos!$E$5-Supuestos!$D$5)),Supuestos!$F$5-SQRT((1-B708)*(Supuestos!$F$5-Supuestos!$D$5)*(Supuestos!$F$5-Supuestos!$E$5))),IF(Supuestos!$C$5="Uniforme",Supuestos!$D$5+B708*(Supuestos!$E$5-Supuestos!$D$5),IF(Supuestos!$C$5="Lognormal",LOGINV(B708,LN(Supuestos!$D$5)-LN(1+Supuestos!$E$5^2/Supuestos!$D$5^2)/2,SQRT(LN(1+Supuestos!$E$5^2/Supuestos!$D$5^2))),Supuestos!$D$5))))))</f>
        <v/>
      </c>
      <c r="J708" s="31">
        <f>MIN(IF(Supuestos!$H$6="",1E+99,Supuestos!$H$6),MAX(IF(Supuestos!$G$6="",-1E+99,Supuestos!$G$6),IF(Supuestos!$C$6="Normal",NORMINV(C708,Supuestos!$D$6,Supuestos!$E$6),IF(Supuestos!$C$6="Triangular",IF(C708&lt;(Supuestos!$E$6-Supuestos!$D$6)/(Supuestos!$F$6-Supuestos!$D$6),Supuestos!$D$6+SQRT(C708*(Supuestos!$F$6-Supuestos!$D$6)*(Supuestos!$E$6-Supuestos!$D$6)),Supuestos!$F$6-SQRT((1-C708)*(Supuestos!$F$6-Supuestos!$D$6)*(Supuestos!$F$6-Supuestos!$E$6))),IF(Supuestos!$C$6="Uniforme",Supuestos!$D$6+C708*(Supuestos!$E$6-Supuestos!$D$6),IF(Supuestos!$C$6="Lognormal",LOGINV(C708,LN(Supuestos!$D$6)-LN(1+Supuestos!$E$6^2/Supuestos!$D$6^2)/2,SQRT(LN(1+Supuestos!$E$6^2/Supuestos!$D$6^2))),Supuestos!$D$6))))))</f>
        <v/>
      </c>
      <c r="K708" s="32">
        <f>MIN(IF(Supuestos!$H$7="",1E+99,Supuestos!$H$7),MAX(IF(Supuestos!$G$7="",-1E+99,Supuestos!$G$7),IF(Supuestos!$C$7="Normal",NORMINV(D708,Supuestos!$D$7,Supuestos!$E$7),IF(Supuestos!$C$7="Triangular",IF(D708&lt;(Supuestos!$E$7-Supuestos!$D$7)/(Supuestos!$F$7-Supuestos!$D$7),Supuestos!$D$7+SQRT(D708*(Supuestos!$F$7-Supuestos!$D$7)*(Supuestos!$E$7-Supuestos!$D$7)),Supuestos!$F$7-SQRT((1-D708)*(Supuestos!$F$7-Supuestos!$D$7)*(Supuestos!$F$7-Supuestos!$E$7))),IF(Supuestos!$C$7="Uniforme",Supuestos!$D$7+D708*(Supuestos!$E$7-Supuestos!$D$7),IF(Supuestos!$C$7="Lognormal",LOGINV(D708,LN(Supuestos!$D$7)-LN(1+Supuestos!$E$7^2/Supuestos!$D$7^2)/2,SQRT(LN(1+Supuestos!$E$7^2/Supuestos!$D$7^2))),Supuestos!$D$7))))))</f>
        <v/>
      </c>
      <c r="L708" s="32">
        <f>MIN(IF(Supuestos!$H$8="",1E+99,Supuestos!$H$8),MAX(IF(Supuestos!$G$8="",-1E+99,Supuestos!$G$8),IF(Supuestos!$C$8="Normal",NORMINV(E708,Supuestos!$D$8,Supuestos!$E$8),IF(Supuestos!$C$8="Triangular",IF(E708&lt;(Supuestos!$E$8-Supuestos!$D$8)/(Supuestos!$F$8-Supuestos!$D$8),Supuestos!$D$8+SQRT(E708*(Supuestos!$F$8-Supuestos!$D$8)*(Supuestos!$E$8-Supuestos!$D$8)),Supuestos!$F$8-SQRT((1-E708)*(Supuestos!$F$8-Supuestos!$D$8)*(Supuestos!$F$8-Supuestos!$E$8))),IF(Supuestos!$C$8="Uniforme",Supuestos!$D$8+E708*(Supuestos!$E$8-Supuestos!$D$8),IF(Supuestos!$C$8="Lognormal",LOGINV(E708,LN(Supuestos!$D$8)-LN(1+Supuestos!$E$8^2/Supuestos!$D$8^2)/2,SQRT(LN(1+Supuestos!$E$8^2/Supuestos!$D$8^2))),Supuestos!$D$8))))))</f>
        <v/>
      </c>
      <c r="M708" s="32">
        <f>MIN(IF(Supuestos!$H$9="",1E+99,Supuestos!$H$9),MAX(IF(Supuestos!$G$9="",-1E+99,Supuestos!$G$9),IF(Supuestos!$C$9="Normal",NORMINV(F708,Supuestos!$D$9,Supuestos!$E$9),IF(Supuestos!$C$9="Triangular",IF(F708&lt;(Supuestos!$E$9-Supuestos!$D$9)/(Supuestos!$F$9-Supuestos!$D$9),Supuestos!$D$9+SQRT(F708*(Supuestos!$F$9-Supuestos!$D$9)*(Supuestos!$E$9-Supuestos!$D$9)),Supuestos!$F$9-SQRT((1-F708)*(Supuestos!$F$9-Supuestos!$D$9)*(Supuestos!$F$9-Supuestos!$E$9))),IF(Supuestos!$C$9="Uniforme",Supuestos!$D$9+F708*(Supuestos!$E$9-Supuestos!$D$9),IF(Supuestos!$C$9="Lognormal",LOGINV(F708,LN(Supuestos!$D$9)-LN(1+Supuestos!$E$9^2/Supuestos!$D$9^2)/2,SQRT(LN(1+Supuestos!$E$9^2/Supuestos!$D$9^2))),Supuestos!$D$9))))))</f>
        <v/>
      </c>
      <c r="N708" s="32">
        <f>MIN(IF(Supuestos!$H$10="",1E+99,Supuestos!$H$10),MAX(IF(Supuestos!$G$10="",-1E+99,Supuestos!$G$10),IF(Supuestos!$C$10="Normal",NORMINV(G708,Supuestos!$D$10,Supuestos!$E$10),IF(Supuestos!$C$10="Triangular",IF(G708&lt;(Supuestos!$E$10-Supuestos!$D$10)/(Supuestos!$F$10-Supuestos!$D$10),Supuestos!$D$10+SQRT(G708*(Supuestos!$F$10-Supuestos!$D$10)*(Supuestos!$E$10-Supuestos!$D$10)),Supuestos!$F$10-SQRT((1-G708)*(Supuestos!$F$10-Supuestos!$D$10)*(Supuestos!$F$10-Supuestos!$E$10))),IF(Supuestos!$C$10="Uniforme",Supuestos!$D$10+G708*(Supuestos!$E$10-Supuestos!$D$10),IF(Supuestos!$C$10="Lognormal",LOGINV(G708,LN(Supuestos!$D$10)-LN(1+Supuestos!$E$10^2/Supuestos!$D$10^2)/2,SQRT(LN(1+Supuestos!$E$10^2/Supuestos!$D$10^2))),Supuestos!$D$10))))))</f>
        <v/>
      </c>
      <c r="O708" s="31">
        <f>MIN(IF(Supuestos!$H$11="",1E+99,Supuestos!$H$11),MAX(IF(Supuestos!$G$11="",-1E+99,Supuestos!$G$11),IF(Supuestos!$C$11="Normal",NORMINV(H708,Supuestos!$D$11,Supuestos!$E$11),IF(Supuestos!$C$11="Triangular",IF(H708&lt;(Supuestos!$E$11-Supuestos!$D$11)/(Supuestos!$F$11-Supuestos!$D$11),Supuestos!$D$11+SQRT(H708*(Supuestos!$F$11-Supuestos!$D$11)*(Supuestos!$E$11-Supuestos!$D$11)),Supuestos!$F$11-SQRT((1-H708)*(Supuestos!$F$11-Supuestos!$D$11)*(Supuestos!$F$11-Supuestos!$E$11))),IF(Supuestos!$C$11="Uniforme",Supuestos!$D$11+H708*(Supuestos!$E$11-Supuestos!$D$11),IF(Supuestos!$C$11="Lognormal",LOGINV(H708,LN(Supuestos!$D$11)-LN(1+Supuestos!$E$11^2/Supuestos!$D$11^2)/2,SQRT(LN(1+Supuestos!$E$11^2/Supuestos!$D$11^2))),Supuestos!$D$11))))))</f>
        <v/>
      </c>
      <c r="P708" s="33">
        <f>-I708</f>
        <v/>
      </c>
      <c r="Q708" s="33">
        <f>$J708*(1+$K708)^(1-1)*(1-$L708)*(1-$M708)</f>
        <v/>
      </c>
      <c r="R708" s="33">
        <f>$J708*(1+$K708)^(2-1)*(1-$L708)*(1-$M708)</f>
        <v/>
      </c>
      <c r="S708" s="33">
        <f>$J708*(1+$K708)^(3-1)*(1-$L708)*(1-$M708)</f>
        <v/>
      </c>
      <c r="T708" s="33">
        <f>$J708*(1+$K708)^(4-1)*(1-$L708)*(1-$M708)</f>
        <v/>
      </c>
      <c r="U708" s="33">
        <f>$J708*(1+$K708)^(5-1)*(1-$L708)*(1-$M708)+$O708</f>
        <v/>
      </c>
      <c r="V708" s="33">
        <f>P708+NPV($N708,Q708:U708)</f>
        <v/>
      </c>
      <c r="W708" s="32">
        <f>IFERROR(IRR(P708:U708,0.1),"")</f>
        <v/>
      </c>
    </row>
    <row r="709">
      <c r="A709" s="14" t="n">
        <v>705</v>
      </c>
      <c r="B709" s="30">
        <f>RAND()*(1-2E-6)+1E-6</f>
        <v/>
      </c>
      <c r="C709" s="30">
        <f>RAND()*(1-2E-6)+1E-6</f>
        <v/>
      </c>
      <c r="D709" s="30">
        <f>RAND()*(1-2E-6)+1E-6</f>
        <v/>
      </c>
      <c r="E709" s="30">
        <f>RAND()*(1-2E-6)+1E-6</f>
        <v/>
      </c>
      <c r="F709" s="30">
        <f>RAND()*(1-2E-6)+1E-6</f>
        <v/>
      </c>
      <c r="G709" s="30">
        <f>RAND()*(1-2E-6)+1E-6</f>
        <v/>
      </c>
      <c r="H709" s="30">
        <f>RAND()*(1-2E-6)+1E-6</f>
        <v/>
      </c>
      <c r="I709" s="31">
        <f>MIN(IF(Supuestos!$H$5="",1E+99,Supuestos!$H$5),MAX(IF(Supuestos!$G$5="",-1E+99,Supuestos!$G$5),IF(Supuestos!$C$5="Normal",NORMINV(B709,Supuestos!$D$5,Supuestos!$E$5),IF(Supuestos!$C$5="Triangular",IF(B709&lt;(Supuestos!$E$5-Supuestos!$D$5)/(Supuestos!$F$5-Supuestos!$D$5),Supuestos!$D$5+SQRT(B709*(Supuestos!$F$5-Supuestos!$D$5)*(Supuestos!$E$5-Supuestos!$D$5)),Supuestos!$F$5-SQRT((1-B709)*(Supuestos!$F$5-Supuestos!$D$5)*(Supuestos!$F$5-Supuestos!$E$5))),IF(Supuestos!$C$5="Uniforme",Supuestos!$D$5+B709*(Supuestos!$E$5-Supuestos!$D$5),IF(Supuestos!$C$5="Lognormal",LOGINV(B709,LN(Supuestos!$D$5)-LN(1+Supuestos!$E$5^2/Supuestos!$D$5^2)/2,SQRT(LN(1+Supuestos!$E$5^2/Supuestos!$D$5^2))),Supuestos!$D$5))))))</f>
        <v/>
      </c>
      <c r="J709" s="31">
        <f>MIN(IF(Supuestos!$H$6="",1E+99,Supuestos!$H$6),MAX(IF(Supuestos!$G$6="",-1E+99,Supuestos!$G$6),IF(Supuestos!$C$6="Normal",NORMINV(C709,Supuestos!$D$6,Supuestos!$E$6),IF(Supuestos!$C$6="Triangular",IF(C709&lt;(Supuestos!$E$6-Supuestos!$D$6)/(Supuestos!$F$6-Supuestos!$D$6),Supuestos!$D$6+SQRT(C709*(Supuestos!$F$6-Supuestos!$D$6)*(Supuestos!$E$6-Supuestos!$D$6)),Supuestos!$F$6-SQRT((1-C709)*(Supuestos!$F$6-Supuestos!$D$6)*(Supuestos!$F$6-Supuestos!$E$6))),IF(Supuestos!$C$6="Uniforme",Supuestos!$D$6+C709*(Supuestos!$E$6-Supuestos!$D$6),IF(Supuestos!$C$6="Lognormal",LOGINV(C709,LN(Supuestos!$D$6)-LN(1+Supuestos!$E$6^2/Supuestos!$D$6^2)/2,SQRT(LN(1+Supuestos!$E$6^2/Supuestos!$D$6^2))),Supuestos!$D$6))))))</f>
        <v/>
      </c>
      <c r="K709" s="32">
        <f>MIN(IF(Supuestos!$H$7="",1E+99,Supuestos!$H$7),MAX(IF(Supuestos!$G$7="",-1E+99,Supuestos!$G$7),IF(Supuestos!$C$7="Normal",NORMINV(D709,Supuestos!$D$7,Supuestos!$E$7),IF(Supuestos!$C$7="Triangular",IF(D709&lt;(Supuestos!$E$7-Supuestos!$D$7)/(Supuestos!$F$7-Supuestos!$D$7),Supuestos!$D$7+SQRT(D709*(Supuestos!$F$7-Supuestos!$D$7)*(Supuestos!$E$7-Supuestos!$D$7)),Supuestos!$F$7-SQRT((1-D709)*(Supuestos!$F$7-Supuestos!$D$7)*(Supuestos!$F$7-Supuestos!$E$7))),IF(Supuestos!$C$7="Uniforme",Supuestos!$D$7+D709*(Supuestos!$E$7-Supuestos!$D$7),IF(Supuestos!$C$7="Lognormal",LOGINV(D709,LN(Supuestos!$D$7)-LN(1+Supuestos!$E$7^2/Supuestos!$D$7^2)/2,SQRT(LN(1+Supuestos!$E$7^2/Supuestos!$D$7^2))),Supuestos!$D$7))))))</f>
        <v/>
      </c>
      <c r="L709" s="32">
        <f>MIN(IF(Supuestos!$H$8="",1E+99,Supuestos!$H$8),MAX(IF(Supuestos!$G$8="",-1E+99,Supuestos!$G$8),IF(Supuestos!$C$8="Normal",NORMINV(E709,Supuestos!$D$8,Supuestos!$E$8),IF(Supuestos!$C$8="Triangular",IF(E709&lt;(Supuestos!$E$8-Supuestos!$D$8)/(Supuestos!$F$8-Supuestos!$D$8),Supuestos!$D$8+SQRT(E709*(Supuestos!$F$8-Supuestos!$D$8)*(Supuestos!$E$8-Supuestos!$D$8)),Supuestos!$F$8-SQRT((1-E709)*(Supuestos!$F$8-Supuestos!$D$8)*(Supuestos!$F$8-Supuestos!$E$8))),IF(Supuestos!$C$8="Uniforme",Supuestos!$D$8+E709*(Supuestos!$E$8-Supuestos!$D$8),IF(Supuestos!$C$8="Lognormal",LOGINV(E709,LN(Supuestos!$D$8)-LN(1+Supuestos!$E$8^2/Supuestos!$D$8^2)/2,SQRT(LN(1+Supuestos!$E$8^2/Supuestos!$D$8^2))),Supuestos!$D$8))))))</f>
        <v/>
      </c>
      <c r="M709" s="32">
        <f>MIN(IF(Supuestos!$H$9="",1E+99,Supuestos!$H$9),MAX(IF(Supuestos!$G$9="",-1E+99,Supuestos!$G$9),IF(Supuestos!$C$9="Normal",NORMINV(F709,Supuestos!$D$9,Supuestos!$E$9),IF(Supuestos!$C$9="Triangular",IF(F709&lt;(Supuestos!$E$9-Supuestos!$D$9)/(Supuestos!$F$9-Supuestos!$D$9),Supuestos!$D$9+SQRT(F709*(Supuestos!$F$9-Supuestos!$D$9)*(Supuestos!$E$9-Supuestos!$D$9)),Supuestos!$F$9-SQRT((1-F709)*(Supuestos!$F$9-Supuestos!$D$9)*(Supuestos!$F$9-Supuestos!$E$9))),IF(Supuestos!$C$9="Uniforme",Supuestos!$D$9+F709*(Supuestos!$E$9-Supuestos!$D$9),IF(Supuestos!$C$9="Lognormal",LOGINV(F709,LN(Supuestos!$D$9)-LN(1+Supuestos!$E$9^2/Supuestos!$D$9^2)/2,SQRT(LN(1+Supuestos!$E$9^2/Supuestos!$D$9^2))),Supuestos!$D$9))))))</f>
        <v/>
      </c>
      <c r="N709" s="32">
        <f>MIN(IF(Supuestos!$H$10="",1E+99,Supuestos!$H$10),MAX(IF(Supuestos!$G$10="",-1E+99,Supuestos!$G$10),IF(Supuestos!$C$10="Normal",NORMINV(G709,Supuestos!$D$10,Supuestos!$E$10),IF(Supuestos!$C$10="Triangular",IF(G709&lt;(Supuestos!$E$10-Supuestos!$D$10)/(Supuestos!$F$10-Supuestos!$D$10),Supuestos!$D$10+SQRT(G709*(Supuestos!$F$10-Supuestos!$D$10)*(Supuestos!$E$10-Supuestos!$D$10)),Supuestos!$F$10-SQRT((1-G709)*(Supuestos!$F$10-Supuestos!$D$10)*(Supuestos!$F$10-Supuestos!$E$10))),IF(Supuestos!$C$10="Uniforme",Supuestos!$D$10+G709*(Supuestos!$E$10-Supuestos!$D$10),IF(Supuestos!$C$10="Lognormal",LOGINV(G709,LN(Supuestos!$D$10)-LN(1+Supuestos!$E$10^2/Supuestos!$D$10^2)/2,SQRT(LN(1+Supuestos!$E$10^2/Supuestos!$D$10^2))),Supuestos!$D$10))))))</f>
        <v/>
      </c>
      <c r="O709" s="31">
        <f>MIN(IF(Supuestos!$H$11="",1E+99,Supuestos!$H$11),MAX(IF(Supuestos!$G$11="",-1E+99,Supuestos!$G$11),IF(Supuestos!$C$11="Normal",NORMINV(H709,Supuestos!$D$11,Supuestos!$E$11),IF(Supuestos!$C$11="Triangular",IF(H709&lt;(Supuestos!$E$11-Supuestos!$D$11)/(Supuestos!$F$11-Supuestos!$D$11),Supuestos!$D$11+SQRT(H709*(Supuestos!$F$11-Supuestos!$D$11)*(Supuestos!$E$11-Supuestos!$D$11)),Supuestos!$F$11-SQRT((1-H709)*(Supuestos!$F$11-Supuestos!$D$11)*(Supuestos!$F$11-Supuestos!$E$11))),IF(Supuestos!$C$11="Uniforme",Supuestos!$D$11+H709*(Supuestos!$E$11-Supuestos!$D$11),IF(Supuestos!$C$11="Lognormal",LOGINV(H709,LN(Supuestos!$D$11)-LN(1+Supuestos!$E$11^2/Supuestos!$D$11^2)/2,SQRT(LN(1+Supuestos!$E$11^2/Supuestos!$D$11^2))),Supuestos!$D$11))))))</f>
        <v/>
      </c>
      <c r="P709" s="33">
        <f>-I709</f>
        <v/>
      </c>
      <c r="Q709" s="33">
        <f>$J709*(1+$K709)^(1-1)*(1-$L709)*(1-$M709)</f>
        <v/>
      </c>
      <c r="R709" s="33">
        <f>$J709*(1+$K709)^(2-1)*(1-$L709)*(1-$M709)</f>
        <v/>
      </c>
      <c r="S709" s="33">
        <f>$J709*(1+$K709)^(3-1)*(1-$L709)*(1-$M709)</f>
        <v/>
      </c>
      <c r="T709" s="33">
        <f>$J709*(1+$K709)^(4-1)*(1-$L709)*(1-$M709)</f>
        <v/>
      </c>
      <c r="U709" s="33">
        <f>$J709*(1+$K709)^(5-1)*(1-$L709)*(1-$M709)+$O709</f>
        <v/>
      </c>
      <c r="V709" s="33">
        <f>P709+NPV($N709,Q709:U709)</f>
        <v/>
      </c>
      <c r="W709" s="32">
        <f>IFERROR(IRR(P709:U709,0.1),"")</f>
        <v/>
      </c>
    </row>
    <row r="710">
      <c r="A710" s="14" t="n">
        <v>706</v>
      </c>
      <c r="B710" s="30">
        <f>RAND()*(1-2E-6)+1E-6</f>
        <v/>
      </c>
      <c r="C710" s="30">
        <f>RAND()*(1-2E-6)+1E-6</f>
        <v/>
      </c>
      <c r="D710" s="30">
        <f>RAND()*(1-2E-6)+1E-6</f>
        <v/>
      </c>
      <c r="E710" s="30">
        <f>RAND()*(1-2E-6)+1E-6</f>
        <v/>
      </c>
      <c r="F710" s="30">
        <f>RAND()*(1-2E-6)+1E-6</f>
        <v/>
      </c>
      <c r="G710" s="30">
        <f>RAND()*(1-2E-6)+1E-6</f>
        <v/>
      </c>
      <c r="H710" s="30">
        <f>RAND()*(1-2E-6)+1E-6</f>
        <v/>
      </c>
      <c r="I710" s="31">
        <f>MIN(IF(Supuestos!$H$5="",1E+99,Supuestos!$H$5),MAX(IF(Supuestos!$G$5="",-1E+99,Supuestos!$G$5),IF(Supuestos!$C$5="Normal",NORMINV(B710,Supuestos!$D$5,Supuestos!$E$5),IF(Supuestos!$C$5="Triangular",IF(B710&lt;(Supuestos!$E$5-Supuestos!$D$5)/(Supuestos!$F$5-Supuestos!$D$5),Supuestos!$D$5+SQRT(B710*(Supuestos!$F$5-Supuestos!$D$5)*(Supuestos!$E$5-Supuestos!$D$5)),Supuestos!$F$5-SQRT((1-B710)*(Supuestos!$F$5-Supuestos!$D$5)*(Supuestos!$F$5-Supuestos!$E$5))),IF(Supuestos!$C$5="Uniforme",Supuestos!$D$5+B710*(Supuestos!$E$5-Supuestos!$D$5),IF(Supuestos!$C$5="Lognormal",LOGINV(B710,LN(Supuestos!$D$5)-LN(1+Supuestos!$E$5^2/Supuestos!$D$5^2)/2,SQRT(LN(1+Supuestos!$E$5^2/Supuestos!$D$5^2))),Supuestos!$D$5))))))</f>
        <v/>
      </c>
      <c r="J710" s="31">
        <f>MIN(IF(Supuestos!$H$6="",1E+99,Supuestos!$H$6),MAX(IF(Supuestos!$G$6="",-1E+99,Supuestos!$G$6),IF(Supuestos!$C$6="Normal",NORMINV(C710,Supuestos!$D$6,Supuestos!$E$6),IF(Supuestos!$C$6="Triangular",IF(C710&lt;(Supuestos!$E$6-Supuestos!$D$6)/(Supuestos!$F$6-Supuestos!$D$6),Supuestos!$D$6+SQRT(C710*(Supuestos!$F$6-Supuestos!$D$6)*(Supuestos!$E$6-Supuestos!$D$6)),Supuestos!$F$6-SQRT((1-C710)*(Supuestos!$F$6-Supuestos!$D$6)*(Supuestos!$F$6-Supuestos!$E$6))),IF(Supuestos!$C$6="Uniforme",Supuestos!$D$6+C710*(Supuestos!$E$6-Supuestos!$D$6),IF(Supuestos!$C$6="Lognormal",LOGINV(C710,LN(Supuestos!$D$6)-LN(1+Supuestos!$E$6^2/Supuestos!$D$6^2)/2,SQRT(LN(1+Supuestos!$E$6^2/Supuestos!$D$6^2))),Supuestos!$D$6))))))</f>
        <v/>
      </c>
      <c r="K710" s="32">
        <f>MIN(IF(Supuestos!$H$7="",1E+99,Supuestos!$H$7),MAX(IF(Supuestos!$G$7="",-1E+99,Supuestos!$G$7),IF(Supuestos!$C$7="Normal",NORMINV(D710,Supuestos!$D$7,Supuestos!$E$7),IF(Supuestos!$C$7="Triangular",IF(D710&lt;(Supuestos!$E$7-Supuestos!$D$7)/(Supuestos!$F$7-Supuestos!$D$7),Supuestos!$D$7+SQRT(D710*(Supuestos!$F$7-Supuestos!$D$7)*(Supuestos!$E$7-Supuestos!$D$7)),Supuestos!$F$7-SQRT((1-D710)*(Supuestos!$F$7-Supuestos!$D$7)*(Supuestos!$F$7-Supuestos!$E$7))),IF(Supuestos!$C$7="Uniforme",Supuestos!$D$7+D710*(Supuestos!$E$7-Supuestos!$D$7),IF(Supuestos!$C$7="Lognormal",LOGINV(D710,LN(Supuestos!$D$7)-LN(1+Supuestos!$E$7^2/Supuestos!$D$7^2)/2,SQRT(LN(1+Supuestos!$E$7^2/Supuestos!$D$7^2))),Supuestos!$D$7))))))</f>
        <v/>
      </c>
      <c r="L710" s="32">
        <f>MIN(IF(Supuestos!$H$8="",1E+99,Supuestos!$H$8),MAX(IF(Supuestos!$G$8="",-1E+99,Supuestos!$G$8),IF(Supuestos!$C$8="Normal",NORMINV(E710,Supuestos!$D$8,Supuestos!$E$8),IF(Supuestos!$C$8="Triangular",IF(E710&lt;(Supuestos!$E$8-Supuestos!$D$8)/(Supuestos!$F$8-Supuestos!$D$8),Supuestos!$D$8+SQRT(E710*(Supuestos!$F$8-Supuestos!$D$8)*(Supuestos!$E$8-Supuestos!$D$8)),Supuestos!$F$8-SQRT((1-E710)*(Supuestos!$F$8-Supuestos!$D$8)*(Supuestos!$F$8-Supuestos!$E$8))),IF(Supuestos!$C$8="Uniforme",Supuestos!$D$8+E710*(Supuestos!$E$8-Supuestos!$D$8),IF(Supuestos!$C$8="Lognormal",LOGINV(E710,LN(Supuestos!$D$8)-LN(1+Supuestos!$E$8^2/Supuestos!$D$8^2)/2,SQRT(LN(1+Supuestos!$E$8^2/Supuestos!$D$8^2))),Supuestos!$D$8))))))</f>
        <v/>
      </c>
      <c r="M710" s="32">
        <f>MIN(IF(Supuestos!$H$9="",1E+99,Supuestos!$H$9),MAX(IF(Supuestos!$G$9="",-1E+99,Supuestos!$G$9),IF(Supuestos!$C$9="Normal",NORMINV(F710,Supuestos!$D$9,Supuestos!$E$9),IF(Supuestos!$C$9="Triangular",IF(F710&lt;(Supuestos!$E$9-Supuestos!$D$9)/(Supuestos!$F$9-Supuestos!$D$9),Supuestos!$D$9+SQRT(F710*(Supuestos!$F$9-Supuestos!$D$9)*(Supuestos!$E$9-Supuestos!$D$9)),Supuestos!$F$9-SQRT((1-F710)*(Supuestos!$F$9-Supuestos!$D$9)*(Supuestos!$F$9-Supuestos!$E$9))),IF(Supuestos!$C$9="Uniforme",Supuestos!$D$9+F710*(Supuestos!$E$9-Supuestos!$D$9),IF(Supuestos!$C$9="Lognormal",LOGINV(F710,LN(Supuestos!$D$9)-LN(1+Supuestos!$E$9^2/Supuestos!$D$9^2)/2,SQRT(LN(1+Supuestos!$E$9^2/Supuestos!$D$9^2))),Supuestos!$D$9))))))</f>
        <v/>
      </c>
      <c r="N710" s="32">
        <f>MIN(IF(Supuestos!$H$10="",1E+99,Supuestos!$H$10),MAX(IF(Supuestos!$G$10="",-1E+99,Supuestos!$G$10),IF(Supuestos!$C$10="Normal",NORMINV(G710,Supuestos!$D$10,Supuestos!$E$10),IF(Supuestos!$C$10="Triangular",IF(G710&lt;(Supuestos!$E$10-Supuestos!$D$10)/(Supuestos!$F$10-Supuestos!$D$10),Supuestos!$D$10+SQRT(G710*(Supuestos!$F$10-Supuestos!$D$10)*(Supuestos!$E$10-Supuestos!$D$10)),Supuestos!$F$10-SQRT((1-G710)*(Supuestos!$F$10-Supuestos!$D$10)*(Supuestos!$F$10-Supuestos!$E$10))),IF(Supuestos!$C$10="Uniforme",Supuestos!$D$10+G710*(Supuestos!$E$10-Supuestos!$D$10),IF(Supuestos!$C$10="Lognormal",LOGINV(G710,LN(Supuestos!$D$10)-LN(1+Supuestos!$E$10^2/Supuestos!$D$10^2)/2,SQRT(LN(1+Supuestos!$E$10^2/Supuestos!$D$10^2))),Supuestos!$D$10))))))</f>
        <v/>
      </c>
      <c r="O710" s="31">
        <f>MIN(IF(Supuestos!$H$11="",1E+99,Supuestos!$H$11),MAX(IF(Supuestos!$G$11="",-1E+99,Supuestos!$G$11),IF(Supuestos!$C$11="Normal",NORMINV(H710,Supuestos!$D$11,Supuestos!$E$11),IF(Supuestos!$C$11="Triangular",IF(H710&lt;(Supuestos!$E$11-Supuestos!$D$11)/(Supuestos!$F$11-Supuestos!$D$11),Supuestos!$D$11+SQRT(H710*(Supuestos!$F$11-Supuestos!$D$11)*(Supuestos!$E$11-Supuestos!$D$11)),Supuestos!$F$11-SQRT((1-H710)*(Supuestos!$F$11-Supuestos!$D$11)*(Supuestos!$F$11-Supuestos!$E$11))),IF(Supuestos!$C$11="Uniforme",Supuestos!$D$11+H710*(Supuestos!$E$11-Supuestos!$D$11),IF(Supuestos!$C$11="Lognormal",LOGINV(H710,LN(Supuestos!$D$11)-LN(1+Supuestos!$E$11^2/Supuestos!$D$11^2)/2,SQRT(LN(1+Supuestos!$E$11^2/Supuestos!$D$11^2))),Supuestos!$D$11))))))</f>
        <v/>
      </c>
      <c r="P710" s="33">
        <f>-I710</f>
        <v/>
      </c>
      <c r="Q710" s="33">
        <f>$J710*(1+$K710)^(1-1)*(1-$L710)*(1-$M710)</f>
        <v/>
      </c>
      <c r="R710" s="33">
        <f>$J710*(1+$K710)^(2-1)*(1-$L710)*(1-$M710)</f>
        <v/>
      </c>
      <c r="S710" s="33">
        <f>$J710*(1+$K710)^(3-1)*(1-$L710)*(1-$M710)</f>
        <v/>
      </c>
      <c r="T710" s="33">
        <f>$J710*(1+$K710)^(4-1)*(1-$L710)*(1-$M710)</f>
        <v/>
      </c>
      <c r="U710" s="33">
        <f>$J710*(1+$K710)^(5-1)*(1-$L710)*(1-$M710)+$O710</f>
        <v/>
      </c>
      <c r="V710" s="33">
        <f>P710+NPV($N710,Q710:U710)</f>
        <v/>
      </c>
      <c r="W710" s="32">
        <f>IFERROR(IRR(P710:U710,0.1),"")</f>
        <v/>
      </c>
    </row>
    <row r="711">
      <c r="A711" s="14" t="n">
        <v>707</v>
      </c>
      <c r="B711" s="30">
        <f>RAND()*(1-2E-6)+1E-6</f>
        <v/>
      </c>
      <c r="C711" s="30">
        <f>RAND()*(1-2E-6)+1E-6</f>
        <v/>
      </c>
      <c r="D711" s="30">
        <f>RAND()*(1-2E-6)+1E-6</f>
        <v/>
      </c>
      <c r="E711" s="30">
        <f>RAND()*(1-2E-6)+1E-6</f>
        <v/>
      </c>
      <c r="F711" s="30">
        <f>RAND()*(1-2E-6)+1E-6</f>
        <v/>
      </c>
      <c r="G711" s="30">
        <f>RAND()*(1-2E-6)+1E-6</f>
        <v/>
      </c>
      <c r="H711" s="30">
        <f>RAND()*(1-2E-6)+1E-6</f>
        <v/>
      </c>
      <c r="I711" s="31">
        <f>MIN(IF(Supuestos!$H$5="",1E+99,Supuestos!$H$5),MAX(IF(Supuestos!$G$5="",-1E+99,Supuestos!$G$5),IF(Supuestos!$C$5="Normal",NORMINV(B711,Supuestos!$D$5,Supuestos!$E$5),IF(Supuestos!$C$5="Triangular",IF(B711&lt;(Supuestos!$E$5-Supuestos!$D$5)/(Supuestos!$F$5-Supuestos!$D$5),Supuestos!$D$5+SQRT(B711*(Supuestos!$F$5-Supuestos!$D$5)*(Supuestos!$E$5-Supuestos!$D$5)),Supuestos!$F$5-SQRT((1-B711)*(Supuestos!$F$5-Supuestos!$D$5)*(Supuestos!$F$5-Supuestos!$E$5))),IF(Supuestos!$C$5="Uniforme",Supuestos!$D$5+B711*(Supuestos!$E$5-Supuestos!$D$5),IF(Supuestos!$C$5="Lognormal",LOGINV(B711,LN(Supuestos!$D$5)-LN(1+Supuestos!$E$5^2/Supuestos!$D$5^2)/2,SQRT(LN(1+Supuestos!$E$5^2/Supuestos!$D$5^2))),Supuestos!$D$5))))))</f>
        <v/>
      </c>
      <c r="J711" s="31">
        <f>MIN(IF(Supuestos!$H$6="",1E+99,Supuestos!$H$6),MAX(IF(Supuestos!$G$6="",-1E+99,Supuestos!$G$6),IF(Supuestos!$C$6="Normal",NORMINV(C711,Supuestos!$D$6,Supuestos!$E$6),IF(Supuestos!$C$6="Triangular",IF(C711&lt;(Supuestos!$E$6-Supuestos!$D$6)/(Supuestos!$F$6-Supuestos!$D$6),Supuestos!$D$6+SQRT(C711*(Supuestos!$F$6-Supuestos!$D$6)*(Supuestos!$E$6-Supuestos!$D$6)),Supuestos!$F$6-SQRT((1-C711)*(Supuestos!$F$6-Supuestos!$D$6)*(Supuestos!$F$6-Supuestos!$E$6))),IF(Supuestos!$C$6="Uniforme",Supuestos!$D$6+C711*(Supuestos!$E$6-Supuestos!$D$6),IF(Supuestos!$C$6="Lognormal",LOGINV(C711,LN(Supuestos!$D$6)-LN(1+Supuestos!$E$6^2/Supuestos!$D$6^2)/2,SQRT(LN(1+Supuestos!$E$6^2/Supuestos!$D$6^2))),Supuestos!$D$6))))))</f>
        <v/>
      </c>
      <c r="K711" s="32">
        <f>MIN(IF(Supuestos!$H$7="",1E+99,Supuestos!$H$7),MAX(IF(Supuestos!$G$7="",-1E+99,Supuestos!$G$7),IF(Supuestos!$C$7="Normal",NORMINV(D711,Supuestos!$D$7,Supuestos!$E$7),IF(Supuestos!$C$7="Triangular",IF(D711&lt;(Supuestos!$E$7-Supuestos!$D$7)/(Supuestos!$F$7-Supuestos!$D$7),Supuestos!$D$7+SQRT(D711*(Supuestos!$F$7-Supuestos!$D$7)*(Supuestos!$E$7-Supuestos!$D$7)),Supuestos!$F$7-SQRT((1-D711)*(Supuestos!$F$7-Supuestos!$D$7)*(Supuestos!$F$7-Supuestos!$E$7))),IF(Supuestos!$C$7="Uniforme",Supuestos!$D$7+D711*(Supuestos!$E$7-Supuestos!$D$7),IF(Supuestos!$C$7="Lognormal",LOGINV(D711,LN(Supuestos!$D$7)-LN(1+Supuestos!$E$7^2/Supuestos!$D$7^2)/2,SQRT(LN(1+Supuestos!$E$7^2/Supuestos!$D$7^2))),Supuestos!$D$7))))))</f>
        <v/>
      </c>
      <c r="L711" s="32">
        <f>MIN(IF(Supuestos!$H$8="",1E+99,Supuestos!$H$8),MAX(IF(Supuestos!$G$8="",-1E+99,Supuestos!$G$8),IF(Supuestos!$C$8="Normal",NORMINV(E711,Supuestos!$D$8,Supuestos!$E$8),IF(Supuestos!$C$8="Triangular",IF(E711&lt;(Supuestos!$E$8-Supuestos!$D$8)/(Supuestos!$F$8-Supuestos!$D$8),Supuestos!$D$8+SQRT(E711*(Supuestos!$F$8-Supuestos!$D$8)*(Supuestos!$E$8-Supuestos!$D$8)),Supuestos!$F$8-SQRT((1-E711)*(Supuestos!$F$8-Supuestos!$D$8)*(Supuestos!$F$8-Supuestos!$E$8))),IF(Supuestos!$C$8="Uniforme",Supuestos!$D$8+E711*(Supuestos!$E$8-Supuestos!$D$8),IF(Supuestos!$C$8="Lognormal",LOGINV(E711,LN(Supuestos!$D$8)-LN(1+Supuestos!$E$8^2/Supuestos!$D$8^2)/2,SQRT(LN(1+Supuestos!$E$8^2/Supuestos!$D$8^2))),Supuestos!$D$8))))))</f>
        <v/>
      </c>
      <c r="M711" s="32">
        <f>MIN(IF(Supuestos!$H$9="",1E+99,Supuestos!$H$9),MAX(IF(Supuestos!$G$9="",-1E+99,Supuestos!$G$9),IF(Supuestos!$C$9="Normal",NORMINV(F711,Supuestos!$D$9,Supuestos!$E$9),IF(Supuestos!$C$9="Triangular",IF(F711&lt;(Supuestos!$E$9-Supuestos!$D$9)/(Supuestos!$F$9-Supuestos!$D$9),Supuestos!$D$9+SQRT(F711*(Supuestos!$F$9-Supuestos!$D$9)*(Supuestos!$E$9-Supuestos!$D$9)),Supuestos!$F$9-SQRT((1-F711)*(Supuestos!$F$9-Supuestos!$D$9)*(Supuestos!$F$9-Supuestos!$E$9))),IF(Supuestos!$C$9="Uniforme",Supuestos!$D$9+F711*(Supuestos!$E$9-Supuestos!$D$9),IF(Supuestos!$C$9="Lognormal",LOGINV(F711,LN(Supuestos!$D$9)-LN(1+Supuestos!$E$9^2/Supuestos!$D$9^2)/2,SQRT(LN(1+Supuestos!$E$9^2/Supuestos!$D$9^2))),Supuestos!$D$9))))))</f>
        <v/>
      </c>
      <c r="N711" s="32">
        <f>MIN(IF(Supuestos!$H$10="",1E+99,Supuestos!$H$10),MAX(IF(Supuestos!$G$10="",-1E+99,Supuestos!$G$10),IF(Supuestos!$C$10="Normal",NORMINV(G711,Supuestos!$D$10,Supuestos!$E$10),IF(Supuestos!$C$10="Triangular",IF(G711&lt;(Supuestos!$E$10-Supuestos!$D$10)/(Supuestos!$F$10-Supuestos!$D$10),Supuestos!$D$10+SQRT(G711*(Supuestos!$F$10-Supuestos!$D$10)*(Supuestos!$E$10-Supuestos!$D$10)),Supuestos!$F$10-SQRT((1-G711)*(Supuestos!$F$10-Supuestos!$D$10)*(Supuestos!$F$10-Supuestos!$E$10))),IF(Supuestos!$C$10="Uniforme",Supuestos!$D$10+G711*(Supuestos!$E$10-Supuestos!$D$10),IF(Supuestos!$C$10="Lognormal",LOGINV(G711,LN(Supuestos!$D$10)-LN(1+Supuestos!$E$10^2/Supuestos!$D$10^2)/2,SQRT(LN(1+Supuestos!$E$10^2/Supuestos!$D$10^2))),Supuestos!$D$10))))))</f>
        <v/>
      </c>
      <c r="O711" s="31">
        <f>MIN(IF(Supuestos!$H$11="",1E+99,Supuestos!$H$11),MAX(IF(Supuestos!$G$11="",-1E+99,Supuestos!$G$11),IF(Supuestos!$C$11="Normal",NORMINV(H711,Supuestos!$D$11,Supuestos!$E$11),IF(Supuestos!$C$11="Triangular",IF(H711&lt;(Supuestos!$E$11-Supuestos!$D$11)/(Supuestos!$F$11-Supuestos!$D$11),Supuestos!$D$11+SQRT(H711*(Supuestos!$F$11-Supuestos!$D$11)*(Supuestos!$E$11-Supuestos!$D$11)),Supuestos!$F$11-SQRT((1-H711)*(Supuestos!$F$11-Supuestos!$D$11)*(Supuestos!$F$11-Supuestos!$E$11))),IF(Supuestos!$C$11="Uniforme",Supuestos!$D$11+H711*(Supuestos!$E$11-Supuestos!$D$11),IF(Supuestos!$C$11="Lognormal",LOGINV(H711,LN(Supuestos!$D$11)-LN(1+Supuestos!$E$11^2/Supuestos!$D$11^2)/2,SQRT(LN(1+Supuestos!$E$11^2/Supuestos!$D$11^2))),Supuestos!$D$11))))))</f>
        <v/>
      </c>
      <c r="P711" s="33">
        <f>-I711</f>
        <v/>
      </c>
      <c r="Q711" s="33">
        <f>$J711*(1+$K711)^(1-1)*(1-$L711)*(1-$M711)</f>
        <v/>
      </c>
      <c r="R711" s="33">
        <f>$J711*(1+$K711)^(2-1)*(1-$L711)*(1-$M711)</f>
        <v/>
      </c>
      <c r="S711" s="33">
        <f>$J711*(1+$K711)^(3-1)*(1-$L711)*(1-$M711)</f>
        <v/>
      </c>
      <c r="T711" s="33">
        <f>$J711*(1+$K711)^(4-1)*(1-$L711)*(1-$M711)</f>
        <v/>
      </c>
      <c r="U711" s="33">
        <f>$J711*(1+$K711)^(5-1)*(1-$L711)*(1-$M711)+$O711</f>
        <v/>
      </c>
      <c r="V711" s="33">
        <f>P711+NPV($N711,Q711:U711)</f>
        <v/>
      </c>
      <c r="W711" s="32">
        <f>IFERROR(IRR(P711:U711,0.1),"")</f>
        <v/>
      </c>
    </row>
    <row r="712">
      <c r="A712" s="14" t="n">
        <v>708</v>
      </c>
      <c r="B712" s="30">
        <f>RAND()*(1-2E-6)+1E-6</f>
        <v/>
      </c>
      <c r="C712" s="30">
        <f>RAND()*(1-2E-6)+1E-6</f>
        <v/>
      </c>
      <c r="D712" s="30">
        <f>RAND()*(1-2E-6)+1E-6</f>
        <v/>
      </c>
      <c r="E712" s="30">
        <f>RAND()*(1-2E-6)+1E-6</f>
        <v/>
      </c>
      <c r="F712" s="30">
        <f>RAND()*(1-2E-6)+1E-6</f>
        <v/>
      </c>
      <c r="G712" s="30">
        <f>RAND()*(1-2E-6)+1E-6</f>
        <v/>
      </c>
      <c r="H712" s="30">
        <f>RAND()*(1-2E-6)+1E-6</f>
        <v/>
      </c>
      <c r="I712" s="31">
        <f>MIN(IF(Supuestos!$H$5="",1E+99,Supuestos!$H$5),MAX(IF(Supuestos!$G$5="",-1E+99,Supuestos!$G$5),IF(Supuestos!$C$5="Normal",NORMINV(B712,Supuestos!$D$5,Supuestos!$E$5),IF(Supuestos!$C$5="Triangular",IF(B712&lt;(Supuestos!$E$5-Supuestos!$D$5)/(Supuestos!$F$5-Supuestos!$D$5),Supuestos!$D$5+SQRT(B712*(Supuestos!$F$5-Supuestos!$D$5)*(Supuestos!$E$5-Supuestos!$D$5)),Supuestos!$F$5-SQRT((1-B712)*(Supuestos!$F$5-Supuestos!$D$5)*(Supuestos!$F$5-Supuestos!$E$5))),IF(Supuestos!$C$5="Uniforme",Supuestos!$D$5+B712*(Supuestos!$E$5-Supuestos!$D$5),IF(Supuestos!$C$5="Lognormal",LOGINV(B712,LN(Supuestos!$D$5)-LN(1+Supuestos!$E$5^2/Supuestos!$D$5^2)/2,SQRT(LN(1+Supuestos!$E$5^2/Supuestos!$D$5^2))),Supuestos!$D$5))))))</f>
        <v/>
      </c>
      <c r="J712" s="31">
        <f>MIN(IF(Supuestos!$H$6="",1E+99,Supuestos!$H$6),MAX(IF(Supuestos!$G$6="",-1E+99,Supuestos!$G$6),IF(Supuestos!$C$6="Normal",NORMINV(C712,Supuestos!$D$6,Supuestos!$E$6),IF(Supuestos!$C$6="Triangular",IF(C712&lt;(Supuestos!$E$6-Supuestos!$D$6)/(Supuestos!$F$6-Supuestos!$D$6),Supuestos!$D$6+SQRT(C712*(Supuestos!$F$6-Supuestos!$D$6)*(Supuestos!$E$6-Supuestos!$D$6)),Supuestos!$F$6-SQRT((1-C712)*(Supuestos!$F$6-Supuestos!$D$6)*(Supuestos!$F$6-Supuestos!$E$6))),IF(Supuestos!$C$6="Uniforme",Supuestos!$D$6+C712*(Supuestos!$E$6-Supuestos!$D$6),IF(Supuestos!$C$6="Lognormal",LOGINV(C712,LN(Supuestos!$D$6)-LN(1+Supuestos!$E$6^2/Supuestos!$D$6^2)/2,SQRT(LN(1+Supuestos!$E$6^2/Supuestos!$D$6^2))),Supuestos!$D$6))))))</f>
        <v/>
      </c>
      <c r="K712" s="32">
        <f>MIN(IF(Supuestos!$H$7="",1E+99,Supuestos!$H$7),MAX(IF(Supuestos!$G$7="",-1E+99,Supuestos!$G$7),IF(Supuestos!$C$7="Normal",NORMINV(D712,Supuestos!$D$7,Supuestos!$E$7),IF(Supuestos!$C$7="Triangular",IF(D712&lt;(Supuestos!$E$7-Supuestos!$D$7)/(Supuestos!$F$7-Supuestos!$D$7),Supuestos!$D$7+SQRT(D712*(Supuestos!$F$7-Supuestos!$D$7)*(Supuestos!$E$7-Supuestos!$D$7)),Supuestos!$F$7-SQRT((1-D712)*(Supuestos!$F$7-Supuestos!$D$7)*(Supuestos!$F$7-Supuestos!$E$7))),IF(Supuestos!$C$7="Uniforme",Supuestos!$D$7+D712*(Supuestos!$E$7-Supuestos!$D$7),IF(Supuestos!$C$7="Lognormal",LOGINV(D712,LN(Supuestos!$D$7)-LN(1+Supuestos!$E$7^2/Supuestos!$D$7^2)/2,SQRT(LN(1+Supuestos!$E$7^2/Supuestos!$D$7^2))),Supuestos!$D$7))))))</f>
        <v/>
      </c>
      <c r="L712" s="32">
        <f>MIN(IF(Supuestos!$H$8="",1E+99,Supuestos!$H$8),MAX(IF(Supuestos!$G$8="",-1E+99,Supuestos!$G$8),IF(Supuestos!$C$8="Normal",NORMINV(E712,Supuestos!$D$8,Supuestos!$E$8),IF(Supuestos!$C$8="Triangular",IF(E712&lt;(Supuestos!$E$8-Supuestos!$D$8)/(Supuestos!$F$8-Supuestos!$D$8),Supuestos!$D$8+SQRT(E712*(Supuestos!$F$8-Supuestos!$D$8)*(Supuestos!$E$8-Supuestos!$D$8)),Supuestos!$F$8-SQRT((1-E712)*(Supuestos!$F$8-Supuestos!$D$8)*(Supuestos!$F$8-Supuestos!$E$8))),IF(Supuestos!$C$8="Uniforme",Supuestos!$D$8+E712*(Supuestos!$E$8-Supuestos!$D$8),IF(Supuestos!$C$8="Lognormal",LOGINV(E712,LN(Supuestos!$D$8)-LN(1+Supuestos!$E$8^2/Supuestos!$D$8^2)/2,SQRT(LN(1+Supuestos!$E$8^2/Supuestos!$D$8^2))),Supuestos!$D$8))))))</f>
        <v/>
      </c>
      <c r="M712" s="32">
        <f>MIN(IF(Supuestos!$H$9="",1E+99,Supuestos!$H$9),MAX(IF(Supuestos!$G$9="",-1E+99,Supuestos!$G$9),IF(Supuestos!$C$9="Normal",NORMINV(F712,Supuestos!$D$9,Supuestos!$E$9),IF(Supuestos!$C$9="Triangular",IF(F712&lt;(Supuestos!$E$9-Supuestos!$D$9)/(Supuestos!$F$9-Supuestos!$D$9),Supuestos!$D$9+SQRT(F712*(Supuestos!$F$9-Supuestos!$D$9)*(Supuestos!$E$9-Supuestos!$D$9)),Supuestos!$F$9-SQRT((1-F712)*(Supuestos!$F$9-Supuestos!$D$9)*(Supuestos!$F$9-Supuestos!$E$9))),IF(Supuestos!$C$9="Uniforme",Supuestos!$D$9+F712*(Supuestos!$E$9-Supuestos!$D$9),IF(Supuestos!$C$9="Lognormal",LOGINV(F712,LN(Supuestos!$D$9)-LN(1+Supuestos!$E$9^2/Supuestos!$D$9^2)/2,SQRT(LN(1+Supuestos!$E$9^2/Supuestos!$D$9^2))),Supuestos!$D$9))))))</f>
        <v/>
      </c>
      <c r="N712" s="32">
        <f>MIN(IF(Supuestos!$H$10="",1E+99,Supuestos!$H$10),MAX(IF(Supuestos!$G$10="",-1E+99,Supuestos!$G$10),IF(Supuestos!$C$10="Normal",NORMINV(G712,Supuestos!$D$10,Supuestos!$E$10),IF(Supuestos!$C$10="Triangular",IF(G712&lt;(Supuestos!$E$10-Supuestos!$D$10)/(Supuestos!$F$10-Supuestos!$D$10),Supuestos!$D$10+SQRT(G712*(Supuestos!$F$10-Supuestos!$D$10)*(Supuestos!$E$10-Supuestos!$D$10)),Supuestos!$F$10-SQRT((1-G712)*(Supuestos!$F$10-Supuestos!$D$10)*(Supuestos!$F$10-Supuestos!$E$10))),IF(Supuestos!$C$10="Uniforme",Supuestos!$D$10+G712*(Supuestos!$E$10-Supuestos!$D$10),IF(Supuestos!$C$10="Lognormal",LOGINV(G712,LN(Supuestos!$D$10)-LN(1+Supuestos!$E$10^2/Supuestos!$D$10^2)/2,SQRT(LN(1+Supuestos!$E$10^2/Supuestos!$D$10^2))),Supuestos!$D$10))))))</f>
        <v/>
      </c>
      <c r="O712" s="31">
        <f>MIN(IF(Supuestos!$H$11="",1E+99,Supuestos!$H$11),MAX(IF(Supuestos!$G$11="",-1E+99,Supuestos!$G$11),IF(Supuestos!$C$11="Normal",NORMINV(H712,Supuestos!$D$11,Supuestos!$E$11),IF(Supuestos!$C$11="Triangular",IF(H712&lt;(Supuestos!$E$11-Supuestos!$D$11)/(Supuestos!$F$11-Supuestos!$D$11),Supuestos!$D$11+SQRT(H712*(Supuestos!$F$11-Supuestos!$D$11)*(Supuestos!$E$11-Supuestos!$D$11)),Supuestos!$F$11-SQRT((1-H712)*(Supuestos!$F$11-Supuestos!$D$11)*(Supuestos!$F$11-Supuestos!$E$11))),IF(Supuestos!$C$11="Uniforme",Supuestos!$D$11+H712*(Supuestos!$E$11-Supuestos!$D$11),IF(Supuestos!$C$11="Lognormal",LOGINV(H712,LN(Supuestos!$D$11)-LN(1+Supuestos!$E$11^2/Supuestos!$D$11^2)/2,SQRT(LN(1+Supuestos!$E$11^2/Supuestos!$D$11^2))),Supuestos!$D$11))))))</f>
        <v/>
      </c>
      <c r="P712" s="33">
        <f>-I712</f>
        <v/>
      </c>
      <c r="Q712" s="33">
        <f>$J712*(1+$K712)^(1-1)*(1-$L712)*(1-$M712)</f>
        <v/>
      </c>
      <c r="R712" s="33">
        <f>$J712*(1+$K712)^(2-1)*(1-$L712)*(1-$M712)</f>
        <v/>
      </c>
      <c r="S712" s="33">
        <f>$J712*(1+$K712)^(3-1)*(1-$L712)*(1-$M712)</f>
        <v/>
      </c>
      <c r="T712" s="33">
        <f>$J712*(1+$K712)^(4-1)*(1-$L712)*(1-$M712)</f>
        <v/>
      </c>
      <c r="U712" s="33">
        <f>$J712*(1+$K712)^(5-1)*(1-$L712)*(1-$M712)+$O712</f>
        <v/>
      </c>
      <c r="V712" s="33">
        <f>P712+NPV($N712,Q712:U712)</f>
        <v/>
      </c>
      <c r="W712" s="32">
        <f>IFERROR(IRR(P712:U712,0.1),"")</f>
        <v/>
      </c>
    </row>
    <row r="713">
      <c r="A713" s="14" t="n">
        <v>709</v>
      </c>
      <c r="B713" s="30">
        <f>RAND()*(1-2E-6)+1E-6</f>
        <v/>
      </c>
      <c r="C713" s="30">
        <f>RAND()*(1-2E-6)+1E-6</f>
        <v/>
      </c>
      <c r="D713" s="30">
        <f>RAND()*(1-2E-6)+1E-6</f>
        <v/>
      </c>
      <c r="E713" s="30">
        <f>RAND()*(1-2E-6)+1E-6</f>
        <v/>
      </c>
      <c r="F713" s="30">
        <f>RAND()*(1-2E-6)+1E-6</f>
        <v/>
      </c>
      <c r="G713" s="30">
        <f>RAND()*(1-2E-6)+1E-6</f>
        <v/>
      </c>
      <c r="H713" s="30">
        <f>RAND()*(1-2E-6)+1E-6</f>
        <v/>
      </c>
      <c r="I713" s="31">
        <f>MIN(IF(Supuestos!$H$5="",1E+99,Supuestos!$H$5),MAX(IF(Supuestos!$G$5="",-1E+99,Supuestos!$G$5),IF(Supuestos!$C$5="Normal",NORMINV(B713,Supuestos!$D$5,Supuestos!$E$5),IF(Supuestos!$C$5="Triangular",IF(B713&lt;(Supuestos!$E$5-Supuestos!$D$5)/(Supuestos!$F$5-Supuestos!$D$5),Supuestos!$D$5+SQRT(B713*(Supuestos!$F$5-Supuestos!$D$5)*(Supuestos!$E$5-Supuestos!$D$5)),Supuestos!$F$5-SQRT((1-B713)*(Supuestos!$F$5-Supuestos!$D$5)*(Supuestos!$F$5-Supuestos!$E$5))),IF(Supuestos!$C$5="Uniforme",Supuestos!$D$5+B713*(Supuestos!$E$5-Supuestos!$D$5),IF(Supuestos!$C$5="Lognormal",LOGINV(B713,LN(Supuestos!$D$5)-LN(1+Supuestos!$E$5^2/Supuestos!$D$5^2)/2,SQRT(LN(1+Supuestos!$E$5^2/Supuestos!$D$5^2))),Supuestos!$D$5))))))</f>
        <v/>
      </c>
      <c r="J713" s="31">
        <f>MIN(IF(Supuestos!$H$6="",1E+99,Supuestos!$H$6),MAX(IF(Supuestos!$G$6="",-1E+99,Supuestos!$G$6),IF(Supuestos!$C$6="Normal",NORMINV(C713,Supuestos!$D$6,Supuestos!$E$6),IF(Supuestos!$C$6="Triangular",IF(C713&lt;(Supuestos!$E$6-Supuestos!$D$6)/(Supuestos!$F$6-Supuestos!$D$6),Supuestos!$D$6+SQRT(C713*(Supuestos!$F$6-Supuestos!$D$6)*(Supuestos!$E$6-Supuestos!$D$6)),Supuestos!$F$6-SQRT((1-C713)*(Supuestos!$F$6-Supuestos!$D$6)*(Supuestos!$F$6-Supuestos!$E$6))),IF(Supuestos!$C$6="Uniforme",Supuestos!$D$6+C713*(Supuestos!$E$6-Supuestos!$D$6),IF(Supuestos!$C$6="Lognormal",LOGINV(C713,LN(Supuestos!$D$6)-LN(1+Supuestos!$E$6^2/Supuestos!$D$6^2)/2,SQRT(LN(1+Supuestos!$E$6^2/Supuestos!$D$6^2))),Supuestos!$D$6))))))</f>
        <v/>
      </c>
      <c r="K713" s="32">
        <f>MIN(IF(Supuestos!$H$7="",1E+99,Supuestos!$H$7),MAX(IF(Supuestos!$G$7="",-1E+99,Supuestos!$G$7),IF(Supuestos!$C$7="Normal",NORMINV(D713,Supuestos!$D$7,Supuestos!$E$7),IF(Supuestos!$C$7="Triangular",IF(D713&lt;(Supuestos!$E$7-Supuestos!$D$7)/(Supuestos!$F$7-Supuestos!$D$7),Supuestos!$D$7+SQRT(D713*(Supuestos!$F$7-Supuestos!$D$7)*(Supuestos!$E$7-Supuestos!$D$7)),Supuestos!$F$7-SQRT((1-D713)*(Supuestos!$F$7-Supuestos!$D$7)*(Supuestos!$F$7-Supuestos!$E$7))),IF(Supuestos!$C$7="Uniforme",Supuestos!$D$7+D713*(Supuestos!$E$7-Supuestos!$D$7),IF(Supuestos!$C$7="Lognormal",LOGINV(D713,LN(Supuestos!$D$7)-LN(1+Supuestos!$E$7^2/Supuestos!$D$7^2)/2,SQRT(LN(1+Supuestos!$E$7^2/Supuestos!$D$7^2))),Supuestos!$D$7))))))</f>
        <v/>
      </c>
      <c r="L713" s="32">
        <f>MIN(IF(Supuestos!$H$8="",1E+99,Supuestos!$H$8),MAX(IF(Supuestos!$G$8="",-1E+99,Supuestos!$G$8),IF(Supuestos!$C$8="Normal",NORMINV(E713,Supuestos!$D$8,Supuestos!$E$8),IF(Supuestos!$C$8="Triangular",IF(E713&lt;(Supuestos!$E$8-Supuestos!$D$8)/(Supuestos!$F$8-Supuestos!$D$8),Supuestos!$D$8+SQRT(E713*(Supuestos!$F$8-Supuestos!$D$8)*(Supuestos!$E$8-Supuestos!$D$8)),Supuestos!$F$8-SQRT((1-E713)*(Supuestos!$F$8-Supuestos!$D$8)*(Supuestos!$F$8-Supuestos!$E$8))),IF(Supuestos!$C$8="Uniforme",Supuestos!$D$8+E713*(Supuestos!$E$8-Supuestos!$D$8),IF(Supuestos!$C$8="Lognormal",LOGINV(E713,LN(Supuestos!$D$8)-LN(1+Supuestos!$E$8^2/Supuestos!$D$8^2)/2,SQRT(LN(1+Supuestos!$E$8^2/Supuestos!$D$8^2))),Supuestos!$D$8))))))</f>
        <v/>
      </c>
      <c r="M713" s="32">
        <f>MIN(IF(Supuestos!$H$9="",1E+99,Supuestos!$H$9),MAX(IF(Supuestos!$G$9="",-1E+99,Supuestos!$G$9),IF(Supuestos!$C$9="Normal",NORMINV(F713,Supuestos!$D$9,Supuestos!$E$9),IF(Supuestos!$C$9="Triangular",IF(F713&lt;(Supuestos!$E$9-Supuestos!$D$9)/(Supuestos!$F$9-Supuestos!$D$9),Supuestos!$D$9+SQRT(F713*(Supuestos!$F$9-Supuestos!$D$9)*(Supuestos!$E$9-Supuestos!$D$9)),Supuestos!$F$9-SQRT((1-F713)*(Supuestos!$F$9-Supuestos!$D$9)*(Supuestos!$F$9-Supuestos!$E$9))),IF(Supuestos!$C$9="Uniforme",Supuestos!$D$9+F713*(Supuestos!$E$9-Supuestos!$D$9),IF(Supuestos!$C$9="Lognormal",LOGINV(F713,LN(Supuestos!$D$9)-LN(1+Supuestos!$E$9^2/Supuestos!$D$9^2)/2,SQRT(LN(1+Supuestos!$E$9^2/Supuestos!$D$9^2))),Supuestos!$D$9))))))</f>
        <v/>
      </c>
      <c r="N713" s="32">
        <f>MIN(IF(Supuestos!$H$10="",1E+99,Supuestos!$H$10),MAX(IF(Supuestos!$G$10="",-1E+99,Supuestos!$G$10),IF(Supuestos!$C$10="Normal",NORMINV(G713,Supuestos!$D$10,Supuestos!$E$10),IF(Supuestos!$C$10="Triangular",IF(G713&lt;(Supuestos!$E$10-Supuestos!$D$10)/(Supuestos!$F$10-Supuestos!$D$10),Supuestos!$D$10+SQRT(G713*(Supuestos!$F$10-Supuestos!$D$10)*(Supuestos!$E$10-Supuestos!$D$10)),Supuestos!$F$10-SQRT((1-G713)*(Supuestos!$F$10-Supuestos!$D$10)*(Supuestos!$F$10-Supuestos!$E$10))),IF(Supuestos!$C$10="Uniforme",Supuestos!$D$10+G713*(Supuestos!$E$10-Supuestos!$D$10),IF(Supuestos!$C$10="Lognormal",LOGINV(G713,LN(Supuestos!$D$10)-LN(1+Supuestos!$E$10^2/Supuestos!$D$10^2)/2,SQRT(LN(1+Supuestos!$E$10^2/Supuestos!$D$10^2))),Supuestos!$D$10))))))</f>
        <v/>
      </c>
      <c r="O713" s="31">
        <f>MIN(IF(Supuestos!$H$11="",1E+99,Supuestos!$H$11),MAX(IF(Supuestos!$G$11="",-1E+99,Supuestos!$G$11),IF(Supuestos!$C$11="Normal",NORMINV(H713,Supuestos!$D$11,Supuestos!$E$11),IF(Supuestos!$C$11="Triangular",IF(H713&lt;(Supuestos!$E$11-Supuestos!$D$11)/(Supuestos!$F$11-Supuestos!$D$11),Supuestos!$D$11+SQRT(H713*(Supuestos!$F$11-Supuestos!$D$11)*(Supuestos!$E$11-Supuestos!$D$11)),Supuestos!$F$11-SQRT((1-H713)*(Supuestos!$F$11-Supuestos!$D$11)*(Supuestos!$F$11-Supuestos!$E$11))),IF(Supuestos!$C$11="Uniforme",Supuestos!$D$11+H713*(Supuestos!$E$11-Supuestos!$D$11),IF(Supuestos!$C$11="Lognormal",LOGINV(H713,LN(Supuestos!$D$11)-LN(1+Supuestos!$E$11^2/Supuestos!$D$11^2)/2,SQRT(LN(1+Supuestos!$E$11^2/Supuestos!$D$11^2))),Supuestos!$D$11))))))</f>
        <v/>
      </c>
      <c r="P713" s="33">
        <f>-I713</f>
        <v/>
      </c>
      <c r="Q713" s="33">
        <f>$J713*(1+$K713)^(1-1)*(1-$L713)*(1-$M713)</f>
        <v/>
      </c>
      <c r="R713" s="33">
        <f>$J713*(1+$K713)^(2-1)*(1-$L713)*(1-$M713)</f>
        <v/>
      </c>
      <c r="S713" s="33">
        <f>$J713*(1+$K713)^(3-1)*(1-$L713)*(1-$M713)</f>
        <v/>
      </c>
      <c r="T713" s="33">
        <f>$J713*(1+$K713)^(4-1)*(1-$L713)*(1-$M713)</f>
        <v/>
      </c>
      <c r="U713" s="33">
        <f>$J713*(1+$K713)^(5-1)*(1-$L713)*(1-$M713)+$O713</f>
        <v/>
      </c>
      <c r="V713" s="33">
        <f>P713+NPV($N713,Q713:U713)</f>
        <v/>
      </c>
      <c r="W713" s="32">
        <f>IFERROR(IRR(P713:U713,0.1),"")</f>
        <v/>
      </c>
    </row>
    <row r="714">
      <c r="A714" s="14" t="n">
        <v>710</v>
      </c>
      <c r="B714" s="30">
        <f>RAND()*(1-2E-6)+1E-6</f>
        <v/>
      </c>
      <c r="C714" s="30">
        <f>RAND()*(1-2E-6)+1E-6</f>
        <v/>
      </c>
      <c r="D714" s="30">
        <f>RAND()*(1-2E-6)+1E-6</f>
        <v/>
      </c>
      <c r="E714" s="30">
        <f>RAND()*(1-2E-6)+1E-6</f>
        <v/>
      </c>
      <c r="F714" s="30">
        <f>RAND()*(1-2E-6)+1E-6</f>
        <v/>
      </c>
      <c r="G714" s="30">
        <f>RAND()*(1-2E-6)+1E-6</f>
        <v/>
      </c>
      <c r="H714" s="30">
        <f>RAND()*(1-2E-6)+1E-6</f>
        <v/>
      </c>
      <c r="I714" s="31">
        <f>MIN(IF(Supuestos!$H$5="",1E+99,Supuestos!$H$5),MAX(IF(Supuestos!$G$5="",-1E+99,Supuestos!$G$5),IF(Supuestos!$C$5="Normal",NORMINV(B714,Supuestos!$D$5,Supuestos!$E$5),IF(Supuestos!$C$5="Triangular",IF(B714&lt;(Supuestos!$E$5-Supuestos!$D$5)/(Supuestos!$F$5-Supuestos!$D$5),Supuestos!$D$5+SQRT(B714*(Supuestos!$F$5-Supuestos!$D$5)*(Supuestos!$E$5-Supuestos!$D$5)),Supuestos!$F$5-SQRT((1-B714)*(Supuestos!$F$5-Supuestos!$D$5)*(Supuestos!$F$5-Supuestos!$E$5))),IF(Supuestos!$C$5="Uniforme",Supuestos!$D$5+B714*(Supuestos!$E$5-Supuestos!$D$5),IF(Supuestos!$C$5="Lognormal",LOGINV(B714,LN(Supuestos!$D$5)-LN(1+Supuestos!$E$5^2/Supuestos!$D$5^2)/2,SQRT(LN(1+Supuestos!$E$5^2/Supuestos!$D$5^2))),Supuestos!$D$5))))))</f>
        <v/>
      </c>
      <c r="J714" s="31">
        <f>MIN(IF(Supuestos!$H$6="",1E+99,Supuestos!$H$6),MAX(IF(Supuestos!$G$6="",-1E+99,Supuestos!$G$6),IF(Supuestos!$C$6="Normal",NORMINV(C714,Supuestos!$D$6,Supuestos!$E$6),IF(Supuestos!$C$6="Triangular",IF(C714&lt;(Supuestos!$E$6-Supuestos!$D$6)/(Supuestos!$F$6-Supuestos!$D$6),Supuestos!$D$6+SQRT(C714*(Supuestos!$F$6-Supuestos!$D$6)*(Supuestos!$E$6-Supuestos!$D$6)),Supuestos!$F$6-SQRT((1-C714)*(Supuestos!$F$6-Supuestos!$D$6)*(Supuestos!$F$6-Supuestos!$E$6))),IF(Supuestos!$C$6="Uniforme",Supuestos!$D$6+C714*(Supuestos!$E$6-Supuestos!$D$6),IF(Supuestos!$C$6="Lognormal",LOGINV(C714,LN(Supuestos!$D$6)-LN(1+Supuestos!$E$6^2/Supuestos!$D$6^2)/2,SQRT(LN(1+Supuestos!$E$6^2/Supuestos!$D$6^2))),Supuestos!$D$6))))))</f>
        <v/>
      </c>
      <c r="K714" s="32">
        <f>MIN(IF(Supuestos!$H$7="",1E+99,Supuestos!$H$7),MAX(IF(Supuestos!$G$7="",-1E+99,Supuestos!$G$7),IF(Supuestos!$C$7="Normal",NORMINV(D714,Supuestos!$D$7,Supuestos!$E$7),IF(Supuestos!$C$7="Triangular",IF(D714&lt;(Supuestos!$E$7-Supuestos!$D$7)/(Supuestos!$F$7-Supuestos!$D$7),Supuestos!$D$7+SQRT(D714*(Supuestos!$F$7-Supuestos!$D$7)*(Supuestos!$E$7-Supuestos!$D$7)),Supuestos!$F$7-SQRT((1-D714)*(Supuestos!$F$7-Supuestos!$D$7)*(Supuestos!$F$7-Supuestos!$E$7))),IF(Supuestos!$C$7="Uniforme",Supuestos!$D$7+D714*(Supuestos!$E$7-Supuestos!$D$7),IF(Supuestos!$C$7="Lognormal",LOGINV(D714,LN(Supuestos!$D$7)-LN(1+Supuestos!$E$7^2/Supuestos!$D$7^2)/2,SQRT(LN(1+Supuestos!$E$7^2/Supuestos!$D$7^2))),Supuestos!$D$7))))))</f>
        <v/>
      </c>
      <c r="L714" s="32">
        <f>MIN(IF(Supuestos!$H$8="",1E+99,Supuestos!$H$8),MAX(IF(Supuestos!$G$8="",-1E+99,Supuestos!$G$8),IF(Supuestos!$C$8="Normal",NORMINV(E714,Supuestos!$D$8,Supuestos!$E$8),IF(Supuestos!$C$8="Triangular",IF(E714&lt;(Supuestos!$E$8-Supuestos!$D$8)/(Supuestos!$F$8-Supuestos!$D$8),Supuestos!$D$8+SQRT(E714*(Supuestos!$F$8-Supuestos!$D$8)*(Supuestos!$E$8-Supuestos!$D$8)),Supuestos!$F$8-SQRT((1-E714)*(Supuestos!$F$8-Supuestos!$D$8)*(Supuestos!$F$8-Supuestos!$E$8))),IF(Supuestos!$C$8="Uniforme",Supuestos!$D$8+E714*(Supuestos!$E$8-Supuestos!$D$8),IF(Supuestos!$C$8="Lognormal",LOGINV(E714,LN(Supuestos!$D$8)-LN(1+Supuestos!$E$8^2/Supuestos!$D$8^2)/2,SQRT(LN(1+Supuestos!$E$8^2/Supuestos!$D$8^2))),Supuestos!$D$8))))))</f>
        <v/>
      </c>
      <c r="M714" s="32">
        <f>MIN(IF(Supuestos!$H$9="",1E+99,Supuestos!$H$9),MAX(IF(Supuestos!$G$9="",-1E+99,Supuestos!$G$9),IF(Supuestos!$C$9="Normal",NORMINV(F714,Supuestos!$D$9,Supuestos!$E$9),IF(Supuestos!$C$9="Triangular",IF(F714&lt;(Supuestos!$E$9-Supuestos!$D$9)/(Supuestos!$F$9-Supuestos!$D$9),Supuestos!$D$9+SQRT(F714*(Supuestos!$F$9-Supuestos!$D$9)*(Supuestos!$E$9-Supuestos!$D$9)),Supuestos!$F$9-SQRT((1-F714)*(Supuestos!$F$9-Supuestos!$D$9)*(Supuestos!$F$9-Supuestos!$E$9))),IF(Supuestos!$C$9="Uniforme",Supuestos!$D$9+F714*(Supuestos!$E$9-Supuestos!$D$9),IF(Supuestos!$C$9="Lognormal",LOGINV(F714,LN(Supuestos!$D$9)-LN(1+Supuestos!$E$9^2/Supuestos!$D$9^2)/2,SQRT(LN(1+Supuestos!$E$9^2/Supuestos!$D$9^2))),Supuestos!$D$9))))))</f>
        <v/>
      </c>
      <c r="N714" s="32">
        <f>MIN(IF(Supuestos!$H$10="",1E+99,Supuestos!$H$10),MAX(IF(Supuestos!$G$10="",-1E+99,Supuestos!$G$10),IF(Supuestos!$C$10="Normal",NORMINV(G714,Supuestos!$D$10,Supuestos!$E$10),IF(Supuestos!$C$10="Triangular",IF(G714&lt;(Supuestos!$E$10-Supuestos!$D$10)/(Supuestos!$F$10-Supuestos!$D$10),Supuestos!$D$10+SQRT(G714*(Supuestos!$F$10-Supuestos!$D$10)*(Supuestos!$E$10-Supuestos!$D$10)),Supuestos!$F$10-SQRT((1-G714)*(Supuestos!$F$10-Supuestos!$D$10)*(Supuestos!$F$10-Supuestos!$E$10))),IF(Supuestos!$C$10="Uniforme",Supuestos!$D$10+G714*(Supuestos!$E$10-Supuestos!$D$10),IF(Supuestos!$C$10="Lognormal",LOGINV(G714,LN(Supuestos!$D$10)-LN(1+Supuestos!$E$10^2/Supuestos!$D$10^2)/2,SQRT(LN(1+Supuestos!$E$10^2/Supuestos!$D$10^2))),Supuestos!$D$10))))))</f>
        <v/>
      </c>
      <c r="O714" s="31">
        <f>MIN(IF(Supuestos!$H$11="",1E+99,Supuestos!$H$11),MAX(IF(Supuestos!$G$11="",-1E+99,Supuestos!$G$11),IF(Supuestos!$C$11="Normal",NORMINV(H714,Supuestos!$D$11,Supuestos!$E$11),IF(Supuestos!$C$11="Triangular",IF(H714&lt;(Supuestos!$E$11-Supuestos!$D$11)/(Supuestos!$F$11-Supuestos!$D$11),Supuestos!$D$11+SQRT(H714*(Supuestos!$F$11-Supuestos!$D$11)*(Supuestos!$E$11-Supuestos!$D$11)),Supuestos!$F$11-SQRT((1-H714)*(Supuestos!$F$11-Supuestos!$D$11)*(Supuestos!$F$11-Supuestos!$E$11))),IF(Supuestos!$C$11="Uniforme",Supuestos!$D$11+H714*(Supuestos!$E$11-Supuestos!$D$11),IF(Supuestos!$C$11="Lognormal",LOGINV(H714,LN(Supuestos!$D$11)-LN(1+Supuestos!$E$11^2/Supuestos!$D$11^2)/2,SQRT(LN(1+Supuestos!$E$11^2/Supuestos!$D$11^2))),Supuestos!$D$11))))))</f>
        <v/>
      </c>
      <c r="P714" s="33">
        <f>-I714</f>
        <v/>
      </c>
      <c r="Q714" s="33">
        <f>$J714*(1+$K714)^(1-1)*(1-$L714)*(1-$M714)</f>
        <v/>
      </c>
      <c r="R714" s="33">
        <f>$J714*(1+$K714)^(2-1)*(1-$L714)*(1-$M714)</f>
        <v/>
      </c>
      <c r="S714" s="33">
        <f>$J714*(1+$K714)^(3-1)*(1-$L714)*(1-$M714)</f>
        <v/>
      </c>
      <c r="T714" s="33">
        <f>$J714*(1+$K714)^(4-1)*(1-$L714)*(1-$M714)</f>
        <v/>
      </c>
      <c r="U714" s="33">
        <f>$J714*(1+$K714)^(5-1)*(1-$L714)*(1-$M714)+$O714</f>
        <v/>
      </c>
      <c r="V714" s="33">
        <f>P714+NPV($N714,Q714:U714)</f>
        <v/>
      </c>
      <c r="W714" s="32">
        <f>IFERROR(IRR(P714:U714,0.1),"")</f>
        <v/>
      </c>
    </row>
    <row r="715">
      <c r="A715" s="14" t="n">
        <v>711</v>
      </c>
      <c r="B715" s="30">
        <f>RAND()*(1-2E-6)+1E-6</f>
        <v/>
      </c>
      <c r="C715" s="30">
        <f>RAND()*(1-2E-6)+1E-6</f>
        <v/>
      </c>
      <c r="D715" s="30">
        <f>RAND()*(1-2E-6)+1E-6</f>
        <v/>
      </c>
      <c r="E715" s="30">
        <f>RAND()*(1-2E-6)+1E-6</f>
        <v/>
      </c>
      <c r="F715" s="30">
        <f>RAND()*(1-2E-6)+1E-6</f>
        <v/>
      </c>
      <c r="G715" s="30">
        <f>RAND()*(1-2E-6)+1E-6</f>
        <v/>
      </c>
      <c r="H715" s="30">
        <f>RAND()*(1-2E-6)+1E-6</f>
        <v/>
      </c>
      <c r="I715" s="31">
        <f>MIN(IF(Supuestos!$H$5="",1E+99,Supuestos!$H$5),MAX(IF(Supuestos!$G$5="",-1E+99,Supuestos!$G$5),IF(Supuestos!$C$5="Normal",NORMINV(B715,Supuestos!$D$5,Supuestos!$E$5),IF(Supuestos!$C$5="Triangular",IF(B715&lt;(Supuestos!$E$5-Supuestos!$D$5)/(Supuestos!$F$5-Supuestos!$D$5),Supuestos!$D$5+SQRT(B715*(Supuestos!$F$5-Supuestos!$D$5)*(Supuestos!$E$5-Supuestos!$D$5)),Supuestos!$F$5-SQRT((1-B715)*(Supuestos!$F$5-Supuestos!$D$5)*(Supuestos!$F$5-Supuestos!$E$5))),IF(Supuestos!$C$5="Uniforme",Supuestos!$D$5+B715*(Supuestos!$E$5-Supuestos!$D$5),IF(Supuestos!$C$5="Lognormal",LOGINV(B715,LN(Supuestos!$D$5)-LN(1+Supuestos!$E$5^2/Supuestos!$D$5^2)/2,SQRT(LN(1+Supuestos!$E$5^2/Supuestos!$D$5^2))),Supuestos!$D$5))))))</f>
        <v/>
      </c>
      <c r="J715" s="31">
        <f>MIN(IF(Supuestos!$H$6="",1E+99,Supuestos!$H$6),MAX(IF(Supuestos!$G$6="",-1E+99,Supuestos!$G$6),IF(Supuestos!$C$6="Normal",NORMINV(C715,Supuestos!$D$6,Supuestos!$E$6),IF(Supuestos!$C$6="Triangular",IF(C715&lt;(Supuestos!$E$6-Supuestos!$D$6)/(Supuestos!$F$6-Supuestos!$D$6),Supuestos!$D$6+SQRT(C715*(Supuestos!$F$6-Supuestos!$D$6)*(Supuestos!$E$6-Supuestos!$D$6)),Supuestos!$F$6-SQRT((1-C715)*(Supuestos!$F$6-Supuestos!$D$6)*(Supuestos!$F$6-Supuestos!$E$6))),IF(Supuestos!$C$6="Uniforme",Supuestos!$D$6+C715*(Supuestos!$E$6-Supuestos!$D$6),IF(Supuestos!$C$6="Lognormal",LOGINV(C715,LN(Supuestos!$D$6)-LN(1+Supuestos!$E$6^2/Supuestos!$D$6^2)/2,SQRT(LN(1+Supuestos!$E$6^2/Supuestos!$D$6^2))),Supuestos!$D$6))))))</f>
        <v/>
      </c>
      <c r="K715" s="32">
        <f>MIN(IF(Supuestos!$H$7="",1E+99,Supuestos!$H$7),MAX(IF(Supuestos!$G$7="",-1E+99,Supuestos!$G$7),IF(Supuestos!$C$7="Normal",NORMINV(D715,Supuestos!$D$7,Supuestos!$E$7),IF(Supuestos!$C$7="Triangular",IF(D715&lt;(Supuestos!$E$7-Supuestos!$D$7)/(Supuestos!$F$7-Supuestos!$D$7),Supuestos!$D$7+SQRT(D715*(Supuestos!$F$7-Supuestos!$D$7)*(Supuestos!$E$7-Supuestos!$D$7)),Supuestos!$F$7-SQRT((1-D715)*(Supuestos!$F$7-Supuestos!$D$7)*(Supuestos!$F$7-Supuestos!$E$7))),IF(Supuestos!$C$7="Uniforme",Supuestos!$D$7+D715*(Supuestos!$E$7-Supuestos!$D$7),IF(Supuestos!$C$7="Lognormal",LOGINV(D715,LN(Supuestos!$D$7)-LN(1+Supuestos!$E$7^2/Supuestos!$D$7^2)/2,SQRT(LN(1+Supuestos!$E$7^2/Supuestos!$D$7^2))),Supuestos!$D$7))))))</f>
        <v/>
      </c>
      <c r="L715" s="32">
        <f>MIN(IF(Supuestos!$H$8="",1E+99,Supuestos!$H$8),MAX(IF(Supuestos!$G$8="",-1E+99,Supuestos!$G$8),IF(Supuestos!$C$8="Normal",NORMINV(E715,Supuestos!$D$8,Supuestos!$E$8),IF(Supuestos!$C$8="Triangular",IF(E715&lt;(Supuestos!$E$8-Supuestos!$D$8)/(Supuestos!$F$8-Supuestos!$D$8),Supuestos!$D$8+SQRT(E715*(Supuestos!$F$8-Supuestos!$D$8)*(Supuestos!$E$8-Supuestos!$D$8)),Supuestos!$F$8-SQRT((1-E715)*(Supuestos!$F$8-Supuestos!$D$8)*(Supuestos!$F$8-Supuestos!$E$8))),IF(Supuestos!$C$8="Uniforme",Supuestos!$D$8+E715*(Supuestos!$E$8-Supuestos!$D$8),IF(Supuestos!$C$8="Lognormal",LOGINV(E715,LN(Supuestos!$D$8)-LN(1+Supuestos!$E$8^2/Supuestos!$D$8^2)/2,SQRT(LN(1+Supuestos!$E$8^2/Supuestos!$D$8^2))),Supuestos!$D$8))))))</f>
        <v/>
      </c>
      <c r="M715" s="32">
        <f>MIN(IF(Supuestos!$H$9="",1E+99,Supuestos!$H$9),MAX(IF(Supuestos!$G$9="",-1E+99,Supuestos!$G$9),IF(Supuestos!$C$9="Normal",NORMINV(F715,Supuestos!$D$9,Supuestos!$E$9),IF(Supuestos!$C$9="Triangular",IF(F715&lt;(Supuestos!$E$9-Supuestos!$D$9)/(Supuestos!$F$9-Supuestos!$D$9),Supuestos!$D$9+SQRT(F715*(Supuestos!$F$9-Supuestos!$D$9)*(Supuestos!$E$9-Supuestos!$D$9)),Supuestos!$F$9-SQRT((1-F715)*(Supuestos!$F$9-Supuestos!$D$9)*(Supuestos!$F$9-Supuestos!$E$9))),IF(Supuestos!$C$9="Uniforme",Supuestos!$D$9+F715*(Supuestos!$E$9-Supuestos!$D$9),IF(Supuestos!$C$9="Lognormal",LOGINV(F715,LN(Supuestos!$D$9)-LN(1+Supuestos!$E$9^2/Supuestos!$D$9^2)/2,SQRT(LN(1+Supuestos!$E$9^2/Supuestos!$D$9^2))),Supuestos!$D$9))))))</f>
        <v/>
      </c>
      <c r="N715" s="32">
        <f>MIN(IF(Supuestos!$H$10="",1E+99,Supuestos!$H$10),MAX(IF(Supuestos!$G$10="",-1E+99,Supuestos!$G$10),IF(Supuestos!$C$10="Normal",NORMINV(G715,Supuestos!$D$10,Supuestos!$E$10),IF(Supuestos!$C$10="Triangular",IF(G715&lt;(Supuestos!$E$10-Supuestos!$D$10)/(Supuestos!$F$10-Supuestos!$D$10),Supuestos!$D$10+SQRT(G715*(Supuestos!$F$10-Supuestos!$D$10)*(Supuestos!$E$10-Supuestos!$D$10)),Supuestos!$F$10-SQRT((1-G715)*(Supuestos!$F$10-Supuestos!$D$10)*(Supuestos!$F$10-Supuestos!$E$10))),IF(Supuestos!$C$10="Uniforme",Supuestos!$D$10+G715*(Supuestos!$E$10-Supuestos!$D$10),IF(Supuestos!$C$10="Lognormal",LOGINV(G715,LN(Supuestos!$D$10)-LN(1+Supuestos!$E$10^2/Supuestos!$D$10^2)/2,SQRT(LN(1+Supuestos!$E$10^2/Supuestos!$D$10^2))),Supuestos!$D$10))))))</f>
        <v/>
      </c>
      <c r="O715" s="31">
        <f>MIN(IF(Supuestos!$H$11="",1E+99,Supuestos!$H$11),MAX(IF(Supuestos!$G$11="",-1E+99,Supuestos!$G$11),IF(Supuestos!$C$11="Normal",NORMINV(H715,Supuestos!$D$11,Supuestos!$E$11),IF(Supuestos!$C$11="Triangular",IF(H715&lt;(Supuestos!$E$11-Supuestos!$D$11)/(Supuestos!$F$11-Supuestos!$D$11),Supuestos!$D$11+SQRT(H715*(Supuestos!$F$11-Supuestos!$D$11)*(Supuestos!$E$11-Supuestos!$D$11)),Supuestos!$F$11-SQRT((1-H715)*(Supuestos!$F$11-Supuestos!$D$11)*(Supuestos!$F$11-Supuestos!$E$11))),IF(Supuestos!$C$11="Uniforme",Supuestos!$D$11+H715*(Supuestos!$E$11-Supuestos!$D$11),IF(Supuestos!$C$11="Lognormal",LOGINV(H715,LN(Supuestos!$D$11)-LN(1+Supuestos!$E$11^2/Supuestos!$D$11^2)/2,SQRT(LN(1+Supuestos!$E$11^2/Supuestos!$D$11^2))),Supuestos!$D$11))))))</f>
        <v/>
      </c>
      <c r="P715" s="33">
        <f>-I715</f>
        <v/>
      </c>
      <c r="Q715" s="33">
        <f>$J715*(1+$K715)^(1-1)*(1-$L715)*(1-$M715)</f>
        <v/>
      </c>
      <c r="R715" s="33">
        <f>$J715*(1+$K715)^(2-1)*(1-$L715)*(1-$M715)</f>
        <v/>
      </c>
      <c r="S715" s="33">
        <f>$J715*(1+$K715)^(3-1)*(1-$L715)*(1-$M715)</f>
        <v/>
      </c>
      <c r="T715" s="33">
        <f>$J715*(1+$K715)^(4-1)*(1-$L715)*(1-$M715)</f>
        <v/>
      </c>
      <c r="U715" s="33">
        <f>$J715*(1+$K715)^(5-1)*(1-$L715)*(1-$M715)+$O715</f>
        <v/>
      </c>
      <c r="V715" s="33">
        <f>P715+NPV($N715,Q715:U715)</f>
        <v/>
      </c>
      <c r="W715" s="32">
        <f>IFERROR(IRR(P715:U715,0.1),"")</f>
        <v/>
      </c>
    </row>
    <row r="716">
      <c r="A716" s="14" t="n">
        <v>712</v>
      </c>
      <c r="B716" s="30">
        <f>RAND()*(1-2E-6)+1E-6</f>
        <v/>
      </c>
      <c r="C716" s="30">
        <f>RAND()*(1-2E-6)+1E-6</f>
        <v/>
      </c>
      <c r="D716" s="30">
        <f>RAND()*(1-2E-6)+1E-6</f>
        <v/>
      </c>
      <c r="E716" s="30">
        <f>RAND()*(1-2E-6)+1E-6</f>
        <v/>
      </c>
      <c r="F716" s="30">
        <f>RAND()*(1-2E-6)+1E-6</f>
        <v/>
      </c>
      <c r="G716" s="30">
        <f>RAND()*(1-2E-6)+1E-6</f>
        <v/>
      </c>
      <c r="H716" s="30">
        <f>RAND()*(1-2E-6)+1E-6</f>
        <v/>
      </c>
      <c r="I716" s="31">
        <f>MIN(IF(Supuestos!$H$5="",1E+99,Supuestos!$H$5),MAX(IF(Supuestos!$G$5="",-1E+99,Supuestos!$G$5),IF(Supuestos!$C$5="Normal",NORMINV(B716,Supuestos!$D$5,Supuestos!$E$5),IF(Supuestos!$C$5="Triangular",IF(B716&lt;(Supuestos!$E$5-Supuestos!$D$5)/(Supuestos!$F$5-Supuestos!$D$5),Supuestos!$D$5+SQRT(B716*(Supuestos!$F$5-Supuestos!$D$5)*(Supuestos!$E$5-Supuestos!$D$5)),Supuestos!$F$5-SQRT((1-B716)*(Supuestos!$F$5-Supuestos!$D$5)*(Supuestos!$F$5-Supuestos!$E$5))),IF(Supuestos!$C$5="Uniforme",Supuestos!$D$5+B716*(Supuestos!$E$5-Supuestos!$D$5),IF(Supuestos!$C$5="Lognormal",LOGINV(B716,LN(Supuestos!$D$5)-LN(1+Supuestos!$E$5^2/Supuestos!$D$5^2)/2,SQRT(LN(1+Supuestos!$E$5^2/Supuestos!$D$5^2))),Supuestos!$D$5))))))</f>
        <v/>
      </c>
      <c r="J716" s="31">
        <f>MIN(IF(Supuestos!$H$6="",1E+99,Supuestos!$H$6),MAX(IF(Supuestos!$G$6="",-1E+99,Supuestos!$G$6),IF(Supuestos!$C$6="Normal",NORMINV(C716,Supuestos!$D$6,Supuestos!$E$6),IF(Supuestos!$C$6="Triangular",IF(C716&lt;(Supuestos!$E$6-Supuestos!$D$6)/(Supuestos!$F$6-Supuestos!$D$6),Supuestos!$D$6+SQRT(C716*(Supuestos!$F$6-Supuestos!$D$6)*(Supuestos!$E$6-Supuestos!$D$6)),Supuestos!$F$6-SQRT((1-C716)*(Supuestos!$F$6-Supuestos!$D$6)*(Supuestos!$F$6-Supuestos!$E$6))),IF(Supuestos!$C$6="Uniforme",Supuestos!$D$6+C716*(Supuestos!$E$6-Supuestos!$D$6),IF(Supuestos!$C$6="Lognormal",LOGINV(C716,LN(Supuestos!$D$6)-LN(1+Supuestos!$E$6^2/Supuestos!$D$6^2)/2,SQRT(LN(1+Supuestos!$E$6^2/Supuestos!$D$6^2))),Supuestos!$D$6))))))</f>
        <v/>
      </c>
      <c r="K716" s="32">
        <f>MIN(IF(Supuestos!$H$7="",1E+99,Supuestos!$H$7),MAX(IF(Supuestos!$G$7="",-1E+99,Supuestos!$G$7),IF(Supuestos!$C$7="Normal",NORMINV(D716,Supuestos!$D$7,Supuestos!$E$7),IF(Supuestos!$C$7="Triangular",IF(D716&lt;(Supuestos!$E$7-Supuestos!$D$7)/(Supuestos!$F$7-Supuestos!$D$7),Supuestos!$D$7+SQRT(D716*(Supuestos!$F$7-Supuestos!$D$7)*(Supuestos!$E$7-Supuestos!$D$7)),Supuestos!$F$7-SQRT((1-D716)*(Supuestos!$F$7-Supuestos!$D$7)*(Supuestos!$F$7-Supuestos!$E$7))),IF(Supuestos!$C$7="Uniforme",Supuestos!$D$7+D716*(Supuestos!$E$7-Supuestos!$D$7),IF(Supuestos!$C$7="Lognormal",LOGINV(D716,LN(Supuestos!$D$7)-LN(1+Supuestos!$E$7^2/Supuestos!$D$7^2)/2,SQRT(LN(1+Supuestos!$E$7^2/Supuestos!$D$7^2))),Supuestos!$D$7))))))</f>
        <v/>
      </c>
      <c r="L716" s="32">
        <f>MIN(IF(Supuestos!$H$8="",1E+99,Supuestos!$H$8),MAX(IF(Supuestos!$G$8="",-1E+99,Supuestos!$G$8),IF(Supuestos!$C$8="Normal",NORMINV(E716,Supuestos!$D$8,Supuestos!$E$8),IF(Supuestos!$C$8="Triangular",IF(E716&lt;(Supuestos!$E$8-Supuestos!$D$8)/(Supuestos!$F$8-Supuestos!$D$8),Supuestos!$D$8+SQRT(E716*(Supuestos!$F$8-Supuestos!$D$8)*(Supuestos!$E$8-Supuestos!$D$8)),Supuestos!$F$8-SQRT((1-E716)*(Supuestos!$F$8-Supuestos!$D$8)*(Supuestos!$F$8-Supuestos!$E$8))),IF(Supuestos!$C$8="Uniforme",Supuestos!$D$8+E716*(Supuestos!$E$8-Supuestos!$D$8),IF(Supuestos!$C$8="Lognormal",LOGINV(E716,LN(Supuestos!$D$8)-LN(1+Supuestos!$E$8^2/Supuestos!$D$8^2)/2,SQRT(LN(1+Supuestos!$E$8^2/Supuestos!$D$8^2))),Supuestos!$D$8))))))</f>
        <v/>
      </c>
      <c r="M716" s="32">
        <f>MIN(IF(Supuestos!$H$9="",1E+99,Supuestos!$H$9),MAX(IF(Supuestos!$G$9="",-1E+99,Supuestos!$G$9),IF(Supuestos!$C$9="Normal",NORMINV(F716,Supuestos!$D$9,Supuestos!$E$9),IF(Supuestos!$C$9="Triangular",IF(F716&lt;(Supuestos!$E$9-Supuestos!$D$9)/(Supuestos!$F$9-Supuestos!$D$9),Supuestos!$D$9+SQRT(F716*(Supuestos!$F$9-Supuestos!$D$9)*(Supuestos!$E$9-Supuestos!$D$9)),Supuestos!$F$9-SQRT((1-F716)*(Supuestos!$F$9-Supuestos!$D$9)*(Supuestos!$F$9-Supuestos!$E$9))),IF(Supuestos!$C$9="Uniforme",Supuestos!$D$9+F716*(Supuestos!$E$9-Supuestos!$D$9),IF(Supuestos!$C$9="Lognormal",LOGINV(F716,LN(Supuestos!$D$9)-LN(1+Supuestos!$E$9^2/Supuestos!$D$9^2)/2,SQRT(LN(1+Supuestos!$E$9^2/Supuestos!$D$9^2))),Supuestos!$D$9))))))</f>
        <v/>
      </c>
      <c r="N716" s="32">
        <f>MIN(IF(Supuestos!$H$10="",1E+99,Supuestos!$H$10),MAX(IF(Supuestos!$G$10="",-1E+99,Supuestos!$G$10),IF(Supuestos!$C$10="Normal",NORMINV(G716,Supuestos!$D$10,Supuestos!$E$10),IF(Supuestos!$C$10="Triangular",IF(G716&lt;(Supuestos!$E$10-Supuestos!$D$10)/(Supuestos!$F$10-Supuestos!$D$10),Supuestos!$D$10+SQRT(G716*(Supuestos!$F$10-Supuestos!$D$10)*(Supuestos!$E$10-Supuestos!$D$10)),Supuestos!$F$10-SQRT((1-G716)*(Supuestos!$F$10-Supuestos!$D$10)*(Supuestos!$F$10-Supuestos!$E$10))),IF(Supuestos!$C$10="Uniforme",Supuestos!$D$10+G716*(Supuestos!$E$10-Supuestos!$D$10),IF(Supuestos!$C$10="Lognormal",LOGINV(G716,LN(Supuestos!$D$10)-LN(1+Supuestos!$E$10^2/Supuestos!$D$10^2)/2,SQRT(LN(1+Supuestos!$E$10^2/Supuestos!$D$10^2))),Supuestos!$D$10))))))</f>
        <v/>
      </c>
      <c r="O716" s="31">
        <f>MIN(IF(Supuestos!$H$11="",1E+99,Supuestos!$H$11),MAX(IF(Supuestos!$G$11="",-1E+99,Supuestos!$G$11),IF(Supuestos!$C$11="Normal",NORMINV(H716,Supuestos!$D$11,Supuestos!$E$11),IF(Supuestos!$C$11="Triangular",IF(H716&lt;(Supuestos!$E$11-Supuestos!$D$11)/(Supuestos!$F$11-Supuestos!$D$11),Supuestos!$D$11+SQRT(H716*(Supuestos!$F$11-Supuestos!$D$11)*(Supuestos!$E$11-Supuestos!$D$11)),Supuestos!$F$11-SQRT((1-H716)*(Supuestos!$F$11-Supuestos!$D$11)*(Supuestos!$F$11-Supuestos!$E$11))),IF(Supuestos!$C$11="Uniforme",Supuestos!$D$11+H716*(Supuestos!$E$11-Supuestos!$D$11),IF(Supuestos!$C$11="Lognormal",LOGINV(H716,LN(Supuestos!$D$11)-LN(1+Supuestos!$E$11^2/Supuestos!$D$11^2)/2,SQRT(LN(1+Supuestos!$E$11^2/Supuestos!$D$11^2))),Supuestos!$D$11))))))</f>
        <v/>
      </c>
      <c r="P716" s="33">
        <f>-I716</f>
        <v/>
      </c>
      <c r="Q716" s="33">
        <f>$J716*(1+$K716)^(1-1)*(1-$L716)*(1-$M716)</f>
        <v/>
      </c>
      <c r="R716" s="33">
        <f>$J716*(1+$K716)^(2-1)*(1-$L716)*(1-$M716)</f>
        <v/>
      </c>
      <c r="S716" s="33">
        <f>$J716*(1+$K716)^(3-1)*(1-$L716)*(1-$M716)</f>
        <v/>
      </c>
      <c r="T716" s="33">
        <f>$J716*(1+$K716)^(4-1)*(1-$L716)*(1-$M716)</f>
        <v/>
      </c>
      <c r="U716" s="33">
        <f>$J716*(1+$K716)^(5-1)*(1-$L716)*(1-$M716)+$O716</f>
        <v/>
      </c>
      <c r="V716" s="33">
        <f>P716+NPV($N716,Q716:U716)</f>
        <v/>
      </c>
      <c r="W716" s="32">
        <f>IFERROR(IRR(P716:U716,0.1),"")</f>
        <v/>
      </c>
    </row>
    <row r="717">
      <c r="A717" s="14" t="n">
        <v>713</v>
      </c>
      <c r="B717" s="30">
        <f>RAND()*(1-2E-6)+1E-6</f>
        <v/>
      </c>
      <c r="C717" s="30">
        <f>RAND()*(1-2E-6)+1E-6</f>
        <v/>
      </c>
      <c r="D717" s="30">
        <f>RAND()*(1-2E-6)+1E-6</f>
        <v/>
      </c>
      <c r="E717" s="30">
        <f>RAND()*(1-2E-6)+1E-6</f>
        <v/>
      </c>
      <c r="F717" s="30">
        <f>RAND()*(1-2E-6)+1E-6</f>
        <v/>
      </c>
      <c r="G717" s="30">
        <f>RAND()*(1-2E-6)+1E-6</f>
        <v/>
      </c>
      <c r="H717" s="30">
        <f>RAND()*(1-2E-6)+1E-6</f>
        <v/>
      </c>
      <c r="I717" s="31">
        <f>MIN(IF(Supuestos!$H$5="",1E+99,Supuestos!$H$5),MAX(IF(Supuestos!$G$5="",-1E+99,Supuestos!$G$5),IF(Supuestos!$C$5="Normal",NORMINV(B717,Supuestos!$D$5,Supuestos!$E$5),IF(Supuestos!$C$5="Triangular",IF(B717&lt;(Supuestos!$E$5-Supuestos!$D$5)/(Supuestos!$F$5-Supuestos!$D$5),Supuestos!$D$5+SQRT(B717*(Supuestos!$F$5-Supuestos!$D$5)*(Supuestos!$E$5-Supuestos!$D$5)),Supuestos!$F$5-SQRT((1-B717)*(Supuestos!$F$5-Supuestos!$D$5)*(Supuestos!$F$5-Supuestos!$E$5))),IF(Supuestos!$C$5="Uniforme",Supuestos!$D$5+B717*(Supuestos!$E$5-Supuestos!$D$5),IF(Supuestos!$C$5="Lognormal",LOGINV(B717,LN(Supuestos!$D$5)-LN(1+Supuestos!$E$5^2/Supuestos!$D$5^2)/2,SQRT(LN(1+Supuestos!$E$5^2/Supuestos!$D$5^2))),Supuestos!$D$5))))))</f>
        <v/>
      </c>
      <c r="J717" s="31">
        <f>MIN(IF(Supuestos!$H$6="",1E+99,Supuestos!$H$6),MAX(IF(Supuestos!$G$6="",-1E+99,Supuestos!$G$6),IF(Supuestos!$C$6="Normal",NORMINV(C717,Supuestos!$D$6,Supuestos!$E$6),IF(Supuestos!$C$6="Triangular",IF(C717&lt;(Supuestos!$E$6-Supuestos!$D$6)/(Supuestos!$F$6-Supuestos!$D$6),Supuestos!$D$6+SQRT(C717*(Supuestos!$F$6-Supuestos!$D$6)*(Supuestos!$E$6-Supuestos!$D$6)),Supuestos!$F$6-SQRT((1-C717)*(Supuestos!$F$6-Supuestos!$D$6)*(Supuestos!$F$6-Supuestos!$E$6))),IF(Supuestos!$C$6="Uniforme",Supuestos!$D$6+C717*(Supuestos!$E$6-Supuestos!$D$6),IF(Supuestos!$C$6="Lognormal",LOGINV(C717,LN(Supuestos!$D$6)-LN(1+Supuestos!$E$6^2/Supuestos!$D$6^2)/2,SQRT(LN(1+Supuestos!$E$6^2/Supuestos!$D$6^2))),Supuestos!$D$6))))))</f>
        <v/>
      </c>
      <c r="K717" s="32">
        <f>MIN(IF(Supuestos!$H$7="",1E+99,Supuestos!$H$7),MAX(IF(Supuestos!$G$7="",-1E+99,Supuestos!$G$7),IF(Supuestos!$C$7="Normal",NORMINV(D717,Supuestos!$D$7,Supuestos!$E$7),IF(Supuestos!$C$7="Triangular",IF(D717&lt;(Supuestos!$E$7-Supuestos!$D$7)/(Supuestos!$F$7-Supuestos!$D$7),Supuestos!$D$7+SQRT(D717*(Supuestos!$F$7-Supuestos!$D$7)*(Supuestos!$E$7-Supuestos!$D$7)),Supuestos!$F$7-SQRT((1-D717)*(Supuestos!$F$7-Supuestos!$D$7)*(Supuestos!$F$7-Supuestos!$E$7))),IF(Supuestos!$C$7="Uniforme",Supuestos!$D$7+D717*(Supuestos!$E$7-Supuestos!$D$7),IF(Supuestos!$C$7="Lognormal",LOGINV(D717,LN(Supuestos!$D$7)-LN(1+Supuestos!$E$7^2/Supuestos!$D$7^2)/2,SQRT(LN(1+Supuestos!$E$7^2/Supuestos!$D$7^2))),Supuestos!$D$7))))))</f>
        <v/>
      </c>
      <c r="L717" s="32">
        <f>MIN(IF(Supuestos!$H$8="",1E+99,Supuestos!$H$8),MAX(IF(Supuestos!$G$8="",-1E+99,Supuestos!$G$8),IF(Supuestos!$C$8="Normal",NORMINV(E717,Supuestos!$D$8,Supuestos!$E$8),IF(Supuestos!$C$8="Triangular",IF(E717&lt;(Supuestos!$E$8-Supuestos!$D$8)/(Supuestos!$F$8-Supuestos!$D$8),Supuestos!$D$8+SQRT(E717*(Supuestos!$F$8-Supuestos!$D$8)*(Supuestos!$E$8-Supuestos!$D$8)),Supuestos!$F$8-SQRT((1-E717)*(Supuestos!$F$8-Supuestos!$D$8)*(Supuestos!$F$8-Supuestos!$E$8))),IF(Supuestos!$C$8="Uniforme",Supuestos!$D$8+E717*(Supuestos!$E$8-Supuestos!$D$8),IF(Supuestos!$C$8="Lognormal",LOGINV(E717,LN(Supuestos!$D$8)-LN(1+Supuestos!$E$8^2/Supuestos!$D$8^2)/2,SQRT(LN(1+Supuestos!$E$8^2/Supuestos!$D$8^2))),Supuestos!$D$8))))))</f>
        <v/>
      </c>
      <c r="M717" s="32">
        <f>MIN(IF(Supuestos!$H$9="",1E+99,Supuestos!$H$9),MAX(IF(Supuestos!$G$9="",-1E+99,Supuestos!$G$9),IF(Supuestos!$C$9="Normal",NORMINV(F717,Supuestos!$D$9,Supuestos!$E$9),IF(Supuestos!$C$9="Triangular",IF(F717&lt;(Supuestos!$E$9-Supuestos!$D$9)/(Supuestos!$F$9-Supuestos!$D$9),Supuestos!$D$9+SQRT(F717*(Supuestos!$F$9-Supuestos!$D$9)*(Supuestos!$E$9-Supuestos!$D$9)),Supuestos!$F$9-SQRT((1-F717)*(Supuestos!$F$9-Supuestos!$D$9)*(Supuestos!$F$9-Supuestos!$E$9))),IF(Supuestos!$C$9="Uniforme",Supuestos!$D$9+F717*(Supuestos!$E$9-Supuestos!$D$9),IF(Supuestos!$C$9="Lognormal",LOGINV(F717,LN(Supuestos!$D$9)-LN(1+Supuestos!$E$9^2/Supuestos!$D$9^2)/2,SQRT(LN(1+Supuestos!$E$9^2/Supuestos!$D$9^2))),Supuestos!$D$9))))))</f>
        <v/>
      </c>
      <c r="N717" s="32">
        <f>MIN(IF(Supuestos!$H$10="",1E+99,Supuestos!$H$10),MAX(IF(Supuestos!$G$10="",-1E+99,Supuestos!$G$10),IF(Supuestos!$C$10="Normal",NORMINV(G717,Supuestos!$D$10,Supuestos!$E$10),IF(Supuestos!$C$10="Triangular",IF(G717&lt;(Supuestos!$E$10-Supuestos!$D$10)/(Supuestos!$F$10-Supuestos!$D$10),Supuestos!$D$10+SQRT(G717*(Supuestos!$F$10-Supuestos!$D$10)*(Supuestos!$E$10-Supuestos!$D$10)),Supuestos!$F$10-SQRT((1-G717)*(Supuestos!$F$10-Supuestos!$D$10)*(Supuestos!$F$10-Supuestos!$E$10))),IF(Supuestos!$C$10="Uniforme",Supuestos!$D$10+G717*(Supuestos!$E$10-Supuestos!$D$10),IF(Supuestos!$C$10="Lognormal",LOGINV(G717,LN(Supuestos!$D$10)-LN(1+Supuestos!$E$10^2/Supuestos!$D$10^2)/2,SQRT(LN(1+Supuestos!$E$10^2/Supuestos!$D$10^2))),Supuestos!$D$10))))))</f>
        <v/>
      </c>
      <c r="O717" s="31">
        <f>MIN(IF(Supuestos!$H$11="",1E+99,Supuestos!$H$11),MAX(IF(Supuestos!$G$11="",-1E+99,Supuestos!$G$11),IF(Supuestos!$C$11="Normal",NORMINV(H717,Supuestos!$D$11,Supuestos!$E$11),IF(Supuestos!$C$11="Triangular",IF(H717&lt;(Supuestos!$E$11-Supuestos!$D$11)/(Supuestos!$F$11-Supuestos!$D$11),Supuestos!$D$11+SQRT(H717*(Supuestos!$F$11-Supuestos!$D$11)*(Supuestos!$E$11-Supuestos!$D$11)),Supuestos!$F$11-SQRT((1-H717)*(Supuestos!$F$11-Supuestos!$D$11)*(Supuestos!$F$11-Supuestos!$E$11))),IF(Supuestos!$C$11="Uniforme",Supuestos!$D$11+H717*(Supuestos!$E$11-Supuestos!$D$11),IF(Supuestos!$C$11="Lognormal",LOGINV(H717,LN(Supuestos!$D$11)-LN(1+Supuestos!$E$11^2/Supuestos!$D$11^2)/2,SQRT(LN(1+Supuestos!$E$11^2/Supuestos!$D$11^2))),Supuestos!$D$11))))))</f>
        <v/>
      </c>
      <c r="P717" s="33">
        <f>-I717</f>
        <v/>
      </c>
      <c r="Q717" s="33">
        <f>$J717*(1+$K717)^(1-1)*(1-$L717)*(1-$M717)</f>
        <v/>
      </c>
      <c r="R717" s="33">
        <f>$J717*(1+$K717)^(2-1)*(1-$L717)*(1-$M717)</f>
        <v/>
      </c>
      <c r="S717" s="33">
        <f>$J717*(1+$K717)^(3-1)*(1-$L717)*(1-$M717)</f>
        <v/>
      </c>
      <c r="T717" s="33">
        <f>$J717*(1+$K717)^(4-1)*(1-$L717)*(1-$M717)</f>
        <v/>
      </c>
      <c r="U717" s="33">
        <f>$J717*(1+$K717)^(5-1)*(1-$L717)*(1-$M717)+$O717</f>
        <v/>
      </c>
      <c r="V717" s="33">
        <f>P717+NPV($N717,Q717:U717)</f>
        <v/>
      </c>
      <c r="W717" s="32">
        <f>IFERROR(IRR(P717:U717,0.1),"")</f>
        <v/>
      </c>
    </row>
    <row r="718">
      <c r="A718" s="14" t="n">
        <v>714</v>
      </c>
      <c r="B718" s="30">
        <f>RAND()*(1-2E-6)+1E-6</f>
        <v/>
      </c>
      <c r="C718" s="30">
        <f>RAND()*(1-2E-6)+1E-6</f>
        <v/>
      </c>
      <c r="D718" s="30">
        <f>RAND()*(1-2E-6)+1E-6</f>
        <v/>
      </c>
      <c r="E718" s="30">
        <f>RAND()*(1-2E-6)+1E-6</f>
        <v/>
      </c>
      <c r="F718" s="30">
        <f>RAND()*(1-2E-6)+1E-6</f>
        <v/>
      </c>
      <c r="G718" s="30">
        <f>RAND()*(1-2E-6)+1E-6</f>
        <v/>
      </c>
      <c r="H718" s="30">
        <f>RAND()*(1-2E-6)+1E-6</f>
        <v/>
      </c>
      <c r="I718" s="31">
        <f>MIN(IF(Supuestos!$H$5="",1E+99,Supuestos!$H$5),MAX(IF(Supuestos!$G$5="",-1E+99,Supuestos!$G$5),IF(Supuestos!$C$5="Normal",NORMINV(B718,Supuestos!$D$5,Supuestos!$E$5),IF(Supuestos!$C$5="Triangular",IF(B718&lt;(Supuestos!$E$5-Supuestos!$D$5)/(Supuestos!$F$5-Supuestos!$D$5),Supuestos!$D$5+SQRT(B718*(Supuestos!$F$5-Supuestos!$D$5)*(Supuestos!$E$5-Supuestos!$D$5)),Supuestos!$F$5-SQRT((1-B718)*(Supuestos!$F$5-Supuestos!$D$5)*(Supuestos!$F$5-Supuestos!$E$5))),IF(Supuestos!$C$5="Uniforme",Supuestos!$D$5+B718*(Supuestos!$E$5-Supuestos!$D$5),IF(Supuestos!$C$5="Lognormal",LOGINV(B718,LN(Supuestos!$D$5)-LN(1+Supuestos!$E$5^2/Supuestos!$D$5^2)/2,SQRT(LN(1+Supuestos!$E$5^2/Supuestos!$D$5^2))),Supuestos!$D$5))))))</f>
        <v/>
      </c>
      <c r="J718" s="31">
        <f>MIN(IF(Supuestos!$H$6="",1E+99,Supuestos!$H$6),MAX(IF(Supuestos!$G$6="",-1E+99,Supuestos!$G$6),IF(Supuestos!$C$6="Normal",NORMINV(C718,Supuestos!$D$6,Supuestos!$E$6),IF(Supuestos!$C$6="Triangular",IF(C718&lt;(Supuestos!$E$6-Supuestos!$D$6)/(Supuestos!$F$6-Supuestos!$D$6),Supuestos!$D$6+SQRT(C718*(Supuestos!$F$6-Supuestos!$D$6)*(Supuestos!$E$6-Supuestos!$D$6)),Supuestos!$F$6-SQRT((1-C718)*(Supuestos!$F$6-Supuestos!$D$6)*(Supuestos!$F$6-Supuestos!$E$6))),IF(Supuestos!$C$6="Uniforme",Supuestos!$D$6+C718*(Supuestos!$E$6-Supuestos!$D$6),IF(Supuestos!$C$6="Lognormal",LOGINV(C718,LN(Supuestos!$D$6)-LN(1+Supuestos!$E$6^2/Supuestos!$D$6^2)/2,SQRT(LN(1+Supuestos!$E$6^2/Supuestos!$D$6^2))),Supuestos!$D$6))))))</f>
        <v/>
      </c>
      <c r="K718" s="32">
        <f>MIN(IF(Supuestos!$H$7="",1E+99,Supuestos!$H$7),MAX(IF(Supuestos!$G$7="",-1E+99,Supuestos!$G$7),IF(Supuestos!$C$7="Normal",NORMINV(D718,Supuestos!$D$7,Supuestos!$E$7),IF(Supuestos!$C$7="Triangular",IF(D718&lt;(Supuestos!$E$7-Supuestos!$D$7)/(Supuestos!$F$7-Supuestos!$D$7),Supuestos!$D$7+SQRT(D718*(Supuestos!$F$7-Supuestos!$D$7)*(Supuestos!$E$7-Supuestos!$D$7)),Supuestos!$F$7-SQRT((1-D718)*(Supuestos!$F$7-Supuestos!$D$7)*(Supuestos!$F$7-Supuestos!$E$7))),IF(Supuestos!$C$7="Uniforme",Supuestos!$D$7+D718*(Supuestos!$E$7-Supuestos!$D$7),IF(Supuestos!$C$7="Lognormal",LOGINV(D718,LN(Supuestos!$D$7)-LN(1+Supuestos!$E$7^2/Supuestos!$D$7^2)/2,SQRT(LN(1+Supuestos!$E$7^2/Supuestos!$D$7^2))),Supuestos!$D$7))))))</f>
        <v/>
      </c>
      <c r="L718" s="32">
        <f>MIN(IF(Supuestos!$H$8="",1E+99,Supuestos!$H$8),MAX(IF(Supuestos!$G$8="",-1E+99,Supuestos!$G$8),IF(Supuestos!$C$8="Normal",NORMINV(E718,Supuestos!$D$8,Supuestos!$E$8),IF(Supuestos!$C$8="Triangular",IF(E718&lt;(Supuestos!$E$8-Supuestos!$D$8)/(Supuestos!$F$8-Supuestos!$D$8),Supuestos!$D$8+SQRT(E718*(Supuestos!$F$8-Supuestos!$D$8)*(Supuestos!$E$8-Supuestos!$D$8)),Supuestos!$F$8-SQRT((1-E718)*(Supuestos!$F$8-Supuestos!$D$8)*(Supuestos!$F$8-Supuestos!$E$8))),IF(Supuestos!$C$8="Uniforme",Supuestos!$D$8+E718*(Supuestos!$E$8-Supuestos!$D$8),IF(Supuestos!$C$8="Lognormal",LOGINV(E718,LN(Supuestos!$D$8)-LN(1+Supuestos!$E$8^2/Supuestos!$D$8^2)/2,SQRT(LN(1+Supuestos!$E$8^2/Supuestos!$D$8^2))),Supuestos!$D$8))))))</f>
        <v/>
      </c>
      <c r="M718" s="32">
        <f>MIN(IF(Supuestos!$H$9="",1E+99,Supuestos!$H$9),MAX(IF(Supuestos!$G$9="",-1E+99,Supuestos!$G$9),IF(Supuestos!$C$9="Normal",NORMINV(F718,Supuestos!$D$9,Supuestos!$E$9),IF(Supuestos!$C$9="Triangular",IF(F718&lt;(Supuestos!$E$9-Supuestos!$D$9)/(Supuestos!$F$9-Supuestos!$D$9),Supuestos!$D$9+SQRT(F718*(Supuestos!$F$9-Supuestos!$D$9)*(Supuestos!$E$9-Supuestos!$D$9)),Supuestos!$F$9-SQRT((1-F718)*(Supuestos!$F$9-Supuestos!$D$9)*(Supuestos!$F$9-Supuestos!$E$9))),IF(Supuestos!$C$9="Uniforme",Supuestos!$D$9+F718*(Supuestos!$E$9-Supuestos!$D$9),IF(Supuestos!$C$9="Lognormal",LOGINV(F718,LN(Supuestos!$D$9)-LN(1+Supuestos!$E$9^2/Supuestos!$D$9^2)/2,SQRT(LN(1+Supuestos!$E$9^2/Supuestos!$D$9^2))),Supuestos!$D$9))))))</f>
        <v/>
      </c>
      <c r="N718" s="32">
        <f>MIN(IF(Supuestos!$H$10="",1E+99,Supuestos!$H$10),MAX(IF(Supuestos!$G$10="",-1E+99,Supuestos!$G$10),IF(Supuestos!$C$10="Normal",NORMINV(G718,Supuestos!$D$10,Supuestos!$E$10),IF(Supuestos!$C$10="Triangular",IF(G718&lt;(Supuestos!$E$10-Supuestos!$D$10)/(Supuestos!$F$10-Supuestos!$D$10),Supuestos!$D$10+SQRT(G718*(Supuestos!$F$10-Supuestos!$D$10)*(Supuestos!$E$10-Supuestos!$D$10)),Supuestos!$F$10-SQRT((1-G718)*(Supuestos!$F$10-Supuestos!$D$10)*(Supuestos!$F$10-Supuestos!$E$10))),IF(Supuestos!$C$10="Uniforme",Supuestos!$D$10+G718*(Supuestos!$E$10-Supuestos!$D$10),IF(Supuestos!$C$10="Lognormal",LOGINV(G718,LN(Supuestos!$D$10)-LN(1+Supuestos!$E$10^2/Supuestos!$D$10^2)/2,SQRT(LN(1+Supuestos!$E$10^2/Supuestos!$D$10^2))),Supuestos!$D$10))))))</f>
        <v/>
      </c>
      <c r="O718" s="31">
        <f>MIN(IF(Supuestos!$H$11="",1E+99,Supuestos!$H$11),MAX(IF(Supuestos!$G$11="",-1E+99,Supuestos!$G$11),IF(Supuestos!$C$11="Normal",NORMINV(H718,Supuestos!$D$11,Supuestos!$E$11),IF(Supuestos!$C$11="Triangular",IF(H718&lt;(Supuestos!$E$11-Supuestos!$D$11)/(Supuestos!$F$11-Supuestos!$D$11),Supuestos!$D$11+SQRT(H718*(Supuestos!$F$11-Supuestos!$D$11)*(Supuestos!$E$11-Supuestos!$D$11)),Supuestos!$F$11-SQRT((1-H718)*(Supuestos!$F$11-Supuestos!$D$11)*(Supuestos!$F$11-Supuestos!$E$11))),IF(Supuestos!$C$11="Uniforme",Supuestos!$D$11+H718*(Supuestos!$E$11-Supuestos!$D$11),IF(Supuestos!$C$11="Lognormal",LOGINV(H718,LN(Supuestos!$D$11)-LN(1+Supuestos!$E$11^2/Supuestos!$D$11^2)/2,SQRT(LN(1+Supuestos!$E$11^2/Supuestos!$D$11^2))),Supuestos!$D$11))))))</f>
        <v/>
      </c>
      <c r="P718" s="33">
        <f>-I718</f>
        <v/>
      </c>
      <c r="Q718" s="33">
        <f>$J718*(1+$K718)^(1-1)*(1-$L718)*(1-$M718)</f>
        <v/>
      </c>
      <c r="R718" s="33">
        <f>$J718*(1+$K718)^(2-1)*(1-$L718)*(1-$M718)</f>
        <v/>
      </c>
      <c r="S718" s="33">
        <f>$J718*(1+$K718)^(3-1)*(1-$L718)*(1-$M718)</f>
        <v/>
      </c>
      <c r="T718" s="33">
        <f>$J718*(1+$K718)^(4-1)*(1-$L718)*(1-$M718)</f>
        <v/>
      </c>
      <c r="U718" s="33">
        <f>$J718*(1+$K718)^(5-1)*(1-$L718)*(1-$M718)+$O718</f>
        <v/>
      </c>
      <c r="V718" s="33">
        <f>P718+NPV($N718,Q718:U718)</f>
        <v/>
      </c>
      <c r="W718" s="32">
        <f>IFERROR(IRR(P718:U718,0.1),"")</f>
        <v/>
      </c>
    </row>
    <row r="719">
      <c r="A719" s="14" t="n">
        <v>715</v>
      </c>
      <c r="B719" s="30">
        <f>RAND()*(1-2E-6)+1E-6</f>
        <v/>
      </c>
      <c r="C719" s="30">
        <f>RAND()*(1-2E-6)+1E-6</f>
        <v/>
      </c>
      <c r="D719" s="30">
        <f>RAND()*(1-2E-6)+1E-6</f>
        <v/>
      </c>
      <c r="E719" s="30">
        <f>RAND()*(1-2E-6)+1E-6</f>
        <v/>
      </c>
      <c r="F719" s="30">
        <f>RAND()*(1-2E-6)+1E-6</f>
        <v/>
      </c>
      <c r="G719" s="30">
        <f>RAND()*(1-2E-6)+1E-6</f>
        <v/>
      </c>
      <c r="H719" s="30">
        <f>RAND()*(1-2E-6)+1E-6</f>
        <v/>
      </c>
      <c r="I719" s="31">
        <f>MIN(IF(Supuestos!$H$5="",1E+99,Supuestos!$H$5),MAX(IF(Supuestos!$G$5="",-1E+99,Supuestos!$G$5),IF(Supuestos!$C$5="Normal",NORMINV(B719,Supuestos!$D$5,Supuestos!$E$5),IF(Supuestos!$C$5="Triangular",IF(B719&lt;(Supuestos!$E$5-Supuestos!$D$5)/(Supuestos!$F$5-Supuestos!$D$5),Supuestos!$D$5+SQRT(B719*(Supuestos!$F$5-Supuestos!$D$5)*(Supuestos!$E$5-Supuestos!$D$5)),Supuestos!$F$5-SQRT((1-B719)*(Supuestos!$F$5-Supuestos!$D$5)*(Supuestos!$F$5-Supuestos!$E$5))),IF(Supuestos!$C$5="Uniforme",Supuestos!$D$5+B719*(Supuestos!$E$5-Supuestos!$D$5),IF(Supuestos!$C$5="Lognormal",LOGINV(B719,LN(Supuestos!$D$5)-LN(1+Supuestos!$E$5^2/Supuestos!$D$5^2)/2,SQRT(LN(1+Supuestos!$E$5^2/Supuestos!$D$5^2))),Supuestos!$D$5))))))</f>
        <v/>
      </c>
      <c r="J719" s="31">
        <f>MIN(IF(Supuestos!$H$6="",1E+99,Supuestos!$H$6),MAX(IF(Supuestos!$G$6="",-1E+99,Supuestos!$G$6),IF(Supuestos!$C$6="Normal",NORMINV(C719,Supuestos!$D$6,Supuestos!$E$6),IF(Supuestos!$C$6="Triangular",IF(C719&lt;(Supuestos!$E$6-Supuestos!$D$6)/(Supuestos!$F$6-Supuestos!$D$6),Supuestos!$D$6+SQRT(C719*(Supuestos!$F$6-Supuestos!$D$6)*(Supuestos!$E$6-Supuestos!$D$6)),Supuestos!$F$6-SQRT((1-C719)*(Supuestos!$F$6-Supuestos!$D$6)*(Supuestos!$F$6-Supuestos!$E$6))),IF(Supuestos!$C$6="Uniforme",Supuestos!$D$6+C719*(Supuestos!$E$6-Supuestos!$D$6),IF(Supuestos!$C$6="Lognormal",LOGINV(C719,LN(Supuestos!$D$6)-LN(1+Supuestos!$E$6^2/Supuestos!$D$6^2)/2,SQRT(LN(1+Supuestos!$E$6^2/Supuestos!$D$6^2))),Supuestos!$D$6))))))</f>
        <v/>
      </c>
      <c r="K719" s="32">
        <f>MIN(IF(Supuestos!$H$7="",1E+99,Supuestos!$H$7),MAX(IF(Supuestos!$G$7="",-1E+99,Supuestos!$G$7),IF(Supuestos!$C$7="Normal",NORMINV(D719,Supuestos!$D$7,Supuestos!$E$7),IF(Supuestos!$C$7="Triangular",IF(D719&lt;(Supuestos!$E$7-Supuestos!$D$7)/(Supuestos!$F$7-Supuestos!$D$7),Supuestos!$D$7+SQRT(D719*(Supuestos!$F$7-Supuestos!$D$7)*(Supuestos!$E$7-Supuestos!$D$7)),Supuestos!$F$7-SQRT((1-D719)*(Supuestos!$F$7-Supuestos!$D$7)*(Supuestos!$F$7-Supuestos!$E$7))),IF(Supuestos!$C$7="Uniforme",Supuestos!$D$7+D719*(Supuestos!$E$7-Supuestos!$D$7),IF(Supuestos!$C$7="Lognormal",LOGINV(D719,LN(Supuestos!$D$7)-LN(1+Supuestos!$E$7^2/Supuestos!$D$7^2)/2,SQRT(LN(1+Supuestos!$E$7^2/Supuestos!$D$7^2))),Supuestos!$D$7))))))</f>
        <v/>
      </c>
      <c r="L719" s="32">
        <f>MIN(IF(Supuestos!$H$8="",1E+99,Supuestos!$H$8),MAX(IF(Supuestos!$G$8="",-1E+99,Supuestos!$G$8),IF(Supuestos!$C$8="Normal",NORMINV(E719,Supuestos!$D$8,Supuestos!$E$8),IF(Supuestos!$C$8="Triangular",IF(E719&lt;(Supuestos!$E$8-Supuestos!$D$8)/(Supuestos!$F$8-Supuestos!$D$8),Supuestos!$D$8+SQRT(E719*(Supuestos!$F$8-Supuestos!$D$8)*(Supuestos!$E$8-Supuestos!$D$8)),Supuestos!$F$8-SQRT((1-E719)*(Supuestos!$F$8-Supuestos!$D$8)*(Supuestos!$F$8-Supuestos!$E$8))),IF(Supuestos!$C$8="Uniforme",Supuestos!$D$8+E719*(Supuestos!$E$8-Supuestos!$D$8),IF(Supuestos!$C$8="Lognormal",LOGINV(E719,LN(Supuestos!$D$8)-LN(1+Supuestos!$E$8^2/Supuestos!$D$8^2)/2,SQRT(LN(1+Supuestos!$E$8^2/Supuestos!$D$8^2))),Supuestos!$D$8))))))</f>
        <v/>
      </c>
      <c r="M719" s="32">
        <f>MIN(IF(Supuestos!$H$9="",1E+99,Supuestos!$H$9),MAX(IF(Supuestos!$G$9="",-1E+99,Supuestos!$G$9),IF(Supuestos!$C$9="Normal",NORMINV(F719,Supuestos!$D$9,Supuestos!$E$9),IF(Supuestos!$C$9="Triangular",IF(F719&lt;(Supuestos!$E$9-Supuestos!$D$9)/(Supuestos!$F$9-Supuestos!$D$9),Supuestos!$D$9+SQRT(F719*(Supuestos!$F$9-Supuestos!$D$9)*(Supuestos!$E$9-Supuestos!$D$9)),Supuestos!$F$9-SQRT((1-F719)*(Supuestos!$F$9-Supuestos!$D$9)*(Supuestos!$F$9-Supuestos!$E$9))),IF(Supuestos!$C$9="Uniforme",Supuestos!$D$9+F719*(Supuestos!$E$9-Supuestos!$D$9),IF(Supuestos!$C$9="Lognormal",LOGINV(F719,LN(Supuestos!$D$9)-LN(1+Supuestos!$E$9^2/Supuestos!$D$9^2)/2,SQRT(LN(1+Supuestos!$E$9^2/Supuestos!$D$9^2))),Supuestos!$D$9))))))</f>
        <v/>
      </c>
      <c r="N719" s="32">
        <f>MIN(IF(Supuestos!$H$10="",1E+99,Supuestos!$H$10),MAX(IF(Supuestos!$G$10="",-1E+99,Supuestos!$G$10),IF(Supuestos!$C$10="Normal",NORMINV(G719,Supuestos!$D$10,Supuestos!$E$10),IF(Supuestos!$C$10="Triangular",IF(G719&lt;(Supuestos!$E$10-Supuestos!$D$10)/(Supuestos!$F$10-Supuestos!$D$10),Supuestos!$D$10+SQRT(G719*(Supuestos!$F$10-Supuestos!$D$10)*(Supuestos!$E$10-Supuestos!$D$10)),Supuestos!$F$10-SQRT((1-G719)*(Supuestos!$F$10-Supuestos!$D$10)*(Supuestos!$F$10-Supuestos!$E$10))),IF(Supuestos!$C$10="Uniforme",Supuestos!$D$10+G719*(Supuestos!$E$10-Supuestos!$D$10),IF(Supuestos!$C$10="Lognormal",LOGINV(G719,LN(Supuestos!$D$10)-LN(1+Supuestos!$E$10^2/Supuestos!$D$10^2)/2,SQRT(LN(1+Supuestos!$E$10^2/Supuestos!$D$10^2))),Supuestos!$D$10))))))</f>
        <v/>
      </c>
      <c r="O719" s="31">
        <f>MIN(IF(Supuestos!$H$11="",1E+99,Supuestos!$H$11),MAX(IF(Supuestos!$G$11="",-1E+99,Supuestos!$G$11),IF(Supuestos!$C$11="Normal",NORMINV(H719,Supuestos!$D$11,Supuestos!$E$11),IF(Supuestos!$C$11="Triangular",IF(H719&lt;(Supuestos!$E$11-Supuestos!$D$11)/(Supuestos!$F$11-Supuestos!$D$11),Supuestos!$D$11+SQRT(H719*(Supuestos!$F$11-Supuestos!$D$11)*(Supuestos!$E$11-Supuestos!$D$11)),Supuestos!$F$11-SQRT((1-H719)*(Supuestos!$F$11-Supuestos!$D$11)*(Supuestos!$F$11-Supuestos!$E$11))),IF(Supuestos!$C$11="Uniforme",Supuestos!$D$11+H719*(Supuestos!$E$11-Supuestos!$D$11),IF(Supuestos!$C$11="Lognormal",LOGINV(H719,LN(Supuestos!$D$11)-LN(1+Supuestos!$E$11^2/Supuestos!$D$11^2)/2,SQRT(LN(1+Supuestos!$E$11^2/Supuestos!$D$11^2))),Supuestos!$D$11))))))</f>
        <v/>
      </c>
      <c r="P719" s="33">
        <f>-I719</f>
        <v/>
      </c>
      <c r="Q719" s="33">
        <f>$J719*(1+$K719)^(1-1)*(1-$L719)*(1-$M719)</f>
        <v/>
      </c>
      <c r="R719" s="33">
        <f>$J719*(1+$K719)^(2-1)*(1-$L719)*(1-$M719)</f>
        <v/>
      </c>
      <c r="S719" s="33">
        <f>$J719*(1+$K719)^(3-1)*(1-$L719)*(1-$M719)</f>
        <v/>
      </c>
      <c r="T719" s="33">
        <f>$J719*(1+$K719)^(4-1)*(1-$L719)*(1-$M719)</f>
        <v/>
      </c>
      <c r="U719" s="33">
        <f>$J719*(1+$K719)^(5-1)*(1-$L719)*(1-$M719)+$O719</f>
        <v/>
      </c>
      <c r="V719" s="33">
        <f>P719+NPV($N719,Q719:U719)</f>
        <v/>
      </c>
      <c r="W719" s="32">
        <f>IFERROR(IRR(P719:U719,0.1),"")</f>
        <v/>
      </c>
    </row>
    <row r="720">
      <c r="A720" s="14" t="n">
        <v>716</v>
      </c>
      <c r="B720" s="30">
        <f>RAND()*(1-2E-6)+1E-6</f>
        <v/>
      </c>
      <c r="C720" s="30">
        <f>RAND()*(1-2E-6)+1E-6</f>
        <v/>
      </c>
      <c r="D720" s="30">
        <f>RAND()*(1-2E-6)+1E-6</f>
        <v/>
      </c>
      <c r="E720" s="30">
        <f>RAND()*(1-2E-6)+1E-6</f>
        <v/>
      </c>
      <c r="F720" s="30">
        <f>RAND()*(1-2E-6)+1E-6</f>
        <v/>
      </c>
      <c r="G720" s="30">
        <f>RAND()*(1-2E-6)+1E-6</f>
        <v/>
      </c>
      <c r="H720" s="30">
        <f>RAND()*(1-2E-6)+1E-6</f>
        <v/>
      </c>
      <c r="I720" s="31">
        <f>MIN(IF(Supuestos!$H$5="",1E+99,Supuestos!$H$5),MAX(IF(Supuestos!$G$5="",-1E+99,Supuestos!$G$5),IF(Supuestos!$C$5="Normal",NORMINV(B720,Supuestos!$D$5,Supuestos!$E$5),IF(Supuestos!$C$5="Triangular",IF(B720&lt;(Supuestos!$E$5-Supuestos!$D$5)/(Supuestos!$F$5-Supuestos!$D$5),Supuestos!$D$5+SQRT(B720*(Supuestos!$F$5-Supuestos!$D$5)*(Supuestos!$E$5-Supuestos!$D$5)),Supuestos!$F$5-SQRT((1-B720)*(Supuestos!$F$5-Supuestos!$D$5)*(Supuestos!$F$5-Supuestos!$E$5))),IF(Supuestos!$C$5="Uniforme",Supuestos!$D$5+B720*(Supuestos!$E$5-Supuestos!$D$5),IF(Supuestos!$C$5="Lognormal",LOGINV(B720,LN(Supuestos!$D$5)-LN(1+Supuestos!$E$5^2/Supuestos!$D$5^2)/2,SQRT(LN(1+Supuestos!$E$5^2/Supuestos!$D$5^2))),Supuestos!$D$5))))))</f>
        <v/>
      </c>
      <c r="J720" s="31">
        <f>MIN(IF(Supuestos!$H$6="",1E+99,Supuestos!$H$6),MAX(IF(Supuestos!$G$6="",-1E+99,Supuestos!$G$6),IF(Supuestos!$C$6="Normal",NORMINV(C720,Supuestos!$D$6,Supuestos!$E$6),IF(Supuestos!$C$6="Triangular",IF(C720&lt;(Supuestos!$E$6-Supuestos!$D$6)/(Supuestos!$F$6-Supuestos!$D$6),Supuestos!$D$6+SQRT(C720*(Supuestos!$F$6-Supuestos!$D$6)*(Supuestos!$E$6-Supuestos!$D$6)),Supuestos!$F$6-SQRT((1-C720)*(Supuestos!$F$6-Supuestos!$D$6)*(Supuestos!$F$6-Supuestos!$E$6))),IF(Supuestos!$C$6="Uniforme",Supuestos!$D$6+C720*(Supuestos!$E$6-Supuestos!$D$6),IF(Supuestos!$C$6="Lognormal",LOGINV(C720,LN(Supuestos!$D$6)-LN(1+Supuestos!$E$6^2/Supuestos!$D$6^2)/2,SQRT(LN(1+Supuestos!$E$6^2/Supuestos!$D$6^2))),Supuestos!$D$6))))))</f>
        <v/>
      </c>
      <c r="K720" s="32">
        <f>MIN(IF(Supuestos!$H$7="",1E+99,Supuestos!$H$7),MAX(IF(Supuestos!$G$7="",-1E+99,Supuestos!$G$7),IF(Supuestos!$C$7="Normal",NORMINV(D720,Supuestos!$D$7,Supuestos!$E$7),IF(Supuestos!$C$7="Triangular",IF(D720&lt;(Supuestos!$E$7-Supuestos!$D$7)/(Supuestos!$F$7-Supuestos!$D$7),Supuestos!$D$7+SQRT(D720*(Supuestos!$F$7-Supuestos!$D$7)*(Supuestos!$E$7-Supuestos!$D$7)),Supuestos!$F$7-SQRT((1-D720)*(Supuestos!$F$7-Supuestos!$D$7)*(Supuestos!$F$7-Supuestos!$E$7))),IF(Supuestos!$C$7="Uniforme",Supuestos!$D$7+D720*(Supuestos!$E$7-Supuestos!$D$7),IF(Supuestos!$C$7="Lognormal",LOGINV(D720,LN(Supuestos!$D$7)-LN(1+Supuestos!$E$7^2/Supuestos!$D$7^2)/2,SQRT(LN(1+Supuestos!$E$7^2/Supuestos!$D$7^2))),Supuestos!$D$7))))))</f>
        <v/>
      </c>
      <c r="L720" s="32">
        <f>MIN(IF(Supuestos!$H$8="",1E+99,Supuestos!$H$8),MAX(IF(Supuestos!$G$8="",-1E+99,Supuestos!$G$8),IF(Supuestos!$C$8="Normal",NORMINV(E720,Supuestos!$D$8,Supuestos!$E$8),IF(Supuestos!$C$8="Triangular",IF(E720&lt;(Supuestos!$E$8-Supuestos!$D$8)/(Supuestos!$F$8-Supuestos!$D$8),Supuestos!$D$8+SQRT(E720*(Supuestos!$F$8-Supuestos!$D$8)*(Supuestos!$E$8-Supuestos!$D$8)),Supuestos!$F$8-SQRT((1-E720)*(Supuestos!$F$8-Supuestos!$D$8)*(Supuestos!$F$8-Supuestos!$E$8))),IF(Supuestos!$C$8="Uniforme",Supuestos!$D$8+E720*(Supuestos!$E$8-Supuestos!$D$8),IF(Supuestos!$C$8="Lognormal",LOGINV(E720,LN(Supuestos!$D$8)-LN(1+Supuestos!$E$8^2/Supuestos!$D$8^2)/2,SQRT(LN(1+Supuestos!$E$8^2/Supuestos!$D$8^2))),Supuestos!$D$8))))))</f>
        <v/>
      </c>
      <c r="M720" s="32">
        <f>MIN(IF(Supuestos!$H$9="",1E+99,Supuestos!$H$9),MAX(IF(Supuestos!$G$9="",-1E+99,Supuestos!$G$9),IF(Supuestos!$C$9="Normal",NORMINV(F720,Supuestos!$D$9,Supuestos!$E$9),IF(Supuestos!$C$9="Triangular",IF(F720&lt;(Supuestos!$E$9-Supuestos!$D$9)/(Supuestos!$F$9-Supuestos!$D$9),Supuestos!$D$9+SQRT(F720*(Supuestos!$F$9-Supuestos!$D$9)*(Supuestos!$E$9-Supuestos!$D$9)),Supuestos!$F$9-SQRT((1-F720)*(Supuestos!$F$9-Supuestos!$D$9)*(Supuestos!$F$9-Supuestos!$E$9))),IF(Supuestos!$C$9="Uniforme",Supuestos!$D$9+F720*(Supuestos!$E$9-Supuestos!$D$9),IF(Supuestos!$C$9="Lognormal",LOGINV(F720,LN(Supuestos!$D$9)-LN(1+Supuestos!$E$9^2/Supuestos!$D$9^2)/2,SQRT(LN(1+Supuestos!$E$9^2/Supuestos!$D$9^2))),Supuestos!$D$9))))))</f>
        <v/>
      </c>
      <c r="N720" s="32">
        <f>MIN(IF(Supuestos!$H$10="",1E+99,Supuestos!$H$10),MAX(IF(Supuestos!$G$10="",-1E+99,Supuestos!$G$10),IF(Supuestos!$C$10="Normal",NORMINV(G720,Supuestos!$D$10,Supuestos!$E$10),IF(Supuestos!$C$10="Triangular",IF(G720&lt;(Supuestos!$E$10-Supuestos!$D$10)/(Supuestos!$F$10-Supuestos!$D$10),Supuestos!$D$10+SQRT(G720*(Supuestos!$F$10-Supuestos!$D$10)*(Supuestos!$E$10-Supuestos!$D$10)),Supuestos!$F$10-SQRT((1-G720)*(Supuestos!$F$10-Supuestos!$D$10)*(Supuestos!$F$10-Supuestos!$E$10))),IF(Supuestos!$C$10="Uniforme",Supuestos!$D$10+G720*(Supuestos!$E$10-Supuestos!$D$10),IF(Supuestos!$C$10="Lognormal",LOGINV(G720,LN(Supuestos!$D$10)-LN(1+Supuestos!$E$10^2/Supuestos!$D$10^2)/2,SQRT(LN(1+Supuestos!$E$10^2/Supuestos!$D$10^2))),Supuestos!$D$10))))))</f>
        <v/>
      </c>
      <c r="O720" s="31">
        <f>MIN(IF(Supuestos!$H$11="",1E+99,Supuestos!$H$11),MAX(IF(Supuestos!$G$11="",-1E+99,Supuestos!$G$11),IF(Supuestos!$C$11="Normal",NORMINV(H720,Supuestos!$D$11,Supuestos!$E$11),IF(Supuestos!$C$11="Triangular",IF(H720&lt;(Supuestos!$E$11-Supuestos!$D$11)/(Supuestos!$F$11-Supuestos!$D$11),Supuestos!$D$11+SQRT(H720*(Supuestos!$F$11-Supuestos!$D$11)*(Supuestos!$E$11-Supuestos!$D$11)),Supuestos!$F$11-SQRT((1-H720)*(Supuestos!$F$11-Supuestos!$D$11)*(Supuestos!$F$11-Supuestos!$E$11))),IF(Supuestos!$C$11="Uniforme",Supuestos!$D$11+H720*(Supuestos!$E$11-Supuestos!$D$11),IF(Supuestos!$C$11="Lognormal",LOGINV(H720,LN(Supuestos!$D$11)-LN(1+Supuestos!$E$11^2/Supuestos!$D$11^2)/2,SQRT(LN(1+Supuestos!$E$11^2/Supuestos!$D$11^2))),Supuestos!$D$11))))))</f>
        <v/>
      </c>
      <c r="P720" s="33">
        <f>-I720</f>
        <v/>
      </c>
      <c r="Q720" s="33">
        <f>$J720*(1+$K720)^(1-1)*(1-$L720)*(1-$M720)</f>
        <v/>
      </c>
      <c r="R720" s="33">
        <f>$J720*(1+$K720)^(2-1)*(1-$L720)*(1-$M720)</f>
        <v/>
      </c>
      <c r="S720" s="33">
        <f>$J720*(1+$K720)^(3-1)*(1-$L720)*(1-$M720)</f>
        <v/>
      </c>
      <c r="T720" s="33">
        <f>$J720*(1+$K720)^(4-1)*(1-$L720)*(1-$M720)</f>
        <v/>
      </c>
      <c r="U720" s="33">
        <f>$J720*(1+$K720)^(5-1)*(1-$L720)*(1-$M720)+$O720</f>
        <v/>
      </c>
      <c r="V720" s="33">
        <f>P720+NPV($N720,Q720:U720)</f>
        <v/>
      </c>
      <c r="W720" s="32">
        <f>IFERROR(IRR(P720:U720,0.1),"")</f>
        <v/>
      </c>
    </row>
    <row r="721">
      <c r="A721" s="14" t="n">
        <v>717</v>
      </c>
      <c r="B721" s="30">
        <f>RAND()*(1-2E-6)+1E-6</f>
        <v/>
      </c>
      <c r="C721" s="30">
        <f>RAND()*(1-2E-6)+1E-6</f>
        <v/>
      </c>
      <c r="D721" s="30">
        <f>RAND()*(1-2E-6)+1E-6</f>
        <v/>
      </c>
      <c r="E721" s="30">
        <f>RAND()*(1-2E-6)+1E-6</f>
        <v/>
      </c>
      <c r="F721" s="30">
        <f>RAND()*(1-2E-6)+1E-6</f>
        <v/>
      </c>
      <c r="G721" s="30">
        <f>RAND()*(1-2E-6)+1E-6</f>
        <v/>
      </c>
      <c r="H721" s="30">
        <f>RAND()*(1-2E-6)+1E-6</f>
        <v/>
      </c>
      <c r="I721" s="31">
        <f>MIN(IF(Supuestos!$H$5="",1E+99,Supuestos!$H$5),MAX(IF(Supuestos!$G$5="",-1E+99,Supuestos!$G$5),IF(Supuestos!$C$5="Normal",NORMINV(B721,Supuestos!$D$5,Supuestos!$E$5),IF(Supuestos!$C$5="Triangular",IF(B721&lt;(Supuestos!$E$5-Supuestos!$D$5)/(Supuestos!$F$5-Supuestos!$D$5),Supuestos!$D$5+SQRT(B721*(Supuestos!$F$5-Supuestos!$D$5)*(Supuestos!$E$5-Supuestos!$D$5)),Supuestos!$F$5-SQRT((1-B721)*(Supuestos!$F$5-Supuestos!$D$5)*(Supuestos!$F$5-Supuestos!$E$5))),IF(Supuestos!$C$5="Uniforme",Supuestos!$D$5+B721*(Supuestos!$E$5-Supuestos!$D$5),IF(Supuestos!$C$5="Lognormal",LOGINV(B721,LN(Supuestos!$D$5)-LN(1+Supuestos!$E$5^2/Supuestos!$D$5^2)/2,SQRT(LN(1+Supuestos!$E$5^2/Supuestos!$D$5^2))),Supuestos!$D$5))))))</f>
        <v/>
      </c>
      <c r="J721" s="31">
        <f>MIN(IF(Supuestos!$H$6="",1E+99,Supuestos!$H$6),MAX(IF(Supuestos!$G$6="",-1E+99,Supuestos!$G$6),IF(Supuestos!$C$6="Normal",NORMINV(C721,Supuestos!$D$6,Supuestos!$E$6),IF(Supuestos!$C$6="Triangular",IF(C721&lt;(Supuestos!$E$6-Supuestos!$D$6)/(Supuestos!$F$6-Supuestos!$D$6),Supuestos!$D$6+SQRT(C721*(Supuestos!$F$6-Supuestos!$D$6)*(Supuestos!$E$6-Supuestos!$D$6)),Supuestos!$F$6-SQRT((1-C721)*(Supuestos!$F$6-Supuestos!$D$6)*(Supuestos!$F$6-Supuestos!$E$6))),IF(Supuestos!$C$6="Uniforme",Supuestos!$D$6+C721*(Supuestos!$E$6-Supuestos!$D$6),IF(Supuestos!$C$6="Lognormal",LOGINV(C721,LN(Supuestos!$D$6)-LN(1+Supuestos!$E$6^2/Supuestos!$D$6^2)/2,SQRT(LN(1+Supuestos!$E$6^2/Supuestos!$D$6^2))),Supuestos!$D$6))))))</f>
        <v/>
      </c>
      <c r="K721" s="32">
        <f>MIN(IF(Supuestos!$H$7="",1E+99,Supuestos!$H$7),MAX(IF(Supuestos!$G$7="",-1E+99,Supuestos!$G$7),IF(Supuestos!$C$7="Normal",NORMINV(D721,Supuestos!$D$7,Supuestos!$E$7),IF(Supuestos!$C$7="Triangular",IF(D721&lt;(Supuestos!$E$7-Supuestos!$D$7)/(Supuestos!$F$7-Supuestos!$D$7),Supuestos!$D$7+SQRT(D721*(Supuestos!$F$7-Supuestos!$D$7)*(Supuestos!$E$7-Supuestos!$D$7)),Supuestos!$F$7-SQRT((1-D721)*(Supuestos!$F$7-Supuestos!$D$7)*(Supuestos!$F$7-Supuestos!$E$7))),IF(Supuestos!$C$7="Uniforme",Supuestos!$D$7+D721*(Supuestos!$E$7-Supuestos!$D$7),IF(Supuestos!$C$7="Lognormal",LOGINV(D721,LN(Supuestos!$D$7)-LN(1+Supuestos!$E$7^2/Supuestos!$D$7^2)/2,SQRT(LN(1+Supuestos!$E$7^2/Supuestos!$D$7^2))),Supuestos!$D$7))))))</f>
        <v/>
      </c>
      <c r="L721" s="32">
        <f>MIN(IF(Supuestos!$H$8="",1E+99,Supuestos!$H$8),MAX(IF(Supuestos!$G$8="",-1E+99,Supuestos!$G$8),IF(Supuestos!$C$8="Normal",NORMINV(E721,Supuestos!$D$8,Supuestos!$E$8),IF(Supuestos!$C$8="Triangular",IF(E721&lt;(Supuestos!$E$8-Supuestos!$D$8)/(Supuestos!$F$8-Supuestos!$D$8),Supuestos!$D$8+SQRT(E721*(Supuestos!$F$8-Supuestos!$D$8)*(Supuestos!$E$8-Supuestos!$D$8)),Supuestos!$F$8-SQRT((1-E721)*(Supuestos!$F$8-Supuestos!$D$8)*(Supuestos!$F$8-Supuestos!$E$8))),IF(Supuestos!$C$8="Uniforme",Supuestos!$D$8+E721*(Supuestos!$E$8-Supuestos!$D$8),IF(Supuestos!$C$8="Lognormal",LOGINV(E721,LN(Supuestos!$D$8)-LN(1+Supuestos!$E$8^2/Supuestos!$D$8^2)/2,SQRT(LN(1+Supuestos!$E$8^2/Supuestos!$D$8^2))),Supuestos!$D$8))))))</f>
        <v/>
      </c>
      <c r="M721" s="32">
        <f>MIN(IF(Supuestos!$H$9="",1E+99,Supuestos!$H$9),MAX(IF(Supuestos!$G$9="",-1E+99,Supuestos!$G$9),IF(Supuestos!$C$9="Normal",NORMINV(F721,Supuestos!$D$9,Supuestos!$E$9),IF(Supuestos!$C$9="Triangular",IF(F721&lt;(Supuestos!$E$9-Supuestos!$D$9)/(Supuestos!$F$9-Supuestos!$D$9),Supuestos!$D$9+SQRT(F721*(Supuestos!$F$9-Supuestos!$D$9)*(Supuestos!$E$9-Supuestos!$D$9)),Supuestos!$F$9-SQRT((1-F721)*(Supuestos!$F$9-Supuestos!$D$9)*(Supuestos!$F$9-Supuestos!$E$9))),IF(Supuestos!$C$9="Uniforme",Supuestos!$D$9+F721*(Supuestos!$E$9-Supuestos!$D$9),IF(Supuestos!$C$9="Lognormal",LOGINV(F721,LN(Supuestos!$D$9)-LN(1+Supuestos!$E$9^2/Supuestos!$D$9^2)/2,SQRT(LN(1+Supuestos!$E$9^2/Supuestos!$D$9^2))),Supuestos!$D$9))))))</f>
        <v/>
      </c>
      <c r="N721" s="32">
        <f>MIN(IF(Supuestos!$H$10="",1E+99,Supuestos!$H$10),MAX(IF(Supuestos!$G$10="",-1E+99,Supuestos!$G$10),IF(Supuestos!$C$10="Normal",NORMINV(G721,Supuestos!$D$10,Supuestos!$E$10),IF(Supuestos!$C$10="Triangular",IF(G721&lt;(Supuestos!$E$10-Supuestos!$D$10)/(Supuestos!$F$10-Supuestos!$D$10),Supuestos!$D$10+SQRT(G721*(Supuestos!$F$10-Supuestos!$D$10)*(Supuestos!$E$10-Supuestos!$D$10)),Supuestos!$F$10-SQRT((1-G721)*(Supuestos!$F$10-Supuestos!$D$10)*(Supuestos!$F$10-Supuestos!$E$10))),IF(Supuestos!$C$10="Uniforme",Supuestos!$D$10+G721*(Supuestos!$E$10-Supuestos!$D$10),IF(Supuestos!$C$10="Lognormal",LOGINV(G721,LN(Supuestos!$D$10)-LN(1+Supuestos!$E$10^2/Supuestos!$D$10^2)/2,SQRT(LN(1+Supuestos!$E$10^2/Supuestos!$D$10^2))),Supuestos!$D$10))))))</f>
        <v/>
      </c>
      <c r="O721" s="31">
        <f>MIN(IF(Supuestos!$H$11="",1E+99,Supuestos!$H$11),MAX(IF(Supuestos!$G$11="",-1E+99,Supuestos!$G$11),IF(Supuestos!$C$11="Normal",NORMINV(H721,Supuestos!$D$11,Supuestos!$E$11),IF(Supuestos!$C$11="Triangular",IF(H721&lt;(Supuestos!$E$11-Supuestos!$D$11)/(Supuestos!$F$11-Supuestos!$D$11),Supuestos!$D$11+SQRT(H721*(Supuestos!$F$11-Supuestos!$D$11)*(Supuestos!$E$11-Supuestos!$D$11)),Supuestos!$F$11-SQRT((1-H721)*(Supuestos!$F$11-Supuestos!$D$11)*(Supuestos!$F$11-Supuestos!$E$11))),IF(Supuestos!$C$11="Uniforme",Supuestos!$D$11+H721*(Supuestos!$E$11-Supuestos!$D$11),IF(Supuestos!$C$11="Lognormal",LOGINV(H721,LN(Supuestos!$D$11)-LN(1+Supuestos!$E$11^2/Supuestos!$D$11^2)/2,SQRT(LN(1+Supuestos!$E$11^2/Supuestos!$D$11^2))),Supuestos!$D$11))))))</f>
        <v/>
      </c>
      <c r="P721" s="33">
        <f>-I721</f>
        <v/>
      </c>
      <c r="Q721" s="33">
        <f>$J721*(1+$K721)^(1-1)*(1-$L721)*(1-$M721)</f>
        <v/>
      </c>
      <c r="R721" s="33">
        <f>$J721*(1+$K721)^(2-1)*(1-$L721)*(1-$M721)</f>
        <v/>
      </c>
      <c r="S721" s="33">
        <f>$J721*(1+$K721)^(3-1)*(1-$L721)*(1-$M721)</f>
        <v/>
      </c>
      <c r="T721" s="33">
        <f>$J721*(1+$K721)^(4-1)*(1-$L721)*(1-$M721)</f>
        <v/>
      </c>
      <c r="U721" s="33">
        <f>$J721*(1+$K721)^(5-1)*(1-$L721)*(1-$M721)+$O721</f>
        <v/>
      </c>
      <c r="V721" s="33">
        <f>P721+NPV($N721,Q721:U721)</f>
        <v/>
      </c>
      <c r="W721" s="32">
        <f>IFERROR(IRR(P721:U721,0.1),"")</f>
        <v/>
      </c>
    </row>
    <row r="722">
      <c r="A722" s="14" t="n">
        <v>718</v>
      </c>
      <c r="B722" s="30">
        <f>RAND()*(1-2E-6)+1E-6</f>
        <v/>
      </c>
      <c r="C722" s="30">
        <f>RAND()*(1-2E-6)+1E-6</f>
        <v/>
      </c>
      <c r="D722" s="30">
        <f>RAND()*(1-2E-6)+1E-6</f>
        <v/>
      </c>
      <c r="E722" s="30">
        <f>RAND()*(1-2E-6)+1E-6</f>
        <v/>
      </c>
      <c r="F722" s="30">
        <f>RAND()*(1-2E-6)+1E-6</f>
        <v/>
      </c>
      <c r="G722" s="30">
        <f>RAND()*(1-2E-6)+1E-6</f>
        <v/>
      </c>
      <c r="H722" s="30">
        <f>RAND()*(1-2E-6)+1E-6</f>
        <v/>
      </c>
      <c r="I722" s="31">
        <f>MIN(IF(Supuestos!$H$5="",1E+99,Supuestos!$H$5),MAX(IF(Supuestos!$G$5="",-1E+99,Supuestos!$G$5),IF(Supuestos!$C$5="Normal",NORMINV(B722,Supuestos!$D$5,Supuestos!$E$5),IF(Supuestos!$C$5="Triangular",IF(B722&lt;(Supuestos!$E$5-Supuestos!$D$5)/(Supuestos!$F$5-Supuestos!$D$5),Supuestos!$D$5+SQRT(B722*(Supuestos!$F$5-Supuestos!$D$5)*(Supuestos!$E$5-Supuestos!$D$5)),Supuestos!$F$5-SQRT((1-B722)*(Supuestos!$F$5-Supuestos!$D$5)*(Supuestos!$F$5-Supuestos!$E$5))),IF(Supuestos!$C$5="Uniforme",Supuestos!$D$5+B722*(Supuestos!$E$5-Supuestos!$D$5),IF(Supuestos!$C$5="Lognormal",LOGINV(B722,LN(Supuestos!$D$5)-LN(1+Supuestos!$E$5^2/Supuestos!$D$5^2)/2,SQRT(LN(1+Supuestos!$E$5^2/Supuestos!$D$5^2))),Supuestos!$D$5))))))</f>
        <v/>
      </c>
      <c r="J722" s="31">
        <f>MIN(IF(Supuestos!$H$6="",1E+99,Supuestos!$H$6),MAX(IF(Supuestos!$G$6="",-1E+99,Supuestos!$G$6),IF(Supuestos!$C$6="Normal",NORMINV(C722,Supuestos!$D$6,Supuestos!$E$6),IF(Supuestos!$C$6="Triangular",IF(C722&lt;(Supuestos!$E$6-Supuestos!$D$6)/(Supuestos!$F$6-Supuestos!$D$6),Supuestos!$D$6+SQRT(C722*(Supuestos!$F$6-Supuestos!$D$6)*(Supuestos!$E$6-Supuestos!$D$6)),Supuestos!$F$6-SQRT((1-C722)*(Supuestos!$F$6-Supuestos!$D$6)*(Supuestos!$F$6-Supuestos!$E$6))),IF(Supuestos!$C$6="Uniforme",Supuestos!$D$6+C722*(Supuestos!$E$6-Supuestos!$D$6),IF(Supuestos!$C$6="Lognormal",LOGINV(C722,LN(Supuestos!$D$6)-LN(1+Supuestos!$E$6^2/Supuestos!$D$6^2)/2,SQRT(LN(1+Supuestos!$E$6^2/Supuestos!$D$6^2))),Supuestos!$D$6))))))</f>
        <v/>
      </c>
      <c r="K722" s="32">
        <f>MIN(IF(Supuestos!$H$7="",1E+99,Supuestos!$H$7),MAX(IF(Supuestos!$G$7="",-1E+99,Supuestos!$G$7),IF(Supuestos!$C$7="Normal",NORMINV(D722,Supuestos!$D$7,Supuestos!$E$7),IF(Supuestos!$C$7="Triangular",IF(D722&lt;(Supuestos!$E$7-Supuestos!$D$7)/(Supuestos!$F$7-Supuestos!$D$7),Supuestos!$D$7+SQRT(D722*(Supuestos!$F$7-Supuestos!$D$7)*(Supuestos!$E$7-Supuestos!$D$7)),Supuestos!$F$7-SQRT((1-D722)*(Supuestos!$F$7-Supuestos!$D$7)*(Supuestos!$F$7-Supuestos!$E$7))),IF(Supuestos!$C$7="Uniforme",Supuestos!$D$7+D722*(Supuestos!$E$7-Supuestos!$D$7),IF(Supuestos!$C$7="Lognormal",LOGINV(D722,LN(Supuestos!$D$7)-LN(1+Supuestos!$E$7^2/Supuestos!$D$7^2)/2,SQRT(LN(1+Supuestos!$E$7^2/Supuestos!$D$7^2))),Supuestos!$D$7))))))</f>
        <v/>
      </c>
      <c r="L722" s="32">
        <f>MIN(IF(Supuestos!$H$8="",1E+99,Supuestos!$H$8),MAX(IF(Supuestos!$G$8="",-1E+99,Supuestos!$G$8),IF(Supuestos!$C$8="Normal",NORMINV(E722,Supuestos!$D$8,Supuestos!$E$8),IF(Supuestos!$C$8="Triangular",IF(E722&lt;(Supuestos!$E$8-Supuestos!$D$8)/(Supuestos!$F$8-Supuestos!$D$8),Supuestos!$D$8+SQRT(E722*(Supuestos!$F$8-Supuestos!$D$8)*(Supuestos!$E$8-Supuestos!$D$8)),Supuestos!$F$8-SQRT((1-E722)*(Supuestos!$F$8-Supuestos!$D$8)*(Supuestos!$F$8-Supuestos!$E$8))),IF(Supuestos!$C$8="Uniforme",Supuestos!$D$8+E722*(Supuestos!$E$8-Supuestos!$D$8),IF(Supuestos!$C$8="Lognormal",LOGINV(E722,LN(Supuestos!$D$8)-LN(1+Supuestos!$E$8^2/Supuestos!$D$8^2)/2,SQRT(LN(1+Supuestos!$E$8^2/Supuestos!$D$8^2))),Supuestos!$D$8))))))</f>
        <v/>
      </c>
      <c r="M722" s="32">
        <f>MIN(IF(Supuestos!$H$9="",1E+99,Supuestos!$H$9),MAX(IF(Supuestos!$G$9="",-1E+99,Supuestos!$G$9),IF(Supuestos!$C$9="Normal",NORMINV(F722,Supuestos!$D$9,Supuestos!$E$9),IF(Supuestos!$C$9="Triangular",IF(F722&lt;(Supuestos!$E$9-Supuestos!$D$9)/(Supuestos!$F$9-Supuestos!$D$9),Supuestos!$D$9+SQRT(F722*(Supuestos!$F$9-Supuestos!$D$9)*(Supuestos!$E$9-Supuestos!$D$9)),Supuestos!$F$9-SQRT((1-F722)*(Supuestos!$F$9-Supuestos!$D$9)*(Supuestos!$F$9-Supuestos!$E$9))),IF(Supuestos!$C$9="Uniforme",Supuestos!$D$9+F722*(Supuestos!$E$9-Supuestos!$D$9),IF(Supuestos!$C$9="Lognormal",LOGINV(F722,LN(Supuestos!$D$9)-LN(1+Supuestos!$E$9^2/Supuestos!$D$9^2)/2,SQRT(LN(1+Supuestos!$E$9^2/Supuestos!$D$9^2))),Supuestos!$D$9))))))</f>
        <v/>
      </c>
      <c r="N722" s="32">
        <f>MIN(IF(Supuestos!$H$10="",1E+99,Supuestos!$H$10),MAX(IF(Supuestos!$G$10="",-1E+99,Supuestos!$G$10),IF(Supuestos!$C$10="Normal",NORMINV(G722,Supuestos!$D$10,Supuestos!$E$10),IF(Supuestos!$C$10="Triangular",IF(G722&lt;(Supuestos!$E$10-Supuestos!$D$10)/(Supuestos!$F$10-Supuestos!$D$10),Supuestos!$D$10+SQRT(G722*(Supuestos!$F$10-Supuestos!$D$10)*(Supuestos!$E$10-Supuestos!$D$10)),Supuestos!$F$10-SQRT((1-G722)*(Supuestos!$F$10-Supuestos!$D$10)*(Supuestos!$F$10-Supuestos!$E$10))),IF(Supuestos!$C$10="Uniforme",Supuestos!$D$10+G722*(Supuestos!$E$10-Supuestos!$D$10),IF(Supuestos!$C$10="Lognormal",LOGINV(G722,LN(Supuestos!$D$10)-LN(1+Supuestos!$E$10^2/Supuestos!$D$10^2)/2,SQRT(LN(1+Supuestos!$E$10^2/Supuestos!$D$10^2))),Supuestos!$D$10))))))</f>
        <v/>
      </c>
      <c r="O722" s="31">
        <f>MIN(IF(Supuestos!$H$11="",1E+99,Supuestos!$H$11),MAX(IF(Supuestos!$G$11="",-1E+99,Supuestos!$G$11),IF(Supuestos!$C$11="Normal",NORMINV(H722,Supuestos!$D$11,Supuestos!$E$11),IF(Supuestos!$C$11="Triangular",IF(H722&lt;(Supuestos!$E$11-Supuestos!$D$11)/(Supuestos!$F$11-Supuestos!$D$11),Supuestos!$D$11+SQRT(H722*(Supuestos!$F$11-Supuestos!$D$11)*(Supuestos!$E$11-Supuestos!$D$11)),Supuestos!$F$11-SQRT((1-H722)*(Supuestos!$F$11-Supuestos!$D$11)*(Supuestos!$F$11-Supuestos!$E$11))),IF(Supuestos!$C$11="Uniforme",Supuestos!$D$11+H722*(Supuestos!$E$11-Supuestos!$D$11),IF(Supuestos!$C$11="Lognormal",LOGINV(H722,LN(Supuestos!$D$11)-LN(1+Supuestos!$E$11^2/Supuestos!$D$11^2)/2,SQRT(LN(1+Supuestos!$E$11^2/Supuestos!$D$11^2))),Supuestos!$D$11))))))</f>
        <v/>
      </c>
      <c r="P722" s="33">
        <f>-I722</f>
        <v/>
      </c>
      <c r="Q722" s="33">
        <f>$J722*(1+$K722)^(1-1)*(1-$L722)*(1-$M722)</f>
        <v/>
      </c>
      <c r="R722" s="33">
        <f>$J722*(1+$K722)^(2-1)*(1-$L722)*(1-$M722)</f>
        <v/>
      </c>
      <c r="S722" s="33">
        <f>$J722*(1+$K722)^(3-1)*(1-$L722)*(1-$M722)</f>
        <v/>
      </c>
      <c r="T722" s="33">
        <f>$J722*(1+$K722)^(4-1)*(1-$L722)*(1-$M722)</f>
        <v/>
      </c>
      <c r="U722" s="33">
        <f>$J722*(1+$K722)^(5-1)*(1-$L722)*(1-$M722)+$O722</f>
        <v/>
      </c>
      <c r="V722" s="33">
        <f>P722+NPV($N722,Q722:U722)</f>
        <v/>
      </c>
      <c r="W722" s="32">
        <f>IFERROR(IRR(P722:U722,0.1),"")</f>
        <v/>
      </c>
    </row>
    <row r="723">
      <c r="A723" s="14" t="n">
        <v>719</v>
      </c>
      <c r="B723" s="30">
        <f>RAND()*(1-2E-6)+1E-6</f>
        <v/>
      </c>
      <c r="C723" s="30">
        <f>RAND()*(1-2E-6)+1E-6</f>
        <v/>
      </c>
      <c r="D723" s="30">
        <f>RAND()*(1-2E-6)+1E-6</f>
        <v/>
      </c>
      <c r="E723" s="30">
        <f>RAND()*(1-2E-6)+1E-6</f>
        <v/>
      </c>
      <c r="F723" s="30">
        <f>RAND()*(1-2E-6)+1E-6</f>
        <v/>
      </c>
      <c r="G723" s="30">
        <f>RAND()*(1-2E-6)+1E-6</f>
        <v/>
      </c>
      <c r="H723" s="30">
        <f>RAND()*(1-2E-6)+1E-6</f>
        <v/>
      </c>
      <c r="I723" s="31">
        <f>MIN(IF(Supuestos!$H$5="",1E+99,Supuestos!$H$5),MAX(IF(Supuestos!$G$5="",-1E+99,Supuestos!$G$5),IF(Supuestos!$C$5="Normal",NORMINV(B723,Supuestos!$D$5,Supuestos!$E$5),IF(Supuestos!$C$5="Triangular",IF(B723&lt;(Supuestos!$E$5-Supuestos!$D$5)/(Supuestos!$F$5-Supuestos!$D$5),Supuestos!$D$5+SQRT(B723*(Supuestos!$F$5-Supuestos!$D$5)*(Supuestos!$E$5-Supuestos!$D$5)),Supuestos!$F$5-SQRT((1-B723)*(Supuestos!$F$5-Supuestos!$D$5)*(Supuestos!$F$5-Supuestos!$E$5))),IF(Supuestos!$C$5="Uniforme",Supuestos!$D$5+B723*(Supuestos!$E$5-Supuestos!$D$5),IF(Supuestos!$C$5="Lognormal",LOGINV(B723,LN(Supuestos!$D$5)-LN(1+Supuestos!$E$5^2/Supuestos!$D$5^2)/2,SQRT(LN(1+Supuestos!$E$5^2/Supuestos!$D$5^2))),Supuestos!$D$5))))))</f>
        <v/>
      </c>
      <c r="J723" s="31">
        <f>MIN(IF(Supuestos!$H$6="",1E+99,Supuestos!$H$6),MAX(IF(Supuestos!$G$6="",-1E+99,Supuestos!$G$6),IF(Supuestos!$C$6="Normal",NORMINV(C723,Supuestos!$D$6,Supuestos!$E$6),IF(Supuestos!$C$6="Triangular",IF(C723&lt;(Supuestos!$E$6-Supuestos!$D$6)/(Supuestos!$F$6-Supuestos!$D$6),Supuestos!$D$6+SQRT(C723*(Supuestos!$F$6-Supuestos!$D$6)*(Supuestos!$E$6-Supuestos!$D$6)),Supuestos!$F$6-SQRT((1-C723)*(Supuestos!$F$6-Supuestos!$D$6)*(Supuestos!$F$6-Supuestos!$E$6))),IF(Supuestos!$C$6="Uniforme",Supuestos!$D$6+C723*(Supuestos!$E$6-Supuestos!$D$6),IF(Supuestos!$C$6="Lognormal",LOGINV(C723,LN(Supuestos!$D$6)-LN(1+Supuestos!$E$6^2/Supuestos!$D$6^2)/2,SQRT(LN(1+Supuestos!$E$6^2/Supuestos!$D$6^2))),Supuestos!$D$6))))))</f>
        <v/>
      </c>
      <c r="K723" s="32">
        <f>MIN(IF(Supuestos!$H$7="",1E+99,Supuestos!$H$7),MAX(IF(Supuestos!$G$7="",-1E+99,Supuestos!$G$7),IF(Supuestos!$C$7="Normal",NORMINV(D723,Supuestos!$D$7,Supuestos!$E$7),IF(Supuestos!$C$7="Triangular",IF(D723&lt;(Supuestos!$E$7-Supuestos!$D$7)/(Supuestos!$F$7-Supuestos!$D$7),Supuestos!$D$7+SQRT(D723*(Supuestos!$F$7-Supuestos!$D$7)*(Supuestos!$E$7-Supuestos!$D$7)),Supuestos!$F$7-SQRT((1-D723)*(Supuestos!$F$7-Supuestos!$D$7)*(Supuestos!$F$7-Supuestos!$E$7))),IF(Supuestos!$C$7="Uniforme",Supuestos!$D$7+D723*(Supuestos!$E$7-Supuestos!$D$7),IF(Supuestos!$C$7="Lognormal",LOGINV(D723,LN(Supuestos!$D$7)-LN(1+Supuestos!$E$7^2/Supuestos!$D$7^2)/2,SQRT(LN(1+Supuestos!$E$7^2/Supuestos!$D$7^2))),Supuestos!$D$7))))))</f>
        <v/>
      </c>
      <c r="L723" s="32">
        <f>MIN(IF(Supuestos!$H$8="",1E+99,Supuestos!$H$8),MAX(IF(Supuestos!$G$8="",-1E+99,Supuestos!$G$8),IF(Supuestos!$C$8="Normal",NORMINV(E723,Supuestos!$D$8,Supuestos!$E$8),IF(Supuestos!$C$8="Triangular",IF(E723&lt;(Supuestos!$E$8-Supuestos!$D$8)/(Supuestos!$F$8-Supuestos!$D$8),Supuestos!$D$8+SQRT(E723*(Supuestos!$F$8-Supuestos!$D$8)*(Supuestos!$E$8-Supuestos!$D$8)),Supuestos!$F$8-SQRT((1-E723)*(Supuestos!$F$8-Supuestos!$D$8)*(Supuestos!$F$8-Supuestos!$E$8))),IF(Supuestos!$C$8="Uniforme",Supuestos!$D$8+E723*(Supuestos!$E$8-Supuestos!$D$8),IF(Supuestos!$C$8="Lognormal",LOGINV(E723,LN(Supuestos!$D$8)-LN(1+Supuestos!$E$8^2/Supuestos!$D$8^2)/2,SQRT(LN(1+Supuestos!$E$8^2/Supuestos!$D$8^2))),Supuestos!$D$8))))))</f>
        <v/>
      </c>
      <c r="M723" s="32">
        <f>MIN(IF(Supuestos!$H$9="",1E+99,Supuestos!$H$9),MAX(IF(Supuestos!$G$9="",-1E+99,Supuestos!$G$9),IF(Supuestos!$C$9="Normal",NORMINV(F723,Supuestos!$D$9,Supuestos!$E$9),IF(Supuestos!$C$9="Triangular",IF(F723&lt;(Supuestos!$E$9-Supuestos!$D$9)/(Supuestos!$F$9-Supuestos!$D$9),Supuestos!$D$9+SQRT(F723*(Supuestos!$F$9-Supuestos!$D$9)*(Supuestos!$E$9-Supuestos!$D$9)),Supuestos!$F$9-SQRT((1-F723)*(Supuestos!$F$9-Supuestos!$D$9)*(Supuestos!$F$9-Supuestos!$E$9))),IF(Supuestos!$C$9="Uniforme",Supuestos!$D$9+F723*(Supuestos!$E$9-Supuestos!$D$9),IF(Supuestos!$C$9="Lognormal",LOGINV(F723,LN(Supuestos!$D$9)-LN(1+Supuestos!$E$9^2/Supuestos!$D$9^2)/2,SQRT(LN(1+Supuestos!$E$9^2/Supuestos!$D$9^2))),Supuestos!$D$9))))))</f>
        <v/>
      </c>
      <c r="N723" s="32">
        <f>MIN(IF(Supuestos!$H$10="",1E+99,Supuestos!$H$10),MAX(IF(Supuestos!$G$10="",-1E+99,Supuestos!$G$10),IF(Supuestos!$C$10="Normal",NORMINV(G723,Supuestos!$D$10,Supuestos!$E$10),IF(Supuestos!$C$10="Triangular",IF(G723&lt;(Supuestos!$E$10-Supuestos!$D$10)/(Supuestos!$F$10-Supuestos!$D$10),Supuestos!$D$10+SQRT(G723*(Supuestos!$F$10-Supuestos!$D$10)*(Supuestos!$E$10-Supuestos!$D$10)),Supuestos!$F$10-SQRT((1-G723)*(Supuestos!$F$10-Supuestos!$D$10)*(Supuestos!$F$10-Supuestos!$E$10))),IF(Supuestos!$C$10="Uniforme",Supuestos!$D$10+G723*(Supuestos!$E$10-Supuestos!$D$10),IF(Supuestos!$C$10="Lognormal",LOGINV(G723,LN(Supuestos!$D$10)-LN(1+Supuestos!$E$10^2/Supuestos!$D$10^2)/2,SQRT(LN(1+Supuestos!$E$10^2/Supuestos!$D$10^2))),Supuestos!$D$10))))))</f>
        <v/>
      </c>
      <c r="O723" s="31">
        <f>MIN(IF(Supuestos!$H$11="",1E+99,Supuestos!$H$11),MAX(IF(Supuestos!$G$11="",-1E+99,Supuestos!$G$11),IF(Supuestos!$C$11="Normal",NORMINV(H723,Supuestos!$D$11,Supuestos!$E$11),IF(Supuestos!$C$11="Triangular",IF(H723&lt;(Supuestos!$E$11-Supuestos!$D$11)/(Supuestos!$F$11-Supuestos!$D$11),Supuestos!$D$11+SQRT(H723*(Supuestos!$F$11-Supuestos!$D$11)*(Supuestos!$E$11-Supuestos!$D$11)),Supuestos!$F$11-SQRT((1-H723)*(Supuestos!$F$11-Supuestos!$D$11)*(Supuestos!$F$11-Supuestos!$E$11))),IF(Supuestos!$C$11="Uniforme",Supuestos!$D$11+H723*(Supuestos!$E$11-Supuestos!$D$11),IF(Supuestos!$C$11="Lognormal",LOGINV(H723,LN(Supuestos!$D$11)-LN(1+Supuestos!$E$11^2/Supuestos!$D$11^2)/2,SQRT(LN(1+Supuestos!$E$11^2/Supuestos!$D$11^2))),Supuestos!$D$11))))))</f>
        <v/>
      </c>
      <c r="P723" s="33">
        <f>-I723</f>
        <v/>
      </c>
      <c r="Q723" s="33">
        <f>$J723*(1+$K723)^(1-1)*(1-$L723)*(1-$M723)</f>
        <v/>
      </c>
      <c r="R723" s="33">
        <f>$J723*(1+$K723)^(2-1)*(1-$L723)*(1-$M723)</f>
        <v/>
      </c>
      <c r="S723" s="33">
        <f>$J723*(1+$K723)^(3-1)*(1-$L723)*(1-$M723)</f>
        <v/>
      </c>
      <c r="T723" s="33">
        <f>$J723*(1+$K723)^(4-1)*(1-$L723)*(1-$M723)</f>
        <v/>
      </c>
      <c r="U723" s="33">
        <f>$J723*(1+$K723)^(5-1)*(1-$L723)*(1-$M723)+$O723</f>
        <v/>
      </c>
      <c r="V723" s="33">
        <f>P723+NPV($N723,Q723:U723)</f>
        <v/>
      </c>
      <c r="W723" s="32">
        <f>IFERROR(IRR(P723:U723,0.1),"")</f>
        <v/>
      </c>
    </row>
    <row r="724">
      <c r="A724" s="14" t="n">
        <v>720</v>
      </c>
      <c r="B724" s="30">
        <f>RAND()*(1-2E-6)+1E-6</f>
        <v/>
      </c>
      <c r="C724" s="30">
        <f>RAND()*(1-2E-6)+1E-6</f>
        <v/>
      </c>
      <c r="D724" s="30">
        <f>RAND()*(1-2E-6)+1E-6</f>
        <v/>
      </c>
      <c r="E724" s="30">
        <f>RAND()*(1-2E-6)+1E-6</f>
        <v/>
      </c>
      <c r="F724" s="30">
        <f>RAND()*(1-2E-6)+1E-6</f>
        <v/>
      </c>
      <c r="G724" s="30">
        <f>RAND()*(1-2E-6)+1E-6</f>
        <v/>
      </c>
      <c r="H724" s="30">
        <f>RAND()*(1-2E-6)+1E-6</f>
        <v/>
      </c>
      <c r="I724" s="31">
        <f>MIN(IF(Supuestos!$H$5="",1E+99,Supuestos!$H$5),MAX(IF(Supuestos!$G$5="",-1E+99,Supuestos!$G$5),IF(Supuestos!$C$5="Normal",NORMINV(B724,Supuestos!$D$5,Supuestos!$E$5),IF(Supuestos!$C$5="Triangular",IF(B724&lt;(Supuestos!$E$5-Supuestos!$D$5)/(Supuestos!$F$5-Supuestos!$D$5),Supuestos!$D$5+SQRT(B724*(Supuestos!$F$5-Supuestos!$D$5)*(Supuestos!$E$5-Supuestos!$D$5)),Supuestos!$F$5-SQRT((1-B724)*(Supuestos!$F$5-Supuestos!$D$5)*(Supuestos!$F$5-Supuestos!$E$5))),IF(Supuestos!$C$5="Uniforme",Supuestos!$D$5+B724*(Supuestos!$E$5-Supuestos!$D$5),IF(Supuestos!$C$5="Lognormal",LOGINV(B724,LN(Supuestos!$D$5)-LN(1+Supuestos!$E$5^2/Supuestos!$D$5^2)/2,SQRT(LN(1+Supuestos!$E$5^2/Supuestos!$D$5^2))),Supuestos!$D$5))))))</f>
        <v/>
      </c>
      <c r="J724" s="31">
        <f>MIN(IF(Supuestos!$H$6="",1E+99,Supuestos!$H$6),MAX(IF(Supuestos!$G$6="",-1E+99,Supuestos!$G$6),IF(Supuestos!$C$6="Normal",NORMINV(C724,Supuestos!$D$6,Supuestos!$E$6),IF(Supuestos!$C$6="Triangular",IF(C724&lt;(Supuestos!$E$6-Supuestos!$D$6)/(Supuestos!$F$6-Supuestos!$D$6),Supuestos!$D$6+SQRT(C724*(Supuestos!$F$6-Supuestos!$D$6)*(Supuestos!$E$6-Supuestos!$D$6)),Supuestos!$F$6-SQRT((1-C724)*(Supuestos!$F$6-Supuestos!$D$6)*(Supuestos!$F$6-Supuestos!$E$6))),IF(Supuestos!$C$6="Uniforme",Supuestos!$D$6+C724*(Supuestos!$E$6-Supuestos!$D$6),IF(Supuestos!$C$6="Lognormal",LOGINV(C724,LN(Supuestos!$D$6)-LN(1+Supuestos!$E$6^2/Supuestos!$D$6^2)/2,SQRT(LN(1+Supuestos!$E$6^2/Supuestos!$D$6^2))),Supuestos!$D$6))))))</f>
        <v/>
      </c>
      <c r="K724" s="32">
        <f>MIN(IF(Supuestos!$H$7="",1E+99,Supuestos!$H$7),MAX(IF(Supuestos!$G$7="",-1E+99,Supuestos!$G$7),IF(Supuestos!$C$7="Normal",NORMINV(D724,Supuestos!$D$7,Supuestos!$E$7),IF(Supuestos!$C$7="Triangular",IF(D724&lt;(Supuestos!$E$7-Supuestos!$D$7)/(Supuestos!$F$7-Supuestos!$D$7),Supuestos!$D$7+SQRT(D724*(Supuestos!$F$7-Supuestos!$D$7)*(Supuestos!$E$7-Supuestos!$D$7)),Supuestos!$F$7-SQRT((1-D724)*(Supuestos!$F$7-Supuestos!$D$7)*(Supuestos!$F$7-Supuestos!$E$7))),IF(Supuestos!$C$7="Uniforme",Supuestos!$D$7+D724*(Supuestos!$E$7-Supuestos!$D$7),IF(Supuestos!$C$7="Lognormal",LOGINV(D724,LN(Supuestos!$D$7)-LN(1+Supuestos!$E$7^2/Supuestos!$D$7^2)/2,SQRT(LN(1+Supuestos!$E$7^2/Supuestos!$D$7^2))),Supuestos!$D$7))))))</f>
        <v/>
      </c>
      <c r="L724" s="32">
        <f>MIN(IF(Supuestos!$H$8="",1E+99,Supuestos!$H$8),MAX(IF(Supuestos!$G$8="",-1E+99,Supuestos!$G$8),IF(Supuestos!$C$8="Normal",NORMINV(E724,Supuestos!$D$8,Supuestos!$E$8),IF(Supuestos!$C$8="Triangular",IF(E724&lt;(Supuestos!$E$8-Supuestos!$D$8)/(Supuestos!$F$8-Supuestos!$D$8),Supuestos!$D$8+SQRT(E724*(Supuestos!$F$8-Supuestos!$D$8)*(Supuestos!$E$8-Supuestos!$D$8)),Supuestos!$F$8-SQRT((1-E724)*(Supuestos!$F$8-Supuestos!$D$8)*(Supuestos!$F$8-Supuestos!$E$8))),IF(Supuestos!$C$8="Uniforme",Supuestos!$D$8+E724*(Supuestos!$E$8-Supuestos!$D$8),IF(Supuestos!$C$8="Lognormal",LOGINV(E724,LN(Supuestos!$D$8)-LN(1+Supuestos!$E$8^2/Supuestos!$D$8^2)/2,SQRT(LN(1+Supuestos!$E$8^2/Supuestos!$D$8^2))),Supuestos!$D$8))))))</f>
        <v/>
      </c>
      <c r="M724" s="32">
        <f>MIN(IF(Supuestos!$H$9="",1E+99,Supuestos!$H$9),MAX(IF(Supuestos!$G$9="",-1E+99,Supuestos!$G$9),IF(Supuestos!$C$9="Normal",NORMINV(F724,Supuestos!$D$9,Supuestos!$E$9),IF(Supuestos!$C$9="Triangular",IF(F724&lt;(Supuestos!$E$9-Supuestos!$D$9)/(Supuestos!$F$9-Supuestos!$D$9),Supuestos!$D$9+SQRT(F724*(Supuestos!$F$9-Supuestos!$D$9)*(Supuestos!$E$9-Supuestos!$D$9)),Supuestos!$F$9-SQRT((1-F724)*(Supuestos!$F$9-Supuestos!$D$9)*(Supuestos!$F$9-Supuestos!$E$9))),IF(Supuestos!$C$9="Uniforme",Supuestos!$D$9+F724*(Supuestos!$E$9-Supuestos!$D$9),IF(Supuestos!$C$9="Lognormal",LOGINV(F724,LN(Supuestos!$D$9)-LN(1+Supuestos!$E$9^2/Supuestos!$D$9^2)/2,SQRT(LN(1+Supuestos!$E$9^2/Supuestos!$D$9^2))),Supuestos!$D$9))))))</f>
        <v/>
      </c>
      <c r="N724" s="32">
        <f>MIN(IF(Supuestos!$H$10="",1E+99,Supuestos!$H$10),MAX(IF(Supuestos!$G$10="",-1E+99,Supuestos!$G$10),IF(Supuestos!$C$10="Normal",NORMINV(G724,Supuestos!$D$10,Supuestos!$E$10),IF(Supuestos!$C$10="Triangular",IF(G724&lt;(Supuestos!$E$10-Supuestos!$D$10)/(Supuestos!$F$10-Supuestos!$D$10),Supuestos!$D$10+SQRT(G724*(Supuestos!$F$10-Supuestos!$D$10)*(Supuestos!$E$10-Supuestos!$D$10)),Supuestos!$F$10-SQRT((1-G724)*(Supuestos!$F$10-Supuestos!$D$10)*(Supuestos!$F$10-Supuestos!$E$10))),IF(Supuestos!$C$10="Uniforme",Supuestos!$D$10+G724*(Supuestos!$E$10-Supuestos!$D$10),IF(Supuestos!$C$10="Lognormal",LOGINV(G724,LN(Supuestos!$D$10)-LN(1+Supuestos!$E$10^2/Supuestos!$D$10^2)/2,SQRT(LN(1+Supuestos!$E$10^2/Supuestos!$D$10^2))),Supuestos!$D$10))))))</f>
        <v/>
      </c>
      <c r="O724" s="31">
        <f>MIN(IF(Supuestos!$H$11="",1E+99,Supuestos!$H$11),MAX(IF(Supuestos!$G$11="",-1E+99,Supuestos!$G$11),IF(Supuestos!$C$11="Normal",NORMINV(H724,Supuestos!$D$11,Supuestos!$E$11),IF(Supuestos!$C$11="Triangular",IF(H724&lt;(Supuestos!$E$11-Supuestos!$D$11)/(Supuestos!$F$11-Supuestos!$D$11),Supuestos!$D$11+SQRT(H724*(Supuestos!$F$11-Supuestos!$D$11)*(Supuestos!$E$11-Supuestos!$D$11)),Supuestos!$F$11-SQRT((1-H724)*(Supuestos!$F$11-Supuestos!$D$11)*(Supuestos!$F$11-Supuestos!$E$11))),IF(Supuestos!$C$11="Uniforme",Supuestos!$D$11+H724*(Supuestos!$E$11-Supuestos!$D$11),IF(Supuestos!$C$11="Lognormal",LOGINV(H724,LN(Supuestos!$D$11)-LN(1+Supuestos!$E$11^2/Supuestos!$D$11^2)/2,SQRT(LN(1+Supuestos!$E$11^2/Supuestos!$D$11^2))),Supuestos!$D$11))))))</f>
        <v/>
      </c>
      <c r="P724" s="33">
        <f>-I724</f>
        <v/>
      </c>
      <c r="Q724" s="33">
        <f>$J724*(1+$K724)^(1-1)*(1-$L724)*(1-$M724)</f>
        <v/>
      </c>
      <c r="R724" s="33">
        <f>$J724*(1+$K724)^(2-1)*(1-$L724)*(1-$M724)</f>
        <v/>
      </c>
      <c r="S724" s="33">
        <f>$J724*(1+$K724)^(3-1)*(1-$L724)*(1-$M724)</f>
        <v/>
      </c>
      <c r="T724" s="33">
        <f>$J724*(1+$K724)^(4-1)*(1-$L724)*(1-$M724)</f>
        <v/>
      </c>
      <c r="U724" s="33">
        <f>$J724*(1+$K724)^(5-1)*(1-$L724)*(1-$M724)+$O724</f>
        <v/>
      </c>
      <c r="V724" s="33">
        <f>P724+NPV($N724,Q724:U724)</f>
        <v/>
      </c>
      <c r="W724" s="32">
        <f>IFERROR(IRR(P724:U724,0.1),"")</f>
        <v/>
      </c>
    </row>
    <row r="725">
      <c r="A725" s="14" t="n">
        <v>721</v>
      </c>
      <c r="B725" s="30">
        <f>RAND()*(1-2E-6)+1E-6</f>
        <v/>
      </c>
      <c r="C725" s="30">
        <f>RAND()*(1-2E-6)+1E-6</f>
        <v/>
      </c>
      <c r="D725" s="30">
        <f>RAND()*(1-2E-6)+1E-6</f>
        <v/>
      </c>
      <c r="E725" s="30">
        <f>RAND()*(1-2E-6)+1E-6</f>
        <v/>
      </c>
      <c r="F725" s="30">
        <f>RAND()*(1-2E-6)+1E-6</f>
        <v/>
      </c>
      <c r="G725" s="30">
        <f>RAND()*(1-2E-6)+1E-6</f>
        <v/>
      </c>
      <c r="H725" s="30">
        <f>RAND()*(1-2E-6)+1E-6</f>
        <v/>
      </c>
      <c r="I725" s="31">
        <f>MIN(IF(Supuestos!$H$5="",1E+99,Supuestos!$H$5),MAX(IF(Supuestos!$G$5="",-1E+99,Supuestos!$G$5),IF(Supuestos!$C$5="Normal",NORMINV(B725,Supuestos!$D$5,Supuestos!$E$5),IF(Supuestos!$C$5="Triangular",IF(B725&lt;(Supuestos!$E$5-Supuestos!$D$5)/(Supuestos!$F$5-Supuestos!$D$5),Supuestos!$D$5+SQRT(B725*(Supuestos!$F$5-Supuestos!$D$5)*(Supuestos!$E$5-Supuestos!$D$5)),Supuestos!$F$5-SQRT((1-B725)*(Supuestos!$F$5-Supuestos!$D$5)*(Supuestos!$F$5-Supuestos!$E$5))),IF(Supuestos!$C$5="Uniforme",Supuestos!$D$5+B725*(Supuestos!$E$5-Supuestos!$D$5),IF(Supuestos!$C$5="Lognormal",LOGINV(B725,LN(Supuestos!$D$5)-LN(1+Supuestos!$E$5^2/Supuestos!$D$5^2)/2,SQRT(LN(1+Supuestos!$E$5^2/Supuestos!$D$5^2))),Supuestos!$D$5))))))</f>
        <v/>
      </c>
      <c r="J725" s="31">
        <f>MIN(IF(Supuestos!$H$6="",1E+99,Supuestos!$H$6),MAX(IF(Supuestos!$G$6="",-1E+99,Supuestos!$G$6),IF(Supuestos!$C$6="Normal",NORMINV(C725,Supuestos!$D$6,Supuestos!$E$6),IF(Supuestos!$C$6="Triangular",IF(C725&lt;(Supuestos!$E$6-Supuestos!$D$6)/(Supuestos!$F$6-Supuestos!$D$6),Supuestos!$D$6+SQRT(C725*(Supuestos!$F$6-Supuestos!$D$6)*(Supuestos!$E$6-Supuestos!$D$6)),Supuestos!$F$6-SQRT((1-C725)*(Supuestos!$F$6-Supuestos!$D$6)*(Supuestos!$F$6-Supuestos!$E$6))),IF(Supuestos!$C$6="Uniforme",Supuestos!$D$6+C725*(Supuestos!$E$6-Supuestos!$D$6),IF(Supuestos!$C$6="Lognormal",LOGINV(C725,LN(Supuestos!$D$6)-LN(1+Supuestos!$E$6^2/Supuestos!$D$6^2)/2,SQRT(LN(1+Supuestos!$E$6^2/Supuestos!$D$6^2))),Supuestos!$D$6))))))</f>
        <v/>
      </c>
      <c r="K725" s="32">
        <f>MIN(IF(Supuestos!$H$7="",1E+99,Supuestos!$H$7),MAX(IF(Supuestos!$G$7="",-1E+99,Supuestos!$G$7),IF(Supuestos!$C$7="Normal",NORMINV(D725,Supuestos!$D$7,Supuestos!$E$7),IF(Supuestos!$C$7="Triangular",IF(D725&lt;(Supuestos!$E$7-Supuestos!$D$7)/(Supuestos!$F$7-Supuestos!$D$7),Supuestos!$D$7+SQRT(D725*(Supuestos!$F$7-Supuestos!$D$7)*(Supuestos!$E$7-Supuestos!$D$7)),Supuestos!$F$7-SQRT((1-D725)*(Supuestos!$F$7-Supuestos!$D$7)*(Supuestos!$F$7-Supuestos!$E$7))),IF(Supuestos!$C$7="Uniforme",Supuestos!$D$7+D725*(Supuestos!$E$7-Supuestos!$D$7),IF(Supuestos!$C$7="Lognormal",LOGINV(D725,LN(Supuestos!$D$7)-LN(1+Supuestos!$E$7^2/Supuestos!$D$7^2)/2,SQRT(LN(1+Supuestos!$E$7^2/Supuestos!$D$7^2))),Supuestos!$D$7))))))</f>
        <v/>
      </c>
      <c r="L725" s="32">
        <f>MIN(IF(Supuestos!$H$8="",1E+99,Supuestos!$H$8),MAX(IF(Supuestos!$G$8="",-1E+99,Supuestos!$G$8),IF(Supuestos!$C$8="Normal",NORMINV(E725,Supuestos!$D$8,Supuestos!$E$8),IF(Supuestos!$C$8="Triangular",IF(E725&lt;(Supuestos!$E$8-Supuestos!$D$8)/(Supuestos!$F$8-Supuestos!$D$8),Supuestos!$D$8+SQRT(E725*(Supuestos!$F$8-Supuestos!$D$8)*(Supuestos!$E$8-Supuestos!$D$8)),Supuestos!$F$8-SQRT((1-E725)*(Supuestos!$F$8-Supuestos!$D$8)*(Supuestos!$F$8-Supuestos!$E$8))),IF(Supuestos!$C$8="Uniforme",Supuestos!$D$8+E725*(Supuestos!$E$8-Supuestos!$D$8),IF(Supuestos!$C$8="Lognormal",LOGINV(E725,LN(Supuestos!$D$8)-LN(1+Supuestos!$E$8^2/Supuestos!$D$8^2)/2,SQRT(LN(1+Supuestos!$E$8^2/Supuestos!$D$8^2))),Supuestos!$D$8))))))</f>
        <v/>
      </c>
      <c r="M725" s="32">
        <f>MIN(IF(Supuestos!$H$9="",1E+99,Supuestos!$H$9),MAX(IF(Supuestos!$G$9="",-1E+99,Supuestos!$G$9),IF(Supuestos!$C$9="Normal",NORMINV(F725,Supuestos!$D$9,Supuestos!$E$9),IF(Supuestos!$C$9="Triangular",IF(F725&lt;(Supuestos!$E$9-Supuestos!$D$9)/(Supuestos!$F$9-Supuestos!$D$9),Supuestos!$D$9+SQRT(F725*(Supuestos!$F$9-Supuestos!$D$9)*(Supuestos!$E$9-Supuestos!$D$9)),Supuestos!$F$9-SQRT((1-F725)*(Supuestos!$F$9-Supuestos!$D$9)*(Supuestos!$F$9-Supuestos!$E$9))),IF(Supuestos!$C$9="Uniforme",Supuestos!$D$9+F725*(Supuestos!$E$9-Supuestos!$D$9),IF(Supuestos!$C$9="Lognormal",LOGINV(F725,LN(Supuestos!$D$9)-LN(1+Supuestos!$E$9^2/Supuestos!$D$9^2)/2,SQRT(LN(1+Supuestos!$E$9^2/Supuestos!$D$9^2))),Supuestos!$D$9))))))</f>
        <v/>
      </c>
      <c r="N725" s="32">
        <f>MIN(IF(Supuestos!$H$10="",1E+99,Supuestos!$H$10),MAX(IF(Supuestos!$G$10="",-1E+99,Supuestos!$G$10),IF(Supuestos!$C$10="Normal",NORMINV(G725,Supuestos!$D$10,Supuestos!$E$10),IF(Supuestos!$C$10="Triangular",IF(G725&lt;(Supuestos!$E$10-Supuestos!$D$10)/(Supuestos!$F$10-Supuestos!$D$10),Supuestos!$D$10+SQRT(G725*(Supuestos!$F$10-Supuestos!$D$10)*(Supuestos!$E$10-Supuestos!$D$10)),Supuestos!$F$10-SQRT((1-G725)*(Supuestos!$F$10-Supuestos!$D$10)*(Supuestos!$F$10-Supuestos!$E$10))),IF(Supuestos!$C$10="Uniforme",Supuestos!$D$10+G725*(Supuestos!$E$10-Supuestos!$D$10),IF(Supuestos!$C$10="Lognormal",LOGINV(G725,LN(Supuestos!$D$10)-LN(1+Supuestos!$E$10^2/Supuestos!$D$10^2)/2,SQRT(LN(1+Supuestos!$E$10^2/Supuestos!$D$10^2))),Supuestos!$D$10))))))</f>
        <v/>
      </c>
      <c r="O725" s="31">
        <f>MIN(IF(Supuestos!$H$11="",1E+99,Supuestos!$H$11),MAX(IF(Supuestos!$G$11="",-1E+99,Supuestos!$G$11),IF(Supuestos!$C$11="Normal",NORMINV(H725,Supuestos!$D$11,Supuestos!$E$11),IF(Supuestos!$C$11="Triangular",IF(H725&lt;(Supuestos!$E$11-Supuestos!$D$11)/(Supuestos!$F$11-Supuestos!$D$11),Supuestos!$D$11+SQRT(H725*(Supuestos!$F$11-Supuestos!$D$11)*(Supuestos!$E$11-Supuestos!$D$11)),Supuestos!$F$11-SQRT((1-H725)*(Supuestos!$F$11-Supuestos!$D$11)*(Supuestos!$F$11-Supuestos!$E$11))),IF(Supuestos!$C$11="Uniforme",Supuestos!$D$11+H725*(Supuestos!$E$11-Supuestos!$D$11),IF(Supuestos!$C$11="Lognormal",LOGINV(H725,LN(Supuestos!$D$11)-LN(1+Supuestos!$E$11^2/Supuestos!$D$11^2)/2,SQRT(LN(1+Supuestos!$E$11^2/Supuestos!$D$11^2))),Supuestos!$D$11))))))</f>
        <v/>
      </c>
      <c r="P725" s="33">
        <f>-I725</f>
        <v/>
      </c>
      <c r="Q725" s="33">
        <f>$J725*(1+$K725)^(1-1)*(1-$L725)*(1-$M725)</f>
        <v/>
      </c>
      <c r="R725" s="33">
        <f>$J725*(1+$K725)^(2-1)*(1-$L725)*(1-$M725)</f>
        <v/>
      </c>
      <c r="S725" s="33">
        <f>$J725*(1+$K725)^(3-1)*(1-$L725)*(1-$M725)</f>
        <v/>
      </c>
      <c r="T725" s="33">
        <f>$J725*(1+$K725)^(4-1)*(1-$L725)*(1-$M725)</f>
        <v/>
      </c>
      <c r="U725" s="33">
        <f>$J725*(1+$K725)^(5-1)*(1-$L725)*(1-$M725)+$O725</f>
        <v/>
      </c>
      <c r="V725" s="33">
        <f>P725+NPV($N725,Q725:U725)</f>
        <v/>
      </c>
      <c r="W725" s="32">
        <f>IFERROR(IRR(P725:U725,0.1),"")</f>
        <v/>
      </c>
    </row>
    <row r="726">
      <c r="A726" s="14" t="n">
        <v>722</v>
      </c>
      <c r="B726" s="30">
        <f>RAND()*(1-2E-6)+1E-6</f>
        <v/>
      </c>
      <c r="C726" s="30">
        <f>RAND()*(1-2E-6)+1E-6</f>
        <v/>
      </c>
      <c r="D726" s="30">
        <f>RAND()*(1-2E-6)+1E-6</f>
        <v/>
      </c>
      <c r="E726" s="30">
        <f>RAND()*(1-2E-6)+1E-6</f>
        <v/>
      </c>
      <c r="F726" s="30">
        <f>RAND()*(1-2E-6)+1E-6</f>
        <v/>
      </c>
      <c r="G726" s="30">
        <f>RAND()*(1-2E-6)+1E-6</f>
        <v/>
      </c>
      <c r="H726" s="30">
        <f>RAND()*(1-2E-6)+1E-6</f>
        <v/>
      </c>
      <c r="I726" s="31">
        <f>MIN(IF(Supuestos!$H$5="",1E+99,Supuestos!$H$5),MAX(IF(Supuestos!$G$5="",-1E+99,Supuestos!$G$5),IF(Supuestos!$C$5="Normal",NORMINV(B726,Supuestos!$D$5,Supuestos!$E$5),IF(Supuestos!$C$5="Triangular",IF(B726&lt;(Supuestos!$E$5-Supuestos!$D$5)/(Supuestos!$F$5-Supuestos!$D$5),Supuestos!$D$5+SQRT(B726*(Supuestos!$F$5-Supuestos!$D$5)*(Supuestos!$E$5-Supuestos!$D$5)),Supuestos!$F$5-SQRT((1-B726)*(Supuestos!$F$5-Supuestos!$D$5)*(Supuestos!$F$5-Supuestos!$E$5))),IF(Supuestos!$C$5="Uniforme",Supuestos!$D$5+B726*(Supuestos!$E$5-Supuestos!$D$5),IF(Supuestos!$C$5="Lognormal",LOGINV(B726,LN(Supuestos!$D$5)-LN(1+Supuestos!$E$5^2/Supuestos!$D$5^2)/2,SQRT(LN(1+Supuestos!$E$5^2/Supuestos!$D$5^2))),Supuestos!$D$5))))))</f>
        <v/>
      </c>
      <c r="J726" s="31">
        <f>MIN(IF(Supuestos!$H$6="",1E+99,Supuestos!$H$6),MAX(IF(Supuestos!$G$6="",-1E+99,Supuestos!$G$6),IF(Supuestos!$C$6="Normal",NORMINV(C726,Supuestos!$D$6,Supuestos!$E$6),IF(Supuestos!$C$6="Triangular",IF(C726&lt;(Supuestos!$E$6-Supuestos!$D$6)/(Supuestos!$F$6-Supuestos!$D$6),Supuestos!$D$6+SQRT(C726*(Supuestos!$F$6-Supuestos!$D$6)*(Supuestos!$E$6-Supuestos!$D$6)),Supuestos!$F$6-SQRT((1-C726)*(Supuestos!$F$6-Supuestos!$D$6)*(Supuestos!$F$6-Supuestos!$E$6))),IF(Supuestos!$C$6="Uniforme",Supuestos!$D$6+C726*(Supuestos!$E$6-Supuestos!$D$6),IF(Supuestos!$C$6="Lognormal",LOGINV(C726,LN(Supuestos!$D$6)-LN(1+Supuestos!$E$6^2/Supuestos!$D$6^2)/2,SQRT(LN(1+Supuestos!$E$6^2/Supuestos!$D$6^2))),Supuestos!$D$6))))))</f>
        <v/>
      </c>
      <c r="K726" s="32">
        <f>MIN(IF(Supuestos!$H$7="",1E+99,Supuestos!$H$7),MAX(IF(Supuestos!$G$7="",-1E+99,Supuestos!$G$7),IF(Supuestos!$C$7="Normal",NORMINV(D726,Supuestos!$D$7,Supuestos!$E$7),IF(Supuestos!$C$7="Triangular",IF(D726&lt;(Supuestos!$E$7-Supuestos!$D$7)/(Supuestos!$F$7-Supuestos!$D$7),Supuestos!$D$7+SQRT(D726*(Supuestos!$F$7-Supuestos!$D$7)*(Supuestos!$E$7-Supuestos!$D$7)),Supuestos!$F$7-SQRT((1-D726)*(Supuestos!$F$7-Supuestos!$D$7)*(Supuestos!$F$7-Supuestos!$E$7))),IF(Supuestos!$C$7="Uniforme",Supuestos!$D$7+D726*(Supuestos!$E$7-Supuestos!$D$7),IF(Supuestos!$C$7="Lognormal",LOGINV(D726,LN(Supuestos!$D$7)-LN(1+Supuestos!$E$7^2/Supuestos!$D$7^2)/2,SQRT(LN(1+Supuestos!$E$7^2/Supuestos!$D$7^2))),Supuestos!$D$7))))))</f>
        <v/>
      </c>
      <c r="L726" s="32">
        <f>MIN(IF(Supuestos!$H$8="",1E+99,Supuestos!$H$8),MAX(IF(Supuestos!$G$8="",-1E+99,Supuestos!$G$8),IF(Supuestos!$C$8="Normal",NORMINV(E726,Supuestos!$D$8,Supuestos!$E$8),IF(Supuestos!$C$8="Triangular",IF(E726&lt;(Supuestos!$E$8-Supuestos!$D$8)/(Supuestos!$F$8-Supuestos!$D$8),Supuestos!$D$8+SQRT(E726*(Supuestos!$F$8-Supuestos!$D$8)*(Supuestos!$E$8-Supuestos!$D$8)),Supuestos!$F$8-SQRT((1-E726)*(Supuestos!$F$8-Supuestos!$D$8)*(Supuestos!$F$8-Supuestos!$E$8))),IF(Supuestos!$C$8="Uniforme",Supuestos!$D$8+E726*(Supuestos!$E$8-Supuestos!$D$8),IF(Supuestos!$C$8="Lognormal",LOGINV(E726,LN(Supuestos!$D$8)-LN(1+Supuestos!$E$8^2/Supuestos!$D$8^2)/2,SQRT(LN(1+Supuestos!$E$8^2/Supuestos!$D$8^2))),Supuestos!$D$8))))))</f>
        <v/>
      </c>
      <c r="M726" s="32">
        <f>MIN(IF(Supuestos!$H$9="",1E+99,Supuestos!$H$9),MAX(IF(Supuestos!$G$9="",-1E+99,Supuestos!$G$9),IF(Supuestos!$C$9="Normal",NORMINV(F726,Supuestos!$D$9,Supuestos!$E$9),IF(Supuestos!$C$9="Triangular",IF(F726&lt;(Supuestos!$E$9-Supuestos!$D$9)/(Supuestos!$F$9-Supuestos!$D$9),Supuestos!$D$9+SQRT(F726*(Supuestos!$F$9-Supuestos!$D$9)*(Supuestos!$E$9-Supuestos!$D$9)),Supuestos!$F$9-SQRT((1-F726)*(Supuestos!$F$9-Supuestos!$D$9)*(Supuestos!$F$9-Supuestos!$E$9))),IF(Supuestos!$C$9="Uniforme",Supuestos!$D$9+F726*(Supuestos!$E$9-Supuestos!$D$9),IF(Supuestos!$C$9="Lognormal",LOGINV(F726,LN(Supuestos!$D$9)-LN(1+Supuestos!$E$9^2/Supuestos!$D$9^2)/2,SQRT(LN(1+Supuestos!$E$9^2/Supuestos!$D$9^2))),Supuestos!$D$9))))))</f>
        <v/>
      </c>
      <c r="N726" s="32">
        <f>MIN(IF(Supuestos!$H$10="",1E+99,Supuestos!$H$10),MAX(IF(Supuestos!$G$10="",-1E+99,Supuestos!$G$10),IF(Supuestos!$C$10="Normal",NORMINV(G726,Supuestos!$D$10,Supuestos!$E$10),IF(Supuestos!$C$10="Triangular",IF(G726&lt;(Supuestos!$E$10-Supuestos!$D$10)/(Supuestos!$F$10-Supuestos!$D$10),Supuestos!$D$10+SQRT(G726*(Supuestos!$F$10-Supuestos!$D$10)*(Supuestos!$E$10-Supuestos!$D$10)),Supuestos!$F$10-SQRT((1-G726)*(Supuestos!$F$10-Supuestos!$D$10)*(Supuestos!$F$10-Supuestos!$E$10))),IF(Supuestos!$C$10="Uniforme",Supuestos!$D$10+G726*(Supuestos!$E$10-Supuestos!$D$10),IF(Supuestos!$C$10="Lognormal",LOGINV(G726,LN(Supuestos!$D$10)-LN(1+Supuestos!$E$10^2/Supuestos!$D$10^2)/2,SQRT(LN(1+Supuestos!$E$10^2/Supuestos!$D$10^2))),Supuestos!$D$10))))))</f>
        <v/>
      </c>
      <c r="O726" s="31">
        <f>MIN(IF(Supuestos!$H$11="",1E+99,Supuestos!$H$11),MAX(IF(Supuestos!$G$11="",-1E+99,Supuestos!$G$11),IF(Supuestos!$C$11="Normal",NORMINV(H726,Supuestos!$D$11,Supuestos!$E$11),IF(Supuestos!$C$11="Triangular",IF(H726&lt;(Supuestos!$E$11-Supuestos!$D$11)/(Supuestos!$F$11-Supuestos!$D$11),Supuestos!$D$11+SQRT(H726*(Supuestos!$F$11-Supuestos!$D$11)*(Supuestos!$E$11-Supuestos!$D$11)),Supuestos!$F$11-SQRT((1-H726)*(Supuestos!$F$11-Supuestos!$D$11)*(Supuestos!$F$11-Supuestos!$E$11))),IF(Supuestos!$C$11="Uniforme",Supuestos!$D$11+H726*(Supuestos!$E$11-Supuestos!$D$11),IF(Supuestos!$C$11="Lognormal",LOGINV(H726,LN(Supuestos!$D$11)-LN(1+Supuestos!$E$11^2/Supuestos!$D$11^2)/2,SQRT(LN(1+Supuestos!$E$11^2/Supuestos!$D$11^2))),Supuestos!$D$11))))))</f>
        <v/>
      </c>
      <c r="P726" s="33">
        <f>-I726</f>
        <v/>
      </c>
      <c r="Q726" s="33">
        <f>$J726*(1+$K726)^(1-1)*(1-$L726)*(1-$M726)</f>
        <v/>
      </c>
      <c r="R726" s="33">
        <f>$J726*(1+$K726)^(2-1)*(1-$L726)*(1-$M726)</f>
        <v/>
      </c>
      <c r="S726" s="33">
        <f>$J726*(1+$K726)^(3-1)*(1-$L726)*(1-$M726)</f>
        <v/>
      </c>
      <c r="T726" s="33">
        <f>$J726*(1+$K726)^(4-1)*(1-$L726)*(1-$M726)</f>
        <v/>
      </c>
      <c r="U726" s="33">
        <f>$J726*(1+$K726)^(5-1)*(1-$L726)*(1-$M726)+$O726</f>
        <v/>
      </c>
      <c r="V726" s="33">
        <f>P726+NPV($N726,Q726:U726)</f>
        <v/>
      </c>
      <c r="W726" s="32">
        <f>IFERROR(IRR(P726:U726,0.1),"")</f>
        <v/>
      </c>
    </row>
    <row r="727">
      <c r="A727" s="14" t="n">
        <v>723</v>
      </c>
      <c r="B727" s="30">
        <f>RAND()*(1-2E-6)+1E-6</f>
        <v/>
      </c>
      <c r="C727" s="30">
        <f>RAND()*(1-2E-6)+1E-6</f>
        <v/>
      </c>
      <c r="D727" s="30">
        <f>RAND()*(1-2E-6)+1E-6</f>
        <v/>
      </c>
      <c r="E727" s="30">
        <f>RAND()*(1-2E-6)+1E-6</f>
        <v/>
      </c>
      <c r="F727" s="30">
        <f>RAND()*(1-2E-6)+1E-6</f>
        <v/>
      </c>
      <c r="G727" s="30">
        <f>RAND()*(1-2E-6)+1E-6</f>
        <v/>
      </c>
      <c r="H727" s="30">
        <f>RAND()*(1-2E-6)+1E-6</f>
        <v/>
      </c>
      <c r="I727" s="31">
        <f>MIN(IF(Supuestos!$H$5="",1E+99,Supuestos!$H$5),MAX(IF(Supuestos!$G$5="",-1E+99,Supuestos!$G$5),IF(Supuestos!$C$5="Normal",NORMINV(B727,Supuestos!$D$5,Supuestos!$E$5),IF(Supuestos!$C$5="Triangular",IF(B727&lt;(Supuestos!$E$5-Supuestos!$D$5)/(Supuestos!$F$5-Supuestos!$D$5),Supuestos!$D$5+SQRT(B727*(Supuestos!$F$5-Supuestos!$D$5)*(Supuestos!$E$5-Supuestos!$D$5)),Supuestos!$F$5-SQRT((1-B727)*(Supuestos!$F$5-Supuestos!$D$5)*(Supuestos!$F$5-Supuestos!$E$5))),IF(Supuestos!$C$5="Uniforme",Supuestos!$D$5+B727*(Supuestos!$E$5-Supuestos!$D$5),IF(Supuestos!$C$5="Lognormal",LOGINV(B727,LN(Supuestos!$D$5)-LN(1+Supuestos!$E$5^2/Supuestos!$D$5^2)/2,SQRT(LN(1+Supuestos!$E$5^2/Supuestos!$D$5^2))),Supuestos!$D$5))))))</f>
        <v/>
      </c>
      <c r="J727" s="31">
        <f>MIN(IF(Supuestos!$H$6="",1E+99,Supuestos!$H$6),MAX(IF(Supuestos!$G$6="",-1E+99,Supuestos!$G$6),IF(Supuestos!$C$6="Normal",NORMINV(C727,Supuestos!$D$6,Supuestos!$E$6),IF(Supuestos!$C$6="Triangular",IF(C727&lt;(Supuestos!$E$6-Supuestos!$D$6)/(Supuestos!$F$6-Supuestos!$D$6),Supuestos!$D$6+SQRT(C727*(Supuestos!$F$6-Supuestos!$D$6)*(Supuestos!$E$6-Supuestos!$D$6)),Supuestos!$F$6-SQRT((1-C727)*(Supuestos!$F$6-Supuestos!$D$6)*(Supuestos!$F$6-Supuestos!$E$6))),IF(Supuestos!$C$6="Uniforme",Supuestos!$D$6+C727*(Supuestos!$E$6-Supuestos!$D$6),IF(Supuestos!$C$6="Lognormal",LOGINV(C727,LN(Supuestos!$D$6)-LN(1+Supuestos!$E$6^2/Supuestos!$D$6^2)/2,SQRT(LN(1+Supuestos!$E$6^2/Supuestos!$D$6^2))),Supuestos!$D$6))))))</f>
        <v/>
      </c>
      <c r="K727" s="32">
        <f>MIN(IF(Supuestos!$H$7="",1E+99,Supuestos!$H$7),MAX(IF(Supuestos!$G$7="",-1E+99,Supuestos!$G$7),IF(Supuestos!$C$7="Normal",NORMINV(D727,Supuestos!$D$7,Supuestos!$E$7),IF(Supuestos!$C$7="Triangular",IF(D727&lt;(Supuestos!$E$7-Supuestos!$D$7)/(Supuestos!$F$7-Supuestos!$D$7),Supuestos!$D$7+SQRT(D727*(Supuestos!$F$7-Supuestos!$D$7)*(Supuestos!$E$7-Supuestos!$D$7)),Supuestos!$F$7-SQRT((1-D727)*(Supuestos!$F$7-Supuestos!$D$7)*(Supuestos!$F$7-Supuestos!$E$7))),IF(Supuestos!$C$7="Uniforme",Supuestos!$D$7+D727*(Supuestos!$E$7-Supuestos!$D$7),IF(Supuestos!$C$7="Lognormal",LOGINV(D727,LN(Supuestos!$D$7)-LN(1+Supuestos!$E$7^2/Supuestos!$D$7^2)/2,SQRT(LN(1+Supuestos!$E$7^2/Supuestos!$D$7^2))),Supuestos!$D$7))))))</f>
        <v/>
      </c>
      <c r="L727" s="32">
        <f>MIN(IF(Supuestos!$H$8="",1E+99,Supuestos!$H$8),MAX(IF(Supuestos!$G$8="",-1E+99,Supuestos!$G$8),IF(Supuestos!$C$8="Normal",NORMINV(E727,Supuestos!$D$8,Supuestos!$E$8),IF(Supuestos!$C$8="Triangular",IF(E727&lt;(Supuestos!$E$8-Supuestos!$D$8)/(Supuestos!$F$8-Supuestos!$D$8),Supuestos!$D$8+SQRT(E727*(Supuestos!$F$8-Supuestos!$D$8)*(Supuestos!$E$8-Supuestos!$D$8)),Supuestos!$F$8-SQRT((1-E727)*(Supuestos!$F$8-Supuestos!$D$8)*(Supuestos!$F$8-Supuestos!$E$8))),IF(Supuestos!$C$8="Uniforme",Supuestos!$D$8+E727*(Supuestos!$E$8-Supuestos!$D$8),IF(Supuestos!$C$8="Lognormal",LOGINV(E727,LN(Supuestos!$D$8)-LN(1+Supuestos!$E$8^2/Supuestos!$D$8^2)/2,SQRT(LN(1+Supuestos!$E$8^2/Supuestos!$D$8^2))),Supuestos!$D$8))))))</f>
        <v/>
      </c>
      <c r="M727" s="32">
        <f>MIN(IF(Supuestos!$H$9="",1E+99,Supuestos!$H$9),MAX(IF(Supuestos!$G$9="",-1E+99,Supuestos!$G$9),IF(Supuestos!$C$9="Normal",NORMINV(F727,Supuestos!$D$9,Supuestos!$E$9),IF(Supuestos!$C$9="Triangular",IF(F727&lt;(Supuestos!$E$9-Supuestos!$D$9)/(Supuestos!$F$9-Supuestos!$D$9),Supuestos!$D$9+SQRT(F727*(Supuestos!$F$9-Supuestos!$D$9)*(Supuestos!$E$9-Supuestos!$D$9)),Supuestos!$F$9-SQRT((1-F727)*(Supuestos!$F$9-Supuestos!$D$9)*(Supuestos!$F$9-Supuestos!$E$9))),IF(Supuestos!$C$9="Uniforme",Supuestos!$D$9+F727*(Supuestos!$E$9-Supuestos!$D$9),IF(Supuestos!$C$9="Lognormal",LOGINV(F727,LN(Supuestos!$D$9)-LN(1+Supuestos!$E$9^2/Supuestos!$D$9^2)/2,SQRT(LN(1+Supuestos!$E$9^2/Supuestos!$D$9^2))),Supuestos!$D$9))))))</f>
        <v/>
      </c>
      <c r="N727" s="32">
        <f>MIN(IF(Supuestos!$H$10="",1E+99,Supuestos!$H$10),MAX(IF(Supuestos!$G$10="",-1E+99,Supuestos!$G$10),IF(Supuestos!$C$10="Normal",NORMINV(G727,Supuestos!$D$10,Supuestos!$E$10),IF(Supuestos!$C$10="Triangular",IF(G727&lt;(Supuestos!$E$10-Supuestos!$D$10)/(Supuestos!$F$10-Supuestos!$D$10),Supuestos!$D$10+SQRT(G727*(Supuestos!$F$10-Supuestos!$D$10)*(Supuestos!$E$10-Supuestos!$D$10)),Supuestos!$F$10-SQRT((1-G727)*(Supuestos!$F$10-Supuestos!$D$10)*(Supuestos!$F$10-Supuestos!$E$10))),IF(Supuestos!$C$10="Uniforme",Supuestos!$D$10+G727*(Supuestos!$E$10-Supuestos!$D$10),IF(Supuestos!$C$10="Lognormal",LOGINV(G727,LN(Supuestos!$D$10)-LN(1+Supuestos!$E$10^2/Supuestos!$D$10^2)/2,SQRT(LN(1+Supuestos!$E$10^2/Supuestos!$D$10^2))),Supuestos!$D$10))))))</f>
        <v/>
      </c>
      <c r="O727" s="31">
        <f>MIN(IF(Supuestos!$H$11="",1E+99,Supuestos!$H$11),MAX(IF(Supuestos!$G$11="",-1E+99,Supuestos!$G$11),IF(Supuestos!$C$11="Normal",NORMINV(H727,Supuestos!$D$11,Supuestos!$E$11),IF(Supuestos!$C$11="Triangular",IF(H727&lt;(Supuestos!$E$11-Supuestos!$D$11)/(Supuestos!$F$11-Supuestos!$D$11),Supuestos!$D$11+SQRT(H727*(Supuestos!$F$11-Supuestos!$D$11)*(Supuestos!$E$11-Supuestos!$D$11)),Supuestos!$F$11-SQRT((1-H727)*(Supuestos!$F$11-Supuestos!$D$11)*(Supuestos!$F$11-Supuestos!$E$11))),IF(Supuestos!$C$11="Uniforme",Supuestos!$D$11+H727*(Supuestos!$E$11-Supuestos!$D$11),IF(Supuestos!$C$11="Lognormal",LOGINV(H727,LN(Supuestos!$D$11)-LN(1+Supuestos!$E$11^2/Supuestos!$D$11^2)/2,SQRT(LN(1+Supuestos!$E$11^2/Supuestos!$D$11^2))),Supuestos!$D$11))))))</f>
        <v/>
      </c>
      <c r="P727" s="33">
        <f>-I727</f>
        <v/>
      </c>
      <c r="Q727" s="33">
        <f>$J727*(1+$K727)^(1-1)*(1-$L727)*(1-$M727)</f>
        <v/>
      </c>
      <c r="R727" s="33">
        <f>$J727*(1+$K727)^(2-1)*(1-$L727)*(1-$M727)</f>
        <v/>
      </c>
      <c r="S727" s="33">
        <f>$J727*(1+$K727)^(3-1)*(1-$L727)*(1-$M727)</f>
        <v/>
      </c>
      <c r="T727" s="33">
        <f>$J727*(1+$K727)^(4-1)*(1-$L727)*(1-$M727)</f>
        <v/>
      </c>
      <c r="U727" s="33">
        <f>$J727*(1+$K727)^(5-1)*(1-$L727)*(1-$M727)+$O727</f>
        <v/>
      </c>
      <c r="V727" s="33">
        <f>P727+NPV($N727,Q727:U727)</f>
        <v/>
      </c>
      <c r="W727" s="32">
        <f>IFERROR(IRR(P727:U727,0.1),"")</f>
        <v/>
      </c>
    </row>
    <row r="728">
      <c r="A728" s="14" t="n">
        <v>724</v>
      </c>
      <c r="B728" s="30">
        <f>RAND()*(1-2E-6)+1E-6</f>
        <v/>
      </c>
      <c r="C728" s="30">
        <f>RAND()*(1-2E-6)+1E-6</f>
        <v/>
      </c>
      <c r="D728" s="30">
        <f>RAND()*(1-2E-6)+1E-6</f>
        <v/>
      </c>
      <c r="E728" s="30">
        <f>RAND()*(1-2E-6)+1E-6</f>
        <v/>
      </c>
      <c r="F728" s="30">
        <f>RAND()*(1-2E-6)+1E-6</f>
        <v/>
      </c>
      <c r="G728" s="30">
        <f>RAND()*(1-2E-6)+1E-6</f>
        <v/>
      </c>
      <c r="H728" s="30">
        <f>RAND()*(1-2E-6)+1E-6</f>
        <v/>
      </c>
      <c r="I728" s="31">
        <f>MIN(IF(Supuestos!$H$5="",1E+99,Supuestos!$H$5),MAX(IF(Supuestos!$G$5="",-1E+99,Supuestos!$G$5),IF(Supuestos!$C$5="Normal",NORMINV(B728,Supuestos!$D$5,Supuestos!$E$5),IF(Supuestos!$C$5="Triangular",IF(B728&lt;(Supuestos!$E$5-Supuestos!$D$5)/(Supuestos!$F$5-Supuestos!$D$5),Supuestos!$D$5+SQRT(B728*(Supuestos!$F$5-Supuestos!$D$5)*(Supuestos!$E$5-Supuestos!$D$5)),Supuestos!$F$5-SQRT((1-B728)*(Supuestos!$F$5-Supuestos!$D$5)*(Supuestos!$F$5-Supuestos!$E$5))),IF(Supuestos!$C$5="Uniforme",Supuestos!$D$5+B728*(Supuestos!$E$5-Supuestos!$D$5),IF(Supuestos!$C$5="Lognormal",LOGINV(B728,LN(Supuestos!$D$5)-LN(1+Supuestos!$E$5^2/Supuestos!$D$5^2)/2,SQRT(LN(1+Supuestos!$E$5^2/Supuestos!$D$5^2))),Supuestos!$D$5))))))</f>
        <v/>
      </c>
      <c r="J728" s="31">
        <f>MIN(IF(Supuestos!$H$6="",1E+99,Supuestos!$H$6),MAX(IF(Supuestos!$G$6="",-1E+99,Supuestos!$G$6),IF(Supuestos!$C$6="Normal",NORMINV(C728,Supuestos!$D$6,Supuestos!$E$6),IF(Supuestos!$C$6="Triangular",IF(C728&lt;(Supuestos!$E$6-Supuestos!$D$6)/(Supuestos!$F$6-Supuestos!$D$6),Supuestos!$D$6+SQRT(C728*(Supuestos!$F$6-Supuestos!$D$6)*(Supuestos!$E$6-Supuestos!$D$6)),Supuestos!$F$6-SQRT((1-C728)*(Supuestos!$F$6-Supuestos!$D$6)*(Supuestos!$F$6-Supuestos!$E$6))),IF(Supuestos!$C$6="Uniforme",Supuestos!$D$6+C728*(Supuestos!$E$6-Supuestos!$D$6),IF(Supuestos!$C$6="Lognormal",LOGINV(C728,LN(Supuestos!$D$6)-LN(1+Supuestos!$E$6^2/Supuestos!$D$6^2)/2,SQRT(LN(1+Supuestos!$E$6^2/Supuestos!$D$6^2))),Supuestos!$D$6))))))</f>
        <v/>
      </c>
      <c r="K728" s="32">
        <f>MIN(IF(Supuestos!$H$7="",1E+99,Supuestos!$H$7),MAX(IF(Supuestos!$G$7="",-1E+99,Supuestos!$G$7),IF(Supuestos!$C$7="Normal",NORMINV(D728,Supuestos!$D$7,Supuestos!$E$7),IF(Supuestos!$C$7="Triangular",IF(D728&lt;(Supuestos!$E$7-Supuestos!$D$7)/(Supuestos!$F$7-Supuestos!$D$7),Supuestos!$D$7+SQRT(D728*(Supuestos!$F$7-Supuestos!$D$7)*(Supuestos!$E$7-Supuestos!$D$7)),Supuestos!$F$7-SQRT((1-D728)*(Supuestos!$F$7-Supuestos!$D$7)*(Supuestos!$F$7-Supuestos!$E$7))),IF(Supuestos!$C$7="Uniforme",Supuestos!$D$7+D728*(Supuestos!$E$7-Supuestos!$D$7),IF(Supuestos!$C$7="Lognormal",LOGINV(D728,LN(Supuestos!$D$7)-LN(1+Supuestos!$E$7^2/Supuestos!$D$7^2)/2,SQRT(LN(1+Supuestos!$E$7^2/Supuestos!$D$7^2))),Supuestos!$D$7))))))</f>
        <v/>
      </c>
      <c r="L728" s="32">
        <f>MIN(IF(Supuestos!$H$8="",1E+99,Supuestos!$H$8),MAX(IF(Supuestos!$G$8="",-1E+99,Supuestos!$G$8),IF(Supuestos!$C$8="Normal",NORMINV(E728,Supuestos!$D$8,Supuestos!$E$8),IF(Supuestos!$C$8="Triangular",IF(E728&lt;(Supuestos!$E$8-Supuestos!$D$8)/(Supuestos!$F$8-Supuestos!$D$8),Supuestos!$D$8+SQRT(E728*(Supuestos!$F$8-Supuestos!$D$8)*(Supuestos!$E$8-Supuestos!$D$8)),Supuestos!$F$8-SQRT((1-E728)*(Supuestos!$F$8-Supuestos!$D$8)*(Supuestos!$F$8-Supuestos!$E$8))),IF(Supuestos!$C$8="Uniforme",Supuestos!$D$8+E728*(Supuestos!$E$8-Supuestos!$D$8),IF(Supuestos!$C$8="Lognormal",LOGINV(E728,LN(Supuestos!$D$8)-LN(1+Supuestos!$E$8^2/Supuestos!$D$8^2)/2,SQRT(LN(1+Supuestos!$E$8^2/Supuestos!$D$8^2))),Supuestos!$D$8))))))</f>
        <v/>
      </c>
      <c r="M728" s="32">
        <f>MIN(IF(Supuestos!$H$9="",1E+99,Supuestos!$H$9),MAX(IF(Supuestos!$G$9="",-1E+99,Supuestos!$G$9),IF(Supuestos!$C$9="Normal",NORMINV(F728,Supuestos!$D$9,Supuestos!$E$9),IF(Supuestos!$C$9="Triangular",IF(F728&lt;(Supuestos!$E$9-Supuestos!$D$9)/(Supuestos!$F$9-Supuestos!$D$9),Supuestos!$D$9+SQRT(F728*(Supuestos!$F$9-Supuestos!$D$9)*(Supuestos!$E$9-Supuestos!$D$9)),Supuestos!$F$9-SQRT((1-F728)*(Supuestos!$F$9-Supuestos!$D$9)*(Supuestos!$F$9-Supuestos!$E$9))),IF(Supuestos!$C$9="Uniforme",Supuestos!$D$9+F728*(Supuestos!$E$9-Supuestos!$D$9),IF(Supuestos!$C$9="Lognormal",LOGINV(F728,LN(Supuestos!$D$9)-LN(1+Supuestos!$E$9^2/Supuestos!$D$9^2)/2,SQRT(LN(1+Supuestos!$E$9^2/Supuestos!$D$9^2))),Supuestos!$D$9))))))</f>
        <v/>
      </c>
      <c r="N728" s="32">
        <f>MIN(IF(Supuestos!$H$10="",1E+99,Supuestos!$H$10),MAX(IF(Supuestos!$G$10="",-1E+99,Supuestos!$G$10),IF(Supuestos!$C$10="Normal",NORMINV(G728,Supuestos!$D$10,Supuestos!$E$10),IF(Supuestos!$C$10="Triangular",IF(G728&lt;(Supuestos!$E$10-Supuestos!$D$10)/(Supuestos!$F$10-Supuestos!$D$10),Supuestos!$D$10+SQRT(G728*(Supuestos!$F$10-Supuestos!$D$10)*(Supuestos!$E$10-Supuestos!$D$10)),Supuestos!$F$10-SQRT((1-G728)*(Supuestos!$F$10-Supuestos!$D$10)*(Supuestos!$F$10-Supuestos!$E$10))),IF(Supuestos!$C$10="Uniforme",Supuestos!$D$10+G728*(Supuestos!$E$10-Supuestos!$D$10),IF(Supuestos!$C$10="Lognormal",LOGINV(G728,LN(Supuestos!$D$10)-LN(1+Supuestos!$E$10^2/Supuestos!$D$10^2)/2,SQRT(LN(1+Supuestos!$E$10^2/Supuestos!$D$10^2))),Supuestos!$D$10))))))</f>
        <v/>
      </c>
      <c r="O728" s="31">
        <f>MIN(IF(Supuestos!$H$11="",1E+99,Supuestos!$H$11),MAX(IF(Supuestos!$G$11="",-1E+99,Supuestos!$G$11),IF(Supuestos!$C$11="Normal",NORMINV(H728,Supuestos!$D$11,Supuestos!$E$11),IF(Supuestos!$C$11="Triangular",IF(H728&lt;(Supuestos!$E$11-Supuestos!$D$11)/(Supuestos!$F$11-Supuestos!$D$11),Supuestos!$D$11+SQRT(H728*(Supuestos!$F$11-Supuestos!$D$11)*(Supuestos!$E$11-Supuestos!$D$11)),Supuestos!$F$11-SQRT((1-H728)*(Supuestos!$F$11-Supuestos!$D$11)*(Supuestos!$F$11-Supuestos!$E$11))),IF(Supuestos!$C$11="Uniforme",Supuestos!$D$11+H728*(Supuestos!$E$11-Supuestos!$D$11),IF(Supuestos!$C$11="Lognormal",LOGINV(H728,LN(Supuestos!$D$11)-LN(1+Supuestos!$E$11^2/Supuestos!$D$11^2)/2,SQRT(LN(1+Supuestos!$E$11^2/Supuestos!$D$11^2))),Supuestos!$D$11))))))</f>
        <v/>
      </c>
      <c r="P728" s="33">
        <f>-I728</f>
        <v/>
      </c>
      <c r="Q728" s="33">
        <f>$J728*(1+$K728)^(1-1)*(1-$L728)*(1-$M728)</f>
        <v/>
      </c>
      <c r="R728" s="33">
        <f>$J728*(1+$K728)^(2-1)*(1-$L728)*(1-$M728)</f>
        <v/>
      </c>
      <c r="S728" s="33">
        <f>$J728*(1+$K728)^(3-1)*(1-$L728)*(1-$M728)</f>
        <v/>
      </c>
      <c r="T728" s="33">
        <f>$J728*(1+$K728)^(4-1)*(1-$L728)*(1-$M728)</f>
        <v/>
      </c>
      <c r="U728" s="33">
        <f>$J728*(1+$K728)^(5-1)*(1-$L728)*(1-$M728)+$O728</f>
        <v/>
      </c>
      <c r="V728" s="33">
        <f>P728+NPV($N728,Q728:U728)</f>
        <v/>
      </c>
      <c r="W728" s="32">
        <f>IFERROR(IRR(P728:U728,0.1),"")</f>
        <v/>
      </c>
    </row>
    <row r="729">
      <c r="A729" s="14" t="n">
        <v>725</v>
      </c>
      <c r="B729" s="30">
        <f>RAND()*(1-2E-6)+1E-6</f>
        <v/>
      </c>
      <c r="C729" s="30">
        <f>RAND()*(1-2E-6)+1E-6</f>
        <v/>
      </c>
      <c r="D729" s="30">
        <f>RAND()*(1-2E-6)+1E-6</f>
        <v/>
      </c>
      <c r="E729" s="30">
        <f>RAND()*(1-2E-6)+1E-6</f>
        <v/>
      </c>
      <c r="F729" s="30">
        <f>RAND()*(1-2E-6)+1E-6</f>
        <v/>
      </c>
      <c r="G729" s="30">
        <f>RAND()*(1-2E-6)+1E-6</f>
        <v/>
      </c>
      <c r="H729" s="30">
        <f>RAND()*(1-2E-6)+1E-6</f>
        <v/>
      </c>
      <c r="I729" s="31">
        <f>MIN(IF(Supuestos!$H$5="",1E+99,Supuestos!$H$5),MAX(IF(Supuestos!$G$5="",-1E+99,Supuestos!$G$5),IF(Supuestos!$C$5="Normal",NORMINV(B729,Supuestos!$D$5,Supuestos!$E$5),IF(Supuestos!$C$5="Triangular",IF(B729&lt;(Supuestos!$E$5-Supuestos!$D$5)/(Supuestos!$F$5-Supuestos!$D$5),Supuestos!$D$5+SQRT(B729*(Supuestos!$F$5-Supuestos!$D$5)*(Supuestos!$E$5-Supuestos!$D$5)),Supuestos!$F$5-SQRT((1-B729)*(Supuestos!$F$5-Supuestos!$D$5)*(Supuestos!$F$5-Supuestos!$E$5))),IF(Supuestos!$C$5="Uniforme",Supuestos!$D$5+B729*(Supuestos!$E$5-Supuestos!$D$5),IF(Supuestos!$C$5="Lognormal",LOGINV(B729,LN(Supuestos!$D$5)-LN(1+Supuestos!$E$5^2/Supuestos!$D$5^2)/2,SQRT(LN(1+Supuestos!$E$5^2/Supuestos!$D$5^2))),Supuestos!$D$5))))))</f>
        <v/>
      </c>
      <c r="J729" s="31">
        <f>MIN(IF(Supuestos!$H$6="",1E+99,Supuestos!$H$6),MAX(IF(Supuestos!$G$6="",-1E+99,Supuestos!$G$6),IF(Supuestos!$C$6="Normal",NORMINV(C729,Supuestos!$D$6,Supuestos!$E$6),IF(Supuestos!$C$6="Triangular",IF(C729&lt;(Supuestos!$E$6-Supuestos!$D$6)/(Supuestos!$F$6-Supuestos!$D$6),Supuestos!$D$6+SQRT(C729*(Supuestos!$F$6-Supuestos!$D$6)*(Supuestos!$E$6-Supuestos!$D$6)),Supuestos!$F$6-SQRT((1-C729)*(Supuestos!$F$6-Supuestos!$D$6)*(Supuestos!$F$6-Supuestos!$E$6))),IF(Supuestos!$C$6="Uniforme",Supuestos!$D$6+C729*(Supuestos!$E$6-Supuestos!$D$6),IF(Supuestos!$C$6="Lognormal",LOGINV(C729,LN(Supuestos!$D$6)-LN(1+Supuestos!$E$6^2/Supuestos!$D$6^2)/2,SQRT(LN(1+Supuestos!$E$6^2/Supuestos!$D$6^2))),Supuestos!$D$6))))))</f>
        <v/>
      </c>
      <c r="K729" s="32">
        <f>MIN(IF(Supuestos!$H$7="",1E+99,Supuestos!$H$7),MAX(IF(Supuestos!$G$7="",-1E+99,Supuestos!$G$7),IF(Supuestos!$C$7="Normal",NORMINV(D729,Supuestos!$D$7,Supuestos!$E$7),IF(Supuestos!$C$7="Triangular",IF(D729&lt;(Supuestos!$E$7-Supuestos!$D$7)/(Supuestos!$F$7-Supuestos!$D$7),Supuestos!$D$7+SQRT(D729*(Supuestos!$F$7-Supuestos!$D$7)*(Supuestos!$E$7-Supuestos!$D$7)),Supuestos!$F$7-SQRT((1-D729)*(Supuestos!$F$7-Supuestos!$D$7)*(Supuestos!$F$7-Supuestos!$E$7))),IF(Supuestos!$C$7="Uniforme",Supuestos!$D$7+D729*(Supuestos!$E$7-Supuestos!$D$7),IF(Supuestos!$C$7="Lognormal",LOGINV(D729,LN(Supuestos!$D$7)-LN(1+Supuestos!$E$7^2/Supuestos!$D$7^2)/2,SQRT(LN(1+Supuestos!$E$7^2/Supuestos!$D$7^2))),Supuestos!$D$7))))))</f>
        <v/>
      </c>
      <c r="L729" s="32">
        <f>MIN(IF(Supuestos!$H$8="",1E+99,Supuestos!$H$8),MAX(IF(Supuestos!$G$8="",-1E+99,Supuestos!$G$8),IF(Supuestos!$C$8="Normal",NORMINV(E729,Supuestos!$D$8,Supuestos!$E$8),IF(Supuestos!$C$8="Triangular",IF(E729&lt;(Supuestos!$E$8-Supuestos!$D$8)/(Supuestos!$F$8-Supuestos!$D$8),Supuestos!$D$8+SQRT(E729*(Supuestos!$F$8-Supuestos!$D$8)*(Supuestos!$E$8-Supuestos!$D$8)),Supuestos!$F$8-SQRT((1-E729)*(Supuestos!$F$8-Supuestos!$D$8)*(Supuestos!$F$8-Supuestos!$E$8))),IF(Supuestos!$C$8="Uniforme",Supuestos!$D$8+E729*(Supuestos!$E$8-Supuestos!$D$8),IF(Supuestos!$C$8="Lognormal",LOGINV(E729,LN(Supuestos!$D$8)-LN(1+Supuestos!$E$8^2/Supuestos!$D$8^2)/2,SQRT(LN(1+Supuestos!$E$8^2/Supuestos!$D$8^2))),Supuestos!$D$8))))))</f>
        <v/>
      </c>
      <c r="M729" s="32">
        <f>MIN(IF(Supuestos!$H$9="",1E+99,Supuestos!$H$9),MAX(IF(Supuestos!$G$9="",-1E+99,Supuestos!$G$9),IF(Supuestos!$C$9="Normal",NORMINV(F729,Supuestos!$D$9,Supuestos!$E$9),IF(Supuestos!$C$9="Triangular",IF(F729&lt;(Supuestos!$E$9-Supuestos!$D$9)/(Supuestos!$F$9-Supuestos!$D$9),Supuestos!$D$9+SQRT(F729*(Supuestos!$F$9-Supuestos!$D$9)*(Supuestos!$E$9-Supuestos!$D$9)),Supuestos!$F$9-SQRT((1-F729)*(Supuestos!$F$9-Supuestos!$D$9)*(Supuestos!$F$9-Supuestos!$E$9))),IF(Supuestos!$C$9="Uniforme",Supuestos!$D$9+F729*(Supuestos!$E$9-Supuestos!$D$9),IF(Supuestos!$C$9="Lognormal",LOGINV(F729,LN(Supuestos!$D$9)-LN(1+Supuestos!$E$9^2/Supuestos!$D$9^2)/2,SQRT(LN(1+Supuestos!$E$9^2/Supuestos!$D$9^2))),Supuestos!$D$9))))))</f>
        <v/>
      </c>
      <c r="N729" s="32">
        <f>MIN(IF(Supuestos!$H$10="",1E+99,Supuestos!$H$10),MAX(IF(Supuestos!$G$10="",-1E+99,Supuestos!$G$10),IF(Supuestos!$C$10="Normal",NORMINV(G729,Supuestos!$D$10,Supuestos!$E$10),IF(Supuestos!$C$10="Triangular",IF(G729&lt;(Supuestos!$E$10-Supuestos!$D$10)/(Supuestos!$F$10-Supuestos!$D$10),Supuestos!$D$10+SQRT(G729*(Supuestos!$F$10-Supuestos!$D$10)*(Supuestos!$E$10-Supuestos!$D$10)),Supuestos!$F$10-SQRT((1-G729)*(Supuestos!$F$10-Supuestos!$D$10)*(Supuestos!$F$10-Supuestos!$E$10))),IF(Supuestos!$C$10="Uniforme",Supuestos!$D$10+G729*(Supuestos!$E$10-Supuestos!$D$10),IF(Supuestos!$C$10="Lognormal",LOGINV(G729,LN(Supuestos!$D$10)-LN(1+Supuestos!$E$10^2/Supuestos!$D$10^2)/2,SQRT(LN(1+Supuestos!$E$10^2/Supuestos!$D$10^2))),Supuestos!$D$10))))))</f>
        <v/>
      </c>
      <c r="O729" s="31">
        <f>MIN(IF(Supuestos!$H$11="",1E+99,Supuestos!$H$11),MAX(IF(Supuestos!$G$11="",-1E+99,Supuestos!$G$11),IF(Supuestos!$C$11="Normal",NORMINV(H729,Supuestos!$D$11,Supuestos!$E$11),IF(Supuestos!$C$11="Triangular",IF(H729&lt;(Supuestos!$E$11-Supuestos!$D$11)/(Supuestos!$F$11-Supuestos!$D$11),Supuestos!$D$11+SQRT(H729*(Supuestos!$F$11-Supuestos!$D$11)*(Supuestos!$E$11-Supuestos!$D$11)),Supuestos!$F$11-SQRT((1-H729)*(Supuestos!$F$11-Supuestos!$D$11)*(Supuestos!$F$11-Supuestos!$E$11))),IF(Supuestos!$C$11="Uniforme",Supuestos!$D$11+H729*(Supuestos!$E$11-Supuestos!$D$11),IF(Supuestos!$C$11="Lognormal",LOGINV(H729,LN(Supuestos!$D$11)-LN(1+Supuestos!$E$11^2/Supuestos!$D$11^2)/2,SQRT(LN(1+Supuestos!$E$11^2/Supuestos!$D$11^2))),Supuestos!$D$11))))))</f>
        <v/>
      </c>
      <c r="P729" s="33">
        <f>-I729</f>
        <v/>
      </c>
      <c r="Q729" s="33">
        <f>$J729*(1+$K729)^(1-1)*(1-$L729)*(1-$M729)</f>
        <v/>
      </c>
      <c r="R729" s="33">
        <f>$J729*(1+$K729)^(2-1)*(1-$L729)*(1-$M729)</f>
        <v/>
      </c>
      <c r="S729" s="33">
        <f>$J729*(1+$K729)^(3-1)*(1-$L729)*(1-$M729)</f>
        <v/>
      </c>
      <c r="T729" s="33">
        <f>$J729*(1+$K729)^(4-1)*(1-$L729)*(1-$M729)</f>
        <v/>
      </c>
      <c r="U729" s="33">
        <f>$J729*(1+$K729)^(5-1)*(1-$L729)*(1-$M729)+$O729</f>
        <v/>
      </c>
      <c r="V729" s="33">
        <f>P729+NPV($N729,Q729:U729)</f>
        <v/>
      </c>
      <c r="W729" s="32">
        <f>IFERROR(IRR(P729:U729,0.1),"")</f>
        <v/>
      </c>
    </row>
    <row r="730">
      <c r="A730" s="14" t="n">
        <v>726</v>
      </c>
      <c r="B730" s="30">
        <f>RAND()*(1-2E-6)+1E-6</f>
        <v/>
      </c>
      <c r="C730" s="30">
        <f>RAND()*(1-2E-6)+1E-6</f>
        <v/>
      </c>
      <c r="D730" s="30">
        <f>RAND()*(1-2E-6)+1E-6</f>
        <v/>
      </c>
      <c r="E730" s="30">
        <f>RAND()*(1-2E-6)+1E-6</f>
        <v/>
      </c>
      <c r="F730" s="30">
        <f>RAND()*(1-2E-6)+1E-6</f>
        <v/>
      </c>
      <c r="G730" s="30">
        <f>RAND()*(1-2E-6)+1E-6</f>
        <v/>
      </c>
      <c r="H730" s="30">
        <f>RAND()*(1-2E-6)+1E-6</f>
        <v/>
      </c>
      <c r="I730" s="31">
        <f>MIN(IF(Supuestos!$H$5="",1E+99,Supuestos!$H$5),MAX(IF(Supuestos!$G$5="",-1E+99,Supuestos!$G$5),IF(Supuestos!$C$5="Normal",NORMINV(B730,Supuestos!$D$5,Supuestos!$E$5),IF(Supuestos!$C$5="Triangular",IF(B730&lt;(Supuestos!$E$5-Supuestos!$D$5)/(Supuestos!$F$5-Supuestos!$D$5),Supuestos!$D$5+SQRT(B730*(Supuestos!$F$5-Supuestos!$D$5)*(Supuestos!$E$5-Supuestos!$D$5)),Supuestos!$F$5-SQRT((1-B730)*(Supuestos!$F$5-Supuestos!$D$5)*(Supuestos!$F$5-Supuestos!$E$5))),IF(Supuestos!$C$5="Uniforme",Supuestos!$D$5+B730*(Supuestos!$E$5-Supuestos!$D$5),IF(Supuestos!$C$5="Lognormal",LOGINV(B730,LN(Supuestos!$D$5)-LN(1+Supuestos!$E$5^2/Supuestos!$D$5^2)/2,SQRT(LN(1+Supuestos!$E$5^2/Supuestos!$D$5^2))),Supuestos!$D$5))))))</f>
        <v/>
      </c>
      <c r="J730" s="31">
        <f>MIN(IF(Supuestos!$H$6="",1E+99,Supuestos!$H$6),MAX(IF(Supuestos!$G$6="",-1E+99,Supuestos!$G$6),IF(Supuestos!$C$6="Normal",NORMINV(C730,Supuestos!$D$6,Supuestos!$E$6),IF(Supuestos!$C$6="Triangular",IF(C730&lt;(Supuestos!$E$6-Supuestos!$D$6)/(Supuestos!$F$6-Supuestos!$D$6),Supuestos!$D$6+SQRT(C730*(Supuestos!$F$6-Supuestos!$D$6)*(Supuestos!$E$6-Supuestos!$D$6)),Supuestos!$F$6-SQRT((1-C730)*(Supuestos!$F$6-Supuestos!$D$6)*(Supuestos!$F$6-Supuestos!$E$6))),IF(Supuestos!$C$6="Uniforme",Supuestos!$D$6+C730*(Supuestos!$E$6-Supuestos!$D$6),IF(Supuestos!$C$6="Lognormal",LOGINV(C730,LN(Supuestos!$D$6)-LN(1+Supuestos!$E$6^2/Supuestos!$D$6^2)/2,SQRT(LN(1+Supuestos!$E$6^2/Supuestos!$D$6^2))),Supuestos!$D$6))))))</f>
        <v/>
      </c>
      <c r="K730" s="32">
        <f>MIN(IF(Supuestos!$H$7="",1E+99,Supuestos!$H$7),MAX(IF(Supuestos!$G$7="",-1E+99,Supuestos!$G$7),IF(Supuestos!$C$7="Normal",NORMINV(D730,Supuestos!$D$7,Supuestos!$E$7),IF(Supuestos!$C$7="Triangular",IF(D730&lt;(Supuestos!$E$7-Supuestos!$D$7)/(Supuestos!$F$7-Supuestos!$D$7),Supuestos!$D$7+SQRT(D730*(Supuestos!$F$7-Supuestos!$D$7)*(Supuestos!$E$7-Supuestos!$D$7)),Supuestos!$F$7-SQRT((1-D730)*(Supuestos!$F$7-Supuestos!$D$7)*(Supuestos!$F$7-Supuestos!$E$7))),IF(Supuestos!$C$7="Uniforme",Supuestos!$D$7+D730*(Supuestos!$E$7-Supuestos!$D$7),IF(Supuestos!$C$7="Lognormal",LOGINV(D730,LN(Supuestos!$D$7)-LN(1+Supuestos!$E$7^2/Supuestos!$D$7^2)/2,SQRT(LN(1+Supuestos!$E$7^2/Supuestos!$D$7^2))),Supuestos!$D$7))))))</f>
        <v/>
      </c>
      <c r="L730" s="32">
        <f>MIN(IF(Supuestos!$H$8="",1E+99,Supuestos!$H$8),MAX(IF(Supuestos!$G$8="",-1E+99,Supuestos!$G$8),IF(Supuestos!$C$8="Normal",NORMINV(E730,Supuestos!$D$8,Supuestos!$E$8),IF(Supuestos!$C$8="Triangular",IF(E730&lt;(Supuestos!$E$8-Supuestos!$D$8)/(Supuestos!$F$8-Supuestos!$D$8),Supuestos!$D$8+SQRT(E730*(Supuestos!$F$8-Supuestos!$D$8)*(Supuestos!$E$8-Supuestos!$D$8)),Supuestos!$F$8-SQRT((1-E730)*(Supuestos!$F$8-Supuestos!$D$8)*(Supuestos!$F$8-Supuestos!$E$8))),IF(Supuestos!$C$8="Uniforme",Supuestos!$D$8+E730*(Supuestos!$E$8-Supuestos!$D$8),IF(Supuestos!$C$8="Lognormal",LOGINV(E730,LN(Supuestos!$D$8)-LN(1+Supuestos!$E$8^2/Supuestos!$D$8^2)/2,SQRT(LN(1+Supuestos!$E$8^2/Supuestos!$D$8^2))),Supuestos!$D$8))))))</f>
        <v/>
      </c>
      <c r="M730" s="32">
        <f>MIN(IF(Supuestos!$H$9="",1E+99,Supuestos!$H$9),MAX(IF(Supuestos!$G$9="",-1E+99,Supuestos!$G$9),IF(Supuestos!$C$9="Normal",NORMINV(F730,Supuestos!$D$9,Supuestos!$E$9),IF(Supuestos!$C$9="Triangular",IF(F730&lt;(Supuestos!$E$9-Supuestos!$D$9)/(Supuestos!$F$9-Supuestos!$D$9),Supuestos!$D$9+SQRT(F730*(Supuestos!$F$9-Supuestos!$D$9)*(Supuestos!$E$9-Supuestos!$D$9)),Supuestos!$F$9-SQRT((1-F730)*(Supuestos!$F$9-Supuestos!$D$9)*(Supuestos!$F$9-Supuestos!$E$9))),IF(Supuestos!$C$9="Uniforme",Supuestos!$D$9+F730*(Supuestos!$E$9-Supuestos!$D$9),IF(Supuestos!$C$9="Lognormal",LOGINV(F730,LN(Supuestos!$D$9)-LN(1+Supuestos!$E$9^2/Supuestos!$D$9^2)/2,SQRT(LN(1+Supuestos!$E$9^2/Supuestos!$D$9^2))),Supuestos!$D$9))))))</f>
        <v/>
      </c>
      <c r="N730" s="32">
        <f>MIN(IF(Supuestos!$H$10="",1E+99,Supuestos!$H$10),MAX(IF(Supuestos!$G$10="",-1E+99,Supuestos!$G$10),IF(Supuestos!$C$10="Normal",NORMINV(G730,Supuestos!$D$10,Supuestos!$E$10),IF(Supuestos!$C$10="Triangular",IF(G730&lt;(Supuestos!$E$10-Supuestos!$D$10)/(Supuestos!$F$10-Supuestos!$D$10),Supuestos!$D$10+SQRT(G730*(Supuestos!$F$10-Supuestos!$D$10)*(Supuestos!$E$10-Supuestos!$D$10)),Supuestos!$F$10-SQRT((1-G730)*(Supuestos!$F$10-Supuestos!$D$10)*(Supuestos!$F$10-Supuestos!$E$10))),IF(Supuestos!$C$10="Uniforme",Supuestos!$D$10+G730*(Supuestos!$E$10-Supuestos!$D$10),IF(Supuestos!$C$10="Lognormal",LOGINV(G730,LN(Supuestos!$D$10)-LN(1+Supuestos!$E$10^2/Supuestos!$D$10^2)/2,SQRT(LN(1+Supuestos!$E$10^2/Supuestos!$D$10^2))),Supuestos!$D$10))))))</f>
        <v/>
      </c>
      <c r="O730" s="31">
        <f>MIN(IF(Supuestos!$H$11="",1E+99,Supuestos!$H$11),MAX(IF(Supuestos!$G$11="",-1E+99,Supuestos!$G$11),IF(Supuestos!$C$11="Normal",NORMINV(H730,Supuestos!$D$11,Supuestos!$E$11),IF(Supuestos!$C$11="Triangular",IF(H730&lt;(Supuestos!$E$11-Supuestos!$D$11)/(Supuestos!$F$11-Supuestos!$D$11),Supuestos!$D$11+SQRT(H730*(Supuestos!$F$11-Supuestos!$D$11)*(Supuestos!$E$11-Supuestos!$D$11)),Supuestos!$F$11-SQRT((1-H730)*(Supuestos!$F$11-Supuestos!$D$11)*(Supuestos!$F$11-Supuestos!$E$11))),IF(Supuestos!$C$11="Uniforme",Supuestos!$D$11+H730*(Supuestos!$E$11-Supuestos!$D$11),IF(Supuestos!$C$11="Lognormal",LOGINV(H730,LN(Supuestos!$D$11)-LN(1+Supuestos!$E$11^2/Supuestos!$D$11^2)/2,SQRT(LN(1+Supuestos!$E$11^2/Supuestos!$D$11^2))),Supuestos!$D$11))))))</f>
        <v/>
      </c>
      <c r="P730" s="33">
        <f>-I730</f>
        <v/>
      </c>
      <c r="Q730" s="33">
        <f>$J730*(1+$K730)^(1-1)*(1-$L730)*(1-$M730)</f>
        <v/>
      </c>
      <c r="R730" s="33">
        <f>$J730*(1+$K730)^(2-1)*(1-$L730)*(1-$M730)</f>
        <v/>
      </c>
      <c r="S730" s="33">
        <f>$J730*(1+$K730)^(3-1)*(1-$L730)*(1-$M730)</f>
        <v/>
      </c>
      <c r="T730" s="33">
        <f>$J730*(1+$K730)^(4-1)*(1-$L730)*(1-$M730)</f>
        <v/>
      </c>
      <c r="U730" s="33">
        <f>$J730*(1+$K730)^(5-1)*(1-$L730)*(1-$M730)+$O730</f>
        <v/>
      </c>
      <c r="V730" s="33">
        <f>P730+NPV($N730,Q730:U730)</f>
        <v/>
      </c>
      <c r="W730" s="32">
        <f>IFERROR(IRR(P730:U730,0.1),"")</f>
        <v/>
      </c>
    </row>
    <row r="731">
      <c r="A731" s="14" t="n">
        <v>727</v>
      </c>
      <c r="B731" s="30">
        <f>RAND()*(1-2E-6)+1E-6</f>
        <v/>
      </c>
      <c r="C731" s="30">
        <f>RAND()*(1-2E-6)+1E-6</f>
        <v/>
      </c>
      <c r="D731" s="30">
        <f>RAND()*(1-2E-6)+1E-6</f>
        <v/>
      </c>
      <c r="E731" s="30">
        <f>RAND()*(1-2E-6)+1E-6</f>
        <v/>
      </c>
      <c r="F731" s="30">
        <f>RAND()*(1-2E-6)+1E-6</f>
        <v/>
      </c>
      <c r="G731" s="30">
        <f>RAND()*(1-2E-6)+1E-6</f>
        <v/>
      </c>
      <c r="H731" s="30">
        <f>RAND()*(1-2E-6)+1E-6</f>
        <v/>
      </c>
      <c r="I731" s="31">
        <f>MIN(IF(Supuestos!$H$5="",1E+99,Supuestos!$H$5),MAX(IF(Supuestos!$G$5="",-1E+99,Supuestos!$G$5),IF(Supuestos!$C$5="Normal",NORMINV(B731,Supuestos!$D$5,Supuestos!$E$5),IF(Supuestos!$C$5="Triangular",IF(B731&lt;(Supuestos!$E$5-Supuestos!$D$5)/(Supuestos!$F$5-Supuestos!$D$5),Supuestos!$D$5+SQRT(B731*(Supuestos!$F$5-Supuestos!$D$5)*(Supuestos!$E$5-Supuestos!$D$5)),Supuestos!$F$5-SQRT((1-B731)*(Supuestos!$F$5-Supuestos!$D$5)*(Supuestos!$F$5-Supuestos!$E$5))),IF(Supuestos!$C$5="Uniforme",Supuestos!$D$5+B731*(Supuestos!$E$5-Supuestos!$D$5),IF(Supuestos!$C$5="Lognormal",LOGINV(B731,LN(Supuestos!$D$5)-LN(1+Supuestos!$E$5^2/Supuestos!$D$5^2)/2,SQRT(LN(1+Supuestos!$E$5^2/Supuestos!$D$5^2))),Supuestos!$D$5))))))</f>
        <v/>
      </c>
      <c r="J731" s="31">
        <f>MIN(IF(Supuestos!$H$6="",1E+99,Supuestos!$H$6),MAX(IF(Supuestos!$G$6="",-1E+99,Supuestos!$G$6),IF(Supuestos!$C$6="Normal",NORMINV(C731,Supuestos!$D$6,Supuestos!$E$6),IF(Supuestos!$C$6="Triangular",IF(C731&lt;(Supuestos!$E$6-Supuestos!$D$6)/(Supuestos!$F$6-Supuestos!$D$6),Supuestos!$D$6+SQRT(C731*(Supuestos!$F$6-Supuestos!$D$6)*(Supuestos!$E$6-Supuestos!$D$6)),Supuestos!$F$6-SQRT((1-C731)*(Supuestos!$F$6-Supuestos!$D$6)*(Supuestos!$F$6-Supuestos!$E$6))),IF(Supuestos!$C$6="Uniforme",Supuestos!$D$6+C731*(Supuestos!$E$6-Supuestos!$D$6),IF(Supuestos!$C$6="Lognormal",LOGINV(C731,LN(Supuestos!$D$6)-LN(1+Supuestos!$E$6^2/Supuestos!$D$6^2)/2,SQRT(LN(1+Supuestos!$E$6^2/Supuestos!$D$6^2))),Supuestos!$D$6))))))</f>
        <v/>
      </c>
      <c r="K731" s="32">
        <f>MIN(IF(Supuestos!$H$7="",1E+99,Supuestos!$H$7),MAX(IF(Supuestos!$G$7="",-1E+99,Supuestos!$G$7),IF(Supuestos!$C$7="Normal",NORMINV(D731,Supuestos!$D$7,Supuestos!$E$7),IF(Supuestos!$C$7="Triangular",IF(D731&lt;(Supuestos!$E$7-Supuestos!$D$7)/(Supuestos!$F$7-Supuestos!$D$7),Supuestos!$D$7+SQRT(D731*(Supuestos!$F$7-Supuestos!$D$7)*(Supuestos!$E$7-Supuestos!$D$7)),Supuestos!$F$7-SQRT((1-D731)*(Supuestos!$F$7-Supuestos!$D$7)*(Supuestos!$F$7-Supuestos!$E$7))),IF(Supuestos!$C$7="Uniforme",Supuestos!$D$7+D731*(Supuestos!$E$7-Supuestos!$D$7),IF(Supuestos!$C$7="Lognormal",LOGINV(D731,LN(Supuestos!$D$7)-LN(1+Supuestos!$E$7^2/Supuestos!$D$7^2)/2,SQRT(LN(1+Supuestos!$E$7^2/Supuestos!$D$7^2))),Supuestos!$D$7))))))</f>
        <v/>
      </c>
      <c r="L731" s="32">
        <f>MIN(IF(Supuestos!$H$8="",1E+99,Supuestos!$H$8),MAX(IF(Supuestos!$G$8="",-1E+99,Supuestos!$G$8),IF(Supuestos!$C$8="Normal",NORMINV(E731,Supuestos!$D$8,Supuestos!$E$8),IF(Supuestos!$C$8="Triangular",IF(E731&lt;(Supuestos!$E$8-Supuestos!$D$8)/(Supuestos!$F$8-Supuestos!$D$8),Supuestos!$D$8+SQRT(E731*(Supuestos!$F$8-Supuestos!$D$8)*(Supuestos!$E$8-Supuestos!$D$8)),Supuestos!$F$8-SQRT((1-E731)*(Supuestos!$F$8-Supuestos!$D$8)*(Supuestos!$F$8-Supuestos!$E$8))),IF(Supuestos!$C$8="Uniforme",Supuestos!$D$8+E731*(Supuestos!$E$8-Supuestos!$D$8),IF(Supuestos!$C$8="Lognormal",LOGINV(E731,LN(Supuestos!$D$8)-LN(1+Supuestos!$E$8^2/Supuestos!$D$8^2)/2,SQRT(LN(1+Supuestos!$E$8^2/Supuestos!$D$8^2))),Supuestos!$D$8))))))</f>
        <v/>
      </c>
      <c r="M731" s="32">
        <f>MIN(IF(Supuestos!$H$9="",1E+99,Supuestos!$H$9),MAX(IF(Supuestos!$G$9="",-1E+99,Supuestos!$G$9),IF(Supuestos!$C$9="Normal",NORMINV(F731,Supuestos!$D$9,Supuestos!$E$9),IF(Supuestos!$C$9="Triangular",IF(F731&lt;(Supuestos!$E$9-Supuestos!$D$9)/(Supuestos!$F$9-Supuestos!$D$9),Supuestos!$D$9+SQRT(F731*(Supuestos!$F$9-Supuestos!$D$9)*(Supuestos!$E$9-Supuestos!$D$9)),Supuestos!$F$9-SQRT((1-F731)*(Supuestos!$F$9-Supuestos!$D$9)*(Supuestos!$F$9-Supuestos!$E$9))),IF(Supuestos!$C$9="Uniforme",Supuestos!$D$9+F731*(Supuestos!$E$9-Supuestos!$D$9),IF(Supuestos!$C$9="Lognormal",LOGINV(F731,LN(Supuestos!$D$9)-LN(1+Supuestos!$E$9^2/Supuestos!$D$9^2)/2,SQRT(LN(1+Supuestos!$E$9^2/Supuestos!$D$9^2))),Supuestos!$D$9))))))</f>
        <v/>
      </c>
      <c r="N731" s="32">
        <f>MIN(IF(Supuestos!$H$10="",1E+99,Supuestos!$H$10),MAX(IF(Supuestos!$G$10="",-1E+99,Supuestos!$G$10),IF(Supuestos!$C$10="Normal",NORMINV(G731,Supuestos!$D$10,Supuestos!$E$10),IF(Supuestos!$C$10="Triangular",IF(G731&lt;(Supuestos!$E$10-Supuestos!$D$10)/(Supuestos!$F$10-Supuestos!$D$10),Supuestos!$D$10+SQRT(G731*(Supuestos!$F$10-Supuestos!$D$10)*(Supuestos!$E$10-Supuestos!$D$10)),Supuestos!$F$10-SQRT((1-G731)*(Supuestos!$F$10-Supuestos!$D$10)*(Supuestos!$F$10-Supuestos!$E$10))),IF(Supuestos!$C$10="Uniforme",Supuestos!$D$10+G731*(Supuestos!$E$10-Supuestos!$D$10),IF(Supuestos!$C$10="Lognormal",LOGINV(G731,LN(Supuestos!$D$10)-LN(1+Supuestos!$E$10^2/Supuestos!$D$10^2)/2,SQRT(LN(1+Supuestos!$E$10^2/Supuestos!$D$10^2))),Supuestos!$D$10))))))</f>
        <v/>
      </c>
      <c r="O731" s="31">
        <f>MIN(IF(Supuestos!$H$11="",1E+99,Supuestos!$H$11),MAX(IF(Supuestos!$G$11="",-1E+99,Supuestos!$G$11),IF(Supuestos!$C$11="Normal",NORMINV(H731,Supuestos!$D$11,Supuestos!$E$11),IF(Supuestos!$C$11="Triangular",IF(H731&lt;(Supuestos!$E$11-Supuestos!$D$11)/(Supuestos!$F$11-Supuestos!$D$11),Supuestos!$D$11+SQRT(H731*(Supuestos!$F$11-Supuestos!$D$11)*(Supuestos!$E$11-Supuestos!$D$11)),Supuestos!$F$11-SQRT((1-H731)*(Supuestos!$F$11-Supuestos!$D$11)*(Supuestos!$F$11-Supuestos!$E$11))),IF(Supuestos!$C$11="Uniforme",Supuestos!$D$11+H731*(Supuestos!$E$11-Supuestos!$D$11),IF(Supuestos!$C$11="Lognormal",LOGINV(H731,LN(Supuestos!$D$11)-LN(1+Supuestos!$E$11^2/Supuestos!$D$11^2)/2,SQRT(LN(1+Supuestos!$E$11^2/Supuestos!$D$11^2))),Supuestos!$D$11))))))</f>
        <v/>
      </c>
      <c r="P731" s="33">
        <f>-I731</f>
        <v/>
      </c>
      <c r="Q731" s="33">
        <f>$J731*(1+$K731)^(1-1)*(1-$L731)*(1-$M731)</f>
        <v/>
      </c>
      <c r="R731" s="33">
        <f>$J731*(1+$K731)^(2-1)*(1-$L731)*(1-$M731)</f>
        <v/>
      </c>
      <c r="S731" s="33">
        <f>$J731*(1+$K731)^(3-1)*(1-$L731)*(1-$M731)</f>
        <v/>
      </c>
      <c r="T731" s="33">
        <f>$J731*(1+$K731)^(4-1)*(1-$L731)*(1-$M731)</f>
        <v/>
      </c>
      <c r="U731" s="33">
        <f>$J731*(1+$K731)^(5-1)*(1-$L731)*(1-$M731)+$O731</f>
        <v/>
      </c>
      <c r="V731" s="33">
        <f>P731+NPV($N731,Q731:U731)</f>
        <v/>
      </c>
      <c r="W731" s="32">
        <f>IFERROR(IRR(P731:U731,0.1),"")</f>
        <v/>
      </c>
    </row>
    <row r="732">
      <c r="A732" s="14" t="n">
        <v>728</v>
      </c>
      <c r="B732" s="30">
        <f>RAND()*(1-2E-6)+1E-6</f>
        <v/>
      </c>
      <c r="C732" s="30">
        <f>RAND()*(1-2E-6)+1E-6</f>
        <v/>
      </c>
      <c r="D732" s="30">
        <f>RAND()*(1-2E-6)+1E-6</f>
        <v/>
      </c>
      <c r="E732" s="30">
        <f>RAND()*(1-2E-6)+1E-6</f>
        <v/>
      </c>
      <c r="F732" s="30">
        <f>RAND()*(1-2E-6)+1E-6</f>
        <v/>
      </c>
      <c r="G732" s="30">
        <f>RAND()*(1-2E-6)+1E-6</f>
        <v/>
      </c>
      <c r="H732" s="30">
        <f>RAND()*(1-2E-6)+1E-6</f>
        <v/>
      </c>
      <c r="I732" s="31">
        <f>MIN(IF(Supuestos!$H$5="",1E+99,Supuestos!$H$5),MAX(IF(Supuestos!$G$5="",-1E+99,Supuestos!$G$5),IF(Supuestos!$C$5="Normal",NORMINV(B732,Supuestos!$D$5,Supuestos!$E$5),IF(Supuestos!$C$5="Triangular",IF(B732&lt;(Supuestos!$E$5-Supuestos!$D$5)/(Supuestos!$F$5-Supuestos!$D$5),Supuestos!$D$5+SQRT(B732*(Supuestos!$F$5-Supuestos!$D$5)*(Supuestos!$E$5-Supuestos!$D$5)),Supuestos!$F$5-SQRT((1-B732)*(Supuestos!$F$5-Supuestos!$D$5)*(Supuestos!$F$5-Supuestos!$E$5))),IF(Supuestos!$C$5="Uniforme",Supuestos!$D$5+B732*(Supuestos!$E$5-Supuestos!$D$5),IF(Supuestos!$C$5="Lognormal",LOGINV(B732,LN(Supuestos!$D$5)-LN(1+Supuestos!$E$5^2/Supuestos!$D$5^2)/2,SQRT(LN(1+Supuestos!$E$5^2/Supuestos!$D$5^2))),Supuestos!$D$5))))))</f>
        <v/>
      </c>
      <c r="J732" s="31">
        <f>MIN(IF(Supuestos!$H$6="",1E+99,Supuestos!$H$6),MAX(IF(Supuestos!$G$6="",-1E+99,Supuestos!$G$6),IF(Supuestos!$C$6="Normal",NORMINV(C732,Supuestos!$D$6,Supuestos!$E$6),IF(Supuestos!$C$6="Triangular",IF(C732&lt;(Supuestos!$E$6-Supuestos!$D$6)/(Supuestos!$F$6-Supuestos!$D$6),Supuestos!$D$6+SQRT(C732*(Supuestos!$F$6-Supuestos!$D$6)*(Supuestos!$E$6-Supuestos!$D$6)),Supuestos!$F$6-SQRT((1-C732)*(Supuestos!$F$6-Supuestos!$D$6)*(Supuestos!$F$6-Supuestos!$E$6))),IF(Supuestos!$C$6="Uniforme",Supuestos!$D$6+C732*(Supuestos!$E$6-Supuestos!$D$6),IF(Supuestos!$C$6="Lognormal",LOGINV(C732,LN(Supuestos!$D$6)-LN(1+Supuestos!$E$6^2/Supuestos!$D$6^2)/2,SQRT(LN(1+Supuestos!$E$6^2/Supuestos!$D$6^2))),Supuestos!$D$6))))))</f>
        <v/>
      </c>
      <c r="K732" s="32">
        <f>MIN(IF(Supuestos!$H$7="",1E+99,Supuestos!$H$7),MAX(IF(Supuestos!$G$7="",-1E+99,Supuestos!$G$7),IF(Supuestos!$C$7="Normal",NORMINV(D732,Supuestos!$D$7,Supuestos!$E$7),IF(Supuestos!$C$7="Triangular",IF(D732&lt;(Supuestos!$E$7-Supuestos!$D$7)/(Supuestos!$F$7-Supuestos!$D$7),Supuestos!$D$7+SQRT(D732*(Supuestos!$F$7-Supuestos!$D$7)*(Supuestos!$E$7-Supuestos!$D$7)),Supuestos!$F$7-SQRT((1-D732)*(Supuestos!$F$7-Supuestos!$D$7)*(Supuestos!$F$7-Supuestos!$E$7))),IF(Supuestos!$C$7="Uniforme",Supuestos!$D$7+D732*(Supuestos!$E$7-Supuestos!$D$7),IF(Supuestos!$C$7="Lognormal",LOGINV(D732,LN(Supuestos!$D$7)-LN(1+Supuestos!$E$7^2/Supuestos!$D$7^2)/2,SQRT(LN(1+Supuestos!$E$7^2/Supuestos!$D$7^2))),Supuestos!$D$7))))))</f>
        <v/>
      </c>
      <c r="L732" s="32">
        <f>MIN(IF(Supuestos!$H$8="",1E+99,Supuestos!$H$8),MAX(IF(Supuestos!$G$8="",-1E+99,Supuestos!$G$8),IF(Supuestos!$C$8="Normal",NORMINV(E732,Supuestos!$D$8,Supuestos!$E$8),IF(Supuestos!$C$8="Triangular",IF(E732&lt;(Supuestos!$E$8-Supuestos!$D$8)/(Supuestos!$F$8-Supuestos!$D$8),Supuestos!$D$8+SQRT(E732*(Supuestos!$F$8-Supuestos!$D$8)*(Supuestos!$E$8-Supuestos!$D$8)),Supuestos!$F$8-SQRT((1-E732)*(Supuestos!$F$8-Supuestos!$D$8)*(Supuestos!$F$8-Supuestos!$E$8))),IF(Supuestos!$C$8="Uniforme",Supuestos!$D$8+E732*(Supuestos!$E$8-Supuestos!$D$8),IF(Supuestos!$C$8="Lognormal",LOGINV(E732,LN(Supuestos!$D$8)-LN(1+Supuestos!$E$8^2/Supuestos!$D$8^2)/2,SQRT(LN(1+Supuestos!$E$8^2/Supuestos!$D$8^2))),Supuestos!$D$8))))))</f>
        <v/>
      </c>
      <c r="M732" s="32">
        <f>MIN(IF(Supuestos!$H$9="",1E+99,Supuestos!$H$9),MAX(IF(Supuestos!$G$9="",-1E+99,Supuestos!$G$9),IF(Supuestos!$C$9="Normal",NORMINV(F732,Supuestos!$D$9,Supuestos!$E$9),IF(Supuestos!$C$9="Triangular",IF(F732&lt;(Supuestos!$E$9-Supuestos!$D$9)/(Supuestos!$F$9-Supuestos!$D$9),Supuestos!$D$9+SQRT(F732*(Supuestos!$F$9-Supuestos!$D$9)*(Supuestos!$E$9-Supuestos!$D$9)),Supuestos!$F$9-SQRT((1-F732)*(Supuestos!$F$9-Supuestos!$D$9)*(Supuestos!$F$9-Supuestos!$E$9))),IF(Supuestos!$C$9="Uniforme",Supuestos!$D$9+F732*(Supuestos!$E$9-Supuestos!$D$9),IF(Supuestos!$C$9="Lognormal",LOGINV(F732,LN(Supuestos!$D$9)-LN(1+Supuestos!$E$9^2/Supuestos!$D$9^2)/2,SQRT(LN(1+Supuestos!$E$9^2/Supuestos!$D$9^2))),Supuestos!$D$9))))))</f>
        <v/>
      </c>
      <c r="N732" s="32">
        <f>MIN(IF(Supuestos!$H$10="",1E+99,Supuestos!$H$10),MAX(IF(Supuestos!$G$10="",-1E+99,Supuestos!$G$10),IF(Supuestos!$C$10="Normal",NORMINV(G732,Supuestos!$D$10,Supuestos!$E$10),IF(Supuestos!$C$10="Triangular",IF(G732&lt;(Supuestos!$E$10-Supuestos!$D$10)/(Supuestos!$F$10-Supuestos!$D$10),Supuestos!$D$10+SQRT(G732*(Supuestos!$F$10-Supuestos!$D$10)*(Supuestos!$E$10-Supuestos!$D$10)),Supuestos!$F$10-SQRT((1-G732)*(Supuestos!$F$10-Supuestos!$D$10)*(Supuestos!$F$10-Supuestos!$E$10))),IF(Supuestos!$C$10="Uniforme",Supuestos!$D$10+G732*(Supuestos!$E$10-Supuestos!$D$10),IF(Supuestos!$C$10="Lognormal",LOGINV(G732,LN(Supuestos!$D$10)-LN(1+Supuestos!$E$10^2/Supuestos!$D$10^2)/2,SQRT(LN(1+Supuestos!$E$10^2/Supuestos!$D$10^2))),Supuestos!$D$10))))))</f>
        <v/>
      </c>
      <c r="O732" s="31">
        <f>MIN(IF(Supuestos!$H$11="",1E+99,Supuestos!$H$11),MAX(IF(Supuestos!$G$11="",-1E+99,Supuestos!$G$11),IF(Supuestos!$C$11="Normal",NORMINV(H732,Supuestos!$D$11,Supuestos!$E$11),IF(Supuestos!$C$11="Triangular",IF(H732&lt;(Supuestos!$E$11-Supuestos!$D$11)/(Supuestos!$F$11-Supuestos!$D$11),Supuestos!$D$11+SQRT(H732*(Supuestos!$F$11-Supuestos!$D$11)*(Supuestos!$E$11-Supuestos!$D$11)),Supuestos!$F$11-SQRT((1-H732)*(Supuestos!$F$11-Supuestos!$D$11)*(Supuestos!$F$11-Supuestos!$E$11))),IF(Supuestos!$C$11="Uniforme",Supuestos!$D$11+H732*(Supuestos!$E$11-Supuestos!$D$11),IF(Supuestos!$C$11="Lognormal",LOGINV(H732,LN(Supuestos!$D$11)-LN(1+Supuestos!$E$11^2/Supuestos!$D$11^2)/2,SQRT(LN(1+Supuestos!$E$11^2/Supuestos!$D$11^2))),Supuestos!$D$11))))))</f>
        <v/>
      </c>
      <c r="P732" s="33">
        <f>-I732</f>
        <v/>
      </c>
      <c r="Q732" s="33">
        <f>$J732*(1+$K732)^(1-1)*(1-$L732)*(1-$M732)</f>
        <v/>
      </c>
      <c r="R732" s="33">
        <f>$J732*(1+$K732)^(2-1)*(1-$L732)*(1-$M732)</f>
        <v/>
      </c>
      <c r="S732" s="33">
        <f>$J732*(1+$K732)^(3-1)*(1-$L732)*(1-$M732)</f>
        <v/>
      </c>
      <c r="T732" s="33">
        <f>$J732*(1+$K732)^(4-1)*(1-$L732)*(1-$M732)</f>
        <v/>
      </c>
      <c r="U732" s="33">
        <f>$J732*(1+$K732)^(5-1)*(1-$L732)*(1-$M732)+$O732</f>
        <v/>
      </c>
      <c r="V732" s="33">
        <f>P732+NPV($N732,Q732:U732)</f>
        <v/>
      </c>
      <c r="W732" s="32">
        <f>IFERROR(IRR(P732:U732,0.1),"")</f>
        <v/>
      </c>
    </row>
    <row r="733">
      <c r="A733" s="14" t="n">
        <v>729</v>
      </c>
      <c r="B733" s="30">
        <f>RAND()*(1-2E-6)+1E-6</f>
        <v/>
      </c>
      <c r="C733" s="30">
        <f>RAND()*(1-2E-6)+1E-6</f>
        <v/>
      </c>
      <c r="D733" s="30">
        <f>RAND()*(1-2E-6)+1E-6</f>
        <v/>
      </c>
      <c r="E733" s="30">
        <f>RAND()*(1-2E-6)+1E-6</f>
        <v/>
      </c>
      <c r="F733" s="30">
        <f>RAND()*(1-2E-6)+1E-6</f>
        <v/>
      </c>
      <c r="G733" s="30">
        <f>RAND()*(1-2E-6)+1E-6</f>
        <v/>
      </c>
      <c r="H733" s="30">
        <f>RAND()*(1-2E-6)+1E-6</f>
        <v/>
      </c>
      <c r="I733" s="31">
        <f>MIN(IF(Supuestos!$H$5="",1E+99,Supuestos!$H$5),MAX(IF(Supuestos!$G$5="",-1E+99,Supuestos!$G$5),IF(Supuestos!$C$5="Normal",NORMINV(B733,Supuestos!$D$5,Supuestos!$E$5),IF(Supuestos!$C$5="Triangular",IF(B733&lt;(Supuestos!$E$5-Supuestos!$D$5)/(Supuestos!$F$5-Supuestos!$D$5),Supuestos!$D$5+SQRT(B733*(Supuestos!$F$5-Supuestos!$D$5)*(Supuestos!$E$5-Supuestos!$D$5)),Supuestos!$F$5-SQRT((1-B733)*(Supuestos!$F$5-Supuestos!$D$5)*(Supuestos!$F$5-Supuestos!$E$5))),IF(Supuestos!$C$5="Uniforme",Supuestos!$D$5+B733*(Supuestos!$E$5-Supuestos!$D$5),IF(Supuestos!$C$5="Lognormal",LOGINV(B733,LN(Supuestos!$D$5)-LN(1+Supuestos!$E$5^2/Supuestos!$D$5^2)/2,SQRT(LN(1+Supuestos!$E$5^2/Supuestos!$D$5^2))),Supuestos!$D$5))))))</f>
        <v/>
      </c>
      <c r="J733" s="31">
        <f>MIN(IF(Supuestos!$H$6="",1E+99,Supuestos!$H$6),MAX(IF(Supuestos!$G$6="",-1E+99,Supuestos!$G$6),IF(Supuestos!$C$6="Normal",NORMINV(C733,Supuestos!$D$6,Supuestos!$E$6),IF(Supuestos!$C$6="Triangular",IF(C733&lt;(Supuestos!$E$6-Supuestos!$D$6)/(Supuestos!$F$6-Supuestos!$D$6),Supuestos!$D$6+SQRT(C733*(Supuestos!$F$6-Supuestos!$D$6)*(Supuestos!$E$6-Supuestos!$D$6)),Supuestos!$F$6-SQRT((1-C733)*(Supuestos!$F$6-Supuestos!$D$6)*(Supuestos!$F$6-Supuestos!$E$6))),IF(Supuestos!$C$6="Uniforme",Supuestos!$D$6+C733*(Supuestos!$E$6-Supuestos!$D$6),IF(Supuestos!$C$6="Lognormal",LOGINV(C733,LN(Supuestos!$D$6)-LN(1+Supuestos!$E$6^2/Supuestos!$D$6^2)/2,SQRT(LN(1+Supuestos!$E$6^2/Supuestos!$D$6^2))),Supuestos!$D$6))))))</f>
        <v/>
      </c>
      <c r="K733" s="32">
        <f>MIN(IF(Supuestos!$H$7="",1E+99,Supuestos!$H$7),MAX(IF(Supuestos!$G$7="",-1E+99,Supuestos!$G$7),IF(Supuestos!$C$7="Normal",NORMINV(D733,Supuestos!$D$7,Supuestos!$E$7),IF(Supuestos!$C$7="Triangular",IF(D733&lt;(Supuestos!$E$7-Supuestos!$D$7)/(Supuestos!$F$7-Supuestos!$D$7),Supuestos!$D$7+SQRT(D733*(Supuestos!$F$7-Supuestos!$D$7)*(Supuestos!$E$7-Supuestos!$D$7)),Supuestos!$F$7-SQRT((1-D733)*(Supuestos!$F$7-Supuestos!$D$7)*(Supuestos!$F$7-Supuestos!$E$7))),IF(Supuestos!$C$7="Uniforme",Supuestos!$D$7+D733*(Supuestos!$E$7-Supuestos!$D$7),IF(Supuestos!$C$7="Lognormal",LOGINV(D733,LN(Supuestos!$D$7)-LN(1+Supuestos!$E$7^2/Supuestos!$D$7^2)/2,SQRT(LN(1+Supuestos!$E$7^2/Supuestos!$D$7^2))),Supuestos!$D$7))))))</f>
        <v/>
      </c>
      <c r="L733" s="32">
        <f>MIN(IF(Supuestos!$H$8="",1E+99,Supuestos!$H$8),MAX(IF(Supuestos!$G$8="",-1E+99,Supuestos!$G$8),IF(Supuestos!$C$8="Normal",NORMINV(E733,Supuestos!$D$8,Supuestos!$E$8),IF(Supuestos!$C$8="Triangular",IF(E733&lt;(Supuestos!$E$8-Supuestos!$D$8)/(Supuestos!$F$8-Supuestos!$D$8),Supuestos!$D$8+SQRT(E733*(Supuestos!$F$8-Supuestos!$D$8)*(Supuestos!$E$8-Supuestos!$D$8)),Supuestos!$F$8-SQRT((1-E733)*(Supuestos!$F$8-Supuestos!$D$8)*(Supuestos!$F$8-Supuestos!$E$8))),IF(Supuestos!$C$8="Uniforme",Supuestos!$D$8+E733*(Supuestos!$E$8-Supuestos!$D$8),IF(Supuestos!$C$8="Lognormal",LOGINV(E733,LN(Supuestos!$D$8)-LN(1+Supuestos!$E$8^2/Supuestos!$D$8^2)/2,SQRT(LN(1+Supuestos!$E$8^2/Supuestos!$D$8^2))),Supuestos!$D$8))))))</f>
        <v/>
      </c>
      <c r="M733" s="32">
        <f>MIN(IF(Supuestos!$H$9="",1E+99,Supuestos!$H$9),MAX(IF(Supuestos!$G$9="",-1E+99,Supuestos!$G$9),IF(Supuestos!$C$9="Normal",NORMINV(F733,Supuestos!$D$9,Supuestos!$E$9),IF(Supuestos!$C$9="Triangular",IF(F733&lt;(Supuestos!$E$9-Supuestos!$D$9)/(Supuestos!$F$9-Supuestos!$D$9),Supuestos!$D$9+SQRT(F733*(Supuestos!$F$9-Supuestos!$D$9)*(Supuestos!$E$9-Supuestos!$D$9)),Supuestos!$F$9-SQRT((1-F733)*(Supuestos!$F$9-Supuestos!$D$9)*(Supuestos!$F$9-Supuestos!$E$9))),IF(Supuestos!$C$9="Uniforme",Supuestos!$D$9+F733*(Supuestos!$E$9-Supuestos!$D$9),IF(Supuestos!$C$9="Lognormal",LOGINV(F733,LN(Supuestos!$D$9)-LN(1+Supuestos!$E$9^2/Supuestos!$D$9^2)/2,SQRT(LN(1+Supuestos!$E$9^2/Supuestos!$D$9^2))),Supuestos!$D$9))))))</f>
        <v/>
      </c>
      <c r="N733" s="32">
        <f>MIN(IF(Supuestos!$H$10="",1E+99,Supuestos!$H$10),MAX(IF(Supuestos!$G$10="",-1E+99,Supuestos!$G$10),IF(Supuestos!$C$10="Normal",NORMINV(G733,Supuestos!$D$10,Supuestos!$E$10),IF(Supuestos!$C$10="Triangular",IF(G733&lt;(Supuestos!$E$10-Supuestos!$D$10)/(Supuestos!$F$10-Supuestos!$D$10),Supuestos!$D$10+SQRT(G733*(Supuestos!$F$10-Supuestos!$D$10)*(Supuestos!$E$10-Supuestos!$D$10)),Supuestos!$F$10-SQRT((1-G733)*(Supuestos!$F$10-Supuestos!$D$10)*(Supuestos!$F$10-Supuestos!$E$10))),IF(Supuestos!$C$10="Uniforme",Supuestos!$D$10+G733*(Supuestos!$E$10-Supuestos!$D$10),IF(Supuestos!$C$10="Lognormal",LOGINV(G733,LN(Supuestos!$D$10)-LN(1+Supuestos!$E$10^2/Supuestos!$D$10^2)/2,SQRT(LN(1+Supuestos!$E$10^2/Supuestos!$D$10^2))),Supuestos!$D$10))))))</f>
        <v/>
      </c>
      <c r="O733" s="31">
        <f>MIN(IF(Supuestos!$H$11="",1E+99,Supuestos!$H$11),MAX(IF(Supuestos!$G$11="",-1E+99,Supuestos!$G$11),IF(Supuestos!$C$11="Normal",NORMINV(H733,Supuestos!$D$11,Supuestos!$E$11),IF(Supuestos!$C$11="Triangular",IF(H733&lt;(Supuestos!$E$11-Supuestos!$D$11)/(Supuestos!$F$11-Supuestos!$D$11),Supuestos!$D$11+SQRT(H733*(Supuestos!$F$11-Supuestos!$D$11)*(Supuestos!$E$11-Supuestos!$D$11)),Supuestos!$F$11-SQRT((1-H733)*(Supuestos!$F$11-Supuestos!$D$11)*(Supuestos!$F$11-Supuestos!$E$11))),IF(Supuestos!$C$11="Uniforme",Supuestos!$D$11+H733*(Supuestos!$E$11-Supuestos!$D$11),IF(Supuestos!$C$11="Lognormal",LOGINV(H733,LN(Supuestos!$D$11)-LN(1+Supuestos!$E$11^2/Supuestos!$D$11^2)/2,SQRT(LN(1+Supuestos!$E$11^2/Supuestos!$D$11^2))),Supuestos!$D$11))))))</f>
        <v/>
      </c>
      <c r="P733" s="33">
        <f>-I733</f>
        <v/>
      </c>
      <c r="Q733" s="33">
        <f>$J733*(1+$K733)^(1-1)*(1-$L733)*(1-$M733)</f>
        <v/>
      </c>
      <c r="R733" s="33">
        <f>$J733*(1+$K733)^(2-1)*(1-$L733)*(1-$M733)</f>
        <v/>
      </c>
      <c r="S733" s="33">
        <f>$J733*(1+$K733)^(3-1)*(1-$L733)*(1-$M733)</f>
        <v/>
      </c>
      <c r="T733" s="33">
        <f>$J733*(1+$K733)^(4-1)*(1-$L733)*(1-$M733)</f>
        <v/>
      </c>
      <c r="U733" s="33">
        <f>$J733*(1+$K733)^(5-1)*(1-$L733)*(1-$M733)+$O733</f>
        <v/>
      </c>
      <c r="V733" s="33">
        <f>P733+NPV($N733,Q733:U733)</f>
        <v/>
      </c>
      <c r="W733" s="32">
        <f>IFERROR(IRR(P733:U733,0.1),"")</f>
        <v/>
      </c>
    </row>
    <row r="734">
      <c r="A734" s="14" t="n">
        <v>730</v>
      </c>
      <c r="B734" s="30">
        <f>RAND()*(1-2E-6)+1E-6</f>
        <v/>
      </c>
      <c r="C734" s="30">
        <f>RAND()*(1-2E-6)+1E-6</f>
        <v/>
      </c>
      <c r="D734" s="30">
        <f>RAND()*(1-2E-6)+1E-6</f>
        <v/>
      </c>
      <c r="E734" s="30">
        <f>RAND()*(1-2E-6)+1E-6</f>
        <v/>
      </c>
      <c r="F734" s="30">
        <f>RAND()*(1-2E-6)+1E-6</f>
        <v/>
      </c>
      <c r="G734" s="30">
        <f>RAND()*(1-2E-6)+1E-6</f>
        <v/>
      </c>
      <c r="H734" s="30">
        <f>RAND()*(1-2E-6)+1E-6</f>
        <v/>
      </c>
      <c r="I734" s="31">
        <f>MIN(IF(Supuestos!$H$5="",1E+99,Supuestos!$H$5),MAX(IF(Supuestos!$G$5="",-1E+99,Supuestos!$G$5),IF(Supuestos!$C$5="Normal",NORMINV(B734,Supuestos!$D$5,Supuestos!$E$5),IF(Supuestos!$C$5="Triangular",IF(B734&lt;(Supuestos!$E$5-Supuestos!$D$5)/(Supuestos!$F$5-Supuestos!$D$5),Supuestos!$D$5+SQRT(B734*(Supuestos!$F$5-Supuestos!$D$5)*(Supuestos!$E$5-Supuestos!$D$5)),Supuestos!$F$5-SQRT((1-B734)*(Supuestos!$F$5-Supuestos!$D$5)*(Supuestos!$F$5-Supuestos!$E$5))),IF(Supuestos!$C$5="Uniforme",Supuestos!$D$5+B734*(Supuestos!$E$5-Supuestos!$D$5),IF(Supuestos!$C$5="Lognormal",LOGINV(B734,LN(Supuestos!$D$5)-LN(1+Supuestos!$E$5^2/Supuestos!$D$5^2)/2,SQRT(LN(1+Supuestos!$E$5^2/Supuestos!$D$5^2))),Supuestos!$D$5))))))</f>
        <v/>
      </c>
      <c r="J734" s="31">
        <f>MIN(IF(Supuestos!$H$6="",1E+99,Supuestos!$H$6),MAX(IF(Supuestos!$G$6="",-1E+99,Supuestos!$G$6),IF(Supuestos!$C$6="Normal",NORMINV(C734,Supuestos!$D$6,Supuestos!$E$6),IF(Supuestos!$C$6="Triangular",IF(C734&lt;(Supuestos!$E$6-Supuestos!$D$6)/(Supuestos!$F$6-Supuestos!$D$6),Supuestos!$D$6+SQRT(C734*(Supuestos!$F$6-Supuestos!$D$6)*(Supuestos!$E$6-Supuestos!$D$6)),Supuestos!$F$6-SQRT((1-C734)*(Supuestos!$F$6-Supuestos!$D$6)*(Supuestos!$F$6-Supuestos!$E$6))),IF(Supuestos!$C$6="Uniforme",Supuestos!$D$6+C734*(Supuestos!$E$6-Supuestos!$D$6),IF(Supuestos!$C$6="Lognormal",LOGINV(C734,LN(Supuestos!$D$6)-LN(1+Supuestos!$E$6^2/Supuestos!$D$6^2)/2,SQRT(LN(1+Supuestos!$E$6^2/Supuestos!$D$6^2))),Supuestos!$D$6))))))</f>
        <v/>
      </c>
      <c r="K734" s="32">
        <f>MIN(IF(Supuestos!$H$7="",1E+99,Supuestos!$H$7),MAX(IF(Supuestos!$G$7="",-1E+99,Supuestos!$G$7),IF(Supuestos!$C$7="Normal",NORMINV(D734,Supuestos!$D$7,Supuestos!$E$7),IF(Supuestos!$C$7="Triangular",IF(D734&lt;(Supuestos!$E$7-Supuestos!$D$7)/(Supuestos!$F$7-Supuestos!$D$7),Supuestos!$D$7+SQRT(D734*(Supuestos!$F$7-Supuestos!$D$7)*(Supuestos!$E$7-Supuestos!$D$7)),Supuestos!$F$7-SQRT((1-D734)*(Supuestos!$F$7-Supuestos!$D$7)*(Supuestos!$F$7-Supuestos!$E$7))),IF(Supuestos!$C$7="Uniforme",Supuestos!$D$7+D734*(Supuestos!$E$7-Supuestos!$D$7),IF(Supuestos!$C$7="Lognormal",LOGINV(D734,LN(Supuestos!$D$7)-LN(1+Supuestos!$E$7^2/Supuestos!$D$7^2)/2,SQRT(LN(1+Supuestos!$E$7^2/Supuestos!$D$7^2))),Supuestos!$D$7))))))</f>
        <v/>
      </c>
      <c r="L734" s="32">
        <f>MIN(IF(Supuestos!$H$8="",1E+99,Supuestos!$H$8),MAX(IF(Supuestos!$G$8="",-1E+99,Supuestos!$G$8),IF(Supuestos!$C$8="Normal",NORMINV(E734,Supuestos!$D$8,Supuestos!$E$8),IF(Supuestos!$C$8="Triangular",IF(E734&lt;(Supuestos!$E$8-Supuestos!$D$8)/(Supuestos!$F$8-Supuestos!$D$8),Supuestos!$D$8+SQRT(E734*(Supuestos!$F$8-Supuestos!$D$8)*(Supuestos!$E$8-Supuestos!$D$8)),Supuestos!$F$8-SQRT((1-E734)*(Supuestos!$F$8-Supuestos!$D$8)*(Supuestos!$F$8-Supuestos!$E$8))),IF(Supuestos!$C$8="Uniforme",Supuestos!$D$8+E734*(Supuestos!$E$8-Supuestos!$D$8),IF(Supuestos!$C$8="Lognormal",LOGINV(E734,LN(Supuestos!$D$8)-LN(1+Supuestos!$E$8^2/Supuestos!$D$8^2)/2,SQRT(LN(1+Supuestos!$E$8^2/Supuestos!$D$8^2))),Supuestos!$D$8))))))</f>
        <v/>
      </c>
      <c r="M734" s="32">
        <f>MIN(IF(Supuestos!$H$9="",1E+99,Supuestos!$H$9),MAX(IF(Supuestos!$G$9="",-1E+99,Supuestos!$G$9),IF(Supuestos!$C$9="Normal",NORMINV(F734,Supuestos!$D$9,Supuestos!$E$9),IF(Supuestos!$C$9="Triangular",IF(F734&lt;(Supuestos!$E$9-Supuestos!$D$9)/(Supuestos!$F$9-Supuestos!$D$9),Supuestos!$D$9+SQRT(F734*(Supuestos!$F$9-Supuestos!$D$9)*(Supuestos!$E$9-Supuestos!$D$9)),Supuestos!$F$9-SQRT((1-F734)*(Supuestos!$F$9-Supuestos!$D$9)*(Supuestos!$F$9-Supuestos!$E$9))),IF(Supuestos!$C$9="Uniforme",Supuestos!$D$9+F734*(Supuestos!$E$9-Supuestos!$D$9),IF(Supuestos!$C$9="Lognormal",LOGINV(F734,LN(Supuestos!$D$9)-LN(1+Supuestos!$E$9^2/Supuestos!$D$9^2)/2,SQRT(LN(1+Supuestos!$E$9^2/Supuestos!$D$9^2))),Supuestos!$D$9))))))</f>
        <v/>
      </c>
      <c r="N734" s="32">
        <f>MIN(IF(Supuestos!$H$10="",1E+99,Supuestos!$H$10),MAX(IF(Supuestos!$G$10="",-1E+99,Supuestos!$G$10),IF(Supuestos!$C$10="Normal",NORMINV(G734,Supuestos!$D$10,Supuestos!$E$10),IF(Supuestos!$C$10="Triangular",IF(G734&lt;(Supuestos!$E$10-Supuestos!$D$10)/(Supuestos!$F$10-Supuestos!$D$10),Supuestos!$D$10+SQRT(G734*(Supuestos!$F$10-Supuestos!$D$10)*(Supuestos!$E$10-Supuestos!$D$10)),Supuestos!$F$10-SQRT((1-G734)*(Supuestos!$F$10-Supuestos!$D$10)*(Supuestos!$F$10-Supuestos!$E$10))),IF(Supuestos!$C$10="Uniforme",Supuestos!$D$10+G734*(Supuestos!$E$10-Supuestos!$D$10),IF(Supuestos!$C$10="Lognormal",LOGINV(G734,LN(Supuestos!$D$10)-LN(1+Supuestos!$E$10^2/Supuestos!$D$10^2)/2,SQRT(LN(1+Supuestos!$E$10^2/Supuestos!$D$10^2))),Supuestos!$D$10))))))</f>
        <v/>
      </c>
      <c r="O734" s="31">
        <f>MIN(IF(Supuestos!$H$11="",1E+99,Supuestos!$H$11),MAX(IF(Supuestos!$G$11="",-1E+99,Supuestos!$G$11),IF(Supuestos!$C$11="Normal",NORMINV(H734,Supuestos!$D$11,Supuestos!$E$11),IF(Supuestos!$C$11="Triangular",IF(H734&lt;(Supuestos!$E$11-Supuestos!$D$11)/(Supuestos!$F$11-Supuestos!$D$11),Supuestos!$D$11+SQRT(H734*(Supuestos!$F$11-Supuestos!$D$11)*(Supuestos!$E$11-Supuestos!$D$11)),Supuestos!$F$11-SQRT((1-H734)*(Supuestos!$F$11-Supuestos!$D$11)*(Supuestos!$F$11-Supuestos!$E$11))),IF(Supuestos!$C$11="Uniforme",Supuestos!$D$11+H734*(Supuestos!$E$11-Supuestos!$D$11),IF(Supuestos!$C$11="Lognormal",LOGINV(H734,LN(Supuestos!$D$11)-LN(1+Supuestos!$E$11^2/Supuestos!$D$11^2)/2,SQRT(LN(1+Supuestos!$E$11^2/Supuestos!$D$11^2))),Supuestos!$D$11))))))</f>
        <v/>
      </c>
      <c r="P734" s="33">
        <f>-I734</f>
        <v/>
      </c>
      <c r="Q734" s="33">
        <f>$J734*(1+$K734)^(1-1)*(1-$L734)*(1-$M734)</f>
        <v/>
      </c>
      <c r="R734" s="33">
        <f>$J734*(1+$K734)^(2-1)*(1-$L734)*(1-$M734)</f>
        <v/>
      </c>
      <c r="S734" s="33">
        <f>$J734*(1+$K734)^(3-1)*(1-$L734)*(1-$M734)</f>
        <v/>
      </c>
      <c r="T734" s="33">
        <f>$J734*(1+$K734)^(4-1)*(1-$L734)*(1-$M734)</f>
        <v/>
      </c>
      <c r="U734" s="33">
        <f>$J734*(1+$K734)^(5-1)*(1-$L734)*(1-$M734)+$O734</f>
        <v/>
      </c>
      <c r="V734" s="33">
        <f>P734+NPV($N734,Q734:U734)</f>
        <v/>
      </c>
      <c r="W734" s="32">
        <f>IFERROR(IRR(P734:U734,0.1),"")</f>
        <v/>
      </c>
    </row>
    <row r="735">
      <c r="A735" s="14" t="n">
        <v>731</v>
      </c>
      <c r="B735" s="30">
        <f>RAND()*(1-2E-6)+1E-6</f>
        <v/>
      </c>
      <c r="C735" s="30">
        <f>RAND()*(1-2E-6)+1E-6</f>
        <v/>
      </c>
      <c r="D735" s="30">
        <f>RAND()*(1-2E-6)+1E-6</f>
        <v/>
      </c>
      <c r="E735" s="30">
        <f>RAND()*(1-2E-6)+1E-6</f>
        <v/>
      </c>
      <c r="F735" s="30">
        <f>RAND()*(1-2E-6)+1E-6</f>
        <v/>
      </c>
      <c r="G735" s="30">
        <f>RAND()*(1-2E-6)+1E-6</f>
        <v/>
      </c>
      <c r="H735" s="30">
        <f>RAND()*(1-2E-6)+1E-6</f>
        <v/>
      </c>
      <c r="I735" s="31">
        <f>MIN(IF(Supuestos!$H$5="",1E+99,Supuestos!$H$5),MAX(IF(Supuestos!$G$5="",-1E+99,Supuestos!$G$5),IF(Supuestos!$C$5="Normal",NORMINV(B735,Supuestos!$D$5,Supuestos!$E$5),IF(Supuestos!$C$5="Triangular",IF(B735&lt;(Supuestos!$E$5-Supuestos!$D$5)/(Supuestos!$F$5-Supuestos!$D$5),Supuestos!$D$5+SQRT(B735*(Supuestos!$F$5-Supuestos!$D$5)*(Supuestos!$E$5-Supuestos!$D$5)),Supuestos!$F$5-SQRT((1-B735)*(Supuestos!$F$5-Supuestos!$D$5)*(Supuestos!$F$5-Supuestos!$E$5))),IF(Supuestos!$C$5="Uniforme",Supuestos!$D$5+B735*(Supuestos!$E$5-Supuestos!$D$5),IF(Supuestos!$C$5="Lognormal",LOGINV(B735,LN(Supuestos!$D$5)-LN(1+Supuestos!$E$5^2/Supuestos!$D$5^2)/2,SQRT(LN(1+Supuestos!$E$5^2/Supuestos!$D$5^2))),Supuestos!$D$5))))))</f>
        <v/>
      </c>
      <c r="J735" s="31">
        <f>MIN(IF(Supuestos!$H$6="",1E+99,Supuestos!$H$6),MAX(IF(Supuestos!$G$6="",-1E+99,Supuestos!$G$6),IF(Supuestos!$C$6="Normal",NORMINV(C735,Supuestos!$D$6,Supuestos!$E$6),IF(Supuestos!$C$6="Triangular",IF(C735&lt;(Supuestos!$E$6-Supuestos!$D$6)/(Supuestos!$F$6-Supuestos!$D$6),Supuestos!$D$6+SQRT(C735*(Supuestos!$F$6-Supuestos!$D$6)*(Supuestos!$E$6-Supuestos!$D$6)),Supuestos!$F$6-SQRT((1-C735)*(Supuestos!$F$6-Supuestos!$D$6)*(Supuestos!$F$6-Supuestos!$E$6))),IF(Supuestos!$C$6="Uniforme",Supuestos!$D$6+C735*(Supuestos!$E$6-Supuestos!$D$6),IF(Supuestos!$C$6="Lognormal",LOGINV(C735,LN(Supuestos!$D$6)-LN(1+Supuestos!$E$6^2/Supuestos!$D$6^2)/2,SQRT(LN(1+Supuestos!$E$6^2/Supuestos!$D$6^2))),Supuestos!$D$6))))))</f>
        <v/>
      </c>
      <c r="K735" s="32">
        <f>MIN(IF(Supuestos!$H$7="",1E+99,Supuestos!$H$7),MAX(IF(Supuestos!$G$7="",-1E+99,Supuestos!$G$7),IF(Supuestos!$C$7="Normal",NORMINV(D735,Supuestos!$D$7,Supuestos!$E$7),IF(Supuestos!$C$7="Triangular",IF(D735&lt;(Supuestos!$E$7-Supuestos!$D$7)/(Supuestos!$F$7-Supuestos!$D$7),Supuestos!$D$7+SQRT(D735*(Supuestos!$F$7-Supuestos!$D$7)*(Supuestos!$E$7-Supuestos!$D$7)),Supuestos!$F$7-SQRT((1-D735)*(Supuestos!$F$7-Supuestos!$D$7)*(Supuestos!$F$7-Supuestos!$E$7))),IF(Supuestos!$C$7="Uniforme",Supuestos!$D$7+D735*(Supuestos!$E$7-Supuestos!$D$7),IF(Supuestos!$C$7="Lognormal",LOGINV(D735,LN(Supuestos!$D$7)-LN(1+Supuestos!$E$7^2/Supuestos!$D$7^2)/2,SQRT(LN(1+Supuestos!$E$7^2/Supuestos!$D$7^2))),Supuestos!$D$7))))))</f>
        <v/>
      </c>
      <c r="L735" s="32">
        <f>MIN(IF(Supuestos!$H$8="",1E+99,Supuestos!$H$8),MAX(IF(Supuestos!$G$8="",-1E+99,Supuestos!$G$8),IF(Supuestos!$C$8="Normal",NORMINV(E735,Supuestos!$D$8,Supuestos!$E$8),IF(Supuestos!$C$8="Triangular",IF(E735&lt;(Supuestos!$E$8-Supuestos!$D$8)/(Supuestos!$F$8-Supuestos!$D$8),Supuestos!$D$8+SQRT(E735*(Supuestos!$F$8-Supuestos!$D$8)*(Supuestos!$E$8-Supuestos!$D$8)),Supuestos!$F$8-SQRT((1-E735)*(Supuestos!$F$8-Supuestos!$D$8)*(Supuestos!$F$8-Supuestos!$E$8))),IF(Supuestos!$C$8="Uniforme",Supuestos!$D$8+E735*(Supuestos!$E$8-Supuestos!$D$8),IF(Supuestos!$C$8="Lognormal",LOGINV(E735,LN(Supuestos!$D$8)-LN(1+Supuestos!$E$8^2/Supuestos!$D$8^2)/2,SQRT(LN(1+Supuestos!$E$8^2/Supuestos!$D$8^2))),Supuestos!$D$8))))))</f>
        <v/>
      </c>
      <c r="M735" s="32">
        <f>MIN(IF(Supuestos!$H$9="",1E+99,Supuestos!$H$9),MAX(IF(Supuestos!$G$9="",-1E+99,Supuestos!$G$9),IF(Supuestos!$C$9="Normal",NORMINV(F735,Supuestos!$D$9,Supuestos!$E$9),IF(Supuestos!$C$9="Triangular",IF(F735&lt;(Supuestos!$E$9-Supuestos!$D$9)/(Supuestos!$F$9-Supuestos!$D$9),Supuestos!$D$9+SQRT(F735*(Supuestos!$F$9-Supuestos!$D$9)*(Supuestos!$E$9-Supuestos!$D$9)),Supuestos!$F$9-SQRT((1-F735)*(Supuestos!$F$9-Supuestos!$D$9)*(Supuestos!$F$9-Supuestos!$E$9))),IF(Supuestos!$C$9="Uniforme",Supuestos!$D$9+F735*(Supuestos!$E$9-Supuestos!$D$9),IF(Supuestos!$C$9="Lognormal",LOGINV(F735,LN(Supuestos!$D$9)-LN(1+Supuestos!$E$9^2/Supuestos!$D$9^2)/2,SQRT(LN(1+Supuestos!$E$9^2/Supuestos!$D$9^2))),Supuestos!$D$9))))))</f>
        <v/>
      </c>
      <c r="N735" s="32">
        <f>MIN(IF(Supuestos!$H$10="",1E+99,Supuestos!$H$10),MAX(IF(Supuestos!$G$10="",-1E+99,Supuestos!$G$10),IF(Supuestos!$C$10="Normal",NORMINV(G735,Supuestos!$D$10,Supuestos!$E$10),IF(Supuestos!$C$10="Triangular",IF(G735&lt;(Supuestos!$E$10-Supuestos!$D$10)/(Supuestos!$F$10-Supuestos!$D$10),Supuestos!$D$10+SQRT(G735*(Supuestos!$F$10-Supuestos!$D$10)*(Supuestos!$E$10-Supuestos!$D$10)),Supuestos!$F$10-SQRT((1-G735)*(Supuestos!$F$10-Supuestos!$D$10)*(Supuestos!$F$10-Supuestos!$E$10))),IF(Supuestos!$C$10="Uniforme",Supuestos!$D$10+G735*(Supuestos!$E$10-Supuestos!$D$10),IF(Supuestos!$C$10="Lognormal",LOGINV(G735,LN(Supuestos!$D$10)-LN(1+Supuestos!$E$10^2/Supuestos!$D$10^2)/2,SQRT(LN(1+Supuestos!$E$10^2/Supuestos!$D$10^2))),Supuestos!$D$10))))))</f>
        <v/>
      </c>
      <c r="O735" s="31">
        <f>MIN(IF(Supuestos!$H$11="",1E+99,Supuestos!$H$11),MAX(IF(Supuestos!$G$11="",-1E+99,Supuestos!$G$11),IF(Supuestos!$C$11="Normal",NORMINV(H735,Supuestos!$D$11,Supuestos!$E$11),IF(Supuestos!$C$11="Triangular",IF(H735&lt;(Supuestos!$E$11-Supuestos!$D$11)/(Supuestos!$F$11-Supuestos!$D$11),Supuestos!$D$11+SQRT(H735*(Supuestos!$F$11-Supuestos!$D$11)*(Supuestos!$E$11-Supuestos!$D$11)),Supuestos!$F$11-SQRT((1-H735)*(Supuestos!$F$11-Supuestos!$D$11)*(Supuestos!$F$11-Supuestos!$E$11))),IF(Supuestos!$C$11="Uniforme",Supuestos!$D$11+H735*(Supuestos!$E$11-Supuestos!$D$11),IF(Supuestos!$C$11="Lognormal",LOGINV(H735,LN(Supuestos!$D$11)-LN(1+Supuestos!$E$11^2/Supuestos!$D$11^2)/2,SQRT(LN(1+Supuestos!$E$11^2/Supuestos!$D$11^2))),Supuestos!$D$11))))))</f>
        <v/>
      </c>
      <c r="P735" s="33">
        <f>-I735</f>
        <v/>
      </c>
      <c r="Q735" s="33">
        <f>$J735*(1+$K735)^(1-1)*(1-$L735)*(1-$M735)</f>
        <v/>
      </c>
      <c r="R735" s="33">
        <f>$J735*(1+$K735)^(2-1)*(1-$L735)*(1-$M735)</f>
        <v/>
      </c>
      <c r="S735" s="33">
        <f>$J735*(1+$K735)^(3-1)*(1-$L735)*(1-$M735)</f>
        <v/>
      </c>
      <c r="T735" s="33">
        <f>$J735*(1+$K735)^(4-1)*(1-$L735)*(1-$M735)</f>
        <v/>
      </c>
      <c r="U735" s="33">
        <f>$J735*(1+$K735)^(5-1)*(1-$L735)*(1-$M735)+$O735</f>
        <v/>
      </c>
      <c r="V735" s="33">
        <f>P735+NPV($N735,Q735:U735)</f>
        <v/>
      </c>
      <c r="W735" s="32">
        <f>IFERROR(IRR(P735:U735,0.1),"")</f>
        <v/>
      </c>
    </row>
    <row r="736">
      <c r="A736" s="14" t="n">
        <v>732</v>
      </c>
      <c r="B736" s="30">
        <f>RAND()*(1-2E-6)+1E-6</f>
        <v/>
      </c>
      <c r="C736" s="30">
        <f>RAND()*(1-2E-6)+1E-6</f>
        <v/>
      </c>
      <c r="D736" s="30">
        <f>RAND()*(1-2E-6)+1E-6</f>
        <v/>
      </c>
      <c r="E736" s="30">
        <f>RAND()*(1-2E-6)+1E-6</f>
        <v/>
      </c>
      <c r="F736" s="30">
        <f>RAND()*(1-2E-6)+1E-6</f>
        <v/>
      </c>
      <c r="G736" s="30">
        <f>RAND()*(1-2E-6)+1E-6</f>
        <v/>
      </c>
      <c r="H736" s="30">
        <f>RAND()*(1-2E-6)+1E-6</f>
        <v/>
      </c>
      <c r="I736" s="31">
        <f>MIN(IF(Supuestos!$H$5="",1E+99,Supuestos!$H$5),MAX(IF(Supuestos!$G$5="",-1E+99,Supuestos!$G$5),IF(Supuestos!$C$5="Normal",NORMINV(B736,Supuestos!$D$5,Supuestos!$E$5),IF(Supuestos!$C$5="Triangular",IF(B736&lt;(Supuestos!$E$5-Supuestos!$D$5)/(Supuestos!$F$5-Supuestos!$D$5),Supuestos!$D$5+SQRT(B736*(Supuestos!$F$5-Supuestos!$D$5)*(Supuestos!$E$5-Supuestos!$D$5)),Supuestos!$F$5-SQRT((1-B736)*(Supuestos!$F$5-Supuestos!$D$5)*(Supuestos!$F$5-Supuestos!$E$5))),IF(Supuestos!$C$5="Uniforme",Supuestos!$D$5+B736*(Supuestos!$E$5-Supuestos!$D$5),IF(Supuestos!$C$5="Lognormal",LOGINV(B736,LN(Supuestos!$D$5)-LN(1+Supuestos!$E$5^2/Supuestos!$D$5^2)/2,SQRT(LN(1+Supuestos!$E$5^2/Supuestos!$D$5^2))),Supuestos!$D$5))))))</f>
        <v/>
      </c>
      <c r="J736" s="31">
        <f>MIN(IF(Supuestos!$H$6="",1E+99,Supuestos!$H$6),MAX(IF(Supuestos!$G$6="",-1E+99,Supuestos!$G$6),IF(Supuestos!$C$6="Normal",NORMINV(C736,Supuestos!$D$6,Supuestos!$E$6),IF(Supuestos!$C$6="Triangular",IF(C736&lt;(Supuestos!$E$6-Supuestos!$D$6)/(Supuestos!$F$6-Supuestos!$D$6),Supuestos!$D$6+SQRT(C736*(Supuestos!$F$6-Supuestos!$D$6)*(Supuestos!$E$6-Supuestos!$D$6)),Supuestos!$F$6-SQRT((1-C736)*(Supuestos!$F$6-Supuestos!$D$6)*(Supuestos!$F$6-Supuestos!$E$6))),IF(Supuestos!$C$6="Uniforme",Supuestos!$D$6+C736*(Supuestos!$E$6-Supuestos!$D$6),IF(Supuestos!$C$6="Lognormal",LOGINV(C736,LN(Supuestos!$D$6)-LN(1+Supuestos!$E$6^2/Supuestos!$D$6^2)/2,SQRT(LN(1+Supuestos!$E$6^2/Supuestos!$D$6^2))),Supuestos!$D$6))))))</f>
        <v/>
      </c>
      <c r="K736" s="32">
        <f>MIN(IF(Supuestos!$H$7="",1E+99,Supuestos!$H$7),MAX(IF(Supuestos!$G$7="",-1E+99,Supuestos!$G$7),IF(Supuestos!$C$7="Normal",NORMINV(D736,Supuestos!$D$7,Supuestos!$E$7),IF(Supuestos!$C$7="Triangular",IF(D736&lt;(Supuestos!$E$7-Supuestos!$D$7)/(Supuestos!$F$7-Supuestos!$D$7),Supuestos!$D$7+SQRT(D736*(Supuestos!$F$7-Supuestos!$D$7)*(Supuestos!$E$7-Supuestos!$D$7)),Supuestos!$F$7-SQRT((1-D736)*(Supuestos!$F$7-Supuestos!$D$7)*(Supuestos!$F$7-Supuestos!$E$7))),IF(Supuestos!$C$7="Uniforme",Supuestos!$D$7+D736*(Supuestos!$E$7-Supuestos!$D$7),IF(Supuestos!$C$7="Lognormal",LOGINV(D736,LN(Supuestos!$D$7)-LN(1+Supuestos!$E$7^2/Supuestos!$D$7^2)/2,SQRT(LN(1+Supuestos!$E$7^2/Supuestos!$D$7^2))),Supuestos!$D$7))))))</f>
        <v/>
      </c>
      <c r="L736" s="32">
        <f>MIN(IF(Supuestos!$H$8="",1E+99,Supuestos!$H$8),MAX(IF(Supuestos!$G$8="",-1E+99,Supuestos!$G$8),IF(Supuestos!$C$8="Normal",NORMINV(E736,Supuestos!$D$8,Supuestos!$E$8),IF(Supuestos!$C$8="Triangular",IF(E736&lt;(Supuestos!$E$8-Supuestos!$D$8)/(Supuestos!$F$8-Supuestos!$D$8),Supuestos!$D$8+SQRT(E736*(Supuestos!$F$8-Supuestos!$D$8)*(Supuestos!$E$8-Supuestos!$D$8)),Supuestos!$F$8-SQRT((1-E736)*(Supuestos!$F$8-Supuestos!$D$8)*(Supuestos!$F$8-Supuestos!$E$8))),IF(Supuestos!$C$8="Uniforme",Supuestos!$D$8+E736*(Supuestos!$E$8-Supuestos!$D$8),IF(Supuestos!$C$8="Lognormal",LOGINV(E736,LN(Supuestos!$D$8)-LN(1+Supuestos!$E$8^2/Supuestos!$D$8^2)/2,SQRT(LN(1+Supuestos!$E$8^2/Supuestos!$D$8^2))),Supuestos!$D$8))))))</f>
        <v/>
      </c>
      <c r="M736" s="32">
        <f>MIN(IF(Supuestos!$H$9="",1E+99,Supuestos!$H$9),MAX(IF(Supuestos!$G$9="",-1E+99,Supuestos!$G$9),IF(Supuestos!$C$9="Normal",NORMINV(F736,Supuestos!$D$9,Supuestos!$E$9),IF(Supuestos!$C$9="Triangular",IF(F736&lt;(Supuestos!$E$9-Supuestos!$D$9)/(Supuestos!$F$9-Supuestos!$D$9),Supuestos!$D$9+SQRT(F736*(Supuestos!$F$9-Supuestos!$D$9)*(Supuestos!$E$9-Supuestos!$D$9)),Supuestos!$F$9-SQRT((1-F736)*(Supuestos!$F$9-Supuestos!$D$9)*(Supuestos!$F$9-Supuestos!$E$9))),IF(Supuestos!$C$9="Uniforme",Supuestos!$D$9+F736*(Supuestos!$E$9-Supuestos!$D$9),IF(Supuestos!$C$9="Lognormal",LOGINV(F736,LN(Supuestos!$D$9)-LN(1+Supuestos!$E$9^2/Supuestos!$D$9^2)/2,SQRT(LN(1+Supuestos!$E$9^2/Supuestos!$D$9^2))),Supuestos!$D$9))))))</f>
        <v/>
      </c>
      <c r="N736" s="32">
        <f>MIN(IF(Supuestos!$H$10="",1E+99,Supuestos!$H$10),MAX(IF(Supuestos!$G$10="",-1E+99,Supuestos!$G$10),IF(Supuestos!$C$10="Normal",NORMINV(G736,Supuestos!$D$10,Supuestos!$E$10),IF(Supuestos!$C$10="Triangular",IF(G736&lt;(Supuestos!$E$10-Supuestos!$D$10)/(Supuestos!$F$10-Supuestos!$D$10),Supuestos!$D$10+SQRT(G736*(Supuestos!$F$10-Supuestos!$D$10)*(Supuestos!$E$10-Supuestos!$D$10)),Supuestos!$F$10-SQRT((1-G736)*(Supuestos!$F$10-Supuestos!$D$10)*(Supuestos!$F$10-Supuestos!$E$10))),IF(Supuestos!$C$10="Uniforme",Supuestos!$D$10+G736*(Supuestos!$E$10-Supuestos!$D$10),IF(Supuestos!$C$10="Lognormal",LOGINV(G736,LN(Supuestos!$D$10)-LN(1+Supuestos!$E$10^2/Supuestos!$D$10^2)/2,SQRT(LN(1+Supuestos!$E$10^2/Supuestos!$D$10^2))),Supuestos!$D$10))))))</f>
        <v/>
      </c>
      <c r="O736" s="31">
        <f>MIN(IF(Supuestos!$H$11="",1E+99,Supuestos!$H$11),MAX(IF(Supuestos!$G$11="",-1E+99,Supuestos!$G$11),IF(Supuestos!$C$11="Normal",NORMINV(H736,Supuestos!$D$11,Supuestos!$E$11),IF(Supuestos!$C$11="Triangular",IF(H736&lt;(Supuestos!$E$11-Supuestos!$D$11)/(Supuestos!$F$11-Supuestos!$D$11),Supuestos!$D$11+SQRT(H736*(Supuestos!$F$11-Supuestos!$D$11)*(Supuestos!$E$11-Supuestos!$D$11)),Supuestos!$F$11-SQRT((1-H736)*(Supuestos!$F$11-Supuestos!$D$11)*(Supuestos!$F$11-Supuestos!$E$11))),IF(Supuestos!$C$11="Uniforme",Supuestos!$D$11+H736*(Supuestos!$E$11-Supuestos!$D$11),IF(Supuestos!$C$11="Lognormal",LOGINV(H736,LN(Supuestos!$D$11)-LN(1+Supuestos!$E$11^2/Supuestos!$D$11^2)/2,SQRT(LN(1+Supuestos!$E$11^2/Supuestos!$D$11^2))),Supuestos!$D$11))))))</f>
        <v/>
      </c>
      <c r="P736" s="33">
        <f>-I736</f>
        <v/>
      </c>
      <c r="Q736" s="33">
        <f>$J736*(1+$K736)^(1-1)*(1-$L736)*(1-$M736)</f>
        <v/>
      </c>
      <c r="R736" s="33">
        <f>$J736*(1+$K736)^(2-1)*(1-$L736)*(1-$M736)</f>
        <v/>
      </c>
      <c r="S736" s="33">
        <f>$J736*(1+$K736)^(3-1)*(1-$L736)*(1-$M736)</f>
        <v/>
      </c>
      <c r="T736" s="33">
        <f>$J736*(1+$K736)^(4-1)*(1-$L736)*(1-$M736)</f>
        <v/>
      </c>
      <c r="U736" s="33">
        <f>$J736*(1+$K736)^(5-1)*(1-$L736)*(1-$M736)+$O736</f>
        <v/>
      </c>
      <c r="V736" s="33">
        <f>P736+NPV($N736,Q736:U736)</f>
        <v/>
      </c>
      <c r="W736" s="32">
        <f>IFERROR(IRR(P736:U736,0.1),"")</f>
        <v/>
      </c>
    </row>
    <row r="737">
      <c r="A737" s="14" t="n">
        <v>733</v>
      </c>
      <c r="B737" s="30">
        <f>RAND()*(1-2E-6)+1E-6</f>
        <v/>
      </c>
      <c r="C737" s="30">
        <f>RAND()*(1-2E-6)+1E-6</f>
        <v/>
      </c>
      <c r="D737" s="30">
        <f>RAND()*(1-2E-6)+1E-6</f>
        <v/>
      </c>
      <c r="E737" s="30">
        <f>RAND()*(1-2E-6)+1E-6</f>
        <v/>
      </c>
      <c r="F737" s="30">
        <f>RAND()*(1-2E-6)+1E-6</f>
        <v/>
      </c>
      <c r="G737" s="30">
        <f>RAND()*(1-2E-6)+1E-6</f>
        <v/>
      </c>
      <c r="H737" s="30">
        <f>RAND()*(1-2E-6)+1E-6</f>
        <v/>
      </c>
      <c r="I737" s="31">
        <f>MIN(IF(Supuestos!$H$5="",1E+99,Supuestos!$H$5),MAX(IF(Supuestos!$G$5="",-1E+99,Supuestos!$G$5),IF(Supuestos!$C$5="Normal",NORMINV(B737,Supuestos!$D$5,Supuestos!$E$5),IF(Supuestos!$C$5="Triangular",IF(B737&lt;(Supuestos!$E$5-Supuestos!$D$5)/(Supuestos!$F$5-Supuestos!$D$5),Supuestos!$D$5+SQRT(B737*(Supuestos!$F$5-Supuestos!$D$5)*(Supuestos!$E$5-Supuestos!$D$5)),Supuestos!$F$5-SQRT((1-B737)*(Supuestos!$F$5-Supuestos!$D$5)*(Supuestos!$F$5-Supuestos!$E$5))),IF(Supuestos!$C$5="Uniforme",Supuestos!$D$5+B737*(Supuestos!$E$5-Supuestos!$D$5),IF(Supuestos!$C$5="Lognormal",LOGINV(B737,LN(Supuestos!$D$5)-LN(1+Supuestos!$E$5^2/Supuestos!$D$5^2)/2,SQRT(LN(1+Supuestos!$E$5^2/Supuestos!$D$5^2))),Supuestos!$D$5))))))</f>
        <v/>
      </c>
      <c r="J737" s="31">
        <f>MIN(IF(Supuestos!$H$6="",1E+99,Supuestos!$H$6),MAX(IF(Supuestos!$G$6="",-1E+99,Supuestos!$G$6),IF(Supuestos!$C$6="Normal",NORMINV(C737,Supuestos!$D$6,Supuestos!$E$6),IF(Supuestos!$C$6="Triangular",IF(C737&lt;(Supuestos!$E$6-Supuestos!$D$6)/(Supuestos!$F$6-Supuestos!$D$6),Supuestos!$D$6+SQRT(C737*(Supuestos!$F$6-Supuestos!$D$6)*(Supuestos!$E$6-Supuestos!$D$6)),Supuestos!$F$6-SQRT((1-C737)*(Supuestos!$F$6-Supuestos!$D$6)*(Supuestos!$F$6-Supuestos!$E$6))),IF(Supuestos!$C$6="Uniforme",Supuestos!$D$6+C737*(Supuestos!$E$6-Supuestos!$D$6),IF(Supuestos!$C$6="Lognormal",LOGINV(C737,LN(Supuestos!$D$6)-LN(1+Supuestos!$E$6^2/Supuestos!$D$6^2)/2,SQRT(LN(1+Supuestos!$E$6^2/Supuestos!$D$6^2))),Supuestos!$D$6))))))</f>
        <v/>
      </c>
      <c r="K737" s="32">
        <f>MIN(IF(Supuestos!$H$7="",1E+99,Supuestos!$H$7),MAX(IF(Supuestos!$G$7="",-1E+99,Supuestos!$G$7),IF(Supuestos!$C$7="Normal",NORMINV(D737,Supuestos!$D$7,Supuestos!$E$7),IF(Supuestos!$C$7="Triangular",IF(D737&lt;(Supuestos!$E$7-Supuestos!$D$7)/(Supuestos!$F$7-Supuestos!$D$7),Supuestos!$D$7+SQRT(D737*(Supuestos!$F$7-Supuestos!$D$7)*(Supuestos!$E$7-Supuestos!$D$7)),Supuestos!$F$7-SQRT((1-D737)*(Supuestos!$F$7-Supuestos!$D$7)*(Supuestos!$F$7-Supuestos!$E$7))),IF(Supuestos!$C$7="Uniforme",Supuestos!$D$7+D737*(Supuestos!$E$7-Supuestos!$D$7),IF(Supuestos!$C$7="Lognormal",LOGINV(D737,LN(Supuestos!$D$7)-LN(1+Supuestos!$E$7^2/Supuestos!$D$7^2)/2,SQRT(LN(1+Supuestos!$E$7^2/Supuestos!$D$7^2))),Supuestos!$D$7))))))</f>
        <v/>
      </c>
      <c r="L737" s="32">
        <f>MIN(IF(Supuestos!$H$8="",1E+99,Supuestos!$H$8),MAX(IF(Supuestos!$G$8="",-1E+99,Supuestos!$G$8),IF(Supuestos!$C$8="Normal",NORMINV(E737,Supuestos!$D$8,Supuestos!$E$8),IF(Supuestos!$C$8="Triangular",IF(E737&lt;(Supuestos!$E$8-Supuestos!$D$8)/(Supuestos!$F$8-Supuestos!$D$8),Supuestos!$D$8+SQRT(E737*(Supuestos!$F$8-Supuestos!$D$8)*(Supuestos!$E$8-Supuestos!$D$8)),Supuestos!$F$8-SQRT((1-E737)*(Supuestos!$F$8-Supuestos!$D$8)*(Supuestos!$F$8-Supuestos!$E$8))),IF(Supuestos!$C$8="Uniforme",Supuestos!$D$8+E737*(Supuestos!$E$8-Supuestos!$D$8),IF(Supuestos!$C$8="Lognormal",LOGINV(E737,LN(Supuestos!$D$8)-LN(1+Supuestos!$E$8^2/Supuestos!$D$8^2)/2,SQRT(LN(1+Supuestos!$E$8^2/Supuestos!$D$8^2))),Supuestos!$D$8))))))</f>
        <v/>
      </c>
      <c r="M737" s="32">
        <f>MIN(IF(Supuestos!$H$9="",1E+99,Supuestos!$H$9),MAX(IF(Supuestos!$G$9="",-1E+99,Supuestos!$G$9),IF(Supuestos!$C$9="Normal",NORMINV(F737,Supuestos!$D$9,Supuestos!$E$9),IF(Supuestos!$C$9="Triangular",IF(F737&lt;(Supuestos!$E$9-Supuestos!$D$9)/(Supuestos!$F$9-Supuestos!$D$9),Supuestos!$D$9+SQRT(F737*(Supuestos!$F$9-Supuestos!$D$9)*(Supuestos!$E$9-Supuestos!$D$9)),Supuestos!$F$9-SQRT((1-F737)*(Supuestos!$F$9-Supuestos!$D$9)*(Supuestos!$F$9-Supuestos!$E$9))),IF(Supuestos!$C$9="Uniforme",Supuestos!$D$9+F737*(Supuestos!$E$9-Supuestos!$D$9),IF(Supuestos!$C$9="Lognormal",LOGINV(F737,LN(Supuestos!$D$9)-LN(1+Supuestos!$E$9^2/Supuestos!$D$9^2)/2,SQRT(LN(1+Supuestos!$E$9^2/Supuestos!$D$9^2))),Supuestos!$D$9))))))</f>
        <v/>
      </c>
      <c r="N737" s="32">
        <f>MIN(IF(Supuestos!$H$10="",1E+99,Supuestos!$H$10),MAX(IF(Supuestos!$G$10="",-1E+99,Supuestos!$G$10),IF(Supuestos!$C$10="Normal",NORMINV(G737,Supuestos!$D$10,Supuestos!$E$10),IF(Supuestos!$C$10="Triangular",IF(G737&lt;(Supuestos!$E$10-Supuestos!$D$10)/(Supuestos!$F$10-Supuestos!$D$10),Supuestos!$D$10+SQRT(G737*(Supuestos!$F$10-Supuestos!$D$10)*(Supuestos!$E$10-Supuestos!$D$10)),Supuestos!$F$10-SQRT((1-G737)*(Supuestos!$F$10-Supuestos!$D$10)*(Supuestos!$F$10-Supuestos!$E$10))),IF(Supuestos!$C$10="Uniforme",Supuestos!$D$10+G737*(Supuestos!$E$10-Supuestos!$D$10),IF(Supuestos!$C$10="Lognormal",LOGINV(G737,LN(Supuestos!$D$10)-LN(1+Supuestos!$E$10^2/Supuestos!$D$10^2)/2,SQRT(LN(1+Supuestos!$E$10^2/Supuestos!$D$10^2))),Supuestos!$D$10))))))</f>
        <v/>
      </c>
      <c r="O737" s="31">
        <f>MIN(IF(Supuestos!$H$11="",1E+99,Supuestos!$H$11),MAX(IF(Supuestos!$G$11="",-1E+99,Supuestos!$G$11),IF(Supuestos!$C$11="Normal",NORMINV(H737,Supuestos!$D$11,Supuestos!$E$11),IF(Supuestos!$C$11="Triangular",IF(H737&lt;(Supuestos!$E$11-Supuestos!$D$11)/(Supuestos!$F$11-Supuestos!$D$11),Supuestos!$D$11+SQRT(H737*(Supuestos!$F$11-Supuestos!$D$11)*(Supuestos!$E$11-Supuestos!$D$11)),Supuestos!$F$11-SQRT((1-H737)*(Supuestos!$F$11-Supuestos!$D$11)*(Supuestos!$F$11-Supuestos!$E$11))),IF(Supuestos!$C$11="Uniforme",Supuestos!$D$11+H737*(Supuestos!$E$11-Supuestos!$D$11),IF(Supuestos!$C$11="Lognormal",LOGINV(H737,LN(Supuestos!$D$11)-LN(1+Supuestos!$E$11^2/Supuestos!$D$11^2)/2,SQRT(LN(1+Supuestos!$E$11^2/Supuestos!$D$11^2))),Supuestos!$D$11))))))</f>
        <v/>
      </c>
      <c r="P737" s="33">
        <f>-I737</f>
        <v/>
      </c>
      <c r="Q737" s="33">
        <f>$J737*(1+$K737)^(1-1)*(1-$L737)*(1-$M737)</f>
        <v/>
      </c>
      <c r="R737" s="33">
        <f>$J737*(1+$K737)^(2-1)*(1-$L737)*(1-$M737)</f>
        <v/>
      </c>
      <c r="S737" s="33">
        <f>$J737*(1+$K737)^(3-1)*(1-$L737)*(1-$M737)</f>
        <v/>
      </c>
      <c r="T737" s="33">
        <f>$J737*(1+$K737)^(4-1)*(1-$L737)*(1-$M737)</f>
        <v/>
      </c>
      <c r="U737" s="33">
        <f>$J737*(1+$K737)^(5-1)*(1-$L737)*(1-$M737)+$O737</f>
        <v/>
      </c>
      <c r="V737" s="33">
        <f>P737+NPV($N737,Q737:U737)</f>
        <v/>
      </c>
      <c r="W737" s="32">
        <f>IFERROR(IRR(P737:U737,0.1),"")</f>
        <v/>
      </c>
    </row>
    <row r="738">
      <c r="A738" s="14" t="n">
        <v>734</v>
      </c>
      <c r="B738" s="30">
        <f>RAND()*(1-2E-6)+1E-6</f>
        <v/>
      </c>
      <c r="C738" s="30">
        <f>RAND()*(1-2E-6)+1E-6</f>
        <v/>
      </c>
      <c r="D738" s="30">
        <f>RAND()*(1-2E-6)+1E-6</f>
        <v/>
      </c>
      <c r="E738" s="30">
        <f>RAND()*(1-2E-6)+1E-6</f>
        <v/>
      </c>
      <c r="F738" s="30">
        <f>RAND()*(1-2E-6)+1E-6</f>
        <v/>
      </c>
      <c r="G738" s="30">
        <f>RAND()*(1-2E-6)+1E-6</f>
        <v/>
      </c>
      <c r="H738" s="30">
        <f>RAND()*(1-2E-6)+1E-6</f>
        <v/>
      </c>
      <c r="I738" s="31">
        <f>MIN(IF(Supuestos!$H$5="",1E+99,Supuestos!$H$5),MAX(IF(Supuestos!$G$5="",-1E+99,Supuestos!$G$5),IF(Supuestos!$C$5="Normal",NORMINV(B738,Supuestos!$D$5,Supuestos!$E$5),IF(Supuestos!$C$5="Triangular",IF(B738&lt;(Supuestos!$E$5-Supuestos!$D$5)/(Supuestos!$F$5-Supuestos!$D$5),Supuestos!$D$5+SQRT(B738*(Supuestos!$F$5-Supuestos!$D$5)*(Supuestos!$E$5-Supuestos!$D$5)),Supuestos!$F$5-SQRT((1-B738)*(Supuestos!$F$5-Supuestos!$D$5)*(Supuestos!$F$5-Supuestos!$E$5))),IF(Supuestos!$C$5="Uniforme",Supuestos!$D$5+B738*(Supuestos!$E$5-Supuestos!$D$5),IF(Supuestos!$C$5="Lognormal",LOGINV(B738,LN(Supuestos!$D$5)-LN(1+Supuestos!$E$5^2/Supuestos!$D$5^2)/2,SQRT(LN(1+Supuestos!$E$5^2/Supuestos!$D$5^2))),Supuestos!$D$5))))))</f>
        <v/>
      </c>
      <c r="J738" s="31">
        <f>MIN(IF(Supuestos!$H$6="",1E+99,Supuestos!$H$6),MAX(IF(Supuestos!$G$6="",-1E+99,Supuestos!$G$6),IF(Supuestos!$C$6="Normal",NORMINV(C738,Supuestos!$D$6,Supuestos!$E$6),IF(Supuestos!$C$6="Triangular",IF(C738&lt;(Supuestos!$E$6-Supuestos!$D$6)/(Supuestos!$F$6-Supuestos!$D$6),Supuestos!$D$6+SQRT(C738*(Supuestos!$F$6-Supuestos!$D$6)*(Supuestos!$E$6-Supuestos!$D$6)),Supuestos!$F$6-SQRT((1-C738)*(Supuestos!$F$6-Supuestos!$D$6)*(Supuestos!$F$6-Supuestos!$E$6))),IF(Supuestos!$C$6="Uniforme",Supuestos!$D$6+C738*(Supuestos!$E$6-Supuestos!$D$6),IF(Supuestos!$C$6="Lognormal",LOGINV(C738,LN(Supuestos!$D$6)-LN(1+Supuestos!$E$6^2/Supuestos!$D$6^2)/2,SQRT(LN(1+Supuestos!$E$6^2/Supuestos!$D$6^2))),Supuestos!$D$6))))))</f>
        <v/>
      </c>
      <c r="K738" s="32">
        <f>MIN(IF(Supuestos!$H$7="",1E+99,Supuestos!$H$7),MAX(IF(Supuestos!$G$7="",-1E+99,Supuestos!$G$7),IF(Supuestos!$C$7="Normal",NORMINV(D738,Supuestos!$D$7,Supuestos!$E$7),IF(Supuestos!$C$7="Triangular",IF(D738&lt;(Supuestos!$E$7-Supuestos!$D$7)/(Supuestos!$F$7-Supuestos!$D$7),Supuestos!$D$7+SQRT(D738*(Supuestos!$F$7-Supuestos!$D$7)*(Supuestos!$E$7-Supuestos!$D$7)),Supuestos!$F$7-SQRT((1-D738)*(Supuestos!$F$7-Supuestos!$D$7)*(Supuestos!$F$7-Supuestos!$E$7))),IF(Supuestos!$C$7="Uniforme",Supuestos!$D$7+D738*(Supuestos!$E$7-Supuestos!$D$7),IF(Supuestos!$C$7="Lognormal",LOGINV(D738,LN(Supuestos!$D$7)-LN(1+Supuestos!$E$7^2/Supuestos!$D$7^2)/2,SQRT(LN(1+Supuestos!$E$7^2/Supuestos!$D$7^2))),Supuestos!$D$7))))))</f>
        <v/>
      </c>
      <c r="L738" s="32">
        <f>MIN(IF(Supuestos!$H$8="",1E+99,Supuestos!$H$8),MAX(IF(Supuestos!$G$8="",-1E+99,Supuestos!$G$8),IF(Supuestos!$C$8="Normal",NORMINV(E738,Supuestos!$D$8,Supuestos!$E$8),IF(Supuestos!$C$8="Triangular",IF(E738&lt;(Supuestos!$E$8-Supuestos!$D$8)/(Supuestos!$F$8-Supuestos!$D$8),Supuestos!$D$8+SQRT(E738*(Supuestos!$F$8-Supuestos!$D$8)*(Supuestos!$E$8-Supuestos!$D$8)),Supuestos!$F$8-SQRT((1-E738)*(Supuestos!$F$8-Supuestos!$D$8)*(Supuestos!$F$8-Supuestos!$E$8))),IF(Supuestos!$C$8="Uniforme",Supuestos!$D$8+E738*(Supuestos!$E$8-Supuestos!$D$8),IF(Supuestos!$C$8="Lognormal",LOGINV(E738,LN(Supuestos!$D$8)-LN(1+Supuestos!$E$8^2/Supuestos!$D$8^2)/2,SQRT(LN(1+Supuestos!$E$8^2/Supuestos!$D$8^2))),Supuestos!$D$8))))))</f>
        <v/>
      </c>
      <c r="M738" s="32">
        <f>MIN(IF(Supuestos!$H$9="",1E+99,Supuestos!$H$9),MAX(IF(Supuestos!$G$9="",-1E+99,Supuestos!$G$9),IF(Supuestos!$C$9="Normal",NORMINV(F738,Supuestos!$D$9,Supuestos!$E$9),IF(Supuestos!$C$9="Triangular",IF(F738&lt;(Supuestos!$E$9-Supuestos!$D$9)/(Supuestos!$F$9-Supuestos!$D$9),Supuestos!$D$9+SQRT(F738*(Supuestos!$F$9-Supuestos!$D$9)*(Supuestos!$E$9-Supuestos!$D$9)),Supuestos!$F$9-SQRT((1-F738)*(Supuestos!$F$9-Supuestos!$D$9)*(Supuestos!$F$9-Supuestos!$E$9))),IF(Supuestos!$C$9="Uniforme",Supuestos!$D$9+F738*(Supuestos!$E$9-Supuestos!$D$9),IF(Supuestos!$C$9="Lognormal",LOGINV(F738,LN(Supuestos!$D$9)-LN(1+Supuestos!$E$9^2/Supuestos!$D$9^2)/2,SQRT(LN(1+Supuestos!$E$9^2/Supuestos!$D$9^2))),Supuestos!$D$9))))))</f>
        <v/>
      </c>
      <c r="N738" s="32">
        <f>MIN(IF(Supuestos!$H$10="",1E+99,Supuestos!$H$10),MAX(IF(Supuestos!$G$10="",-1E+99,Supuestos!$G$10),IF(Supuestos!$C$10="Normal",NORMINV(G738,Supuestos!$D$10,Supuestos!$E$10),IF(Supuestos!$C$10="Triangular",IF(G738&lt;(Supuestos!$E$10-Supuestos!$D$10)/(Supuestos!$F$10-Supuestos!$D$10),Supuestos!$D$10+SQRT(G738*(Supuestos!$F$10-Supuestos!$D$10)*(Supuestos!$E$10-Supuestos!$D$10)),Supuestos!$F$10-SQRT((1-G738)*(Supuestos!$F$10-Supuestos!$D$10)*(Supuestos!$F$10-Supuestos!$E$10))),IF(Supuestos!$C$10="Uniforme",Supuestos!$D$10+G738*(Supuestos!$E$10-Supuestos!$D$10),IF(Supuestos!$C$10="Lognormal",LOGINV(G738,LN(Supuestos!$D$10)-LN(1+Supuestos!$E$10^2/Supuestos!$D$10^2)/2,SQRT(LN(1+Supuestos!$E$10^2/Supuestos!$D$10^2))),Supuestos!$D$10))))))</f>
        <v/>
      </c>
      <c r="O738" s="31">
        <f>MIN(IF(Supuestos!$H$11="",1E+99,Supuestos!$H$11),MAX(IF(Supuestos!$G$11="",-1E+99,Supuestos!$G$11),IF(Supuestos!$C$11="Normal",NORMINV(H738,Supuestos!$D$11,Supuestos!$E$11),IF(Supuestos!$C$11="Triangular",IF(H738&lt;(Supuestos!$E$11-Supuestos!$D$11)/(Supuestos!$F$11-Supuestos!$D$11),Supuestos!$D$11+SQRT(H738*(Supuestos!$F$11-Supuestos!$D$11)*(Supuestos!$E$11-Supuestos!$D$11)),Supuestos!$F$11-SQRT((1-H738)*(Supuestos!$F$11-Supuestos!$D$11)*(Supuestos!$F$11-Supuestos!$E$11))),IF(Supuestos!$C$11="Uniforme",Supuestos!$D$11+H738*(Supuestos!$E$11-Supuestos!$D$11),IF(Supuestos!$C$11="Lognormal",LOGINV(H738,LN(Supuestos!$D$11)-LN(1+Supuestos!$E$11^2/Supuestos!$D$11^2)/2,SQRT(LN(1+Supuestos!$E$11^2/Supuestos!$D$11^2))),Supuestos!$D$11))))))</f>
        <v/>
      </c>
      <c r="P738" s="33">
        <f>-I738</f>
        <v/>
      </c>
      <c r="Q738" s="33">
        <f>$J738*(1+$K738)^(1-1)*(1-$L738)*(1-$M738)</f>
        <v/>
      </c>
      <c r="R738" s="33">
        <f>$J738*(1+$K738)^(2-1)*(1-$L738)*(1-$M738)</f>
        <v/>
      </c>
      <c r="S738" s="33">
        <f>$J738*(1+$K738)^(3-1)*(1-$L738)*(1-$M738)</f>
        <v/>
      </c>
      <c r="T738" s="33">
        <f>$J738*(1+$K738)^(4-1)*(1-$L738)*(1-$M738)</f>
        <v/>
      </c>
      <c r="U738" s="33">
        <f>$J738*(1+$K738)^(5-1)*(1-$L738)*(1-$M738)+$O738</f>
        <v/>
      </c>
      <c r="V738" s="33">
        <f>P738+NPV($N738,Q738:U738)</f>
        <v/>
      </c>
      <c r="W738" s="32">
        <f>IFERROR(IRR(P738:U738,0.1),"")</f>
        <v/>
      </c>
    </row>
    <row r="739">
      <c r="A739" s="14" t="n">
        <v>735</v>
      </c>
      <c r="B739" s="30">
        <f>RAND()*(1-2E-6)+1E-6</f>
        <v/>
      </c>
      <c r="C739" s="30">
        <f>RAND()*(1-2E-6)+1E-6</f>
        <v/>
      </c>
      <c r="D739" s="30">
        <f>RAND()*(1-2E-6)+1E-6</f>
        <v/>
      </c>
      <c r="E739" s="30">
        <f>RAND()*(1-2E-6)+1E-6</f>
        <v/>
      </c>
      <c r="F739" s="30">
        <f>RAND()*(1-2E-6)+1E-6</f>
        <v/>
      </c>
      <c r="G739" s="30">
        <f>RAND()*(1-2E-6)+1E-6</f>
        <v/>
      </c>
      <c r="H739" s="30">
        <f>RAND()*(1-2E-6)+1E-6</f>
        <v/>
      </c>
      <c r="I739" s="31">
        <f>MIN(IF(Supuestos!$H$5="",1E+99,Supuestos!$H$5),MAX(IF(Supuestos!$G$5="",-1E+99,Supuestos!$G$5),IF(Supuestos!$C$5="Normal",NORMINV(B739,Supuestos!$D$5,Supuestos!$E$5),IF(Supuestos!$C$5="Triangular",IF(B739&lt;(Supuestos!$E$5-Supuestos!$D$5)/(Supuestos!$F$5-Supuestos!$D$5),Supuestos!$D$5+SQRT(B739*(Supuestos!$F$5-Supuestos!$D$5)*(Supuestos!$E$5-Supuestos!$D$5)),Supuestos!$F$5-SQRT((1-B739)*(Supuestos!$F$5-Supuestos!$D$5)*(Supuestos!$F$5-Supuestos!$E$5))),IF(Supuestos!$C$5="Uniforme",Supuestos!$D$5+B739*(Supuestos!$E$5-Supuestos!$D$5),IF(Supuestos!$C$5="Lognormal",LOGINV(B739,LN(Supuestos!$D$5)-LN(1+Supuestos!$E$5^2/Supuestos!$D$5^2)/2,SQRT(LN(1+Supuestos!$E$5^2/Supuestos!$D$5^2))),Supuestos!$D$5))))))</f>
        <v/>
      </c>
      <c r="J739" s="31">
        <f>MIN(IF(Supuestos!$H$6="",1E+99,Supuestos!$H$6),MAX(IF(Supuestos!$G$6="",-1E+99,Supuestos!$G$6),IF(Supuestos!$C$6="Normal",NORMINV(C739,Supuestos!$D$6,Supuestos!$E$6),IF(Supuestos!$C$6="Triangular",IF(C739&lt;(Supuestos!$E$6-Supuestos!$D$6)/(Supuestos!$F$6-Supuestos!$D$6),Supuestos!$D$6+SQRT(C739*(Supuestos!$F$6-Supuestos!$D$6)*(Supuestos!$E$6-Supuestos!$D$6)),Supuestos!$F$6-SQRT((1-C739)*(Supuestos!$F$6-Supuestos!$D$6)*(Supuestos!$F$6-Supuestos!$E$6))),IF(Supuestos!$C$6="Uniforme",Supuestos!$D$6+C739*(Supuestos!$E$6-Supuestos!$D$6),IF(Supuestos!$C$6="Lognormal",LOGINV(C739,LN(Supuestos!$D$6)-LN(1+Supuestos!$E$6^2/Supuestos!$D$6^2)/2,SQRT(LN(1+Supuestos!$E$6^2/Supuestos!$D$6^2))),Supuestos!$D$6))))))</f>
        <v/>
      </c>
      <c r="K739" s="32">
        <f>MIN(IF(Supuestos!$H$7="",1E+99,Supuestos!$H$7),MAX(IF(Supuestos!$G$7="",-1E+99,Supuestos!$G$7),IF(Supuestos!$C$7="Normal",NORMINV(D739,Supuestos!$D$7,Supuestos!$E$7),IF(Supuestos!$C$7="Triangular",IF(D739&lt;(Supuestos!$E$7-Supuestos!$D$7)/(Supuestos!$F$7-Supuestos!$D$7),Supuestos!$D$7+SQRT(D739*(Supuestos!$F$7-Supuestos!$D$7)*(Supuestos!$E$7-Supuestos!$D$7)),Supuestos!$F$7-SQRT((1-D739)*(Supuestos!$F$7-Supuestos!$D$7)*(Supuestos!$F$7-Supuestos!$E$7))),IF(Supuestos!$C$7="Uniforme",Supuestos!$D$7+D739*(Supuestos!$E$7-Supuestos!$D$7),IF(Supuestos!$C$7="Lognormal",LOGINV(D739,LN(Supuestos!$D$7)-LN(1+Supuestos!$E$7^2/Supuestos!$D$7^2)/2,SQRT(LN(1+Supuestos!$E$7^2/Supuestos!$D$7^2))),Supuestos!$D$7))))))</f>
        <v/>
      </c>
      <c r="L739" s="32">
        <f>MIN(IF(Supuestos!$H$8="",1E+99,Supuestos!$H$8),MAX(IF(Supuestos!$G$8="",-1E+99,Supuestos!$G$8),IF(Supuestos!$C$8="Normal",NORMINV(E739,Supuestos!$D$8,Supuestos!$E$8),IF(Supuestos!$C$8="Triangular",IF(E739&lt;(Supuestos!$E$8-Supuestos!$D$8)/(Supuestos!$F$8-Supuestos!$D$8),Supuestos!$D$8+SQRT(E739*(Supuestos!$F$8-Supuestos!$D$8)*(Supuestos!$E$8-Supuestos!$D$8)),Supuestos!$F$8-SQRT((1-E739)*(Supuestos!$F$8-Supuestos!$D$8)*(Supuestos!$F$8-Supuestos!$E$8))),IF(Supuestos!$C$8="Uniforme",Supuestos!$D$8+E739*(Supuestos!$E$8-Supuestos!$D$8),IF(Supuestos!$C$8="Lognormal",LOGINV(E739,LN(Supuestos!$D$8)-LN(1+Supuestos!$E$8^2/Supuestos!$D$8^2)/2,SQRT(LN(1+Supuestos!$E$8^2/Supuestos!$D$8^2))),Supuestos!$D$8))))))</f>
        <v/>
      </c>
      <c r="M739" s="32">
        <f>MIN(IF(Supuestos!$H$9="",1E+99,Supuestos!$H$9),MAX(IF(Supuestos!$G$9="",-1E+99,Supuestos!$G$9),IF(Supuestos!$C$9="Normal",NORMINV(F739,Supuestos!$D$9,Supuestos!$E$9),IF(Supuestos!$C$9="Triangular",IF(F739&lt;(Supuestos!$E$9-Supuestos!$D$9)/(Supuestos!$F$9-Supuestos!$D$9),Supuestos!$D$9+SQRT(F739*(Supuestos!$F$9-Supuestos!$D$9)*(Supuestos!$E$9-Supuestos!$D$9)),Supuestos!$F$9-SQRT((1-F739)*(Supuestos!$F$9-Supuestos!$D$9)*(Supuestos!$F$9-Supuestos!$E$9))),IF(Supuestos!$C$9="Uniforme",Supuestos!$D$9+F739*(Supuestos!$E$9-Supuestos!$D$9),IF(Supuestos!$C$9="Lognormal",LOGINV(F739,LN(Supuestos!$D$9)-LN(1+Supuestos!$E$9^2/Supuestos!$D$9^2)/2,SQRT(LN(1+Supuestos!$E$9^2/Supuestos!$D$9^2))),Supuestos!$D$9))))))</f>
        <v/>
      </c>
      <c r="N739" s="32">
        <f>MIN(IF(Supuestos!$H$10="",1E+99,Supuestos!$H$10),MAX(IF(Supuestos!$G$10="",-1E+99,Supuestos!$G$10),IF(Supuestos!$C$10="Normal",NORMINV(G739,Supuestos!$D$10,Supuestos!$E$10),IF(Supuestos!$C$10="Triangular",IF(G739&lt;(Supuestos!$E$10-Supuestos!$D$10)/(Supuestos!$F$10-Supuestos!$D$10),Supuestos!$D$10+SQRT(G739*(Supuestos!$F$10-Supuestos!$D$10)*(Supuestos!$E$10-Supuestos!$D$10)),Supuestos!$F$10-SQRT((1-G739)*(Supuestos!$F$10-Supuestos!$D$10)*(Supuestos!$F$10-Supuestos!$E$10))),IF(Supuestos!$C$10="Uniforme",Supuestos!$D$10+G739*(Supuestos!$E$10-Supuestos!$D$10),IF(Supuestos!$C$10="Lognormal",LOGINV(G739,LN(Supuestos!$D$10)-LN(1+Supuestos!$E$10^2/Supuestos!$D$10^2)/2,SQRT(LN(1+Supuestos!$E$10^2/Supuestos!$D$10^2))),Supuestos!$D$10))))))</f>
        <v/>
      </c>
      <c r="O739" s="31">
        <f>MIN(IF(Supuestos!$H$11="",1E+99,Supuestos!$H$11),MAX(IF(Supuestos!$G$11="",-1E+99,Supuestos!$G$11),IF(Supuestos!$C$11="Normal",NORMINV(H739,Supuestos!$D$11,Supuestos!$E$11),IF(Supuestos!$C$11="Triangular",IF(H739&lt;(Supuestos!$E$11-Supuestos!$D$11)/(Supuestos!$F$11-Supuestos!$D$11),Supuestos!$D$11+SQRT(H739*(Supuestos!$F$11-Supuestos!$D$11)*(Supuestos!$E$11-Supuestos!$D$11)),Supuestos!$F$11-SQRT((1-H739)*(Supuestos!$F$11-Supuestos!$D$11)*(Supuestos!$F$11-Supuestos!$E$11))),IF(Supuestos!$C$11="Uniforme",Supuestos!$D$11+H739*(Supuestos!$E$11-Supuestos!$D$11),IF(Supuestos!$C$11="Lognormal",LOGINV(H739,LN(Supuestos!$D$11)-LN(1+Supuestos!$E$11^2/Supuestos!$D$11^2)/2,SQRT(LN(1+Supuestos!$E$11^2/Supuestos!$D$11^2))),Supuestos!$D$11))))))</f>
        <v/>
      </c>
      <c r="P739" s="33">
        <f>-I739</f>
        <v/>
      </c>
      <c r="Q739" s="33">
        <f>$J739*(1+$K739)^(1-1)*(1-$L739)*(1-$M739)</f>
        <v/>
      </c>
      <c r="R739" s="33">
        <f>$J739*(1+$K739)^(2-1)*(1-$L739)*(1-$M739)</f>
        <v/>
      </c>
      <c r="S739" s="33">
        <f>$J739*(1+$K739)^(3-1)*(1-$L739)*(1-$M739)</f>
        <v/>
      </c>
      <c r="T739" s="33">
        <f>$J739*(1+$K739)^(4-1)*(1-$L739)*(1-$M739)</f>
        <v/>
      </c>
      <c r="U739" s="33">
        <f>$J739*(1+$K739)^(5-1)*(1-$L739)*(1-$M739)+$O739</f>
        <v/>
      </c>
      <c r="V739" s="33">
        <f>P739+NPV($N739,Q739:U739)</f>
        <v/>
      </c>
      <c r="W739" s="32">
        <f>IFERROR(IRR(P739:U739,0.1),"")</f>
        <v/>
      </c>
    </row>
    <row r="740">
      <c r="A740" s="14" t="n">
        <v>736</v>
      </c>
      <c r="B740" s="30">
        <f>RAND()*(1-2E-6)+1E-6</f>
        <v/>
      </c>
      <c r="C740" s="30">
        <f>RAND()*(1-2E-6)+1E-6</f>
        <v/>
      </c>
      <c r="D740" s="30">
        <f>RAND()*(1-2E-6)+1E-6</f>
        <v/>
      </c>
      <c r="E740" s="30">
        <f>RAND()*(1-2E-6)+1E-6</f>
        <v/>
      </c>
      <c r="F740" s="30">
        <f>RAND()*(1-2E-6)+1E-6</f>
        <v/>
      </c>
      <c r="G740" s="30">
        <f>RAND()*(1-2E-6)+1E-6</f>
        <v/>
      </c>
      <c r="H740" s="30">
        <f>RAND()*(1-2E-6)+1E-6</f>
        <v/>
      </c>
      <c r="I740" s="31">
        <f>MIN(IF(Supuestos!$H$5="",1E+99,Supuestos!$H$5),MAX(IF(Supuestos!$G$5="",-1E+99,Supuestos!$G$5),IF(Supuestos!$C$5="Normal",NORMINV(B740,Supuestos!$D$5,Supuestos!$E$5),IF(Supuestos!$C$5="Triangular",IF(B740&lt;(Supuestos!$E$5-Supuestos!$D$5)/(Supuestos!$F$5-Supuestos!$D$5),Supuestos!$D$5+SQRT(B740*(Supuestos!$F$5-Supuestos!$D$5)*(Supuestos!$E$5-Supuestos!$D$5)),Supuestos!$F$5-SQRT((1-B740)*(Supuestos!$F$5-Supuestos!$D$5)*(Supuestos!$F$5-Supuestos!$E$5))),IF(Supuestos!$C$5="Uniforme",Supuestos!$D$5+B740*(Supuestos!$E$5-Supuestos!$D$5),IF(Supuestos!$C$5="Lognormal",LOGINV(B740,LN(Supuestos!$D$5)-LN(1+Supuestos!$E$5^2/Supuestos!$D$5^2)/2,SQRT(LN(1+Supuestos!$E$5^2/Supuestos!$D$5^2))),Supuestos!$D$5))))))</f>
        <v/>
      </c>
      <c r="J740" s="31">
        <f>MIN(IF(Supuestos!$H$6="",1E+99,Supuestos!$H$6),MAX(IF(Supuestos!$G$6="",-1E+99,Supuestos!$G$6),IF(Supuestos!$C$6="Normal",NORMINV(C740,Supuestos!$D$6,Supuestos!$E$6),IF(Supuestos!$C$6="Triangular",IF(C740&lt;(Supuestos!$E$6-Supuestos!$D$6)/(Supuestos!$F$6-Supuestos!$D$6),Supuestos!$D$6+SQRT(C740*(Supuestos!$F$6-Supuestos!$D$6)*(Supuestos!$E$6-Supuestos!$D$6)),Supuestos!$F$6-SQRT((1-C740)*(Supuestos!$F$6-Supuestos!$D$6)*(Supuestos!$F$6-Supuestos!$E$6))),IF(Supuestos!$C$6="Uniforme",Supuestos!$D$6+C740*(Supuestos!$E$6-Supuestos!$D$6),IF(Supuestos!$C$6="Lognormal",LOGINV(C740,LN(Supuestos!$D$6)-LN(1+Supuestos!$E$6^2/Supuestos!$D$6^2)/2,SQRT(LN(1+Supuestos!$E$6^2/Supuestos!$D$6^2))),Supuestos!$D$6))))))</f>
        <v/>
      </c>
      <c r="K740" s="32">
        <f>MIN(IF(Supuestos!$H$7="",1E+99,Supuestos!$H$7),MAX(IF(Supuestos!$G$7="",-1E+99,Supuestos!$G$7),IF(Supuestos!$C$7="Normal",NORMINV(D740,Supuestos!$D$7,Supuestos!$E$7),IF(Supuestos!$C$7="Triangular",IF(D740&lt;(Supuestos!$E$7-Supuestos!$D$7)/(Supuestos!$F$7-Supuestos!$D$7),Supuestos!$D$7+SQRT(D740*(Supuestos!$F$7-Supuestos!$D$7)*(Supuestos!$E$7-Supuestos!$D$7)),Supuestos!$F$7-SQRT((1-D740)*(Supuestos!$F$7-Supuestos!$D$7)*(Supuestos!$F$7-Supuestos!$E$7))),IF(Supuestos!$C$7="Uniforme",Supuestos!$D$7+D740*(Supuestos!$E$7-Supuestos!$D$7),IF(Supuestos!$C$7="Lognormal",LOGINV(D740,LN(Supuestos!$D$7)-LN(1+Supuestos!$E$7^2/Supuestos!$D$7^2)/2,SQRT(LN(1+Supuestos!$E$7^2/Supuestos!$D$7^2))),Supuestos!$D$7))))))</f>
        <v/>
      </c>
      <c r="L740" s="32">
        <f>MIN(IF(Supuestos!$H$8="",1E+99,Supuestos!$H$8),MAX(IF(Supuestos!$G$8="",-1E+99,Supuestos!$G$8),IF(Supuestos!$C$8="Normal",NORMINV(E740,Supuestos!$D$8,Supuestos!$E$8),IF(Supuestos!$C$8="Triangular",IF(E740&lt;(Supuestos!$E$8-Supuestos!$D$8)/(Supuestos!$F$8-Supuestos!$D$8),Supuestos!$D$8+SQRT(E740*(Supuestos!$F$8-Supuestos!$D$8)*(Supuestos!$E$8-Supuestos!$D$8)),Supuestos!$F$8-SQRT((1-E740)*(Supuestos!$F$8-Supuestos!$D$8)*(Supuestos!$F$8-Supuestos!$E$8))),IF(Supuestos!$C$8="Uniforme",Supuestos!$D$8+E740*(Supuestos!$E$8-Supuestos!$D$8),IF(Supuestos!$C$8="Lognormal",LOGINV(E740,LN(Supuestos!$D$8)-LN(1+Supuestos!$E$8^2/Supuestos!$D$8^2)/2,SQRT(LN(1+Supuestos!$E$8^2/Supuestos!$D$8^2))),Supuestos!$D$8))))))</f>
        <v/>
      </c>
      <c r="M740" s="32">
        <f>MIN(IF(Supuestos!$H$9="",1E+99,Supuestos!$H$9),MAX(IF(Supuestos!$G$9="",-1E+99,Supuestos!$G$9),IF(Supuestos!$C$9="Normal",NORMINV(F740,Supuestos!$D$9,Supuestos!$E$9),IF(Supuestos!$C$9="Triangular",IF(F740&lt;(Supuestos!$E$9-Supuestos!$D$9)/(Supuestos!$F$9-Supuestos!$D$9),Supuestos!$D$9+SQRT(F740*(Supuestos!$F$9-Supuestos!$D$9)*(Supuestos!$E$9-Supuestos!$D$9)),Supuestos!$F$9-SQRT((1-F740)*(Supuestos!$F$9-Supuestos!$D$9)*(Supuestos!$F$9-Supuestos!$E$9))),IF(Supuestos!$C$9="Uniforme",Supuestos!$D$9+F740*(Supuestos!$E$9-Supuestos!$D$9),IF(Supuestos!$C$9="Lognormal",LOGINV(F740,LN(Supuestos!$D$9)-LN(1+Supuestos!$E$9^2/Supuestos!$D$9^2)/2,SQRT(LN(1+Supuestos!$E$9^2/Supuestos!$D$9^2))),Supuestos!$D$9))))))</f>
        <v/>
      </c>
      <c r="N740" s="32">
        <f>MIN(IF(Supuestos!$H$10="",1E+99,Supuestos!$H$10),MAX(IF(Supuestos!$G$10="",-1E+99,Supuestos!$G$10),IF(Supuestos!$C$10="Normal",NORMINV(G740,Supuestos!$D$10,Supuestos!$E$10),IF(Supuestos!$C$10="Triangular",IF(G740&lt;(Supuestos!$E$10-Supuestos!$D$10)/(Supuestos!$F$10-Supuestos!$D$10),Supuestos!$D$10+SQRT(G740*(Supuestos!$F$10-Supuestos!$D$10)*(Supuestos!$E$10-Supuestos!$D$10)),Supuestos!$F$10-SQRT((1-G740)*(Supuestos!$F$10-Supuestos!$D$10)*(Supuestos!$F$10-Supuestos!$E$10))),IF(Supuestos!$C$10="Uniforme",Supuestos!$D$10+G740*(Supuestos!$E$10-Supuestos!$D$10),IF(Supuestos!$C$10="Lognormal",LOGINV(G740,LN(Supuestos!$D$10)-LN(1+Supuestos!$E$10^2/Supuestos!$D$10^2)/2,SQRT(LN(1+Supuestos!$E$10^2/Supuestos!$D$10^2))),Supuestos!$D$10))))))</f>
        <v/>
      </c>
      <c r="O740" s="31">
        <f>MIN(IF(Supuestos!$H$11="",1E+99,Supuestos!$H$11),MAX(IF(Supuestos!$G$11="",-1E+99,Supuestos!$G$11),IF(Supuestos!$C$11="Normal",NORMINV(H740,Supuestos!$D$11,Supuestos!$E$11),IF(Supuestos!$C$11="Triangular",IF(H740&lt;(Supuestos!$E$11-Supuestos!$D$11)/(Supuestos!$F$11-Supuestos!$D$11),Supuestos!$D$11+SQRT(H740*(Supuestos!$F$11-Supuestos!$D$11)*(Supuestos!$E$11-Supuestos!$D$11)),Supuestos!$F$11-SQRT((1-H740)*(Supuestos!$F$11-Supuestos!$D$11)*(Supuestos!$F$11-Supuestos!$E$11))),IF(Supuestos!$C$11="Uniforme",Supuestos!$D$11+H740*(Supuestos!$E$11-Supuestos!$D$11),IF(Supuestos!$C$11="Lognormal",LOGINV(H740,LN(Supuestos!$D$11)-LN(1+Supuestos!$E$11^2/Supuestos!$D$11^2)/2,SQRT(LN(1+Supuestos!$E$11^2/Supuestos!$D$11^2))),Supuestos!$D$11))))))</f>
        <v/>
      </c>
      <c r="P740" s="33">
        <f>-I740</f>
        <v/>
      </c>
      <c r="Q740" s="33">
        <f>$J740*(1+$K740)^(1-1)*(1-$L740)*(1-$M740)</f>
        <v/>
      </c>
      <c r="R740" s="33">
        <f>$J740*(1+$K740)^(2-1)*(1-$L740)*(1-$M740)</f>
        <v/>
      </c>
      <c r="S740" s="33">
        <f>$J740*(1+$K740)^(3-1)*(1-$L740)*(1-$M740)</f>
        <v/>
      </c>
      <c r="T740" s="33">
        <f>$J740*(1+$K740)^(4-1)*(1-$L740)*(1-$M740)</f>
        <v/>
      </c>
      <c r="U740" s="33">
        <f>$J740*(1+$K740)^(5-1)*(1-$L740)*(1-$M740)+$O740</f>
        <v/>
      </c>
      <c r="V740" s="33">
        <f>P740+NPV($N740,Q740:U740)</f>
        <v/>
      </c>
      <c r="W740" s="32">
        <f>IFERROR(IRR(P740:U740,0.1),"")</f>
        <v/>
      </c>
    </row>
    <row r="741">
      <c r="A741" s="14" t="n">
        <v>737</v>
      </c>
      <c r="B741" s="30">
        <f>RAND()*(1-2E-6)+1E-6</f>
        <v/>
      </c>
      <c r="C741" s="30">
        <f>RAND()*(1-2E-6)+1E-6</f>
        <v/>
      </c>
      <c r="D741" s="30">
        <f>RAND()*(1-2E-6)+1E-6</f>
        <v/>
      </c>
      <c r="E741" s="30">
        <f>RAND()*(1-2E-6)+1E-6</f>
        <v/>
      </c>
      <c r="F741" s="30">
        <f>RAND()*(1-2E-6)+1E-6</f>
        <v/>
      </c>
      <c r="G741" s="30">
        <f>RAND()*(1-2E-6)+1E-6</f>
        <v/>
      </c>
      <c r="H741" s="30">
        <f>RAND()*(1-2E-6)+1E-6</f>
        <v/>
      </c>
      <c r="I741" s="31">
        <f>MIN(IF(Supuestos!$H$5="",1E+99,Supuestos!$H$5),MAX(IF(Supuestos!$G$5="",-1E+99,Supuestos!$G$5),IF(Supuestos!$C$5="Normal",NORMINV(B741,Supuestos!$D$5,Supuestos!$E$5),IF(Supuestos!$C$5="Triangular",IF(B741&lt;(Supuestos!$E$5-Supuestos!$D$5)/(Supuestos!$F$5-Supuestos!$D$5),Supuestos!$D$5+SQRT(B741*(Supuestos!$F$5-Supuestos!$D$5)*(Supuestos!$E$5-Supuestos!$D$5)),Supuestos!$F$5-SQRT((1-B741)*(Supuestos!$F$5-Supuestos!$D$5)*(Supuestos!$F$5-Supuestos!$E$5))),IF(Supuestos!$C$5="Uniforme",Supuestos!$D$5+B741*(Supuestos!$E$5-Supuestos!$D$5),IF(Supuestos!$C$5="Lognormal",LOGINV(B741,LN(Supuestos!$D$5)-LN(1+Supuestos!$E$5^2/Supuestos!$D$5^2)/2,SQRT(LN(1+Supuestos!$E$5^2/Supuestos!$D$5^2))),Supuestos!$D$5))))))</f>
        <v/>
      </c>
      <c r="J741" s="31">
        <f>MIN(IF(Supuestos!$H$6="",1E+99,Supuestos!$H$6),MAX(IF(Supuestos!$G$6="",-1E+99,Supuestos!$G$6),IF(Supuestos!$C$6="Normal",NORMINV(C741,Supuestos!$D$6,Supuestos!$E$6),IF(Supuestos!$C$6="Triangular",IF(C741&lt;(Supuestos!$E$6-Supuestos!$D$6)/(Supuestos!$F$6-Supuestos!$D$6),Supuestos!$D$6+SQRT(C741*(Supuestos!$F$6-Supuestos!$D$6)*(Supuestos!$E$6-Supuestos!$D$6)),Supuestos!$F$6-SQRT((1-C741)*(Supuestos!$F$6-Supuestos!$D$6)*(Supuestos!$F$6-Supuestos!$E$6))),IF(Supuestos!$C$6="Uniforme",Supuestos!$D$6+C741*(Supuestos!$E$6-Supuestos!$D$6),IF(Supuestos!$C$6="Lognormal",LOGINV(C741,LN(Supuestos!$D$6)-LN(1+Supuestos!$E$6^2/Supuestos!$D$6^2)/2,SQRT(LN(1+Supuestos!$E$6^2/Supuestos!$D$6^2))),Supuestos!$D$6))))))</f>
        <v/>
      </c>
      <c r="K741" s="32">
        <f>MIN(IF(Supuestos!$H$7="",1E+99,Supuestos!$H$7),MAX(IF(Supuestos!$G$7="",-1E+99,Supuestos!$G$7),IF(Supuestos!$C$7="Normal",NORMINV(D741,Supuestos!$D$7,Supuestos!$E$7),IF(Supuestos!$C$7="Triangular",IF(D741&lt;(Supuestos!$E$7-Supuestos!$D$7)/(Supuestos!$F$7-Supuestos!$D$7),Supuestos!$D$7+SQRT(D741*(Supuestos!$F$7-Supuestos!$D$7)*(Supuestos!$E$7-Supuestos!$D$7)),Supuestos!$F$7-SQRT((1-D741)*(Supuestos!$F$7-Supuestos!$D$7)*(Supuestos!$F$7-Supuestos!$E$7))),IF(Supuestos!$C$7="Uniforme",Supuestos!$D$7+D741*(Supuestos!$E$7-Supuestos!$D$7),IF(Supuestos!$C$7="Lognormal",LOGINV(D741,LN(Supuestos!$D$7)-LN(1+Supuestos!$E$7^2/Supuestos!$D$7^2)/2,SQRT(LN(1+Supuestos!$E$7^2/Supuestos!$D$7^2))),Supuestos!$D$7))))))</f>
        <v/>
      </c>
      <c r="L741" s="32">
        <f>MIN(IF(Supuestos!$H$8="",1E+99,Supuestos!$H$8),MAX(IF(Supuestos!$G$8="",-1E+99,Supuestos!$G$8),IF(Supuestos!$C$8="Normal",NORMINV(E741,Supuestos!$D$8,Supuestos!$E$8),IF(Supuestos!$C$8="Triangular",IF(E741&lt;(Supuestos!$E$8-Supuestos!$D$8)/(Supuestos!$F$8-Supuestos!$D$8),Supuestos!$D$8+SQRT(E741*(Supuestos!$F$8-Supuestos!$D$8)*(Supuestos!$E$8-Supuestos!$D$8)),Supuestos!$F$8-SQRT((1-E741)*(Supuestos!$F$8-Supuestos!$D$8)*(Supuestos!$F$8-Supuestos!$E$8))),IF(Supuestos!$C$8="Uniforme",Supuestos!$D$8+E741*(Supuestos!$E$8-Supuestos!$D$8),IF(Supuestos!$C$8="Lognormal",LOGINV(E741,LN(Supuestos!$D$8)-LN(1+Supuestos!$E$8^2/Supuestos!$D$8^2)/2,SQRT(LN(1+Supuestos!$E$8^2/Supuestos!$D$8^2))),Supuestos!$D$8))))))</f>
        <v/>
      </c>
      <c r="M741" s="32">
        <f>MIN(IF(Supuestos!$H$9="",1E+99,Supuestos!$H$9),MAX(IF(Supuestos!$G$9="",-1E+99,Supuestos!$G$9),IF(Supuestos!$C$9="Normal",NORMINV(F741,Supuestos!$D$9,Supuestos!$E$9),IF(Supuestos!$C$9="Triangular",IF(F741&lt;(Supuestos!$E$9-Supuestos!$D$9)/(Supuestos!$F$9-Supuestos!$D$9),Supuestos!$D$9+SQRT(F741*(Supuestos!$F$9-Supuestos!$D$9)*(Supuestos!$E$9-Supuestos!$D$9)),Supuestos!$F$9-SQRT((1-F741)*(Supuestos!$F$9-Supuestos!$D$9)*(Supuestos!$F$9-Supuestos!$E$9))),IF(Supuestos!$C$9="Uniforme",Supuestos!$D$9+F741*(Supuestos!$E$9-Supuestos!$D$9),IF(Supuestos!$C$9="Lognormal",LOGINV(F741,LN(Supuestos!$D$9)-LN(1+Supuestos!$E$9^2/Supuestos!$D$9^2)/2,SQRT(LN(1+Supuestos!$E$9^2/Supuestos!$D$9^2))),Supuestos!$D$9))))))</f>
        <v/>
      </c>
      <c r="N741" s="32">
        <f>MIN(IF(Supuestos!$H$10="",1E+99,Supuestos!$H$10),MAX(IF(Supuestos!$G$10="",-1E+99,Supuestos!$G$10),IF(Supuestos!$C$10="Normal",NORMINV(G741,Supuestos!$D$10,Supuestos!$E$10),IF(Supuestos!$C$10="Triangular",IF(G741&lt;(Supuestos!$E$10-Supuestos!$D$10)/(Supuestos!$F$10-Supuestos!$D$10),Supuestos!$D$10+SQRT(G741*(Supuestos!$F$10-Supuestos!$D$10)*(Supuestos!$E$10-Supuestos!$D$10)),Supuestos!$F$10-SQRT((1-G741)*(Supuestos!$F$10-Supuestos!$D$10)*(Supuestos!$F$10-Supuestos!$E$10))),IF(Supuestos!$C$10="Uniforme",Supuestos!$D$10+G741*(Supuestos!$E$10-Supuestos!$D$10),IF(Supuestos!$C$10="Lognormal",LOGINV(G741,LN(Supuestos!$D$10)-LN(1+Supuestos!$E$10^2/Supuestos!$D$10^2)/2,SQRT(LN(1+Supuestos!$E$10^2/Supuestos!$D$10^2))),Supuestos!$D$10))))))</f>
        <v/>
      </c>
      <c r="O741" s="31">
        <f>MIN(IF(Supuestos!$H$11="",1E+99,Supuestos!$H$11),MAX(IF(Supuestos!$G$11="",-1E+99,Supuestos!$G$11),IF(Supuestos!$C$11="Normal",NORMINV(H741,Supuestos!$D$11,Supuestos!$E$11),IF(Supuestos!$C$11="Triangular",IF(H741&lt;(Supuestos!$E$11-Supuestos!$D$11)/(Supuestos!$F$11-Supuestos!$D$11),Supuestos!$D$11+SQRT(H741*(Supuestos!$F$11-Supuestos!$D$11)*(Supuestos!$E$11-Supuestos!$D$11)),Supuestos!$F$11-SQRT((1-H741)*(Supuestos!$F$11-Supuestos!$D$11)*(Supuestos!$F$11-Supuestos!$E$11))),IF(Supuestos!$C$11="Uniforme",Supuestos!$D$11+H741*(Supuestos!$E$11-Supuestos!$D$11),IF(Supuestos!$C$11="Lognormal",LOGINV(H741,LN(Supuestos!$D$11)-LN(1+Supuestos!$E$11^2/Supuestos!$D$11^2)/2,SQRT(LN(1+Supuestos!$E$11^2/Supuestos!$D$11^2))),Supuestos!$D$11))))))</f>
        <v/>
      </c>
      <c r="P741" s="33">
        <f>-I741</f>
        <v/>
      </c>
      <c r="Q741" s="33">
        <f>$J741*(1+$K741)^(1-1)*(1-$L741)*(1-$M741)</f>
        <v/>
      </c>
      <c r="R741" s="33">
        <f>$J741*(1+$K741)^(2-1)*(1-$L741)*(1-$M741)</f>
        <v/>
      </c>
      <c r="S741" s="33">
        <f>$J741*(1+$K741)^(3-1)*(1-$L741)*(1-$M741)</f>
        <v/>
      </c>
      <c r="T741" s="33">
        <f>$J741*(1+$K741)^(4-1)*(1-$L741)*(1-$M741)</f>
        <v/>
      </c>
      <c r="U741" s="33">
        <f>$J741*(1+$K741)^(5-1)*(1-$L741)*(1-$M741)+$O741</f>
        <v/>
      </c>
      <c r="V741" s="33">
        <f>P741+NPV($N741,Q741:U741)</f>
        <v/>
      </c>
      <c r="W741" s="32">
        <f>IFERROR(IRR(P741:U741,0.1),"")</f>
        <v/>
      </c>
    </row>
    <row r="742">
      <c r="A742" s="14" t="n">
        <v>738</v>
      </c>
      <c r="B742" s="30">
        <f>RAND()*(1-2E-6)+1E-6</f>
        <v/>
      </c>
      <c r="C742" s="30">
        <f>RAND()*(1-2E-6)+1E-6</f>
        <v/>
      </c>
      <c r="D742" s="30">
        <f>RAND()*(1-2E-6)+1E-6</f>
        <v/>
      </c>
      <c r="E742" s="30">
        <f>RAND()*(1-2E-6)+1E-6</f>
        <v/>
      </c>
      <c r="F742" s="30">
        <f>RAND()*(1-2E-6)+1E-6</f>
        <v/>
      </c>
      <c r="G742" s="30">
        <f>RAND()*(1-2E-6)+1E-6</f>
        <v/>
      </c>
      <c r="H742" s="30">
        <f>RAND()*(1-2E-6)+1E-6</f>
        <v/>
      </c>
      <c r="I742" s="31">
        <f>MIN(IF(Supuestos!$H$5="",1E+99,Supuestos!$H$5),MAX(IF(Supuestos!$G$5="",-1E+99,Supuestos!$G$5),IF(Supuestos!$C$5="Normal",NORMINV(B742,Supuestos!$D$5,Supuestos!$E$5),IF(Supuestos!$C$5="Triangular",IF(B742&lt;(Supuestos!$E$5-Supuestos!$D$5)/(Supuestos!$F$5-Supuestos!$D$5),Supuestos!$D$5+SQRT(B742*(Supuestos!$F$5-Supuestos!$D$5)*(Supuestos!$E$5-Supuestos!$D$5)),Supuestos!$F$5-SQRT((1-B742)*(Supuestos!$F$5-Supuestos!$D$5)*(Supuestos!$F$5-Supuestos!$E$5))),IF(Supuestos!$C$5="Uniforme",Supuestos!$D$5+B742*(Supuestos!$E$5-Supuestos!$D$5),IF(Supuestos!$C$5="Lognormal",LOGINV(B742,LN(Supuestos!$D$5)-LN(1+Supuestos!$E$5^2/Supuestos!$D$5^2)/2,SQRT(LN(1+Supuestos!$E$5^2/Supuestos!$D$5^2))),Supuestos!$D$5))))))</f>
        <v/>
      </c>
      <c r="J742" s="31">
        <f>MIN(IF(Supuestos!$H$6="",1E+99,Supuestos!$H$6),MAX(IF(Supuestos!$G$6="",-1E+99,Supuestos!$G$6),IF(Supuestos!$C$6="Normal",NORMINV(C742,Supuestos!$D$6,Supuestos!$E$6),IF(Supuestos!$C$6="Triangular",IF(C742&lt;(Supuestos!$E$6-Supuestos!$D$6)/(Supuestos!$F$6-Supuestos!$D$6),Supuestos!$D$6+SQRT(C742*(Supuestos!$F$6-Supuestos!$D$6)*(Supuestos!$E$6-Supuestos!$D$6)),Supuestos!$F$6-SQRT((1-C742)*(Supuestos!$F$6-Supuestos!$D$6)*(Supuestos!$F$6-Supuestos!$E$6))),IF(Supuestos!$C$6="Uniforme",Supuestos!$D$6+C742*(Supuestos!$E$6-Supuestos!$D$6),IF(Supuestos!$C$6="Lognormal",LOGINV(C742,LN(Supuestos!$D$6)-LN(1+Supuestos!$E$6^2/Supuestos!$D$6^2)/2,SQRT(LN(1+Supuestos!$E$6^2/Supuestos!$D$6^2))),Supuestos!$D$6))))))</f>
        <v/>
      </c>
      <c r="K742" s="32">
        <f>MIN(IF(Supuestos!$H$7="",1E+99,Supuestos!$H$7),MAX(IF(Supuestos!$G$7="",-1E+99,Supuestos!$G$7),IF(Supuestos!$C$7="Normal",NORMINV(D742,Supuestos!$D$7,Supuestos!$E$7),IF(Supuestos!$C$7="Triangular",IF(D742&lt;(Supuestos!$E$7-Supuestos!$D$7)/(Supuestos!$F$7-Supuestos!$D$7),Supuestos!$D$7+SQRT(D742*(Supuestos!$F$7-Supuestos!$D$7)*(Supuestos!$E$7-Supuestos!$D$7)),Supuestos!$F$7-SQRT((1-D742)*(Supuestos!$F$7-Supuestos!$D$7)*(Supuestos!$F$7-Supuestos!$E$7))),IF(Supuestos!$C$7="Uniforme",Supuestos!$D$7+D742*(Supuestos!$E$7-Supuestos!$D$7),IF(Supuestos!$C$7="Lognormal",LOGINV(D742,LN(Supuestos!$D$7)-LN(1+Supuestos!$E$7^2/Supuestos!$D$7^2)/2,SQRT(LN(1+Supuestos!$E$7^2/Supuestos!$D$7^2))),Supuestos!$D$7))))))</f>
        <v/>
      </c>
      <c r="L742" s="32">
        <f>MIN(IF(Supuestos!$H$8="",1E+99,Supuestos!$H$8),MAX(IF(Supuestos!$G$8="",-1E+99,Supuestos!$G$8),IF(Supuestos!$C$8="Normal",NORMINV(E742,Supuestos!$D$8,Supuestos!$E$8),IF(Supuestos!$C$8="Triangular",IF(E742&lt;(Supuestos!$E$8-Supuestos!$D$8)/(Supuestos!$F$8-Supuestos!$D$8),Supuestos!$D$8+SQRT(E742*(Supuestos!$F$8-Supuestos!$D$8)*(Supuestos!$E$8-Supuestos!$D$8)),Supuestos!$F$8-SQRT((1-E742)*(Supuestos!$F$8-Supuestos!$D$8)*(Supuestos!$F$8-Supuestos!$E$8))),IF(Supuestos!$C$8="Uniforme",Supuestos!$D$8+E742*(Supuestos!$E$8-Supuestos!$D$8),IF(Supuestos!$C$8="Lognormal",LOGINV(E742,LN(Supuestos!$D$8)-LN(1+Supuestos!$E$8^2/Supuestos!$D$8^2)/2,SQRT(LN(1+Supuestos!$E$8^2/Supuestos!$D$8^2))),Supuestos!$D$8))))))</f>
        <v/>
      </c>
      <c r="M742" s="32">
        <f>MIN(IF(Supuestos!$H$9="",1E+99,Supuestos!$H$9),MAX(IF(Supuestos!$G$9="",-1E+99,Supuestos!$G$9),IF(Supuestos!$C$9="Normal",NORMINV(F742,Supuestos!$D$9,Supuestos!$E$9),IF(Supuestos!$C$9="Triangular",IF(F742&lt;(Supuestos!$E$9-Supuestos!$D$9)/(Supuestos!$F$9-Supuestos!$D$9),Supuestos!$D$9+SQRT(F742*(Supuestos!$F$9-Supuestos!$D$9)*(Supuestos!$E$9-Supuestos!$D$9)),Supuestos!$F$9-SQRT((1-F742)*(Supuestos!$F$9-Supuestos!$D$9)*(Supuestos!$F$9-Supuestos!$E$9))),IF(Supuestos!$C$9="Uniforme",Supuestos!$D$9+F742*(Supuestos!$E$9-Supuestos!$D$9),IF(Supuestos!$C$9="Lognormal",LOGINV(F742,LN(Supuestos!$D$9)-LN(1+Supuestos!$E$9^2/Supuestos!$D$9^2)/2,SQRT(LN(1+Supuestos!$E$9^2/Supuestos!$D$9^2))),Supuestos!$D$9))))))</f>
        <v/>
      </c>
      <c r="N742" s="32">
        <f>MIN(IF(Supuestos!$H$10="",1E+99,Supuestos!$H$10),MAX(IF(Supuestos!$G$10="",-1E+99,Supuestos!$G$10),IF(Supuestos!$C$10="Normal",NORMINV(G742,Supuestos!$D$10,Supuestos!$E$10),IF(Supuestos!$C$10="Triangular",IF(G742&lt;(Supuestos!$E$10-Supuestos!$D$10)/(Supuestos!$F$10-Supuestos!$D$10),Supuestos!$D$10+SQRT(G742*(Supuestos!$F$10-Supuestos!$D$10)*(Supuestos!$E$10-Supuestos!$D$10)),Supuestos!$F$10-SQRT((1-G742)*(Supuestos!$F$10-Supuestos!$D$10)*(Supuestos!$F$10-Supuestos!$E$10))),IF(Supuestos!$C$10="Uniforme",Supuestos!$D$10+G742*(Supuestos!$E$10-Supuestos!$D$10),IF(Supuestos!$C$10="Lognormal",LOGINV(G742,LN(Supuestos!$D$10)-LN(1+Supuestos!$E$10^2/Supuestos!$D$10^2)/2,SQRT(LN(1+Supuestos!$E$10^2/Supuestos!$D$10^2))),Supuestos!$D$10))))))</f>
        <v/>
      </c>
      <c r="O742" s="31">
        <f>MIN(IF(Supuestos!$H$11="",1E+99,Supuestos!$H$11),MAX(IF(Supuestos!$G$11="",-1E+99,Supuestos!$G$11),IF(Supuestos!$C$11="Normal",NORMINV(H742,Supuestos!$D$11,Supuestos!$E$11),IF(Supuestos!$C$11="Triangular",IF(H742&lt;(Supuestos!$E$11-Supuestos!$D$11)/(Supuestos!$F$11-Supuestos!$D$11),Supuestos!$D$11+SQRT(H742*(Supuestos!$F$11-Supuestos!$D$11)*(Supuestos!$E$11-Supuestos!$D$11)),Supuestos!$F$11-SQRT((1-H742)*(Supuestos!$F$11-Supuestos!$D$11)*(Supuestos!$F$11-Supuestos!$E$11))),IF(Supuestos!$C$11="Uniforme",Supuestos!$D$11+H742*(Supuestos!$E$11-Supuestos!$D$11),IF(Supuestos!$C$11="Lognormal",LOGINV(H742,LN(Supuestos!$D$11)-LN(1+Supuestos!$E$11^2/Supuestos!$D$11^2)/2,SQRT(LN(1+Supuestos!$E$11^2/Supuestos!$D$11^2))),Supuestos!$D$11))))))</f>
        <v/>
      </c>
      <c r="P742" s="33">
        <f>-I742</f>
        <v/>
      </c>
      <c r="Q742" s="33">
        <f>$J742*(1+$K742)^(1-1)*(1-$L742)*(1-$M742)</f>
        <v/>
      </c>
      <c r="R742" s="33">
        <f>$J742*(1+$K742)^(2-1)*(1-$L742)*(1-$M742)</f>
        <v/>
      </c>
      <c r="S742" s="33">
        <f>$J742*(1+$K742)^(3-1)*(1-$L742)*(1-$M742)</f>
        <v/>
      </c>
      <c r="T742" s="33">
        <f>$J742*(1+$K742)^(4-1)*(1-$L742)*(1-$M742)</f>
        <v/>
      </c>
      <c r="U742" s="33">
        <f>$J742*(1+$K742)^(5-1)*(1-$L742)*(1-$M742)+$O742</f>
        <v/>
      </c>
      <c r="V742" s="33">
        <f>P742+NPV($N742,Q742:U742)</f>
        <v/>
      </c>
      <c r="W742" s="32">
        <f>IFERROR(IRR(P742:U742,0.1),"")</f>
        <v/>
      </c>
    </row>
    <row r="743">
      <c r="A743" s="14" t="n">
        <v>739</v>
      </c>
      <c r="B743" s="30">
        <f>RAND()*(1-2E-6)+1E-6</f>
        <v/>
      </c>
      <c r="C743" s="30">
        <f>RAND()*(1-2E-6)+1E-6</f>
        <v/>
      </c>
      <c r="D743" s="30">
        <f>RAND()*(1-2E-6)+1E-6</f>
        <v/>
      </c>
      <c r="E743" s="30">
        <f>RAND()*(1-2E-6)+1E-6</f>
        <v/>
      </c>
      <c r="F743" s="30">
        <f>RAND()*(1-2E-6)+1E-6</f>
        <v/>
      </c>
      <c r="G743" s="30">
        <f>RAND()*(1-2E-6)+1E-6</f>
        <v/>
      </c>
      <c r="H743" s="30">
        <f>RAND()*(1-2E-6)+1E-6</f>
        <v/>
      </c>
      <c r="I743" s="31">
        <f>MIN(IF(Supuestos!$H$5="",1E+99,Supuestos!$H$5),MAX(IF(Supuestos!$G$5="",-1E+99,Supuestos!$G$5),IF(Supuestos!$C$5="Normal",NORMINV(B743,Supuestos!$D$5,Supuestos!$E$5),IF(Supuestos!$C$5="Triangular",IF(B743&lt;(Supuestos!$E$5-Supuestos!$D$5)/(Supuestos!$F$5-Supuestos!$D$5),Supuestos!$D$5+SQRT(B743*(Supuestos!$F$5-Supuestos!$D$5)*(Supuestos!$E$5-Supuestos!$D$5)),Supuestos!$F$5-SQRT((1-B743)*(Supuestos!$F$5-Supuestos!$D$5)*(Supuestos!$F$5-Supuestos!$E$5))),IF(Supuestos!$C$5="Uniforme",Supuestos!$D$5+B743*(Supuestos!$E$5-Supuestos!$D$5),IF(Supuestos!$C$5="Lognormal",LOGINV(B743,LN(Supuestos!$D$5)-LN(1+Supuestos!$E$5^2/Supuestos!$D$5^2)/2,SQRT(LN(1+Supuestos!$E$5^2/Supuestos!$D$5^2))),Supuestos!$D$5))))))</f>
        <v/>
      </c>
      <c r="J743" s="31">
        <f>MIN(IF(Supuestos!$H$6="",1E+99,Supuestos!$H$6),MAX(IF(Supuestos!$G$6="",-1E+99,Supuestos!$G$6),IF(Supuestos!$C$6="Normal",NORMINV(C743,Supuestos!$D$6,Supuestos!$E$6),IF(Supuestos!$C$6="Triangular",IF(C743&lt;(Supuestos!$E$6-Supuestos!$D$6)/(Supuestos!$F$6-Supuestos!$D$6),Supuestos!$D$6+SQRT(C743*(Supuestos!$F$6-Supuestos!$D$6)*(Supuestos!$E$6-Supuestos!$D$6)),Supuestos!$F$6-SQRT((1-C743)*(Supuestos!$F$6-Supuestos!$D$6)*(Supuestos!$F$6-Supuestos!$E$6))),IF(Supuestos!$C$6="Uniforme",Supuestos!$D$6+C743*(Supuestos!$E$6-Supuestos!$D$6),IF(Supuestos!$C$6="Lognormal",LOGINV(C743,LN(Supuestos!$D$6)-LN(1+Supuestos!$E$6^2/Supuestos!$D$6^2)/2,SQRT(LN(1+Supuestos!$E$6^2/Supuestos!$D$6^2))),Supuestos!$D$6))))))</f>
        <v/>
      </c>
      <c r="K743" s="32">
        <f>MIN(IF(Supuestos!$H$7="",1E+99,Supuestos!$H$7),MAX(IF(Supuestos!$G$7="",-1E+99,Supuestos!$G$7),IF(Supuestos!$C$7="Normal",NORMINV(D743,Supuestos!$D$7,Supuestos!$E$7),IF(Supuestos!$C$7="Triangular",IF(D743&lt;(Supuestos!$E$7-Supuestos!$D$7)/(Supuestos!$F$7-Supuestos!$D$7),Supuestos!$D$7+SQRT(D743*(Supuestos!$F$7-Supuestos!$D$7)*(Supuestos!$E$7-Supuestos!$D$7)),Supuestos!$F$7-SQRT((1-D743)*(Supuestos!$F$7-Supuestos!$D$7)*(Supuestos!$F$7-Supuestos!$E$7))),IF(Supuestos!$C$7="Uniforme",Supuestos!$D$7+D743*(Supuestos!$E$7-Supuestos!$D$7),IF(Supuestos!$C$7="Lognormal",LOGINV(D743,LN(Supuestos!$D$7)-LN(1+Supuestos!$E$7^2/Supuestos!$D$7^2)/2,SQRT(LN(1+Supuestos!$E$7^2/Supuestos!$D$7^2))),Supuestos!$D$7))))))</f>
        <v/>
      </c>
      <c r="L743" s="32">
        <f>MIN(IF(Supuestos!$H$8="",1E+99,Supuestos!$H$8),MAX(IF(Supuestos!$G$8="",-1E+99,Supuestos!$G$8),IF(Supuestos!$C$8="Normal",NORMINV(E743,Supuestos!$D$8,Supuestos!$E$8),IF(Supuestos!$C$8="Triangular",IF(E743&lt;(Supuestos!$E$8-Supuestos!$D$8)/(Supuestos!$F$8-Supuestos!$D$8),Supuestos!$D$8+SQRT(E743*(Supuestos!$F$8-Supuestos!$D$8)*(Supuestos!$E$8-Supuestos!$D$8)),Supuestos!$F$8-SQRT((1-E743)*(Supuestos!$F$8-Supuestos!$D$8)*(Supuestos!$F$8-Supuestos!$E$8))),IF(Supuestos!$C$8="Uniforme",Supuestos!$D$8+E743*(Supuestos!$E$8-Supuestos!$D$8),IF(Supuestos!$C$8="Lognormal",LOGINV(E743,LN(Supuestos!$D$8)-LN(1+Supuestos!$E$8^2/Supuestos!$D$8^2)/2,SQRT(LN(1+Supuestos!$E$8^2/Supuestos!$D$8^2))),Supuestos!$D$8))))))</f>
        <v/>
      </c>
      <c r="M743" s="32">
        <f>MIN(IF(Supuestos!$H$9="",1E+99,Supuestos!$H$9),MAX(IF(Supuestos!$G$9="",-1E+99,Supuestos!$G$9),IF(Supuestos!$C$9="Normal",NORMINV(F743,Supuestos!$D$9,Supuestos!$E$9),IF(Supuestos!$C$9="Triangular",IF(F743&lt;(Supuestos!$E$9-Supuestos!$D$9)/(Supuestos!$F$9-Supuestos!$D$9),Supuestos!$D$9+SQRT(F743*(Supuestos!$F$9-Supuestos!$D$9)*(Supuestos!$E$9-Supuestos!$D$9)),Supuestos!$F$9-SQRT((1-F743)*(Supuestos!$F$9-Supuestos!$D$9)*(Supuestos!$F$9-Supuestos!$E$9))),IF(Supuestos!$C$9="Uniforme",Supuestos!$D$9+F743*(Supuestos!$E$9-Supuestos!$D$9),IF(Supuestos!$C$9="Lognormal",LOGINV(F743,LN(Supuestos!$D$9)-LN(1+Supuestos!$E$9^2/Supuestos!$D$9^2)/2,SQRT(LN(1+Supuestos!$E$9^2/Supuestos!$D$9^2))),Supuestos!$D$9))))))</f>
        <v/>
      </c>
      <c r="N743" s="32">
        <f>MIN(IF(Supuestos!$H$10="",1E+99,Supuestos!$H$10),MAX(IF(Supuestos!$G$10="",-1E+99,Supuestos!$G$10),IF(Supuestos!$C$10="Normal",NORMINV(G743,Supuestos!$D$10,Supuestos!$E$10),IF(Supuestos!$C$10="Triangular",IF(G743&lt;(Supuestos!$E$10-Supuestos!$D$10)/(Supuestos!$F$10-Supuestos!$D$10),Supuestos!$D$10+SQRT(G743*(Supuestos!$F$10-Supuestos!$D$10)*(Supuestos!$E$10-Supuestos!$D$10)),Supuestos!$F$10-SQRT((1-G743)*(Supuestos!$F$10-Supuestos!$D$10)*(Supuestos!$F$10-Supuestos!$E$10))),IF(Supuestos!$C$10="Uniforme",Supuestos!$D$10+G743*(Supuestos!$E$10-Supuestos!$D$10),IF(Supuestos!$C$10="Lognormal",LOGINV(G743,LN(Supuestos!$D$10)-LN(1+Supuestos!$E$10^2/Supuestos!$D$10^2)/2,SQRT(LN(1+Supuestos!$E$10^2/Supuestos!$D$10^2))),Supuestos!$D$10))))))</f>
        <v/>
      </c>
      <c r="O743" s="31">
        <f>MIN(IF(Supuestos!$H$11="",1E+99,Supuestos!$H$11),MAX(IF(Supuestos!$G$11="",-1E+99,Supuestos!$G$11),IF(Supuestos!$C$11="Normal",NORMINV(H743,Supuestos!$D$11,Supuestos!$E$11),IF(Supuestos!$C$11="Triangular",IF(H743&lt;(Supuestos!$E$11-Supuestos!$D$11)/(Supuestos!$F$11-Supuestos!$D$11),Supuestos!$D$11+SQRT(H743*(Supuestos!$F$11-Supuestos!$D$11)*(Supuestos!$E$11-Supuestos!$D$11)),Supuestos!$F$11-SQRT((1-H743)*(Supuestos!$F$11-Supuestos!$D$11)*(Supuestos!$F$11-Supuestos!$E$11))),IF(Supuestos!$C$11="Uniforme",Supuestos!$D$11+H743*(Supuestos!$E$11-Supuestos!$D$11),IF(Supuestos!$C$11="Lognormal",LOGINV(H743,LN(Supuestos!$D$11)-LN(1+Supuestos!$E$11^2/Supuestos!$D$11^2)/2,SQRT(LN(1+Supuestos!$E$11^2/Supuestos!$D$11^2))),Supuestos!$D$11))))))</f>
        <v/>
      </c>
      <c r="P743" s="33">
        <f>-I743</f>
        <v/>
      </c>
      <c r="Q743" s="33">
        <f>$J743*(1+$K743)^(1-1)*(1-$L743)*(1-$M743)</f>
        <v/>
      </c>
      <c r="R743" s="33">
        <f>$J743*(1+$K743)^(2-1)*(1-$L743)*(1-$M743)</f>
        <v/>
      </c>
      <c r="S743" s="33">
        <f>$J743*(1+$K743)^(3-1)*(1-$L743)*(1-$M743)</f>
        <v/>
      </c>
      <c r="T743" s="33">
        <f>$J743*(1+$K743)^(4-1)*(1-$L743)*(1-$M743)</f>
        <v/>
      </c>
      <c r="U743" s="33">
        <f>$J743*(1+$K743)^(5-1)*(1-$L743)*(1-$M743)+$O743</f>
        <v/>
      </c>
      <c r="V743" s="33">
        <f>P743+NPV($N743,Q743:U743)</f>
        <v/>
      </c>
      <c r="W743" s="32">
        <f>IFERROR(IRR(P743:U743,0.1),"")</f>
        <v/>
      </c>
    </row>
    <row r="744">
      <c r="A744" s="14" t="n">
        <v>740</v>
      </c>
      <c r="B744" s="30">
        <f>RAND()*(1-2E-6)+1E-6</f>
        <v/>
      </c>
      <c r="C744" s="30">
        <f>RAND()*(1-2E-6)+1E-6</f>
        <v/>
      </c>
      <c r="D744" s="30">
        <f>RAND()*(1-2E-6)+1E-6</f>
        <v/>
      </c>
      <c r="E744" s="30">
        <f>RAND()*(1-2E-6)+1E-6</f>
        <v/>
      </c>
      <c r="F744" s="30">
        <f>RAND()*(1-2E-6)+1E-6</f>
        <v/>
      </c>
      <c r="G744" s="30">
        <f>RAND()*(1-2E-6)+1E-6</f>
        <v/>
      </c>
      <c r="H744" s="30">
        <f>RAND()*(1-2E-6)+1E-6</f>
        <v/>
      </c>
      <c r="I744" s="31">
        <f>MIN(IF(Supuestos!$H$5="",1E+99,Supuestos!$H$5),MAX(IF(Supuestos!$G$5="",-1E+99,Supuestos!$G$5),IF(Supuestos!$C$5="Normal",NORMINV(B744,Supuestos!$D$5,Supuestos!$E$5),IF(Supuestos!$C$5="Triangular",IF(B744&lt;(Supuestos!$E$5-Supuestos!$D$5)/(Supuestos!$F$5-Supuestos!$D$5),Supuestos!$D$5+SQRT(B744*(Supuestos!$F$5-Supuestos!$D$5)*(Supuestos!$E$5-Supuestos!$D$5)),Supuestos!$F$5-SQRT((1-B744)*(Supuestos!$F$5-Supuestos!$D$5)*(Supuestos!$F$5-Supuestos!$E$5))),IF(Supuestos!$C$5="Uniforme",Supuestos!$D$5+B744*(Supuestos!$E$5-Supuestos!$D$5),IF(Supuestos!$C$5="Lognormal",LOGINV(B744,LN(Supuestos!$D$5)-LN(1+Supuestos!$E$5^2/Supuestos!$D$5^2)/2,SQRT(LN(1+Supuestos!$E$5^2/Supuestos!$D$5^2))),Supuestos!$D$5))))))</f>
        <v/>
      </c>
      <c r="J744" s="31">
        <f>MIN(IF(Supuestos!$H$6="",1E+99,Supuestos!$H$6),MAX(IF(Supuestos!$G$6="",-1E+99,Supuestos!$G$6),IF(Supuestos!$C$6="Normal",NORMINV(C744,Supuestos!$D$6,Supuestos!$E$6),IF(Supuestos!$C$6="Triangular",IF(C744&lt;(Supuestos!$E$6-Supuestos!$D$6)/(Supuestos!$F$6-Supuestos!$D$6),Supuestos!$D$6+SQRT(C744*(Supuestos!$F$6-Supuestos!$D$6)*(Supuestos!$E$6-Supuestos!$D$6)),Supuestos!$F$6-SQRT((1-C744)*(Supuestos!$F$6-Supuestos!$D$6)*(Supuestos!$F$6-Supuestos!$E$6))),IF(Supuestos!$C$6="Uniforme",Supuestos!$D$6+C744*(Supuestos!$E$6-Supuestos!$D$6),IF(Supuestos!$C$6="Lognormal",LOGINV(C744,LN(Supuestos!$D$6)-LN(1+Supuestos!$E$6^2/Supuestos!$D$6^2)/2,SQRT(LN(1+Supuestos!$E$6^2/Supuestos!$D$6^2))),Supuestos!$D$6))))))</f>
        <v/>
      </c>
      <c r="K744" s="32">
        <f>MIN(IF(Supuestos!$H$7="",1E+99,Supuestos!$H$7),MAX(IF(Supuestos!$G$7="",-1E+99,Supuestos!$G$7),IF(Supuestos!$C$7="Normal",NORMINV(D744,Supuestos!$D$7,Supuestos!$E$7),IF(Supuestos!$C$7="Triangular",IF(D744&lt;(Supuestos!$E$7-Supuestos!$D$7)/(Supuestos!$F$7-Supuestos!$D$7),Supuestos!$D$7+SQRT(D744*(Supuestos!$F$7-Supuestos!$D$7)*(Supuestos!$E$7-Supuestos!$D$7)),Supuestos!$F$7-SQRT((1-D744)*(Supuestos!$F$7-Supuestos!$D$7)*(Supuestos!$F$7-Supuestos!$E$7))),IF(Supuestos!$C$7="Uniforme",Supuestos!$D$7+D744*(Supuestos!$E$7-Supuestos!$D$7),IF(Supuestos!$C$7="Lognormal",LOGINV(D744,LN(Supuestos!$D$7)-LN(1+Supuestos!$E$7^2/Supuestos!$D$7^2)/2,SQRT(LN(1+Supuestos!$E$7^2/Supuestos!$D$7^2))),Supuestos!$D$7))))))</f>
        <v/>
      </c>
      <c r="L744" s="32">
        <f>MIN(IF(Supuestos!$H$8="",1E+99,Supuestos!$H$8),MAX(IF(Supuestos!$G$8="",-1E+99,Supuestos!$G$8),IF(Supuestos!$C$8="Normal",NORMINV(E744,Supuestos!$D$8,Supuestos!$E$8),IF(Supuestos!$C$8="Triangular",IF(E744&lt;(Supuestos!$E$8-Supuestos!$D$8)/(Supuestos!$F$8-Supuestos!$D$8),Supuestos!$D$8+SQRT(E744*(Supuestos!$F$8-Supuestos!$D$8)*(Supuestos!$E$8-Supuestos!$D$8)),Supuestos!$F$8-SQRT((1-E744)*(Supuestos!$F$8-Supuestos!$D$8)*(Supuestos!$F$8-Supuestos!$E$8))),IF(Supuestos!$C$8="Uniforme",Supuestos!$D$8+E744*(Supuestos!$E$8-Supuestos!$D$8),IF(Supuestos!$C$8="Lognormal",LOGINV(E744,LN(Supuestos!$D$8)-LN(1+Supuestos!$E$8^2/Supuestos!$D$8^2)/2,SQRT(LN(1+Supuestos!$E$8^2/Supuestos!$D$8^2))),Supuestos!$D$8))))))</f>
        <v/>
      </c>
      <c r="M744" s="32">
        <f>MIN(IF(Supuestos!$H$9="",1E+99,Supuestos!$H$9),MAX(IF(Supuestos!$G$9="",-1E+99,Supuestos!$G$9),IF(Supuestos!$C$9="Normal",NORMINV(F744,Supuestos!$D$9,Supuestos!$E$9),IF(Supuestos!$C$9="Triangular",IF(F744&lt;(Supuestos!$E$9-Supuestos!$D$9)/(Supuestos!$F$9-Supuestos!$D$9),Supuestos!$D$9+SQRT(F744*(Supuestos!$F$9-Supuestos!$D$9)*(Supuestos!$E$9-Supuestos!$D$9)),Supuestos!$F$9-SQRT((1-F744)*(Supuestos!$F$9-Supuestos!$D$9)*(Supuestos!$F$9-Supuestos!$E$9))),IF(Supuestos!$C$9="Uniforme",Supuestos!$D$9+F744*(Supuestos!$E$9-Supuestos!$D$9),IF(Supuestos!$C$9="Lognormal",LOGINV(F744,LN(Supuestos!$D$9)-LN(1+Supuestos!$E$9^2/Supuestos!$D$9^2)/2,SQRT(LN(1+Supuestos!$E$9^2/Supuestos!$D$9^2))),Supuestos!$D$9))))))</f>
        <v/>
      </c>
      <c r="N744" s="32">
        <f>MIN(IF(Supuestos!$H$10="",1E+99,Supuestos!$H$10),MAX(IF(Supuestos!$G$10="",-1E+99,Supuestos!$G$10),IF(Supuestos!$C$10="Normal",NORMINV(G744,Supuestos!$D$10,Supuestos!$E$10),IF(Supuestos!$C$10="Triangular",IF(G744&lt;(Supuestos!$E$10-Supuestos!$D$10)/(Supuestos!$F$10-Supuestos!$D$10),Supuestos!$D$10+SQRT(G744*(Supuestos!$F$10-Supuestos!$D$10)*(Supuestos!$E$10-Supuestos!$D$10)),Supuestos!$F$10-SQRT((1-G744)*(Supuestos!$F$10-Supuestos!$D$10)*(Supuestos!$F$10-Supuestos!$E$10))),IF(Supuestos!$C$10="Uniforme",Supuestos!$D$10+G744*(Supuestos!$E$10-Supuestos!$D$10),IF(Supuestos!$C$10="Lognormal",LOGINV(G744,LN(Supuestos!$D$10)-LN(1+Supuestos!$E$10^2/Supuestos!$D$10^2)/2,SQRT(LN(1+Supuestos!$E$10^2/Supuestos!$D$10^2))),Supuestos!$D$10))))))</f>
        <v/>
      </c>
      <c r="O744" s="31">
        <f>MIN(IF(Supuestos!$H$11="",1E+99,Supuestos!$H$11),MAX(IF(Supuestos!$G$11="",-1E+99,Supuestos!$G$11),IF(Supuestos!$C$11="Normal",NORMINV(H744,Supuestos!$D$11,Supuestos!$E$11),IF(Supuestos!$C$11="Triangular",IF(H744&lt;(Supuestos!$E$11-Supuestos!$D$11)/(Supuestos!$F$11-Supuestos!$D$11),Supuestos!$D$11+SQRT(H744*(Supuestos!$F$11-Supuestos!$D$11)*(Supuestos!$E$11-Supuestos!$D$11)),Supuestos!$F$11-SQRT((1-H744)*(Supuestos!$F$11-Supuestos!$D$11)*(Supuestos!$F$11-Supuestos!$E$11))),IF(Supuestos!$C$11="Uniforme",Supuestos!$D$11+H744*(Supuestos!$E$11-Supuestos!$D$11),IF(Supuestos!$C$11="Lognormal",LOGINV(H744,LN(Supuestos!$D$11)-LN(1+Supuestos!$E$11^2/Supuestos!$D$11^2)/2,SQRT(LN(1+Supuestos!$E$11^2/Supuestos!$D$11^2))),Supuestos!$D$11))))))</f>
        <v/>
      </c>
      <c r="P744" s="33">
        <f>-I744</f>
        <v/>
      </c>
      <c r="Q744" s="33">
        <f>$J744*(1+$K744)^(1-1)*(1-$L744)*(1-$M744)</f>
        <v/>
      </c>
      <c r="R744" s="33">
        <f>$J744*(1+$K744)^(2-1)*(1-$L744)*(1-$M744)</f>
        <v/>
      </c>
      <c r="S744" s="33">
        <f>$J744*(1+$K744)^(3-1)*(1-$L744)*(1-$M744)</f>
        <v/>
      </c>
      <c r="T744" s="33">
        <f>$J744*(1+$K744)^(4-1)*(1-$L744)*(1-$M744)</f>
        <v/>
      </c>
      <c r="U744" s="33">
        <f>$J744*(1+$K744)^(5-1)*(1-$L744)*(1-$M744)+$O744</f>
        <v/>
      </c>
      <c r="V744" s="33">
        <f>P744+NPV($N744,Q744:U744)</f>
        <v/>
      </c>
      <c r="W744" s="32">
        <f>IFERROR(IRR(P744:U744,0.1),"")</f>
        <v/>
      </c>
    </row>
    <row r="745">
      <c r="A745" s="14" t="n">
        <v>741</v>
      </c>
      <c r="B745" s="30">
        <f>RAND()*(1-2E-6)+1E-6</f>
        <v/>
      </c>
      <c r="C745" s="30">
        <f>RAND()*(1-2E-6)+1E-6</f>
        <v/>
      </c>
      <c r="D745" s="30">
        <f>RAND()*(1-2E-6)+1E-6</f>
        <v/>
      </c>
      <c r="E745" s="30">
        <f>RAND()*(1-2E-6)+1E-6</f>
        <v/>
      </c>
      <c r="F745" s="30">
        <f>RAND()*(1-2E-6)+1E-6</f>
        <v/>
      </c>
      <c r="G745" s="30">
        <f>RAND()*(1-2E-6)+1E-6</f>
        <v/>
      </c>
      <c r="H745" s="30">
        <f>RAND()*(1-2E-6)+1E-6</f>
        <v/>
      </c>
      <c r="I745" s="31">
        <f>MIN(IF(Supuestos!$H$5="",1E+99,Supuestos!$H$5),MAX(IF(Supuestos!$G$5="",-1E+99,Supuestos!$G$5),IF(Supuestos!$C$5="Normal",NORMINV(B745,Supuestos!$D$5,Supuestos!$E$5),IF(Supuestos!$C$5="Triangular",IF(B745&lt;(Supuestos!$E$5-Supuestos!$D$5)/(Supuestos!$F$5-Supuestos!$D$5),Supuestos!$D$5+SQRT(B745*(Supuestos!$F$5-Supuestos!$D$5)*(Supuestos!$E$5-Supuestos!$D$5)),Supuestos!$F$5-SQRT((1-B745)*(Supuestos!$F$5-Supuestos!$D$5)*(Supuestos!$F$5-Supuestos!$E$5))),IF(Supuestos!$C$5="Uniforme",Supuestos!$D$5+B745*(Supuestos!$E$5-Supuestos!$D$5),IF(Supuestos!$C$5="Lognormal",LOGINV(B745,LN(Supuestos!$D$5)-LN(1+Supuestos!$E$5^2/Supuestos!$D$5^2)/2,SQRT(LN(1+Supuestos!$E$5^2/Supuestos!$D$5^2))),Supuestos!$D$5))))))</f>
        <v/>
      </c>
      <c r="J745" s="31">
        <f>MIN(IF(Supuestos!$H$6="",1E+99,Supuestos!$H$6),MAX(IF(Supuestos!$G$6="",-1E+99,Supuestos!$G$6),IF(Supuestos!$C$6="Normal",NORMINV(C745,Supuestos!$D$6,Supuestos!$E$6),IF(Supuestos!$C$6="Triangular",IF(C745&lt;(Supuestos!$E$6-Supuestos!$D$6)/(Supuestos!$F$6-Supuestos!$D$6),Supuestos!$D$6+SQRT(C745*(Supuestos!$F$6-Supuestos!$D$6)*(Supuestos!$E$6-Supuestos!$D$6)),Supuestos!$F$6-SQRT((1-C745)*(Supuestos!$F$6-Supuestos!$D$6)*(Supuestos!$F$6-Supuestos!$E$6))),IF(Supuestos!$C$6="Uniforme",Supuestos!$D$6+C745*(Supuestos!$E$6-Supuestos!$D$6),IF(Supuestos!$C$6="Lognormal",LOGINV(C745,LN(Supuestos!$D$6)-LN(1+Supuestos!$E$6^2/Supuestos!$D$6^2)/2,SQRT(LN(1+Supuestos!$E$6^2/Supuestos!$D$6^2))),Supuestos!$D$6))))))</f>
        <v/>
      </c>
      <c r="K745" s="32">
        <f>MIN(IF(Supuestos!$H$7="",1E+99,Supuestos!$H$7),MAX(IF(Supuestos!$G$7="",-1E+99,Supuestos!$G$7),IF(Supuestos!$C$7="Normal",NORMINV(D745,Supuestos!$D$7,Supuestos!$E$7),IF(Supuestos!$C$7="Triangular",IF(D745&lt;(Supuestos!$E$7-Supuestos!$D$7)/(Supuestos!$F$7-Supuestos!$D$7),Supuestos!$D$7+SQRT(D745*(Supuestos!$F$7-Supuestos!$D$7)*(Supuestos!$E$7-Supuestos!$D$7)),Supuestos!$F$7-SQRT((1-D745)*(Supuestos!$F$7-Supuestos!$D$7)*(Supuestos!$F$7-Supuestos!$E$7))),IF(Supuestos!$C$7="Uniforme",Supuestos!$D$7+D745*(Supuestos!$E$7-Supuestos!$D$7),IF(Supuestos!$C$7="Lognormal",LOGINV(D745,LN(Supuestos!$D$7)-LN(1+Supuestos!$E$7^2/Supuestos!$D$7^2)/2,SQRT(LN(1+Supuestos!$E$7^2/Supuestos!$D$7^2))),Supuestos!$D$7))))))</f>
        <v/>
      </c>
      <c r="L745" s="32">
        <f>MIN(IF(Supuestos!$H$8="",1E+99,Supuestos!$H$8),MAX(IF(Supuestos!$G$8="",-1E+99,Supuestos!$G$8),IF(Supuestos!$C$8="Normal",NORMINV(E745,Supuestos!$D$8,Supuestos!$E$8),IF(Supuestos!$C$8="Triangular",IF(E745&lt;(Supuestos!$E$8-Supuestos!$D$8)/(Supuestos!$F$8-Supuestos!$D$8),Supuestos!$D$8+SQRT(E745*(Supuestos!$F$8-Supuestos!$D$8)*(Supuestos!$E$8-Supuestos!$D$8)),Supuestos!$F$8-SQRT((1-E745)*(Supuestos!$F$8-Supuestos!$D$8)*(Supuestos!$F$8-Supuestos!$E$8))),IF(Supuestos!$C$8="Uniforme",Supuestos!$D$8+E745*(Supuestos!$E$8-Supuestos!$D$8),IF(Supuestos!$C$8="Lognormal",LOGINV(E745,LN(Supuestos!$D$8)-LN(1+Supuestos!$E$8^2/Supuestos!$D$8^2)/2,SQRT(LN(1+Supuestos!$E$8^2/Supuestos!$D$8^2))),Supuestos!$D$8))))))</f>
        <v/>
      </c>
      <c r="M745" s="32">
        <f>MIN(IF(Supuestos!$H$9="",1E+99,Supuestos!$H$9),MAX(IF(Supuestos!$G$9="",-1E+99,Supuestos!$G$9),IF(Supuestos!$C$9="Normal",NORMINV(F745,Supuestos!$D$9,Supuestos!$E$9),IF(Supuestos!$C$9="Triangular",IF(F745&lt;(Supuestos!$E$9-Supuestos!$D$9)/(Supuestos!$F$9-Supuestos!$D$9),Supuestos!$D$9+SQRT(F745*(Supuestos!$F$9-Supuestos!$D$9)*(Supuestos!$E$9-Supuestos!$D$9)),Supuestos!$F$9-SQRT((1-F745)*(Supuestos!$F$9-Supuestos!$D$9)*(Supuestos!$F$9-Supuestos!$E$9))),IF(Supuestos!$C$9="Uniforme",Supuestos!$D$9+F745*(Supuestos!$E$9-Supuestos!$D$9),IF(Supuestos!$C$9="Lognormal",LOGINV(F745,LN(Supuestos!$D$9)-LN(1+Supuestos!$E$9^2/Supuestos!$D$9^2)/2,SQRT(LN(1+Supuestos!$E$9^2/Supuestos!$D$9^2))),Supuestos!$D$9))))))</f>
        <v/>
      </c>
      <c r="N745" s="32">
        <f>MIN(IF(Supuestos!$H$10="",1E+99,Supuestos!$H$10),MAX(IF(Supuestos!$G$10="",-1E+99,Supuestos!$G$10),IF(Supuestos!$C$10="Normal",NORMINV(G745,Supuestos!$D$10,Supuestos!$E$10),IF(Supuestos!$C$10="Triangular",IF(G745&lt;(Supuestos!$E$10-Supuestos!$D$10)/(Supuestos!$F$10-Supuestos!$D$10),Supuestos!$D$10+SQRT(G745*(Supuestos!$F$10-Supuestos!$D$10)*(Supuestos!$E$10-Supuestos!$D$10)),Supuestos!$F$10-SQRT((1-G745)*(Supuestos!$F$10-Supuestos!$D$10)*(Supuestos!$F$10-Supuestos!$E$10))),IF(Supuestos!$C$10="Uniforme",Supuestos!$D$10+G745*(Supuestos!$E$10-Supuestos!$D$10),IF(Supuestos!$C$10="Lognormal",LOGINV(G745,LN(Supuestos!$D$10)-LN(1+Supuestos!$E$10^2/Supuestos!$D$10^2)/2,SQRT(LN(1+Supuestos!$E$10^2/Supuestos!$D$10^2))),Supuestos!$D$10))))))</f>
        <v/>
      </c>
      <c r="O745" s="31">
        <f>MIN(IF(Supuestos!$H$11="",1E+99,Supuestos!$H$11),MAX(IF(Supuestos!$G$11="",-1E+99,Supuestos!$G$11),IF(Supuestos!$C$11="Normal",NORMINV(H745,Supuestos!$D$11,Supuestos!$E$11),IF(Supuestos!$C$11="Triangular",IF(H745&lt;(Supuestos!$E$11-Supuestos!$D$11)/(Supuestos!$F$11-Supuestos!$D$11),Supuestos!$D$11+SQRT(H745*(Supuestos!$F$11-Supuestos!$D$11)*(Supuestos!$E$11-Supuestos!$D$11)),Supuestos!$F$11-SQRT((1-H745)*(Supuestos!$F$11-Supuestos!$D$11)*(Supuestos!$F$11-Supuestos!$E$11))),IF(Supuestos!$C$11="Uniforme",Supuestos!$D$11+H745*(Supuestos!$E$11-Supuestos!$D$11),IF(Supuestos!$C$11="Lognormal",LOGINV(H745,LN(Supuestos!$D$11)-LN(1+Supuestos!$E$11^2/Supuestos!$D$11^2)/2,SQRT(LN(1+Supuestos!$E$11^2/Supuestos!$D$11^2))),Supuestos!$D$11))))))</f>
        <v/>
      </c>
      <c r="P745" s="33">
        <f>-I745</f>
        <v/>
      </c>
      <c r="Q745" s="33">
        <f>$J745*(1+$K745)^(1-1)*(1-$L745)*(1-$M745)</f>
        <v/>
      </c>
      <c r="R745" s="33">
        <f>$J745*(1+$K745)^(2-1)*(1-$L745)*(1-$M745)</f>
        <v/>
      </c>
      <c r="S745" s="33">
        <f>$J745*(1+$K745)^(3-1)*(1-$L745)*(1-$M745)</f>
        <v/>
      </c>
      <c r="T745" s="33">
        <f>$J745*(1+$K745)^(4-1)*(1-$L745)*(1-$M745)</f>
        <v/>
      </c>
      <c r="U745" s="33">
        <f>$J745*(1+$K745)^(5-1)*(1-$L745)*(1-$M745)+$O745</f>
        <v/>
      </c>
      <c r="V745" s="33">
        <f>P745+NPV($N745,Q745:U745)</f>
        <v/>
      </c>
      <c r="W745" s="32">
        <f>IFERROR(IRR(P745:U745,0.1),"")</f>
        <v/>
      </c>
    </row>
    <row r="746">
      <c r="A746" s="14" t="n">
        <v>742</v>
      </c>
      <c r="B746" s="30">
        <f>RAND()*(1-2E-6)+1E-6</f>
        <v/>
      </c>
      <c r="C746" s="30">
        <f>RAND()*(1-2E-6)+1E-6</f>
        <v/>
      </c>
      <c r="D746" s="30">
        <f>RAND()*(1-2E-6)+1E-6</f>
        <v/>
      </c>
      <c r="E746" s="30">
        <f>RAND()*(1-2E-6)+1E-6</f>
        <v/>
      </c>
      <c r="F746" s="30">
        <f>RAND()*(1-2E-6)+1E-6</f>
        <v/>
      </c>
      <c r="G746" s="30">
        <f>RAND()*(1-2E-6)+1E-6</f>
        <v/>
      </c>
      <c r="H746" s="30">
        <f>RAND()*(1-2E-6)+1E-6</f>
        <v/>
      </c>
      <c r="I746" s="31">
        <f>MIN(IF(Supuestos!$H$5="",1E+99,Supuestos!$H$5),MAX(IF(Supuestos!$G$5="",-1E+99,Supuestos!$G$5),IF(Supuestos!$C$5="Normal",NORMINV(B746,Supuestos!$D$5,Supuestos!$E$5),IF(Supuestos!$C$5="Triangular",IF(B746&lt;(Supuestos!$E$5-Supuestos!$D$5)/(Supuestos!$F$5-Supuestos!$D$5),Supuestos!$D$5+SQRT(B746*(Supuestos!$F$5-Supuestos!$D$5)*(Supuestos!$E$5-Supuestos!$D$5)),Supuestos!$F$5-SQRT((1-B746)*(Supuestos!$F$5-Supuestos!$D$5)*(Supuestos!$F$5-Supuestos!$E$5))),IF(Supuestos!$C$5="Uniforme",Supuestos!$D$5+B746*(Supuestos!$E$5-Supuestos!$D$5),IF(Supuestos!$C$5="Lognormal",LOGINV(B746,LN(Supuestos!$D$5)-LN(1+Supuestos!$E$5^2/Supuestos!$D$5^2)/2,SQRT(LN(1+Supuestos!$E$5^2/Supuestos!$D$5^2))),Supuestos!$D$5))))))</f>
        <v/>
      </c>
      <c r="J746" s="31">
        <f>MIN(IF(Supuestos!$H$6="",1E+99,Supuestos!$H$6),MAX(IF(Supuestos!$G$6="",-1E+99,Supuestos!$G$6),IF(Supuestos!$C$6="Normal",NORMINV(C746,Supuestos!$D$6,Supuestos!$E$6),IF(Supuestos!$C$6="Triangular",IF(C746&lt;(Supuestos!$E$6-Supuestos!$D$6)/(Supuestos!$F$6-Supuestos!$D$6),Supuestos!$D$6+SQRT(C746*(Supuestos!$F$6-Supuestos!$D$6)*(Supuestos!$E$6-Supuestos!$D$6)),Supuestos!$F$6-SQRT((1-C746)*(Supuestos!$F$6-Supuestos!$D$6)*(Supuestos!$F$6-Supuestos!$E$6))),IF(Supuestos!$C$6="Uniforme",Supuestos!$D$6+C746*(Supuestos!$E$6-Supuestos!$D$6),IF(Supuestos!$C$6="Lognormal",LOGINV(C746,LN(Supuestos!$D$6)-LN(1+Supuestos!$E$6^2/Supuestos!$D$6^2)/2,SQRT(LN(1+Supuestos!$E$6^2/Supuestos!$D$6^2))),Supuestos!$D$6))))))</f>
        <v/>
      </c>
      <c r="K746" s="32">
        <f>MIN(IF(Supuestos!$H$7="",1E+99,Supuestos!$H$7),MAX(IF(Supuestos!$G$7="",-1E+99,Supuestos!$G$7),IF(Supuestos!$C$7="Normal",NORMINV(D746,Supuestos!$D$7,Supuestos!$E$7),IF(Supuestos!$C$7="Triangular",IF(D746&lt;(Supuestos!$E$7-Supuestos!$D$7)/(Supuestos!$F$7-Supuestos!$D$7),Supuestos!$D$7+SQRT(D746*(Supuestos!$F$7-Supuestos!$D$7)*(Supuestos!$E$7-Supuestos!$D$7)),Supuestos!$F$7-SQRT((1-D746)*(Supuestos!$F$7-Supuestos!$D$7)*(Supuestos!$F$7-Supuestos!$E$7))),IF(Supuestos!$C$7="Uniforme",Supuestos!$D$7+D746*(Supuestos!$E$7-Supuestos!$D$7),IF(Supuestos!$C$7="Lognormal",LOGINV(D746,LN(Supuestos!$D$7)-LN(1+Supuestos!$E$7^2/Supuestos!$D$7^2)/2,SQRT(LN(1+Supuestos!$E$7^2/Supuestos!$D$7^2))),Supuestos!$D$7))))))</f>
        <v/>
      </c>
      <c r="L746" s="32">
        <f>MIN(IF(Supuestos!$H$8="",1E+99,Supuestos!$H$8),MAX(IF(Supuestos!$G$8="",-1E+99,Supuestos!$G$8),IF(Supuestos!$C$8="Normal",NORMINV(E746,Supuestos!$D$8,Supuestos!$E$8),IF(Supuestos!$C$8="Triangular",IF(E746&lt;(Supuestos!$E$8-Supuestos!$D$8)/(Supuestos!$F$8-Supuestos!$D$8),Supuestos!$D$8+SQRT(E746*(Supuestos!$F$8-Supuestos!$D$8)*(Supuestos!$E$8-Supuestos!$D$8)),Supuestos!$F$8-SQRT((1-E746)*(Supuestos!$F$8-Supuestos!$D$8)*(Supuestos!$F$8-Supuestos!$E$8))),IF(Supuestos!$C$8="Uniforme",Supuestos!$D$8+E746*(Supuestos!$E$8-Supuestos!$D$8),IF(Supuestos!$C$8="Lognormal",LOGINV(E746,LN(Supuestos!$D$8)-LN(1+Supuestos!$E$8^2/Supuestos!$D$8^2)/2,SQRT(LN(1+Supuestos!$E$8^2/Supuestos!$D$8^2))),Supuestos!$D$8))))))</f>
        <v/>
      </c>
      <c r="M746" s="32">
        <f>MIN(IF(Supuestos!$H$9="",1E+99,Supuestos!$H$9),MAX(IF(Supuestos!$G$9="",-1E+99,Supuestos!$G$9),IF(Supuestos!$C$9="Normal",NORMINV(F746,Supuestos!$D$9,Supuestos!$E$9),IF(Supuestos!$C$9="Triangular",IF(F746&lt;(Supuestos!$E$9-Supuestos!$D$9)/(Supuestos!$F$9-Supuestos!$D$9),Supuestos!$D$9+SQRT(F746*(Supuestos!$F$9-Supuestos!$D$9)*(Supuestos!$E$9-Supuestos!$D$9)),Supuestos!$F$9-SQRT((1-F746)*(Supuestos!$F$9-Supuestos!$D$9)*(Supuestos!$F$9-Supuestos!$E$9))),IF(Supuestos!$C$9="Uniforme",Supuestos!$D$9+F746*(Supuestos!$E$9-Supuestos!$D$9),IF(Supuestos!$C$9="Lognormal",LOGINV(F746,LN(Supuestos!$D$9)-LN(1+Supuestos!$E$9^2/Supuestos!$D$9^2)/2,SQRT(LN(1+Supuestos!$E$9^2/Supuestos!$D$9^2))),Supuestos!$D$9))))))</f>
        <v/>
      </c>
      <c r="N746" s="32">
        <f>MIN(IF(Supuestos!$H$10="",1E+99,Supuestos!$H$10),MAX(IF(Supuestos!$G$10="",-1E+99,Supuestos!$G$10),IF(Supuestos!$C$10="Normal",NORMINV(G746,Supuestos!$D$10,Supuestos!$E$10),IF(Supuestos!$C$10="Triangular",IF(G746&lt;(Supuestos!$E$10-Supuestos!$D$10)/(Supuestos!$F$10-Supuestos!$D$10),Supuestos!$D$10+SQRT(G746*(Supuestos!$F$10-Supuestos!$D$10)*(Supuestos!$E$10-Supuestos!$D$10)),Supuestos!$F$10-SQRT((1-G746)*(Supuestos!$F$10-Supuestos!$D$10)*(Supuestos!$F$10-Supuestos!$E$10))),IF(Supuestos!$C$10="Uniforme",Supuestos!$D$10+G746*(Supuestos!$E$10-Supuestos!$D$10),IF(Supuestos!$C$10="Lognormal",LOGINV(G746,LN(Supuestos!$D$10)-LN(1+Supuestos!$E$10^2/Supuestos!$D$10^2)/2,SQRT(LN(1+Supuestos!$E$10^2/Supuestos!$D$10^2))),Supuestos!$D$10))))))</f>
        <v/>
      </c>
      <c r="O746" s="31">
        <f>MIN(IF(Supuestos!$H$11="",1E+99,Supuestos!$H$11),MAX(IF(Supuestos!$G$11="",-1E+99,Supuestos!$G$11),IF(Supuestos!$C$11="Normal",NORMINV(H746,Supuestos!$D$11,Supuestos!$E$11),IF(Supuestos!$C$11="Triangular",IF(H746&lt;(Supuestos!$E$11-Supuestos!$D$11)/(Supuestos!$F$11-Supuestos!$D$11),Supuestos!$D$11+SQRT(H746*(Supuestos!$F$11-Supuestos!$D$11)*(Supuestos!$E$11-Supuestos!$D$11)),Supuestos!$F$11-SQRT((1-H746)*(Supuestos!$F$11-Supuestos!$D$11)*(Supuestos!$F$11-Supuestos!$E$11))),IF(Supuestos!$C$11="Uniforme",Supuestos!$D$11+H746*(Supuestos!$E$11-Supuestos!$D$11),IF(Supuestos!$C$11="Lognormal",LOGINV(H746,LN(Supuestos!$D$11)-LN(1+Supuestos!$E$11^2/Supuestos!$D$11^2)/2,SQRT(LN(1+Supuestos!$E$11^2/Supuestos!$D$11^2))),Supuestos!$D$11))))))</f>
        <v/>
      </c>
      <c r="P746" s="33">
        <f>-I746</f>
        <v/>
      </c>
      <c r="Q746" s="33">
        <f>$J746*(1+$K746)^(1-1)*(1-$L746)*(1-$M746)</f>
        <v/>
      </c>
      <c r="R746" s="33">
        <f>$J746*(1+$K746)^(2-1)*(1-$L746)*(1-$M746)</f>
        <v/>
      </c>
      <c r="S746" s="33">
        <f>$J746*(1+$K746)^(3-1)*(1-$L746)*(1-$M746)</f>
        <v/>
      </c>
      <c r="T746" s="33">
        <f>$J746*(1+$K746)^(4-1)*(1-$L746)*(1-$M746)</f>
        <v/>
      </c>
      <c r="U746" s="33">
        <f>$J746*(1+$K746)^(5-1)*(1-$L746)*(1-$M746)+$O746</f>
        <v/>
      </c>
      <c r="V746" s="33">
        <f>P746+NPV($N746,Q746:U746)</f>
        <v/>
      </c>
      <c r="W746" s="32">
        <f>IFERROR(IRR(P746:U746,0.1),"")</f>
        <v/>
      </c>
    </row>
    <row r="747">
      <c r="A747" s="14" t="n">
        <v>743</v>
      </c>
      <c r="B747" s="30">
        <f>RAND()*(1-2E-6)+1E-6</f>
        <v/>
      </c>
      <c r="C747" s="30">
        <f>RAND()*(1-2E-6)+1E-6</f>
        <v/>
      </c>
      <c r="D747" s="30">
        <f>RAND()*(1-2E-6)+1E-6</f>
        <v/>
      </c>
      <c r="E747" s="30">
        <f>RAND()*(1-2E-6)+1E-6</f>
        <v/>
      </c>
      <c r="F747" s="30">
        <f>RAND()*(1-2E-6)+1E-6</f>
        <v/>
      </c>
      <c r="G747" s="30">
        <f>RAND()*(1-2E-6)+1E-6</f>
        <v/>
      </c>
      <c r="H747" s="30">
        <f>RAND()*(1-2E-6)+1E-6</f>
        <v/>
      </c>
      <c r="I747" s="31">
        <f>MIN(IF(Supuestos!$H$5="",1E+99,Supuestos!$H$5),MAX(IF(Supuestos!$G$5="",-1E+99,Supuestos!$G$5),IF(Supuestos!$C$5="Normal",NORMINV(B747,Supuestos!$D$5,Supuestos!$E$5),IF(Supuestos!$C$5="Triangular",IF(B747&lt;(Supuestos!$E$5-Supuestos!$D$5)/(Supuestos!$F$5-Supuestos!$D$5),Supuestos!$D$5+SQRT(B747*(Supuestos!$F$5-Supuestos!$D$5)*(Supuestos!$E$5-Supuestos!$D$5)),Supuestos!$F$5-SQRT((1-B747)*(Supuestos!$F$5-Supuestos!$D$5)*(Supuestos!$F$5-Supuestos!$E$5))),IF(Supuestos!$C$5="Uniforme",Supuestos!$D$5+B747*(Supuestos!$E$5-Supuestos!$D$5),IF(Supuestos!$C$5="Lognormal",LOGINV(B747,LN(Supuestos!$D$5)-LN(1+Supuestos!$E$5^2/Supuestos!$D$5^2)/2,SQRT(LN(1+Supuestos!$E$5^2/Supuestos!$D$5^2))),Supuestos!$D$5))))))</f>
        <v/>
      </c>
      <c r="J747" s="31">
        <f>MIN(IF(Supuestos!$H$6="",1E+99,Supuestos!$H$6),MAX(IF(Supuestos!$G$6="",-1E+99,Supuestos!$G$6),IF(Supuestos!$C$6="Normal",NORMINV(C747,Supuestos!$D$6,Supuestos!$E$6),IF(Supuestos!$C$6="Triangular",IF(C747&lt;(Supuestos!$E$6-Supuestos!$D$6)/(Supuestos!$F$6-Supuestos!$D$6),Supuestos!$D$6+SQRT(C747*(Supuestos!$F$6-Supuestos!$D$6)*(Supuestos!$E$6-Supuestos!$D$6)),Supuestos!$F$6-SQRT((1-C747)*(Supuestos!$F$6-Supuestos!$D$6)*(Supuestos!$F$6-Supuestos!$E$6))),IF(Supuestos!$C$6="Uniforme",Supuestos!$D$6+C747*(Supuestos!$E$6-Supuestos!$D$6),IF(Supuestos!$C$6="Lognormal",LOGINV(C747,LN(Supuestos!$D$6)-LN(1+Supuestos!$E$6^2/Supuestos!$D$6^2)/2,SQRT(LN(1+Supuestos!$E$6^2/Supuestos!$D$6^2))),Supuestos!$D$6))))))</f>
        <v/>
      </c>
      <c r="K747" s="32">
        <f>MIN(IF(Supuestos!$H$7="",1E+99,Supuestos!$H$7),MAX(IF(Supuestos!$G$7="",-1E+99,Supuestos!$G$7),IF(Supuestos!$C$7="Normal",NORMINV(D747,Supuestos!$D$7,Supuestos!$E$7),IF(Supuestos!$C$7="Triangular",IF(D747&lt;(Supuestos!$E$7-Supuestos!$D$7)/(Supuestos!$F$7-Supuestos!$D$7),Supuestos!$D$7+SQRT(D747*(Supuestos!$F$7-Supuestos!$D$7)*(Supuestos!$E$7-Supuestos!$D$7)),Supuestos!$F$7-SQRT((1-D747)*(Supuestos!$F$7-Supuestos!$D$7)*(Supuestos!$F$7-Supuestos!$E$7))),IF(Supuestos!$C$7="Uniforme",Supuestos!$D$7+D747*(Supuestos!$E$7-Supuestos!$D$7),IF(Supuestos!$C$7="Lognormal",LOGINV(D747,LN(Supuestos!$D$7)-LN(1+Supuestos!$E$7^2/Supuestos!$D$7^2)/2,SQRT(LN(1+Supuestos!$E$7^2/Supuestos!$D$7^2))),Supuestos!$D$7))))))</f>
        <v/>
      </c>
      <c r="L747" s="32">
        <f>MIN(IF(Supuestos!$H$8="",1E+99,Supuestos!$H$8),MAX(IF(Supuestos!$G$8="",-1E+99,Supuestos!$G$8),IF(Supuestos!$C$8="Normal",NORMINV(E747,Supuestos!$D$8,Supuestos!$E$8),IF(Supuestos!$C$8="Triangular",IF(E747&lt;(Supuestos!$E$8-Supuestos!$D$8)/(Supuestos!$F$8-Supuestos!$D$8),Supuestos!$D$8+SQRT(E747*(Supuestos!$F$8-Supuestos!$D$8)*(Supuestos!$E$8-Supuestos!$D$8)),Supuestos!$F$8-SQRT((1-E747)*(Supuestos!$F$8-Supuestos!$D$8)*(Supuestos!$F$8-Supuestos!$E$8))),IF(Supuestos!$C$8="Uniforme",Supuestos!$D$8+E747*(Supuestos!$E$8-Supuestos!$D$8),IF(Supuestos!$C$8="Lognormal",LOGINV(E747,LN(Supuestos!$D$8)-LN(1+Supuestos!$E$8^2/Supuestos!$D$8^2)/2,SQRT(LN(1+Supuestos!$E$8^2/Supuestos!$D$8^2))),Supuestos!$D$8))))))</f>
        <v/>
      </c>
      <c r="M747" s="32">
        <f>MIN(IF(Supuestos!$H$9="",1E+99,Supuestos!$H$9),MAX(IF(Supuestos!$G$9="",-1E+99,Supuestos!$G$9),IF(Supuestos!$C$9="Normal",NORMINV(F747,Supuestos!$D$9,Supuestos!$E$9),IF(Supuestos!$C$9="Triangular",IF(F747&lt;(Supuestos!$E$9-Supuestos!$D$9)/(Supuestos!$F$9-Supuestos!$D$9),Supuestos!$D$9+SQRT(F747*(Supuestos!$F$9-Supuestos!$D$9)*(Supuestos!$E$9-Supuestos!$D$9)),Supuestos!$F$9-SQRT((1-F747)*(Supuestos!$F$9-Supuestos!$D$9)*(Supuestos!$F$9-Supuestos!$E$9))),IF(Supuestos!$C$9="Uniforme",Supuestos!$D$9+F747*(Supuestos!$E$9-Supuestos!$D$9),IF(Supuestos!$C$9="Lognormal",LOGINV(F747,LN(Supuestos!$D$9)-LN(1+Supuestos!$E$9^2/Supuestos!$D$9^2)/2,SQRT(LN(1+Supuestos!$E$9^2/Supuestos!$D$9^2))),Supuestos!$D$9))))))</f>
        <v/>
      </c>
      <c r="N747" s="32">
        <f>MIN(IF(Supuestos!$H$10="",1E+99,Supuestos!$H$10),MAX(IF(Supuestos!$G$10="",-1E+99,Supuestos!$G$10),IF(Supuestos!$C$10="Normal",NORMINV(G747,Supuestos!$D$10,Supuestos!$E$10),IF(Supuestos!$C$10="Triangular",IF(G747&lt;(Supuestos!$E$10-Supuestos!$D$10)/(Supuestos!$F$10-Supuestos!$D$10),Supuestos!$D$10+SQRT(G747*(Supuestos!$F$10-Supuestos!$D$10)*(Supuestos!$E$10-Supuestos!$D$10)),Supuestos!$F$10-SQRT((1-G747)*(Supuestos!$F$10-Supuestos!$D$10)*(Supuestos!$F$10-Supuestos!$E$10))),IF(Supuestos!$C$10="Uniforme",Supuestos!$D$10+G747*(Supuestos!$E$10-Supuestos!$D$10),IF(Supuestos!$C$10="Lognormal",LOGINV(G747,LN(Supuestos!$D$10)-LN(1+Supuestos!$E$10^2/Supuestos!$D$10^2)/2,SQRT(LN(1+Supuestos!$E$10^2/Supuestos!$D$10^2))),Supuestos!$D$10))))))</f>
        <v/>
      </c>
      <c r="O747" s="31">
        <f>MIN(IF(Supuestos!$H$11="",1E+99,Supuestos!$H$11),MAX(IF(Supuestos!$G$11="",-1E+99,Supuestos!$G$11),IF(Supuestos!$C$11="Normal",NORMINV(H747,Supuestos!$D$11,Supuestos!$E$11),IF(Supuestos!$C$11="Triangular",IF(H747&lt;(Supuestos!$E$11-Supuestos!$D$11)/(Supuestos!$F$11-Supuestos!$D$11),Supuestos!$D$11+SQRT(H747*(Supuestos!$F$11-Supuestos!$D$11)*(Supuestos!$E$11-Supuestos!$D$11)),Supuestos!$F$11-SQRT((1-H747)*(Supuestos!$F$11-Supuestos!$D$11)*(Supuestos!$F$11-Supuestos!$E$11))),IF(Supuestos!$C$11="Uniforme",Supuestos!$D$11+H747*(Supuestos!$E$11-Supuestos!$D$11),IF(Supuestos!$C$11="Lognormal",LOGINV(H747,LN(Supuestos!$D$11)-LN(1+Supuestos!$E$11^2/Supuestos!$D$11^2)/2,SQRT(LN(1+Supuestos!$E$11^2/Supuestos!$D$11^2))),Supuestos!$D$11))))))</f>
        <v/>
      </c>
      <c r="P747" s="33">
        <f>-I747</f>
        <v/>
      </c>
      <c r="Q747" s="33">
        <f>$J747*(1+$K747)^(1-1)*(1-$L747)*(1-$M747)</f>
        <v/>
      </c>
      <c r="R747" s="33">
        <f>$J747*(1+$K747)^(2-1)*(1-$L747)*(1-$M747)</f>
        <v/>
      </c>
      <c r="S747" s="33">
        <f>$J747*(1+$K747)^(3-1)*(1-$L747)*(1-$M747)</f>
        <v/>
      </c>
      <c r="T747" s="33">
        <f>$J747*(1+$K747)^(4-1)*(1-$L747)*(1-$M747)</f>
        <v/>
      </c>
      <c r="U747" s="33">
        <f>$J747*(1+$K747)^(5-1)*(1-$L747)*(1-$M747)+$O747</f>
        <v/>
      </c>
      <c r="V747" s="33">
        <f>P747+NPV($N747,Q747:U747)</f>
        <v/>
      </c>
      <c r="W747" s="32">
        <f>IFERROR(IRR(P747:U747,0.1),"")</f>
        <v/>
      </c>
    </row>
    <row r="748">
      <c r="A748" s="14" t="n">
        <v>744</v>
      </c>
      <c r="B748" s="30">
        <f>RAND()*(1-2E-6)+1E-6</f>
        <v/>
      </c>
      <c r="C748" s="30">
        <f>RAND()*(1-2E-6)+1E-6</f>
        <v/>
      </c>
      <c r="D748" s="30">
        <f>RAND()*(1-2E-6)+1E-6</f>
        <v/>
      </c>
      <c r="E748" s="30">
        <f>RAND()*(1-2E-6)+1E-6</f>
        <v/>
      </c>
      <c r="F748" s="30">
        <f>RAND()*(1-2E-6)+1E-6</f>
        <v/>
      </c>
      <c r="G748" s="30">
        <f>RAND()*(1-2E-6)+1E-6</f>
        <v/>
      </c>
      <c r="H748" s="30">
        <f>RAND()*(1-2E-6)+1E-6</f>
        <v/>
      </c>
      <c r="I748" s="31">
        <f>MIN(IF(Supuestos!$H$5="",1E+99,Supuestos!$H$5),MAX(IF(Supuestos!$G$5="",-1E+99,Supuestos!$G$5),IF(Supuestos!$C$5="Normal",NORMINV(B748,Supuestos!$D$5,Supuestos!$E$5),IF(Supuestos!$C$5="Triangular",IF(B748&lt;(Supuestos!$E$5-Supuestos!$D$5)/(Supuestos!$F$5-Supuestos!$D$5),Supuestos!$D$5+SQRT(B748*(Supuestos!$F$5-Supuestos!$D$5)*(Supuestos!$E$5-Supuestos!$D$5)),Supuestos!$F$5-SQRT((1-B748)*(Supuestos!$F$5-Supuestos!$D$5)*(Supuestos!$F$5-Supuestos!$E$5))),IF(Supuestos!$C$5="Uniforme",Supuestos!$D$5+B748*(Supuestos!$E$5-Supuestos!$D$5),IF(Supuestos!$C$5="Lognormal",LOGINV(B748,LN(Supuestos!$D$5)-LN(1+Supuestos!$E$5^2/Supuestos!$D$5^2)/2,SQRT(LN(1+Supuestos!$E$5^2/Supuestos!$D$5^2))),Supuestos!$D$5))))))</f>
        <v/>
      </c>
      <c r="J748" s="31">
        <f>MIN(IF(Supuestos!$H$6="",1E+99,Supuestos!$H$6),MAX(IF(Supuestos!$G$6="",-1E+99,Supuestos!$G$6),IF(Supuestos!$C$6="Normal",NORMINV(C748,Supuestos!$D$6,Supuestos!$E$6),IF(Supuestos!$C$6="Triangular",IF(C748&lt;(Supuestos!$E$6-Supuestos!$D$6)/(Supuestos!$F$6-Supuestos!$D$6),Supuestos!$D$6+SQRT(C748*(Supuestos!$F$6-Supuestos!$D$6)*(Supuestos!$E$6-Supuestos!$D$6)),Supuestos!$F$6-SQRT((1-C748)*(Supuestos!$F$6-Supuestos!$D$6)*(Supuestos!$F$6-Supuestos!$E$6))),IF(Supuestos!$C$6="Uniforme",Supuestos!$D$6+C748*(Supuestos!$E$6-Supuestos!$D$6),IF(Supuestos!$C$6="Lognormal",LOGINV(C748,LN(Supuestos!$D$6)-LN(1+Supuestos!$E$6^2/Supuestos!$D$6^2)/2,SQRT(LN(1+Supuestos!$E$6^2/Supuestos!$D$6^2))),Supuestos!$D$6))))))</f>
        <v/>
      </c>
      <c r="K748" s="32">
        <f>MIN(IF(Supuestos!$H$7="",1E+99,Supuestos!$H$7),MAX(IF(Supuestos!$G$7="",-1E+99,Supuestos!$G$7),IF(Supuestos!$C$7="Normal",NORMINV(D748,Supuestos!$D$7,Supuestos!$E$7),IF(Supuestos!$C$7="Triangular",IF(D748&lt;(Supuestos!$E$7-Supuestos!$D$7)/(Supuestos!$F$7-Supuestos!$D$7),Supuestos!$D$7+SQRT(D748*(Supuestos!$F$7-Supuestos!$D$7)*(Supuestos!$E$7-Supuestos!$D$7)),Supuestos!$F$7-SQRT((1-D748)*(Supuestos!$F$7-Supuestos!$D$7)*(Supuestos!$F$7-Supuestos!$E$7))),IF(Supuestos!$C$7="Uniforme",Supuestos!$D$7+D748*(Supuestos!$E$7-Supuestos!$D$7),IF(Supuestos!$C$7="Lognormal",LOGINV(D748,LN(Supuestos!$D$7)-LN(1+Supuestos!$E$7^2/Supuestos!$D$7^2)/2,SQRT(LN(1+Supuestos!$E$7^2/Supuestos!$D$7^2))),Supuestos!$D$7))))))</f>
        <v/>
      </c>
      <c r="L748" s="32">
        <f>MIN(IF(Supuestos!$H$8="",1E+99,Supuestos!$H$8),MAX(IF(Supuestos!$G$8="",-1E+99,Supuestos!$G$8),IF(Supuestos!$C$8="Normal",NORMINV(E748,Supuestos!$D$8,Supuestos!$E$8),IF(Supuestos!$C$8="Triangular",IF(E748&lt;(Supuestos!$E$8-Supuestos!$D$8)/(Supuestos!$F$8-Supuestos!$D$8),Supuestos!$D$8+SQRT(E748*(Supuestos!$F$8-Supuestos!$D$8)*(Supuestos!$E$8-Supuestos!$D$8)),Supuestos!$F$8-SQRT((1-E748)*(Supuestos!$F$8-Supuestos!$D$8)*(Supuestos!$F$8-Supuestos!$E$8))),IF(Supuestos!$C$8="Uniforme",Supuestos!$D$8+E748*(Supuestos!$E$8-Supuestos!$D$8),IF(Supuestos!$C$8="Lognormal",LOGINV(E748,LN(Supuestos!$D$8)-LN(1+Supuestos!$E$8^2/Supuestos!$D$8^2)/2,SQRT(LN(1+Supuestos!$E$8^2/Supuestos!$D$8^2))),Supuestos!$D$8))))))</f>
        <v/>
      </c>
      <c r="M748" s="32">
        <f>MIN(IF(Supuestos!$H$9="",1E+99,Supuestos!$H$9),MAX(IF(Supuestos!$G$9="",-1E+99,Supuestos!$G$9),IF(Supuestos!$C$9="Normal",NORMINV(F748,Supuestos!$D$9,Supuestos!$E$9),IF(Supuestos!$C$9="Triangular",IF(F748&lt;(Supuestos!$E$9-Supuestos!$D$9)/(Supuestos!$F$9-Supuestos!$D$9),Supuestos!$D$9+SQRT(F748*(Supuestos!$F$9-Supuestos!$D$9)*(Supuestos!$E$9-Supuestos!$D$9)),Supuestos!$F$9-SQRT((1-F748)*(Supuestos!$F$9-Supuestos!$D$9)*(Supuestos!$F$9-Supuestos!$E$9))),IF(Supuestos!$C$9="Uniforme",Supuestos!$D$9+F748*(Supuestos!$E$9-Supuestos!$D$9),IF(Supuestos!$C$9="Lognormal",LOGINV(F748,LN(Supuestos!$D$9)-LN(1+Supuestos!$E$9^2/Supuestos!$D$9^2)/2,SQRT(LN(1+Supuestos!$E$9^2/Supuestos!$D$9^2))),Supuestos!$D$9))))))</f>
        <v/>
      </c>
      <c r="N748" s="32">
        <f>MIN(IF(Supuestos!$H$10="",1E+99,Supuestos!$H$10),MAX(IF(Supuestos!$G$10="",-1E+99,Supuestos!$G$10),IF(Supuestos!$C$10="Normal",NORMINV(G748,Supuestos!$D$10,Supuestos!$E$10),IF(Supuestos!$C$10="Triangular",IF(G748&lt;(Supuestos!$E$10-Supuestos!$D$10)/(Supuestos!$F$10-Supuestos!$D$10),Supuestos!$D$10+SQRT(G748*(Supuestos!$F$10-Supuestos!$D$10)*(Supuestos!$E$10-Supuestos!$D$10)),Supuestos!$F$10-SQRT((1-G748)*(Supuestos!$F$10-Supuestos!$D$10)*(Supuestos!$F$10-Supuestos!$E$10))),IF(Supuestos!$C$10="Uniforme",Supuestos!$D$10+G748*(Supuestos!$E$10-Supuestos!$D$10),IF(Supuestos!$C$10="Lognormal",LOGINV(G748,LN(Supuestos!$D$10)-LN(1+Supuestos!$E$10^2/Supuestos!$D$10^2)/2,SQRT(LN(1+Supuestos!$E$10^2/Supuestos!$D$10^2))),Supuestos!$D$10))))))</f>
        <v/>
      </c>
      <c r="O748" s="31">
        <f>MIN(IF(Supuestos!$H$11="",1E+99,Supuestos!$H$11),MAX(IF(Supuestos!$G$11="",-1E+99,Supuestos!$G$11),IF(Supuestos!$C$11="Normal",NORMINV(H748,Supuestos!$D$11,Supuestos!$E$11),IF(Supuestos!$C$11="Triangular",IF(H748&lt;(Supuestos!$E$11-Supuestos!$D$11)/(Supuestos!$F$11-Supuestos!$D$11),Supuestos!$D$11+SQRT(H748*(Supuestos!$F$11-Supuestos!$D$11)*(Supuestos!$E$11-Supuestos!$D$11)),Supuestos!$F$11-SQRT((1-H748)*(Supuestos!$F$11-Supuestos!$D$11)*(Supuestos!$F$11-Supuestos!$E$11))),IF(Supuestos!$C$11="Uniforme",Supuestos!$D$11+H748*(Supuestos!$E$11-Supuestos!$D$11),IF(Supuestos!$C$11="Lognormal",LOGINV(H748,LN(Supuestos!$D$11)-LN(1+Supuestos!$E$11^2/Supuestos!$D$11^2)/2,SQRT(LN(1+Supuestos!$E$11^2/Supuestos!$D$11^2))),Supuestos!$D$11))))))</f>
        <v/>
      </c>
      <c r="P748" s="33">
        <f>-I748</f>
        <v/>
      </c>
      <c r="Q748" s="33">
        <f>$J748*(1+$K748)^(1-1)*(1-$L748)*(1-$M748)</f>
        <v/>
      </c>
      <c r="R748" s="33">
        <f>$J748*(1+$K748)^(2-1)*(1-$L748)*(1-$M748)</f>
        <v/>
      </c>
      <c r="S748" s="33">
        <f>$J748*(1+$K748)^(3-1)*(1-$L748)*(1-$M748)</f>
        <v/>
      </c>
      <c r="T748" s="33">
        <f>$J748*(1+$K748)^(4-1)*(1-$L748)*(1-$M748)</f>
        <v/>
      </c>
      <c r="U748" s="33">
        <f>$J748*(1+$K748)^(5-1)*(1-$L748)*(1-$M748)+$O748</f>
        <v/>
      </c>
      <c r="V748" s="33">
        <f>P748+NPV($N748,Q748:U748)</f>
        <v/>
      </c>
      <c r="W748" s="32">
        <f>IFERROR(IRR(P748:U748,0.1),"")</f>
        <v/>
      </c>
    </row>
    <row r="749">
      <c r="A749" s="14" t="n">
        <v>745</v>
      </c>
      <c r="B749" s="30">
        <f>RAND()*(1-2E-6)+1E-6</f>
        <v/>
      </c>
      <c r="C749" s="30">
        <f>RAND()*(1-2E-6)+1E-6</f>
        <v/>
      </c>
      <c r="D749" s="30">
        <f>RAND()*(1-2E-6)+1E-6</f>
        <v/>
      </c>
      <c r="E749" s="30">
        <f>RAND()*(1-2E-6)+1E-6</f>
        <v/>
      </c>
      <c r="F749" s="30">
        <f>RAND()*(1-2E-6)+1E-6</f>
        <v/>
      </c>
      <c r="G749" s="30">
        <f>RAND()*(1-2E-6)+1E-6</f>
        <v/>
      </c>
      <c r="H749" s="30">
        <f>RAND()*(1-2E-6)+1E-6</f>
        <v/>
      </c>
      <c r="I749" s="31">
        <f>MIN(IF(Supuestos!$H$5="",1E+99,Supuestos!$H$5),MAX(IF(Supuestos!$G$5="",-1E+99,Supuestos!$G$5),IF(Supuestos!$C$5="Normal",NORMINV(B749,Supuestos!$D$5,Supuestos!$E$5),IF(Supuestos!$C$5="Triangular",IF(B749&lt;(Supuestos!$E$5-Supuestos!$D$5)/(Supuestos!$F$5-Supuestos!$D$5),Supuestos!$D$5+SQRT(B749*(Supuestos!$F$5-Supuestos!$D$5)*(Supuestos!$E$5-Supuestos!$D$5)),Supuestos!$F$5-SQRT((1-B749)*(Supuestos!$F$5-Supuestos!$D$5)*(Supuestos!$F$5-Supuestos!$E$5))),IF(Supuestos!$C$5="Uniforme",Supuestos!$D$5+B749*(Supuestos!$E$5-Supuestos!$D$5),IF(Supuestos!$C$5="Lognormal",LOGINV(B749,LN(Supuestos!$D$5)-LN(1+Supuestos!$E$5^2/Supuestos!$D$5^2)/2,SQRT(LN(1+Supuestos!$E$5^2/Supuestos!$D$5^2))),Supuestos!$D$5))))))</f>
        <v/>
      </c>
      <c r="J749" s="31">
        <f>MIN(IF(Supuestos!$H$6="",1E+99,Supuestos!$H$6),MAX(IF(Supuestos!$G$6="",-1E+99,Supuestos!$G$6),IF(Supuestos!$C$6="Normal",NORMINV(C749,Supuestos!$D$6,Supuestos!$E$6),IF(Supuestos!$C$6="Triangular",IF(C749&lt;(Supuestos!$E$6-Supuestos!$D$6)/(Supuestos!$F$6-Supuestos!$D$6),Supuestos!$D$6+SQRT(C749*(Supuestos!$F$6-Supuestos!$D$6)*(Supuestos!$E$6-Supuestos!$D$6)),Supuestos!$F$6-SQRT((1-C749)*(Supuestos!$F$6-Supuestos!$D$6)*(Supuestos!$F$6-Supuestos!$E$6))),IF(Supuestos!$C$6="Uniforme",Supuestos!$D$6+C749*(Supuestos!$E$6-Supuestos!$D$6),IF(Supuestos!$C$6="Lognormal",LOGINV(C749,LN(Supuestos!$D$6)-LN(1+Supuestos!$E$6^2/Supuestos!$D$6^2)/2,SQRT(LN(1+Supuestos!$E$6^2/Supuestos!$D$6^2))),Supuestos!$D$6))))))</f>
        <v/>
      </c>
      <c r="K749" s="32">
        <f>MIN(IF(Supuestos!$H$7="",1E+99,Supuestos!$H$7),MAX(IF(Supuestos!$G$7="",-1E+99,Supuestos!$G$7),IF(Supuestos!$C$7="Normal",NORMINV(D749,Supuestos!$D$7,Supuestos!$E$7),IF(Supuestos!$C$7="Triangular",IF(D749&lt;(Supuestos!$E$7-Supuestos!$D$7)/(Supuestos!$F$7-Supuestos!$D$7),Supuestos!$D$7+SQRT(D749*(Supuestos!$F$7-Supuestos!$D$7)*(Supuestos!$E$7-Supuestos!$D$7)),Supuestos!$F$7-SQRT((1-D749)*(Supuestos!$F$7-Supuestos!$D$7)*(Supuestos!$F$7-Supuestos!$E$7))),IF(Supuestos!$C$7="Uniforme",Supuestos!$D$7+D749*(Supuestos!$E$7-Supuestos!$D$7),IF(Supuestos!$C$7="Lognormal",LOGINV(D749,LN(Supuestos!$D$7)-LN(1+Supuestos!$E$7^2/Supuestos!$D$7^2)/2,SQRT(LN(1+Supuestos!$E$7^2/Supuestos!$D$7^2))),Supuestos!$D$7))))))</f>
        <v/>
      </c>
      <c r="L749" s="32">
        <f>MIN(IF(Supuestos!$H$8="",1E+99,Supuestos!$H$8),MAX(IF(Supuestos!$G$8="",-1E+99,Supuestos!$G$8),IF(Supuestos!$C$8="Normal",NORMINV(E749,Supuestos!$D$8,Supuestos!$E$8),IF(Supuestos!$C$8="Triangular",IF(E749&lt;(Supuestos!$E$8-Supuestos!$D$8)/(Supuestos!$F$8-Supuestos!$D$8),Supuestos!$D$8+SQRT(E749*(Supuestos!$F$8-Supuestos!$D$8)*(Supuestos!$E$8-Supuestos!$D$8)),Supuestos!$F$8-SQRT((1-E749)*(Supuestos!$F$8-Supuestos!$D$8)*(Supuestos!$F$8-Supuestos!$E$8))),IF(Supuestos!$C$8="Uniforme",Supuestos!$D$8+E749*(Supuestos!$E$8-Supuestos!$D$8),IF(Supuestos!$C$8="Lognormal",LOGINV(E749,LN(Supuestos!$D$8)-LN(1+Supuestos!$E$8^2/Supuestos!$D$8^2)/2,SQRT(LN(1+Supuestos!$E$8^2/Supuestos!$D$8^2))),Supuestos!$D$8))))))</f>
        <v/>
      </c>
      <c r="M749" s="32">
        <f>MIN(IF(Supuestos!$H$9="",1E+99,Supuestos!$H$9),MAX(IF(Supuestos!$G$9="",-1E+99,Supuestos!$G$9),IF(Supuestos!$C$9="Normal",NORMINV(F749,Supuestos!$D$9,Supuestos!$E$9),IF(Supuestos!$C$9="Triangular",IF(F749&lt;(Supuestos!$E$9-Supuestos!$D$9)/(Supuestos!$F$9-Supuestos!$D$9),Supuestos!$D$9+SQRT(F749*(Supuestos!$F$9-Supuestos!$D$9)*(Supuestos!$E$9-Supuestos!$D$9)),Supuestos!$F$9-SQRT((1-F749)*(Supuestos!$F$9-Supuestos!$D$9)*(Supuestos!$F$9-Supuestos!$E$9))),IF(Supuestos!$C$9="Uniforme",Supuestos!$D$9+F749*(Supuestos!$E$9-Supuestos!$D$9),IF(Supuestos!$C$9="Lognormal",LOGINV(F749,LN(Supuestos!$D$9)-LN(1+Supuestos!$E$9^2/Supuestos!$D$9^2)/2,SQRT(LN(1+Supuestos!$E$9^2/Supuestos!$D$9^2))),Supuestos!$D$9))))))</f>
        <v/>
      </c>
      <c r="N749" s="32">
        <f>MIN(IF(Supuestos!$H$10="",1E+99,Supuestos!$H$10),MAX(IF(Supuestos!$G$10="",-1E+99,Supuestos!$G$10),IF(Supuestos!$C$10="Normal",NORMINV(G749,Supuestos!$D$10,Supuestos!$E$10),IF(Supuestos!$C$10="Triangular",IF(G749&lt;(Supuestos!$E$10-Supuestos!$D$10)/(Supuestos!$F$10-Supuestos!$D$10),Supuestos!$D$10+SQRT(G749*(Supuestos!$F$10-Supuestos!$D$10)*(Supuestos!$E$10-Supuestos!$D$10)),Supuestos!$F$10-SQRT((1-G749)*(Supuestos!$F$10-Supuestos!$D$10)*(Supuestos!$F$10-Supuestos!$E$10))),IF(Supuestos!$C$10="Uniforme",Supuestos!$D$10+G749*(Supuestos!$E$10-Supuestos!$D$10),IF(Supuestos!$C$10="Lognormal",LOGINV(G749,LN(Supuestos!$D$10)-LN(1+Supuestos!$E$10^2/Supuestos!$D$10^2)/2,SQRT(LN(1+Supuestos!$E$10^2/Supuestos!$D$10^2))),Supuestos!$D$10))))))</f>
        <v/>
      </c>
      <c r="O749" s="31">
        <f>MIN(IF(Supuestos!$H$11="",1E+99,Supuestos!$H$11),MAX(IF(Supuestos!$G$11="",-1E+99,Supuestos!$G$11),IF(Supuestos!$C$11="Normal",NORMINV(H749,Supuestos!$D$11,Supuestos!$E$11),IF(Supuestos!$C$11="Triangular",IF(H749&lt;(Supuestos!$E$11-Supuestos!$D$11)/(Supuestos!$F$11-Supuestos!$D$11),Supuestos!$D$11+SQRT(H749*(Supuestos!$F$11-Supuestos!$D$11)*(Supuestos!$E$11-Supuestos!$D$11)),Supuestos!$F$11-SQRT((1-H749)*(Supuestos!$F$11-Supuestos!$D$11)*(Supuestos!$F$11-Supuestos!$E$11))),IF(Supuestos!$C$11="Uniforme",Supuestos!$D$11+H749*(Supuestos!$E$11-Supuestos!$D$11),IF(Supuestos!$C$11="Lognormal",LOGINV(H749,LN(Supuestos!$D$11)-LN(1+Supuestos!$E$11^2/Supuestos!$D$11^2)/2,SQRT(LN(1+Supuestos!$E$11^2/Supuestos!$D$11^2))),Supuestos!$D$11))))))</f>
        <v/>
      </c>
      <c r="P749" s="33">
        <f>-I749</f>
        <v/>
      </c>
      <c r="Q749" s="33">
        <f>$J749*(1+$K749)^(1-1)*(1-$L749)*(1-$M749)</f>
        <v/>
      </c>
      <c r="R749" s="33">
        <f>$J749*(1+$K749)^(2-1)*(1-$L749)*(1-$M749)</f>
        <v/>
      </c>
      <c r="S749" s="33">
        <f>$J749*(1+$K749)^(3-1)*(1-$L749)*(1-$M749)</f>
        <v/>
      </c>
      <c r="T749" s="33">
        <f>$J749*(1+$K749)^(4-1)*(1-$L749)*(1-$M749)</f>
        <v/>
      </c>
      <c r="U749" s="33">
        <f>$J749*(1+$K749)^(5-1)*(1-$L749)*(1-$M749)+$O749</f>
        <v/>
      </c>
      <c r="V749" s="33">
        <f>P749+NPV($N749,Q749:U749)</f>
        <v/>
      </c>
      <c r="W749" s="32">
        <f>IFERROR(IRR(P749:U749,0.1),"")</f>
        <v/>
      </c>
    </row>
    <row r="750">
      <c r="A750" s="14" t="n">
        <v>746</v>
      </c>
      <c r="B750" s="30">
        <f>RAND()*(1-2E-6)+1E-6</f>
        <v/>
      </c>
      <c r="C750" s="30">
        <f>RAND()*(1-2E-6)+1E-6</f>
        <v/>
      </c>
      <c r="D750" s="30">
        <f>RAND()*(1-2E-6)+1E-6</f>
        <v/>
      </c>
      <c r="E750" s="30">
        <f>RAND()*(1-2E-6)+1E-6</f>
        <v/>
      </c>
      <c r="F750" s="30">
        <f>RAND()*(1-2E-6)+1E-6</f>
        <v/>
      </c>
      <c r="G750" s="30">
        <f>RAND()*(1-2E-6)+1E-6</f>
        <v/>
      </c>
      <c r="H750" s="30">
        <f>RAND()*(1-2E-6)+1E-6</f>
        <v/>
      </c>
      <c r="I750" s="31">
        <f>MIN(IF(Supuestos!$H$5="",1E+99,Supuestos!$H$5),MAX(IF(Supuestos!$G$5="",-1E+99,Supuestos!$G$5),IF(Supuestos!$C$5="Normal",NORMINV(B750,Supuestos!$D$5,Supuestos!$E$5),IF(Supuestos!$C$5="Triangular",IF(B750&lt;(Supuestos!$E$5-Supuestos!$D$5)/(Supuestos!$F$5-Supuestos!$D$5),Supuestos!$D$5+SQRT(B750*(Supuestos!$F$5-Supuestos!$D$5)*(Supuestos!$E$5-Supuestos!$D$5)),Supuestos!$F$5-SQRT((1-B750)*(Supuestos!$F$5-Supuestos!$D$5)*(Supuestos!$F$5-Supuestos!$E$5))),IF(Supuestos!$C$5="Uniforme",Supuestos!$D$5+B750*(Supuestos!$E$5-Supuestos!$D$5),IF(Supuestos!$C$5="Lognormal",LOGINV(B750,LN(Supuestos!$D$5)-LN(1+Supuestos!$E$5^2/Supuestos!$D$5^2)/2,SQRT(LN(1+Supuestos!$E$5^2/Supuestos!$D$5^2))),Supuestos!$D$5))))))</f>
        <v/>
      </c>
      <c r="J750" s="31">
        <f>MIN(IF(Supuestos!$H$6="",1E+99,Supuestos!$H$6),MAX(IF(Supuestos!$G$6="",-1E+99,Supuestos!$G$6),IF(Supuestos!$C$6="Normal",NORMINV(C750,Supuestos!$D$6,Supuestos!$E$6),IF(Supuestos!$C$6="Triangular",IF(C750&lt;(Supuestos!$E$6-Supuestos!$D$6)/(Supuestos!$F$6-Supuestos!$D$6),Supuestos!$D$6+SQRT(C750*(Supuestos!$F$6-Supuestos!$D$6)*(Supuestos!$E$6-Supuestos!$D$6)),Supuestos!$F$6-SQRT((1-C750)*(Supuestos!$F$6-Supuestos!$D$6)*(Supuestos!$F$6-Supuestos!$E$6))),IF(Supuestos!$C$6="Uniforme",Supuestos!$D$6+C750*(Supuestos!$E$6-Supuestos!$D$6),IF(Supuestos!$C$6="Lognormal",LOGINV(C750,LN(Supuestos!$D$6)-LN(1+Supuestos!$E$6^2/Supuestos!$D$6^2)/2,SQRT(LN(1+Supuestos!$E$6^2/Supuestos!$D$6^2))),Supuestos!$D$6))))))</f>
        <v/>
      </c>
      <c r="K750" s="32">
        <f>MIN(IF(Supuestos!$H$7="",1E+99,Supuestos!$H$7),MAX(IF(Supuestos!$G$7="",-1E+99,Supuestos!$G$7),IF(Supuestos!$C$7="Normal",NORMINV(D750,Supuestos!$D$7,Supuestos!$E$7),IF(Supuestos!$C$7="Triangular",IF(D750&lt;(Supuestos!$E$7-Supuestos!$D$7)/(Supuestos!$F$7-Supuestos!$D$7),Supuestos!$D$7+SQRT(D750*(Supuestos!$F$7-Supuestos!$D$7)*(Supuestos!$E$7-Supuestos!$D$7)),Supuestos!$F$7-SQRT((1-D750)*(Supuestos!$F$7-Supuestos!$D$7)*(Supuestos!$F$7-Supuestos!$E$7))),IF(Supuestos!$C$7="Uniforme",Supuestos!$D$7+D750*(Supuestos!$E$7-Supuestos!$D$7),IF(Supuestos!$C$7="Lognormal",LOGINV(D750,LN(Supuestos!$D$7)-LN(1+Supuestos!$E$7^2/Supuestos!$D$7^2)/2,SQRT(LN(1+Supuestos!$E$7^2/Supuestos!$D$7^2))),Supuestos!$D$7))))))</f>
        <v/>
      </c>
      <c r="L750" s="32">
        <f>MIN(IF(Supuestos!$H$8="",1E+99,Supuestos!$H$8),MAX(IF(Supuestos!$G$8="",-1E+99,Supuestos!$G$8),IF(Supuestos!$C$8="Normal",NORMINV(E750,Supuestos!$D$8,Supuestos!$E$8),IF(Supuestos!$C$8="Triangular",IF(E750&lt;(Supuestos!$E$8-Supuestos!$D$8)/(Supuestos!$F$8-Supuestos!$D$8),Supuestos!$D$8+SQRT(E750*(Supuestos!$F$8-Supuestos!$D$8)*(Supuestos!$E$8-Supuestos!$D$8)),Supuestos!$F$8-SQRT((1-E750)*(Supuestos!$F$8-Supuestos!$D$8)*(Supuestos!$F$8-Supuestos!$E$8))),IF(Supuestos!$C$8="Uniforme",Supuestos!$D$8+E750*(Supuestos!$E$8-Supuestos!$D$8),IF(Supuestos!$C$8="Lognormal",LOGINV(E750,LN(Supuestos!$D$8)-LN(1+Supuestos!$E$8^2/Supuestos!$D$8^2)/2,SQRT(LN(1+Supuestos!$E$8^2/Supuestos!$D$8^2))),Supuestos!$D$8))))))</f>
        <v/>
      </c>
      <c r="M750" s="32">
        <f>MIN(IF(Supuestos!$H$9="",1E+99,Supuestos!$H$9),MAX(IF(Supuestos!$G$9="",-1E+99,Supuestos!$G$9),IF(Supuestos!$C$9="Normal",NORMINV(F750,Supuestos!$D$9,Supuestos!$E$9),IF(Supuestos!$C$9="Triangular",IF(F750&lt;(Supuestos!$E$9-Supuestos!$D$9)/(Supuestos!$F$9-Supuestos!$D$9),Supuestos!$D$9+SQRT(F750*(Supuestos!$F$9-Supuestos!$D$9)*(Supuestos!$E$9-Supuestos!$D$9)),Supuestos!$F$9-SQRT((1-F750)*(Supuestos!$F$9-Supuestos!$D$9)*(Supuestos!$F$9-Supuestos!$E$9))),IF(Supuestos!$C$9="Uniforme",Supuestos!$D$9+F750*(Supuestos!$E$9-Supuestos!$D$9),IF(Supuestos!$C$9="Lognormal",LOGINV(F750,LN(Supuestos!$D$9)-LN(1+Supuestos!$E$9^2/Supuestos!$D$9^2)/2,SQRT(LN(1+Supuestos!$E$9^2/Supuestos!$D$9^2))),Supuestos!$D$9))))))</f>
        <v/>
      </c>
      <c r="N750" s="32">
        <f>MIN(IF(Supuestos!$H$10="",1E+99,Supuestos!$H$10),MAX(IF(Supuestos!$G$10="",-1E+99,Supuestos!$G$10),IF(Supuestos!$C$10="Normal",NORMINV(G750,Supuestos!$D$10,Supuestos!$E$10),IF(Supuestos!$C$10="Triangular",IF(G750&lt;(Supuestos!$E$10-Supuestos!$D$10)/(Supuestos!$F$10-Supuestos!$D$10),Supuestos!$D$10+SQRT(G750*(Supuestos!$F$10-Supuestos!$D$10)*(Supuestos!$E$10-Supuestos!$D$10)),Supuestos!$F$10-SQRT((1-G750)*(Supuestos!$F$10-Supuestos!$D$10)*(Supuestos!$F$10-Supuestos!$E$10))),IF(Supuestos!$C$10="Uniforme",Supuestos!$D$10+G750*(Supuestos!$E$10-Supuestos!$D$10),IF(Supuestos!$C$10="Lognormal",LOGINV(G750,LN(Supuestos!$D$10)-LN(1+Supuestos!$E$10^2/Supuestos!$D$10^2)/2,SQRT(LN(1+Supuestos!$E$10^2/Supuestos!$D$10^2))),Supuestos!$D$10))))))</f>
        <v/>
      </c>
      <c r="O750" s="31">
        <f>MIN(IF(Supuestos!$H$11="",1E+99,Supuestos!$H$11),MAX(IF(Supuestos!$G$11="",-1E+99,Supuestos!$G$11),IF(Supuestos!$C$11="Normal",NORMINV(H750,Supuestos!$D$11,Supuestos!$E$11),IF(Supuestos!$C$11="Triangular",IF(H750&lt;(Supuestos!$E$11-Supuestos!$D$11)/(Supuestos!$F$11-Supuestos!$D$11),Supuestos!$D$11+SQRT(H750*(Supuestos!$F$11-Supuestos!$D$11)*(Supuestos!$E$11-Supuestos!$D$11)),Supuestos!$F$11-SQRT((1-H750)*(Supuestos!$F$11-Supuestos!$D$11)*(Supuestos!$F$11-Supuestos!$E$11))),IF(Supuestos!$C$11="Uniforme",Supuestos!$D$11+H750*(Supuestos!$E$11-Supuestos!$D$11),IF(Supuestos!$C$11="Lognormal",LOGINV(H750,LN(Supuestos!$D$11)-LN(1+Supuestos!$E$11^2/Supuestos!$D$11^2)/2,SQRT(LN(1+Supuestos!$E$11^2/Supuestos!$D$11^2))),Supuestos!$D$11))))))</f>
        <v/>
      </c>
      <c r="P750" s="33">
        <f>-I750</f>
        <v/>
      </c>
      <c r="Q750" s="33">
        <f>$J750*(1+$K750)^(1-1)*(1-$L750)*(1-$M750)</f>
        <v/>
      </c>
      <c r="R750" s="33">
        <f>$J750*(1+$K750)^(2-1)*(1-$L750)*(1-$M750)</f>
        <v/>
      </c>
      <c r="S750" s="33">
        <f>$J750*(1+$K750)^(3-1)*(1-$L750)*(1-$M750)</f>
        <v/>
      </c>
      <c r="T750" s="33">
        <f>$J750*(1+$K750)^(4-1)*(1-$L750)*(1-$M750)</f>
        <v/>
      </c>
      <c r="U750" s="33">
        <f>$J750*(1+$K750)^(5-1)*(1-$L750)*(1-$M750)+$O750</f>
        <v/>
      </c>
      <c r="V750" s="33">
        <f>P750+NPV($N750,Q750:U750)</f>
        <v/>
      </c>
      <c r="W750" s="32">
        <f>IFERROR(IRR(P750:U750,0.1),"")</f>
        <v/>
      </c>
    </row>
    <row r="751">
      <c r="A751" s="14" t="n">
        <v>747</v>
      </c>
      <c r="B751" s="30">
        <f>RAND()*(1-2E-6)+1E-6</f>
        <v/>
      </c>
      <c r="C751" s="30">
        <f>RAND()*(1-2E-6)+1E-6</f>
        <v/>
      </c>
      <c r="D751" s="30">
        <f>RAND()*(1-2E-6)+1E-6</f>
        <v/>
      </c>
      <c r="E751" s="30">
        <f>RAND()*(1-2E-6)+1E-6</f>
        <v/>
      </c>
      <c r="F751" s="30">
        <f>RAND()*(1-2E-6)+1E-6</f>
        <v/>
      </c>
      <c r="G751" s="30">
        <f>RAND()*(1-2E-6)+1E-6</f>
        <v/>
      </c>
      <c r="H751" s="30">
        <f>RAND()*(1-2E-6)+1E-6</f>
        <v/>
      </c>
      <c r="I751" s="31">
        <f>MIN(IF(Supuestos!$H$5="",1E+99,Supuestos!$H$5),MAX(IF(Supuestos!$G$5="",-1E+99,Supuestos!$G$5),IF(Supuestos!$C$5="Normal",NORMINV(B751,Supuestos!$D$5,Supuestos!$E$5),IF(Supuestos!$C$5="Triangular",IF(B751&lt;(Supuestos!$E$5-Supuestos!$D$5)/(Supuestos!$F$5-Supuestos!$D$5),Supuestos!$D$5+SQRT(B751*(Supuestos!$F$5-Supuestos!$D$5)*(Supuestos!$E$5-Supuestos!$D$5)),Supuestos!$F$5-SQRT((1-B751)*(Supuestos!$F$5-Supuestos!$D$5)*(Supuestos!$F$5-Supuestos!$E$5))),IF(Supuestos!$C$5="Uniforme",Supuestos!$D$5+B751*(Supuestos!$E$5-Supuestos!$D$5),IF(Supuestos!$C$5="Lognormal",LOGINV(B751,LN(Supuestos!$D$5)-LN(1+Supuestos!$E$5^2/Supuestos!$D$5^2)/2,SQRT(LN(1+Supuestos!$E$5^2/Supuestos!$D$5^2))),Supuestos!$D$5))))))</f>
        <v/>
      </c>
      <c r="J751" s="31">
        <f>MIN(IF(Supuestos!$H$6="",1E+99,Supuestos!$H$6),MAX(IF(Supuestos!$G$6="",-1E+99,Supuestos!$G$6),IF(Supuestos!$C$6="Normal",NORMINV(C751,Supuestos!$D$6,Supuestos!$E$6),IF(Supuestos!$C$6="Triangular",IF(C751&lt;(Supuestos!$E$6-Supuestos!$D$6)/(Supuestos!$F$6-Supuestos!$D$6),Supuestos!$D$6+SQRT(C751*(Supuestos!$F$6-Supuestos!$D$6)*(Supuestos!$E$6-Supuestos!$D$6)),Supuestos!$F$6-SQRT((1-C751)*(Supuestos!$F$6-Supuestos!$D$6)*(Supuestos!$F$6-Supuestos!$E$6))),IF(Supuestos!$C$6="Uniforme",Supuestos!$D$6+C751*(Supuestos!$E$6-Supuestos!$D$6),IF(Supuestos!$C$6="Lognormal",LOGINV(C751,LN(Supuestos!$D$6)-LN(1+Supuestos!$E$6^2/Supuestos!$D$6^2)/2,SQRT(LN(1+Supuestos!$E$6^2/Supuestos!$D$6^2))),Supuestos!$D$6))))))</f>
        <v/>
      </c>
      <c r="K751" s="32">
        <f>MIN(IF(Supuestos!$H$7="",1E+99,Supuestos!$H$7),MAX(IF(Supuestos!$G$7="",-1E+99,Supuestos!$G$7),IF(Supuestos!$C$7="Normal",NORMINV(D751,Supuestos!$D$7,Supuestos!$E$7),IF(Supuestos!$C$7="Triangular",IF(D751&lt;(Supuestos!$E$7-Supuestos!$D$7)/(Supuestos!$F$7-Supuestos!$D$7),Supuestos!$D$7+SQRT(D751*(Supuestos!$F$7-Supuestos!$D$7)*(Supuestos!$E$7-Supuestos!$D$7)),Supuestos!$F$7-SQRT((1-D751)*(Supuestos!$F$7-Supuestos!$D$7)*(Supuestos!$F$7-Supuestos!$E$7))),IF(Supuestos!$C$7="Uniforme",Supuestos!$D$7+D751*(Supuestos!$E$7-Supuestos!$D$7),IF(Supuestos!$C$7="Lognormal",LOGINV(D751,LN(Supuestos!$D$7)-LN(1+Supuestos!$E$7^2/Supuestos!$D$7^2)/2,SQRT(LN(1+Supuestos!$E$7^2/Supuestos!$D$7^2))),Supuestos!$D$7))))))</f>
        <v/>
      </c>
      <c r="L751" s="32">
        <f>MIN(IF(Supuestos!$H$8="",1E+99,Supuestos!$H$8),MAX(IF(Supuestos!$G$8="",-1E+99,Supuestos!$G$8),IF(Supuestos!$C$8="Normal",NORMINV(E751,Supuestos!$D$8,Supuestos!$E$8),IF(Supuestos!$C$8="Triangular",IF(E751&lt;(Supuestos!$E$8-Supuestos!$D$8)/(Supuestos!$F$8-Supuestos!$D$8),Supuestos!$D$8+SQRT(E751*(Supuestos!$F$8-Supuestos!$D$8)*(Supuestos!$E$8-Supuestos!$D$8)),Supuestos!$F$8-SQRT((1-E751)*(Supuestos!$F$8-Supuestos!$D$8)*(Supuestos!$F$8-Supuestos!$E$8))),IF(Supuestos!$C$8="Uniforme",Supuestos!$D$8+E751*(Supuestos!$E$8-Supuestos!$D$8),IF(Supuestos!$C$8="Lognormal",LOGINV(E751,LN(Supuestos!$D$8)-LN(1+Supuestos!$E$8^2/Supuestos!$D$8^2)/2,SQRT(LN(1+Supuestos!$E$8^2/Supuestos!$D$8^2))),Supuestos!$D$8))))))</f>
        <v/>
      </c>
      <c r="M751" s="32">
        <f>MIN(IF(Supuestos!$H$9="",1E+99,Supuestos!$H$9),MAX(IF(Supuestos!$G$9="",-1E+99,Supuestos!$G$9),IF(Supuestos!$C$9="Normal",NORMINV(F751,Supuestos!$D$9,Supuestos!$E$9),IF(Supuestos!$C$9="Triangular",IF(F751&lt;(Supuestos!$E$9-Supuestos!$D$9)/(Supuestos!$F$9-Supuestos!$D$9),Supuestos!$D$9+SQRT(F751*(Supuestos!$F$9-Supuestos!$D$9)*(Supuestos!$E$9-Supuestos!$D$9)),Supuestos!$F$9-SQRT((1-F751)*(Supuestos!$F$9-Supuestos!$D$9)*(Supuestos!$F$9-Supuestos!$E$9))),IF(Supuestos!$C$9="Uniforme",Supuestos!$D$9+F751*(Supuestos!$E$9-Supuestos!$D$9),IF(Supuestos!$C$9="Lognormal",LOGINV(F751,LN(Supuestos!$D$9)-LN(1+Supuestos!$E$9^2/Supuestos!$D$9^2)/2,SQRT(LN(1+Supuestos!$E$9^2/Supuestos!$D$9^2))),Supuestos!$D$9))))))</f>
        <v/>
      </c>
      <c r="N751" s="32">
        <f>MIN(IF(Supuestos!$H$10="",1E+99,Supuestos!$H$10),MAX(IF(Supuestos!$G$10="",-1E+99,Supuestos!$G$10),IF(Supuestos!$C$10="Normal",NORMINV(G751,Supuestos!$D$10,Supuestos!$E$10),IF(Supuestos!$C$10="Triangular",IF(G751&lt;(Supuestos!$E$10-Supuestos!$D$10)/(Supuestos!$F$10-Supuestos!$D$10),Supuestos!$D$10+SQRT(G751*(Supuestos!$F$10-Supuestos!$D$10)*(Supuestos!$E$10-Supuestos!$D$10)),Supuestos!$F$10-SQRT((1-G751)*(Supuestos!$F$10-Supuestos!$D$10)*(Supuestos!$F$10-Supuestos!$E$10))),IF(Supuestos!$C$10="Uniforme",Supuestos!$D$10+G751*(Supuestos!$E$10-Supuestos!$D$10),IF(Supuestos!$C$10="Lognormal",LOGINV(G751,LN(Supuestos!$D$10)-LN(1+Supuestos!$E$10^2/Supuestos!$D$10^2)/2,SQRT(LN(1+Supuestos!$E$10^2/Supuestos!$D$10^2))),Supuestos!$D$10))))))</f>
        <v/>
      </c>
      <c r="O751" s="31">
        <f>MIN(IF(Supuestos!$H$11="",1E+99,Supuestos!$H$11),MAX(IF(Supuestos!$G$11="",-1E+99,Supuestos!$G$11),IF(Supuestos!$C$11="Normal",NORMINV(H751,Supuestos!$D$11,Supuestos!$E$11),IF(Supuestos!$C$11="Triangular",IF(H751&lt;(Supuestos!$E$11-Supuestos!$D$11)/(Supuestos!$F$11-Supuestos!$D$11),Supuestos!$D$11+SQRT(H751*(Supuestos!$F$11-Supuestos!$D$11)*(Supuestos!$E$11-Supuestos!$D$11)),Supuestos!$F$11-SQRT((1-H751)*(Supuestos!$F$11-Supuestos!$D$11)*(Supuestos!$F$11-Supuestos!$E$11))),IF(Supuestos!$C$11="Uniforme",Supuestos!$D$11+H751*(Supuestos!$E$11-Supuestos!$D$11),IF(Supuestos!$C$11="Lognormal",LOGINV(H751,LN(Supuestos!$D$11)-LN(1+Supuestos!$E$11^2/Supuestos!$D$11^2)/2,SQRT(LN(1+Supuestos!$E$11^2/Supuestos!$D$11^2))),Supuestos!$D$11))))))</f>
        <v/>
      </c>
      <c r="P751" s="33">
        <f>-I751</f>
        <v/>
      </c>
      <c r="Q751" s="33">
        <f>$J751*(1+$K751)^(1-1)*(1-$L751)*(1-$M751)</f>
        <v/>
      </c>
      <c r="R751" s="33">
        <f>$J751*(1+$K751)^(2-1)*(1-$L751)*(1-$M751)</f>
        <v/>
      </c>
      <c r="S751" s="33">
        <f>$J751*(1+$K751)^(3-1)*(1-$L751)*(1-$M751)</f>
        <v/>
      </c>
      <c r="T751" s="33">
        <f>$J751*(1+$K751)^(4-1)*(1-$L751)*(1-$M751)</f>
        <v/>
      </c>
      <c r="U751" s="33">
        <f>$J751*(1+$K751)^(5-1)*(1-$L751)*(1-$M751)+$O751</f>
        <v/>
      </c>
      <c r="V751" s="33">
        <f>P751+NPV($N751,Q751:U751)</f>
        <v/>
      </c>
      <c r="W751" s="32">
        <f>IFERROR(IRR(P751:U751,0.1),"")</f>
        <v/>
      </c>
    </row>
    <row r="752">
      <c r="A752" s="14" t="n">
        <v>748</v>
      </c>
      <c r="B752" s="30">
        <f>RAND()*(1-2E-6)+1E-6</f>
        <v/>
      </c>
      <c r="C752" s="30">
        <f>RAND()*(1-2E-6)+1E-6</f>
        <v/>
      </c>
      <c r="D752" s="30">
        <f>RAND()*(1-2E-6)+1E-6</f>
        <v/>
      </c>
      <c r="E752" s="30">
        <f>RAND()*(1-2E-6)+1E-6</f>
        <v/>
      </c>
      <c r="F752" s="30">
        <f>RAND()*(1-2E-6)+1E-6</f>
        <v/>
      </c>
      <c r="G752" s="30">
        <f>RAND()*(1-2E-6)+1E-6</f>
        <v/>
      </c>
      <c r="H752" s="30">
        <f>RAND()*(1-2E-6)+1E-6</f>
        <v/>
      </c>
      <c r="I752" s="31">
        <f>MIN(IF(Supuestos!$H$5="",1E+99,Supuestos!$H$5),MAX(IF(Supuestos!$G$5="",-1E+99,Supuestos!$G$5),IF(Supuestos!$C$5="Normal",NORMINV(B752,Supuestos!$D$5,Supuestos!$E$5),IF(Supuestos!$C$5="Triangular",IF(B752&lt;(Supuestos!$E$5-Supuestos!$D$5)/(Supuestos!$F$5-Supuestos!$D$5),Supuestos!$D$5+SQRT(B752*(Supuestos!$F$5-Supuestos!$D$5)*(Supuestos!$E$5-Supuestos!$D$5)),Supuestos!$F$5-SQRT((1-B752)*(Supuestos!$F$5-Supuestos!$D$5)*(Supuestos!$F$5-Supuestos!$E$5))),IF(Supuestos!$C$5="Uniforme",Supuestos!$D$5+B752*(Supuestos!$E$5-Supuestos!$D$5),IF(Supuestos!$C$5="Lognormal",LOGINV(B752,LN(Supuestos!$D$5)-LN(1+Supuestos!$E$5^2/Supuestos!$D$5^2)/2,SQRT(LN(1+Supuestos!$E$5^2/Supuestos!$D$5^2))),Supuestos!$D$5))))))</f>
        <v/>
      </c>
      <c r="J752" s="31">
        <f>MIN(IF(Supuestos!$H$6="",1E+99,Supuestos!$H$6),MAX(IF(Supuestos!$G$6="",-1E+99,Supuestos!$G$6),IF(Supuestos!$C$6="Normal",NORMINV(C752,Supuestos!$D$6,Supuestos!$E$6),IF(Supuestos!$C$6="Triangular",IF(C752&lt;(Supuestos!$E$6-Supuestos!$D$6)/(Supuestos!$F$6-Supuestos!$D$6),Supuestos!$D$6+SQRT(C752*(Supuestos!$F$6-Supuestos!$D$6)*(Supuestos!$E$6-Supuestos!$D$6)),Supuestos!$F$6-SQRT((1-C752)*(Supuestos!$F$6-Supuestos!$D$6)*(Supuestos!$F$6-Supuestos!$E$6))),IF(Supuestos!$C$6="Uniforme",Supuestos!$D$6+C752*(Supuestos!$E$6-Supuestos!$D$6),IF(Supuestos!$C$6="Lognormal",LOGINV(C752,LN(Supuestos!$D$6)-LN(1+Supuestos!$E$6^2/Supuestos!$D$6^2)/2,SQRT(LN(1+Supuestos!$E$6^2/Supuestos!$D$6^2))),Supuestos!$D$6))))))</f>
        <v/>
      </c>
      <c r="K752" s="32">
        <f>MIN(IF(Supuestos!$H$7="",1E+99,Supuestos!$H$7),MAX(IF(Supuestos!$G$7="",-1E+99,Supuestos!$G$7),IF(Supuestos!$C$7="Normal",NORMINV(D752,Supuestos!$D$7,Supuestos!$E$7),IF(Supuestos!$C$7="Triangular",IF(D752&lt;(Supuestos!$E$7-Supuestos!$D$7)/(Supuestos!$F$7-Supuestos!$D$7),Supuestos!$D$7+SQRT(D752*(Supuestos!$F$7-Supuestos!$D$7)*(Supuestos!$E$7-Supuestos!$D$7)),Supuestos!$F$7-SQRT((1-D752)*(Supuestos!$F$7-Supuestos!$D$7)*(Supuestos!$F$7-Supuestos!$E$7))),IF(Supuestos!$C$7="Uniforme",Supuestos!$D$7+D752*(Supuestos!$E$7-Supuestos!$D$7),IF(Supuestos!$C$7="Lognormal",LOGINV(D752,LN(Supuestos!$D$7)-LN(1+Supuestos!$E$7^2/Supuestos!$D$7^2)/2,SQRT(LN(1+Supuestos!$E$7^2/Supuestos!$D$7^2))),Supuestos!$D$7))))))</f>
        <v/>
      </c>
      <c r="L752" s="32">
        <f>MIN(IF(Supuestos!$H$8="",1E+99,Supuestos!$H$8),MAX(IF(Supuestos!$G$8="",-1E+99,Supuestos!$G$8),IF(Supuestos!$C$8="Normal",NORMINV(E752,Supuestos!$D$8,Supuestos!$E$8),IF(Supuestos!$C$8="Triangular",IF(E752&lt;(Supuestos!$E$8-Supuestos!$D$8)/(Supuestos!$F$8-Supuestos!$D$8),Supuestos!$D$8+SQRT(E752*(Supuestos!$F$8-Supuestos!$D$8)*(Supuestos!$E$8-Supuestos!$D$8)),Supuestos!$F$8-SQRT((1-E752)*(Supuestos!$F$8-Supuestos!$D$8)*(Supuestos!$F$8-Supuestos!$E$8))),IF(Supuestos!$C$8="Uniforme",Supuestos!$D$8+E752*(Supuestos!$E$8-Supuestos!$D$8),IF(Supuestos!$C$8="Lognormal",LOGINV(E752,LN(Supuestos!$D$8)-LN(1+Supuestos!$E$8^2/Supuestos!$D$8^2)/2,SQRT(LN(1+Supuestos!$E$8^2/Supuestos!$D$8^2))),Supuestos!$D$8))))))</f>
        <v/>
      </c>
      <c r="M752" s="32">
        <f>MIN(IF(Supuestos!$H$9="",1E+99,Supuestos!$H$9),MAX(IF(Supuestos!$G$9="",-1E+99,Supuestos!$G$9),IF(Supuestos!$C$9="Normal",NORMINV(F752,Supuestos!$D$9,Supuestos!$E$9),IF(Supuestos!$C$9="Triangular",IF(F752&lt;(Supuestos!$E$9-Supuestos!$D$9)/(Supuestos!$F$9-Supuestos!$D$9),Supuestos!$D$9+SQRT(F752*(Supuestos!$F$9-Supuestos!$D$9)*(Supuestos!$E$9-Supuestos!$D$9)),Supuestos!$F$9-SQRT((1-F752)*(Supuestos!$F$9-Supuestos!$D$9)*(Supuestos!$F$9-Supuestos!$E$9))),IF(Supuestos!$C$9="Uniforme",Supuestos!$D$9+F752*(Supuestos!$E$9-Supuestos!$D$9),IF(Supuestos!$C$9="Lognormal",LOGINV(F752,LN(Supuestos!$D$9)-LN(1+Supuestos!$E$9^2/Supuestos!$D$9^2)/2,SQRT(LN(1+Supuestos!$E$9^2/Supuestos!$D$9^2))),Supuestos!$D$9))))))</f>
        <v/>
      </c>
      <c r="N752" s="32">
        <f>MIN(IF(Supuestos!$H$10="",1E+99,Supuestos!$H$10),MAX(IF(Supuestos!$G$10="",-1E+99,Supuestos!$G$10),IF(Supuestos!$C$10="Normal",NORMINV(G752,Supuestos!$D$10,Supuestos!$E$10),IF(Supuestos!$C$10="Triangular",IF(G752&lt;(Supuestos!$E$10-Supuestos!$D$10)/(Supuestos!$F$10-Supuestos!$D$10),Supuestos!$D$10+SQRT(G752*(Supuestos!$F$10-Supuestos!$D$10)*(Supuestos!$E$10-Supuestos!$D$10)),Supuestos!$F$10-SQRT((1-G752)*(Supuestos!$F$10-Supuestos!$D$10)*(Supuestos!$F$10-Supuestos!$E$10))),IF(Supuestos!$C$10="Uniforme",Supuestos!$D$10+G752*(Supuestos!$E$10-Supuestos!$D$10),IF(Supuestos!$C$10="Lognormal",LOGINV(G752,LN(Supuestos!$D$10)-LN(1+Supuestos!$E$10^2/Supuestos!$D$10^2)/2,SQRT(LN(1+Supuestos!$E$10^2/Supuestos!$D$10^2))),Supuestos!$D$10))))))</f>
        <v/>
      </c>
      <c r="O752" s="31">
        <f>MIN(IF(Supuestos!$H$11="",1E+99,Supuestos!$H$11),MAX(IF(Supuestos!$G$11="",-1E+99,Supuestos!$G$11),IF(Supuestos!$C$11="Normal",NORMINV(H752,Supuestos!$D$11,Supuestos!$E$11),IF(Supuestos!$C$11="Triangular",IF(H752&lt;(Supuestos!$E$11-Supuestos!$D$11)/(Supuestos!$F$11-Supuestos!$D$11),Supuestos!$D$11+SQRT(H752*(Supuestos!$F$11-Supuestos!$D$11)*(Supuestos!$E$11-Supuestos!$D$11)),Supuestos!$F$11-SQRT((1-H752)*(Supuestos!$F$11-Supuestos!$D$11)*(Supuestos!$F$11-Supuestos!$E$11))),IF(Supuestos!$C$11="Uniforme",Supuestos!$D$11+H752*(Supuestos!$E$11-Supuestos!$D$11),IF(Supuestos!$C$11="Lognormal",LOGINV(H752,LN(Supuestos!$D$11)-LN(1+Supuestos!$E$11^2/Supuestos!$D$11^2)/2,SQRT(LN(1+Supuestos!$E$11^2/Supuestos!$D$11^2))),Supuestos!$D$11))))))</f>
        <v/>
      </c>
      <c r="P752" s="33">
        <f>-I752</f>
        <v/>
      </c>
      <c r="Q752" s="33">
        <f>$J752*(1+$K752)^(1-1)*(1-$L752)*(1-$M752)</f>
        <v/>
      </c>
      <c r="R752" s="33">
        <f>$J752*(1+$K752)^(2-1)*(1-$L752)*(1-$M752)</f>
        <v/>
      </c>
      <c r="S752" s="33">
        <f>$J752*(1+$K752)^(3-1)*(1-$L752)*(1-$M752)</f>
        <v/>
      </c>
      <c r="T752" s="33">
        <f>$J752*(1+$K752)^(4-1)*(1-$L752)*(1-$M752)</f>
        <v/>
      </c>
      <c r="U752" s="33">
        <f>$J752*(1+$K752)^(5-1)*(1-$L752)*(1-$M752)+$O752</f>
        <v/>
      </c>
      <c r="V752" s="33">
        <f>P752+NPV($N752,Q752:U752)</f>
        <v/>
      </c>
      <c r="W752" s="32">
        <f>IFERROR(IRR(P752:U752,0.1),"")</f>
        <v/>
      </c>
    </row>
    <row r="753">
      <c r="A753" s="14" t="n">
        <v>749</v>
      </c>
      <c r="B753" s="30">
        <f>RAND()*(1-2E-6)+1E-6</f>
        <v/>
      </c>
      <c r="C753" s="30">
        <f>RAND()*(1-2E-6)+1E-6</f>
        <v/>
      </c>
      <c r="D753" s="30">
        <f>RAND()*(1-2E-6)+1E-6</f>
        <v/>
      </c>
      <c r="E753" s="30">
        <f>RAND()*(1-2E-6)+1E-6</f>
        <v/>
      </c>
      <c r="F753" s="30">
        <f>RAND()*(1-2E-6)+1E-6</f>
        <v/>
      </c>
      <c r="G753" s="30">
        <f>RAND()*(1-2E-6)+1E-6</f>
        <v/>
      </c>
      <c r="H753" s="30">
        <f>RAND()*(1-2E-6)+1E-6</f>
        <v/>
      </c>
      <c r="I753" s="31">
        <f>MIN(IF(Supuestos!$H$5="",1E+99,Supuestos!$H$5),MAX(IF(Supuestos!$G$5="",-1E+99,Supuestos!$G$5),IF(Supuestos!$C$5="Normal",NORMINV(B753,Supuestos!$D$5,Supuestos!$E$5),IF(Supuestos!$C$5="Triangular",IF(B753&lt;(Supuestos!$E$5-Supuestos!$D$5)/(Supuestos!$F$5-Supuestos!$D$5),Supuestos!$D$5+SQRT(B753*(Supuestos!$F$5-Supuestos!$D$5)*(Supuestos!$E$5-Supuestos!$D$5)),Supuestos!$F$5-SQRT((1-B753)*(Supuestos!$F$5-Supuestos!$D$5)*(Supuestos!$F$5-Supuestos!$E$5))),IF(Supuestos!$C$5="Uniforme",Supuestos!$D$5+B753*(Supuestos!$E$5-Supuestos!$D$5),IF(Supuestos!$C$5="Lognormal",LOGINV(B753,LN(Supuestos!$D$5)-LN(1+Supuestos!$E$5^2/Supuestos!$D$5^2)/2,SQRT(LN(1+Supuestos!$E$5^2/Supuestos!$D$5^2))),Supuestos!$D$5))))))</f>
        <v/>
      </c>
      <c r="J753" s="31">
        <f>MIN(IF(Supuestos!$H$6="",1E+99,Supuestos!$H$6),MAX(IF(Supuestos!$G$6="",-1E+99,Supuestos!$G$6),IF(Supuestos!$C$6="Normal",NORMINV(C753,Supuestos!$D$6,Supuestos!$E$6),IF(Supuestos!$C$6="Triangular",IF(C753&lt;(Supuestos!$E$6-Supuestos!$D$6)/(Supuestos!$F$6-Supuestos!$D$6),Supuestos!$D$6+SQRT(C753*(Supuestos!$F$6-Supuestos!$D$6)*(Supuestos!$E$6-Supuestos!$D$6)),Supuestos!$F$6-SQRT((1-C753)*(Supuestos!$F$6-Supuestos!$D$6)*(Supuestos!$F$6-Supuestos!$E$6))),IF(Supuestos!$C$6="Uniforme",Supuestos!$D$6+C753*(Supuestos!$E$6-Supuestos!$D$6),IF(Supuestos!$C$6="Lognormal",LOGINV(C753,LN(Supuestos!$D$6)-LN(1+Supuestos!$E$6^2/Supuestos!$D$6^2)/2,SQRT(LN(1+Supuestos!$E$6^2/Supuestos!$D$6^2))),Supuestos!$D$6))))))</f>
        <v/>
      </c>
      <c r="K753" s="32">
        <f>MIN(IF(Supuestos!$H$7="",1E+99,Supuestos!$H$7),MAX(IF(Supuestos!$G$7="",-1E+99,Supuestos!$G$7),IF(Supuestos!$C$7="Normal",NORMINV(D753,Supuestos!$D$7,Supuestos!$E$7),IF(Supuestos!$C$7="Triangular",IF(D753&lt;(Supuestos!$E$7-Supuestos!$D$7)/(Supuestos!$F$7-Supuestos!$D$7),Supuestos!$D$7+SQRT(D753*(Supuestos!$F$7-Supuestos!$D$7)*(Supuestos!$E$7-Supuestos!$D$7)),Supuestos!$F$7-SQRT((1-D753)*(Supuestos!$F$7-Supuestos!$D$7)*(Supuestos!$F$7-Supuestos!$E$7))),IF(Supuestos!$C$7="Uniforme",Supuestos!$D$7+D753*(Supuestos!$E$7-Supuestos!$D$7),IF(Supuestos!$C$7="Lognormal",LOGINV(D753,LN(Supuestos!$D$7)-LN(1+Supuestos!$E$7^2/Supuestos!$D$7^2)/2,SQRT(LN(1+Supuestos!$E$7^2/Supuestos!$D$7^2))),Supuestos!$D$7))))))</f>
        <v/>
      </c>
      <c r="L753" s="32">
        <f>MIN(IF(Supuestos!$H$8="",1E+99,Supuestos!$H$8),MAX(IF(Supuestos!$G$8="",-1E+99,Supuestos!$G$8),IF(Supuestos!$C$8="Normal",NORMINV(E753,Supuestos!$D$8,Supuestos!$E$8),IF(Supuestos!$C$8="Triangular",IF(E753&lt;(Supuestos!$E$8-Supuestos!$D$8)/(Supuestos!$F$8-Supuestos!$D$8),Supuestos!$D$8+SQRT(E753*(Supuestos!$F$8-Supuestos!$D$8)*(Supuestos!$E$8-Supuestos!$D$8)),Supuestos!$F$8-SQRT((1-E753)*(Supuestos!$F$8-Supuestos!$D$8)*(Supuestos!$F$8-Supuestos!$E$8))),IF(Supuestos!$C$8="Uniforme",Supuestos!$D$8+E753*(Supuestos!$E$8-Supuestos!$D$8),IF(Supuestos!$C$8="Lognormal",LOGINV(E753,LN(Supuestos!$D$8)-LN(1+Supuestos!$E$8^2/Supuestos!$D$8^2)/2,SQRT(LN(1+Supuestos!$E$8^2/Supuestos!$D$8^2))),Supuestos!$D$8))))))</f>
        <v/>
      </c>
      <c r="M753" s="32">
        <f>MIN(IF(Supuestos!$H$9="",1E+99,Supuestos!$H$9),MAX(IF(Supuestos!$G$9="",-1E+99,Supuestos!$G$9),IF(Supuestos!$C$9="Normal",NORMINV(F753,Supuestos!$D$9,Supuestos!$E$9),IF(Supuestos!$C$9="Triangular",IF(F753&lt;(Supuestos!$E$9-Supuestos!$D$9)/(Supuestos!$F$9-Supuestos!$D$9),Supuestos!$D$9+SQRT(F753*(Supuestos!$F$9-Supuestos!$D$9)*(Supuestos!$E$9-Supuestos!$D$9)),Supuestos!$F$9-SQRT((1-F753)*(Supuestos!$F$9-Supuestos!$D$9)*(Supuestos!$F$9-Supuestos!$E$9))),IF(Supuestos!$C$9="Uniforme",Supuestos!$D$9+F753*(Supuestos!$E$9-Supuestos!$D$9),IF(Supuestos!$C$9="Lognormal",LOGINV(F753,LN(Supuestos!$D$9)-LN(1+Supuestos!$E$9^2/Supuestos!$D$9^2)/2,SQRT(LN(1+Supuestos!$E$9^2/Supuestos!$D$9^2))),Supuestos!$D$9))))))</f>
        <v/>
      </c>
      <c r="N753" s="32">
        <f>MIN(IF(Supuestos!$H$10="",1E+99,Supuestos!$H$10),MAX(IF(Supuestos!$G$10="",-1E+99,Supuestos!$G$10),IF(Supuestos!$C$10="Normal",NORMINV(G753,Supuestos!$D$10,Supuestos!$E$10),IF(Supuestos!$C$10="Triangular",IF(G753&lt;(Supuestos!$E$10-Supuestos!$D$10)/(Supuestos!$F$10-Supuestos!$D$10),Supuestos!$D$10+SQRT(G753*(Supuestos!$F$10-Supuestos!$D$10)*(Supuestos!$E$10-Supuestos!$D$10)),Supuestos!$F$10-SQRT((1-G753)*(Supuestos!$F$10-Supuestos!$D$10)*(Supuestos!$F$10-Supuestos!$E$10))),IF(Supuestos!$C$10="Uniforme",Supuestos!$D$10+G753*(Supuestos!$E$10-Supuestos!$D$10),IF(Supuestos!$C$10="Lognormal",LOGINV(G753,LN(Supuestos!$D$10)-LN(1+Supuestos!$E$10^2/Supuestos!$D$10^2)/2,SQRT(LN(1+Supuestos!$E$10^2/Supuestos!$D$10^2))),Supuestos!$D$10))))))</f>
        <v/>
      </c>
      <c r="O753" s="31">
        <f>MIN(IF(Supuestos!$H$11="",1E+99,Supuestos!$H$11),MAX(IF(Supuestos!$G$11="",-1E+99,Supuestos!$G$11),IF(Supuestos!$C$11="Normal",NORMINV(H753,Supuestos!$D$11,Supuestos!$E$11),IF(Supuestos!$C$11="Triangular",IF(H753&lt;(Supuestos!$E$11-Supuestos!$D$11)/(Supuestos!$F$11-Supuestos!$D$11),Supuestos!$D$11+SQRT(H753*(Supuestos!$F$11-Supuestos!$D$11)*(Supuestos!$E$11-Supuestos!$D$11)),Supuestos!$F$11-SQRT((1-H753)*(Supuestos!$F$11-Supuestos!$D$11)*(Supuestos!$F$11-Supuestos!$E$11))),IF(Supuestos!$C$11="Uniforme",Supuestos!$D$11+H753*(Supuestos!$E$11-Supuestos!$D$11),IF(Supuestos!$C$11="Lognormal",LOGINV(H753,LN(Supuestos!$D$11)-LN(1+Supuestos!$E$11^2/Supuestos!$D$11^2)/2,SQRT(LN(1+Supuestos!$E$11^2/Supuestos!$D$11^2))),Supuestos!$D$11))))))</f>
        <v/>
      </c>
      <c r="P753" s="33">
        <f>-I753</f>
        <v/>
      </c>
      <c r="Q753" s="33">
        <f>$J753*(1+$K753)^(1-1)*(1-$L753)*(1-$M753)</f>
        <v/>
      </c>
      <c r="R753" s="33">
        <f>$J753*(1+$K753)^(2-1)*(1-$L753)*(1-$M753)</f>
        <v/>
      </c>
      <c r="S753" s="33">
        <f>$J753*(1+$K753)^(3-1)*(1-$L753)*(1-$M753)</f>
        <v/>
      </c>
      <c r="T753" s="33">
        <f>$J753*(1+$K753)^(4-1)*(1-$L753)*(1-$M753)</f>
        <v/>
      </c>
      <c r="U753" s="33">
        <f>$J753*(1+$K753)^(5-1)*(1-$L753)*(1-$M753)+$O753</f>
        <v/>
      </c>
      <c r="V753" s="33">
        <f>P753+NPV($N753,Q753:U753)</f>
        <v/>
      </c>
      <c r="W753" s="32">
        <f>IFERROR(IRR(P753:U753,0.1),"")</f>
        <v/>
      </c>
    </row>
    <row r="754">
      <c r="A754" s="14" t="n">
        <v>750</v>
      </c>
      <c r="B754" s="30">
        <f>RAND()*(1-2E-6)+1E-6</f>
        <v/>
      </c>
      <c r="C754" s="30">
        <f>RAND()*(1-2E-6)+1E-6</f>
        <v/>
      </c>
      <c r="D754" s="30">
        <f>RAND()*(1-2E-6)+1E-6</f>
        <v/>
      </c>
      <c r="E754" s="30">
        <f>RAND()*(1-2E-6)+1E-6</f>
        <v/>
      </c>
      <c r="F754" s="30">
        <f>RAND()*(1-2E-6)+1E-6</f>
        <v/>
      </c>
      <c r="G754" s="30">
        <f>RAND()*(1-2E-6)+1E-6</f>
        <v/>
      </c>
      <c r="H754" s="30">
        <f>RAND()*(1-2E-6)+1E-6</f>
        <v/>
      </c>
      <c r="I754" s="31">
        <f>MIN(IF(Supuestos!$H$5="",1E+99,Supuestos!$H$5),MAX(IF(Supuestos!$G$5="",-1E+99,Supuestos!$G$5),IF(Supuestos!$C$5="Normal",NORMINV(B754,Supuestos!$D$5,Supuestos!$E$5),IF(Supuestos!$C$5="Triangular",IF(B754&lt;(Supuestos!$E$5-Supuestos!$D$5)/(Supuestos!$F$5-Supuestos!$D$5),Supuestos!$D$5+SQRT(B754*(Supuestos!$F$5-Supuestos!$D$5)*(Supuestos!$E$5-Supuestos!$D$5)),Supuestos!$F$5-SQRT((1-B754)*(Supuestos!$F$5-Supuestos!$D$5)*(Supuestos!$F$5-Supuestos!$E$5))),IF(Supuestos!$C$5="Uniforme",Supuestos!$D$5+B754*(Supuestos!$E$5-Supuestos!$D$5),IF(Supuestos!$C$5="Lognormal",LOGINV(B754,LN(Supuestos!$D$5)-LN(1+Supuestos!$E$5^2/Supuestos!$D$5^2)/2,SQRT(LN(1+Supuestos!$E$5^2/Supuestos!$D$5^2))),Supuestos!$D$5))))))</f>
        <v/>
      </c>
      <c r="J754" s="31">
        <f>MIN(IF(Supuestos!$H$6="",1E+99,Supuestos!$H$6),MAX(IF(Supuestos!$G$6="",-1E+99,Supuestos!$G$6),IF(Supuestos!$C$6="Normal",NORMINV(C754,Supuestos!$D$6,Supuestos!$E$6),IF(Supuestos!$C$6="Triangular",IF(C754&lt;(Supuestos!$E$6-Supuestos!$D$6)/(Supuestos!$F$6-Supuestos!$D$6),Supuestos!$D$6+SQRT(C754*(Supuestos!$F$6-Supuestos!$D$6)*(Supuestos!$E$6-Supuestos!$D$6)),Supuestos!$F$6-SQRT((1-C754)*(Supuestos!$F$6-Supuestos!$D$6)*(Supuestos!$F$6-Supuestos!$E$6))),IF(Supuestos!$C$6="Uniforme",Supuestos!$D$6+C754*(Supuestos!$E$6-Supuestos!$D$6),IF(Supuestos!$C$6="Lognormal",LOGINV(C754,LN(Supuestos!$D$6)-LN(1+Supuestos!$E$6^2/Supuestos!$D$6^2)/2,SQRT(LN(1+Supuestos!$E$6^2/Supuestos!$D$6^2))),Supuestos!$D$6))))))</f>
        <v/>
      </c>
      <c r="K754" s="32">
        <f>MIN(IF(Supuestos!$H$7="",1E+99,Supuestos!$H$7),MAX(IF(Supuestos!$G$7="",-1E+99,Supuestos!$G$7),IF(Supuestos!$C$7="Normal",NORMINV(D754,Supuestos!$D$7,Supuestos!$E$7),IF(Supuestos!$C$7="Triangular",IF(D754&lt;(Supuestos!$E$7-Supuestos!$D$7)/(Supuestos!$F$7-Supuestos!$D$7),Supuestos!$D$7+SQRT(D754*(Supuestos!$F$7-Supuestos!$D$7)*(Supuestos!$E$7-Supuestos!$D$7)),Supuestos!$F$7-SQRT((1-D754)*(Supuestos!$F$7-Supuestos!$D$7)*(Supuestos!$F$7-Supuestos!$E$7))),IF(Supuestos!$C$7="Uniforme",Supuestos!$D$7+D754*(Supuestos!$E$7-Supuestos!$D$7),IF(Supuestos!$C$7="Lognormal",LOGINV(D754,LN(Supuestos!$D$7)-LN(1+Supuestos!$E$7^2/Supuestos!$D$7^2)/2,SQRT(LN(1+Supuestos!$E$7^2/Supuestos!$D$7^2))),Supuestos!$D$7))))))</f>
        <v/>
      </c>
      <c r="L754" s="32">
        <f>MIN(IF(Supuestos!$H$8="",1E+99,Supuestos!$H$8),MAX(IF(Supuestos!$G$8="",-1E+99,Supuestos!$G$8),IF(Supuestos!$C$8="Normal",NORMINV(E754,Supuestos!$D$8,Supuestos!$E$8),IF(Supuestos!$C$8="Triangular",IF(E754&lt;(Supuestos!$E$8-Supuestos!$D$8)/(Supuestos!$F$8-Supuestos!$D$8),Supuestos!$D$8+SQRT(E754*(Supuestos!$F$8-Supuestos!$D$8)*(Supuestos!$E$8-Supuestos!$D$8)),Supuestos!$F$8-SQRT((1-E754)*(Supuestos!$F$8-Supuestos!$D$8)*(Supuestos!$F$8-Supuestos!$E$8))),IF(Supuestos!$C$8="Uniforme",Supuestos!$D$8+E754*(Supuestos!$E$8-Supuestos!$D$8),IF(Supuestos!$C$8="Lognormal",LOGINV(E754,LN(Supuestos!$D$8)-LN(1+Supuestos!$E$8^2/Supuestos!$D$8^2)/2,SQRT(LN(1+Supuestos!$E$8^2/Supuestos!$D$8^2))),Supuestos!$D$8))))))</f>
        <v/>
      </c>
      <c r="M754" s="32">
        <f>MIN(IF(Supuestos!$H$9="",1E+99,Supuestos!$H$9),MAX(IF(Supuestos!$G$9="",-1E+99,Supuestos!$G$9),IF(Supuestos!$C$9="Normal",NORMINV(F754,Supuestos!$D$9,Supuestos!$E$9),IF(Supuestos!$C$9="Triangular",IF(F754&lt;(Supuestos!$E$9-Supuestos!$D$9)/(Supuestos!$F$9-Supuestos!$D$9),Supuestos!$D$9+SQRT(F754*(Supuestos!$F$9-Supuestos!$D$9)*(Supuestos!$E$9-Supuestos!$D$9)),Supuestos!$F$9-SQRT((1-F754)*(Supuestos!$F$9-Supuestos!$D$9)*(Supuestos!$F$9-Supuestos!$E$9))),IF(Supuestos!$C$9="Uniforme",Supuestos!$D$9+F754*(Supuestos!$E$9-Supuestos!$D$9),IF(Supuestos!$C$9="Lognormal",LOGINV(F754,LN(Supuestos!$D$9)-LN(1+Supuestos!$E$9^2/Supuestos!$D$9^2)/2,SQRT(LN(1+Supuestos!$E$9^2/Supuestos!$D$9^2))),Supuestos!$D$9))))))</f>
        <v/>
      </c>
      <c r="N754" s="32">
        <f>MIN(IF(Supuestos!$H$10="",1E+99,Supuestos!$H$10),MAX(IF(Supuestos!$G$10="",-1E+99,Supuestos!$G$10),IF(Supuestos!$C$10="Normal",NORMINV(G754,Supuestos!$D$10,Supuestos!$E$10),IF(Supuestos!$C$10="Triangular",IF(G754&lt;(Supuestos!$E$10-Supuestos!$D$10)/(Supuestos!$F$10-Supuestos!$D$10),Supuestos!$D$10+SQRT(G754*(Supuestos!$F$10-Supuestos!$D$10)*(Supuestos!$E$10-Supuestos!$D$10)),Supuestos!$F$10-SQRT((1-G754)*(Supuestos!$F$10-Supuestos!$D$10)*(Supuestos!$F$10-Supuestos!$E$10))),IF(Supuestos!$C$10="Uniforme",Supuestos!$D$10+G754*(Supuestos!$E$10-Supuestos!$D$10),IF(Supuestos!$C$10="Lognormal",LOGINV(G754,LN(Supuestos!$D$10)-LN(1+Supuestos!$E$10^2/Supuestos!$D$10^2)/2,SQRT(LN(1+Supuestos!$E$10^2/Supuestos!$D$10^2))),Supuestos!$D$10))))))</f>
        <v/>
      </c>
      <c r="O754" s="31">
        <f>MIN(IF(Supuestos!$H$11="",1E+99,Supuestos!$H$11),MAX(IF(Supuestos!$G$11="",-1E+99,Supuestos!$G$11),IF(Supuestos!$C$11="Normal",NORMINV(H754,Supuestos!$D$11,Supuestos!$E$11),IF(Supuestos!$C$11="Triangular",IF(H754&lt;(Supuestos!$E$11-Supuestos!$D$11)/(Supuestos!$F$11-Supuestos!$D$11),Supuestos!$D$11+SQRT(H754*(Supuestos!$F$11-Supuestos!$D$11)*(Supuestos!$E$11-Supuestos!$D$11)),Supuestos!$F$11-SQRT((1-H754)*(Supuestos!$F$11-Supuestos!$D$11)*(Supuestos!$F$11-Supuestos!$E$11))),IF(Supuestos!$C$11="Uniforme",Supuestos!$D$11+H754*(Supuestos!$E$11-Supuestos!$D$11),IF(Supuestos!$C$11="Lognormal",LOGINV(H754,LN(Supuestos!$D$11)-LN(1+Supuestos!$E$11^2/Supuestos!$D$11^2)/2,SQRT(LN(1+Supuestos!$E$11^2/Supuestos!$D$11^2))),Supuestos!$D$11))))))</f>
        <v/>
      </c>
      <c r="P754" s="33">
        <f>-I754</f>
        <v/>
      </c>
      <c r="Q754" s="33">
        <f>$J754*(1+$K754)^(1-1)*(1-$L754)*(1-$M754)</f>
        <v/>
      </c>
      <c r="R754" s="33">
        <f>$J754*(1+$K754)^(2-1)*(1-$L754)*(1-$M754)</f>
        <v/>
      </c>
      <c r="S754" s="33">
        <f>$J754*(1+$K754)^(3-1)*(1-$L754)*(1-$M754)</f>
        <v/>
      </c>
      <c r="T754" s="33">
        <f>$J754*(1+$K754)^(4-1)*(1-$L754)*(1-$M754)</f>
        <v/>
      </c>
      <c r="U754" s="33">
        <f>$J754*(1+$K754)^(5-1)*(1-$L754)*(1-$M754)+$O754</f>
        <v/>
      </c>
      <c r="V754" s="33">
        <f>P754+NPV($N754,Q754:U754)</f>
        <v/>
      </c>
      <c r="W754" s="32">
        <f>IFERROR(IRR(P754:U754,0.1),"")</f>
        <v/>
      </c>
    </row>
    <row r="755">
      <c r="A755" s="14" t="n">
        <v>751</v>
      </c>
      <c r="B755" s="30">
        <f>RAND()*(1-2E-6)+1E-6</f>
        <v/>
      </c>
      <c r="C755" s="30">
        <f>RAND()*(1-2E-6)+1E-6</f>
        <v/>
      </c>
      <c r="D755" s="30">
        <f>RAND()*(1-2E-6)+1E-6</f>
        <v/>
      </c>
      <c r="E755" s="30">
        <f>RAND()*(1-2E-6)+1E-6</f>
        <v/>
      </c>
      <c r="F755" s="30">
        <f>RAND()*(1-2E-6)+1E-6</f>
        <v/>
      </c>
      <c r="G755" s="30">
        <f>RAND()*(1-2E-6)+1E-6</f>
        <v/>
      </c>
      <c r="H755" s="30">
        <f>RAND()*(1-2E-6)+1E-6</f>
        <v/>
      </c>
      <c r="I755" s="31">
        <f>MIN(IF(Supuestos!$H$5="",1E+99,Supuestos!$H$5),MAX(IF(Supuestos!$G$5="",-1E+99,Supuestos!$G$5),IF(Supuestos!$C$5="Normal",NORMINV(B755,Supuestos!$D$5,Supuestos!$E$5),IF(Supuestos!$C$5="Triangular",IF(B755&lt;(Supuestos!$E$5-Supuestos!$D$5)/(Supuestos!$F$5-Supuestos!$D$5),Supuestos!$D$5+SQRT(B755*(Supuestos!$F$5-Supuestos!$D$5)*(Supuestos!$E$5-Supuestos!$D$5)),Supuestos!$F$5-SQRT((1-B755)*(Supuestos!$F$5-Supuestos!$D$5)*(Supuestos!$F$5-Supuestos!$E$5))),IF(Supuestos!$C$5="Uniforme",Supuestos!$D$5+B755*(Supuestos!$E$5-Supuestos!$D$5),IF(Supuestos!$C$5="Lognormal",LOGINV(B755,LN(Supuestos!$D$5)-LN(1+Supuestos!$E$5^2/Supuestos!$D$5^2)/2,SQRT(LN(1+Supuestos!$E$5^2/Supuestos!$D$5^2))),Supuestos!$D$5))))))</f>
        <v/>
      </c>
      <c r="J755" s="31">
        <f>MIN(IF(Supuestos!$H$6="",1E+99,Supuestos!$H$6),MAX(IF(Supuestos!$G$6="",-1E+99,Supuestos!$G$6),IF(Supuestos!$C$6="Normal",NORMINV(C755,Supuestos!$D$6,Supuestos!$E$6),IF(Supuestos!$C$6="Triangular",IF(C755&lt;(Supuestos!$E$6-Supuestos!$D$6)/(Supuestos!$F$6-Supuestos!$D$6),Supuestos!$D$6+SQRT(C755*(Supuestos!$F$6-Supuestos!$D$6)*(Supuestos!$E$6-Supuestos!$D$6)),Supuestos!$F$6-SQRT((1-C755)*(Supuestos!$F$6-Supuestos!$D$6)*(Supuestos!$F$6-Supuestos!$E$6))),IF(Supuestos!$C$6="Uniforme",Supuestos!$D$6+C755*(Supuestos!$E$6-Supuestos!$D$6),IF(Supuestos!$C$6="Lognormal",LOGINV(C755,LN(Supuestos!$D$6)-LN(1+Supuestos!$E$6^2/Supuestos!$D$6^2)/2,SQRT(LN(1+Supuestos!$E$6^2/Supuestos!$D$6^2))),Supuestos!$D$6))))))</f>
        <v/>
      </c>
      <c r="K755" s="32">
        <f>MIN(IF(Supuestos!$H$7="",1E+99,Supuestos!$H$7),MAX(IF(Supuestos!$G$7="",-1E+99,Supuestos!$G$7),IF(Supuestos!$C$7="Normal",NORMINV(D755,Supuestos!$D$7,Supuestos!$E$7),IF(Supuestos!$C$7="Triangular",IF(D755&lt;(Supuestos!$E$7-Supuestos!$D$7)/(Supuestos!$F$7-Supuestos!$D$7),Supuestos!$D$7+SQRT(D755*(Supuestos!$F$7-Supuestos!$D$7)*(Supuestos!$E$7-Supuestos!$D$7)),Supuestos!$F$7-SQRT((1-D755)*(Supuestos!$F$7-Supuestos!$D$7)*(Supuestos!$F$7-Supuestos!$E$7))),IF(Supuestos!$C$7="Uniforme",Supuestos!$D$7+D755*(Supuestos!$E$7-Supuestos!$D$7),IF(Supuestos!$C$7="Lognormal",LOGINV(D755,LN(Supuestos!$D$7)-LN(1+Supuestos!$E$7^2/Supuestos!$D$7^2)/2,SQRT(LN(1+Supuestos!$E$7^2/Supuestos!$D$7^2))),Supuestos!$D$7))))))</f>
        <v/>
      </c>
      <c r="L755" s="32">
        <f>MIN(IF(Supuestos!$H$8="",1E+99,Supuestos!$H$8),MAX(IF(Supuestos!$G$8="",-1E+99,Supuestos!$G$8),IF(Supuestos!$C$8="Normal",NORMINV(E755,Supuestos!$D$8,Supuestos!$E$8),IF(Supuestos!$C$8="Triangular",IF(E755&lt;(Supuestos!$E$8-Supuestos!$D$8)/(Supuestos!$F$8-Supuestos!$D$8),Supuestos!$D$8+SQRT(E755*(Supuestos!$F$8-Supuestos!$D$8)*(Supuestos!$E$8-Supuestos!$D$8)),Supuestos!$F$8-SQRT((1-E755)*(Supuestos!$F$8-Supuestos!$D$8)*(Supuestos!$F$8-Supuestos!$E$8))),IF(Supuestos!$C$8="Uniforme",Supuestos!$D$8+E755*(Supuestos!$E$8-Supuestos!$D$8),IF(Supuestos!$C$8="Lognormal",LOGINV(E755,LN(Supuestos!$D$8)-LN(1+Supuestos!$E$8^2/Supuestos!$D$8^2)/2,SQRT(LN(1+Supuestos!$E$8^2/Supuestos!$D$8^2))),Supuestos!$D$8))))))</f>
        <v/>
      </c>
      <c r="M755" s="32">
        <f>MIN(IF(Supuestos!$H$9="",1E+99,Supuestos!$H$9),MAX(IF(Supuestos!$G$9="",-1E+99,Supuestos!$G$9),IF(Supuestos!$C$9="Normal",NORMINV(F755,Supuestos!$D$9,Supuestos!$E$9),IF(Supuestos!$C$9="Triangular",IF(F755&lt;(Supuestos!$E$9-Supuestos!$D$9)/(Supuestos!$F$9-Supuestos!$D$9),Supuestos!$D$9+SQRT(F755*(Supuestos!$F$9-Supuestos!$D$9)*(Supuestos!$E$9-Supuestos!$D$9)),Supuestos!$F$9-SQRT((1-F755)*(Supuestos!$F$9-Supuestos!$D$9)*(Supuestos!$F$9-Supuestos!$E$9))),IF(Supuestos!$C$9="Uniforme",Supuestos!$D$9+F755*(Supuestos!$E$9-Supuestos!$D$9),IF(Supuestos!$C$9="Lognormal",LOGINV(F755,LN(Supuestos!$D$9)-LN(1+Supuestos!$E$9^2/Supuestos!$D$9^2)/2,SQRT(LN(1+Supuestos!$E$9^2/Supuestos!$D$9^2))),Supuestos!$D$9))))))</f>
        <v/>
      </c>
      <c r="N755" s="32">
        <f>MIN(IF(Supuestos!$H$10="",1E+99,Supuestos!$H$10),MAX(IF(Supuestos!$G$10="",-1E+99,Supuestos!$G$10),IF(Supuestos!$C$10="Normal",NORMINV(G755,Supuestos!$D$10,Supuestos!$E$10),IF(Supuestos!$C$10="Triangular",IF(G755&lt;(Supuestos!$E$10-Supuestos!$D$10)/(Supuestos!$F$10-Supuestos!$D$10),Supuestos!$D$10+SQRT(G755*(Supuestos!$F$10-Supuestos!$D$10)*(Supuestos!$E$10-Supuestos!$D$10)),Supuestos!$F$10-SQRT((1-G755)*(Supuestos!$F$10-Supuestos!$D$10)*(Supuestos!$F$10-Supuestos!$E$10))),IF(Supuestos!$C$10="Uniforme",Supuestos!$D$10+G755*(Supuestos!$E$10-Supuestos!$D$10),IF(Supuestos!$C$10="Lognormal",LOGINV(G755,LN(Supuestos!$D$10)-LN(1+Supuestos!$E$10^2/Supuestos!$D$10^2)/2,SQRT(LN(1+Supuestos!$E$10^2/Supuestos!$D$10^2))),Supuestos!$D$10))))))</f>
        <v/>
      </c>
      <c r="O755" s="31">
        <f>MIN(IF(Supuestos!$H$11="",1E+99,Supuestos!$H$11),MAX(IF(Supuestos!$G$11="",-1E+99,Supuestos!$G$11),IF(Supuestos!$C$11="Normal",NORMINV(H755,Supuestos!$D$11,Supuestos!$E$11),IF(Supuestos!$C$11="Triangular",IF(H755&lt;(Supuestos!$E$11-Supuestos!$D$11)/(Supuestos!$F$11-Supuestos!$D$11),Supuestos!$D$11+SQRT(H755*(Supuestos!$F$11-Supuestos!$D$11)*(Supuestos!$E$11-Supuestos!$D$11)),Supuestos!$F$11-SQRT((1-H755)*(Supuestos!$F$11-Supuestos!$D$11)*(Supuestos!$F$11-Supuestos!$E$11))),IF(Supuestos!$C$11="Uniforme",Supuestos!$D$11+H755*(Supuestos!$E$11-Supuestos!$D$11),IF(Supuestos!$C$11="Lognormal",LOGINV(H755,LN(Supuestos!$D$11)-LN(1+Supuestos!$E$11^2/Supuestos!$D$11^2)/2,SQRT(LN(1+Supuestos!$E$11^2/Supuestos!$D$11^2))),Supuestos!$D$11))))))</f>
        <v/>
      </c>
      <c r="P755" s="33">
        <f>-I755</f>
        <v/>
      </c>
      <c r="Q755" s="33">
        <f>$J755*(1+$K755)^(1-1)*(1-$L755)*(1-$M755)</f>
        <v/>
      </c>
      <c r="R755" s="33">
        <f>$J755*(1+$K755)^(2-1)*(1-$L755)*(1-$M755)</f>
        <v/>
      </c>
      <c r="S755" s="33">
        <f>$J755*(1+$K755)^(3-1)*(1-$L755)*(1-$M755)</f>
        <v/>
      </c>
      <c r="T755" s="33">
        <f>$J755*(1+$K755)^(4-1)*(1-$L755)*(1-$M755)</f>
        <v/>
      </c>
      <c r="U755" s="33">
        <f>$J755*(1+$K755)^(5-1)*(1-$L755)*(1-$M755)+$O755</f>
        <v/>
      </c>
      <c r="V755" s="33">
        <f>P755+NPV($N755,Q755:U755)</f>
        <v/>
      </c>
      <c r="W755" s="32">
        <f>IFERROR(IRR(P755:U755,0.1),"")</f>
        <v/>
      </c>
    </row>
    <row r="756">
      <c r="A756" s="14" t="n">
        <v>752</v>
      </c>
      <c r="B756" s="30">
        <f>RAND()*(1-2E-6)+1E-6</f>
        <v/>
      </c>
      <c r="C756" s="30">
        <f>RAND()*(1-2E-6)+1E-6</f>
        <v/>
      </c>
      <c r="D756" s="30">
        <f>RAND()*(1-2E-6)+1E-6</f>
        <v/>
      </c>
      <c r="E756" s="30">
        <f>RAND()*(1-2E-6)+1E-6</f>
        <v/>
      </c>
      <c r="F756" s="30">
        <f>RAND()*(1-2E-6)+1E-6</f>
        <v/>
      </c>
      <c r="G756" s="30">
        <f>RAND()*(1-2E-6)+1E-6</f>
        <v/>
      </c>
      <c r="H756" s="30">
        <f>RAND()*(1-2E-6)+1E-6</f>
        <v/>
      </c>
      <c r="I756" s="31">
        <f>MIN(IF(Supuestos!$H$5="",1E+99,Supuestos!$H$5),MAX(IF(Supuestos!$G$5="",-1E+99,Supuestos!$G$5),IF(Supuestos!$C$5="Normal",NORMINV(B756,Supuestos!$D$5,Supuestos!$E$5),IF(Supuestos!$C$5="Triangular",IF(B756&lt;(Supuestos!$E$5-Supuestos!$D$5)/(Supuestos!$F$5-Supuestos!$D$5),Supuestos!$D$5+SQRT(B756*(Supuestos!$F$5-Supuestos!$D$5)*(Supuestos!$E$5-Supuestos!$D$5)),Supuestos!$F$5-SQRT((1-B756)*(Supuestos!$F$5-Supuestos!$D$5)*(Supuestos!$F$5-Supuestos!$E$5))),IF(Supuestos!$C$5="Uniforme",Supuestos!$D$5+B756*(Supuestos!$E$5-Supuestos!$D$5),IF(Supuestos!$C$5="Lognormal",LOGINV(B756,LN(Supuestos!$D$5)-LN(1+Supuestos!$E$5^2/Supuestos!$D$5^2)/2,SQRT(LN(1+Supuestos!$E$5^2/Supuestos!$D$5^2))),Supuestos!$D$5))))))</f>
        <v/>
      </c>
      <c r="J756" s="31">
        <f>MIN(IF(Supuestos!$H$6="",1E+99,Supuestos!$H$6),MAX(IF(Supuestos!$G$6="",-1E+99,Supuestos!$G$6),IF(Supuestos!$C$6="Normal",NORMINV(C756,Supuestos!$D$6,Supuestos!$E$6),IF(Supuestos!$C$6="Triangular",IF(C756&lt;(Supuestos!$E$6-Supuestos!$D$6)/(Supuestos!$F$6-Supuestos!$D$6),Supuestos!$D$6+SQRT(C756*(Supuestos!$F$6-Supuestos!$D$6)*(Supuestos!$E$6-Supuestos!$D$6)),Supuestos!$F$6-SQRT((1-C756)*(Supuestos!$F$6-Supuestos!$D$6)*(Supuestos!$F$6-Supuestos!$E$6))),IF(Supuestos!$C$6="Uniforme",Supuestos!$D$6+C756*(Supuestos!$E$6-Supuestos!$D$6),IF(Supuestos!$C$6="Lognormal",LOGINV(C756,LN(Supuestos!$D$6)-LN(1+Supuestos!$E$6^2/Supuestos!$D$6^2)/2,SQRT(LN(1+Supuestos!$E$6^2/Supuestos!$D$6^2))),Supuestos!$D$6))))))</f>
        <v/>
      </c>
      <c r="K756" s="32">
        <f>MIN(IF(Supuestos!$H$7="",1E+99,Supuestos!$H$7),MAX(IF(Supuestos!$G$7="",-1E+99,Supuestos!$G$7),IF(Supuestos!$C$7="Normal",NORMINV(D756,Supuestos!$D$7,Supuestos!$E$7),IF(Supuestos!$C$7="Triangular",IF(D756&lt;(Supuestos!$E$7-Supuestos!$D$7)/(Supuestos!$F$7-Supuestos!$D$7),Supuestos!$D$7+SQRT(D756*(Supuestos!$F$7-Supuestos!$D$7)*(Supuestos!$E$7-Supuestos!$D$7)),Supuestos!$F$7-SQRT((1-D756)*(Supuestos!$F$7-Supuestos!$D$7)*(Supuestos!$F$7-Supuestos!$E$7))),IF(Supuestos!$C$7="Uniforme",Supuestos!$D$7+D756*(Supuestos!$E$7-Supuestos!$D$7),IF(Supuestos!$C$7="Lognormal",LOGINV(D756,LN(Supuestos!$D$7)-LN(1+Supuestos!$E$7^2/Supuestos!$D$7^2)/2,SQRT(LN(1+Supuestos!$E$7^2/Supuestos!$D$7^2))),Supuestos!$D$7))))))</f>
        <v/>
      </c>
      <c r="L756" s="32">
        <f>MIN(IF(Supuestos!$H$8="",1E+99,Supuestos!$H$8),MAX(IF(Supuestos!$G$8="",-1E+99,Supuestos!$G$8),IF(Supuestos!$C$8="Normal",NORMINV(E756,Supuestos!$D$8,Supuestos!$E$8),IF(Supuestos!$C$8="Triangular",IF(E756&lt;(Supuestos!$E$8-Supuestos!$D$8)/(Supuestos!$F$8-Supuestos!$D$8),Supuestos!$D$8+SQRT(E756*(Supuestos!$F$8-Supuestos!$D$8)*(Supuestos!$E$8-Supuestos!$D$8)),Supuestos!$F$8-SQRT((1-E756)*(Supuestos!$F$8-Supuestos!$D$8)*(Supuestos!$F$8-Supuestos!$E$8))),IF(Supuestos!$C$8="Uniforme",Supuestos!$D$8+E756*(Supuestos!$E$8-Supuestos!$D$8),IF(Supuestos!$C$8="Lognormal",LOGINV(E756,LN(Supuestos!$D$8)-LN(1+Supuestos!$E$8^2/Supuestos!$D$8^2)/2,SQRT(LN(1+Supuestos!$E$8^2/Supuestos!$D$8^2))),Supuestos!$D$8))))))</f>
        <v/>
      </c>
      <c r="M756" s="32">
        <f>MIN(IF(Supuestos!$H$9="",1E+99,Supuestos!$H$9),MAX(IF(Supuestos!$G$9="",-1E+99,Supuestos!$G$9),IF(Supuestos!$C$9="Normal",NORMINV(F756,Supuestos!$D$9,Supuestos!$E$9),IF(Supuestos!$C$9="Triangular",IF(F756&lt;(Supuestos!$E$9-Supuestos!$D$9)/(Supuestos!$F$9-Supuestos!$D$9),Supuestos!$D$9+SQRT(F756*(Supuestos!$F$9-Supuestos!$D$9)*(Supuestos!$E$9-Supuestos!$D$9)),Supuestos!$F$9-SQRT((1-F756)*(Supuestos!$F$9-Supuestos!$D$9)*(Supuestos!$F$9-Supuestos!$E$9))),IF(Supuestos!$C$9="Uniforme",Supuestos!$D$9+F756*(Supuestos!$E$9-Supuestos!$D$9),IF(Supuestos!$C$9="Lognormal",LOGINV(F756,LN(Supuestos!$D$9)-LN(1+Supuestos!$E$9^2/Supuestos!$D$9^2)/2,SQRT(LN(1+Supuestos!$E$9^2/Supuestos!$D$9^2))),Supuestos!$D$9))))))</f>
        <v/>
      </c>
      <c r="N756" s="32">
        <f>MIN(IF(Supuestos!$H$10="",1E+99,Supuestos!$H$10),MAX(IF(Supuestos!$G$10="",-1E+99,Supuestos!$G$10),IF(Supuestos!$C$10="Normal",NORMINV(G756,Supuestos!$D$10,Supuestos!$E$10),IF(Supuestos!$C$10="Triangular",IF(G756&lt;(Supuestos!$E$10-Supuestos!$D$10)/(Supuestos!$F$10-Supuestos!$D$10),Supuestos!$D$10+SQRT(G756*(Supuestos!$F$10-Supuestos!$D$10)*(Supuestos!$E$10-Supuestos!$D$10)),Supuestos!$F$10-SQRT((1-G756)*(Supuestos!$F$10-Supuestos!$D$10)*(Supuestos!$F$10-Supuestos!$E$10))),IF(Supuestos!$C$10="Uniforme",Supuestos!$D$10+G756*(Supuestos!$E$10-Supuestos!$D$10),IF(Supuestos!$C$10="Lognormal",LOGINV(G756,LN(Supuestos!$D$10)-LN(1+Supuestos!$E$10^2/Supuestos!$D$10^2)/2,SQRT(LN(1+Supuestos!$E$10^2/Supuestos!$D$10^2))),Supuestos!$D$10))))))</f>
        <v/>
      </c>
      <c r="O756" s="31">
        <f>MIN(IF(Supuestos!$H$11="",1E+99,Supuestos!$H$11),MAX(IF(Supuestos!$G$11="",-1E+99,Supuestos!$G$11),IF(Supuestos!$C$11="Normal",NORMINV(H756,Supuestos!$D$11,Supuestos!$E$11),IF(Supuestos!$C$11="Triangular",IF(H756&lt;(Supuestos!$E$11-Supuestos!$D$11)/(Supuestos!$F$11-Supuestos!$D$11),Supuestos!$D$11+SQRT(H756*(Supuestos!$F$11-Supuestos!$D$11)*(Supuestos!$E$11-Supuestos!$D$11)),Supuestos!$F$11-SQRT((1-H756)*(Supuestos!$F$11-Supuestos!$D$11)*(Supuestos!$F$11-Supuestos!$E$11))),IF(Supuestos!$C$11="Uniforme",Supuestos!$D$11+H756*(Supuestos!$E$11-Supuestos!$D$11),IF(Supuestos!$C$11="Lognormal",LOGINV(H756,LN(Supuestos!$D$11)-LN(1+Supuestos!$E$11^2/Supuestos!$D$11^2)/2,SQRT(LN(1+Supuestos!$E$11^2/Supuestos!$D$11^2))),Supuestos!$D$11))))))</f>
        <v/>
      </c>
      <c r="P756" s="33">
        <f>-I756</f>
        <v/>
      </c>
      <c r="Q756" s="33">
        <f>$J756*(1+$K756)^(1-1)*(1-$L756)*(1-$M756)</f>
        <v/>
      </c>
      <c r="R756" s="33">
        <f>$J756*(1+$K756)^(2-1)*(1-$L756)*(1-$M756)</f>
        <v/>
      </c>
      <c r="S756" s="33">
        <f>$J756*(1+$K756)^(3-1)*(1-$L756)*(1-$M756)</f>
        <v/>
      </c>
      <c r="T756" s="33">
        <f>$J756*(1+$K756)^(4-1)*(1-$L756)*(1-$M756)</f>
        <v/>
      </c>
      <c r="U756" s="33">
        <f>$J756*(1+$K756)^(5-1)*(1-$L756)*(1-$M756)+$O756</f>
        <v/>
      </c>
      <c r="V756" s="33">
        <f>P756+NPV($N756,Q756:U756)</f>
        <v/>
      </c>
      <c r="W756" s="32">
        <f>IFERROR(IRR(P756:U756,0.1),"")</f>
        <v/>
      </c>
    </row>
    <row r="757">
      <c r="A757" s="14" t="n">
        <v>753</v>
      </c>
      <c r="B757" s="30">
        <f>RAND()*(1-2E-6)+1E-6</f>
        <v/>
      </c>
      <c r="C757" s="30">
        <f>RAND()*(1-2E-6)+1E-6</f>
        <v/>
      </c>
      <c r="D757" s="30">
        <f>RAND()*(1-2E-6)+1E-6</f>
        <v/>
      </c>
      <c r="E757" s="30">
        <f>RAND()*(1-2E-6)+1E-6</f>
        <v/>
      </c>
      <c r="F757" s="30">
        <f>RAND()*(1-2E-6)+1E-6</f>
        <v/>
      </c>
      <c r="G757" s="30">
        <f>RAND()*(1-2E-6)+1E-6</f>
        <v/>
      </c>
      <c r="H757" s="30">
        <f>RAND()*(1-2E-6)+1E-6</f>
        <v/>
      </c>
      <c r="I757" s="31">
        <f>MIN(IF(Supuestos!$H$5="",1E+99,Supuestos!$H$5),MAX(IF(Supuestos!$G$5="",-1E+99,Supuestos!$G$5),IF(Supuestos!$C$5="Normal",NORMINV(B757,Supuestos!$D$5,Supuestos!$E$5),IF(Supuestos!$C$5="Triangular",IF(B757&lt;(Supuestos!$E$5-Supuestos!$D$5)/(Supuestos!$F$5-Supuestos!$D$5),Supuestos!$D$5+SQRT(B757*(Supuestos!$F$5-Supuestos!$D$5)*(Supuestos!$E$5-Supuestos!$D$5)),Supuestos!$F$5-SQRT((1-B757)*(Supuestos!$F$5-Supuestos!$D$5)*(Supuestos!$F$5-Supuestos!$E$5))),IF(Supuestos!$C$5="Uniforme",Supuestos!$D$5+B757*(Supuestos!$E$5-Supuestos!$D$5),IF(Supuestos!$C$5="Lognormal",LOGINV(B757,LN(Supuestos!$D$5)-LN(1+Supuestos!$E$5^2/Supuestos!$D$5^2)/2,SQRT(LN(1+Supuestos!$E$5^2/Supuestos!$D$5^2))),Supuestos!$D$5))))))</f>
        <v/>
      </c>
      <c r="J757" s="31">
        <f>MIN(IF(Supuestos!$H$6="",1E+99,Supuestos!$H$6),MAX(IF(Supuestos!$G$6="",-1E+99,Supuestos!$G$6),IF(Supuestos!$C$6="Normal",NORMINV(C757,Supuestos!$D$6,Supuestos!$E$6),IF(Supuestos!$C$6="Triangular",IF(C757&lt;(Supuestos!$E$6-Supuestos!$D$6)/(Supuestos!$F$6-Supuestos!$D$6),Supuestos!$D$6+SQRT(C757*(Supuestos!$F$6-Supuestos!$D$6)*(Supuestos!$E$6-Supuestos!$D$6)),Supuestos!$F$6-SQRT((1-C757)*(Supuestos!$F$6-Supuestos!$D$6)*(Supuestos!$F$6-Supuestos!$E$6))),IF(Supuestos!$C$6="Uniforme",Supuestos!$D$6+C757*(Supuestos!$E$6-Supuestos!$D$6),IF(Supuestos!$C$6="Lognormal",LOGINV(C757,LN(Supuestos!$D$6)-LN(1+Supuestos!$E$6^2/Supuestos!$D$6^2)/2,SQRT(LN(1+Supuestos!$E$6^2/Supuestos!$D$6^2))),Supuestos!$D$6))))))</f>
        <v/>
      </c>
      <c r="K757" s="32">
        <f>MIN(IF(Supuestos!$H$7="",1E+99,Supuestos!$H$7),MAX(IF(Supuestos!$G$7="",-1E+99,Supuestos!$G$7),IF(Supuestos!$C$7="Normal",NORMINV(D757,Supuestos!$D$7,Supuestos!$E$7),IF(Supuestos!$C$7="Triangular",IF(D757&lt;(Supuestos!$E$7-Supuestos!$D$7)/(Supuestos!$F$7-Supuestos!$D$7),Supuestos!$D$7+SQRT(D757*(Supuestos!$F$7-Supuestos!$D$7)*(Supuestos!$E$7-Supuestos!$D$7)),Supuestos!$F$7-SQRT((1-D757)*(Supuestos!$F$7-Supuestos!$D$7)*(Supuestos!$F$7-Supuestos!$E$7))),IF(Supuestos!$C$7="Uniforme",Supuestos!$D$7+D757*(Supuestos!$E$7-Supuestos!$D$7),IF(Supuestos!$C$7="Lognormal",LOGINV(D757,LN(Supuestos!$D$7)-LN(1+Supuestos!$E$7^2/Supuestos!$D$7^2)/2,SQRT(LN(1+Supuestos!$E$7^2/Supuestos!$D$7^2))),Supuestos!$D$7))))))</f>
        <v/>
      </c>
      <c r="L757" s="32">
        <f>MIN(IF(Supuestos!$H$8="",1E+99,Supuestos!$H$8),MAX(IF(Supuestos!$G$8="",-1E+99,Supuestos!$G$8),IF(Supuestos!$C$8="Normal",NORMINV(E757,Supuestos!$D$8,Supuestos!$E$8),IF(Supuestos!$C$8="Triangular",IF(E757&lt;(Supuestos!$E$8-Supuestos!$D$8)/(Supuestos!$F$8-Supuestos!$D$8),Supuestos!$D$8+SQRT(E757*(Supuestos!$F$8-Supuestos!$D$8)*(Supuestos!$E$8-Supuestos!$D$8)),Supuestos!$F$8-SQRT((1-E757)*(Supuestos!$F$8-Supuestos!$D$8)*(Supuestos!$F$8-Supuestos!$E$8))),IF(Supuestos!$C$8="Uniforme",Supuestos!$D$8+E757*(Supuestos!$E$8-Supuestos!$D$8),IF(Supuestos!$C$8="Lognormal",LOGINV(E757,LN(Supuestos!$D$8)-LN(1+Supuestos!$E$8^2/Supuestos!$D$8^2)/2,SQRT(LN(1+Supuestos!$E$8^2/Supuestos!$D$8^2))),Supuestos!$D$8))))))</f>
        <v/>
      </c>
      <c r="M757" s="32">
        <f>MIN(IF(Supuestos!$H$9="",1E+99,Supuestos!$H$9),MAX(IF(Supuestos!$G$9="",-1E+99,Supuestos!$G$9),IF(Supuestos!$C$9="Normal",NORMINV(F757,Supuestos!$D$9,Supuestos!$E$9),IF(Supuestos!$C$9="Triangular",IF(F757&lt;(Supuestos!$E$9-Supuestos!$D$9)/(Supuestos!$F$9-Supuestos!$D$9),Supuestos!$D$9+SQRT(F757*(Supuestos!$F$9-Supuestos!$D$9)*(Supuestos!$E$9-Supuestos!$D$9)),Supuestos!$F$9-SQRT((1-F757)*(Supuestos!$F$9-Supuestos!$D$9)*(Supuestos!$F$9-Supuestos!$E$9))),IF(Supuestos!$C$9="Uniforme",Supuestos!$D$9+F757*(Supuestos!$E$9-Supuestos!$D$9),IF(Supuestos!$C$9="Lognormal",LOGINV(F757,LN(Supuestos!$D$9)-LN(1+Supuestos!$E$9^2/Supuestos!$D$9^2)/2,SQRT(LN(1+Supuestos!$E$9^2/Supuestos!$D$9^2))),Supuestos!$D$9))))))</f>
        <v/>
      </c>
      <c r="N757" s="32">
        <f>MIN(IF(Supuestos!$H$10="",1E+99,Supuestos!$H$10),MAX(IF(Supuestos!$G$10="",-1E+99,Supuestos!$G$10),IF(Supuestos!$C$10="Normal",NORMINV(G757,Supuestos!$D$10,Supuestos!$E$10),IF(Supuestos!$C$10="Triangular",IF(G757&lt;(Supuestos!$E$10-Supuestos!$D$10)/(Supuestos!$F$10-Supuestos!$D$10),Supuestos!$D$10+SQRT(G757*(Supuestos!$F$10-Supuestos!$D$10)*(Supuestos!$E$10-Supuestos!$D$10)),Supuestos!$F$10-SQRT((1-G757)*(Supuestos!$F$10-Supuestos!$D$10)*(Supuestos!$F$10-Supuestos!$E$10))),IF(Supuestos!$C$10="Uniforme",Supuestos!$D$10+G757*(Supuestos!$E$10-Supuestos!$D$10),IF(Supuestos!$C$10="Lognormal",LOGINV(G757,LN(Supuestos!$D$10)-LN(1+Supuestos!$E$10^2/Supuestos!$D$10^2)/2,SQRT(LN(1+Supuestos!$E$10^2/Supuestos!$D$10^2))),Supuestos!$D$10))))))</f>
        <v/>
      </c>
      <c r="O757" s="31">
        <f>MIN(IF(Supuestos!$H$11="",1E+99,Supuestos!$H$11),MAX(IF(Supuestos!$G$11="",-1E+99,Supuestos!$G$11),IF(Supuestos!$C$11="Normal",NORMINV(H757,Supuestos!$D$11,Supuestos!$E$11),IF(Supuestos!$C$11="Triangular",IF(H757&lt;(Supuestos!$E$11-Supuestos!$D$11)/(Supuestos!$F$11-Supuestos!$D$11),Supuestos!$D$11+SQRT(H757*(Supuestos!$F$11-Supuestos!$D$11)*(Supuestos!$E$11-Supuestos!$D$11)),Supuestos!$F$11-SQRT((1-H757)*(Supuestos!$F$11-Supuestos!$D$11)*(Supuestos!$F$11-Supuestos!$E$11))),IF(Supuestos!$C$11="Uniforme",Supuestos!$D$11+H757*(Supuestos!$E$11-Supuestos!$D$11),IF(Supuestos!$C$11="Lognormal",LOGINV(H757,LN(Supuestos!$D$11)-LN(1+Supuestos!$E$11^2/Supuestos!$D$11^2)/2,SQRT(LN(1+Supuestos!$E$11^2/Supuestos!$D$11^2))),Supuestos!$D$11))))))</f>
        <v/>
      </c>
      <c r="P757" s="33">
        <f>-I757</f>
        <v/>
      </c>
      <c r="Q757" s="33">
        <f>$J757*(1+$K757)^(1-1)*(1-$L757)*(1-$M757)</f>
        <v/>
      </c>
      <c r="R757" s="33">
        <f>$J757*(1+$K757)^(2-1)*(1-$L757)*(1-$M757)</f>
        <v/>
      </c>
      <c r="S757" s="33">
        <f>$J757*(1+$K757)^(3-1)*(1-$L757)*(1-$M757)</f>
        <v/>
      </c>
      <c r="T757" s="33">
        <f>$J757*(1+$K757)^(4-1)*(1-$L757)*(1-$M757)</f>
        <v/>
      </c>
      <c r="U757" s="33">
        <f>$J757*(1+$K757)^(5-1)*(1-$L757)*(1-$M757)+$O757</f>
        <v/>
      </c>
      <c r="V757" s="33">
        <f>P757+NPV($N757,Q757:U757)</f>
        <v/>
      </c>
      <c r="W757" s="32">
        <f>IFERROR(IRR(P757:U757,0.1),"")</f>
        <v/>
      </c>
    </row>
    <row r="758">
      <c r="A758" s="14" t="n">
        <v>754</v>
      </c>
      <c r="B758" s="30">
        <f>RAND()*(1-2E-6)+1E-6</f>
        <v/>
      </c>
      <c r="C758" s="30">
        <f>RAND()*(1-2E-6)+1E-6</f>
        <v/>
      </c>
      <c r="D758" s="30">
        <f>RAND()*(1-2E-6)+1E-6</f>
        <v/>
      </c>
      <c r="E758" s="30">
        <f>RAND()*(1-2E-6)+1E-6</f>
        <v/>
      </c>
      <c r="F758" s="30">
        <f>RAND()*(1-2E-6)+1E-6</f>
        <v/>
      </c>
      <c r="G758" s="30">
        <f>RAND()*(1-2E-6)+1E-6</f>
        <v/>
      </c>
      <c r="H758" s="30">
        <f>RAND()*(1-2E-6)+1E-6</f>
        <v/>
      </c>
      <c r="I758" s="31">
        <f>MIN(IF(Supuestos!$H$5="",1E+99,Supuestos!$H$5),MAX(IF(Supuestos!$G$5="",-1E+99,Supuestos!$G$5),IF(Supuestos!$C$5="Normal",NORMINV(B758,Supuestos!$D$5,Supuestos!$E$5),IF(Supuestos!$C$5="Triangular",IF(B758&lt;(Supuestos!$E$5-Supuestos!$D$5)/(Supuestos!$F$5-Supuestos!$D$5),Supuestos!$D$5+SQRT(B758*(Supuestos!$F$5-Supuestos!$D$5)*(Supuestos!$E$5-Supuestos!$D$5)),Supuestos!$F$5-SQRT((1-B758)*(Supuestos!$F$5-Supuestos!$D$5)*(Supuestos!$F$5-Supuestos!$E$5))),IF(Supuestos!$C$5="Uniforme",Supuestos!$D$5+B758*(Supuestos!$E$5-Supuestos!$D$5),IF(Supuestos!$C$5="Lognormal",LOGINV(B758,LN(Supuestos!$D$5)-LN(1+Supuestos!$E$5^2/Supuestos!$D$5^2)/2,SQRT(LN(1+Supuestos!$E$5^2/Supuestos!$D$5^2))),Supuestos!$D$5))))))</f>
        <v/>
      </c>
      <c r="J758" s="31">
        <f>MIN(IF(Supuestos!$H$6="",1E+99,Supuestos!$H$6),MAX(IF(Supuestos!$G$6="",-1E+99,Supuestos!$G$6),IF(Supuestos!$C$6="Normal",NORMINV(C758,Supuestos!$D$6,Supuestos!$E$6),IF(Supuestos!$C$6="Triangular",IF(C758&lt;(Supuestos!$E$6-Supuestos!$D$6)/(Supuestos!$F$6-Supuestos!$D$6),Supuestos!$D$6+SQRT(C758*(Supuestos!$F$6-Supuestos!$D$6)*(Supuestos!$E$6-Supuestos!$D$6)),Supuestos!$F$6-SQRT((1-C758)*(Supuestos!$F$6-Supuestos!$D$6)*(Supuestos!$F$6-Supuestos!$E$6))),IF(Supuestos!$C$6="Uniforme",Supuestos!$D$6+C758*(Supuestos!$E$6-Supuestos!$D$6),IF(Supuestos!$C$6="Lognormal",LOGINV(C758,LN(Supuestos!$D$6)-LN(1+Supuestos!$E$6^2/Supuestos!$D$6^2)/2,SQRT(LN(1+Supuestos!$E$6^2/Supuestos!$D$6^2))),Supuestos!$D$6))))))</f>
        <v/>
      </c>
      <c r="K758" s="32">
        <f>MIN(IF(Supuestos!$H$7="",1E+99,Supuestos!$H$7),MAX(IF(Supuestos!$G$7="",-1E+99,Supuestos!$G$7),IF(Supuestos!$C$7="Normal",NORMINV(D758,Supuestos!$D$7,Supuestos!$E$7),IF(Supuestos!$C$7="Triangular",IF(D758&lt;(Supuestos!$E$7-Supuestos!$D$7)/(Supuestos!$F$7-Supuestos!$D$7),Supuestos!$D$7+SQRT(D758*(Supuestos!$F$7-Supuestos!$D$7)*(Supuestos!$E$7-Supuestos!$D$7)),Supuestos!$F$7-SQRT((1-D758)*(Supuestos!$F$7-Supuestos!$D$7)*(Supuestos!$F$7-Supuestos!$E$7))),IF(Supuestos!$C$7="Uniforme",Supuestos!$D$7+D758*(Supuestos!$E$7-Supuestos!$D$7),IF(Supuestos!$C$7="Lognormal",LOGINV(D758,LN(Supuestos!$D$7)-LN(1+Supuestos!$E$7^2/Supuestos!$D$7^2)/2,SQRT(LN(1+Supuestos!$E$7^2/Supuestos!$D$7^2))),Supuestos!$D$7))))))</f>
        <v/>
      </c>
      <c r="L758" s="32">
        <f>MIN(IF(Supuestos!$H$8="",1E+99,Supuestos!$H$8),MAX(IF(Supuestos!$G$8="",-1E+99,Supuestos!$G$8),IF(Supuestos!$C$8="Normal",NORMINV(E758,Supuestos!$D$8,Supuestos!$E$8),IF(Supuestos!$C$8="Triangular",IF(E758&lt;(Supuestos!$E$8-Supuestos!$D$8)/(Supuestos!$F$8-Supuestos!$D$8),Supuestos!$D$8+SQRT(E758*(Supuestos!$F$8-Supuestos!$D$8)*(Supuestos!$E$8-Supuestos!$D$8)),Supuestos!$F$8-SQRT((1-E758)*(Supuestos!$F$8-Supuestos!$D$8)*(Supuestos!$F$8-Supuestos!$E$8))),IF(Supuestos!$C$8="Uniforme",Supuestos!$D$8+E758*(Supuestos!$E$8-Supuestos!$D$8),IF(Supuestos!$C$8="Lognormal",LOGINV(E758,LN(Supuestos!$D$8)-LN(1+Supuestos!$E$8^2/Supuestos!$D$8^2)/2,SQRT(LN(1+Supuestos!$E$8^2/Supuestos!$D$8^2))),Supuestos!$D$8))))))</f>
        <v/>
      </c>
      <c r="M758" s="32">
        <f>MIN(IF(Supuestos!$H$9="",1E+99,Supuestos!$H$9),MAX(IF(Supuestos!$G$9="",-1E+99,Supuestos!$G$9),IF(Supuestos!$C$9="Normal",NORMINV(F758,Supuestos!$D$9,Supuestos!$E$9),IF(Supuestos!$C$9="Triangular",IF(F758&lt;(Supuestos!$E$9-Supuestos!$D$9)/(Supuestos!$F$9-Supuestos!$D$9),Supuestos!$D$9+SQRT(F758*(Supuestos!$F$9-Supuestos!$D$9)*(Supuestos!$E$9-Supuestos!$D$9)),Supuestos!$F$9-SQRT((1-F758)*(Supuestos!$F$9-Supuestos!$D$9)*(Supuestos!$F$9-Supuestos!$E$9))),IF(Supuestos!$C$9="Uniforme",Supuestos!$D$9+F758*(Supuestos!$E$9-Supuestos!$D$9),IF(Supuestos!$C$9="Lognormal",LOGINV(F758,LN(Supuestos!$D$9)-LN(1+Supuestos!$E$9^2/Supuestos!$D$9^2)/2,SQRT(LN(1+Supuestos!$E$9^2/Supuestos!$D$9^2))),Supuestos!$D$9))))))</f>
        <v/>
      </c>
      <c r="N758" s="32">
        <f>MIN(IF(Supuestos!$H$10="",1E+99,Supuestos!$H$10),MAX(IF(Supuestos!$G$10="",-1E+99,Supuestos!$G$10),IF(Supuestos!$C$10="Normal",NORMINV(G758,Supuestos!$D$10,Supuestos!$E$10),IF(Supuestos!$C$10="Triangular",IF(G758&lt;(Supuestos!$E$10-Supuestos!$D$10)/(Supuestos!$F$10-Supuestos!$D$10),Supuestos!$D$10+SQRT(G758*(Supuestos!$F$10-Supuestos!$D$10)*(Supuestos!$E$10-Supuestos!$D$10)),Supuestos!$F$10-SQRT((1-G758)*(Supuestos!$F$10-Supuestos!$D$10)*(Supuestos!$F$10-Supuestos!$E$10))),IF(Supuestos!$C$10="Uniforme",Supuestos!$D$10+G758*(Supuestos!$E$10-Supuestos!$D$10),IF(Supuestos!$C$10="Lognormal",LOGINV(G758,LN(Supuestos!$D$10)-LN(1+Supuestos!$E$10^2/Supuestos!$D$10^2)/2,SQRT(LN(1+Supuestos!$E$10^2/Supuestos!$D$10^2))),Supuestos!$D$10))))))</f>
        <v/>
      </c>
      <c r="O758" s="31">
        <f>MIN(IF(Supuestos!$H$11="",1E+99,Supuestos!$H$11),MAX(IF(Supuestos!$G$11="",-1E+99,Supuestos!$G$11),IF(Supuestos!$C$11="Normal",NORMINV(H758,Supuestos!$D$11,Supuestos!$E$11),IF(Supuestos!$C$11="Triangular",IF(H758&lt;(Supuestos!$E$11-Supuestos!$D$11)/(Supuestos!$F$11-Supuestos!$D$11),Supuestos!$D$11+SQRT(H758*(Supuestos!$F$11-Supuestos!$D$11)*(Supuestos!$E$11-Supuestos!$D$11)),Supuestos!$F$11-SQRT((1-H758)*(Supuestos!$F$11-Supuestos!$D$11)*(Supuestos!$F$11-Supuestos!$E$11))),IF(Supuestos!$C$11="Uniforme",Supuestos!$D$11+H758*(Supuestos!$E$11-Supuestos!$D$11),IF(Supuestos!$C$11="Lognormal",LOGINV(H758,LN(Supuestos!$D$11)-LN(1+Supuestos!$E$11^2/Supuestos!$D$11^2)/2,SQRT(LN(1+Supuestos!$E$11^2/Supuestos!$D$11^2))),Supuestos!$D$11))))))</f>
        <v/>
      </c>
      <c r="P758" s="33">
        <f>-I758</f>
        <v/>
      </c>
      <c r="Q758" s="33">
        <f>$J758*(1+$K758)^(1-1)*(1-$L758)*(1-$M758)</f>
        <v/>
      </c>
      <c r="R758" s="33">
        <f>$J758*(1+$K758)^(2-1)*(1-$L758)*(1-$M758)</f>
        <v/>
      </c>
      <c r="S758" s="33">
        <f>$J758*(1+$K758)^(3-1)*(1-$L758)*(1-$M758)</f>
        <v/>
      </c>
      <c r="T758" s="33">
        <f>$J758*(1+$K758)^(4-1)*(1-$L758)*(1-$M758)</f>
        <v/>
      </c>
      <c r="U758" s="33">
        <f>$J758*(1+$K758)^(5-1)*(1-$L758)*(1-$M758)+$O758</f>
        <v/>
      </c>
      <c r="V758" s="33">
        <f>P758+NPV($N758,Q758:U758)</f>
        <v/>
      </c>
      <c r="W758" s="32">
        <f>IFERROR(IRR(P758:U758,0.1),"")</f>
        <v/>
      </c>
    </row>
    <row r="759">
      <c r="A759" s="14" t="n">
        <v>755</v>
      </c>
      <c r="B759" s="30">
        <f>RAND()*(1-2E-6)+1E-6</f>
        <v/>
      </c>
      <c r="C759" s="30">
        <f>RAND()*(1-2E-6)+1E-6</f>
        <v/>
      </c>
      <c r="D759" s="30">
        <f>RAND()*(1-2E-6)+1E-6</f>
        <v/>
      </c>
      <c r="E759" s="30">
        <f>RAND()*(1-2E-6)+1E-6</f>
        <v/>
      </c>
      <c r="F759" s="30">
        <f>RAND()*(1-2E-6)+1E-6</f>
        <v/>
      </c>
      <c r="G759" s="30">
        <f>RAND()*(1-2E-6)+1E-6</f>
        <v/>
      </c>
      <c r="H759" s="30">
        <f>RAND()*(1-2E-6)+1E-6</f>
        <v/>
      </c>
      <c r="I759" s="31">
        <f>MIN(IF(Supuestos!$H$5="",1E+99,Supuestos!$H$5),MAX(IF(Supuestos!$G$5="",-1E+99,Supuestos!$G$5),IF(Supuestos!$C$5="Normal",NORMINV(B759,Supuestos!$D$5,Supuestos!$E$5),IF(Supuestos!$C$5="Triangular",IF(B759&lt;(Supuestos!$E$5-Supuestos!$D$5)/(Supuestos!$F$5-Supuestos!$D$5),Supuestos!$D$5+SQRT(B759*(Supuestos!$F$5-Supuestos!$D$5)*(Supuestos!$E$5-Supuestos!$D$5)),Supuestos!$F$5-SQRT((1-B759)*(Supuestos!$F$5-Supuestos!$D$5)*(Supuestos!$F$5-Supuestos!$E$5))),IF(Supuestos!$C$5="Uniforme",Supuestos!$D$5+B759*(Supuestos!$E$5-Supuestos!$D$5),IF(Supuestos!$C$5="Lognormal",LOGINV(B759,LN(Supuestos!$D$5)-LN(1+Supuestos!$E$5^2/Supuestos!$D$5^2)/2,SQRT(LN(1+Supuestos!$E$5^2/Supuestos!$D$5^2))),Supuestos!$D$5))))))</f>
        <v/>
      </c>
      <c r="J759" s="31">
        <f>MIN(IF(Supuestos!$H$6="",1E+99,Supuestos!$H$6),MAX(IF(Supuestos!$G$6="",-1E+99,Supuestos!$G$6),IF(Supuestos!$C$6="Normal",NORMINV(C759,Supuestos!$D$6,Supuestos!$E$6),IF(Supuestos!$C$6="Triangular",IF(C759&lt;(Supuestos!$E$6-Supuestos!$D$6)/(Supuestos!$F$6-Supuestos!$D$6),Supuestos!$D$6+SQRT(C759*(Supuestos!$F$6-Supuestos!$D$6)*(Supuestos!$E$6-Supuestos!$D$6)),Supuestos!$F$6-SQRT((1-C759)*(Supuestos!$F$6-Supuestos!$D$6)*(Supuestos!$F$6-Supuestos!$E$6))),IF(Supuestos!$C$6="Uniforme",Supuestos!$D$6+C759*(Supuestos!$E$6-Supuestos!$D$6),IF(Supuestos!$C$6="Lognormal",LOGINV(C759,LN(Supuestos!$D$6)-LN(1+Supuestos!$E$6^2/Supuestos!$D$6^2)/2,SQRT(LN(1+Supuestos!$E$6^2/Supuestos!$D$6^2))),Supuestos!$D$6))))))</f>
        <v/>
      </c>
      <c r="K759" s="32">
        <f>MIN(IF(Supuestos!$H$7="",1E+99,Supuestos!$H$7),MAX(IF(Supuestos!$G$7="",-1E+99,Supuestos!$G$7),IF(Supuestos!$C$7="Normal",NORMINV(D759,Supuestos!$D$7,Supuestos!$E$7),IF(Supuestos!$C$7="Triangular",IF(D759&lt;(Supuestos!$E$7-Supuestos!$D$7)/(Supuestos!$F$7-Supuestos!$D$7),Supuestos!$D$7+SQRT(D759*(Supuestos!$F$7-Supuestos!$D$7)*(Supuestos!$E$7-Supuestos!$D$7)),Supuestos!$F$7-SQRT((1-D759)*(Supuestos!$F$7-Supuestos!$D$7)*(Supuestos!$F$7-Supuestos!$E$7))),IF(Supuestos!$C$7="Uniforme",Supuestos!$D$7+D759*(Supuestos!$E$7-Supuestos!$D$7),IF(Supuestos!$C$7="Lognormal",LOGINV(D759,LN(Supuestos!$D$7)-LN(1+Supuestos!$E$7^2/Supuestos!$D$7^2)/2,SQRT(LN(1+Supuestos!$E$7^2/Supuestos!$D$7^2))),Supuestos!$D$7))))))</f>
        <v/>
      </c>
      <c r="L759" s="32">
        <f>MIN(IF(Supuestos!$H$8="",1E+99,Supuestos!$H$8),MAX(IF(Supuestos!$G$8="",-1E+99,Supuestos!$G$8),IF(Supuestos!$C$8="Normal",NORMINV(E759,Supuestos!$D$8,Supuestos!$E$8),IF(Supuestos!$C$8="Triangular",IF(E759&lt;(Supuestos!$E$8-Supuestos!$D$8)/(Supuestos!$F$8-Supuestos!$D$8),Supuestos!$D$8+SQRT(E759*(Supuestos!$F$8-Supuestos!$D$8)*(Supuestos!$E$8-Supuestos!$D$8)),Supuestos!$F$8-SQRT((1-E759)*(Supuestos!$F$8-Supuestos!$D$8)*(Supuestos!$F$8-Supuestos!$E$8))),IF(Supuestos!$C$8="Uniforme",Supuestos!$D$8+E759*(Supuestos!$E$8-Supuestos!$D$8),IF(Supuestos!$C$8="Lognormal",LOGINV(E759,LN(Supuestos!$D$8)-LN(1+Supuestos!$E$8^2/Supuestos!$D$8^2)/2,SQRT(LN(1+Supuestos!$E$8^2/Supuestos!$D$8^2))),Supuestos!$D$8))))))</f>
        <v/>
      </c>
      <c r="M759" s="32">
        <f>MIN(IF(Supuestos!$H$9="",1E+99,Supuestos!$H$9),MAX(IF(Supuestos!$G$9="",-1E+99,Supuestos!$G$9),IF(Supuestos!$C$9="Normal",NORMINV(F759,Supuestos!$D$9,Supuestos!$E$9),IF(Supuestos!$C$9="Triangular",IF(F759&lt;(Supuestos!$E$9-Supuestos!$D$9)/(Supuestos!$F$9-Supuestos!$D$9),Supuestos!$D$9+SQRT(F759*(Supuestos!$F$9-Supuestos!$D$9)*(Supuestos!$E$9-Supuestos!$D$9)),Supuestos!$F$9-SQRT((1-F759)*(Supuestos!$F$9-Supuestos!$D$9)*(Supuestos!$F$9-Supuestos!$E$9))),IF(Supuestos!$C$9="Uniforme",Supuestos!$D$9+F759*(Supuestos!$E$9-Supuestos!$D$9),IF(Supuestos!$C$9="Lognormal",LOGINV(F759,LN(Supuestos!$D$9)-LN(1+Supuestos!$E$9^2/Supuestos!$D$9^2)/2,SQRT(LN(1+Supuestos!$E$9^2/Supuestos!$D$9^2))),Supuestos!$D$9))))))</f>
        <v/>
      </c>
      <c r="N759" s="32">
        <f>MIN(IF(Supuestos!$H$10="",1E+99,Supuestos!$H$10),MAX(IF(Supuestos!$G$10="",-1E+99,Supuestos!$G$10),IF(Supuestos!$C$10="Normal",NORMINV(G759,Supuestos!$D$10,Supuestos!$E$10),IF(Supuestos!$C$10="Triangular",IF(G759&lt;(Supuestos!$E$10-Supuestos!$D$10)/(Supuestos!$F$10-Supuestos!$D$10),Supuestos!$D$10+SQRT(G759*(Supuestos!$F$10-Supuestos!$D$10)*(Supuestos!$E$10-Supuestos!$D$10)),Supuestos!$F$10-SQRT((1-G759)*(Supuestos!$F$10-Supuestos!$D$10)*(Supuestos!$F$10-Supuestos!$E$10))),IF(Supuestos!$C$10="Uniforme",Supuestos!$D$10+G759*(Supuestos!$E$10-Supuestos!$D$10),IF(Supuestos!$C$10="Lognormal",LOGINV(G759,LN(Supuestos!$D$10)-LN(1+Supuestos!$E$10^2/Supuestos!$D$10^2)/2,SQRT(LN(1+Supuestos!$E$10^2/Supuestos!$D$10^2))),Supuestos!$D$10))))))</f>
        <v/>
      </c>
      <c r="O759" s="31">
        <f>MIN(IF(Supuestos!$H$11="",1E+99,Supuestos!$H$11),MAX(IF(Supuestos!$G$11="",-1E+99,Supuestos!$G$11),IF(Supuestos!$C$11="Normal",NORMINV(H759,Supuestos!$D$11,Supuestos!$E$11),IF(Supuestos!$C$11="Triangular",IF(H759&lt;(Supuestos!$E$11-Supuestos!$D$11)/(Supuestos!$F$11-Supuestos!$D$11),Supuestos!$D$11+SQRT(H759*(Supuestos!$F$11-Supuestos!$D$11)*(Supuestos!$E$11-Supuestos!$D$11)),Supuestos!$F$11-SQRT((1-H759)*(Supuestos!$F$11-Supuestos!$D$11)*(Supuestos!$F$11-Supuestos!$E$11))),IF(Supuestos!$C$11="Uniforme",Supuestos!$D$11+H759*(Supuestos!$E$11-Supuestos!$D$11),IF(Supuestos!$C$11="Lognormal",LOGINV(H759,LN(Supuestos!$D$11)-LN(1+Supuestos!$E$11^2/Supuestos!$D$11^2)/2,SQRT(LN(1+Supuestos!$E$11^2/Supuestos!$D$11^2))),Supuestos!$D$11))))))</f>
        <v/>
      </c>
      <c r="P759" s="33">
        <f>-I759</f>
        <v/>
      </c>
      <c r="Q759" s="33">
        <f>$J759*(1+$K759)^(1-1)*(1-$L759)*(1-$M759)</f>
        <v/>
      </c>
      <c r="R759" s="33">
        <f>$J759*(1+$K759)^(2-1)*(1-$L759)*(1-$M759)</f>
        <v/>
      </c>
      <c r="S759" s="33">
        <f>$J759*(1+$K759)^(3-1)*(1-$L759)*(1-$M759)</f>
        <v/>
      </c>
      <c r="T759" s="33">
        <f>$J759*(1+$K759)^(4-1)*(1-$L759)*(1-$M759)</f>
        <v/>
      </c>
      <c r="U759" s="33">
        <f>$J759*(1+$K759)^(5-1)*(1-$L759)*(1-$M759)+$O759</f>
        <v/>
      </c>
      <c r="V759" s="33">
        <f>P759+NPV($N759,Q759:U759)</f>
        <v/>
      </c>
      <c r="W759" s="32">
        <f>IFERROR(IRR(P759:U759,0.1),"")</f>
        <v/>
      </c>
    </row>
    <row r="760">
      <c r="A760" s="14" t="n">
        <v>756</v>
      </c>
      <c r="B760" s="30">
        <f>RAND()*(1-2E-6)+1E-6</f>
        <v/>
      </c>
      <c r="C760" s="30">
        <f>RAND()*(1-2E-6)+1E-6</f>
        <v/>
      </c>
      <c r="D760" s="30">
        <f>RAND()*(1-2E-6)+1E-6</f>
        <v/>
      </c>
      <c r="E760" s="30">
        <f>RAND()*(1-2E-6)+1E-6</f>
        <v/>
      </c>
      <c r="F760" s="30">
        <f>RAND()*(1-2E-6)+1E-6</f>
        <v/>
      </c>
      <c r="G760" s="30">
        <f>RAND()*(1-2E-6)+1E-6</f>
        <v/>
      </c>
      <c r="H760" s="30">
        <f>RAND()*(1-2E-6)+1E-6</f>
        <v/>
      </c>
      <c r="I760" s="31">
        <f>MIN(IF(Supuestos!$H$5="",1E+99,Supuestos!$H$5),MAX(IF(Supuestos!$G$5="",-1E+99,Supuestos!$G$5),IF(Supuestos!$C$5="Normal",NORMINV(B760,Supuestos!$D$5,Supuestos!$E$5),IF(Supuestos!$C$5="Triangular",IF(B760&lt;(Supuestos!$E$5-Supuestos!$D$5)/(Supuestos!$F$5-Supuestos!$D$5),Supuestos!$D$5+SQRT(B760*(Supuestos!$F$5-Supuestos!$D$5)*(Supuestos!$E$5-Supuestos!$D$5)),Supuestos!$F$5-SQRT((1-B760)*(Supuestos!$F$5-Supuestos!$D$5)*(Supuestos!$F$5-Supuestos!$E$5))),IF(Supuestos!$C$5="Uniforme",Supuestos!$D$5+B760*(Supuestos!$E$5-Supuestos!$D$5),IF(Supuestos!$C$5="Lognormal",LOGINV(B760,LN(Supuestos!$D$5)-LN(1+Supuestos!$E$5^2/Supuestos!$D$5^2)/2,SQRT(LN(1+Supuestos!$E$5^2/Supuestos!$D$5^2))),Supuestos!$D$5))))))</f>
        <v/>
      </c>
      <c r="J760" s="31">
        <f>MIN(IF(Supuestos!$H$6="",1E+99,Supuestos!$H$6),MAX(IF(Supuestos!$G$6="",-1E+99,Supuestos!$G$6),IF(Supuestos!$C$6="Normal",NORMINV(C760,Supuestos!$D$6,Supuestos!$E$6),IF(Supuestos!$C$6="Triangular",IF(C760&lt;(Supuestos!$E$6-Supuestos!$D$6)/(Supuestos!$F$6-Supuestos!$D$6),Supuestos!$D$6+SQRT(C760*(Supuestos!$F$6-Supuestos!$D$6)*(Supuestos!$E$6-Supuestos!$D$6)),Supuestos!$F$6-SQRT((1-C760)*(Supuestos!$F$6-Supuestos!$D$6)*(Supuestos!$F$6-Supuestos!$E$6))),IF(Supuestos!$C$6="Uniforme",Supuestos!$D$6+C760*(Supuestos!$E$6-Supuestos!$D$6),IF(Supuestos!$C$6="Lognormal",LOGINV(C760,LN(Supuestos!$D$6)-LN(1+Supuestos!$E$6^2/Supuestos!$D$6^2)/2,SQRT(LN(1+Supuestos!$E$6^2/Supuestos!$D$6^2))),Supuestos!$D$6))))))</f>
        <v/>
      </c>
      <c r="K760" s="32">
        <f>MIN(IF(Supuestos!$H$7="",1E+99,Supuestos!$H$7),MAX(IF(Supuestos!$G$7="",-1E+99,Supuestos!$G$7),IF(Supuestos!$C$7="Normal",NORMINV(D760,Supuestos!$D$7,Supuestos!$E$7),IF(Supuestos!$C$7="Triangular",IF(D760&lt;(Supuestos!$E$7-Supuestos!$D$7)/(Supuestos!$F$7-Supuestos!$D$7),Supuestos!$D$7+SQRT(D760*(Supuestos!$F$7-Supuestos!$D$7)*(Supuestos!$E$7-Supuestos!$D$7)),Supuestos!$F$7-SQRT((1-D760)*(Supuestos!$F$7-Supuestos!$D$7)*(Supuestos!$F$7-Supuestos!$E$7))),IF(Supuestos!$C$7="Uniforme",Supuestos!$D$7+D760*(Supuestos!$E$7-Supuestos!$D$7),IF(Supuestos!$C$7="Lognormal",LOGINV(D760,LN(Supuestos!$D$7)-LN(1+Supuestos!$E$7^2/Supuestos!$D$7^2)/2,SQRT(LN(1+Supuestos!$E$7^2/Supuestos!$D$7^2))),Supuestos!$D$7))))))</f>
        <v/>
      </c>
      <c r="L760" s="32">
        <f>MIN(IF(Supuestos!$H$8="",1E+99,Supuestos!$H$8),MAX(IF(Supuestos!$G$8="",-1E+99,Supuestos!$G$8),IF(Supuestos!$C$8="Normal",NORMINV(E760,Supuestos!$D$8,Supuestos!$E$8),IF(Supuestos!$C$8="Triangular",IF(E760&lt;(Supuestos!$E$8-Supuestos!$D$8)/(Supuestos!$F$8-Supuestos!$D$8),Supuestos!$D$8+SQRT(E760*(Supuestos!$F$8-Supuestos!$D$8)*(Supuestos!$E$8-Supuestos!$D$8)),Supuestos!$F$8-SQRT((1-E760)*(Supuestos!$F$8-Supuestos!$D$8)*(Supuestos!$F$8-Supuestos!$E$8))),IF(Supuestos!$C$8="Uniforme",Supuestos!$D$8+E760*(Supuestos!$E$8-Supuestos!$D$8),IF(Supuestos!$C$8="Lognormal",LOGINV(E760,LN(Supuestos!$D$8)-LN(1+Supuestos!$E$8^2/Supuestos!$D$8^2)/2,SQRT(LN(1+Supuestos!$E$8^2/Supuestos!$D$8^2))),Supuestos!$D$8))))))</f>
        <v/>
      </c>
      <c r="M760" s="32">
        <f>MIN(IF(Supuestos!$H$9="",1E+99,Supuestos!$H$9),MAX(IF(Supuestos!$G$9="",-1E+99,Supuestos!$G$9),IF(Supuestos!$C$9="Normal",NORMINV(F760,Supuestos!$D$9,Supuestos!$E$9),IF(Supuestos!$C$9="Triangular",IF(F760&lt;(Supuestos!$E$9-Supuestos!$D$9)/(Supuestos!$F$9-Supuestos!$D$9),Supuestos!$D$9+SQRT(F760*(Supuestos!$F$9-Supuestos!$D$9)*(Supuestos!$E$9-Supuestos!$D$9)),Supuestos!$F$9-SQRT((1-F760)*(Supuestos!$F$9-Supuestos!$D$9)*(Supuestos!$F$9-Supuestos!$E$9))),IF(Supuestos!$C$9="Uniforme",Supuestos!$D$9+F760*(Supuestos!$E$9-Supuestos!$D$9),IF(Supuestos!$C$9="Lognormal",LOGINV(F760,LN(Supuestos!$D$9)-LN(1+Supuestos!$E$9^2/Supuestos!$D$9^2)/2,SQRT(LN(1+Supuestos!$E$9^2/Supuestos!$D$9^2))),Supuestos!$D$9))))))</f>
        <v/>
      </c>
      <c r="N760" s="32">
        <f>MIN(IF(Supuestos!$H$10="",1E+99,Supuestos!$H$10),MAX(IF(Supuestos!$G$10="",-1E+99,Supuestos!$G$10),IF(Supuestos!$C$10="Normal",NORMINV(G760,Supuestos!$D$10,Supuestos!$E$10),IF(Supuestos!$C$10="Triangular",IF(G760&lt;(Supuestos!$E$10-Supuestos!$D$10)/(Supuestos!$F$10-Supuestos!$D$10),Supuestos!$D$10+SQRT(G760*(Supuestos!$F$10-Supuestos!$D$10)*(Supuestos!$E$10-Supuestos!$D$10)),Supuestos!$F$10-SQRT((1-G760)*(Supuestos!$F$10-Supuestos!$D$10)*(Supuestos!$F$10-Supuestos!$E$10))),IF(Supuestos!$C$10="Uniforme",Supuestos!$D$10+G760*(Supuestos!$E$10-Supuestos!$D$10),IF(Supuestos!$C$10="Lognormal",LOGINV(G760,LN(Supuestos!$D$10)-LN(1+Supuestos!$E$10^2/Supuestos!$D$10^2)/2,SQRT(LN(1+Supuestos!$E$10^2/Supuestos!$D$10^2))),Supuestos!$D$10))))))</f>
        <v/>
      </c>
      <c r="O760" s="31">
        <f>MIN(IF(Supuestos!$H$11="",1E+99,Supuestos!$H$11),MAX(IF(Supuestos!$G$11="",-1E+99,Supuestos!$G$11),IF(Supuestos!$C$11="Normal",NORMINV(H760,Supuestos!$D$11,Supuestos!$E$11),IF(Supuestos!$C$11="Triangular",IF(H760&lt;(Supuestos!$E$11-Supuestos!$D$11)/(Supuestos!$F$11-Supuestos!$D$11),Supuestos!$D$11+SQRT(H760*(Supuestos!$F$11-Supuestos!$D$11)*(Supuestos!$E$11-Supuestos!$D$11)),Supuestos!$F$11-SQRT((1-H760)*(Supuestos!$F$11-Supuestos!$D$11)*(Supuestos!$F$11-Supuestos!$E$11))),IF(Supuestos!$C$11="Uniforme",Supuestos!$D$11+H760*(Supuestos!$E$11-Supuestos!$D$11),IF(Supuestos!$C$11="Lognormal",LOGINV(H760,LN(Supuestos!$D$11)-LN(1+Supuestos!$E$11^2/Supuestos!$D$11^2)/2,SQRT(LN(1+Supuestos!$E$11^2/Supuestos!$D$11^2))),Supuestos!$D$11))))))</f>
        <v/>
      </c>
      <c r="P760" s="33">
        <f>-I760</f>
        <v/>
      </c>
      <c r="Q760" s="33">
        <f>$J760*(1+$K760)^(1-1)*(1-$L760)*(1-$M760)</f>
        <v/>
      </c>
      <c r="R760" s="33">
        <f>$J760*(1+$K760)^(2-1)*(1-$L760)*(1-$M760)</f>
        <v/>
      </c>
      <c r="S760" s="33">
        <f>$J760*(1+$K760)^(3-1)*(1-$L760)*(1-$M760)</f>
        <v/>
      </c>
      <c r="T760" s="33">
        <f>$J760*(1+$K760)^(4-1)*(1-$L760)*(1-$M760)</f>
        <v/>
      </c>
      <c r="U760" s="33">
        <f>$J760*(1+$K760)^(5-1)*(1-$L760)*(1-$M760)+$O760</f>
        <v/>
      </c>
      <c r="V760" s="33">
        <f>P760+NPV($N760,Q760:U760)</f>
        <v/>
      </c>
      <c r="W760" s="32">
        <f>IFERROR(IRR(P760:U760,0.1),"")</f>
        <v/>
      </c>
    </row>
    <row r="761">
      <c r="A761" s="14" t="n">
        <v>757</v>
      </c>
      <c r="B761" s="30">
        <f>RAND()*(1-2E-6)+1E-6</f>
        <v/>
      </c>
      <c r="C761" s="30">
        <f>RAND()*(1-2E-6)+1E-6</f>
        <v/>
      </c>
      <c r="D761" s="30">
        <f>RAND()*(1-2E-6)+1E-6</f>
        <v/>
      </c>
      <c r="E761" s="30">
        <f>RAND()*(1-2E-6)+1E-6</f>
        <v/>
      </c>
      <c r="F761" s="30">
        <f>RAND()*(1-2E-6)+1E-6</f>
        <v/>
      </c>
      <c r="G761" s="30">
        <f>RAND()*(1-2E-6)+1E-6</f>
        <v/>
      </c>
      <c r="H761" s="30">
        <f>RAND()*(1-2E-6)+1E-6</f>
        <v/>
      </c>
      <c r="I761" s="31">
        <f>MIN(IF(Supuestos!$H$5="",1E+99,Supuestos!$H$5),MAX(IF(Supuestos!$G$5="",-1E+99,Supuestos!$G$5),IF(Supuestos!$C$5="Normal",NORMINV(B761,Supuestos!$D$5,Supuestos!$E$5),IF(Supuestos!$C$5="Triangular",IF(B761&lt;(Supuestos!$E$5-Supuestos!$D$5)/(Supuestos!$F$5-Supuestos!$D$5),Supuestos!$D$5+SQRT(B761*(Supuestos!$F$5-Supuestos!$D$5)*(Supuestos!$E$5-Supuestos!$D$5)),Supuestos!$F$5-SQRT((1-B761)*(Supuestos!$F$5-Supuestos!$D$5)*(Supuestos!$F$5-Supuestos!$E$5))),IF(Supuestos!$C$5="Uniforme",Supuestos!$D$5+B761*(Supuestos!$E$5-Supuestos!$D$5),IF(Supuestos!$C$5="Lognormal",LOGINV(B761,LN(Supuestos!$D$5)-LN(1+Supuestos!$E$5^2/Supuestos!$D$5^2)/2,SQRT(LN(1+Supuestos!$E$5^2/Supuestos!$D$5^2))),Supuestos!$D$5))))))</f>
        <v/>
      </c>
      <c r="J761" s="31">
        <f>MIN(IF(Supuestos!$H$6="",1E+99,Supuestos!$H$6),MAX(IF(Supuestos!$G$6="",-1E+99,Supuestos!$G$6),IF(Supuestos!$C$6="Normal",NORMINV(C761,Supuestos!$D$6,Supuestos!$E$6),IF(Supuestos!$C$6="Triangular",IF(C761&lt;(Supuestos!$E$6-Supuestos!$D$6)/(Supuestos!$F$6-Supuestos!$D$6),Supuestos!$D$6+SQRT(C761*(Supuestos!$F$6-Supuestos!$D$6)*(Supuestos!$E$6-Supuestos!$D$6)),Supuestos!$F$6-SQRT((1-C761)*(Supuestos!$F$6-Supuestos!$D$6)*(Supuestos!$F$6-Supuestos!$E$6))),IF(Supuestos!$C$6="Uniforme",Supuestos!$D$6+C761*(Supuestos!$E$6-Supuestos!$D$6),IF(Supuestos!$C$6="Lognormal",LOGINV(C761,LN(Supuestos!$D$6)-LN(1+Supuestos!$E$6^2/Supuestos!$D$6^2)/2,SQRT(LN(1+Supuestos!$E$6^2/Supuestos!$D$6^2))),Supuestos!$D$6))))))</f>
        <v/>
      </c>
      <c r="K761" s="32">
        <f>MIN(IF(Supuestos!$H$7="",1E+99,Supuestos!$H$7),MAX(IF(Supuestos!$G$7="",-1E+99,Supuestos!$G$7),IF(Supuestos!$C$7="Normal",NORMINV(D761,Supuestos!$D$7,Supuestos!$E$7),IF(Supuestos!$C$7="Triangular",IF(D761&lt;(Supuestos!$E$7-Supuestos!$D$7)/(Supuestos!$F$7-Supuestos!$D$7),Supuestos!$D$7+SQRT(D761*(Supuestos!$F$7-Supuestos!$D$7)*(Supuestos!$E$7-Supuestos!$D$7)),Supuestos!$F$7-SQRT((1-D761)*(Supuestos!$F$7-Supuestos!$D$7)*(Supuestos!$F$7-Supuestos!$E$7))),IF(Supuestos!$C$7="Uniforme",Supuestos!$D$7+D761*(Supuestos!$E$7-Supuestos!$D$7),IF(Supuestos!$C$7="Lognormal",LOGINV(D761,LN(Supuestos!$D$7)-LN(1+Supuestos!$E$7^2/Supuestos!$D$7^2)/2,SQRT(LN(1+Supuestos!$E$7^2/Supuestos!$D$7^2))),Supuestos!$D$7))))))</f>
        <v/>
      </c>
      <c r="L761" s="32">
        <f>MIN(IF(Supuestos!$H$8="",1E+99,Supuestos!$H$8),MAX(IF(Supuestos!$G$8="",-1E+99,Supuestos!$G$8),IF(Supuestos!$C$8="Normal",NORMINV(E761,Supuestos!$D$8,Supuestos!$E$8),IF(Supuestos!$C$8="Triangular",IF(E761&lt;(Supuestos!$E$8-Supuestos!$D$8)/(Supuestos!$F$8-Supuestos!$D$8),Supuestos!$D$8+SQRT(E761*(Supuestos!$F$8-Supuestos!$D$8)*(Supuestos!$E$8-Supuestos!$D$8)),Supuestos!$F$8-SQRT((1-E761)*(Supuestos!$F$8-Supuestos!$D$8)*(Supuestos!$F$8-Supuestos!$E$8))),IF(Supuestos!$C$8="Uniforme",Supuestos!$D$8+E761*(Supuestos!$E$8-Supuestos!$D$8),IF(Supuestos!$C$8="Lognormal",LOGINV(E761,LN(Supuestos!$D$8)-LN(1+Supuestos!$E$8^2/Supuestos!$D$8^2)/2,SQRT(LN(1+Supuestos!$E$8^2/Supuestos!$D$8^2))),Supuestos!$D$8))))))</f>
        <v/>
      </c>
      <c r="M761" s="32">
        <f>MIN(IF(Supuestos!$H$9="",1E+99,Supuestos!$H$9),MAX(IF(Supuestos!$G$9="",-1E+99,Supuestos!$G$9),IF(Supuestos!$C$9="Normal",NORMINV(F761,Supuestos!$D$9,Supuestos!$E$9),IF(Supuestos!$C$9="Triangular",IF(F761&lt;(Supuestos!$E$9-Supuestos!$D$9)/(Supuestos!$F$9-Supuestos!$D$9),Supuestos!$D$9+SQRT(F761*(Supuestos!$F$9-Supuestos!$D$9)*(Supuestos!$E$9-Supuestos!$D$9)),Supuestos!$F$9-SQRT((1-F761)*(Supuestos!$F$9-Supuestos!$D$9)*(Supuestos!$F$9-Supuestos!$E$9))),IF(Supuestos!$C$9="Uniforme",Supuestos!$D$9+F761*(Supuestos!$E$9-Supuestos!$D$9),IF(Supuestos!$C$9="Lognormal",LOGINV(F761,LN(Supuestos!$D$9)-LN(1+Supuestos!$E$9^2/Supuestos!$D$9^2)/2,SQRT(LN(1+Supuestos!$E$9^2/Supuestos!$D$9^2))),Supuestos!$D$9))))))</f>
        <v/>
      </c>
      <c r="N761" s="32">
        <f>MIN(IF(Supuestos!$H$10="",1E+99,Supuestos!$H$10),MAX(IF(Supuestos!$G$10="",-1E+99,Supuestos!$G$10),IF(Supuestos!$C$10="Normal",NORMINV(G761,Supuestos!$D$10,Supuestos!$E$10),IF(Supuestos!$C$10="Triangular",IF(G761&lt;(Supuestos!$E$10-Supuestos!$D$10)/(Supuestos!$F$10-Supuestos!$D$10),Supuestos!$D$10+SQRT(G761*(Supuestos!$F$10-Supuestos!$D$10)*(Supuestos!$E$10-Supuestos!$D$10)),Supuestos!$F$10-SQRT((1-G761)*(Supuestos!$F$10-Supuestos!$D$10)*(Supuestos!$F$10-Supuestos!$E$10))),IF(Supuestos!$C$10="Uniforme",Supuestos!$D$10+G761*(Supuestos!$E$10-Supuestos!$D$10),IF(Supuestos!$C$10="Lognormal",LOGINV(G761,LN(Supuestos!$D$10)-LN(1+Supuestos!$E$10^2/Supuestos!$D$10^2)/2,SQRT(LN(1+Supuestos!$E$10^2/Supuestos!$D$10^2))),Supuestos!$D$10))))))</f>
        <v/>
      </c>
      <c r="O761" s="31">
        <f>MIN(IF(Supuestos!$H$11="",1E+99,Supuestos!$H$11),MAX(IF(Supuestos!$G$11="",-1E+99,Supuestos!$G$11),IF(Supuestos!$C$11="Normal",NORMINV(H761,Supuestos!$D$11,Supuestos!$E$11),IF(Supuestos!$C$11="Triangular",IF(H761&lt;(Supuestos!$E$11-Supuestos!$D$11)/(Supuestos!$F$11-Supuestos!$D$11),Supuestos!$D$11+SQRT(H761*(Supuestos!$F$11-Supuestos!$D$11)*(Supuestos!$E$11-Supuestos!$D$11)),Supuestos!$F$11-SQRT((1-H761)*(Supuestos!$F$11-Supuestos!$D$11)*(Supuestos!$F$11-Supuestos!$E$11))),IF(Supuestos!$C$11="Uniforme",Supuestos!$D$11+H761*(Supuestos!$E$11-Supuestos!$D$11),IF(Supuestos!$C$11="Lognormal",LOGINV(H761,LN(Supuestos!$D$11)-LN(1+Supuestos!$E$11^2/Supuestos!$D$11^2)/2,SQRT(LN(1+Supuestos!$E$11^2/Supuestos!$D$11^2))),Supuestos!$D$11))))))</f>
        <v/>
      </c>
      <c r="P761" s="33">
        <f>-I761</f>
        <v/>
      </c>
      <c r="Q761" s="33">
        <f>$J761*(1+$K761)^(1-1)*(1-$L761)*(1-$M761)</f>
        <v/>
      </c>
      <c r="R761" s="33">
        <f>$J761*(1+$K761)^(2-1)*(1-$L761)*(1-$M761)</f>
        <v/>
      </c>
      <c r="S761" s="33">
        <f>$J761*(1+$K761)^(3-1)*(1-$L761)*(1-$M761)</f>
        <v/>
      </c>
      <c r="T761" s="33">
        <f>$J761*(1+$K761)^(4-1)*(1-$L761)*(1-$M761)</f>
        <v/>
      </c>
      <c r="U761" s="33">
        <f>$J761*(1+$K761)^(5-1)*(1-$L761)*(1-$M761)+$O761</f>
        <v/>
      </c>
      <c r="V761" s="33">
        <f>P761+NPV($N761,Q761:U761)</f>
        <v/>
      </c>
      <c r="W761" s="32">
        <f>IFERROR(IRR(P761:U761,0.1),"")</f>
        <v/>
      </c>
    </row>
    <row r="762">
      <c r="A762" s="14" t="n">
        <v>758</v>
      </c>
      <c r="B762" s="30">
        <f>RAND()*(1-2E-6)+1E-6</f>
        <v/>
      </c>
      <c r="C762" s="30">
        <f>RAND()*(1-2E-6)+1E-6</f>
        <v/>
      </c>
      <c r="D762" s="30">
        <f>RAND()*(1-2E-6)+1E-6</f>
        <v/>
      </c>
      <c r="E762" s="30">
        <f>RAND()*(1-2E-6)+1E-6</f>
        <v/>
      </c>
      <c r="F762" s="30">
        <f>RAND()*(1-2E-6)+1E-6</f>
        <v/>
      </c>
      <c r="G762" s="30">
        <f>RAND()*(1-2E-6)+1E-6</f>
        <v/>
      </c>
      <c r="H762" s="30">
        <f>RAND()*(1-2E-6)+1E-6</f>
        <v/>
      </c>
      <c r="I762" s="31">
        <f>MIN(IF(Supuestos!$H$5="",1E+99,Supuestos!$H$5),MAX(IF(Supuestos!$G$5="",-1E+99,Supuestos!$G$5),IF(Supuestos!$C$5="Normal",NORMINV(B762,Supuestos!$D$5,Supuestos!$E$5),IF(Supuestos!$C$5="Triangular",IF(B762&lt;(Supuestos!$E$5-Supuestos!$D$5)/(Supuestos!$F$5-Supuestos!$D$5),Supuestos!$D$5+SQRT(B762*(Supuestos!$F$5-Supuestos!$D$5)*(Supuestos!$E$5-Supuestos!$D$5)),Supuestos!$F$5-SQRT((1-B762)*(Supuestos!$F$5-Supuestos!$D$5)*(Supuestos!$F$5-Supuestos!$E$5))),IF(Supuestos!$C$5="Uniforme",Supuestos!$D$5+B762*(Supuestos!$E$5-Supuestos!$D$5),IF(Supuestos!$C$5="Lognormal",LOGINV(B762,LN(Supuestos!$D$5)-LN(1+Supuestos!$E$5^2/Supuestos!$D$5^2)/2,SQRT(LN(1+Supuestos!$E$5^2/Supuestos!$D$5^2))),Supuestos!$D$5))))))</f>
        <v/>
      </c>
      <c r="J762" s="31">
        <f>MIN(IF(Supuestos!$H$6="",1E+99,Supuestos!$H$6),MAX(IF(Supuestos!$G$6="",-1E+99,Supuestos!$G$6),IF(Supuestos!$C$6="Normal",NORMINV(C762,Supuestos!$D$6,Supuestos!$E$6),IF(Supuestos!$C$6="Triangular",IF(C762&lt;(Supuestos!$E$6-Supuestos!$D$6)/(Supuestos!$F$6-Supuestos!$D$6),Supuestos!$D$6+SQRT(C762*(Supuestos!$F$6-Supuestos!$D$6)*(Supuestos!$E$6-Supuestos!$D$6)),Supuestos!$F$6-SQRT((1-C762)*(Supuestos!$F$6-Supuestos!$D$6)*(Supuestos!$F$6-Supuestos!$E$6))),IF(Supuestos!$C$6="Uniforme",Supuestos!$D$6+C762*(Supuestos!$E$6-Supuestos!$D$6),IF(Supuestos!$C$6="Lognormal",LOGINV(C762,LN(Supuestos!$D$6)-LN(1+Supuestos!$E$6^2/Supuestos!$D$6^2)/2,SQRT(LN(1+Supuestos!$E$6^2/Supuestos!$D$6^2))),Supuestos!$D$6))))))</f>
        <v/>
      </c>
      <c r="K762" s="32">
        <f>MIN(IF(Supuestos!$H$7="",1E+99,Supuestos!$H$7),MAX(IF(Supuestos!$G$7="",-1E+99,Supuestos!$G$7),IF(Supuestos!$C$7="Normal",NORMINV(D762,Supuestos!$D$7,Supuestos!$E$7),IF(Supuestos!$C$7="Triangular",IF(D762&lt;(Supuestos!$E$7-Supuestos!$D$7)/(Supuestos!$F$7-Supuestos!$D$7),Supuestos!$D$7+SQRT(D762*(Supuestos!$F$7-Supuestos!$D$7)*(Supuestos!$E$7-Supuestos!$D$7)),Supuestos!$F$7-SQRT((1-D762)*(Supuestos!$F$7-Supuestos!$D$7)*(Supuestos!$F$7-Supuestos!$E$7))),IF(Supuestos!$C$7="Uniforme",Supuestos!$D$7+D762*(Supuestos!$E$7-Supuestos!$D$7),IF(Supuestos!$C$7="Lognormal",LOGINV(D762,LN(Supuestos!$D$7)-LN(1+Supuestos!$E$7^2/Supuestos!$D$7^2)/2,SQRT(LN(1+Supuestos!$E$7^2/Supuestos!$D$7^2))),Supuestos!$D$7))))))</f>
        <v/>
      </c>
      <c r="L762" s="32">
        <f>MIN(IF(Supuestos!$H$8="",1E+99,Supuestos!$H$8),MAX(IF(Supuestos!$G$8="",-1E+99,Supuestos!$G$8),IF(Supuestos!$C$8="Normal",NORMINV(E762,Supuestos!$D$8,Supuestos!$E$8),IF(Supuestos!$C$8="Triangular",IF(E762&lt;(Supuestos!$E$8-Supuestos!$D$8)/(Supuestos!$F$8-Supuestos!$D$8),Supuestos!$D$8+SQRT(E762*(Supuestos!$F$8-Supuestos!$D$8)*(Supuestos!$E$8-Supuestos!$D$8)),Supuestos!$F$8-SQRT((1-E762)*(Supuestos!$F$8-Supuestos!$D$8)*(Supuestos!$F$8-Supuestos!$E$8))),IF(Supuestos!$C$8="Uniforme",Supuestos!$D$8+E762*(Supuestos!$E$8-Supuestos!$D$8),IF(Supuestos!$C$8="Lognormal",LOGINV(E762,LN(Supuestos!$D$8)-LN(1+Supuestos!$E$8^2/Supuestos!$D$8^2)/2,SQRT(LN(1+Supuestos!$E$8^2/Supuestos!$D$8^2))),Supuestos!$D$8))))))</f>
        <v/>
      </c>
      <c r="M762" s="32">
        <f>MIN(IF(Supuestos!$H$9="",1E+99,Supuestos!$H$9),MAX(IF(Supuestos!$G$9="",-1E+99,Supuestos!$G$9),IF(Supuestos!$C$9="Normal",NORMINV(F762,Supuestos!$D$9,Supuestos!$E$9),IF(Supuestos!$C$9="Triangular",IF(F762&lt;(Supuestos!$E$9-Supuestos!$D$9)/(Supuestos!$F$9-Supuestos!$D$9),Supuestos!$D$9+SQRT(F762*(Supuestos!$F$9-Supuestos!$D$9)*(Supuestos!$E$9-Supuestos!$D$9)),Supuestos!$F$9-SQRT((1-F762)*(Supuestos!$F$9-Supuestos!$D$9)*(Supuestos!$F$9-Supuestos!$E$9))),IF(Supuestos!$C$9="Uniforme",Supuestos!$D$9+F762*(Supuestos!$E$9-Supuestos!$D$9),IF(Supuestos!$C$9="Lognormal",LOGINV(F762,LN(Supuestos!$D$9)-LN(1+Supuestos!$E$9^2/Supuestos!$D$9^2)/2,SQRT(LN(1+Supuestos!$E$9^2/Supuestos!$D$9^2))),Supuestos!$D$9))))))</f>
        <v/>
      </c>
      <c r="N762" s="32">
        <f>MIN(IF(Supuestos!$H$10="",1E+99,Supuestos!$H$10),MAX(IF(Supuestos!$G$10="",-1E+99,Supuestos!$G$10),IF(Supuestos!$C$10="Normal",NORMINV(G762,Supuestos!$D$10,Supuestos!$E$10),IF(Supuestos!$C$10="Triangular",IF(G762&lt;(Supuestos!$E$10-Supuestos!$D$10)/(Supuestos!$F$10-Supuestos!$D$10),Supuestos!$D$10+SQRT(G762*(Supuestos!$F$10-Supuestos!$D$10)*(Supuestos!$E$10-Supuestos!$D$10)),Supuestos!$F$10-SQRT((1-G762)*(Supuestos!$F$10-Supuestos!$D$10)*(Supuestos!$F$10-Supuestos!$E$10))),IF(Supuestos!$C$10="Uniforme",Supuestos!$D$10+G762*(Supuestos!$E$10-Supuestos!$D$10),IF(Supuestos!$C$10="Lognormal",LOGINV(G762,LN(Supuestos!$D$10)-LN(1+Supuestos!$E$10^2/Supuestos!$D$10^2)/2,SQRT(LN(1+Supuestos!$E$10^2/Supuestos!$D$10^2))),Supuestos!$D$10))))))</f>
        <v/>
      </c>
      <c r="O762" s="31">
        <f>MIN(IF(Supuestos!$H$11="",1E+99,Supuestos!$H$11),MAX(IF(Supuestos!$G$11="",-1E+99,Supuestos!$G$11),IF(Supuestos!$C$11="Normal",NORMINV(H762,Supuestos!$D$11,Supuestos!$E$11),IF(Supuestos!$C$11="Triangular",IF(H762&lt;(Supuestos!$E$11-Supuestos!$D$11)/(Supuestos!$F$11-Supuestos!$D$11),Supuestos!$D$11+SQRT(H762*(Supuestos!$F$11-Supuestos!$D$11)*(Supuestos!$E$11-Supuestos!$D$11)),Supuestos!$F$11-SQRT((1-H762)*(Supuestos!$F$11-Supuestos!$D$11)*(Supuestos!$F$11-Supuestos!$E$11))),IF(Supuestos!$C$11="Uniforme",Supuestos!$D$11+H762*(Supuestos!$E$11-Supuestos!$D$11),IF(Supuestos!$C$11="Lognormal",LOGINV(H762,LN(Supuestos!$D$11)-LN(1+Supuestos!$E$11^2/Supuestos!$D$11^2)/2,SQRT(LN(1+Supuestos!$E$11^2/Supuestos!$D$11^2))),Supuestos!$D$11))))))</f>
        <v/>
      </c>
      <c r="P762" s="33">
        <f>-I762</f>
        <v/>
      </c>
      <c r="Q762" s="33">
        <f>$J762*(1+$K762)^(1-1)*(1-$L762)*(1-$M762)</f>
        <v/>
      </c>
      <c r="R762" s="33">
        <f>$J762*(1+$K762)^(2-1)*(1-$L762)*(1-$M762)</f>
        <v/>
      </c>
      <c r="S762" s="33">
        <f>$J762*(1+$K762)^(3-1)*(1-$L762)*(1-$M762)</f>
        <v/>
      </c>
      <c r="T762" s="33">
        <f>$J762*(1+$K762)^(4-1)*(1-$L762)*(1-$M762)</f>
        <v/>
      </c>
      <c r="U762" s="33">
        <f>$J762*(1+$K762)^(5-1)*(1-$L762)*(1-$M762)+$O762</f>
        <v/>
      </c>
      <c r="V762" s="33">
        <f>P762+NPV($N762,Q762:U762)</f>
        <v/>
      </c>
      <c r="W762" s="32">
        <f>IFERROR(IRR(P762:U762,0.1),"")</f>
        <v/>
      </c>
    </row>
    <row r="763">
      <c r="A763" s="14" t="n">
        <v>759</v>
      </c>
      <c r="B763" s="30">
        <f>RAND()*(1-2E-6)+1E-6</f>
        <v/>
      </c>
      <c r="C763" s="30">
        <f>RAND()*(1-2E-6)+1E-6</f>
        <v/>
      </c>
      <c r="D763" s="30">
        <f>RAND()*(1-2E-6)+1E-6</f>
        <v/>
      </c>
      <c r="E763" s="30">
        <f>RAND()*(1-2E-6)+1E-6</f>
        <v/>
      </c>
      <c r="F763" s="30">
        <f>RAND()*(1-2E-6)+1E-6</f>
        <v/>
      </c>
      <c r="G763" s="30">
        <f>RAND()*(1-2E-6)+1E-6</f>
        <v/>
      </c>
      <c r="H763" s="30">
        <f>RAND()*(1-2E-6)+1E-6</f>
        <v/>
      </c>
      <c r="I763" s="31">
        <f>MIN(IF(Supuestos!$H$5="",1E+99,Supuestos!$H$5),MAX(IF(Supuestos!$G$5="",-1E+99,Supuestos!$G$5),IF(Supuestos!$C$5="Normal",NORMINV(B763,Supuestos!$D$5,Supuestos!$E$5),IF(Supuestos!$C$5="Triangular",IF(B763&lt;(Supuestos!$E$5-Supuestos!$D$5)/(Supuestos!$F$5-Supuestos!$D$5),Supuestos!$D$5+SQRT(B763*(Supuestos!$F$5-Supuestos!$D$5)*(Supuestos!$E$5-Supuestos!$D$5)),Supuestos!$F$5-SQRT((1-B763)*(Supuestos!$F$5-Supuestos!$D$5)*(Supuestos!$F$5-Supuestos!$E$5))),IF(Supuestos!$C$5="Uniforme",Supuestos!$D$5+B763*(Supuestos!$E$5-Supuestos!$D$5),IF(Supuestos!$C$5="Lognormal",LOGINV(B763,LN(Supuestos!$D$5)-LN(1+Supuestos!$E$5^2/Supuestos!$D$5^2)/2,SQRT(LN(1+Supuestos!$E$5^2/Supuestos!$D$5^2))),Supuestos!$D$5))))))</f>
        <v/>
      </c>
      <c r="J763" s="31">
        <f>MIN(IF(Supuestos!$H$6="",1E+99,Supuestos!$H$6),MAX(IF(Supuestos!$G$6="",-1E+99,Supuestos!$G$6),IF(Supuestos!$C$6="Normal",NORMINV(C763,Supuestos!$D$6,Supuestos!$E$6),IF(Supuestos!$C$6="Triangular",IF(C763&lt;(Supuestos!$E$6-Supuestos!$D$6)/(Supuestos!$F$6-Supuestos!$D$6),Supuestos!$D$6+SQRT(C763*(Supuestos!$F$6-Supuestos!$D$6)*(Supuestos!$E$6-Supuestos!$D$6)),Supuestos!$F$6-SQRT((1-C763)*(Supuestos!$F$6-Supuestos!$D$6)*(Supuestos!$F$6-Supuestos!$E$6))),IF(Supuestos!$C$6="Uniforme",Supuestos!$D$6+C763*(Supuestos!$E$6-Supuestos!$D$6),IF(Supuestos!$C$6="Lognormal",LOGINV(C763,LN(Supuestos!$D$6)-LN(1+Supuestos!$E$6^2/Supuestos!$D$6^2)/2,SQRT(LN(1+Supuestos!$E$6^2/Supuestos!$D$6^2))),Supuestos!$D$6))))))</f>
        <v/>
      </c>
      <c r="K763" s="32">
        <f>MIN(IF(Supuestos!$H$7="",1E+99,Supuestos!$H$7),MAX(IF(Supuestos!$G$7="",-1E+99,Supuestos!$G$7),IF(Supuestos!$C$7="Normal",NORMINV(D763,Supuestos!$D$7,Supuestos!$E$7),IF(Supuestos!$C$7="Triangular",IF(D763&lt;(Supuestos!$E$7-Supuestos!$D$7)/(Supuestos!$F$7-Supuestos!$D$7),Supuestos!$D$7+SQRT(D763*(Supuestos!$F$7-Supuestos!$D$7)*(Supuestos!$E$7-Supuestos!$D$7)),Supuestos!$F$7-SQRT((1-D763)*(Supuestos!$F$7-Supuestos!$D$7)*(Supuestos!$F$7-Supuestos!$E$7))),IF(Supuestos!$C$7="Uniforme",Supuestos!$D$7+D763*(Supuestos!$E$7-Supuestos!$D$7),IF(Supuestos!$C$7="Lognormal",LOGINV(D763,LN(Supuestos!$D$7)-LN(1+Supuestos!$E$7^2/Supuestos!$D$7^2)/2,SQRT(LN(1+Supuestos!$E$7^2/Supuestos!$D$7^2))),Supuestos!$D$7))))))</f>
        <v/>
      </c>
      <c r="L763" s="32">
        <f>MIN(IF(Supuestos!$H$8="",1E+99,Supuestos!$H$8),MAX(IF(Supuestos!$G$8="",-1E+99,Supuestos!$G$8),IF(Supuestos!$C$8="Normal",NORMINV(E763,Supuestos!$D$8,Supuestos!$E$8),IF(Supuestos!$C$8="Triangular",IF(E763&lt;(Supuestos!$E$8-Supuestos!$D$8)/(Supuestos!$F$8-Supuestos!$D$8),Supuestos!$D$8+SQRT(E763*(Supuestos!$F$8-Supuestos!$D$8)*(Supuestos!$E$8-Supuestos!$D$8)),Supuestos!$F$8-SQRT((1-E763)*(Supuestos!$F$8-Supuestos!$D$8)*(Supuestos!$F$8-Supuestos!$E$8))),IF(Supuestos!$C$8="Uniforme",Supuestos!$D$8+E763*(Supuestos!$E$8-Supuestos!$D$8),IF(Supuestos!$C$8="Lognormal",LOGINV(E763,LN(Supuestos!$D$8)-LN(1+Supuestos!$E$8^2/Supuestos!$D$8^2)/2,SQRT(LN(1+Supuestos!$E$8^2/Supuestos!$D$8^2))),Supuestos!$D$8))))))</f>
        <v/>
      </c>
      <c r="M763" s="32">
        <f>MIN(IF(Supuestos!$H$9="",1E+99,Supuestos!$H$9),MAX(IF(Supuestos!$G$9="",-1E+99,Supuestos!$G$9),IF(Supuestos!$C$9="Normal",NORMINV(F763,Supuestos!$D$9,Supuestos!$E$9),IF(Supuestos!$C$9="Triangular",IF(F763&lt;(Supuestos!$E$9-Supuestos!$D$9)/(Supuestos!$F$9-Supuestos!$D$9),Supuestos!$D$9+SQRT(F763*(Supuestos!$F$9-Supuestos!$D$9)*(Supuestos!$E$9-Supuestos!$D$9)),Supuestos!$F$9-SQRT((1-F763)*(Supuestos!$F$9-Supuestos!$D$9)*(Supuestos!$F$9-Supuestos!$E$9))),IF(Supuestos!$C$9="Uniforme",Supuestos!$D$9+F763*(Supuestos!$E$9-Supuestos!$D$9),IF(Supuestos!$C$9="Lognormal",LOGINV(F763,LN(Supuestos!$D$9)-LN(1+Supuestos!$E$9^2/Supuestos!$D$9^2)/2,SQRT(LN(1+Supuestos!$E$9^2/Supuestos!$D$9^2))),Supuestos!$D$9))))))</f>
        <v/>
      </c>
      <c r="N763" s="32">
        <f>MIN(IF(Supuestos!$H$10="",1E+99,Supuestos!$H$10),MAX(IF(Supuestos!$G$10="",-1E+99,Supuestos!$G$10),IF(Supuestos!$C$10="Normal",NORMINV(G763,Supuestos!$D$10,Supuestos!$E$10),IF(Supuestos!$C$10="Triangular",IF(G763&lt;(Supuestos!$E$10-Supuestos!$D$10)/(Supuestos!$F$10-Supuestos!$D$10),Supuestos!$D$10+SQRT(G763*(Supuestos!$F$10-Supuestos!$D$10)*(Supuestos!$E$10-Supuestos!$D$10)),Supuestos!$F$10-SQRT((1-G763)*(Supuestos!$F$10-Supuestos!$D$10)*(Supuestos!$F$10-Supuestos!$E$10))),IF(Supuestos!$C$10="Uniforme",Supuestos!$D$10+G763*(Supuestos!$E$10-Supuestos!$D$10),IF(Supuestos!$C$10="Lognormal",LOGINV(G763,LN(Supuestos!$D$10)-LN(1+Supuestos!$E$10^2/Supuestos!$D$10^2)/2,SQRT(LN(1+Supuestos!$E$10^2/Supuestos!$D$10^2))),Supuestos!$D$10))))))</f>
        <v/>
      </c>
      <c r="O763" s="31">
        <f>MIN(IF(Supuestos!$H$11="",1E+99,Supuestos!$H$11),MAX(IF(Supuestos!$G$11="",-1E+99,Supuestos!$G$11),IF(Supuestos!$C$11="Normal",NORMINV(H763,Supuestos!$D$11,Supuestos!$E$11),IF(Supuestos!$C$11="Triangular",IF(H763&lt;(Supuestos!$E$11-Supuestos!$D$11)/(Supuestos!$F$11-Supuestos!$D$11),Supuestos!$D$11+SQRT(H763*(Supuestos!$F$11-Supuestos!$D$11)*(Supuestos!$E$11-Supuestos!$D$11)),Supuestos!$F$11-SQRT((1-H763)*(Supuestos!$F$11-Supuestos!$D$11)*(Supuestos!$F$11-Supuestos!$E$11))),IF(Supuestos!$C$11="Uniforme",Supuestos!$D$11+H763*(Supuestos!$E$11-Supuestos!$D$11),IF(Supuestos!$C$11="Lognormal",LOGINV(H763,LN(Supuestos!$D$11)-LN(1+Supuestos!$E$11^2/Supuestos!$D$11^2)/2,SQRT(LN(1+Supuestos!$E$11^2/Supuestos!$D$11^2))),Supuestos!$D$11))))))</f>
        <v/>
      </c>
      <c r="P763" s="33">
        <f>-I763</f>
        <v/>
      </c>
      <c r="Q763" s="33">
        <f>$J763*(1+$K763)^(1-1)*(1-$L763)*(1-$M763)</f>
        <v/>
      </c>
      <c r="R763" s="33">
        <f>$J763*(1+$K763)^(2-1)*(1-$L763)*(1-$M763)</f>
        <v/>
      </c>
      <c r="S763" s="33">
        <f>$J763*(1+$K763)^(3-1)*(1-$L763)*(1-$M763)</f>
        <v/>
      </c>
      <c r="T763" s="33">
        <f>$J763*(1+$K763)^(4-1)*(1-$L763)*(1-$M763)</f>
        <v/>
      </c>
      <c r="U763" s="33">
        <f>$J763*(1+$K763)^(5-1)*(1-$L763)*(1-$M763)+$O763</f>
        <v/>
      </c>
      <c r="V763" s="33">
        <f>P763+NPV($N763,Q763:U763)</f>
        <v/>
      </c>
      <c r="W763" s="32">
        <f>IFERROR(IRR(P763:U763,0.1),"")</f>
        <v/>
      </c>
    </row>
    <row r="764">
      <c r="A764" s="14" t="n">
        <v>760</v>
      </c>
      <c r="B764" s="30">
        <f>RAND()*(1-2E-6)+1E-6</f>
        <v/>
      </c>
      <c r="C764" s="30">
        <f>RAND()*(1-2E-6)+1E-6</f>
        <v/>
      </c>
      <c r="D764" s="30">
        <f>RAND()*(1-2E-6)+1E-6</f>
        <v/>
      </c>
      <c r="E764" s="30">
        <f>RAND()*(1-2E-6)+1E-6</f>
        <v/>
      </c>
      <c r="F764" s="30">
        <f>RAND()*(1-2E-6)+1E-6</f>
        <v/>
      </c>
      <c r="G764" s="30">
        <f>RAND()*(1-2E-6)+1E-6</f>
        <v/>
      </c>
      <c r="H764" s="30">
        <f>RAND()*(1-2E-6)+1E-6</f>
        <v/>
      </c>
      <c r="I764" s="31">
        <f>MIN(IF(Supuestos!$H$5="",1E+99,Supuestos!$H$5),MAX(IF(Supuestos!$G$5="",-1E+99,Supuestos!$G$5),IF(Supuestos!$C$5="Normal",NORMINV(B764,Supuestos!$D$5,Supuestos!$E$5),IF(Supuestos!$C$5="Triangular",IF(B764&lt;(Supuestos!$E$5-Supuestos!$D$5)/(Supuestos!$F$5-Supuestos!$D$5),Supuestos!$D$5+SQRT(B764*(Supuestos!$F$5-Supuestos!$D$5)*(Supuestos!$E$5-Supuestos!$D$5)),Supuestos!$F$5-SQRT((1-B764)*(Supuestos!$F$5-Supuestos!$D$5)*(Supuestos!$F$5-Supuestos!$E$5))),IF(Supuestos!$C$5="Uniforme",Supuestos!$D$5+B764*(Supuestos!$E$5-Supuestos!$D$5),IF(Supuestos!$C$5="Lognormal",LOGINV(B764,LN(Supuestos!$D$5)-LN(1+Supuestos!$E$5^2/Supuestos!$D$5^2)/2,SQRT(LN(1+Supuestos!$E$5^2/Supuestos!$D$5^2))),Supuestos!$D$5))))))</f>
        <v/>
      </c>
      <c r="J764" s="31">
        <f>MIN(IF(Supuestos!$H$6="",1E+99,Supuestos!$H$6),MAX(IF(Supuestos!$G$6="",-1E+99,Supuestos!$G$6),IF(Supuestos!$C$6="Normal",NORMINV(C764,Supuestos!$D$6,Supuestos!$E$6),IF(Supuestos!$C$6="Triangular",IF(C764&lt;(Supuestos!$E$6-Supuestos!$D$6)/(Supuestos!$F$6-Supuestos!$D$6),Supuestos!$D$6+SQRT(C764*(Supuestos!$F$6-Supuestos!$D$6)*(Supuestos!$E$6-Supuestos!$D$6)),Supuestos!$F$6-SQRT((1-C764)*(Supuestos!$F$6-Supuestos!$D$6)*(Supuestos!$F$6-Supuestos!$E$6))),IF(Supuestos!$C$6="Uniforme",Supuestos!$D$6+C764*(Supuestos!$E$6-Supuestos!$D$6),IF(Supuestos!$C$6="Lognormal",LOGINV(C764,LN(Supuestos!$D$6)-LN(1+Supuestos!$E$6^2/Supuestos!$D$6^2)/2,SQRT(LN(1+Supuestos!$E$6^2/Supuestos!$D$6^2))),Supuestos!$D$6))))))</f>
        <v/>
      </c>
      <c r="K764" s="32">
        <f>MIN(IF(Supuestos!$H$7="",1E+99,Supuestos!$H$7),MAX(IF(Supuestos!$G$7="",-1E+99,Supuestos!$G$7),IF(Supuestos!$C$7="Normal",NORMINV(D764,Supuestos!$D$7,Supuestos!$E$7),IF(Supuestos!$C$7="Triangular",IF(D764&lt;(Supuestos!$E$7-Supuestos!$D$7)/(Supuestos!$F$7-Supuestos!$D$7),Supuestos!$D$7+SQRT(D764*(Supuestos!$F$7-Supuestos!$D$7)*(Supuestos!$E$7-Supuestos!$D$7)),Supuestos!$F$7-SQRT((1-D764)*(Supuestos!$F$7-Supuestos!$D$7)*(Supuestos!$F$7-Supuestos!$E$7))),IF(Supuestos!$C$7="Uniforme",Supuestos!$D$7+D764*(Supuestos!$E$7-Supuestos!$D$7),IF(Supuestos!$C$7="Lognormal",LOGINV(D764,LN(Supuestos!$D$7)-LN(1+Supuestos!$E$7^2/Supuestos!$D$7^2)/2,SQRT(LN(1+Supuestos!$E$7^2/Supuestos!$D$7^2))),Supuestos!$D$7))))))</f>
        <v/>
      </c>
      <c r="L764" s="32">
        <f>MIN(IF(Supuestos!$H$8="",1E+99,Supuestos!$H$8),MAX(IF(Supuestos!$G$8="",-1E+99,Supuestos!$G$8),IF(Supuestos!$C$8="Normal",NORMINV(E764,Supuestos!$D$8,Supuestos!$E$8),IF(Supuestos!$C$8="Triangular",IF(E764&lt;(Supuestos!$E$8-Supuestos!$D$8)/(Supuestos!$F$8-Supuestos!$D$8),Supuestos!$D$8+SQRT(E764*(Supuestos!$F$8-Supuestos!$D$8)*(Supuestos!$E$8-Supuestos!$D$8)),Supuestos!$F$8-SQRT((1-E764)*(Supuestos!$F$8-Supuestos!$D$8)*(Supuestos!$F$8-Supuestos!$E$8))),IF(Supuestos!$C$8="Uniforme",Supuestos!$D$8+E764*(Supuestos!$E$8-Supuestos!$D$8),IF(Supuestos!$C$8="Lognormal",LOGINV(E764,LN(Supuestos!$D$8)-LN(1+Supuestos!$E$8^2/Supuestos!$D$8^2)/2,SQRT(LN(1+Supuestos!$E$8^2/Supuestos!$D$8^2))),Supuestos!$D$8))))))</f>
        <v/>
      </c>
      <c r="M764" s="32">
        <f>MIN(IF(Supuestos!$H$9="",1E+99,Supuestos!$H$9),MAX(IF(Supuestos!$G$9="",-1E+99,Supuestos!$G$9),IF(Supuestos!$C$9="Normal",NORMINV(F764,Supuestos!$D$9,Supuestos!$E$9),IF(Supuestos!$C$9="Triangular",IF(F764&lt;(Supuestos!$E$9-Supuestos!$D$9)/(Supuestos!$F$9-Supuestos!$D$9),Supuestos!$D$9+SQRT(F764*(Supuestos!$F$9-Supuestos!$D$9)*(Supuestos!$E$9-Supuestos!$D$9)),Supuestos!$F$9-SQRT((1-F764)*(Supuestos!$F$9-Supuestos!$D$9)*(Supuestos!$F$9-Supuestos!$E$9))),IF(Supuestos!$C$9="Uniforme",Supuestos!$D$9+F764*(Supuestos!$E$9-Supuestos!$D$9),IF(Supuestos!$C$9="Lognormal",LOGINV(F764,LN(Supuestos!$D$9)-LN(1+Supuestos!$E$9^2/Supuestos!$D$9^2)/2,SQRT(LN(1+Supuestos!$E$9^2/Supuestos!$D$9^2))),Supuestos!$D$9))))))</f>
        <v/>
      </c>
      <c r="N764" s="32">
        <f>MIN(IF(Supuestos!$H$10="",1E+99,Supuestos!$H$10),MAX(IF(Supuestos!$G$10="",-1E+99,Supuestos!$G$10),IF(Supuestos!$C$10="Normal",NORMINV(G764,Supuestos!$D$10,Supuestos!$E$10),IF(Supuestos!$C$10="Triangular",IF(G764&lt;(Supuestos!$E$10-Supuestos!$D$10)/(Supuestos!$F$10-Supuestos!$D$10),Supuestos!$D$10+SQRT(G764*(Supuestos!$F$10-Supuestos!$D$10)*(Supuestos!$E$10-Supuestos!$D$10)),Supuestos!$F$10-SQRT((1-G764)*(Supuestos!$F$10-Supuestos!$D$10)*(Supuestos!$F$10-Supuestos!$E$10))),IF(Supuestos!$C$10="Uniforme",Supuestos!$D$10+G764*(Supuestos!$E$10-Supuestos!$D$10),IF(Supuestos!$C$10="Lognormal",LOGINV(G764,LN(Supuestos!$D$10)-LN(1+Supuestos!$E$10^2/Supuestos!$D$10^2)/2,SQRT(LN(1+Supuestos!$E$10^2/Supuestos!$D$10^2))),Supuestos!$D$10))))))</f>
        <v/>
      </c>
      <c r="O764" s="31">
        <f>MIN(IF(Supuestos!$H$11="",1E+99,Supuestos!$H$11),MAX(IF(Supuestos!$G$11="",-1E+99,Supuestos!$G$11),IF(Supuestos!$C$11="Normal",NORMINV(H764,Supuestos!$D$11,Supuestos!$E$11),IF(Supuestos!$C$11="Triangular",IF(H764&lt;(Supuestos!$E$11-Supuestos!$D$11)/(Supuestos!$F$11-Supuestos!$D$11),Supuestos!$D$11+SQRT(H764*(Supuestos!$F$11-Supuestos!$D$11)*(Supuestos!$E$11-Supuestos!$D$11)),Supuestos!$F$11-SQRT((1-H764)*(Supuestos!$F$11-Supuestos!$D$11)*(Supuestos!$F$11-Supuestos!$E$11))),IF(Supuestos!$C$11="Uniforme",Supuestos!$D$11+H764*(Supuestos!$E$11-Supuestos!$D$11),IF(Supuestos!$C$11="Lognormal",LOGINV(H764,LN(Supuestos!$D$11)-LN(1+Supuestos!$E$11^2/Supuestos!$D$11^2)/2,SQRT(LN(1+Supuestos!$E$11^2/Supuestos!$D$11^2))),Supuestos!$D$11))))))</f>
        <v/>
      </c>
      <c r="P764" s="33">
        <f>-I764</f>
        <v/>
      </c>
      <c r="Q764" s="33">
        <f>$J764*(1+$K764)^(1-1)*(1-$L764)*(1-$M764)</f>
        <v/>
      </c>
      <c r="R764" s="33">
        <f>$J764*(1+$K764)^(2-1)*(1-$L764)*(1-$M764)</f>
        <v/>
      </c>
      <c r="S764" s="33">
        <f>$J764*(1+$K764)^(3-1)*(1-$L764)*(1-$M764)</f>
        <v/>
      </c>
      <c r="T764" s="33">
        <f>$J764*(1+$K764)^(4-1)*(1-$L764)*(1-$M764)</f>
        <v/>
      </c>
      <c r="U764" s="33">
        <f>$J764*(1+$K764)^(5-1)*(1-$L764)*(1-$M764)+$O764</f>
        <v/>
      </c>
      <c r="V764" s="33">
        <f>P764+NPV($N764,Q764:U764)</f>
        <v/>
      </c>
      <c r="W764" s="32">
        <f>IFERROR(IRR(P764:U764,0.1),"")</f>
        <v/>
      </c>
    </row>
    <row r="765">
      <c r="A765" s="14" t="n">
        <v>761</v>
      </c>
      <c r="B765" s="30">
        <f>RAND()*(1-2E-6)+1E-6</f>
        <v/>
      </c>
      <c r="C765" s="30">
        <f>RAND()*(1-2E-6)+1E-6</f>
        <v/>
      </c>
      <c r="D765" s="30">
        <f>RAND()*(1-2E-6)+1E-6</f>
        <v/>
      </c>
      <c r="E765" s="30">
        <f>RAND()*(1-2E-6)+1E-6</f>
        <v/>
      </c>
      <c r="F765" s="30">
        <f>RAND()*(1-2E-6)+1E-6</f>
        <v/>
      </c>
      <c r="G765" s="30">
        <f>RAND()*(1-2E-6)+1E-6</f>
        <v/>
      </c>
      <c r="H765" s="30">
        <f>RAND()*(1-2E-6)+1E-6</f>
        <v/>
      </c>
      <c r="I765" s="31">
        <f>MIN(IF(Supuestos!$H$5="",1E+99,Supuestos!$H$5),MAX(IF(Supuestos!$G$5="",-1E+99,Supuestos!$G$5),IF(Supuestos!$C$5="Normal",NORMINV(B765,Supuestos!$D$5,Supuestos!$E$5),IF(Supuestos!$C$5="Triangular",IF(B765&lt;(Supuestos!$E$5-Supuestos!$D$5)/(Supuestos!$F$5-Supuestos!$D$5),Supuestos!$D$5+SQRT(B765*(Supuestos!$F$5-Supuestos!$D$5)*(Supuestos!$E$5-Supuestos!$D$5)),Supuestos!$F$5-SQRT((1-B765)*(Supuestos!$F$5-Supuestos!$D$5)*(Supuestos!$F$5-Supuestos!$E$5))),IF(Supuestos!$C$5="Uniforme",Supuestos!$D$5+B765*(Supuestos!$E$5-Supuestos!$D$5),IF(Supuestos!$C$5="Lognormal",LOGINV(B765,LN(Supuestos!$D$5)-LN(1+Supuestos!$E$5^2/Supuestos!$D$5^2)/2,SQRT(LN(1+Supuestos!$E$5^2/Supuestos!$D$5^2))),Supuestos!$D$5))))))</f>
        <v/>
      </c>
      <c r="J765" s="31">
        <f>MIN(IF(Supuestos!$H$6="",1E+99,Supuestos!$H$6),MAX(IF(Supuestos!$G$6="",-1E+99,Supuestos!$G$6),IF(Supuestos!$C$6="Normal",NORMINV(C765,Supuestos!$D$6,Supuestos!$E$6),IF(Supuestos!$C$6="Triangular",IF(C765&lt;(Supuestos!$E$6-Supuestos!$D$6)/(Supuestos!$F$6-Supuestos!$D$6),Supuestos!$D$6+SQRT(C765*(Supuestos!$F$6-Supuestos!$D$6)*(Supuestos!$E$6-Supuestos!$D$6)),Supuestos!$F$6-SQRT((1-C765)*(Supuestos!$F$6-Supuestos!$D$6)*(Supuestos!$F$6-Supuestos!$E$6))),IF(Supuestos!$C$6="Uniforme",Supuestos!$D$6+C765*(Supuestos!$E$6-Supuestos!$D$6),IF(Supuestos!$C$6="Lognormal",LOGINV(C765,LN(Supuestos!$D$6)-LN(1+Supuestos!$E$6^2/Supuestos!$D$6^2)/2,SQRT(LN(1+Supuestos!$E$6^2/Supuestos!$D$6^2))),Supuestos!$D$6))))))</f>
        <v/>
      </c>
      <c r="K765" s="32">
        <f>MIN(IF(Supuestos!$H$7="",1E+99,Supuestos!$H$7),MAX(IF(Supuestos!$G$7="",-1E+99,Supuestos!$G$7),IF(Supuestos!$C$7="Normal",NORMINV(D765,Supuestos!$D$7,Supuestos!$E$7),IF(Supuestos!$C$7="Triangular",IF(D765&lt;(Supuestos!$E$7-Supuestos!$D$7)/(Supuestos!$F$7-Supuestos!$D$7),Supuestos!$D$7+SQRT(D765*(Supuestos!$F$7-Supuestos!$D$7)*(Supuestos!$E$7-Supuestos!$D$7)),Supuestos!$F$7-SQRT((1-D765)*(Supuestos!$F$7-Supuestos!$D$7)*(Supuestos!$F$7-Supuestos!$E$7))),IF(Supuestos!$C$7="Uniforme",Supuestos!$D$7+D765*(Supuestos!$E$7-Supuestos!$D$7),IF(Supuestos!$C$7="Lognormal",LOGINV(D765,LN(Supuestos!$D$7)-LN(1+Supuestos!$E$7^2/Supuestos!$D$7^2)/2,SQRT(LN(1+Supuestos!$E$7^2/Supuestos!$D$7^2))),Supuestos!$D$7))))))</f>
        <v/>
      </c>
      <c r="L765" s="32">
        <f>MIN(IF(Supuestos!$H$8="",1E+99,Supuestos!$H$8),MAX(IF(Supuestos!$G$8="",-1E+99,Supuestos!$G$8),IF(Supuestos!$C$8="Normal",NORMINV(E765,Supuestos!$D$8,Supuestos!$E$8),IF(Supuestos!$C$8="Triangular",IF(E765&lt;(Supuestos!$E$8-Supuestos!$D$8)/(Supuestos!$F$8-Supuestos!$D$8),Supuestos!$D$8+SQRT(E765*(Supuestos!$F$8-Supuestos!$D$8)*(Supuestos!$E$8-Supuestos!$D$8)),Supuestos!$F$8-SQRT((1-E765)*(Supuestos!$F$8-Supuestos!$D$8)*(Supuestos!$F$8-Supuestos!$E$8))),IF(Supuestos!$C$8="Uniforme",Supuestos!$D$8+E765*(Supuestos!$E$8-Supuestos!$D$8),IF(Supuestos!$C$8="Lognormal",LOGINV(E765,LN(Supuestos!$D$8)-LN(1+Supuestos!$E$8^2/Supuestos!$D$8^2)/2,SQRT(LN(1+Supuestos!$E$8^2/Supuestos!$D$8^2))),Supuestos!$D$8))))))</f>
        <v/>
      </c>
      <c r="M765" s="32">
        <f>MIN(IF(Supuestos!$H$9="",1E+99,Supuestos!$H$9),MAX(IF(Supuestos!$G$9="",-1E+99,Supuestos!$G$9),IF(Supuestos!$C$9="Normal",NORMINV(F765,Supuestos!$D$9,Supuestos!$E$9),IF(Supuestos!$C$9="Triangular",IF(F765&lt;(Supuestos!$E$9-Supuestos!$D$9)/(Supuestos!$F$9-Supuestos!$D$9),Supuestos!$D$9+SQRT(F765*(Supuestos!$F$9-Supuestos!$D$9)*(Supuestos!$E$9-Supuestos!$D$9)),Supuestos!$F$9-SQRT((1-F765)*(Supuestos!$F$9-Supuestos!$D$9)*(Supuestos!$F$9-Supuestos!$E$9))),IF(Supuestos!$C$9="Uniforme",Supuestos!$D$9+F765*(Supuestos!$E$9-Supuestos!$D$9),IF(Supuestos!$C$9="Lognormal",LOGINV(F765,LN(Supuestos!$D$9)-LN(1+Supuestos!$E$9^2/Supuestos!$D$9^2)/2,SQRT(LN(1+Supuestos!$E$9^2/Supuestos!$D$9^2))),Supuestos!$D$9))))))</f>
        <v/>
      </c>
      <c r="N765" s="32">
        <f>MIN(IF(Supuestos!$H$10="",1E+99,Supuestos!$H$10),MAX(IF(Supuestos!$G$10="",-1E+99,Supuestos!$G$10),IF(Supuestos!$C$10="Normal",NORMINV(G765,Supuestos!$D$10,Supuestos!$E$10),IF(Supuestos!$C$10="Triangular",IF(G765&lt;(Supuestos!$E$10-Supuestos!$D$10)/(Supuestos!$F$10-Supuestos!$D$10),Supuestos!$D$10+SQRT(G765*(Supuestos!$F$10-Supuestos!$D$10)*(Supuestos!$E$10-Supuestos!$D$10)),Supuestos!$F$10-SQRT((1-G765)*(Supuestos!$F$10-Supuestos!$D$10)*(Supuestos!$F$10-Supuestos!$E$10))),IF(Supuestos!$C$10="Uniforme",Supuestos!$D$10+G765*(Supuestos!$E$10-Supuestos!$D$10),IF(Supuestos!$C$10="Lognormal",LOGINV(G765,LN(Supuestos!$D$10)-LN(1+Supuestos!$E$10^2/Supuestos!$D$10^2)/2,SQRT(LN(1+Supuestos!$E$10^2/Supuestos!$D$10^2))),Supuestos!$D$10))))))</f>
        <v/>
      </c>
      <c r="O765" s="31">
        <f>MIN(IF(Supuestos!$H$11="",1E+99,Supuestos!$H$11),MAX(IF(Supuestos!$G$11="",-1E+99,Supuestos!$G$11),IF(Supuestos!$C$11="Normal",NORMINV(H765,Supuestos!$D$11,Supuestos!$E$11),IF(Supuestos!$C$11="Triangular",IF(H765&lt;(Supuestos!$E$11-Supuestos!$D$11)/(Supuestos!$F$11-Supuestos!$D$11),Supuestos!$D$11+SQRT(H765*(Supuestos!$F$11-Supuestos!$D$11)*(Supuestos!$E$11-Supuestos!$D$11)),Supuestos!$F$11-SQRT((1-H765)*(Supuestos!$F$11-Supuestos!$D$11)*(Supuestos!$F$11-Supuestos!$E$11))),IF(Supuestos!$C$11="Uniforme",Supuestos!$D$11+H765*(Supuestos!$E$11-Supuestos!$D$11),IF(Supuestos!$C$11="Lognormal",LOGINV(H765,LN(Supuestos!$D$11)-LN(1+Supuestos!$E$11^2/Supuestos!$D$11^2)/2,SQRT(LN(1+Supuestos!$E$11^2/Supuestos!$D$11^2))),Supuestos!$D$11))))))</f>
        <v/>
      </c>
      <c r="P765" s="33">
        <f>-I765</f>
        <v/>
      </c>
      <c r="Q765" s="33">
        <f>$J765*(1+$K765)^(1-1)*(1-$L765)*(1-$M765)</f>
        <v/>
      </c>
      <c r="R765" s="33">
        <f>$J765*(1+$K765)^(2-1)*(1-$L765)*(1-$M765)</f>
        <v/>
      </c>
      <c r="S765" s="33">
        <f>$J765*(1+$K765)^(3-1)*(1-$L765)*(1-$M765)</f>
        <v/>
      </c>
      <c r="T765" s="33">
        <f>$J765*(1+$K765)^(4-1)*(1-$L765)*(1-$M765)</f>
        <v/>
      </c>
      <c r="U765" s="33">
        <f>$J765*(1+$K765)^(5-1)*(1-$L765)*(1-$M765)+$O765</f>
        <v/>
      </c>
      <c r="V765" s="33">
        <f>P765+NPV($N765,Q765:U765)</f>
        <v/>
      </c>
      <c r="W765" s="32">
        <f>IFERROR(IRR(P765:U765,0.1),"")</f>
        <v/>
      </c>
    </row>
    <row r="766">
      <c r="A766" s="14" t="n">
        <v>762</v>
      </c>
      <c r="B766" s="30">
        <f>RAND()*(1-2E-6)+1E-6</f>
        <v/>
      </c>
      <c r="C766" s="30">
        <f>RAND()*(1-2E-6)+1E-6</f>
        <v/>
      </c>
      <c r="D766" s="30">
        <f>RAND()*(1-2E-6)+1E-6</f>
        <v/>
      </c>
      <c r="E766" s="30">
        <f>RAND()*(1-2E-6)+1E-6</f>
        <v/>
      </c>
      <c r="F766" s="30">
        <f>RAND()*(1-2E-6)+1E-6</f>
        <v/>
      </c>
      <c r="G766" s="30">
        <f>RAND()*(1-2E-6)+1E-6</f>
        <v/>
      </c>
      <c r="H766" s="30">
        <f>RAND()*(1-2E-6)+1E-6</f>
        <v/>
      </c>
      <c r="I766" s="31">
        <f>MIN(IF(Supuestos!$H$5="",1E+99,Supuestos!$H$5),MAX(IF(Supuestos!$G$5="",-1E+99,Supuestos!$G$5),IF(Supuestos!$C$5="Normal",NORMINV(B766,Supuestos!$D$5,Supuestos!$E$5),IF(Supuestos!$C$5="Triangular",IF(B766&lt;(Supuestos!$E$5-Supuestos!$D$5)/(Supuestos!$F$5-Supuestos!$D$5),Supuestos!$D$5+SQRT(B766*(Supuestos!$F$5-Supuestos!$D$5)*(Supuestos!$E$5-Supuestos!$D$5)),Supuestos!$F$5-SQRT((1-B766)*(Supuestos!$F$5-Supuestos!$D$5)*(Supuestos!$F$5-Supuestos!$E$5))),IF(Supuestos!$C$5="Uniforme",Supuestos!$D$5+B766*(Supuestos!$E$5-Supuestos!$D$5),IF(Supuestos!$C$5="Lognormal",LOGINV(B766,LN(Supuestos!$D$5)-LN(1+Supuestos!$E$5^2/Supuestos!$D$5^2)/2,SQRT(LN(1+Supuestos!$E$5^2/Supuestos!$D$5^2))),Supuestos!$D$5))))))</f>
        <v/>
      </c>
      <c r="J766" s="31">
        <f>MIN(IF(Supuestos!$H$6="",1E+99,Supuestos!$H$6),MAX(IF(Supuestos!$G$6="",-1E+99,Supuestos!$G$6),IF(Supuestos!$C$6="Normal",NORMINV(C766,Supuestos!$D$6,Supuestos!$E$6),IF(Supuestos!$C$6="Triangular",IF(C766&lt;(Supuestos!$E$6-Supuestos!$D$6)/(Supuestos!$F$6-Supuestos!$D$6),Supuestos!$D$6+SQRT(C766*(Supuestos!$F$6-Supuestos!$D$6)*(Supuestos!$E$6-Supuestos!$D$6)),Supuestos!$F$6-SQRT((1-C766)*(Supuestos!$F$6-Supuestos!$D$6)*(Supuestos!$F$6-Supuestos!$E$6))),IF(Supuestos!$C$6="Uniforme",Supuestos!$D$6+C766*(Supuestos!$E$6-Supuestos!$D$6),IF(Supuestos!$C$6="Lognormal",LOGINV(C766,LN(Supuestos!$D$6)-LN(1+Supuestos!$E$6^2/Supuestos!$D$6^2)/2,SQRT(LN(1+Supuestos!$E$6^2/Supuestos!$D$6^2))),Supuestos!$D$6))))))</f>
        <v/>
      </c>
      <c r="K766" s="32">
        <f>MIN(IF(Supuestos!$H$7="",1E+99,Supuestos!$H$7),MAX(IF(Supuestos!$G$7="",-1E+99,Supuestos!$G$7),IF(Supuestos!$C$7="Normal",NORMINV(D766,Supuestos!$D$7,Supuestos!$E$7),IF(Supuestos!$C$7="Triangular",IF(D766&lt;(Supuestos!$E$7-Supuestos!$D$7)/(Supuestos!$F$7-Supuestos!$D$7),Supuestos!$D$7+SQRT(D766*(Supuestos!$F$7-Supuestos!$D$7)*(Supuestos!$E$7-Supuestos!$D$7)),Supuestos!$F$7-SQRT((1-D766)*(Supuestos!$F$7-Supuestos!$D$7)*(Supuestos!$F$7-Supuestos!$E$7))),IF(Supuestos!$C$7="Uniforme",Supuestos!$D$7+D766*(Supuestos!$E$7-Supuestos!$D$7),IF(Supuestos!$C$7="Lognormal",LOGINV(D766,LN(Supuestos!$D$7)-LN(1+Supuestos!$E$7^2/Supuestos!$D$7^2)/2,SQRT(LN(1+Supuestos!$E$7^2/Supuestos!$D$7^2))),Supuestos!$D$7))))))</f>
        <v/>
      </c>
      <c r="L766" s="32">
        <f>MIN(IF(Supuestos!$H$8="",1E+99,Supuestos!$H$8),MAX(IF(Supuestos!$G$8="",-1E+99,Supuestos!$G$8),IF(Supuestos!$C$8="Normal",NORMINV(E766,Supuestos!$D$8,Supuestos!$E$8),IF(Supuestos!$C$8="Triangular",IF(E766&lt;(Supuestos!$E$8-Supuestos!$D$8)/(Supuestos!$F$8-Supuestos!$D$8),Supuestos!$D$8+SQRT(E766*(Supuestos!$F$8-Supuestos!$D$8)*(Supuestos!$E$8-Supuestos!$D$8)),Supuestos!$F$8-SQRT((1-E766)*(Supuestos!$F$8-Supuestos!$D$8)*(Supuestos!$F$8-Supuestos!$E$8))),IF(Supuestos!$C$8="Uniforme",Supuestos!$D$8+E766*(Supuestos!$E$8-Supuestos!$D$8),IF(Supuestos!$C$8="Lognormal",LOGINV(E766,LN(Supuestos!$D$8)-LN(1+Supuestos!$E$8^2/Supuestos!$D$8^2)/2,SQRT(LN(1+Supuestos!$E$8^2/Supuestos!$D$8^2))),Supuestos!$D$8))))))</f>
        <v/>
      </c>
      <c r="M766" s="32">
        <f>MIN(IF(Supuestos!$H$9="",1E+99,Supuestos!$H$9),MAX(IF(Supuestos!$G$9="",-1E+99,Supuestos!$G$9),IF(Supuestos!$C$9="Normal",NORMINV(F766,Supuestos!$D$9,Supuestos!$E$9),IF(Supuestos!$C$9="Triangular",IF(F766&lt;(Supuestos!$E$9-Supuestos!$D$9)/(Supuestos!$F$9-Supuestos!$D$9),Supuestos!$D$9+SQRT(F766*(Supuestos!$F$9-Supuestos!$D$9)*(Supuestos!$E$9-Supuestos!$D$9)),Supuestos!$F$9-SQRT((1-F766)*(Supuestos!$F$9-Supuestos!$D$9)*(Supuestos!$F$9-Supuestos!$E$9))),IF(Supuestos!$C$9="Uniforme",Supuestos!$D$9+F766*(Supuestos!$E$9-Supuestos!$D$9),IF(Supuestos!$C$9="Lognormal",LOGINV(F766,LN(Supuestos!$D$9)-LN(1+Supuestos!$E$9^2/Supuestos!$D$9^2)/2,SQRT(LN(1+Supuestos!$E$9^2/Supuestos!$D$9^2))),Supuestos!$D$9))))))</f>
        <v/>
      </c>
      <c r="N766" s="32">
        <f>MIN(IF(Supuestos!$H$10="",1E+99,Supuestos!$H$10),MAX(IF(Supuestos!$G$10="",-1E+99,Supuestos!$G$10),IF(Supuestos!$C$10="Normal",NORMINV(G766,Supuestos!$D$10,Supuestos!$E$10),IF(Supuestos!$C$10="Triangular",IF(G766&lt;(Supuestos!$E$10-Supuestos!$D$10)/(Supuestos!$F$10-Supuestos!$D$10),Supuestos!$D$10+SQRT(G766*(Supuestos!$F$10-Supuestos!$D$10)*(Supuestos!$E$10-Supuestos!$D$10)),Supuestos!$F$10-SQRT((1-G766)*(Supuestos!$F$10-Supuestos!$D$10)*(Supuestos!$F$10-Supuestos!$E$10))),IF(Supuestos!$C$10="Uniforme",Supuestos!$D$10+G766*(Supuestos!$E$10-Supuestos!$D$10),IF(Supuestos!$C$10="Lognormal",LOGINV(G766,LN(Supuestos!$D$10)-LN(1+Supuestos!$E$10^2/Supuestos!$D$10^2)/2,SQRT(LN(1+Supuestos!$E$10^2/Supuestos!$D$10^2))),Supuestos!$D$10))))))</f>
        <v/>
      </c>
      <c r="O766" s="31">
        <f>MIN(IF(Supuestos!$H$11="",1E+99,Supuestos!$H$11),MAX(IF(Supuestos!$G$11="",-1E+99,Supuestos!$G$11),IF(Supuestos!$C$11="Normal",NORMINV(H766,Supuestos!$D$11,Supuestos!$E$11),IF(Supuestos!$C$11="Triangular",IF(H766&lt;(Supuestos!$E$11-Supuestos!$D$11)/(Supuestos!$F$11-Supuestos!$D$11),Supuestos!$D$11+SQRT(H766*(Supuestos!$F$11-Supuestos!$D$11)*(Supuestos!$E$11-Supuestos!$D$11)),Supuestos!$F$11-SQRT((1-H766)*(Supuestos!$F$11-Supuestos!$D$11)*(Supuestos!$F$11-Supuestos!$E$11))),IF(Supuestos!$C$11="Uniforme",Supuestos!$D$11+H766*(Supuestos!$E$11-Supuestos!$D$11),IF(Supuestos!$C$11="Lognormal",LOGINV(H766,LN(Supuestos!$D$11)-LN(1+Supuestos!$E$11^2/Supuestos!$D$11^2)/2,SQRT(LN(1+Supuestos!$E$11^2/Supuestos!$D$11^2))),Supuestos!$D$11))))))</f>
        <v/>
      </c>
      <c r="P766" s="33">
        <f>-I766</f>
        <v/>
      </c>
      <c r="Q766" s="33">
        <f>$J766*(1+$K766)^(1-1)*(1-$L766)*(1-$M766)</f>
        <v/>
      </c>
      <c r="R766" s="33">
        <f>$J766*(1+$K766)^(2-1)*(1-$L766)*(1-$M766)</f>
        <v/>
      </c>
      <c r="S766" s="33">
        <f>$J766*(1+$K766)^(3-1)*(1-$L766)*(1-$M766)</f>
        <v/>
      </c>
      <c r="T766" s="33">
        <f>$J766*(1+$K766)^(4-1)*(1-$L766)*(1-$M766)</f>
        <v/>
      </c>
      <c r="U766" s="33">
        <f>$J766*(1+$K766)^(5-1)*(1-$L766)*(1-$M766)+$O766</f>
        <v/>
      </c>
      <c r="V766" s="33">
        <f>P766+NPV($N766,Q766:U766)</f>
        <v/>
      </c>
      <c r="W766" s="32">
        <f>IFERROR(IRR(P766:U766,0.1),"")</f>
        <v/>
      </c>
    </row>
    <row r="767">
      <c r="A767" s="14" t="n">
        <v>763</v>
      </c>
      <c r="B767" s="30">
        <f>RAND()*(1-2E-6)+1E-6</f>
        <v/>
      </c>
      <c r="C767" s="30">
        <f>RAND()*(1-2E-6)+1E-6</f>
        <v/>
      </c>
      <c r="D767" s="30">
        <f>RAND()*(1-2E-6)+1E-6</f>
        <v/>
      </c>
      <c r="E767" s="30">
        <f>RAND()*(1-2E-6)+1E-6</f>
        <v/>
      </c>
      <c r="F767" s="30">
        <f>RAND()*(1-2E-6)+1E-6</f>
        <v/>
      </c>
      <c r="G767" s="30">
        <f>RAND()*(1-2E-6)+1E-6</f>
        <v/>
      </c>
      <c r="H767" s="30">
        <f>RAND()*(1-2E-6)+1E-6</f>
        <v/>
      </c>
      <c r="I767" s="31">
        <f>MIN(IF(Supuestos!$H$5="",1E+99,Supuestos!$H$5),MAX(IF(Supuestos!$G$5="",-1E+99,Supuestos!$G$5),IF(Supuestos!$C$5="Normal",NORMINV(B767,Supuestos!$D$5,Supuestos!$E$5),IF(Supuestos!$C$5="Triangular",IF(B767&lt;(Supuestos!$E$5-Supuestos!$D$5)/(Supuestos!$F$5-Supuestos!$D$5),Supuestos!$D$5+SQRT(B767*(Supuestos!$F$5-Supuestos!$D$5)*(Supuestos!$E$5-Supuestos!$D$5)),Supuestos!$F$5-SQRT((1-B767)*(Supuestos!$F$5-Supuestos!$D$5)*(Supuestos!$F$5-Supuestos!$E$5))),IF(Supuestos!$C$5="Uniforme",Supuestos!$D$5+B767*(Supuestos!$E$5-Supuestos!$D$5),IF(Supuestos!$C$5="Lognormal",LOGINV(B767,LN(Supuestos!$D$5)-LN(1+Supuestos!$E$5^2/Supuestos!$D$5^2)/2,SQRT(LN(1+Supuestos!$E$5^2/Supuestos!$D$5^2))),Supuestos!$D$5))))))</f>
        <v/>
      </c>
      <c r="J767" s="31">
        <f>MIN(IF(Supuestos!$H$6="",1E+99,Supuestos!$H$6),MAX(IF(Supuestos!$G$6="",-1E+99,Supuestos!$G$6),IF(Supuestos!$C$6="Normal",NORMINV(C767,Supuestos!$D$6,Supuestos!$E$6),IF(Supuestos!$C$6="Triangular",IF(C767&lt;(Supuestos!$E$6-Supuestos!$D$6)/(Supuestos!$F$6-Supuestos!$D$6),Supuestos!$D$6+SQRT(C767*(Supuestos!$F$6-Supuestos!$D$6)*(Supuestos!$E$6-Supuestos!$D$6)),Supuestos!$F$6-SQRT((1-C767)*(Supuestos!$F$6-Supuestos!$D$6)*(Supuestos!$F$6-Supuestos!$E$6))),IF(Supuestos!$C$6="Uniforme",Supuestos!$D$6+C767*(Supuestos!$E$6-Supuestos!$D$6),IF(Supuestos!$C$6="Lognormal",LOGINV(C767,LN(Supuestos!$D$6)-LN(1+Supuestos!$E$6^2/Supuestos!$D$6^2)/2,SQRT(LN(1+Supuestos!$E$6^2/Supuestos!$D$6^2))),Supuestos!$D$6))))))</f>
        <v/>
      </c>
      <c r="K767" s="32">
        <f>MIN(IF(Supuestos!$H$7="",1E+99,Supuestos!$H$7),MAX(IF(Supuestos!$G$7="",-1E+99,Supuestos!$G$7),IF(Supuestos!$C$7="Normal",NORMINV(D767,Supuestos!$D$7,Supuestos!$E$7),IF(Supuestos!$C$7="Triangular",IF(D767&lt;(Supuestos!$E$7-Supuestos!$D$7)/(Supuestos!$F$7-Supuestos!$D$7),Supuestos!$D$7+SQRT(D767*(Supuestos!$F$7-Supuestos!$D$7)*(Supuestos!$E$7-Supuestos!$D$7)),Supuestos!$F$7-SQRT((1-D767)*(Supuestos!$F$7-Supuestos!$D$7)*(Supuestos!$F$7-Supuestos!$E$7))),IF(Supuestos!$C$7="Uniforme",Supuestos!$D$7+D767*(Supuestos!$E$7-Supuestos!$D$7),IF(Supuestos!$C$7="Lognormal",LOGINV(D767,LN(Supuestos!$D$7)-LN(1+Supuestos!$E$7^2/Supuestos!$D$7^2)/2,SQRT(LN(1+Supuestos!$E$7^2/Supuestos!$D$7^2))),Supuestos!$D$7))))))</f>
        <v/>
      </c>
      <c r="L767" s="32">
        <f>MIN(IF(Supuestos!$H$8="",1E+99,Supuestos!$H$8),MAX(IF(Supuestos!$G$8="",-1E+99,Supuestos!$G$8),IF(Supuestos!$C$8="Normal",NORMINV(E767,Supuestos!$D$8,Supuestos!$E$8),IF(Supuestos!$C$8="Triangular",IF(E767&lt;(Supuestos!$E$8-Supuestos!$D$8)/(Supuestos!$F$8-Supuestos!$D$8),Supuestos!$D$8+SQRT(E767*(Supuestos!$F$8-Supuestos!$D$8)*(Supuestos!$E$8-Supuestos!$D$8)),Supuestos!$F$8-SQRT((1-E767)*(Supuestos!$F$8-Supuestos!$D$8)*(Supuestos!$F$8-Supuestos!$E$8))),IF(Supuestos!$C$8="Uniforme",Supuestos!$D$8+E767*(Supuestos!$E$8-Supuestos!$D$8),IF(Supuestos!$C$8="Lognormal",LOGINV(E767,LN(Supuestos!$D$8)-LN(1+Supuestos!$E$8^2/Supuestos!$D$8^2)/2,SQRT(LN(1+Supuestos!$E$8^2/Supuestos!$D$8^2))),Supuestos!$D$8))))))</f>
        <v/>
      </c>
      <c r="M767" s="32">
        <f>MIN(IF(Supuestos!$H$9="",1E+99,Supuestos!$H$9),MAX(IF(Supuestos!$G$9="",-1E+99,Supuestos!$G$9),IF(Supuestos!$C$9="Normal",NORMINV(F767,Supuestos!$D$9,Supuestos!$E$9),IF(Supuestos!$C$9="Triangular",IF(F767&lt;(Supuestos!$E$9-Supuestos!$D$9)/(Supuestos!$F$9-Supuestos!$D$9),Supuestos!$D$9+SQRT(F767*(Supuestos!$F$9-Supuestos!$D$9)*(Supuestos!$E$9-Supuestos!$D$9)),Supuestos!$F$9-SQRT((1-F767)*(Supuestos!$F$9-Supuestos!$D$9)*(Supuestos!$F$9-Supuestos!$E$9))),IF(Supuestos!$C$9="Uniforme",Supuestos!$D$9+F767*(Supuestos!$E$9-Supuestos!$D$9),IF(Supuestos!$C$9="Lognormal",LOGINV(F767,LN(Supuestos!$D$9)-LN(1+Supuestos!$E$9^2/Supuestos!$D$9^2)/2,SQRT(LN(1+Supuestos!$E$9^2/Supuestos!$D$9^2))),Supuestos!$D$9))))))</f>
        <v/>
      </c>
      <c r="N767" s="32">
        <f>MIN(IF(Supuestos!$H$10="",1E+99,Supuestos!$H$10),MAX(IF(Supuestos!$G$10="",-1E+99,Supuestos!$G$10),IF(Supuestos!$C$10="Normal",NORMINV(G767,Supuestos!$D$10,Supuestos!$E$10),IF(Supuestos!$C$10="Triangular",IF(G767&lt;(Supuestos!$E$10-Supuestos!$D$10)/(Supuestos!$F$10-Supuestos!$D$10),Supuestos!$D$10+SQRT(G767*(Supuestos!$F$10-Supuestos!$D$10)*(Supuestos!$E$10-Supuestos!$D$10)),Supuestos!$F$10-SQRT((1-G767)*(Supuestos!$F$10-Supuestos!$D$10)*(Supuestos!$F$10-Supuestos!$E$10))),IF(Supuestos!$C$10="Uniforme",Supuestos!$D$10+G767*(Supuestos!$E$10-Supuestos!$D$10),IF(Supuestos!$C$10="Lognormal",LOGINV(G767,LN(Supuestos!$D$10)-LN(1+Supuestos!$E$10^2/Supuestos!$D$10^2)/2,SQRT(LN(1+Supuestos!$E$10^2/Supuestos!$D$10^2))),Supuestos!$D$10))))))</f>
        <v/>
      </c>
      <c r="O767" s="31">
        <f>MIN(IF(Supuestos!$H$11="",1E+99,Supuestos!$H$11),MAX(IF(Supuestos!$G$11="",-1E+99,Supuestos!$G$11),IF(Supuestos!$C$11="Normal",NORMINV(H767,Supuestos!$D$11,Supuestos!$E$11),IF(Supuestos!$C$11="Triangular",IF(H767&lt;(Supuestos!$E$11-Supuestos!$D$11)/(Supuestos!$F$11-Supuestos!$D$11),Supuestos!$D$11+SQRT(H767*(Supuestos!$F$11-Supuestos!$D$11)*(Supuestos!$E$11-Supuestos!$D$11)),Supuestos!$F$11-SQRT((1-H767)*(Supuestos!$F$11-Supuestos!$D$11)*(Supuestos!$F$11-Supuestos!$E$11))),IF(Supuestos!$C$11="Uniforme",Supuestos!$D$11+H767*(Supuestos!$E$11-Supuestos!$D$11),IF(Supuestos!$C$11="Lognormal",LOGINV(H767,LN(Supuestos!$D$11)-LN(1+Supuestos!$E$11^2/Supuestos!$D$11^2)/2,SQRT(LN(1+Supuestos!$E$11^2/Supuestos!$D$11^2))),Supuestos!$D$11))))))</f>
        <v/>
      </c>
      <c r="P767" s="33">
        <f>-I767</f>
        <v/>
      </c>
      <c r="Q767" s="33">
        <f>$J767*(1+$K767)^(1-1)*(1-$L767)*(1-$M767)</f>
        <v/>
      </c>
      <c r="R767" s="33">
        <f>$J767*(1+$K767)^(2-1)*(1-$L767)*(1-$M767)</f>
        <v/>
      </c>
      <c r="S767" s="33">
        <f>$J767*(1+$K767)^(3-1)*(1-$L767)*(1-$M767)</f>
        <v/>
      </c>
      <c r="T767" s="33">
        <f>$J767*(1+$K767)^(4-1)*(1-$L767)*(1-$M767)</f>
        <v/>
      </c>
      <c r="U767" s="33">
        <f>$J767*(1+$K767)^(5-1)*(1-$L767)*(1-$M767)+$O767</f>
        <v/>
      </c>
      <c r="V767" s="33">
        <f>P767+NPV($N767,Q767:U767)</f>
        <v/>
      </c>
      <c r="W767" s="32">
        <f>IFERROR(IRR(P767:U767,0.1),"")</f>
        <v/>
      </c>
    </row>
    <row r="768">
      <c r="A768" s="14" t="n">
        <v>764</v>
      </c>
      <c r="B768" s="30">
        <f>RAND()*(1-2E-6)+1E-6</f>
        <v/>
      </c>
      <c r="C768" s="30">
        <f>RAND()*(1-2E-6)+1E-6</f>
        <v/>
      </c>
      <c r="D768" s="30">
        <f>RAND()*(1-2E-6)+1E-6</f>
        <v/>
      </c>
      <c r="E768" s="30">
        <f>RAND()*(1-2E-6)+1E-6</f>
        <v/>
      </c>
      <c r="F768" s="30">
        <f>RAND()*(1-2E-6)+1E-6</f>
        <v/>
      </c>
      <c r="G768" s="30">
        <f>RAND()*(1-2E-6)+1E-6</f>
        <v/>
      </c>
      <c r="H768" s="30">
        <f>RAND()*(1-2E-6)+1E-6</f>
        <v/>
      </c>
      <c r="I768" s="31">
        <f>MIN(IF(Supuestos!$H$5="",1E+99,Supuestos!$H$5),MAX(IF(Supuestos!$G$5="",-1E+99,Supuestos!$G$5),IF(Supuestos!$C$5="Normal",NORMINV(B768,Supuestos!$D$5,Supuestos!$E$5),IF(Supuestos!$C$5="Triangular",IF(B768&lt;(Supuestos!$E$5-Supuestos!$D$5)/(Supuestos!$F$5-Supuestos!$D$5),Supuestos!$D$5+SQRT(B768*(Supuestos!$F$5-Supuestos!$D$5)*(Supuestos!$E$5-Supuestos!$D$5)),Supuestos!$F$5-SQRT((1-B768)*(Supuestos!$F$5-Supuestos!$D$5)*(Supuestos!$F$5-Supuestos!$E$5))),IF(Supuestos!$C$5="Uniforme",Supuestos!$D$5+B768*(Supuestos!$E$5-Supuestos!$D$5),IF(Supuestos!$C$5="Lognormal",LOGINV(B768,LN(Supuestos!$D$5)-LN(1+Supuestos!$E$5^2/Supuestos!$D$5^2)/2,SQRT(LN(1+Supuestos!$E$5^2/Supuestos!$D$5^2))),Supuestos!$D$5))))))</f>
        <v/>
      </c>
      <c r="J768" s="31">
        <f>MIN(IF(Supuestos!$H$6="",1E+99,Supuestos!$H$6),MAX(IF(Supuestos!$G$6="",-1E+99,Supuestos!$G$6),IF(Supuestos!$C$6="Normal",NORMINV(C768,Supuestos!$D$6,Supuestos!$E$6),IF(Supuestos!$C$6="Triangular",IF(C768&lt;(Supuestos!$E$6-Supuestos!$D$6)/(Supuestos!$F$6-Supuestos!$D$6),Supuestos!$D$6+SQRT(C768*(Supuestos!$F$6-Supuestos!$D$6)*(Supuestos!$E$6-Supuestos!$D$6)),Supuestos!$F$6-SQRT((1-C768)*(Supuestos!$F$6-Supuestos!$D$6)*(Supuestos!$F$6-Supuestos!$E$6))),IF(Supuestos!$C$6="Uniforme",Supuestos!$D$6+C768*(Supuestos!$E$6-Supuestos!$D$6),IF(Supuestos!$C$6="Lognormal",LOGINV(C768,LN(Supuestos!$D$6)-LN(1+Supuestos!$E$6^2/Supuestos!$D$6^2)/2,SQRT(LN(1+Supuestos!$E$6^2/Supuestos!$D$6^2))),Supuestos!$D$6))))))</f>
        <v/>
      </c>
      <c r="K768" s="32">
        <f>MIN(IF(Supuestos!$H$7="",1E+99,Supuestos!$H$7),MAX(IF(Supuestos!$G$7="",-1E+99,Supuestos!$G$7),IF(Supuestos!$C$7="Normal",NORMINV(D768,Supuestos!$D$7,Supuestos!$E$7),IF(Supuestos!$C$7="Triangular",IF(D768&lt;(Supuestos!$E$7-Supuestos!$D$7)/(Supuestos!$F$7-Supuestos!$D$7),Supuestos!$D$7+SQRT(D768*(Supuestos!$F$7-Supuestos!$D$7)*(Supuestos!$E$7-Supuestos!$D$7)),Supuestos!$F$7-SQRT((1-D768)*(Supuestos!$F$7-Supuestos!$D$7)*(Supuestos!$F$7-Supuestos!$E$7))),IF(Supuestos!$C$7="Uniforme",Supuestos!$D$7+D768*(Supuestos!$E$7-Supuestos!$D$7),IF(Supuestos!$C$7="Lognormal",LOGINV(D768,LN(Supuestos!$D$7)-LN(1+Supuestos!$E$7^2/Supuestos!$D$7^2)/2,SQRT(LN(1+Supuestos!$E$7^2/Supuestos!$D$7^2))),Supuestos!$D$7))))))</f>
        <v/>
      </c>
      <c r="L768" s="32">
        <f>MIN(IF(Supuestos!$H$8="",1E+99,Supuestos!$H$8),MAX(IF(Supuestos!$G$8="",-1E+99,Supuestos!$G$8),IF(Supuestos!$C$8="Normal",NORMINV(E768,Supuestos!$D$8,Supuestos!$E$8),IF(Supuestos!$C$8="Triangular",IF(E768&lt;(Supuestos!$E$8-Supuestos!$D$8)/(Supuestos!$F$8-Supuestos!$D$8),Supuestos!$D$8+SQRT(E768*(Supuestos!$F$8-Supuestos!$D$8)*(Supuestos!$E$8-Supuestos!$D$8)),Supuestos!$F$8-SQRT((1-E768)*(Supuestos!$F$8-Supuestos!$D$8)*(Supuestos!$F$8-Supuestos!$E$8))),IF(Supuestos!$C$8="Uniforme",Supuestos!$D$8+E768*(Supuestos!$E$8-Supuestos!$D$8),IF(Supuestos!$C$8="Lognormal",LOGINV(E768,LN(Supuestos!$D$8)-LN(1+Supuestos!$E$8^2/Supuestos!$D$8^2)/2,SQRT(LN(1+Supuestos!$E$8^2/Supuestos!$D$8^2))),Supuestos!$D$8))))))</f>
        <v/>
      </c>
      <c r="M768" s="32">
        <f>MIN(IF(Supuestos!$H$9="",1E+99,Supuestos!$H$9),MAX(IF(Supuestos!$G$9="",-1E+99,Supuestos!$G$9),IF(Supuestos!$C$9="Normal",NORMINV(F768,Supuestos!$D$9,Supuestos!$E$9),IF(Supuestos!$C$9="Triangular",IF(F768&lt;(Supuestos!$E$9-Supuestos!$D$9)/(Supuestos!$F$9-Supuestos!$D$9),Supuestos!$D$9+SQRT(F768*(Supuestos!$F$9-Supuestos!$D$9)*(Supuestos!$E$9-Supuestos!$D$9)),Supuestos!$F$9-SQRT((1-F768)*(Supuestos!$F$9-Supuestos!$D$9)*(Supuestos!$F$9-Supuestos!$E$9))),IF(Supuestos!$C$9="Uniforme",Supuestos!$D$9+F768*(Supuestos!$E$9-Supuestos!$D$9),IF(Supuestos!$C$9="Lognormal",LOGINV(F768,LN(Supuestos!$D$9)-LN(1+Supuestos!$E$9^2/Supuestos!$D$9^2)/2,SQRT(LN(1+Supuestos!$E$9^2/Supuestos!$D$9^2))),Supuestos!$D$9))))))</f>
        <v/>
      </c>
      <c r="N768" s="32">
        <f>MIN(IF(Supuestos!$H$10="",1E+99,Supuestos!$H$10),MAX(IF(Supuestos!$G$10="",-1E+99,Supuestos!$G$10),IF(Supuestos!$C$10="Normal",NORMINV(G768,Supuestos!$D$10,Supuestos!$E$10),IF(Supuestos!$C$10="Triangular",IF(G768&lt;(Supuestos!$E$10-Supuestos!$D$10)/(Supuestos!$F$10-Supuestos!$D$10),Supuestos!$D$10+SQRT(G768*(Supuestos!$F$10-Supuestos!$D$10)*(Supuestos!$E$10-Supuestos!$D$10)),Supuestos!$F$10-SQRT((1-G768)*(Supuestos!$F$10-Supuestos!$D$10)*(Supuestos!$F$10-Supuestos!$E$10))),IF(Supuestos!$C$10="Uniforme",Supuestos!$D$10+G768*(Supuestos!$E$10-Supuestos!$D$10),IF(Supuestos!$C$10="Lognormal",LOGINV(G768,LN(Supuestos!$D$10)-LN(1+Supuestos!$E$10^2/Supuestos!$D$10^2)/2,SQRT(LN(1+Supuestos!$E$10^2/Supuestos!$D$10^2))),Supuestos!$D$10))))))</f>
        <v/>
      </c>
      <c r="O768" s="31">
        <f>MIN(IF(Supuestos!$H$11="",1E+99,Supuestos!$H$11),MAX(IF(Supuestos!$G$11="",-1E+99,Supuestos!$G$11),IF(Supuestos!$C$11="Normal",NORMINV(H768,Supuestos!$D$11,Supuestos!$E$11),IF(Supuestos!$C$11="Triangular",IF(H768&lt;(Supuestos!$E$11-Supuestos!$D$11)/(Supuestos!$F$11-Supuestos!$D$11),Supuestos!$D$11+SQRT(H768*(Supuestos!$F$11-Supuestos!$D$11)*(Supuestos!$E$11-Supuestos!$D$11)),Supuestos!$F$11-SQRT((1-H768)*(Supuestos!$F$11-Supuestos!$D$11)*(Supuestos!$F$11-Supuestos!$E$11))),IF(Supuestos!$C$11="Uniforme",Supuestos!$D$11+H768*(Supuestos!$E$11-Supuestos!$D$11),IF(Supuestos!$C$11="Lognormal",LOGINV(H768,LN(Supuestos!$D$11)-LN(1+Supuestos!$E$11^2/Supuestos!$D$11^2)/2,SQRT(LN(1+Supuestos!$E$11^2/Supuestos!$D$11^2))),Supuestos!$D$11))))))</f>
        <v/>
      </c>
      <c r="P768" s="33">
        <f>-I768</f>
        <v/>
      </c>
      <c r="Q768" s="33">
        <f>$J768*(1+$K768)^(1-1)*(1-$L768)*(1-$M768)</f>
        <v/>
      </c>
      <c r="R768" s="33">
        <f>$J768*(1+$K768)^(2-1)*(1-$L768)*(1-$M768)</f>
        <v/>
      </c>
      <c r="S768" s="33">
        <f>$J768*(1+$K768)^(3-1)*(1-$L768)*(1-$M768)</f>
        <v/>
      </c>
      <c r="T768" s="33">
        <f>$J768*(1+$K768)^(4-1)*(1-$L768)*(1-$M768)</f>
        <v/>
      </c>
      <c r="U768" s="33">
        <f>$J768*(1+$K768)^(5-1)*(1-$L768)*(1-$M768)+$O768</f>
        <v/>
      </c>
      <c r="V768" s="33">
        <f>P768+NPV($N768,Q768:U768)</f>
        <v/>
      </c>
      <c r="W768" s="32">
        <f>IFERROR(IRR(P768:U768,0.1),"")</f>
        <v/>
      </c>
    </row>
    <row r="769">
      <c r="A769" s="14" t="n">
        <v>765</v>
      </c>
      <c r="B769" s="30">
        <f>RAND()*(1-2E-6)+1E-6</f>
        <v/>
      </c>
      <c r="C769" s="30">
        <f>RAND()*(1-2E-6)+1E-6</f>
        <v/>
      </c>
      <c r="D769" s="30">
        <f>RAND()*(1-2E-6)+1E-6</f>
        <v/>
      </c>
      <c r="E769" s="30">
        <f>RAND()*(1-2E-6)+1E-6</f>
        <v/>
      </c>
      <c r="F769" s="30">
        <f>RAND()*(1-2E-6)+1E-6</f>
        <v/>
      </c>
      <c r="G769" s="30">
        <f>RAND()*(1-2E-6)+1E-6</f>
        <v/>
      </c>
      <c r="H769" s="30">
        <f>RAND()*(1-2E-6)+1E-6</f>
        <v/>
      </c>
      <c r="I769" s="31">
        <f>MIN(IF(Supuestos!$H$5="",1E+99,Supuestos!$H$5),MAX(IF(Supuestos!$G$5="",-1E+99,Supuestos!$G$5),IF(Supuestos!$C$5="Normal",NORMINV(B769,Supuestos!$D$5,Supuestos!$E$5),IF(Supuestos!$C$5="Triangular",IF(B769&lt;(Supuestos!$E$5-Supuestos!$D$5)/(Supuestos!$F$5-Supuestos!$D$5),Supuestos!$D$5+SQRT(B769*(Supuestos!$F$5-Supuestos!$D$5)*(Supuestos!$E$5-Supuestos!$D$5)),Supuestos!$F$5-SQRT((1-B769)*(Supuestos!$F$5-Supuestos!$D$5)*(Supuestos!$F$5-Supuestos!$E$5))),IF(Supuestos!$C$5="Uniforme",Supuestos!$D$5+B769*(Supuestos!$E$5-Supuestos!$D$5),IF(Supuestos!$C$5="Lognormal",LOGINV(B769,LN(Supuestos!$D$5)-LN(1+Supuestos!$E$5^2/Supuestos!$D$5^2)/2,SQRT(LN(1+Supuestos!$E$5^2/Supuestos!$D$5^2))),Supuestos!$D$5))))))</f>
        <v/>
      </c>
      <c r="J769" s="31">
        <f>MIN(IF(Supuestos!$H$6="",1E+99,Supuestos!$H$6),MAX(IF(Supuestos!$G$6="",-1E+99,Supuestos!$G$6),IF(Supuestos!$C$6="Normal",NORMINV(C769,Supuestos!$D$6,Supuestos!$E$6),IF(Supuestos!$C$6="Triangular",IF(C769&lt;(Supuestos!$E$6-Supuestos!$D$6)/(Supuestos!$F$6-Supuestos!$D$6),Supuestos!$D$6+SQRT(C769*(Supuestos!$F$6-Supuestos!$D$6)*(Supuestos!$E$6-Supuestos!$D$6)),Supuestos!$F$6-SQRT((1-C769)*(Supuestos!$F$6-Supuestos!$D$6)*(Supuestos!$F$6-Supuestos!$E$6))),IF(Supuestos!$C$6="Uniforme",Supuestos!$D$6+C769*(Supuestos!$E$6-Supuestos!$D$6),IF(Supuestos!$C$6="Lognormal",LOGINV(C769,LN(Supuestos!$D$6)-LN(1+Supuestos!$E$6^2/Supuestos!$D$6^2)/2,SQRT(LN(1+Supuestos!$E$6^2/Supuestos!$D$6^2))),Supuestos!$D$6))))))</f>
        <v/>
      </c>
      <c r="K769" s="32">
        <f>MIN(IF(Supuestos!$H$7="",1E+99,Supuestos!$H$7),MAX(IF(Supuestos!$G$7="",-1E+99,Supuestos!$G$7),IF(Supuestos!$C$7="Normal",NORMINV(D769,Supuestos!$D$7,Supuestos!$E$7),IF(Supuestos!$C$7="Triangular",IF(D769&lt;(Supuestos!$E$7-Supuestos!$D$7)/(Supuestos!$F$7-Supuestos!$D$7),Supuestos!$D$7+SQRT(D769*(Supuestos!$F$7-Supuestos!$D$7)*(Supuestos!$E$7-Supuestos!$D$7)),Supuestos!$F$7-SQRT((1-D769)*(Supuestos!$F$7-Supuestos!$D$7)*(Supuestos!$F$7-Supuestos!$E$7))),IF(Supuestos!$C$7="Uniforme",Supuestos!$D$7+D769*(Supuestos!$E$7-Supuestos!$D$7),IF(Supuestos!$C$7="Lognormal",LOGINV(D769,LN(Supuestos!$D$7)-LN(1+Supuestos!$E$7^2/Supuestos!$D$7^2)/2,SQRT(LN(1+Supuestos!$E$7^2/Supuestos!$D$7^2))),Supuestos!$D$7))))))</f>
        <v/>
      </c>
      <c r="L769" s="32">
        <f>MIN(IF(Supuestos!$H$8="",1E+99,Supuestos!$H$8),MAX(IF(Supuestos!$G$8="",-1E+99,Supuestos!$G$8),IF(Supuestos!$C$8="Normal",NORMINV(E769,Supuestos!$D$8,Supuestos!$E$8),IF(Supuestos!$C$8="Triangular",IF(E769&lt;(Supuestos!$E$8-Supuestos!$D$8)/(Supuestos!$F$8-Supuestos!$D$8),Supuestos!$D$8+SQRT(E769*(Supuestos!$F$8-Supuestos!$D$8)*(Supuestos!$E$8-Supuestos!$D$8)),Supuestos!$F$8-SQRT((1-E769)*(Supuestos!$F$8-Supuestos!$D$8)*(Supuestos!$F$8-Supuestos!$E$8))),IF(Supuestos!$C$8="Uniforme",Supuestos!$D$8+E769*(Supuestos!$E$8-Supuestos!$D$8),IF(Supuestos!$C$8="Lognormal",LOGINV(E769,LN(Supuestos!$D$8)-LN(1+Supuestos!$E$8^2/Supuestos!$D$8^2)/2,SQRT(LN(1+Supuestos!$E$8^2/Supuestos!$D$8^2))),Supuestos!$D$8))))))</f>
        <v/>
      </c>
      <c r="M769" s="32">
        <f>MIN(IF(Supuestos!$H$9="",1E+99,Supuestos!$H$9),MAX(IF(Supuestos!$G$9="",-1E+99,Supuestos!$G$9),IF(Supuestos!$C$9="Normal",NORMINV(F769,Supuestos!$D$9,Supuestos!$E$9),IF(Supuestos!$C$9="Triangular",IF(F769&lt;(Supuestos!$E$9-Supuestos!$D$9)/(Supuestos!$F$9-Supuestos!$D$9),Supuestos!$D$9+SQRT(F769*(Supuestos!$F$9-Supuestos!$D$9)*(Supuestos!$E$9-Supuestos!$D$9)),Supuestos!$F$9-SQRT((1-F769)*(Supuestos!$F$9-Supuestos!$D$9)*(Supuestos!$F$9-Supuestos!$E$9))),IF(Supuestos!$C$9="Uniforme",Supuestos!$D$9+F769*(Supuestos!$E$9-Supuestos!$D$9),IF(Supuestos!$C$9="Lognormal",LOGINV(F769,LN(Supuestos!$D$9)-LN(1+Supuestos!$E$9^2/Supuestos!$D$9^2)/2,SQRT(LN(1+Supuestos!$E$9^2/Supuestos!$D$9^2))),Supuestos!$D$9))))))</f>
        <v/>
      </c>
      <c r="N769" s="32">
        <f>MIN(IF(Supuestos!$H$10="",1E+99,Supuestos!$H$10),MAX(IF(Supuestos!$G$10="",-1E+99,Supuestos!$G$10),IF(Supuestos!$C$10="Normal",NORMINV(G769,Supuestos!$D$10,Supuestos!$E$10),IF(Supuestos!$C$10="Triangular",IF(G769&lt;(Supuestos!$E$10-Supuestos!$D$10)/(Supuestos!$F$10-Supuestos!$D$10),Supuestos!$D$10+SQRT(G769*(Supuestos!$F$10-Supuestos!$D$10)*(Supuestos!$E$10-Supuestos!$D$10)),Supuestos!$F$10-SQRT((1-G769)*(Supuestos!$F$10-Supuestos!$D$10)*(Supuestos!$F$10-Supuestos!$E$10))),IF(Supuestos!$C$10="Uniforme",Supuestos!$D$10+G769*(Supuestos!$E$10-Supuestos!$D$10),IF(Supuestos!$C$10="Lognormal",LOGINV(G769,LN(Supuestos!$D$10)-LN(1+Supuestos!$E$10^2/Supuestos!$D$10^2)/2,SQRT(LN(1+Supuestos!$E$10^2/Supuestos!$D$10^2))),Supuestos!$D$10))))))</f>
        <v/>
      </c>
      <c r="O769" s="31">
        <f>MIN(IF(Supuestos!$H$11="",1E+99,Supuestos!$H$11),MAX(IF(Supuestos!$G$11="",-1E+99,Supuestos!$G$11),IF(Supuestos!$C$11="Normal",NORMINV(H769,Supuestos!$D$11,Supuestos!$E$11),IF(Supuestos!$C$11="Triangular",IF(H769&lt;(Supuestos!$E$11-Supuestos!$D$11)/(Supuestos!$F$11-Supuestos!$D$11),Supuestos!$D$11+SQRT(H769*(Supuestos!$F$11-Supuestos!$D$11)*(Supuestos!$E$11-Supuestos!$D$11)),Supuestos!$F$11-SQRT((1-H769)*(Supuestos!$F$11-Supuestos!$D$11)*(Supuestos!$F$11-Supuestos!$E$11))),IF(Supuestos!$C$11="Uniforme",Supuestos!$D$11+H769*(Supuestos!$E$11-Supuestos!$D$11),IF(Supuestos!$C$11="Lognormal",LOGINV(H769,LN(Supuestos!$D$11)-LN(1+Supuestos!$E$11^2/Supuestos!$D$11^2)/2,SQRT(LN(1+Supuestos!$E$11^2/Supuestos!$D$11^2))),Supuestos!$D$11))))))</f>
        <v/>
      </c>
      <c r="P769" s="33">
        <f>-I769</f>
        <v/>
      </c>
      <c r="Q769" s="33">
        <f>$J769*(1+$K769)^(1-1)*(1-$L769)*(1-$M769)</f>
        <v/>
      </c>
      <c r="R769" s="33">
        <f>$J769*(1+$K769)^(2-1)*(1-$L769)*(1-$M769)</f>
        <v/>
      </c>
      <c r="S769" s="33">
        <f>$J769*(1+$K769)^(3-1)*(1-$L769)*(1-$M769)</f>
        <v/>
      </c>
      <c r="T769" s="33">
        <f>$J769*(1+$K769)^(4-1)*(1-$L769)*(1-$M769)</f>
        <v/>
      </c>
      <c r="U769" s="33">
        <f>$J769*(1+$K769)^(5-1)*(1-$L769)*(1-$M769)+$O769</f>
        <v/>
      </c>
      <c r="V769" s="33">
        <f>P769+NPV($N769,Q769:U769)</f>
        <v/>
      </c>
      <c r="W769" s="32">
        <f>IFERROR(IRR(P769:U769,0.1),"")</f>
        <v/>
      </c>
    </row>
    <row r="770">
      <c r="A770" s="14" t="n">
        <v>766</v>
      </c>
      <c r="B770" s="30">
        <f>RAND()*(1-2E-6)+1E-6</f>
        <v/>
      </c>
      <c r="C770" s="30">
        <f>RAND()*(1-2E-6)+1E-6</f>
        <v/>
      </c>
      <c r="D770" s="30">
        <f>RAND()*(1-2E-6)+1E-6</f>
        <v/>
      </c>
      <c r="E770" s="30">
        <f>RAND()*(1-2E-6)+1E-6</f>
        <v/>
      </c>
      <c r="F770" s="30">
        <f>RAND()*(1-2E-6)+1E-6</f>
        <v/>
      </c>
      <c r="G770" s="30">
        <f>RAND()*(1-2E-6)+1E-6</f>
        <v/>
      </c>
      <c r="H770" s="30">
        <f>RAND()*(1-2E-6)+1E-6</f>
        <v/>
      </c>
      <c r="I770" s="31">
        <f>MIN(IF(Supuestos!$H$5="",1E+99,Supuestos!$H$5),MAX(IF(Supuestos!$G$5="",-1E+99,Supuestos!$G$5),IF(Supuestos!$C$5="Normal",NORMINV(B770,Supuestos!$D$5,Supuestos!$E$5),IF(Supuestos!$C$5="Triangular",IF(B770&lt;(Supuestos!$E$5-Supuestos!$D$5)/(Supuestos!$F$5-Supuestos!$D$5),Supuestos!$D$5+SQRT(B770*(Supuestos!$F$5-Supuestos!$D$5)*(Supuestos!$E$5-Supuestos!$D$5)),Supuestos!$F$5-SQRT((1-B770)*(Supuestos!$F$5-Supuestos!$D$5)*(Supuestos!$F$5-Supuestos!$E$5))),IF(Supuestos!$C$5="Uniforme",Supuestos!$D$5+B770*(Supuestos!$E$5-Supuestos!$D$5),IF(Supuestos!$C$5="Lognormal",LOGINV(B770,LN(Supuestos!$D$5)-LN(1+Supuestos!$E$5^2/Supuestos!$D$5^2)/2,SQRT(LN(1+Supuestos!$E$5^2/Supuestos!$D$5^2))),Supuestos!$D$5))))))</f>
        <v/>
      </c>
      <c r="J770" s="31">
        <f>MIN(IF(Supuestos!$H$6="",1E+99,Supuestos!$H$6),MAX(IF(Supuestos!$G$6="",-1E+99,Supuestos!$G$6),IF(Supuestos!$C$6="Normal",NORMINV(C770,Supuestos!$D$6,Supuestos!$E$6),IF(Supuestos!$C$6="Triangular",IF(C770&lt;(Supuestos!$E$6-Supuestos!$D$6)/(Supuestos!$F$6-Supuestos!$D$6),Supuestos!$D$6+SQRT(C770*(Supuestos!$F$6-Supuestos!$D$6)*(Supuestos!$E$6-Supuestos!$D$6)),Supuestos!$F$6-SQRT((1-C770)*(Supuestos!$F$6-Supuestos!$D$6)*(Supuestos!$F$6-Supuestos!$E$6))),IF(Supuestos!$C$6="Uniforme",Supuestos!$D$6+C770*(Supuestos!$E$6-Supuestos!$D$6),IF(Supuestos!$C$6="Lognormal",LOGINV(C770,LN(Supuestos!$D$6)-LN(1+Supuestos!$E$6^2/Supuestos!$D$6^2)/2,SQRT(LN(1+Supuestos!$E$6^2/Supuestos!$D$6^2))),Supuestos!$D$6))))))</f>
        <v/>
      </c>
      <c r="K770" s="32">
        <f>MIN(IF(Supuestos!$H$7="",1E+99,Supuestos!$H$7),MAX(IF(Supuestos!$G$7="",-1E+99,Supuestos!$G$7),IF(Supuestos!$C$7="Normal",NORMINV(D770,Supuestos!$D$7,Supuestos!$E$7),IF(Supuestos!$C$7="Triangular",IF(D770&lt;(Supuestos!$E$7-Supuestos!$D$7)/(Supuestos!$F$7-Supuestos!$D$7),Supuestos!$D$7+SQRT(D770*(Supuestos!$F$7-Supuestos!$D$7)*(Supuestos!$E$7-Supuestos!$D$7)),Supuestos!$F$7-SQRT((1-D770)*(Supuestos!$F$7-Supuestos!$D$7)*(Supuestos!$F$7-Supuestos!$E$7))),IF(Supuestos!$C$7="Uniforme",Supuestos!$D$7+D770*(Supuestos!$E$7-Supuestos!$D$7),IF(Supuestos!$C$7="Lognormal",LOGINV(D770,LN(Supuestos!$D$7)-LN(1+Supuestos!$E$7^2/Supuestos!$D$7^2)/2,SQRT(LN(1+Supuestos!$E$7^2/Supuestos!$D$7^2))),Supuestos!$D$7))))))</f>
        <v/>
      </c>
      <c r="L770" s="32">
        <f>MIN(IF(Supuestos!$H$8="",1E+99,Supuestos!$H$8),MAX(IF(Supuestos!$G$8="",-1E+99,Supuestos!$G$8),IF(Supuestos!$C$8="Normal",NORMINV(E770,Supuestos!$D$8,Supuestos!$E$8),IF(Supuestos!$C$8="Triangular",IF(E770&lt;(Supuestos!$E$8-Supuestos!$D$8)/(Supuestos!$F$8-Supuestos!$D$8),Supuestos!$D$8+SQRT(E770*(Supuestos!$F$8-Supuestos!$D$8)*(Supuestos!$E$8-Supuestos!$D$8)),Supuestos!$F$8-SQRT((1-E770)*(Supuestos!$F$8-Supuestos!$D$8)*(Supuestos!$F$8-Supuestos!$E$8))),IF(Supuestos!$C$8="Uniforme",Supuestos!$D$8+E770*(Supuestos!$E$8-Supuestos!$D$8),IF(Supuestos!$C$8="Lognormal",LOGINV(E770,LN(Supuestos!$D$8)-LN(1+Supuestos!$E$8^2/Supuestos!$D$8^2)/2,SQRT(LN(1+Supuestos!$E$8^2/Supuestos!$D$8^2))),Supuestos!$D$8))))))</f>
        <v/>
      </c>
      <c r="M770" s="32">
        <f>MIN(IF(Supuestos!$H$9="",1E+99,Supuestos!$H$9),MAX(IF(Supuestos!$G$9="",-1E+99,Supuestos!$G$9),IF(Supuestos!$C$9="Normal",NORMINV(F770,Supuestos!$D$9,Supuestos!$E$9),IF(Supuestos!$C$9="Triangular",IF(F770&lt;(Supuestos!$E$9-Supuestos!$D$9)/(Supuestos!$F$9-Supuestos!$D$9),Supuestos!$D$9+SQRT(F770*(Supuestos!$F$9-Supuestos!$D$9)*(Supuestos!$E$9-Supuestos!$D$9)),Supuestos!$F$9-SQRT((1-F770)*(Supuestos!$F$9-Supuestos!$D$9)*(Supuestos!$F$9-Supuestos!$E$9))),IF(Supuestos!$C$9="Uniforme",Supuestos!$D$9+F770*(Supuestos!$E$9-Supuestos!$D$9),IF(Supuestos!$C$9="Lognormal",LOGINV(F770,LN(Supuestos!$D$9)-LN(1+Supuestos!$E$9^2/Supuestos!$D$9^2)/2,SQRT(LN(1+Supuestos!$E$9^2/Supuestos!$D$9^2))),Supuestos!$D$9))))))</f>
        <v/>
      </c>
      <c r="N770" s="32">
        <f>MIN(IF(Supuestos!$H$10="",1E+99,Supuestos!$H$10),MAX(IF(Supuestos!$G$10="",-1E+99,Supuestos!$G$10),IF(Supuestos!$C$10="Normal",NORMINV(G770,Supuestos!$D$10,Supuestos!$E$10),IF(Supuestos!$C$10="Triangular",IF(G770&lt;(Supuestos!$E$10-Supuestos!$D$10)/(Supuestos!$F$10-Supuestos!$D$10),Supuestos!$D$10+SQRT(G770*(Supuestos!$F$10-Supuestos!$D$10)*(Supuestos!$E$10-Supuestos!$D$10)),Supuestos!$F$10-SQRT((1-G770)*(Supuestos!$F$10-Supuestos!$D$10)*(Supuestos!$F$10-Supuestos!$E$10))),IF(Supuestos!$C$10="Uniforme",Supuestos!$D$10+G770*(Supuestos!$E$10-Supuestos!$D$10),IF(Supuestos!$C$10="Lognormal",LOGINV(G770,LN(Supuestos!$D$10)-LN(1+Supuestos!$E$10^2/Supuestos!$D$10^2)/2,SQRT(LN(1+Supuestos!$E$10^2/Supuestos!$D$10^2))),Supuestos!$D$10))))))</f>
        <v/>
      </c>
      <c r="O770" s="31">
        <f>MIN(IF(Supuestos!$H$11="",1E+99,Supuestos!$H$11),MAX(IF(Supuestos!$G$11="",-1E+99,Supuestos!$G$11),IF(Supuestos!$C$11="Normal",NORMINV(H770,Supuestos!$D$11,Supuestos!$E$11),IF(Supuestos!$C$11="Triangular",IF(H770&lt;(Supuestos!$E$11-Supuestos!$D$11)/(Supuestos!$F$11-Supuestos!$D$11),Supuestos!$D$11+SQRT(H770*(Supuestos!$F$11-Supuestos!$D$11)*(Supuestos!$E$11-Supuestos!$D$11)),Supuestos!$F$11-SQRT((1-H770)*(Supuestos!$F$11-Supuestos!$D$11)*(Supuestos!$F$11-Supuestos!$E$11))),IF(Supuestos!$C$11="Uniforme",Supuestos!$D$11+H770*(Supuestos!$E$11-Supuestos!$D$11),IF(Supuestos!$C$11="Lognormal",LOGINV(H770,LN(Supuestos!$D$11)-LN(1+Supuestos!$E$11^2/Supuestos!$D$11^2)/2,SQRT(LN(1+Supuestos!$E$11^2/Supuestos!$D$11^2))),Supuestos!$D$11))))))</f>
        <v/>
      </c>
      <c r="P770" s="33">
        <f>-I770</f>
        <v/>
      </c>
      <c r="Q770" s="33">
        <f>$J770*(1+$K770)^(1-1)*(1-$L770)*(1-$M770)</f>
        <v/>
      </c>
      <c r="R770" s="33">
        <f>$J770*(1+$K770)^(2-1)*(1-$L770)*(1-$M770)</f>
        <v/>
      </c>
      <c r="S770" s="33">
        <f>$J770*(1+$K770)^(3-1)*(1-$L770)*(1-$M770)</f>
        <v/>
      </c>
      <c r="T770" s="33">
        <f>$J770*(1+$K770)^(4-1)*(1-$L770)*(1-$M770)</f>
        <v/>
      </c>
      <c r="U770" s="33">
        <f>$J770*(1+$K770)^(5-1)*(1-$L770)*(1-$M770)+$O770</f>
        <v/>
      </c>
      <c r="V770" s="33">
        <f>P770+NPV($N770,Q770:U770)</f>
        <v/>
      </c>
      <c r="W770" s="32">
        <f>IFERROR(IRR(P770:U770,0.1),"")</f>
        <v/>
      </c>
    </row>
    <row r="771">
      <c r="A771" s="14" t="n">
        <v>767</v>
      </c>
      <c r="B771" s="30">
        <f>RAND()*(1-2E-6)+1E-6</f>
        <v/>
      </c>
      <c r="C771" s="30">
        <f>RAND()*(1-2E-6)+1E-6</f>
        <v/>
      </c>
      <c r="D771" s="30">
        <f>RAND()*(1-2E-6)+1E-6</f>
        <v/>
      </c>
      <c r="E771" s="30">
        <f>RAND()*(1-2E-6)+1E-6</f>
        <v/>
      </c>
      <c r="F771" s="30">
        <f>RAND()*(1-2E-6)+1E-6</f>
        <v/>
      </c>
      <c r="G771" s="30">
        <f>RAND()*(1-2E-6)+1E-6</f>
        <v/>
      </c>
      <c r="H771" s="30">
        <f>RAND()*(1-2E-6)+1E-6</f>
        <v/>
      </c>
      <c r="I771" s="31">
        <f>MIN(IF(Supuestos!$H$5="",1E+99,Supuestos!$H$5),MAX(IF(Supuestos!$G$5="",-1E+99,Supuestos!$G$5),IF(Supuestos!$C$5="Normal",NORMINV(B771,Supuestos!$D$5,Supuestos!$E$5),IF(Supuestos!$C$5="Triangular",IF(B771&lt;(Supuestos!$E$5-Supuestos!$D$5)/(Supuestos!$F$5-Supuestos!$D$5),Supuestos!$D$5+SQRT(B771*(Supuestos!$F$5-Supuestos!$D$5)*(Supuestos!$E$5-Supuestos!$D$5)),Supuestos!$F$5-SQRT((1-B771)*(Supuestos!$F$5-Supuestos!$D$5)*(Supuestos!$F$5-Supuestos!$E$5))),IF(Supuestos!$C$5="Uniforme",Supuestos!$D$5+B771*(Supuestos!$E$5-Supuestos!$D$5),IF(Supuestos!$C$5="Lognormal",LOGINV(B771,LN(Supuestos!$D$5)-LN(1+Supuestos!$E$5^2/Supuestos!$D$5^2)/2,SQRT(LN(1+Supuestos!$E$5^2/Supuestos!$D$5^2))),Supuestos!$D$5))))))</f>
        <v/>
      </c>
      <c r="J771" s="31">
        <f>MIN(IF(Supuestos!$H$6="",1E+99,Supuestos!$H$6),MAX(IF(Supuestos!$G$6="",-1E+99,Supuestos!$G$6),IF(Supuestos!$C$6="Normal",NORMINV(C771,Supuestos!$D$6,Supuestos!$E$6),IF(Supuestos!$C$6="Triangular",IF(C771&lt;(Supuestos!$E$6-Supuestos!$D$6)/(Supuestos!$F$6-Supuestos!$D$6),Supuestos!$D$6+SQRT(C771*(Supuestos!$F$6-Supuestos!$D$6)*(Supuestos!$E$6-Supuestos!$D$6)),Supuestos!$F$6-SQRT((1-C771)*(Supuestos!$F$6-Supuestos!$D$6)*(Supuestos!$F$6-Supuestos!$E$6))),IF(Supuestos!$C$6="Uniforme",Supuestos!$D$6+C771*(Supuestos!$E$6-Supuestos!$D$6),IF(Supuestos!$C$6="Lognormal",LOGINV(C771,LN(Supuestos!$D$6)-LN(1+Supuestos!$E$6^2/Supuestos!$D$6^2)/2,SQRT(LN(1+Supuestos!$E$6^2/Supuestos!$D$6^2))),Supuestos!$D$6))))))</f>
        <v/>
      </c>
      <c r="K771" s="32">
        <f>MIN(IF(Supuestos!$H$7="",1E+99,Supuestos!$H$7),MAX(IF(Supuestos!$G$7="",-1E+99,Supuestos!$G$7),IF(Supuestos!$C$7="Normal",NORMINV(D771,Supuestos!$D$7,Supuestos!$E$7),IF(Supuestos!$C$7="Triangular",IF(D771&lt;(Supuestos!$E$7-Supuestos!$D$7)/(Supuestos!$F$7-Supuestos!$D$7),Supuestos!$D$7+SQRT(D771*(Supuestos!$F$7-Supuestos!$D$7)*(Supuestos!$E$7-Supuestos!$D$7)),Supuestos!$F$7-SQRT((1-D771)*(Supuestos!$F$7-Supuestos!$D$7)*(Supuestos!$F$7-Supuestos!$E$7))),IF(Supuestos!$C$7="Uniforme",Supuestos!$D$7+D771*(Supuestos!$E$7-Supuestos!$D$7),IF(Supuestos!$C$7="Lognormal",LOGINV(D771,LN(Supuestos!$D$7)-LN(1+Supuestos!$E$7^2/Supuestos!$D$7^2)/2,SQRT(LN(1+Supuestos!$E$7^2/Supuestos!$D$7^2))),Supuestos!$D$7))))))</f>
        <v/>
      </c>
      <c r="L771" s="32">
        <f>MIN(IF(Supuestos!$H$8="",1E+99,Supuestos!$H$8),MAX(IF(Supuestos!$G$8="",-1E+99,Supuestos!$G$8),IF(Supuestos!$C$8="Normal",NORMINV(E771,Supuestos!$D$8,Supuestos!$E$8),IF(Supuestos!$C$8="Triangular",IF(E771&lt;(Supuestos!$E$8-Supuestos!$D$8)/(Supuestos!$F$8-Supuestos!$D$8),Supuestos!$D$8+SQRT(E771*(Supuestos!$F$8-Supuestos!$D$8)*(Supuestos!$E$8-Supuestos!$D$8)),Supuestos!$F$8-SQRT((1-E771)*(Supuestos!$F$8-Supuestos!$D$8)*(Supuestos!$F$8-Supuestos!$E$8))),IF(Supuestos!$C$8="Uniforme",Supuestos!$D$8+E771*(Supuestos!$E$8-Supuestos!$D$8),IF(Supuestos!$C$8="Lognormal",LOGINV(E771,LN(Supuestos!$D$8)-LN(1+Supuestos!$E$8^2/Supuestos!$D$8^2)/2,SQRT(LN(1+Supuestos!$E$8^2/Supuestos!$D$8^2))),Supuestos!$D$8))))))</f>
        <v/>
      </c>
      <c r="M771" s="32">
        <f>MIN(IF(Supuestos!$H$9="",1E+99,Supuestos!$H$9),MAX(IF(Supuestos!$G$9="",-1E+99,Supuestos!$G$9),IF(Supuestos!$C$9="Normal",NORMINV(F771,Supuestos!$D$9,Supuestos!$E$9),IF(Supuestos!$C$9="Triangular",IF(F771&lt;(Supuestos!$E$9-Supuestos!$D$9)/(Supuestos!$F$9-Supuestos!$D$9),Supuestos!$D$9+SQRT(F771*(Supuestos!$F$9-Supuestos!$D$9)*(Supuestos!$E$9-Supuestos!$D$9)),Supuestos!$F$9-SQRT((1-F771)*(Supuestos!$F$9-Supuestos!$D$9)*(Supuestos!$F$9-Supuestos!$E$9))),IF(Supuestos!$C$9="Uniforme",Supuestos!$D$9+F771*(Supuestos!$E$9-Supuestos!$D$9),IF(Supuestos!$C$9="Lognormal",LOGINV(F771,LN(Supuestos!$D$9)-LN(1+Supuestos!$E$9^2/Supuestos!$D$9^2)/2,SQRT(LN(1+Supuestos!$E$9^2/Supuestos!$D$9^2))),Supuestos!$D$9))))))</f>
        <v/>
      </c>
      <c r="N771" s="32">
        <f>MIN(IF(Supuestos!$H$10="",1E+99,Supuestos!$H$10),MAX(IF(Supuestos!$G$10="",-1E+99,Supuestos!$G$10),IF(Supuestos!$C$10="Normal",NORMINV(G771,Supuestos!$D$10,Supuestos!$E$10),IF(Supuestos!$C$10="Triangular",IF(G771&lt;(Supuestos!$E$10-Supuestos!$D$10)/(Supuestos!$F$10-Supuestos!$D$10),Supuestos!$D$10+SQRT(G771*(Supuestos!$F$10-Supuestos!$D$10)*(Supuestos!$E$10-Supuestos!$D$10)),Supuestos!$F$10-SQRT((1-G771)*(Supuestos!$F$10-Supuestos!$D$10)*(Supuestos!$F$10-Supuestos!$E$10))),IF(Supuestos!$C$10="Uniforme",Supuestos!$D$10+G771*(Supuestos!$E$10-Supuestos!$D$10),IF(Supuestos!$C$10="Lognormal",LOGINV(G771,LN(Supuestos!$D$10)-LN(1+Supuestos!$E$10^2/Supuestos!$D$10^2)/2,SQRT(LN(1+Supuestos!$E$10^2/Supuestos!$D$10^2))),Supuestos!$D$10))))))</f>
        <v/>
      </c>
      <c r="O771" s="31">
        <f>MIN(IF(Supuestos!$H$11="",1E+99,Supuestos!$H$11),MAX(IF(Supuestos!$G$11="",-1E+99,Supuestos!$G$11),IF(Supuestos!$C$11="Normal",NORMINV(H771,Supuestos!$D$11,Supuestos!$E$11),IF(Supuestos!$C$11="Triangular",IF(H771&lt;(Supuestos!$E$11-Supuestos!$D$11)/(Supuestos!$F$11-Supuestos!$D$11),Supuestos!$D$11+SQRT(H771*(Supuestos!$F$11-Supuestos!$D$11)*(Supuestos!$E$11-Supuestos!$D$11)),Supuestos!$F$11-SQRT((1-H771)*(Supuestos!$F$11-Supuestos!$D$11)*(Supuestos!$F$11-Supuestos!$E$11))),IF(Supuestos!$C$11="Uniforme",Supuestos!$D$11+H771*(Supuestos!$E$11-Supuestos!$D$11),IF(Supuestos!$C$11="Lognormal",LOGINV(H771,LN(Supuestos!$D$11)-LN(1+Supuestos!$E$11^2/Supuestos!$D$11^2)/2,SQRT(LN(1+Supuestos!$E$11^2/Supuestos!$D$11^2))),Supuestos!$D$11))))))</f>
        <v/>
      </c>
      <c r="P771" s="33">
        <f>-I771</f>
        <v/>
      </c>
      <c r="Q771" s="33">
        <f>$J771*(1+$K771)^(1-1)*(1-$L771)*(1-$M771)</f>
        <v/>
      </c>
      <c r="R771" s="33">
        <f>$J771*(1+$K771)^(2-1)*(1-$L771)*(1-$M771)</f>
        <v/>
      </c>
      <c r="S771" s="33">
        <f>$J771*(1+$K771)^(3-1)*(1-$L771)*(1-$M771)</f>
        <v/>
      </c>
      <c r="T771" s="33">
        <f>$J771*(1+$K771)^(4-1)*(1-$L771)*(1-$M771)</f>
        <v/>
      </c>
      <c r="U771" s="33">
        <f>$J771*(1+$K771)^(5-1)*(1-$L771)*(1-$M771)+$O771</f>
        <v/>
      </c>
      <c r="V771" s="33">
        <f>P771+NPV($N771,Q771:U771)</f>
        <v/>
      </c>
      <c r="W771" s="32">
        <f>IFERROR(IRR(P771:U771,0.1),"")</f>
        <v/>
      </c>
    </row>
    <row r="772">
      <c r="A772" s="14" t="n">
        <v>768</v>
      </c>
      <c r="B772" s="30">
        <f>RAND()*(1-2E-6)+1E-6</f>
        <v/>
      </c>
      <c r="C772" s="30">
        <f>RAND()*(1-2E-6)+1E-6</f>
        <v/>
      </c>
      <c r="D772" s="30">
        <f>RAND()*(1-2E-6)+1E-6</f>
        <v/>
      </c>
      <c r="E772" s="30">
        <f>RAND()*(1-2E-6)+1E-6</f>
        <v/>
      </c>
      <c r="F772" s="30">
        <f>RAND()*(1-2E-6)+1E-6</f>
        <v/>
      </c>
      <c r="G772" s="30">
        <f>RAND()*(1-2E-6)+1E-6</f>
        <v/>
      </c>
      <c r="H772" s="30">
        <f>RAND()*(1-2E-6)+1E-6</f>
        <v/>
      </c>
      <c r="I772" s="31">
        <f>MIN(IF(Supuestos!$H$5="",1E+99,Supuestos!$H$5),MAX(IF(Supuestos!$G$5="",-1E+99,Supuestos!$G$5),IF(Supuestos!$C$5="Normal",NORMINV(B772,Supuestos!$D$5,Supuestos!$E$5),IF(Supuestos!$C$5="Triangular",IF(B772&lt;(Supuestos!$E$5-Supuestos!$D$5)/(Supuestos!$F$5-Supuestos!$D$5),Supuestos!$D$5+SQRT(B772*(Supuestos!$F$5-Supuestos!$D$5)*(Supuestos!$E$5-Supuestos!$D$5)),Supuestos!$F$5-SQRT((1-B772)*(Supuestos!$F$5-Supuestos!$D$5)*(Supuestos!$F$5-Supuestos!$E$5))),IF(Supuestos!$C$5="Uniforme",Supuestos!$D$5+B772*(Supuestos!$E$5-Supuestos!$D$5),IF(Supuestos!$C$5="Lognormal",LOGINV(B772,LN(Supuestos!$D$5)-LN(1+Supuestos!$E$5^2/Supuestos!$D$5^2)/2,SQRT(LN(1+Supuestos!$E$5^2/Supuestos!$D$5^2))),Supuestos!$D$5))))))</f>
        <v/>
      </c>
      <c r="J772" s="31">
        <f>MIN(IF(Supuestos!$H$6="",1E+99,Supuestos!$H$6),MAX(IF(Supuestos!$G$6="",-1E+99,Supuestos!$G$6),IF(Supuestos!$C$6="Normal",NORMINV(C772,Supuestos!$D$6,Supuestos!$E$6),IF(Supuestos!$C$6="Triangular",IF(C772&lt;(Supuestos!$E$6-Supuestos!$D$6)/(Supuestos!$F$6-Supuestos!$D$6),Supuestos!$D$6+SQRT(C772*(Supuestos!$F$6-Supuestos!$D$6)*(Supuestos!$E$6-Supuestos!$D$6)),Supuestos!$F$6-SQRT((1-C772)*(Supuestos!$F$6-Supuestos!$D$6)*(Supuestos!$F$6-Supuestos!$E$6))),IF(Supuestos!$C$6="Uniforme",Supuestos!$D$6+C772*(Supuestos!$E$6-Supuestos!$D$6),IF(Supuestos!$C$6="Lognormal",LOGINV(C772,LN(Supuestos!$D$6)-LN(1+Supuestos!$E$6^2/Supuestos!$D$6^2)/2,SQRT(LN(1+Supuestos!$E$6^2/Supuestos!$D$6^2))),Supuestos!$D$6))))))</f>
        <v/>
      </c>
      <c r="K772" s="32">
        <f>MIN(IF(Supuestos!$H$7="",1E+99,Supuestos!$H$7),MAX(IF(Supuestos!$G$7="",-1E+99,Supuestos!$G$7),IF(Supuestos!$C$7="Normal",NORMINV(D772,Supuestos!$D$7,Supuestos!$E$7),IF(Supuestos!$C$7="Triangular",IF(D772&lt;(Supuestos!$E$7-Supuestos!$D$7)/(Supuestos!$F$7-Supuestos!$D$7),Supuestos!$D$7+SQRT(D772*(Supuestos!$F$7-Supuestos!$D$7)*(Supuestos!$E$7-Supuestos!$D$7)),Supuestos!$F$7-SQRT((1-D772)*(Supuestos!$F$7-Supuestos!$D$7)*(Supuestos!$F$7-Supuestos!$E$7))),IF(Supuestos!$C$7="Uniforme",Supuestos!$D$7+D772*(Supuestos!$E$7-Supuestos!$D$7),IF(Supuestos!$C$7="Lognormal",LOGINV(D772,LN(Supuestos!$D$7)-LN(1+Supuestos!$E$7^2/Supuestos!$D$7^2)/2,SQRT(LN(1+Supuestos!$E$7^2/Supuestos!$D$7^2))),Supuestos!$D$7))))))</f>
        <v/>
      </c>
      <c r="L772" s="32">
        <f>MIN(IF(Supuestos!$H$8="",1E+99,Supuestos!$H$8),MAX(IF(Supuestos!$G$8="",-1E+99,Supuestos!$G$8),IF(Supuestos!$C$8="Normal",NORMINV(E772,Supuestos!$D$8,Supuestos!$E$8),IF(Supuestos!$C$8="Triangular",IF(E772&lt;(Supuestos!$E$8-Supuestos!$D$8)/(Supuestos!$F$8-Supuestos!$D$8),Supuestos!$D$8+SQRT(E772*(Supuestos!$F$8-Supuestos!$D$8)*(Supuestos!$E$8-Supuestos!$D$8)),Supuestos!$F$8-SQRT((1-E772)*(Supuestos!$F$8-Supuestos!$D$8)*(Supuestos!$F$8-Supuestos!$E$8))),IF(Supuestos!$C$8="Uniforme",Supuestos!$D$8+E772*(Supuestos!$E$8-Supuestos!$D$8),IF(Supuestos!$C$8="Lognormal",LOGINV(E772,LN(Supuestos!$D$8)-LN(1+Supuestos!$E$8^2/Supuestos!$D$8^2)/2,SQRT(LN(1+Supuestos!$E$8^2/Supuestos!$D$8^2))),Supuestos!$D$8))))))</f>
        <v/>
      </c>
      <c r="M772" s="32">
        <f>MIN(IF(Supuestos!$H$9="",1E+99,Supuestos!$H$9),MAX(IF(Supuestos!$G$9="",-1E+99,Supuestos!$G$9),IF(Supuestos!$C$9="Normal",NORMINV(F772,Supuestos!$D$9,Supuestos!$E$9),IF(Supuestos!$C$9="Triangular",IF(F772&lt;(Supuestos!$E$9-Supuestos!$D$9)/(Supuestos!$F$9-Supuestos!$D$9),Supuestos!$D$9+SQRT(F772*(Supuestos!$F$9-Supuestos!$D$9)*(Supuestos!$E$9-Supuestos!$D$9)),Supuestos!$F$9-SQRT((1-F772)*(Supuestos!$F$9-Supuestos!$D$9)*(Supuestos!$F$9-Supuestos!$E$9))),IF(Supuestos!$C$9="Uniforme",Supuestos!$D$9+F772*(Supuestos!$E$9-Supuestos!$D$9),IF(Supuestos!$C$9="Lognormal",LOGINV(F772,LN(Supuestos!$D$9)-LN(1+Supuestos!$E$9^2/Supuestos!$D$9^2)/2,SQRT(LN(1+Supuestos!$E$9^2/Supuestos!$D$9^2))),Supuestos!$D$9))))))</f>
        <v/>
      </c>
      <c r="N772" s="32">
        <f>MIN(IF(Supuestos!$H$10="",1E+99,Supuestos!$H$10),MAX(IF(Supuestos!$G$10="",-1E+99,Supuestos!$G$10),IF(Supuestos!$C$10="Normal",NORMINV(G772,Supuestos!$D$10,Supuestos!$E$10),IF(Supuestos!$C$10="Triangular",IF(G772&lt;(Supuestos!$E$10-Supuestos!$D$10)/(Supuestos!$F$10-Supuestos!$D$10),Supuestos!$D$10+SQRT(G772*(Supuestos!$F$10-Supuestos!$D$10)*(Supuestos!$E$10-Supuestos!$D$10)),Supuestos!$F$10-SQRT((1-G772)*(Supuestos!$F$10-Supuestos!$D$10)*(Supuestos!$F$10-Supuestos!$E$10))),IF(Supuestos!$C$10="Uniforme",Supuestos!$D$10+G772*(Supuestos!$E$10-Supuestos!$D$10),IF(Supuestos!$C$10="Lognormal",LOGINV(G772,LN(Supuestos!$D$10)-LN(1+Supuestos!$E$10^2/Supuestos!$D$10^2)/2,SQRT(LN(1+Supuestos!$E$10^2/Supuestos!$D$10^2))),Supuestos!$D$10))))))</f>
        <v/>
      </c>
      <c r="O772" s="31">
        <f>MIN(IF(Supuestos!$H$11="",1E+99,Supuestos!$H$11),MAX(IF(Supuestos!$G$11="",-1E+99,Supuestos!$G$11),IF(Supuestos!$C$11="Normal",NORMINV(H772,Supuestos!$D$11,Supuestos!$E$11),IF(Supuestos!$C$11="Triangular",IF(H772&lt;(Supuestos!$E$11-Supuestos!$D$11)/(Supuestos!$F$11-Supuestos!$D$11),Supuestos!$D$11+SQRT(H772*(Supuestos!$F$11-Supuestos!$D$11)*(Supuestos!$E$11-Supuestos!$D$11)),Supuestos!$F$11-SQRT((1-H772)*(Supuestos!$F$11-Supuestos!$D$11)*(Supuestos!$F$11-Supuestos!$E$11))),IF(Supuestos!$C$11="Uniforme",Supuestos!$D$11+H772*(Supuestos!$E$11-Supuestos!$D$11),IF(Supuestos!$C$11="Lognormal",LOGINV(H772,LN(Supuestos!$D$11)-LN(1+Supuestos!$E$11^2/Supuestos!$D$11^2)/2,SQRT(LN(1+Supuestos!$E$11^2/Supuestos!$D$11^2))),Supuestos!$D$11))))))</f>
        <v/>
      </c>
      <c r="P772" s="33">
        <f>-I772</f>
        <v/>
      </c>
      <c r="Q772" s="33">
        <f>$J772*(1+$K772)^(1-1)*(1-$L772)*(1-$M772)</f>
        <v/>
      </c>
      <c r="R772" s="33">
        <f>$J772*(1+$K772)^(2-1)*(1-$L772)*(1-$M772)</f>
        <v/>
      </c>
      <c r="S772" s="33">
        <f>$J772*(1+$K772)^(3-1)*(1-$L772)*(1-$M772)</f>
        <v/>
      </c>
      <c r="T772" s="33">
        <f>$J772*(1+$K772)^(4-1)*(1-$L772)*(1-$M772)</f>
        <v/>
      </c>
      <c r="U772" s="33">
        <f>$J772*(1+$K772)^(5-1)*(1-$L772)*(1-$M772)+$O772</f>
        <v/>
      </c>
      <c r="V772" s="33">
        <f>P772+NPV($N772,Q772:U772)</f>
        <v/>
      </c>
      <c r="W772" s="32">
        <f>IFERROR(IRR(P772:U772,0.1),"")</f>
        <v/>
      </c>
    </row>
    <row r="773">
      <c r="A773" s="14" t="n">
        <v>769</v>
      </c>
      <c r="B773" s="30">
        <f>RAND()*(1-2E-6)+1E-6</f>
        <v/>
      </c>
      <c r="C773" s="30">
        <f>RAND()*(1-2E-6)+1E-6</f>
        <v/>
      </c>
      <c r="D773" s="30">
        <f>RAND()*(1-2E-6)+1E-6</f>
        <v/>
      </c>
      <c r="E773" s="30">
        <f>RAND()*(1-2E-6)+1E-6</f>
        <v/>
      </c>
      <c r="F773" s="30">
        <f>RAND()*(1-2E-6)+1E-6</f>
        <v/>
      </c>
      <c r="G773" s="30">
        <f>RAND()*(1-2E-6)+1E-6</f>
        <v/>
      </c>
      <c r="H773" s="30">
        <f>RAND()*(1-2E-6)+1E-6</f>
        <v/>
      </c>
      <c r="I773" s="31">
        <f>MIN(IF(Supuestos!$H$5="",1E+99,Supuestos!$H$5),MAX(IF(Supuestos!$G$5="",-1E+99,Supuestos!$G$5),IF(Supuestos!$C$5="Normal",NORMINV(B773,Supuestos!$D$5,Supuestos!$E$5),IF(Supuestos!$C$5="Triangular",IF(B773&lt;(Supuestos!$E$5-Supuestos!$D$5)/(Supuestos!$F$5-Supuestos!$D$5),Supuestos!$D$5+SQRT(B773*(Supuestos!$F$5-Supuestos!$D$5)*(Supuestos!$E$5-Supuestos!$D$5)),Supuestos!$F$5-SQRT((1-B773)*(Supuestos!$F$5-Supuestos!$D$5)*(Supuestos!$F$5-Supuestos!$E$5))),IF(Supuestos!$C$5="Uniforme",Supuestos!$D$5+B773*(Supuestos!$E$5-Supuestos!$D$5),IF(Supuestos!$C$5="Lognormal",LOGINV(B773,LN(Supuestos!$D$5)-LN(1+Supuestos!$E$5^2/Supuestos!$D$5^2)/2,SQRT(LN(1+Supuestos!$E$5^2/Supuestos!$D$5^2))),Supuestos!$D$5))))))</f>
        <v/>
      </c>
      <c r="J773" s="31">
        <f>MIN(IF(Supuestos!$H$6="",1E+99,Supuestos!$H$6),MAX(IF(Supuestos!$G$6="",-1E+99,Supuestos!$G$6),IF(Supuestos!$C$6="Normal",NORMINV(C773,Supuestos!$D$6,Supuestos!$E$6),IF(Supuestos!$C$6="Triangular",IF(C773&lt;(Supuestos!$E$6-Supuestos!$D$6)/(Supuestos!$F$6-Supuestos!$D$6),Supuestos!$D$6+SQRT(C773*(Supuestos!$F$6-Supuestos!$D$6)*(Supuestos!$E$6-Supuestos!$D$6)),Supuestos!$F$6-SQRT((1-C773)*(Supuestos!$F$6-Supuestos!$D$6)*(Supuestos!$F$6-Supuestos!$E$6))),IF(Supuestos!$C$6="Uniforme",Supuestos!$D$6+C773*(Supuestos!$E$6-Supuestos!$D$6),IF(Supuestos!$C$6="Lognormal",LOGINV(C773,LN(Supuestos!$D$6)-LN(1+Supuestos!$E$6^2/Supuestos!$D$6^2)/2,SQRT(LN(1+Supuestos!$E$6^2/Supuestos!$D$6^2))),Supuestos!$D$6))))))</f>
        <v/>
      </c>
      <c r="K773" s="32">
        <f>MIN(IF(Supuestos!$H$7="",1E+99,Supuestos!$H$7),MAX(IF(Supuestos!$G$7="",-1E+99,Supuestos!$G$7),IF(Supuestos!$C$7="Normal",NORMINV(D773,Supuestos!$D$7,Supuestos!$E$7),IF(Supuestos!$C$7="Triangular",IF(D773&lt;(Supuestos!$E$7-Supuestos!$D$7)/(Supuestos!$F$7-Supuestos!$D$7),Supuestos!$D$7+SQRT(D773*(Supuestos!$F$7-Supuestos!$D$7)*(Supuestos!$E$7-Supuestos!$D$7)),Supuestos!$F$7-SQRT((1-D773)*(Supuestos!$F$7-Supuestos!$D$7)*(Supuestos!$F$7-Supuestos!$E$7))),IF(Supuestos!$C$7="Uniforme",Supuestos!$D$7+D773*(Supuestos!$E$7-Supuestos!$D$7),IF(Supuestos!$C$7="Lognormal",LOGINV(D773,LN(Supuestos!$D$7)-LN(1+Supuestos!$E$7^2/Supuestos!$D$7^2)/2,SQRT(LN(1+Supuestos!$E$7^2/Supuestos!$D$7^2))),Supuestos!$D$7))))))</f>
        <v/>
      </c>
      <c r="L773" s="32">
        <f>MIN(IF(Supuestos!$H$8="",1E+99,Supuestos!$H$8),MAX(IF(Supuestos!$G$8="",-1E+99,Supuestos!$G$8),IF(Supuestos!$C$8="Normal",NORMINV(E773,Supuestos!$D$8,Supuestos!$E$8),IF(Supuestos!$C$8="Triangular",IF(E773&lt;(Supuestos!$E$8-Supuestos!$D$8)/(Supuestos!$F$8-Supuestos!$D$8),Supuestos!$D$8+SQRT(E773*(Supuestos!$F$8-Supuestos!$D$8)*(Supuestos!$E$8-Supuestos!$D$8)),Supuestos!$F$8-SQRT((1-E773)*(Supuestos!$F$8-Supuestos!$D$8)*(Supuestos!$F$8-Supuestos!$E$8))),IF(Supuestos!$C$8="Uniforme",Supuestos!$D$8+E773*(Supuestos!$E$8-Supuestos!$D$8),IF(Supuestos!$C$8="Lognormal",LOGINV(E773,LN(Supuestos!$D$8)-LN(1+Supuestos!$E$8^2/Supuestos!$D$8^2)/2,SQRT(LN(1+Supuestos!$E$8^2/Supuestos!$D$8^2))),Supuestos!$D$8))))))</f>
        <v/>
      </c>
      <c r="M773" s="32">
        <f>MIN(IF(Supuestos!$H$9="",1E+99,Supuestos!$H$9),MAX(IF(Supuestos!$G$9="",-1E+99,Supuestos!$G$9),IF(Supuestos!$C$9="Normal",NORMINV(F773,Supuestos!$D$9,Supuestos!$E$9),IF(Supuestos!$C$9="Triangular",IF(F773&lt;(Supuestos!$E$9-Supuestos!$D$9)/(Supuestos!$F$9-Supuestos!$D$9),Supuestos!$D$9+SQRT(F773*(Supuestos!$F$9-Supuestos!$D$9)*(Supuestos!$E$9-Supuestos!$D$9)),Supuestos!$F$9-SQRT((1-F773)*(Supuestos!$F$9-Supuestos!$D$9)*(Supuestos!$F$9-Supuestos!$E$9))),IF(Supuestos!$C$9="Uniforme",Supuestos!$D$9+F773*(Supuestos!$E$9-Supuestos!$D$9),IF(Supuestos!$C$9="Lognormal",LOGINV(F773,LN(Supuestos!$D$9)-LN(1+Supuestos!$E$9^2/Supuestos!$D$9^2)/2,SQRT(LN(1+Supuestos!$E$9^2/Supuestos!$D$9^2))),Supuestos!$D$9))))))</f>
        <v/>
      </c>
      <c r="N773" s="32">
        <f>MIN(IF(Supuestos!$H$10="",1E+99,Supuestos!$H$10),MAX(IF(Supuestos!$G$10="",-1E+99,Supuestos!$G$10),IF(Supuestos!$C$10="Normal",NORMINV(G773,Supuestos!$D$10,Supuestos!$E$10),IF(Supuestos!$C$10="Triangular",IF(G773&lt;(Supuestos!$E$10-Supuestos!$D$10)/(Supuestos!$F$10-Supuestos!$D$10),Supuestos!$D$10+SQRT(G773*(Supuestos!$F$10-Supuestos!$D$10)*(Supuestos!$E$10-Supuestos!$D$10)),Supuestos!$F$10-SQRT((1-G773)*(Supuestos!$F$10-Supuestos!$D$10)*(Supuestos!$F$10-Supuestos!$E$10))),IF(Supuestos!$C$10="Uniforme",Supuestos!$D$10+G773*(Supuestos!$E$10-Supuestos!$D$10),IF(Supuestos!$C$10="Lognormal",LOGINV(G773,LN(Supuestos!$D$10)-LN(1+Supuestos!$E$10^2/Supuestos!$D$10^2)/2,SQRT(LN(1+Supuestos!$E$10^2/Supuestos!$D$10^2))),Supuestos!$D$10))))))</f>
        <v/>
      </c>
      <c r="O773" s="31">
        <f>MIN(IF(Supuestos!$H$11="",1E+99,Supuestos!$H$11),MAX(IF(Supuestos!$G$11="",-1E+99,Supuestos!$G$11),IF(Supuestos!$C$11="Normal",NORMINV(H773,Supuestos!$D$11,Supuestos!$E$11),IF(Supuestos!$C$11="Triangular",IF(H773&lt;(Supuestos!$E$11-Supuestos!$D$11)/(Supuestos!$F$11-Supuestos!$D$11),Supuestos!$D$11+SQRT(H773*(Supuestos!$F$11-Supuestos!$D$11)*(Supuestos!$E$11-Supuestos!$D$11)),Supuestos!$F$11-SQRT((1-H773)*(Supuestos!$F$11-Supuestos!$D$11)*(Supuestos!$F$11-Supuestos!$E$11))),IF(Supuestos!$C$11="Uniforme",Supuestos!$D$11+H773*(Supuestos!$E$11-Supuestos!$D$11),IF(Supuestos!$C$11="Lognormal",LOGINV(H773,LN(Supuestos!$D$11)-LN(1+Supuestos!$E$11^2/Supuestos!$D$11^2)/2,SQRT(LN(1+Supuestos!$E$11^2/Supuestos!$D$11^2))),Supuestos!$D$11))))))</f>
        <v/>
      </c>
      <c r="P773" s="33">
        <f>-I773</f>
        <v/>
      </c>
      <c r="Q773" s="33">
        <f>$J773*(1+$K773)^(1-1)*(1-$L773)*(1-$M773)</f>
        <v/>
      </c>
      <c r="R773" s="33">
        <f>$J773*(1+$K773)^(2-1)*(1-$L773)*(1-$M773)</f>
        <v/>
      </c>
      <c r="S773" s="33">
        <f>$J773*(1+$K773)^(3-1)*(1-$L773)*(1-$M773)</f>
        <v/>
      </c>
      <c r="T773" s="33">
        <f>$J773*(1+$K773)^(4-1)*(1-$L773)*(1-$M773)</f>
        <v/>
      </c>
      <c r="U773" s="33">
        <f>$J773*(1+$K773)^(5-1)*(1-$L773)*(1-$M773)+$O773</f>
        <v/>
      </c>
      <c r="V773" s="33">
        <f>P773+NPV($N773,Q773:U773)</f>
        <v/>
      </c>
      <c r="W773" s="32">
        <f>IFERROR(IRR(P773:U773,0.1),"")</f>
        <v/>
      </c>
    </row>
    <row r="774">
      <c r="A774" s="14" t="n">
        <v>770</v>
      </c>
      <c r="B774" s="30">
        <f>RAND()*(1-2E-6)+1E-6</f>
        <v/>
      </c>
      <c r="C774" s="30">
        <f>RAND()*(1-2E-6)+1E-6</f>
        <v/>
      </c>
      <c r="D774" s="30">
        <f>RAND()*(1-2E-6)+1E-6</f>
        <v/>
      </c>
      <c r="E774" s="30">
        <f>RAND()*(1-2E-6)+1E-6</f>
        <v/>
      </c>
      <c r="F774" s="30">
        <f>RAND()*(1-2E-6)+1E-6</f>
        <v/>
      </c>
      <c r="G774" s="30">
        <f>RAND()*(1-2E-6)+1E-6</f>
        <v/>
      </c>
      <c r="H774" s="30">
        <f>RAND()*(1-2E-6)+1E-6</f>
        <v/>
      </c>
      <c r="I774" s="31">
        <f>MIN(IF(Supuestos!$H$5="",1E+99,Supuestos!$H$5),MAX(IF(Supuestos!$G$5="",-1E+99,Supuestos!$G$5),IF(Supuestos!$C$5="Normal",NORMINV(B774,Supuestos!$D$5,Supuestos!$E$5),IF(Supuestos!$C$5="Triangular",IF(B774&lt;(Supuestos!$E$5-Supuestos!$D$5)/(Supuestos!$F$5-Supuestos!$D$5),Supuestos!$D$5+SQRT(B774*(Supuestos!$F$5-Supuestos!$D$5)*(Supuestos!$E$5-Supuestos!$D$5)),Supuestos!$F$5-SQRT((1-B774)*(Supuestos!$F$5-Supuestos!$D$5)*(Supuestos!$F$5-Supuestos!$E$5))),IF(Supuestos!$C$5="Uniforme",Supuestos!$D$5+B774*(Supuestos!$E$5-Supuestos!$D$5),IF(Supuestos!$C$5="Lognormal",LOGINV(B774,LN(Supuestos!$D$5)-LN(1+Supuestos!$E$5^2/Supuestos!$D$5^2)/2,SQRT(LN(1+Supuestos!$E$5^2/Supuestos!$D$5^2))),Supuestos!$D$5))))))</f>
        <v/>
      </c>
      <c r="J774" s="31">
        <f>MIN(IF(Supuestos!$H$6="",1E+99,Supuestos!$H$6),MAX(IF(Supuestos!$G$6="",-1E+99,Supuestos!$G$6),IF(Supuestos!$C$6="Normal",NORMINV(C774,Supuestos!$D$6,Supuestos!$E$6),IF(Supuestos!$C$6="Triangular",IF(C774&lt;(Supuestos!$E$6-Supuestos!$D$6)/(Supuestos!$F$6-Supuestos!$D$6),Supuestos!$D$6+SQRT(C774*(Supuestos!$F$6-Supuestos!$D$6)*(Supuestos!$E$6-Supuestos!$D$6)),Supuestos!$F$6-SQRT((1-C774)*(Supuestos!$F$6-Supuestos!$D$6)*(Supuestos!$F$6-Supuestos!$E$6))),IF(Supuestos!$C$6="Uniforme",Supuestos!$D$6+C774*(Supuestos!$E$6-Supuestos!$D$6),IF(Supuestos!$C$6="Lognormal",LOGINV(C774,LN(Supuestos!$D$6)-LN(1+Supuestos!$E$6^2/Supuestos!$D$6^2)/2,SQRT(LN(1+Supuestos!$E$6^2/Supuestos!$D$6^2))),Supuestos!$D$6))))))</f>
        <v/>
      </c>
      <c r="K774" s="32">
        <f>MIN(IF(Supuestos!$H$7="",1E+99,Supuestos!$H$7),MAX(IF(Supuestos!$G$7="",-1E+99,Supuestos!$G$7),IF(Supuestos!$C$7="Normal",NORMINV(D774,Supuestos!$D$7,Supuestos!$E$7),IF(Supuestos!$C$7="Triangular",IF(D774&lt;(Supuestos!$E$7-Supuestos!$D$7)/(Supuestos!$F$7-Supuestos!$D$7),Supuestos!$D$7+SQRT(D774*(Supuestos!$F$7-Supuestos!$D$7)*(Supuestos!$E$7-Supuestos!$D$7)),Supuestos!$F$7-SQRT((1-D774)*(Supuestos!$F$7-Supuestos!$D$7)*(Supuestos!$F$7-Supuestos!$E$7))),IF(Supuestos!$C$7="Uniforme",Supuestos!$D$7+D774*(Supuestos!$E$7-Supuestos!$D$7),IF(Supuestos!$C$7="Lognormal",LOGINV(D774,LN(Supuestos!$D$7)-LN(1+Supuestos!$E$7^2/Supuestos!$D$7^2)/2,SQRT(LN(1+Supuestos!$E$7^2/Supuestos!$D$7^2))),Supuestos!$D$7))))))</f>
        <v/>
      </c>
      <c r="L774" s="32">
        <f>MIN(IF(Supuestos!$H$8="",1E+99,Supuestos!$H$8),MAX(IF(Supuestos!$G$8="",-1E+99,Supuestos!$G$8),IF(Supuestos!$C$8="Normal",NORMINV(E774,Supuestos!$D$8,Supuestos!$E$8),IF(Supuestos!$C$8="Triangular",IF(E774&lt;(Supuestos!$E$8-Supuestos!$D$8)/(Supuestos!$F$8-Supuestos!$D$8),Supuestos!$D$8+SQRT(E774*(Supuestos!$F$8-Supuestos!$D$8)*(Supuestos!$E$8-Supuestos!$D$8)),Supuestos!$F$8-SQRT((1-E774)*(Supuestos!$F$8-Supuestos!$D$8)*(Supuestos!$F$8-Supuestos!$E$8))),IF(Supuestos!$C$8="Uniforme",Supuestos!$D$8+E774*(Supuestos!$E$8-Supuestos!$D$8),IF(Supuestos!$C$8="Lognormal",LOGINV(E774,LN(Supuestos!$D$8)-LN(1+Supuestos!$E$8^2/Supuestos!$D$8^2)/2,SQRT(LN(1+Supuestos!$E$8^2/Supuestos!$D$8^2))),Supuestos!$D$8))))))</f>
        <v/>
      </c>
      <c r="M774" s="32">
        <f>MIN(IF(Supuestos!$H$9="",1E+99,Supuestos!$H$9),MAX(IF(Supuestos!$G$9="",-1E+99,Supuestos!$G$9),IF(Supuestos!$C$9="Normal",NORMINV(F774,Supuestos!$D$9,Supuestos!$E$9),IF(Supuestos!$C$9="Triangular",IF(F774&lt;(Supuestos!$E$9-Supuestos!$D$9)/(Supuestos!$F$9-Supuestos!$D$9),Supuestos!$D$9+SQRT(F774*(Supuestos!$F$9-Supuestos!$D$9)*(Supuestos!$E$9-Supuestos!$D$9)),Supuestos!$F$9-SQRT((1-F774)*(Supuestos!$F$9-Supuestos!$D$9)*(Supuestos!$F$9-Supuestos!$E$9))),IF(Supuestos!$C$9="Uniforme",Supuestos!$D$9+F774*(Supuestos!$E$9-Supuestos!$D$9),IF(Supuestos!$C$9="Lognormal",LOGINV(F774,LN(Supuestos!$D$9)-LN(1+Supuestos!$E$9^2/Supuestos!$D$9^2)/2,SQRT(LN(1+Supuestos!$E$9^2/Supuestos!$D$9^2))),Supuestos!$D$9))))))</f>
        <v/>
      </c>
      <c r="N774" s="32">
        <f>MIN(IF(Supuestos!$H$10="",1E+99,Supuestos!$H$10),MAX(IF(Supuestos!$G$10="",-1E+99,Supuestos!$G$10),IF(Supuestos!$C$10="Normal",NORMINV(G774,Supuestos!$D$10,Supuestos!$E$10),IF(Supuestos!$C$10="Triangular",IF(G774&lt;(Supuestos!$E$10-Supuestos!$D$10)/(Supuestos!$F$10-Supuestos!$D$10),Supuestos!$D$10+SQRT(G774*(Supuestos!$F$10-Supuestos!$D$10)*(Supuestos!$E$10-Supuestos!$D$10)),Supuestos!$F$10-SQRT((1-G774)*(Supuestos!$F$10-Supuestos!$D$10)*(Supuestos!$F$10-Supuestos!$E$10))),IF(Supuestos!$C$10="Uniforme",Supuestos!$D$10+G774*(Supuestos!$E$10-Supuestos!$D$10),IF(Supuestos!$C$10="Lognormal",LOGINV(G774,LN(Supuestos!$D$10)-LN(1+Supuestos!$E$10^2/Supuestos!$D$10^2)/2,SQRT(LN(1+Supuestos!$E$10^2/Supuestos!$D$10^2))),Supuestos!$D$10))))))</f>
        <v/>
      </c>
      <c r="O774" s="31">
        <f>MIN(IF(Supuestos!$H$11="",1E+99,Supuestos!$H$11),MAX(IF(Supuestos!$G$11="",-1E+99,Supuestos!$G$11),IF(Supuestos!$C$11="Normal",NORMINV(H774,Supuestos!$D$11,Supuestos!$E$11),IF(Supuestos!$C$11="Triangular",IF(H774&lt;(Supuestos!$E$11-Supuestos!$D$11)/(Supuestos!$F$11-Supuestos!$D$11),Supuestos!$D$11+SQRT(H774*(Supuestos!$F$11-Supuestos!$D$11)*(Supuestos!$E$11-Supuestos!$D$11)),Supuestos!$F$11-SQRT((1-H774)*(Supuestos!$F$11-Supuestos!$D$11)*(Supuestos!$F$11-Supuestos!$E$11))),IF(Supuestos!$C$11="Uniforme",Supuestos!$D$11+H774*(Supuestos!$E$11-Supuestos!$D$11),IF(Supuestos!$C$11="Lognormal",LOGINV(H774,LN(Supuestos!$D$11)-LN(1+Supuestos!$E$11^2/Supuestos!$D$11^2)/2,SQRT(LN(1+Supuestos!$E$11^2/Supuestos!$D$11^2))),Supuestos!$D$11))))))</f>
        <v/>
      </c>
      <c r="P774" s="33">
        <f>-I774</f>
        <v/>
      </c>
      <c r="Q774" s="33">
        <f>$J774*(1+$K774)^(1-1)*(1-$L774)*(1-$M774)</f>
        <v/>
      </c>
      <c r="R774" s="33">
        <f>$J774*(1+$K774)^(2-1)*(1-$L774)*(1-$M774)</f>
        <v/>
      </c>
      <c r="S774" s="33">
        <f>$J774*(1+$K774)^(3-1)*(1-$L774)*(1-$M774)</f>
        <v/>
      </c>
      <c r="T774" s="33">
        <f>$J774*(1+$K774)^(4-1)*(1-$L774)*(1-$M774)</f>
        <v/>
      </c>
      <c r="U774" s="33">
        <f>$J774*(1+$K774)^(5-1)*(1-$L774)*(1-$M774)+$O774</f>
        <v/>
      </c>
      <c r="V774" s="33">
        <f>P774+NPV($N774,Q774:U774)</f>
        <v/>
      </c>
      <c r="W774" s="32">
        <f>IFERROR(IRR(P774:U774,0.1),"")</f>
        <v/>
      </c>
    </row>
    <row r="775">
      <c r="A775" s="14" t="n">
        <v>771</v>
      </c>
      <c r="B775" s="30">
        <f>RAND()*(1-2E-6)+1E-6</f>
        <v/>
      </c>
      <c r="C775" s="30">
        <f>RAND()*(1-2E-6)+1E-6</f>
        <v/>
      </c>
      <c r="D775" s="30">
        <f>RAND()*(1-2E-6)+1E-6</f>
        <v/>
      </c>
      <c r="E775" s="30">
        <f>RAND()*(1-2E-6)+1E-6</f>
        <v/>
      </c>
      <c r="F775" s="30">
        <f>RAND()*(1-2E-6)+1E-6</f>
        <v/>
      </c>
      <c r="G775" s="30">
        <f>RAND()*(1-2E-6)+1E-6</f>
        <v/>
      </c>
      <c r="H775" s="30">
        <f>RAND()*(1-2E-6)+1E-6</f>
        <v/>
      </c>
      <c r="I775" s="31">
        <f>MIN(IF(Supuestos!$H$5="",1E+99,Supuestos!$H$5),MAX(IF(Supuestos!$G$5="",-1E+99,Supuestos!$G$5),IF(Supuestos!$C$5="Normal",NORMINV(B775,Supuestos!$D$5,Supuestos!$E$5),IF(Supuestos!$C$5="Triangular",IF(B775&lt;(Supuestos!$E$5-Supuestos!$D$5)/(Supuestos!$F$5-Supuestos!$D$5),Supuestos!$D$5+SQRT(B775*(Supuestos!$F$5-Supuestos!$D$5)*(Supuestos!$E$5-Supuestos!$D$5)),Supuestos!$F$5-SQRT((1-B775)*(Supuestos!$F$5-Supuestos!$D$5)*(Supuestos!$F$5-Supuestos!$E$5))),IF(Supuestos!$C$5="Uniforme",Supuestos!$D$5+B775*(Supuestos!$E$5-Supuestos!$D$5),IF(Supuestos!$C$5="Lognormal",LOGINV(B775,LN(Supuestos!$D$5)-LN(1+Supuestos!$E$5^2/Supuestos!$D$5^2)/2,SQRT(LN(1+Supuestos!$E$5^2/Supuestos!$D$5^2))),Supuestos!$D$5))))))</f>
        <v/>
      </c>
      <c r="J775" s="31">
        <f>MIN(IF(Supuestos!$H$6="",1E+99,Supuestos!$H$6),MAX(IF(Supuestos!$G$6="",-1E+99,Supuestos!$G$6),IF(Supuestos!$C$6="Normal",NORMINV(C775,Supuestos!$D$6,Supuestos!$E$6),IF(Supuestos!$C$6="Triangular",IF(C775&lt;(Supuestos!$E$6-Supuestos!$D$6)/(Supuestos!$F$6-Supuestos!$D$6),Supuestos!$D$6+SQRT(C775*(Supuestos!$F$6-Supuestos!$D$6)*(Supuestos!$E$6-Supuestos!$D$6)),Supuestos!$F$6-SQRT((1-C775)*(Supuestos!$F$6-Supuestos!$D$6)*(Supuestos!$F$6-Supuestos!$E$6))),IF(Supuestos!$C$6="Uniforme",Supuestos!$D$6+C775*(Supuestos!$E$6-Supuestos!$D$6),IF(Supuestos!$C$6="Lognormal",LOGINV(C775,LN(Supuestos!$D$6)-LN(1+Supuestos!$E$6^2/Supuestos!$D$6^2)/2,SQRT(LN(1+Supuestos!$E$6^2/Supuestos!$D$6^2))),Supuestos!$D$6))))))</f>
        <v/>
      </c>
      <c r="K775" s="32">
        <f>MIN(IF(Supuestos!$H$7="",1E+99,Supuestos!$H$7),MAX(IF(Supuestos!$G$7="",-1E+99,Supuestos!$G$7),IF(Supuestos!$C$7="Normal",NORMINV(D775,Supuestos!$D$7,Supuestos!$E$7),IF(Supuestos!$C$7="Triangular",IF(D775&lt;(Supuestos!$E$7-Supuestos!$D$7)/(Supuestos!$F$7-Supuestos!$D$7),Supuestos!$D$7+SQRT(D775*(Supuestos!$F$7-Supuestos!$D$7)*(Supuestos!$E$7-Supuestos!$D$7)),Supuestos!$F$7-SQRT((1-D775)*(Supuestos!$F$7-Supuestos!$D$7)*(Supuestos!$F$7-Supuestos!$E$7))),IF(Supuestos!$C$7="Uniforme",Supuestos!$D$7+D775*(Supuestos!$E$7-Supuestos!$D$7),IF(Supuestos!$C$7="Lognormal",LOGINV(D775,LN(Supuestos!$D$7)-LN(1+Supuestos!$E$7^2/Supuestos!$D$7^2)/2,SQRT(LN(1+Supuestos!$E$7^2/Supuestos!$D$7^2))),Supuestos!$D$7))))))</f>
        <v/>
      </c>
      <c r="L775" s="32">
        <f>MIN(IF(Supuestos!$H$8="",1E+99,Supuestos!$H$8),MAX(IF(Supuestos!$G$8="",-1E+99,Supuestos!$G$8),IF(Supuestos!$C$8="Normal",NORMINV(E775,Supuestos!$D$8,Supuestos!$E$8),IF(Supuestos!$C$8="Triangular",IF(E775&lt;(Supuestos!$E$8-Supuestos!$D$8)/(Supuestos!$F$8-Supuestos!$D$8),Supuestos!$D$8+SQRT(E775*(Supuestos!$F$8-Supuestos!$D$8)*(Supuestos!$E$8-Supuestos!$D$8)),Supuestos!$F$8-SQRT((1-E775)*(Supuestos!$F$8-Supuestos!$D$8)*(Supuestos!$F$8-Supuestos!$E$8))),IF(Supuestos!$C$8="Uniforme",Supuestos!$D$8+E775*(Supuestos!$E$8-Supuestos!$D$8),IF(Supuestos!$C$8="Lognormal",LOGINV(E775,LN(Supuestos!$D$8)-LN(1+Supuestos!$E$8^2/Supuestos!$D$8^2)/2,SQRT(LN(1+Supuestos!$E$8^2/Supuestos!$D$8^2))),Supuestos!$D$8))))))</f>
        <v/>
      </c>
      <c r="M775" s="32">
        <f>MIN(IF(Supuestos!$H$9="",1E+99,Supuestos!$H$9),MAX(IF(Supuestos!$G$9="",-1E+99,Supuestos!$G$9),IF(Supuestos!$C$9="Normal",NORMINV(F775,Supuestos!$D$9,Supuestos!$E$9),IF(Supuestos!$C$9="Triangular",IF(F775&lt;(Supuestos!$E$9-Supuestos!$D$9)/(Supuestos!$F$9-Supuestos!$D$9),Supuestos!$D$9+SQRT(F775*(Supuestos!$F$9-Supuestos!$D$9)*(Supuestos!$E$9-Supuestos!$D$9)),Supuestos!$F$9-SQRT((1-F775)*(Supuestos!$F$9-Supuestos!$D$9)*(Supuestos!$F$9-Supuestos!$E$9))),IF(Supuestos!$C$9="Uniforme",Supuestos!$D$9+F775*(Supuestos!$E$9-Supuestos!$D$9),IF(Supuestos!$C$9="Lognormal",LOGINV(F775,LN(Supuestos!$D$9)-LN(1+Supuestos!$E$9^2/Supuestos!$D$9^2)/2,SQRT(LN(1+Supuestos!$E$9^2/Supuestos!$D$9^2))),Supuestos!$D$9))))))</f>
        <v/>
      </c>
      <c r="N775" s="32">
        <f>MIN(IF(Supuestos!$H$10="",1E+99,Supuestos!$H$10),MAX(IF(Supuestos!$G$10="",-1E+99,Supuestos!$G$10),IF(Supuestos!$C$10="Normal",NORMINV(G775,Supuestos!$D$10,Supuestos!$E$10),IF(Supuestos!$C$10="Triangular",IF(G775&lt;(Supuestos!$E$10-Supuestos!$D$10)/(Supuestos!$F$10-Supuestos!$D$10),Supuestos!$D$10+SQRT(G775*(Supuestos!$F$10-Supuestos!$D$10)*(Supuestos!$E$10-Supuestos!$D$10)),Supuestos!$F$10-SQRT((1-G775)*(Supuestos!$F$10-Supuestos!$D$10)*(Supuestos!$F$10-Supuestos!$E$10))),IF(Supuestos!$C$10="Uniforme",Supuestos!$D$10+G775*(Supuestos!$E$10-Supuestos!$D$10),IF(Supuestos!$C$10="Lognormal",LOGINV(G775,LN(Supuestos!$D$10)-LN(1+Supuestos!$E$10^2/Supuestos!$D$10^2)/2,SQRT(LN(1+Supuestos!$E$10^2/Supuestos!$D$10^2))),Supuestos!$D$10))))))</f>
        <v/>
      </c>
      <c r="O775" s="31">
        <f>MIN(IF(Supuestos!$H$11="",1E+99,Supuestos!$H$11),MAX(IF(Supuestos!$G$11="",-1E+99,Supuestos!$G$11),IF(Supuestos!$C$11="Normal",NORMINV(H775,Supuestos!$D$11,Supuestos!$E$11),IF(Supuestos!$C$11="Triangular",IF(H775&lt;(Supuestos!$E$11-Supuestos!$D$11)/(Supuestos!$F$11-Supuestos!$D$11),Supuestos!$D$11+SQRT(H775*(Supuestos!$F$11-Supuestos!$D$11)*(Supuestos!$E$11-Supuestos!$D$11)),Supuestos!$F$11-SQRT((1-H775)*(Supuestos!$F$11-Supuestos!$D$11)*(Supuestos!$F$11-Supuestos!$E$11))),IF(Supuestos!$C$11="Uniforme",Supuestos!$D$11+H775*(Supuestos!$E$11-Supuestos!$D$11),IF(Supuestos!$C$11="Lognormal",LOGINV(H775,LN(Supuestos!$D$11)-LN(1+Supuestos!$E$11^2/Supuestos!$D$11^2)/2,SQRT(LN(1+Supuestos!$E$11^2/Supuestos!$D$11^2))),Supuestos!$D$11))))))</f>
        <v/>
      </c>
      <c r="P775" s="33">
        <f>-I775</f>
        <v/>
      </c>
      <c r="Q775" s="33">
        <f>$J775*(1+$K775)^(1-1)*(1-$L775)*(1-$M775)</f>
        <v/>
      </c>
      <c r="R775" s="33">
        <f>$J775*(1+$K775)^(2-1)*(1-$L775)*(1-$M775)</f>
        <v/>
      </c>
      <c r="S775" s="33">
        <f>$J775*(1+$K775)^(3-1)*(1-$L775)*(1-$M775)</f>
        <v/>
      </c>
      <c r="T775" s="33">
        <f>$J775*(1+$K775)^(4-1)*(1-$L775)*(1-$M775)</f>
        <v/>
      </c>
      <c r="U775" s="33">
        <f>$J775*(1+$K775)^(5-1)*(1-$L775)*(1-$M775)+$O775</f>
        <v/>
      </c>
      <c r="V775" s="33">
        <f>P775+NPV($N775,Q775:U775)</f>
        <v/>
      </c>
      <c r="W775" s="32">
        <f>IFERROR(IRR(P775:U775,0.1),"")</f>
        <v/>
      </c>
    </row>
    <row r="776">
      <c r="A776" s="14" t="n">
        <v>772</v>
      </c>
      <c r="B776" s="30">
        <f>RAND()*(1-2E-6)+1E-6</f>
        <v/>
      </c>
      <c r="C776" s="30">
        <f>RAND()*(1-2E-6)+1E-6</f>
        <v/>
      </c>
      <c r="D776" s="30">
        <f>RAND()*(1-2E-6)+1E-6</f>
        <v/>
      </c>
      <c r="E776" s="30">
        <f>RAND()*(1-2E-6)+1E-6</f>
        <v/>
      </c>
      <c r="F776" s="30">
        <f>RAND()*(1-2E-6)+1E-6</f>
        <v/>
      </c>
      <c r="G776" s="30">
        <f>RAND()*(1-2E-6)+1E-6</f>
        <v/>
      </c>
      <c r="H776" s="30">
        <f>RAND()*(1-2E-6)+1E-6</f>
        <v/>
      </c>
      <c r="I776" s="31">
        <f>MIN(IF(Supuestos!$H$5="",1E+99,Supuestos!$H$5),MAX(IF(Supuestos!$G$5="",-1E+99,Supuestos!$G$5),IF(Supuestos!$C$5="Normal",NORMINV(B776,Supuestos!$D$5,Supuestos!$E$5),IF(Supuestos!$C$5="Triangular",IF(B776&lt;(Supuestos!$E$5-Supuestos!$D$5)/(Supuestos!$F$5-Supuestos!$D$5),Supuestos!$D$5+SQRT(B776*(Supuestos!$F$5-Supuestos!$D$5)*(Supuestos!$E$5-Supuestos!$D$5)),Supuestos!$F$5-SQRT((1-B776)*(Supuestos!$F$5-Supuestos!$D$5)*(Supuestos!$F$5-Supuestos!$E$5))),IF(Supuestos!$C$5="Uniforme",Supuestos!$D$5+B776*(Supuestos!$E$5-Supuestos!$D$5),IF(Supuestos!$C$5="Lognormal",LOGINV(B776,LN(Supuestos!$D$5)-LN(1+Supuestos!$E$5^2/Supuestos!$D$5^2)/2,SQRT(LN(1+Supuestos!$E$5^2/Supuestos!$D$5^2))),Supuestos!$D$5))))))</f>
        <v/>
      </c>
      <c r="J776" s="31">
        <f>MIN(IF(Supuestos!$H$6="",1E+99,Supuestos!$H$6),MAX(IF(Supuestos!$G$6="",-1E+99,Supuestos!$G$6),IF(Supuestos!$C$6="Normal",NORMINV(C776,Supuestos!$D$6,Supuestos!$E$6),IF(Supuestos!$C$6="Triangular",IF(C776&lt;(Supuestos!$E$6-Supuestos!$D$6)/(Supuestos!$F$6-Supuestos!$D$6),Supuestos!$D$6+SQRT(C776*(Supuestos!$F$6-Supuestos!$D$6)*(Supuestos!$E$6-Supuestos!$D$6)),Supuestos!$F$6-SQRT((1-C776)*(Supuestos!$F$6-Supuestos!$D$6)*(Supuestos!$F$6-Supuestos!$E$6))),IF(Supuestos!$C$6="Uniforme",Supuestos!$D$6+C776*(Supuestos!$E$6-Supuestos!$D$6),IF(Supuestos!$C$6="Lognormal",LOGINV(C776,LN(Supuestos!$D$6)-LN(1+Supuestos!$E$6^2/Supuestos!$D$6^2)/2,SQRT(LN(1+Supuestos!$E$6^2/Supuestos!$D$6^2))),Supuestos!$D$6))))))</f>
        <v/>
      </c>
      <c r="K776" s="32">
        <f>MIN(IF(Supuestos!$H$7="",1E+99,Supuestos!$H$7),MAX(IF(Supuestos!$G$7="",-1E+99,Supuestos!$G$7),IF(Supuestos!$C$7="Normal",NORMINV(D776,Supuestos!$D$7,Supuestos!$E$7),IF(Supuestos!$C$7="Triangular",IF(D776&lt;(Supuestos!$E$7-Supuestos!$D$7)/(Supuestos!$F$7-Supuestos!$D$7),Supuestos!$D$7+SQRT(D776*(Supuestos!$F$7-Supuestos!$D$7)*(Supuestos!$E$7-Supuestos!$D$7)),Supuestos!$F$7-SQRT((1-D776)*(Supuestos!$F$7-Supuestos!$D$7)*(Supuestos!$F$7-Supuestos!$E$7))),IF(Supuestos!$C$7="Uniforme",Supuestos!$D$7+D776*(Supuestos!$E$7-Supuestos!$D$7),IF(Supuestos!$C$7="Lognormal",LOGINV(D776,LN(Supuestos!$D$7)-LN(1+Supuestos!$E$7^2/Supuestos!$D$7^2)/2,SQRT(LN(1+Supuestos!$E$7^2/Supuestos!$D$7^2))),Supuestos!$D$7))))))</f>
        <v/>
      </c>
      <c r="L776" s="32">
        <f>MIN(IF(Supuestos!$H$8="",1E+99,Supuestos!$H$8),MAX(IF(Supuestos!$G$8="",-1E+99,Supuestos!$G$8),IF(Supuestos!$C$8="Normal",NORMINV(E776,Supuestos!$D$8,Supuestos!$E$8),IF(Supuestos!$C$8="Triangular",IF(E776&lt;(Supuestos!$E$8-Supuestos!$D$8)/(Supuestos!$F$8-Supuestos!$D$8),Supuestos!$D$8+SQRT(E776*(Supuestos!$F$8-Supuestos!$D$8)*(Supuestos!$E$8-Supuestos!$D$8)),Supuestos!$F$8-SQRT((1-E776)*(Supuestos!$F$8-Supuestos!$D$8)*(Supuestos!$F$8-Supuestos!$E$8))),IF(Supuestos!$C$8="Uniforme",Supuestos!$D$8+E776*(Supuestos!$E$8-Supuestos!$D$8),IF(Supuestos!$C$8="Lognormal",LOGINV(E776,LN(Supuestos!$D$8)-LN(1+Supuestos!$E$8^2/Supuestos!$D$8^2)/2,SQRT(LN(1+Supuestos!$E$8^2/Supuestos!$D$8^2))),Supuestos!$D$8))))))</f>
        <v/>
      </c>
      <c r="M776" s="32">
        <f>MIN(IF(Supuestos!$H$9="",1E+99,Supuestos!$H$9),MAX(IF(Supuestos!$G$9="",-1E+99,Supuestos!$G$9),IF(Supuestos!$C$9="Normal",NORMINV(F776,Supuestos!$D$9,Supuestos!$E$9),IF(Supuestos!$C$9="Triangular",IF(F776&lt;(Supuestos!$E$9-Supuestos!$D$9)/(Supuestos!$F$9-Supuestos!$D$9),Supuestos!$D$9+SQRT(F776*(Supuestos!$F$9-Supuestos!$D$9)*(Supuestos!$E$9-Supuestos!$D$9)),Supuestos!$F$9-SQRT((1-F776)*(Supuestos!$F$9-Supuestos!$D$9)*(Supuestos!$F$9-Supuestos!$E$9))),IF(Supuestos!$C$9="Uniforme",Supuestos!$D$9+F776*(Supuestos!$E$9-Supuestos!$D$9),IF(Supuestos!$C$9="Lognormal",LOGINV(F776,LN(Supuestos!$D$9)-LN(1+Supuestos!$E$9^2/Supuestos!$D$9^2)/2,SQRT(LN(1+Supuestos!$E$9^2/Supuestos!$D$9^2))),Supuestos!$D$9))))))</f>
        <v/>
      </c>
      <c r="N776" s="32">
        <f>MIN(IF(Supuestos!$H$10="",1E+99,Supuestos!$H$10),MAX(IF(Supuestos!$G$10="",-1E+99,Supuestos!$G$10),IF(Supuestos!$C$10="Normal",NORMINV(G776,Supuestos!$D$10,Supuestos!$E$10),IF(Supuestos!$C$10="Triangular",IF(G776&lt;(Supuestos!$E$10-Supuestos!$D$10)/(Supuestos!$F$10-Supuestos!$D$10),Supuestos!$D$10+SQRT(G776*(Supuestos!$F$10-Supuestos!$D$10)*(Supuestos!$E$10-Supuestos!$D$10)),Supuestos!$F$10-SQRT((1-G776)*(Supuestos!$F$10-Supuestos!$D$10)*(Supuestos!$F$10-Supuestos!$E$10))),IF(Supuestos!$C$10="Uniforme",Supuestos!$D$10+G776*(Supuestos!$E$10-Supuestos!$D$10),IF(Supuestos!$C$10="Lognormal",LOGINV(G776,LN(Supuestos!$D$10)-LN(1+Supuestos!$E$10^2/Supuestos!$D$10^2)/2,SQRT(LN(1+Supuestos!$E$10^2/Supuestos!$D$10^2))),Supuestos!$D$10))))))</f>
        <v/>
      </c>
      <c r="O776" s="31">
        <f>MIN(IF(Supuestos!$H$11="",1E+99,Supuestos!$H$11),MAX(IF(Supuestos!$G$11="",-1E+99,Supuestos!$G$11),IF(Supuestos!$C$11="Normal",NORMINV(H776,Supuestos!$D$11,Supuestos!$E$11),IF(Supuestos!$C$11="Triangular",IF(H776&lt;(Supuestos!$E$11-Supuestos!$D$11)/(Supuestos!$F$11-Supuestos!$D$11),Supuestos!$D$11+SQRT(H776*(Supuestos!$F$11-Supuestos!$D$11)*(Supuestos!$E$11-Supuestos!$D$11)),Supuestos!$F$11-SQRT((1-H776)*(Supuestos!$F$11-Supuestos!$D$11)*(Supuestos!$F$11-Supuestos!$E$11))),IF(Supuestos!$C$11="Uniforme",Supuestos!$D$11+H776*(Supuestos!$E$11-Supuestos!$D$11),IF(Supuestos!$C$11="Lognormal",LOGINV(H776,LN(Supuestos!$D$11)-LN(1+Supuestos!$E$11^2/Supuestos!$D$11^2)/2,SQRT(LN(1+Supuestos!$E$11^2/Supuestos!$D$11^2))),Supuestos!$D$11))))))</f>
        <v/>
      </c>
      <c r="P776" s="33">
        <f>-I776</f>
        <v/>
      </c>
      <c r="Q776" s="33">
        <f>$J776*(1+$K776)^(1-1)*(1-$L776)*(1-$M776)</f>
        <v/>
      </c>
      <c r="R776" s="33">
        <f>$J776*(1+$K776)^(2-1)*(1-$L776)*(1-$M776)</f>
        <v/>
      </c>
      <c r="S776" s="33">
        <f>$J776*(1+$K776)^(3-1)*(1-$L776)*(1-$M776)</f>
        <v/>
      </c>
      <c r="T776" s="33">
        <f>$J776*(1+$K776)^(4-1)*(1-$L776)*(1-$M776)</f>
        <v/>
      </c>
      <c r="U776" s="33">
        <f>$J776*(1+$K776)^(5-1)*(1-$L776)*(1-$M776)+$O776</f>
        <v/>
      </c>
      <c r="V776" s="33">
        <f>P776+NPV($N776,Q776:U776)</f>
        <v/>
      </c>
      <c r="W776" s="32">
        <f>IFERROR(IRR(P776:U776,0.1),"")</f>
        <v/>
      </c>
    </row>
    <row r="777">
      <c r="A777" s="14" t="n">
        <v>773</v>
      </c>
      <c r="B777" s="30">
        <f>RAND()*(1-2E-6)+1E-6</f>
        <v/>
      </c>
      <c r="C777" s="30">
        <f>RAND()*(1-2E-6)+1E-6</f>
        <v/>
      </c>
      <c r="D777" s="30">
        <f>RAND()*(1-2E-6)+1E-6</f>
        <v/>
      </c>
      <c r="E777" s="30">
        <f>RAND()*(1-2E-6)+1E-6</f>
        <v/>
      </c>
      <c r="F777" s="30">
        <f>RAND()*(1-2E-6)+1E-6</f>
        <v/>
      </c>
      <c r="G777" s="30">
        <f>RAND()*(1-2E-6)+1E-6</f>
        <v/>
      </c>
      <c r="H777" s="30">
        <f>RAND()*(1-2E-6)+1E-6</f>
        <v/>
      </c>
      <c r="I777" s="31">
        <f>MIN(IF(Supuestos!$H$5="",1E+99,Supuestos!$H$5),MAX(IF(Supuestos!$G$5="",-1E+99,Supuestos!$G$5),IF(Supuestos!$C$5="Normal",NORMINV(B777,Supuestos!$D$5,Supuestos!$E$5),IF(Supuestos!$C$5="Triangular",IF(B777&lt;(Supuestos!$E$5-Supuestos!$D$5)/(Supuestos!$F$5-Supuestos!$D$5),Supuestos!$D$5+SQRT(B777*(Supuestos!$F$5-Supuestos!$D$5)*(Supuestos!$E$5-Supuestos!$D$5)),Supuestos!$F$5-SQRT((1-B777)*(Supuestos!$F$5-Supuestos!$D$5)*(Supuestos!$F$5-Supuestos!$E$5))),IF(Supuestos!$C$5="Uniforme",Supuestos!$D$5+B777*(Supuestos!$E$5-Supuestos!$D$5),IF(Supuestos!$C$5="Lognormal",LOGINV(B777,LN(Supuestos!$D$5)-LN(1+Supuestos!$E$5^2/Supuestos!$D$5^2)/2,SQRT(LN(1+Supuestos!$E$5^2/Supuestos!$D$5^2))),Supuestos!$D$5))))))</f>
        <v/>
      </c>
      <c r="J777" s="31">
        <f>MIN(IF(Supuestos!$H$6="",1E+99,Supuestos!$H$6),MAX(IF(Supuestos!$G$6="",-1E+99,Supuestos!$G$6),IF(Supuestos!$C$6="Normal",NORMINV(C777,Supuestos!$D$6,Supuestos!$E$6),IF(Supuestos!$C$6="Triangular",IF(C777&lt;(Supuestos!$E$6-Supuestos!$D$6)/(Supuestos!$F$6-Supuestos!$D$6),Supuestos!$D$6+SQRT(C777*(Supuestos!$F$6-Supuestos!$D$6)*(Supuestos!$E$6-Supuestos!$D$6)),Supuestos!$F$6-SQRT((1-C777)*(Supuestos!$F$6-Supuestos!$D$6)*(Supuestos!$F$6-Supuestos!$E$6))),IF(Supuestos!$C$6="Uniforme",Supuestos!$D$6+C777*(Supuestos!$E$6-Supuestos!$D$6),IF(Supuestos!$C$6="Lognormal",LOGINV(C777,LN(Supuestos!$D$6)-LN(1+Supuestos!$E$6^2/Supuestos!$D$6^2)/2,SQRT(LN(1+Supuestos!$E$6^2/Supuestos!$D$6^2))),Supuestos!$D$6))))))</f>
        <v/>
      </c>
      <c r="K777" s="32">
        <f>MIN(IF(Supuestos!$H$7="",1E+99,Supuestos!$H$7),MAX(IF(Supuestos!$G$7="",-1E+99,Supuestos!$G$7),IF(Supuestos!$C$7="Normal",NORMINV(D777,Supuestos!$D$7,Supuestos!$E$7),IF(Supuestos!$C$7="Triangular",IF(D777&lt;(Supuestos!$E$7-Supuestos!$D$7)/(Supuestos!$F$7-Supuestos!$D$7),Supuestos!$D$7+SQRT(D777*(Supuestos!$F$7-Supuestos!$D$7)*(Supuestos!$E$7-Supuestos!$D$7)),Supuestos!$F$7-SQRT((1-D777)*(Supuestos!$F$7-Supuestos!$D$7)*(Supuestos!$F$7-Supuestos!$E$7))),IF(Supuestos!$C$7="Uniforme",Supuestos!$D$7+D777*(Supuestos!$E$7-Supuestos!$D$7),IF(Supuestos!$C$7="Lognormal",LOGINV(D777,LN(Supuestos!$D$7)-LN(1+Supuestos!$E$7^2/Supuestos!$D$7^2)/2,SQRT(LN(1+Supuestos!$E$7^2/Supuestos!$D$7^2))),Supuestos!$D$7))))))</f>
        <v/>
      </c>
      <c r="L777" s="32">
        <f>MIN(IF(Supuestos!$H$8="",1E+99,Supuestos!$H$8),MAX(IF(Supuestos!$G$8="",-1E+99,Supuestos!$G$8),IF(Supuestos!$C$8="Normal",NORMINV(E777,Supuestos!$D$8,Supuestos!$E$8),IF(Supuestos!$C$8="Triangular",IF(E777&lt;(Supuestos!$E$8-Supuestos!$D$8)/(Supuestos!$F$8-Supuestos!$D$8),Supuestos!$D$8+SQRT(E777*(Supuestos!$F$8-Supuestos!$D$8)*(Supuestos!$E$8-Supuestos!$D$8)),Supuestos!$F$8-SQRT((1-E777)*(Supuestos!$F$8-Supuestos!$D$8)*(Supuestos!$F$8-Supuestos!$E$8))),IF(Supuestos!$C$8="Uniforme",Supuestos!$D$8+E777*(Supuestos!$E$8-Supuestos!$D$8),IF(Supuestos!$C$8="Lognormal",LOGINV(E777,LN(Supuestos!$D$8)-LN(1+Supuestos!$E$8^2/Supuestos!$D$8^2)/2,SQRT(LN(1+Supuestos!$E$8^2/Supuestos!$D$8^2))),Supuestos!$D$8))))))</f>
        <v/>
      </c>
      <c r="M777" s="32">
        <f>MIN(IF(Supuestos!$H$9="",1E+99,Supuestos!$H$9),MAX(IF(Supuestos!$G$9="",-1E+99,Supuestos!$G$9),IF(Supuestos!$C$9="Normal",NORMINV(F777,Supuestos!$D$9,Supuestos!$E$9),IF(Supuestos!$C$9="Triangular",IF(F777&lt;(Supuestos!$E$9-Supuestos!$D$9)/(Supuestos!$F$9-Supuestos!$D$9),Supuestos!$D$9+SQRT(F777*(Supuestos!$F$9-Supuestos!$D$9)*(Supuestos!$E$9-Supuestos!$D$9)),Supuestos!$F$9-SQRT((1-F777)*(Supuestos!$F$9-Supuestos!$D$9)*(Supuestos!$F$9-Supuestos!$E$9))),IF(Supuestos!$C$9="Uniforme",Supuestos!$D$9+F777*(Supuestos!$E$9-Supuestos!$D$9),IF(Supuestos!$C$9="Lognormal",LOGINV(F777,LN(Supuestos!$D$9)-LN(1+Supuestos!$E$9^2/Supuestos!$D$9^2)/2,SQRT(LN(1+Supuestos!$E$9^2/Supuestos!$D$9^2))),Supuestos!$D$9))))))</f>
        <v/>
      </c>
      <c r="N777" s="32">
        <f>MIN(IF(Supuestos!$H$10="",1E+99,Supuestos!$H$10),MAX(IF(Supuestos!$G$10="",-1E+99,Supuestos!$G$10),IF(Supuestos!$C$10="Normal",NORMINV(G777,Supuestos!$D$10,Supuestos!$E$10),IF(Supuestos!$C$10="Triangular",IF(G777&lt;(Supuestos!$E$10-Supuestos!$D$10)/(Supuestos!$F$10-Supuestos!$D$10),Supuestos!$D$10+SQRT(G777*(Supuestos!$F$10-Supuestos!$D$10)*(Supuestos!$E$10-Supuestos!$D$10)),Supuestos!$F$10-SQRT((1-G777)*(Supuestos!$F$10-Supuestos!$D$10)*(Supuestos!$F$10-Supuestos!$E$10))),IF(Supuestos!$C$10="Uniforme",Supuestos!$D$10+G777*(Supuestos!$E$10-Supuestos!$D$10),IF(Supuestos!$C$10="Lognormal",LOGINV(G777,LN(Supuestos!$D$10)-LN(1+Supuestos!$E$10^2/Supuestos!$D$10^2)/2,SQRT(LN(1+Supuestos!$E$10^2/Supuestos!$D$10^2))),Supuestos!$D$10))))))</f>
        <v/>
      </c>
      <c r="O777" s="31">
        <f>MIN(IF(Supuestos!$H$11="",1E+99,Supuestos!$H$11),MAX(IF(Supuestos!$G$11="",-1E+99,Supuestos!$G$11),IF(Supuestos!$C$11="Normal",NORMINV(H777,Supuestos!$D$11,Supuestos!$E$11),IF(Supuestos!$C$11="Triangular",IF(H777&lt;(Supuestos!$E$11-Supuestos!$D$11)/(Supuestos!$F$11-Supuestos!$D$11),Supuestos!$D$11+SQRT(H777*(Supuestos!$F$11-Supuestos!$D$11)*(Supuestos!$E$11-Supuestos!$D$11)),Supuestos!$F$11-SQRT((1-H777)*(Supuestos!$F$11-Supuestos!$D$11)*(Supuestos!$F$11-Supuestos!$E$11))),IF(Supuestos!$C$11="Uniforme",Supuestos!$D$11+H777*(Supuestos!$E$11-Supuestos!$D$11),IF(Supuestos!$C$11="Lognormal",LOGINV(H777,LN(Supuestos!$D$11)-LN(1+Supuestos!$E$11^2/Supuestos!$D$11^2)/2,SQRT(LN(1+Supuestos!$E$11^2/Supuestos!$D$11^2))),Supuestos!$D$11))))))</f>
        <v/>
      </c>
      <c r="P777" s="33">
        <f>-I777</f>
        <v/>
      </c>
      <c r="Q777" s="33">
        <f>$J777*(1+$K777)^(1-1)*(1-$L777)*(1-$M777)</f>
        <v/>
      </c>
      <c r="R777" s="33">
        <f>$J777*(1+$K777)^(2-1)*(1-$L777)*(1-$M777)</f>
        <v/>
      </c>
      <c r="S777" s="33">
        <f>$J777*(1+$K777)^(3-1)*(1-$L777)*(1-$M777)</f>
        <v/>
      </c>
      <c r="T777" s="33">
        <f>$J777*(1+$K777)^(4-1)*(1-$L777)*(1-$M777)</f>
        <v/>
      </c>
      <c r="U777" s="33">
        <f>$J777*(1+$K777)^(5-1)*(1-$L777)*(1-$M777)+$O777</f>
        <v/>
      </c>
      <c r="V777" s="33">
        <f>P777+NPV($N777,Q777:U777)</f>
        <v/>
      </c>
      <c r="W777" s="32">
        <f>IFERROR(IRR(P777:U777,0.1),"")</f>
        <v/>
      </c>
    </row>
    <row r="778">
      <c r="A778" s="14" t="n">
        <v>774</v>
      </c>
      <c r="B778" s="30">
        <f>RAND()*(1-2E-6)+1E-6</f>
        <v/>
      </c>
      <c r="C778" s="30">
        <f>RAND()*(1-2E-6)+1E-6</f>
        <v/>
      </c>
      <c r="D778" s="30">
        <f>RAND()*(1-2E-6)+1E-6</f>
        <v/>
      </c>
      <c r="E778" s="30">
        <f>RAND()*(1-2E-6)+1E-6</f>
        <v/>
      </c>
      <c r="F778" s="30">
        <f>RAND()*(1-2E-6)+1E-6</f>
        <v/>
      </c>
      <c r="G778" s="30">
        <f>RAND()*(1-2E-6)+1E-6</f>
        <v/>
      </c>
      <c r="H778" s="30">
        <f>RAND()*(1-2E-6)+1E-6</f>
        <v/>
      </c>
      <c r="I778" s="31">
        <f>MIN(IF(Supuestos!$H$5="",1E+99,Supuestos!$H$5),MAX(IF(Supuestos!$G$5="",-1E+99,Supuestos!$G$5),IF(Supuestos!$C$5="Normal",NORMINV(B778,Supuestos!$D$5,Supuestos!$E$5),IF(Supuestos!$C$5="Triangular",IF(B778&lt;(Supuestos!$E$5-Supuestos!$D$5)/(Supuestos!$F$5-Supuestos!$D$5),Supuestos!$D$5+SQRT(B778*(Supuestos!$F$5-Supuestos!$D$5)*(Supuestos!$E$5-Supuestos!$D$5)),Supuestos!$F$5-SQRT((1-B778)*(Supuestos!$F$5-Supuestos!$D$5)*(Supuestos!$F$5-Supuestos!$E$5))),IF(Supuestos!$C$5="Uniforme",Supuestos!$D$5+B778*(Supuestos!$E$5-Supuestos!$D$5),IF(Supuestos!$C$5="Lognormal",LOGINV(B778,LN(Supuestos!$D$5)-LN(1+Supuestos!$E$5^2/Supuestos!$D$5^2)/2,SQRT(LN(1+Supuestos!$E$5^2/Supuestos!$D$5^2))),Supuestos!$D$5))))))</f>
        <v/>
      </c>
      <c r="J778" s="31">
        <f>MIN(IF(Supuestos!$H$6="",1E+99,Supuestos!$H$6),MAX(IF(Supuestos!$G$6="",-1E+99,Supuestos!$G$6),IF(Supuestos!$C$6="Normal",NORMINV(C778,Supuestos!$D$6,Supuestos!$E$6),IF(Supuestos!$C$6="Triangular",IF(C778&lt;(Supuestos!$E$6-Supuestos!$D$6)/(Supuestos!$F$6-Supuestos!$D$6),Supuestos!$D$6+SQRT(C778*(Supuestos!$F$6-Supuestos!$D$6)*(Supuestos!$E$6-Supuestos!$D$6)),Supuestos!$F$6-SQRT((1-C778)*(Supuestos!$F$6-Supuestos!$D$6)*(Supuestos!$F$6-Supuestos!$E$6))),IF(Supuestos!$C$6="Uniforme",Supuestos!$D$6+C778*(Supuestos!$E$6-Supuestos!$D$6),IF(Supuestos!$C$6="Lognormal",LOGINV(C778,LN(Supuestos!$D$6)-LN(1+Supuestos!$E$6^2/Supuestos!$D$6^2)/2,SQRT(LN(1+Supuestos!$E$6^2/Supuestos!$D$6^2))),Supuestos!$D$6))))))</f>
        <v/>
      </c>
      <c r="K778" s="32">
        <f>MIN(IF(Supuestos!$H$7="",1E+99,Supuestos!$H$7),MAX(IF(Supuestos!$G$7="",-1E+99,Supuestos!$G$7),IF(Supuestos!$C$7="Normal",NORMINV(D778,Supuestos!$D$7,Supuestos!$E$7),IF(Supuestos!$C$7="Triangular",IF(D778&lt;(Supuestos!$E$7-Supuestos!$D$7)/(Supuestos!$F$7-Supuestos!$D$7),Supuestos!$D$7+SQRT(D778*(Supuestos!$F$7-Supuestos!$D$7)*(Supuestos!$E$7-Supuestos!$D$7)),Supuestos!$F$7-SQRT((1-D778)*(Supuestos!$F$7-Supuestos!$D$7)*(Supuestos!$F$7-Supuestos!$E$7))),IF(Supuestos!$C$7="Uniforme",Supuestos!$D$7+D778*(Supuestos!$E$7-Supuestos!$D$7),IF(Supuestos!$C$7="Lognormal",LOGINV(D778,LN(Supuestos!$D$7)-LN(1+Supuestos!$E$7^2/Supuestos!$D$7^2)/2,SQRT(LN(1+Supuestos!$E$7^2/Supuestos!$D$7^2))),Supuestos!$D$7))))))</f>
        <v/>
      </c>
      <c r="L778" s="32">
        <f>MIN(IF(Supuestos!$H$8="",1E+99,Supuestos!$H$8),MAX(IF(Supuestos!$G$8="",-1E+99,Supuestos!$G$8),IF(Supuestos!$C$8="Normal",NORMINV(E778,Supuestos!$D$8,Supuestos!$E$8),IF(Supuestos!$C$8="Triangular",IF(E778&lt;(Supuestos!$E$8-Supuestos!$D$8)/(Supuestos!$F$8-Supuestos!$D$8),Supuestos!$D$8+SQRT(E778*(Supuestos!$F$8-Supuestos!$D$8)*(Supuestos!$E$8-Supuestos!$D$8)),Supuestos!$F$8-SQRT((1-E778)*(Supuestos!$F$8-Supuestos!$D$8)*(Supuestos!$F$8-Supuestos!$E$8))),IF(Supuestos!$C$8="Uniforme",Supuestos!$D$8+E778*(Supuestos!$E$8-Supuestos!$D$8),IF(Supuestos!$C$8="Lognormal",LOGINV(E778,LN(Supuestos!$D$8)-LN(1+Supuestos!$E$8^2/Supuestos!$D$8^2)/2,SQRT(LN(1+Supuestos!$E$8^2/Supuestos!$D$8^2))),Supuestos!$D$8))))))</f>
        <v/>
      </c>
      <c r="M778" s="32">
        <f>MIN(IF(Supuestos!$H$9="",1E+99,Supuestos!$H$9),MAX(IF(Supuestos!$G$9="",-1E+99,Supuestos!$G$9),IF(Supuestos!$C$9="Normal",NORMINV(F778,Supuestos!$D$9,Supuestos!$E$9),IF(Supuestos!$C$9="Triangular",IF(F778&lt;(Supuestos!$E$9-Supuestos!$D$9)/(Supuestos!$F$9-Supuestos!$D$9),Supuestos!$D$9+SQRT(F778*(Supuestos!$F$9-Supuestos!$D$9)*(Supuestos!$E$9-Supuestos!$D$9)),Supuestos!$F$9-SQRT((1-F778)*(Supuestos!$F$9-Supuestos!$D$9)*(Supuestos!$F$9-Supuestos!$E$9))),IF(Supuestos!$C$9="Uniforme",Supuestos!$D$9+F778*(Supuestos!$E$9-Supuestos!$D$9),IF(Supuestos!$C$9="Lognormal",LOGINV(F778,LN(Supuestos!$D$9)-LN(1+Supuestos!$E$9^2/Supuestos!$D$9^2)/2,SQRT(LN(1+Supuestos!$E$9^2/Supuestos!$D$9^2))),Supuestos!$D$9))))))</f>
        <v/>
      </c>
      <c r="N778" s="32">
        <f>MIN(IF(Supuestos!$H$10="",1E+99,Supuestos!$H$10),MAX(IF(Supuestos!$G$10="",-1E+99,Supuestos!$G$10),IF(Supuestos!$C$10="Normal",NORMINV(G778,Supuestos!$D$10,Supuestos!$E$10),IF(Supuestos!$C$10="Triangular",IF(G778&lt;(Supuestos!$E$10-Supuestos!$D$10)/(Supuestos!$F$10-Supuestos!$D$10),Supuestos!$D$10+SQRT(G778*(Supuestos!$F$10-Supuestos!$D$10)*(Supuestos!$E$10-Supuestos!$D$10)),Supuestos!$F$10-SQRT((1-G778)*(Supuestos!$F$10-Supuestos!$D$10)*(Supuestos!$F$10-Supuestos!$E$10))),IF(Supuestos!$C$10="Uniforme",Supuestos!$D$10+G778*(Supuestos!$E$10-Supuestos!$D$10),IF(Supuestos!$C$10="Lognormal",LOGINV(G778,LN(Supuestos!$D$10)-LN(1+Supuestos!$E$10^2/Supuestos!$D$10^2)/2,SQRT(LN(1+Supuestos!$E$10^2/Supuestos!$D$10^2))),Supuestos!$D$10))))))</f>
        <v/>
      </c>
      <c r="O778" s="31">
        <f>MIN(IF(Supuestos!$H$11="",1E+99,Supuestos!$H$11),MAX(IF(Supuestos!$G$11="",-1E+99,Supuestos!$G$11),IF(Supuestos!$C$11="Normal",NORMINV(H778,Supuestos!$D$11,Supuestos!$E$11),IF(Supuestos!$C$11="Triangular",IF(H778&lt;(Supuestos!$E$11-Supuestos!$D$11)/(Supuestos!$F$11-Supuestos!$D$11),Supuestos!$D$11+SQRT(H778*(Supuestos!$F$11-Supuestos!$D$11)*(Supuestos!$E$11-Supuestos!$D$11)),Supuestos!$F$11-SQRT((1-H778)*(Supuestos!$F$11-Supuestos!$D$11)*(Supuestos!$F$11-Supuestos!$E$11))),IF(Supuestos!$C$11="Uniforme",Supuestos!$D$11+H778*(Supuestos!$E$11-Supuestos!$D$11),IF(Supuestos!$C$11="Lognormal",LOGINV(H778,LN(Supuestos!$D$11)-LN(1+Supuestos!$E$11^2/Supuestos!$D$11^2)/2,SQRT(LN(1+Supuestos!$E$11^2/Supuestos!$D$11^2))),Supuestos!$D$11))))))</f>
        <v/>
      </c>
      <c r="P778" s="33">
        <f>-I778</f>
        <v/>
      </c>
      <c r="Q778" s="33">
        <f>$J778*(1+$K778)^(1-1)*(1-$L778)*(1-$M778)</f>
        <v/>
      </c>
      <c r="R778" s="33">
        <f>$J778*(1+$K778)^(2-1)*(1-$L778)*(1-$M778)</f>
        <v/>
      </c>
      <c r="S778" s="33">
        <f>$J778*(1+$K778)^(3-1)*(1-$L778)*(1-$M778)</f>
        <v/>
      </c>
      <c r="T778" s="33">
        <f>$J778*(1+$K778)^(4-1)*(1-$L778)*(1-$M778)</f>
        <v/>
      </c>
      <c r="U778" s="33">
        <f>$J778*(1+$K778)^(5-1)*(1-$L778)*(1-$M778)+$O778</f>
        <v/>
      </c>
      <c r="V778" s="33">
        <f>P778+NPV($N778,Q778:U778)</f>
        <v/>
      </c>
      <c r="W778" s="32">
        <f>IFERROR(IRR(P778:U778,0.1),"")</f>
        <v/>
      </c>
    </row>
    <row r="779">
      <c r="A779" s="14" t="n">
        <v>775</v>
      </c>
      <c r="B779" s="30">
        <f>RAND()*(1-2E-6)+1E-6</f>
        <v/>
      </c>
      <c r="C779" s="30">
        <f>RAND()*(1-2E-6)+1E-6</f>
        <v/>
      </c>
      <c r="D779" s="30">
        <f>RAND()*(1-2E-6)+1E-6</f>
        <v/>
      </c>
      <c r="E779" s="30">
        <f>RAND()*(1-2E-6)+1E-6</f>
        <v/>
      </c>
      <c r="F779" s="30">
        <f>RAND()*(1-2E-6)+1E-6</f>
        <v/>
      </c>
      <c r="G779" s="30">
        <f>RAND()*(1-2E-6)+1E-6</f>
        <v/>
      </c>
      <c r="H779" s="30">
        <f>RAND()*(1-2E-6)+1E-6</f>
        <v/>
      </c>
      <c r="I779" s="31">
        <f>MIN(IF(Supuestos!$H$5="",1E+99,Supuestos!$H$5),MAX(IF(Supuestos!$G$5="",-1E+99,Supuestos!$G$5),IF(Supuestos!$C$5="Normal",NORMINV(B779,Supuestos!$D$5,Supuestos!$E$5),IF(Supuestos!$C$5="Triangular",IF(B779&lt;(Supuestos!$E$5-Supuestos!$D$5)/(Supuestos!$F$5-Supuestos!$D$5),Supuestos!$D$5+SQRT(B779*(Supuestos!$F$5-Supuestos!$D$5)*(Supuestos!$E$5-Supuestos!$D$5)),Supuestos!$F$5-SQRT((1-B779)*(Supuestos!$F$5-Supuestos!$D$5)*(Supuestos!$F$5-Supuestos!$E$5))),IF(Supuestos!$C$5="Uniforme",Supuestos!$D$5+B779*(Supuestos!$E$5-Supuestos!$D$5),IF(Supuestos!$C$5="Lognormal",LOGINV(B779,LN(Supuestos!$D$5)-LN(1+Supuestos!$E$5^2/Supuestos!$D$5^2)/2,SQRT(LN(1+Supuestos!$E$5^2/Supuestos!$D$5^2))),Supuestos!$D$5))))))</f>
        <v/>
      </c>
      <c r="J779" s="31">
        <f>MIN(IF(Supuestos!$H$6="",1E+99,Supuestos!$H$6),MAX(IF(Supuestos!$G$6="",-1E+99,Supuestos!$G$6),IF(Supuestos!$C$6="Normal",NORMINV(C779,Supuestos!$D$6,Supuestos!$E$6),IF(Supuestos!$C$6="Triangular",IF(C779&lt;(Supuestos!$E$6-Supuestos!$D$6)/(Supuestos!$F$6-Supuestos!$D$6),Supuestos!$D$6+SQRT(C779*(Supuestos!$F$6-Supuestos!$D$6)*(Supuestos!$E$6-Supuestos!$D$6)),Supuestos!$F$6-SQRT((1-C779)*(Supuestos!$F$6-Supuestos!$D$6)*(Supuestos!$F$6-Supuestos!$E$6))),IF(Supuestos!$C$6="Uniforme",Supuestos!$D$6+C779*(Supuestos!$E$6-Supuestos!$D$6),IF(Supuestos!$C$6="Lognormal",LOGINV(C779,LN(Supuestos!$D$6)-LN(1+Supuestos!$E$6^2/Supuestos!$D$6^2)/2,SQRT(LN(1+Supuestos!$E$6^2/Supuestos!$D$6^2))),Supuestos!$D$6))))))</f>
        <v/>
      </c>
      <c r="K779" s="32">
        <f>MIN(IF(Supuestos!$H$7="",1E+99,Supuestos!$H$7),MAX(IF(Supuestos!$G$7="",-1E+99,Supuestos!$G$7),IF(Supuestos!$C$7="Normal",NORMINV(D779,Supuestos!$D$7,Supuestos!$E$7),IF(Supuestos!$C$7="Triangular",IF(D779&lt;(Supuestos!$E$7-Supuestos!$D$7)/(Supuestos!$F$7-Supuestos!$D$7),Supuestos!$D$7+SQRT(D779*(Supuestos!$F$7-Supuestos!$D$7)*(Supuestos!$E$7-Supuestos!$D$7)),Supuestos!$F$7-SQRT((1-D779)*(Supuestos!$F$7-Supuestos!$D$7)*(Supuestos!$F$7-Supuestos!$E$7))),IF(Supuestos!$C$7="Uniforme",Supuestos!$D$7+D779*(Supuestos!$E$7-Supuestos!$D$7),IF(Supuestos!$C$7="Lognormal",LOGINV(D779,LN(Supuestos!$D$7)-LN(1+Supuestos!$E$7^2/Supuestos!$D$7^2)/2,SQRT(LN(1+Supuestos!$E$7^2/Supuestos!$D$7^2))),Supuestos!$D$7))))))</f>
        <v/>
      </c>
      <c r="L779" s="32">
        <f>MIN(IF(Supuestos!$H$8="",1E+99,Supuestos!$H$8),MAX(IF(Supuestos!$G$8="",-1E+99,Supuestos!$G$8),IF(Supuestos!$C$8="Normal",NORMINV(E779,Supuestos!$D$8,Supuestos!$E$8),IF(Supuestos!$C$8="Triangular",IF(E779&lt;(Supuestos!$E$8-Supuestos!$D$8)/(Supuestos!$F$8-Supuestos!$D$8),Supuestos!$D$8+SQRT(E779*(Supuestos!$F$8-Supuestos!$D$8)*(Supuestos!$E$8-Supuestos!$D$8)),Supuestos!$F$8-SQRT((1-E779)*(Supuestos!$F$8-Supuestos!$D$8)*(Supuestos!$F$8-Supuestos!$E$8))),IF(Supuestos!$C$8="Uniforme",Supuestos!$D$8+E779*(Supuestos!$E$8-Supuestos!$D$8),IF(Supuestos!$C$8="Lognormal",LOGINV(E779,LN(Supuestos!$D$8)-LN(1+Supuestos!$E$8^2/Supuestos!$D$8^2)/2,SQRT(LN(1+Supuestos!$E$8^2/Supuestos!$D$8^2))),Supuestos!$D$8))))))</f>
        <v/>
      </c>
      <c r="M779" s="32">
        <f>MIN(IF(Supuestos!$H$9="",1E+99,Supuestos!$H$9),MAX(IF(Supuestos!$G$9="",-1E+99,Supuestos!$G$9),IF(Supuestos!$C$9="Normal",NORMINV(F779,Supuestos!$D$9,Supuestos!$E$9),IF(Supuestos!$C$9="Triangular",IF(F779&lt;(Supuestos!$E$9-Supuestos!$D$9)/(Supuestos!$F$9-Supuestos!$D$9),Supuestos!$D$9+SQRT(F779*(Supuestos!$F$9-Supuestos!$D$9)*(Supuestos!$E$9-Supuestos!$D$9)),Supuestos!$F$9-SQRT((1-F779)*(Supuestos!$F$9-Supuestos!$D$9)*(Supuestos!$F$9-Supuestos!$E$9))),IF(Supuestos!$C$9="Uniforme",Supuestos!$D$9+F779*(Supuestos!$E$9-Supuestos!$D$9),IF(Supuestos!$C$9="Lognormal",LOGINV(F779,LN(Supuestos!$D$9)-LN(1+Supuestos!$E$9^2/Supuestos!$D$9^2)/2,SQRT(LN(1+Supuestos!$E$9^2/Supuestos!$D$9^2))),Supuestos!$D$9))))))</f>
        <v/>
      </c>
      <c r="N779" s="32">
        <f>MIN(IF(Supuestos!$H$10="",1E+99,Supuestos!$H$10),MAX(IF(Supuestos!$G$10="",-1E+99,Supuestos!$G$10),IF(Supuestos!$C$10="Normal",NORMINV(G779,Supuestos!$D$10,Supuestos!$E$10),IF(Supuestos!$C$10="Triangular",IF(G779&lt;(Supuestos!$E$10-Supuestos!$D$10)/(Supuestos!$F$10-Supuestos!$D$10),Supuestos!$D$10+SQRT(G779*(Supuestos!$F$10-Supuestos!$D$10)*(Supuestos!$E$10-Supuestos!$D$10)),Supuestos!$F$10-SQRT((1-G779)*(Supuestos!$F$10-Supuestos!$D$10)*(Supuestos!$F$10-Supuestos!$E$10))),IF(Supuestos!$C$10="Uniforme",Supuestos!$D$10+G779*(Supuestos!$E$10-Supuestos!$D$10),IF(Supuestos!$C$10="Lognormal",LOGINV(G779,LN(Supuestos!$D$10)-LN(1+Supuestos!$E$10^2/Supuestos!$D$10^2)/2,SQRT(LN(1+Supuestos!$E$10^2/Supuestos!$D$10^2))),Supuestos!$D$10))))))</f>
        <v/>
      </c>
      <c r="O779" s="31">
        <f>MIN(IF(Supuestos!$H$11="",1E+99,Supuestos!$H$11),MAX(IF(Supuestos!$G$11="",-1E+99,Supuestos!$G$11),IF(Supuestos!$C$11="Normal",NORMINV(H779,Supuestos!$D$11,Supuestos!$E$11),IF(Supuestos!$C$11="Triangular",IF(H779&lt;(Supuestos!$E$11-Supuestos!$D$11)/(Supuestos!$F$11-Supuestos!$D$11),Supuestos!$D$11+SQRT(H779*(Supuestos!$F$11-Supuestos!$D$11)*(Supuestos!$E$11-Supuestos!$D$11)),Supuestos!$F$11-SQRT((1-H779)*(Supuestos!$F$11-Supuestos!$D$11)*(Supuestos!$F$11-Supuestos!$E$11))),IF(Supuestos!$C$11="Uniforme",Supuestos!$D$11+H779*(Supuestos!$E$11-Supuestos!$D$11),IF(Supuestos!$C$11="Lognormal",LOGINV(H779,LN(Supuestos!$D$11)-LN(1+Supuestos!$E$11^2/Supuestos!$D$11^2)/2,SQRT(LN(1+Supuestos!$E$11^2/Supuestos!$D$11^2))),Supuestos!$D$11))))))</f>
        <v/>
      </c>
      <c r="P779" s="33">
        <f>-I779</f>
        <v/>
      </c>
      <c r="Q779" s="33">
        <f>$J779*(1+$K779)^(1-1)*(1-$L779)*(1-$M779)</f>
        <v/>
      </c>
      <c r="R779" s="33">
        <f>$J779*(1+$K779)^(2-1)*(1-$L779)*(1-$M779)</f>
        <v/>
      </c>
      <c r="S779" s="33">
        <f>$J779*(1+$K779)^(3-1)*(1-$L779)*(1-$M779)</f>
        <v/>
      </c>
      <c r="T779" s="33">
        <f>$J779*(1+$K779)^(4-1)*(1-$L779)*(1-$M779)</f>
        <v/>
      </c>
      <c r="U779" s="33">
        <f>$J779*(1+$K779)^(5-1)*(1-$L779)*(1-$M779)+$O779</f>
        <v/>
      </c>
      <c r="V779" s="33">
        <f>P779+NPV($N779,Q779:U779)</f>
        <v/>
      </c>
      <c r="W779" s="32">
        <f>IFERROR(IRR(P779:U779,0.1),"")</f>
        <v/>
      </c>
    </row>
    <row r="780">
      <c r="A780" s="14" t="n">
        <v>776</v>
      </c>
      <c r="B780" s="30">
        <f>RAND()*(1-2E-6)+1E-6</f>
        <v/>
      </c>
      <c r="C780" s="30">
        <f>RAND()*(1-2E-6)+1E-6</f>
        <v/>
      </c>
      <c r="D780" s="30">
        <f>RAND()*(1-2E-6)+1E-6</f>
        <v/>
      </c>
      <c r="E780" s="30">
        <f>RAND()*(1-2E-6)+1E-6</f>
        <v/>
      </c>
      <c r="F780" s="30">
        <f>RAND()*(1-2E-6)+1E-6</f>
        <v/>
      </c>
      <c r="G780" s="30">
        <f>RAND()*(1-2E-6)+1E-6</f>
        <v/>
      </c>
      <c r="H780" s="30">
        <f>RAND()*(1-2E-6)+1E-6</f>
        <v/>
      </c>
      <c r="I780" s="31">
        <f>MIN(IF(Supuestos!$H$5="",1E+99,Supuestos!$H$5),MAX(IF(Supuestos!$G$5="",-1E+99,Supuestos!$G$5),IF(Supuestos!$C$5="Normal",NORMINV(B780,Supuestos!$D$5,Supuestos!$E$5),IF(Supuestos!$C$5="Triangular",IF(B780&lt;(Supuestos!$E$5-Supuestos!$D$5)/(Supuestos!$F$5-Supuestos!$D$5),Supuestos!$D$5+SQRT(B780*(Supuestos!$F$5-Supuestos!$D$5)*(Supuestos!$E$5-Supuestos!$D$5)),Supuestos!$F$5-SQRT((1-B780)*(Supuestos!$F$5-Supuestos!$D$5)*(Supuestos!$F$5-Supuestos!$E$5))),IF(Supuestos!$C$5="Uniforme",Supuestos!$D$5+B780*(Supuestos!$E$5-Supuestos!$D$5),IF(Supuestos!$C$5="Lognormal",LOGINV(B780,LN(Supuestos!$D$5)-LN(1+Supuestos!$E$5^2/Supuestos!$D$5^2)/2,SQRT(LN(1+Supuestos!$E$5^2/Supuestos!$D$5^2))),Supuestos!$D$5))))))</f>
        <v/>
      </c>
      <c r="J780" s="31">
        <f>MIN(IF(Supuestos!$H$6="",1E+99,Supuestos!$H$6),MAX(IF(Supuestos!$G$6="",-1E+99,Supuestos!$G$6),IF(Supuestos!$C$6="Normal",NORMINV(C780,Supuestos!$D$6,Supuestos!$E$6),IF(Supuestos!$C$6="Triangular",IF(C780&lt;(Supuestos!$E$6-Supuestos!$D$6)/(Supuestos!$F$6-Supuestos!$D$6),Supuestos!$D$6+SQRT(C780*(Supuestos!$F$6-Supuestos!$D$6)*(Supuestos!$E$6-Supuestos!$D$6)),Supuestos!$F$6-SQRT((1-C780)*(Supuestos!$F$6-Supuestos!$D$6)*(Supuestos!$F$6-Supuestos!$E$6))),IF(Supuestos!$C$6="Uniforme",Supuestos!$D$6+C780*(Supuestos!$E$6-Supuestos!$D$6),IF(Supuestos!$C$6="Lognormal",LOGINV(C780,LN(Supuestos!$D$6)-LN(1+Supuestos!$E$6^2/Supuestos!$D$6^2)/2,SQRT(LN(1+Supuestos!$E$6^2/Supuestos!$D$6^2))),Supuestos!$D$6))))))</f>
        <v/>
      </c>
      <c r="K780" s="32">
        <f>MIN(IF(Supuestos!$H$7="",1E+99,Supuestos!$H$7),MAX(IF(Supuestos!$G$7="",-1E+99,Supuestos!$G$7),IF(Supuestos!$C$7="Normal",NORMINV(D780,Supuestos!$D$7,Supuestos!$E$7),IF(Supuestos!$C$7="Triangular",IF(D780&lt;(Supuestos!$E$7-Supuestos!$D$7)/(Supuestos!$F$7-Supuestos!$D$7),Supuestos!$D$7+SQRT(D780*(Supuestos!$F$7-Supuestos!$D$7)*(Supuestos!$E$7-Supuestos!$D$7)),Supuestos!$F$7-SQRT((1-D780)*(Supuestos!$F$7-Supuestos!$D$7)*(Supuestos!$F$7-Supuestos!$E$7))),IF(Supuestos!$C$7="Uniforme",Supuestos!$D$7+D780*(Supuestos!$E$7-Supuestos!$D$7),IF(Supuestos!$C$7="Lognormal",LOGINV(D780,LN(Supuestos!$D$7)-LN(1+Supuestos!$E$7^2/Supuestos!$D$7^2)/2,SQRT(LN(1+Supuestos!$E$7^2/Supuestos!$D$7^2))),Supuestos!$D$7))))))</f>
        <v/>
      </c>
      <c r="L780" s="32">
        <f>MIN(IF(Supuestos!$H$8="",1E+99,Supuestos!$H$8),MAX(IF(Supuestos!$G$8="",-1E+99,Supuestos!$G$8),IF(Supuestos!$C$8="Normal",NORMINV(E780,Supuestos!$D$8,Supuestos!$E$8),IF(Supuestos!$C$8="Triangular",IF(E780&lt;(Supuestos!$E$8-Supuestos!$D$8)/(Supuestos!$F$8-Supuestos!$D$8),Supuestos!$D$8+SQRT(E780*(Supuestos!$F$8-Supuestos!$D$8)*(Supuestos!$E$8-Supuestos!$D$8)),Supuestos!$F$8-SQRT((1-E780)*(Supuestos!$F$8-Supuestos!$D$8)*(Supuestos!$F$8-Supuestos!$E$8))),IF(Supuestos!$C$8="Uniforme",Supuestos!$D$8+E780*(Supuestos!$E$8-Supuestos!$D$8),IF(Supuestos!$C$8="Lognormal",LOGINV(E780,LN(Supuestos!$D$8)-LN(1+Supuestos!$E$8^2/Supuestos!$D$8^2)/2,SQRT(LN(1+Supuestos!$E$8^2/Supuestos!$D$8^2))),Supuestos!$D$8))))))</f>
        <v/>
      </c>
      <c r="M780" s="32">
        <f>MIN(IF(Supuestos!$H$9="",1E+99,Supuestos!$H$9),MAX(IF(Supuestos!$G$9="",-1E+99,Supuestos!$G$9),IF(Supuestos!$C$9="Normal",NORMINV(F780,Supuestos!$D$9,Supuestos!$E$9),IF(Supuestos!$C$9="Triangular",IF(F780&lt;(Supuestos!$E$9-Supuestos!$D$9)/(Supuestos!$F$9-Supuestos!$D$9),Supuestos!$D$9+SQRT(F780*(Supuestos!$F$9-Supuestos!$D$9)*(Supuestos!$E$9-Supuestos!$D$9)),Supuestos!$F$9-SQRT((1-F780)*(Supuestos!$F$9-Supuestos!$D$9)*(Supuestos!$F$9-Supuestos!$E$9))),IF(Supuestos!$C$9="Uniforme",Supuestos!$D$9+F780*(Supuestos!$E$9-Supuestos!$D$9),IF(Supuestos!$C$9="Lognormal",LOGINV(F780,LN(Supuestos!$D$9)-LN(1+Supuestos!$E$9^2/Supuestos!$D$9^2)/2,SQRT(LN(1+Supuestos!$E$9^2/Supuestos!$D$9^2))),Supuestos!$D$9))))))</f>
        <v/>
      </c>
      <c r="N780" s="32">
        <f>MIN(IF(Supuestos!$H$10="",1E+99,Supuestos!$H$10),MAX(IF(Supuestos!$G$10="",-1E+99,Supuestos!$G$10),IF(Supuestos!$C$10="Normal",NORMINV(G780,Supuestos!$D$10,Supuestos!$E$10),IF(Supuestos!$C$10="Triangular",IF(G780&lt;(Supuestos!$E$10-Supuestos!$D$10)/(Supuestos!$F$10-Supuestos!$D$10),Supuestos!$D$10+SQRT(G780*(Supuestos!$F$10-Supuestos!$D$10)*(Supuestos!$E$10-Supuestos!$D$10)),Supuestos!$F$10-SQRT((1-G780)*(Supuestos!$F$10-Supuestos!$D$10)*(Supuestos!$F$10-Supuestos!$E$10))),IF(Supuestos!$C$10="Uniforme",Supuestos!$D$10+G780*(Supuestos!$E$10-Supuestos!$D$10),IF(Supuestos!$C$10="Lognormal",LOGINV(G780,LN(Supuestos!$D$10)-LN(1+Supuestos!$E$10^2/Supuestos!$D$10^2)/2,SQRT(LN(1+Supuestos!$E$10^2/Supuestos!$D$10^2))),Supuestos!$D$10))))))</f>
        <v/>
      </c>
      <c r="O780" s="31">
        <f>MIN(IF(Supuestos!$H$11="",1E+99,Supuestos!$H$11),MAX(IF(Supuestos!$G$11="",-1E+99,Supuestos!$G$11),IF(Supuestos!$C$11="Normal",NORMINV(H780,Supuestos!$D$11,Supuestos!$E$11),IF(Supuestos!$C$11="Triangular",IF(H780&lt;(Supuestos!$E$11-Supuestos!$D$11)/(Supuestos!$F$11-Supuestos!$D$11),Supuestos!$D$11+SQRT(H780*(Supuestos!$F$11-Supuestos!$D$11)*(Supuestos!$E$11-Supuestos!$D$11)),Supuestos!$F$11-SQRT((1-H780)*(Supuestos!$F$11-Supuestos!$D$11)*(Supuestos!$F$11-Supuestos!$E$11))),IF(Supuestos!$C$11="Uniforme",Supuestos!$D$11+H780*(Supuestos!$E$11-Supuestos!$D$11),IF(Supuestos!$C$11="Lognormal",LOGINV(H780,LN(Supuestos!$D$11)-LN(1+Supuestos!$E$11^2/Supuestos!$D$11^2)/2,SQRT(LN(1+Supuestos!$E$11^2/Supuestos!$D$11^2))),Supuestos!$D$11))))))</f>
        <v/>
      </c>
      <c r="P780" s="33">
        <f>-I780</f>
        <v/>
      </c>
      <c r="Q780" s="33">
        <f>$J780*(1+$K780)^(1-1)*(1-$L780)*(1-$M780)</f>
        <v/>
      </c>
      <c r="R780" s="33">
        <f>$J780*(1+$K780)^(2-1)*(1-$L780)*(1-$M780)</f>
        <v/>
      </c>
      <c r="S780" s="33">
        <f>$J780*(1+$K780)^(3-1)*(1-$L780)*(1-$M780)</f>
        <v/>
      </c>
      <c r="T780" s="33">
        <f>$J780*(1+$K780)^(4-1)*(1-$L780)*(1-$M780)</f>
        <v/>
      </c>
      <c r="U780" s="33">
        <f>$J780*(1+$K780)^(5-1)*(1-$L780)*(1-$M780)+$O780</f>
        <v/>
      </c>
      <c r="V780" s="33">
        <f>P780+NPV($N780,Q780:U780)</f>
        <v/>
      </c>
      <c r="W780" s="32">
        <f>IFERROR(IRR(P780:U780,0.1),"")</f>
        <v/>
      </c>
    </row>
    <row r="781">
      <c r="A781" s="14" t="n">
        <v>777</v>
      </c>
      <c r="B781" s="30">
        <f>RAND()*(1-2E-6)+1E-6</f>
        <v/>
      </c>
      <c r="C781" s="30">
        <f>RAND()*(1-2E-6)+1E-6</f>
        <v/>
      </c>
      <c r="D781" s="30">
        <f>RAND()*(1-2E-6)+1E-6</f>
        <v/>
      </c>
      <c r="E781" s="30">
        <f>RAND()*(1-2E-6)+1E-6</f>
        <v/>
      </c>
      <c r="F781" s="30">
        <f>RAND()*(1-2E-6)+1E-6</f>
        <v/>
      </c>
      <c r="G781" s="30">
        <f>RAND()*(1-2E-6)+1E-6</f>
        <v/>
      </c>
      <c r="H781" s="30">
        <f>RAND()*(1-2E-6)+1E-6</f>
        <v/>
      </c>
      <c r="I781" s="31">
        <f>MIN(IF(Supuestos!$H$5="",1E+99,Supuestos!$H$5),MAX(IF(Supuestos!$G$5="",-1E+99,Supuestos!$G$5),IF(Supuestos!$C$5="Normal",NORMINV(B781,Supuestos!$D$5,Supuestos!$E$5),IF(Supuestos!$C$5="Triangular",IF(B781&lt;(Supuestos!$E$5-Supuestos!$D$5)/(Supuestos!$F$5-Supuestos!$D$5),Supuestos!$D$5+SQRT(B781*(Supuestos!$F$5-Supuestos!$D$5)*(Supuestos!$E$5-Supuestos!$D$5)),Supuestos!$F$5-SQRT((1-B781)*(Supuestos!$F$5-Supuestos!$D$5)*(Supuestos!$F$5-Supuestos!$E$5))),IF(Supuestos!$C$5="Uniforme",Supuestos!$D$5+B781*(Supuestos!$E$5-Supuestos!$D$5),IF(Supuestos!$C$5="Lognormal",LOGINV(B781,LN(Supuestos!$D$5)-LN(1+Supuestos!$E$5^2/Supuestos!$D$5^2)/2,SQRT(LN(1+Supuestos!$E$5^2/Supuestos!$D$5^2))),Supuestos!$D$5))))))</f>
        <v/>
      </c>
      <c r="J781" s="31">
        <f>MIN(IF(Supuestos!$H$6="",1E+99,Supuestos!$H$6),MAX(IF(Supuestos!$G$6="",-1E+99,Supuestos!$G$6),IF(Supuestos!$C$6="Normal",NORMINV(C781,Supuestos!$D$6,Supuestos!$E$6),IF(Supuestos!$C$6="Triangular",IF(C781&lt;(Supuestos!$E$6-Supuestos!$D$6)/(Supuestos!$F$6-Supuestos!$D$6),Supuestos!$D$6+SQRT(C781*(Supuestos!$F$6-Supuestos!$D$6)*(Supuestos!$E$6-Supuestos!$D$6)),Supuestos!$F$6-SQRT((1-C781)*(Supuestos!$F$6-Supuestos!$D$6)*(Supuestos!$F$6-Supuestos!$E$6))),IF(Supuestos!$C$6="Uniforme",Supuestos!$D$6+C781*(Supuestos!$E$6-Supuestos!$D$6),IF(Supuestos!$C$6="Lognormal",LOGINV(C781,LN(Supuestos!$D$6)-LN(1+Supuestos!$E$6^2/Supuestos!$D$6^2)/2,SQRT(LN(1+Supuestos!$E$6^2/Supuestos!$D$6^2))),Supuestos!$D$6))))))</f>
        <v/>
      </c>
      <c r="K781" s="32">
        <f>MIN(IF(Supuestos!$H$7="",1E+99,Supuestos!$H$7),MAX(IF(Supuestos!$G$7="",-1E+99,Supuestos!$G$7),IF(Supuestos!$C$7="Normal",NORMINV(D781,Supuestos!$D$7,Supuestos!$E$7),IF(Supuestos!$C$7="Triangular",IF(D781&lt;(Supuestos!$E$7-Supuestos!$D$7)/(Supuestos!$F$7-Supuestos!$D$7),Supuestos!$D$7+SQRT(D781*(Supuestos!$F$7-Supuestos!$D$7)*(Supuestos!$E$7-Supuestos!$D$7)),Supuestos!$F$7-SQRT((1-D781)*(Supuestos!$F$7-Supuestos!$D$7)*(Supuestos!$F$7-Supuestos!$E$7))),IF(Supuestos!$C$7="Uniforme",Supuestos!$D$7+D781*(Supuestos!$E$7-Supuestos!$D$7),IF(Supuestos!$C$7="Lognormal",LOGINV(D781,LN(Supuestos!$D$7)-LN(1+Supuestos!$E$7^2/Supuestos!$D$7^2)/2,SQRT(LN(1+Supuestos!$E$7^2/Supuestos!$D$7^2))),Supuestos!$D$7))))))</f>
        <v/>
      </c>
      <c r="L781" s="32">
        <f>MIN(IF(Supuestos!$H$8="",1E+99,Supuestos!$H$8),MAX(IF(Supuestos!$G$8="",-1E+99,Supuestos!$G$8),IF(Supuestos!$C$8="Normal",NORMINV(E781,Supuestos!$D$8,Supuestos!$E$8),IF(Supuestos!$C$8="Triangular",IF(E781&lt;(Supuestos!$E$8-Supuestos!$D$8)/(Supuestos!$F$8-Supuestos!$D$8),Supuestos!$D$8+SQRT(E781*(Supuestos!$F$8-Supuestos!$D$8)*(Supuestos!$E$8-Supuestos!$D$8)),Supuestos!$F$8-SQRT((1-E781)*(Supuestos!$F$8-Supuestos!$D$8)*(Supuestos!$F$8-Supuestos!$E$8))),IF(Supuestos!$C$8="Uniforme",Supuestos!$D$8+E781*(Supuestos!$E$8-Supuestos!$D$8),IF(Supuestos!$C$8="Lognormal",LOGINV(E781,LN(Supuestos!$D$8)-LN(1+Supuestos!$E$8^2/Supuestos!$D$8^2)/2,SQRT(LN(1+Supuestos!$E$8^2/Supuestos!$D$8^2))),Supuestos!$D$8))))))</f>
        <v/>
      </c>
      <c r="M781" s="32">
        <f>MIN(IF(Supuestos!$H$9="",1E+99,Supuestos!$H$9),MAX(IF(Supuestos!$G$9="",-1E+99,Supuestos!$G$9),IF(Supuestos!$C$9="Normal",NORMINV(F781,Supuestos!$D$9,Supuestos!$E$9),IF(Supuestos!$C$9="Triangular",IF(F781&lt;(Supuestos!$E$9-Supuestos!$D$9)/(Supuestos!$F$9-Supuestos!$D$9),Supuestos!$D$9+SQRT(F781*(Supuestos!$F$9-Supuestos!$D$9)*(Supuestos!$E$9-Supuestos!$D$9)),Supuestos!$F$9-SQRT((1-F781)*(Supuestos!$F$9-Supuestos!$D$9)*(Supuestos!$F$9-Supuestos!$E$9))),IF(Supuestos!$C$9="Uniforme",Supuestos!$D$9+F781*(Supuestos!$E$9-Supuestos!$D$9),IF(Supuestos!$C$9="Lognormal",LOGINV(F781,LN(Supuestos!$D$9)-LN(1+Supuestos!$E$9^2/Supuestos!$D$9^2)/2,SQRT(LN(1+Supuestos!$E$9^2/Supuestos!$D$9^2))),Supuestos!$D$9))))))</f>
        <v/>
      </c>
      <c r="N781" s="32">
        <f>MIN(IF(Supuestos!$H$10="",1E+99,Supuestos!$H$10),MAX(IF(Supuestos!$G$10="",-1E+99,Supuestos!$G$10),IF(Supuestos!$C$10="Normal",NORMINV(G781,Supuestos!$D$10,Supuestos!$E$10),IF(Supuestos!$C$10="Triangular",IF(G781&lt;(Supuestos!$E$10-Supuestos!$D$10)/(Supuestos!$F$10-Supuestos!$D$10),Supuestos!$D$10+SQRT(G781*(Supuestos!$F$10-Supuestos!$D$10)*(Supuestos!$E$10-Supuestos!$D$10)),Supuestos!$F$10-SQRT((1-G781)*(Supuestos!$F$10-Supuestos!$D$10)*(Supuestos!$F$10-Supuestos!$E$10))),IF(Supuestos!$C$10="Uniforme",Supuestos!$D$10+G781*(Supuestos!$E$10-Supuestos!$D$10),IF(Supuestos!$C$10="Lognormal",LOGINV(G781,LN(Supuestos!$D$10)-LN(1+Supuestos!$E$10^2/Supuestos!$D$10^2)/2,SQRT(LN(1+Supuestos!$E$10^2/Supuestos!$D$10^2))),Supuestos!$D$10))))))</f>
        <v/>
      </c>
      <c r="O781" s="31">
        <f>MIN(IF(Supuestos!$H$11="",1E+99,Supuestos!$H$11),MAX(IF(Supuestos!$G$11="",-1E+99,Supuestos!$G$11),IF(Supuestos!$C$11="Normal",NORMINV(H781,Supuestos!$D$11,Supuestos!$E$11),IF(Supuestos!$C$11="Triangular",IF(H781&lt;(Supuestos!$E$11-Supuestos!$D$11)/(Supuestos!$F$11-Supuestos!$D$11),Supuestos!$D$11+SQRT(H781*(Supuestos!$F$11-Supuestos!$D$11)*(Supuestos!$E$11-Supuestos!$D$11)),Supuestos!$F$11-SQRT((1-H781)*(Supuestos!$F$11-Supuestos!$D$11)*(Supuestos!$F$11-Supuestos!$E$11))),IF(Supuestos!$C$11="Uniforme",Supuestos!$D$11+H781*(Supuestos!$E$11-Supuestos!$D$11),IF(Supuestos!$C$11="Lognormal",LOGINV(H781,LN(Supuestos!$D$11)-LN(1+Supuestos!$E$11^2/Supuestos!$D$11^2)/2,SQRT(LN(1+Supuestos!$E$11^2/Supuestos!$D$11^2))),Supuestos!$D$11))))))</f>
        <v/>
      </c>
      <c r="P781" s="33">
        <f>-I781</f>
        <v/>
      </c>
      <c r="Q781" s="33">
        <f>$J781*(1+$K781)^(1-1)*(1-$L781)*(1-$M781)</f>
        <v/>
      </c>
      <c r="R781" s="33">
        <f>$J781*(1+$K781)^(2-1)*(1-$L781)*(1-$M781)</f>
        <v/>
      </c>
      <c r="S781" s="33">
        <f>$J781*(1+$K781)^(3-1)*(1-$L781)*(1-$M781)</f>
        <v/>
      </c>
      <c r="T781" s="33">
        <f>$J781*(1+$K781)^(4-1)*(1-$L781)*(1-$M781)</f>
        <v/>
      </c>
      <c r="U781" s="33">
        <f>$J781*(1+$K781)^(5-1)*(1-$L781)*(1-$M781)+$O781</f>
        <v/>
      </c>
      <c r="V781" s="33">
        <f>P781+NPV($N781,Q781:U781)</f>
        <v/>
      </c>
      <c r="W781" s="32">
        <f>IFERROR(IRR(P781:U781,0.1),"")</f>
        <v/>
      </c>
    </row>
    <row r="782">
      <c r="A782" s="14" t="n">
        <v>778</v>
      </c>
      <c r="B782" s="30">
        <f>RAND()*(1-2E-6)+1E-6</f>
        <v/>
      </c>
      <c r="C782" s="30">
        <f>RAND()*(1-2E-6)+1E-6</f>
        <v/>
      </c>
      <c r="D782" s="30">
        <f>RAND()*(1-2E-6)+1E-6</f>
        <v/>
      </c>
      <c r="E782" s="30">
        <f>RAND()*(1-2E-6)+1E-6</f>
        <v/>
      </c>
      <c r="F782" s="30">
        <f>RAND()*(1-2E-6)+1E-6</f>
        <v/>
      </c>
      <c r="G782" s="30">
        <f>RAND()*(1-2E-6)+1E-6</f>
        <v/>
      </c>
      <c r="H782" s="30">
        <f>RAND()*(1-2E-6)+1E-6</f>
        <v/>
      </c>
      <c r="I782" s="31">
        <f>MIN(IF(Supuestos!$H$5="",1E+99,Supuestos!$H$5),MAX(IF(Supuestos!$G$5="",-1E+99,Supuestos!$G$5),IF(Supuestos!$C$5="Normal",NORMINV(B782,Supuestos!$D$5,Supuestos!$E$5),IF(Supuestos!$C$5="Triangular",IF(B782&lt;(Supuestos!$E$5-Supuestos!$D$5)/(Supuestos!$F$5-Supuestos!$D$5),Supuestos!$D$5+SQRT(B782*(Supuestos!$F$5-Supuestos!$D$5)*(Supuestos!$E$5-Supuestos!$D$5)),Supuestos!$F$5-SQRT((1-B782)*(Supuestos!$F$5-Supuestos!$D$5)*(Supuestos!$F$5-Supuestos!$E$5))),IF(Supuestos!$C$5="Uniforme",Supuestos!$D$5+B782*(Supuestos!$E$5-Supuestos!$D$5),IF(Supuestos!$C$5="Lognormal",LOGINV(B782,LN(Supuestos!$D$5)-LN(1+Supuestos!$E$5^2/Supuestos!$D$5^2)/2,SQRT(LN(1+Supuestos!$E$5^2/Supuestos!$D$5^2))),Supuestos!$D$5))))))</f>
        <v/>
      </c>
      <c r="J782" s="31">
        <f>MIN(IF(Supuestos!$H$6="",1E+99,Supuestos!$H$6),MAX(IF(Supuestos!$G$6="",-1E+99,Supuestos!$G$6),IF(Supuestos!$C$6="Normal",NORMINV(C782,Supuestos!$D$6,Supuestos!$E$6),IF(Supuestos!$C$6="Triangular",IF(C782&lt;(Supuestos!$E$6-Supuestos!$D$6)/(Supuestos!$F$6-Supuestos!$D$6),Supuestos!$D$6+SQRT(C782*(Supuestos!$F$6-Supuestos!$D$6)*(Supuestos!$E$6-Supuestos!$D$6)),Supuestos!$F$6-SQRT((1-C782)*(Supuestos!$F$6-Supuestos!$D$6)*(Supuestos!$F$6-Supuestos!$E$6))),IF(Supuestos!$C$6="Uniforme",Supuestos!$D$6+C782*(Supuestos!$E$6-Supuestos!$D$6),IF(Supuestos!$C$6="Lognormal",LOGINV(C782,LN(Supuestos!$D$6)-LN(1+Supuestos!$E$6^2/Supuestos!$D$6^2)/2,SQRT(LN(1+Supuestos!$E$6^2/Supuestos!$D$6^2))),Supuestos!$D$6))))))</f>
        <v/>
      </c>
      <c r="K782" s="32">
        <f>MIN(IF(Supuestos!$H$7="",1E+99,Supuestos!$H$7),MAX(IF(Supuestos!$G$7="",-1E+99,Supuestos!$G$7),IF(Supuestos!$C$7="Normal",NORMINV(D782,Supuestos!$D$7,Supuestos!$E$7),IF(Supuestos!$C$7="Triangular",IF(D782&lt;(Supuestos!$E$7-Supuestos!$D$7)/(Supuestos!$F$7-Supuestos!$D$7),Supuestos!$D$7+SQRT(D782*(Supuestos!$F$7-Supuestos!$D$7)*(Supuestos!$E$7-Supuestos!$D$7)),Supuestos!$F$7-SQRT((1-D782)*(Supuestos!$F$7-Supuestos!$D$7)*(Supuestos!$F$7-Supuestos!$E$7))),IF(Supuestos!$C$7="Uniforme",Supuestos!$D$7+D782*(Supuestos!$E$7-Supuestos!$D$7),IF(Supuestos!$C$7="Lognormal",LOGINV(D782,LN(Supuestos!$D$7)-LN(1+Supuestos!$E$7^2/Supuestos!$D$7^2)/2,SQRT(LN(1+Supuestos!$E$7^2/Supuestos!$D$7^2))),Supuestos!$D$7))))))</f>
        <v/>
      </c>
      <c r="L782" s="32">
        <f>MIN(IF(Supuestos!$H$8="",1E+99,Supuestos!$H$8),MAX(IF(Supuestos!$G$8="",-1E+99,Supuestos!$G$8),IF(Supuestos!$C$8="Normal",NORMINV(E782,Supuestos!$D$8,Supuestos!$E$8),IF(Supuestos!$C$8="Triangular",IF(E782&lt;(Supuestos!$E$8-Supuestos!$D$8)/(Supuestos!$F$8-Supuestos!$D$8),Supuestos!$D$8+SQRT(E782*(Supuestos!$F$8-Supuestos!$D$8)*(Supuestos!$E$8-Supuestos!$D$8)),Supuestos!$F$8-SQRT((1-E782)*(Supuestos!$F$8-Supuestos!$D$8)*(Supuestos!$F$8-Supuestos!$E$8))),IF(Supuestos!$C$8="Uniforme",Supuestos!$D$8+E782*(Supuestos!$E$8-Supuestos!$D$8),IF(Supuestos!$C$8="Lognormal",LOGINV(E782,LN(Supuestos!$D$8)-LN(1+Supuestos!$E$8^2/Supuestos!$D$8^2)/2,SQRT(LN(1+Supuestos!$E$8^2/Supuestos!$D$8^2))),Supuestos!$D$8))))))</f>
        <v/>
      </c>
      <c r="M782" s="32">
        <f>MIN(IF(Supuestos!$H$9="",1E+99,Supuestos!$H$9),MAX(IF(Supuestos!$G$9="",-1E+99,Supuestos!$G$9),IF(Supuestos!$C$9="Normal",NORMINV(F782,Supuestos!$D$9,Supuestos!$E$9),IF(Supuestos!$C$9="Triangular",IF(F782&lt;(Supuestos!$E$9-Supuestos!$D$9)/(Supuestos!$F$9-Supuestos!$D$9),Supuestos!$D$9+SQRT(F782*(Supuestos!$F$9-Supuestos!$D$9)*(Supuestos!$E$9-Supuestos!$D$9)),Supuestos!$F$9-SQRT((1-F782)*(Supuestos!$F$9-Supuestos!$D$9)*(Supuestos!$F$9-Supuestos!$E$9))),IF(Supuestos!$C$9="Uniforme",Supuestos!$D$9+F782*(Supuestos!$E$9-Supuestos!$D$9),IF(Supuestos!$C$9="Lognormal",LOGINV(F782,LN(Supuestos!$D$9)-LN(1+Supuestos!$E$9^2/Supuestos!$D$9^2)/2,SQRT(LN(1+Supuestos!$E$9^2/Supuestos!$D$9^2))),Supuestos!$D$9))))))</f>
        <v/>
      </c>
      <c r="N782" s="32">
        <f>MIN(IF(Supuestos!$H$10="",1E+99,Supuestos!$H$10),MAX(IF(Supuestos!$G$10="",-1E+99,Supuestos!$G$10),IF(Supuestos!$C$10="Normal",NORMINV(G782,Supuestos!$D$10,Supuestos!$E$10),IF(Supuestos!$C$10="Triangular",IF(G782&lt;(Supuestos!$E$10-Supuestos!$D$10)/(Supuestos!$F$10-Supuestos!$D$10),Supuestos!$D$10+SQRT(G782*(Supuestos!$F$10-Supuestos!$D$10)*(Supuestos!$E$10-Supuestos!$D$10)),Supuestos!$F$10-SQRT((1-G782)*(Supuestos!$F$10-Supuestos!$D$10)*(Supuestos!$F$10-Supuestos!$E$10))),IF(Supuestos!$C$10="Uniforme",Supuestos!$D$10+G782*(Supuestos!$E$10-Supuestos!$D$10),IF(Supuestos!$C$10="Lognormal",LOGINV(G782,LN(Supuestos!$D$10)-LN(1+Supuestos!$E$10^2/Supuestos!$D$10^2)/2,SQRT(LN(1+Supuestos!$E$10^2/Supuestos!$D$10^2))),Supuestos!$D$10))))))</f>
        <v/>
      </c>
      <c r="O782" s="31">
        <f>MIN(IF(Supuestos!$H$11="",1E+99,Supuestos!$H$11),MAX(IF(Supuestos!$G$11="",-1E+99,Supuestos!$G$11),IF(Supuestos!$C$11="Normal",NORMINV(H782,Supuestos!$D$11,Supuestos!$E$11),IF(Supuestos!$C$11="Triangular",IF(H782&lt;(Supuestos!$E$11-Supuestos!$D$11)/(Supuestos!$F$11-Supuestos!$D$11),Supuestos!$D$11+SQRT(H782*(Supuestos!$F$11-Supuestos!$D$11)*(Supuestos!$E$11-Supuestos!$D$11)),Supuestos!$F$11-SQRT((1-H782)*(Supuestos!$F$11-Supuestos!$D$11)*(Supuestos!$F$11-Supuestos!$E$11))),IF(Supuestos!$C$11="Uniforme",Supuestos!$D$11+H782*(Supuestos!$E$11-Supuestos!$D$11),IF(Supuestos!$C$11="Lognormal",LOGINV(H782,LN(Supuestos!$D$11)-LN(1+Supuestos!$E$11^2/Supuestos!$D$11^2)/2,SQRT(LN(1+Supuestos!$E$11^2/Supuestos!$D$11^2))),Supuestos!$D$11))))))</f>
        <v/>
      </c>
      <c r="P782" s="33">
        <f>-I782</f>
        <v/>
      </c>
      <c r="Q782" s="33">
        <f>$J782*(1+$K782)^(1-1)*(1-$L782)*(1-$M782)</f>
        <v/>
      </c>
      <c r="R782" s="33">
        <f>$J782*(1+$K782)^(2-1)*(1-$L782)*(1-$M782)</f>
        <v/>
      </c>
      <c r="S782" s="33">
        <f>$J782*(1+$K782)^(3-1)*(1-$L782)*(1-$M782)</f>
        <v/>
      </c>
      <c r="T782" s="33">
        <f>$J782*(1+$K782)^(4-1)*(1-$L782)*(1-$M782)</f>
        <v/>
      </c>
      <c r="U782" s="33">
        <f>$J782*(1+$K782)^(5-1)*(1-$L782)*(1-$M782)+$O782</f>
        <v/>
      </c>
      <c r="V782" s="33">
        <f>P782+NPV($N782,Q782:U782)</f>
        <v/>
      </c>
      <c r="W782" s="32">
        <f>IFERROR(IRR(P782:U782,0.1),"")</f>
        <v/>
      </c>
    </row>
    <row r="783">
      <c r="A783" s="14" t="n">
        <v>779</v>
      </c>
      <c r="B783" s="30">
        <f>RAND()*(1-2E-6)+1E-6</f>
        <v/>
      </c>
      <c r="C783" s="30">
        <f>RAND()*(1-2E-6)+1E-6</f>
        <v/>
      </c>
      <c r="D783" s="30">
        <f>RAND()*(1-2E-6)+1E-6</f>
        <v/>
      </c>
      <c r="E783" s="30">
        <f>RAND()*(1-2E-6)+1E-6</f>
        <v/>
      </c>
      <c r="F783" s="30">
        <f>RAND()*(1-2E-6)+1E-6</f>
        <v/>
      </c>
      <c r="G783" s="30">
        <f>RAND()*(1-2E-6)+1E-6</f>
        <v/>
      </c>
      <c r="H783" s="30">
        <f>RAND()*(1-2E-6)+1E-6</f>
        <v/>
      </c>
      <c r="I783" s="31">
        <f>MIN(IF(Supuestos!$H$5="",1E+99,Supuestos!$H$5),MAX(IF(Supuestos!$G$5="",-1E+99,Supuestos!$G$5),IF(Supuestos!$C$5="Normal",NORMINV(B783,Supuestos!$D$5,Supuestos!$E$5),IF(Supuestos!$C$5="Triangular",IF(B783&lt;(Supuestos!$E$5-Supuestos!$D$5)/(Supuestos!$F$5-Supuestos!$D$5),Supuestos!$D$5+SQRT(B783*(Supuestos!$F$5-Supuestos!$D$5)*(Supuestos!$E$5-Supuestos!$D$5)),Supuestos!$F$5-SQRT((1-B783)*(Supuestos!$F$5-Supuestos!$D$5)*(Supuestos!$F$5-Supuestos!$E$5))),IF(Supuestos!$C$5="Uniforme",Supuestos!$D$5+B783*(Supuestos!$E$5-Supuestos!$D$5),IF(Supuestos!$C$5="Lognormal",LOGINV(B783,LN(Supuestos!$D$5)-LN(1+Supuestos!$E$5^2/Supuestos!$D$5^2)/2,SQRT(LN(1+Supuestos!$E$5^2/Supuestos!$D$5^2))),Supuestos!$D$5))))))</f>
        <v/>
      </c>
      <c r="J783" s="31">
        <f>MIN(IF(Supuestos!$H$6="",1E+99,Supuestos!$H$6),MAX(IF(Supuestos!$G$6="",-1E+99,Supuestos!$G$6),IF(Supuestos!$C$6="Normal",NORMINV(C783,Supuestos!$D$6,Supuestos!$E$6),IF(Supuestos!$C$6="Triangular",IF(C783&lt;(Supuestos!$E$6-Supuestos!$D$6)/(Supuestos!$F$6-Supuestos!$D$6),Supuestos!$D$6+SQRT(C783*(Supuestos!$F$6-Supuestos!$D$6)*(Supuestos!$E$6-Supuestos!$D$6)),Supuestos!$F$6-SQRT((1-C783)*(Supuestos!$F$6-Supuestos!$D$6)*(Supuestos!$F$6-Supuestos!$E$6))),IF(Supuestos!$C$6="Uniforme",Supuestos!$D$6+C783*(Supuestos!$E$6-Supuestos!$D$6),IF(Supuestos!$C$6="Lognormal",LOGINV(C783,LN(Supuestos!$D$6)-LN(1+Supuestos!$E$6^2/Supuestos!$D$6^2)/2,SQRT(LN(1+Supuestos!$E$6^2/Supuestos!$D$6^2))),Supuestos!$D$6))))))</f>
        <v/>
      </c>
      <c r="K783" s="32">
        <f>MIN(IF(Supuestos!$H$7="",1E+99,Supuestos!$H$7),MAX(IF(Supuestos!$G$7="",-1E+99,Supuestos!$G$7),IF(Supuestos!$C$7="Normal",NORMINV(D783,Supuestos!$D$7,Supuestos!$E$7),IF(Supuestos!$C$7="Triangular",IF(D783&lt;(Supuestos!$E$7-Supuestos!$D$7)/(Supuestos!$F$7-Supuestos!$D$7),Supuestos!$D$7+SQRT(D783*(Supuestos!$F$7-Supuestos!$D$7)*(Supuestos!$E$7-Supuestos!$D$7)),Supuestos!$F$7-SQRT((1-D783)*(Supuestos!$F$7-Supuestos!$D$7)*(Supuestos!$F$7-Supuestos!$E$7))),IF(Supuestos!$C$7="Uniforme",Supuestos!$D$7+D783*(Supuestos!$E$7-Supuestos!$D$7),IF(Supuestos!$C$7="Lognormal",LOGINV(D783,LN(Supuestos!$D$7)-LN(1+Supuestos!$E$7^2/Supuestos!$D$7^2)/2,SQRT(LN(1+Supuestos!$E$7^2/Supuestos!$D$7^2))),Supuestos!$D$7))))))</f>
        <v/>
      </c>
      <c r="L783" s="32">
        <f>MIN(IF(Supuestos!$H$8="",1E+99,Supuestos!$H$8),MAX(IF(Supuestos!$G$8="",-1E+99,Supuestos!$G$8),IF(Supuestos!$C$8="Normal",NORMINV(E783,Supuestos!$D$8,Supuestos!$E$8),IF(Supuestos!$C$8="Triangular",IF(E783&lt;(Supuestos!$E$8-Supuestos!$D$8)/(Supuestos!$F$8-Supuestos!$D$8),Supuestos!$D$8+SQRT(E783*(Supuestos!$F$8-Supuestos!$D$8)*(Supuestos!$E$8-Supuestos!$D$8)),Supuestos!$F$8-SQRT((1-E783)*(Supuestos!$F$8-Supuestos!$D$8)*(Supuestos!$F$8-Supuestos!$E$8))),IF(Supuestos!$C$8="Uniforme",Supuestos!$D$8+E783*(Supuestos!$E$8-Supuestos!$D$8),IF(Supuestos!$C$8="Lognormal",LOGINV(E783,LN(Supuestos!$D$8)-LN(1+Supuestos!$E$8^2/Supuestos!$D$8^2)/2,SQRT(LN(1+Supuestos!$E$8^2/Supuestos!$D$8^2))),Supuestos!$D$8))))))</f>
        <v/>
      </c>
      <c r="M783" s="32">
        <f>MIN(IF(Supuestos!$H$9="",1E+99,Supuestos!$H$9),MAX(IF(Supuestos!$G$9="",-1E+99,Supuestos!$G$9),IF(Supuestos!$C$9="Normal",NORMINV(F783,Supuestos!$D$9,Supuestos!$E$9),IF(Supuestos!$C$9="Triangular",IF(F783&lt;(Supuestos!$E$9-Supuestos!$D$9)/(Supuestos!$F$9-Supuestos!$D$9),Supuestos!$D$9+SQRT(F783*(Supuestos!$F$9-Supuestos!$D$9)*(Supuestos!$E$9-Supuestos!$D$9)),Supuestos!$F$9-SQRT((1-F783)*(Supuestos!$F$9-Supuestos!$D$9)*(Supuestos!$F$9-Supuestos!$E$9))),IF(Supuestos!$C$9="Uniforme",Supuestos!$D$9+F783*(Supuestos!$E$9-Supuestos!$D$9),IF(Supuestos!$C$9="Lognormal",LOGINV(F783,LN(Supuestos!$D$9)-LN(1+Supuestos!$E$9^2/Supuestos!$D$9^2)/2,SQRT(LN(1+Supuestos!$E$9^2/Supuestos!$D$9^2))),Supuestos!$D$9))))))</f>
        <v/>
      </c>
      <c r="N783" s="32">
        <f>MIN(IF(Supuestos!$H$10="",1E+99,Supuestos!$H$10),MAX(IF(Supuestos!$G$10="",-1E+99,Supuestos!$G$10),IF(Supuestos!$C$10="Normal",NORMINV(G783,Supuestos!$D$10,Supuestos!$E$10),IF(Supuestos!$C$10="Triangular",IF(G783&lt;(Supuestos!$E$10-Supuestos!$D$10)/(Supuestos!$F$10-Supuestos!$D$10),Supuestos!$D$10+SQRT(G783*(Supuestos!$F$10-Supuestos!$D$10)*(Supuestos!$E$10-Supuestos!$D$10)),Supuestos!$F$10-SQRT((1-G783)*(Supuestos!$F$10-Supuestos!$D$10)*(Supuestos!$F$10-Supuestos!$E$10))),IF(Supuestos!$C$10="Uniforme",Supuestos!$D$10+G783*(Supuestos!$E$10-Supuestos!$D$10),IF(Supuestos!$C$10="Lognormal",LOGINV(G783,LN(Supuestos!$D$10)-LN(1+Supuestos!$E$10^2/Supuestos!$D$10^2)/2,SQRT(LN(1+Supuestos!$E$10^2/Supuestos!$D$10^2))),Supuestos!$D$10))))))</f>
        <v/>
      </c>
      <c r="O783" s="31">
        <f>MIN(IF(Supuestos!$H$11="",1E+99,Supuestos!$H$11),MAX(IF(Supuestos!$G$11="",-1E+99,Supuestos!$G$11),IF(Supuestos!$C$11="Normal",NORMINV(H783,Supuestos!$D$11,Supuestos!$E$11),IF(Supuestos!$C$11="Triangular",IF(H783&lt;(Supuestos!$E$11-Supuestos!$D$11)/(Supuestos!$F$11-Supuestos!$D$11),Supuestos!$D$11+SQRT(H783*(Supuestos!$F$11-Supuestos!$D$11)*(Supuestos!$E$11-Supuestos!$D$11)),Supuestos!$F$11-SQRT((1-H783)*(Supuestos!$F$11-Supuestos!$D$11)*(Supuestos!$F$11-Supuestos!$E$11))),IF(Supuestos!$C$11="Uniforme",Supuestos!$D$11+H783*(Supuestos!$E$11-Supuestos!$D$11),IF(Supuestos!$C$11="Lognormal",LOGINV(H783,LN(Supuestos!$D$11)-LN(1+Supuestos!$E$11^2/Supuestos!$D$11^2)/2,SQRT(LN(1+Supuestos!$E$11^2/Supuestos!$D$11^2))),Supuestos!$D$11))))))</f>
        <v/>
      </c>
      <c r="P783" s="33">
        <f>-I783</f>
        <v/>
      </c>
      <c r="Q783" s="33">
        <f>$J783*(1+$K783)^(1-1)*(1-$L783)*(1-$M783)</f>
        <v/>
      </c>
      <c r="R783" s="33">
        <f>$J783*(1+$K783)^(2-1)*(1-$L783)*(1-$M783)</f>
        <v/>
      </c>
      <c r="S783" s="33">
        <f>$J783*(1+$K783)^(3-1)*(1-$L783)*(1-$M783)</f>
        <v/>
      </c>
      <c r="T783" s="33">
        <f>$J783*(1+$K783)^(4-1)*(1-$L783)*(1-$M783)</f>
        <v/>
      </c>
      <c r="U783" s="33">
        <f>$J783*(1+$K783)^(5-1)*(1-$L783)*(1-$M783)+$O783</f>
        <v/>
      </c>
      <c r="V783" s="33">
        <f>P783+NPV($N783,Q783:U783)</f>
        <v/>
      </c>
      <c r="W783" s="32">
        <f>IFERROR(IRR(P783:U783,0.1),"")</f>
        <v/>
      </c>
    </row>
    <row r="784">
      <c r="A784" s="14" t="n">
        <v>780</v>
      </c>
      <c r="B784" s="30">
        <f>RAND()*(1-2E-6)+1E-6</f>
        <v/>
      </c>
      <c r="C784" s="30">
        <f>RAND()*(1-2E-6)+1E-6</f>
        <v/>
      </c>
      <c r="D784" s="30">
        <f>RAND()*(1-2E-6)+1E-6</f>
        <v/>
      </c>
      <c r="E784" s="30">
        <f>RAND()*(1-2E-6)+1E-6</f>
        <v/>
      </c>
      <c r="F784" s="30">
        <f>RAND()*(1-2E-6)+1E-6</f>
        <v/>
      </c>
      <c r="G784" s="30">
        <f>RAND()*(1-2E-6)+1E-6</f>
        <v/>
      </c>
      <c r="H784" s="30">
        <f>RAND()*(1-2E-6)+1E-6</f>
        <v/>
      </c>
      <c r="I784" s="31">
        <f>MIN(IF(Supuestos!$H$5="",1E+99,Supuestos!$H$5),MAX(IF(Supuestos!$G$5="",-1E+99,Supuestos!$G$5),IF(Supuestos!$C$5="Normal",NORMINV(B784,Supuestos!$D$5,Supuestos!$E$5),IF(Supuestos!$C$5="Triangular",IF(B784&lt;(Supuestos!$E$5-Supuestos!$D$5)/(Supuestos!$F$5-Supuestos!$D$5),Supuestos!$D$5+SQRT(B784*(Supuestos!$F$5-Supuestos!$D$5)*(Supuestos!$E$5-Supuestos!$D$5)),Supuestos!$F$5-SQRT((1-B784)*(Supuestos!$F$5-Supuestos!$D$5)*(Supuestos!$F$5-Supuestos!$E$5))),IF(Supuestos!$C$5="Uniforme",Supuestos!$D$5+B784*(Supuestos!$E$5-Supuestos!$D$5),IF(Supuestos!$C$5="Lognormal",LOGINV(B784,LN(Supuestos!$D$5)-LN(1+Supuestos!$E$5^2/Supuestos!$D$5^2)/2,SQRT(LN(1+Supuestos!$E$5^2/Supuestos!$D$5^2))),Supuestos!$D$5))))))</f>
        <v/>
      </c>
      <c r="J784" s="31">
        <f>MIN(IF(Supuestos!$H$6="",1E+99,Supuestos!$H$6),MAX(IF(Supuestos!$G$6="",-1E+99,Supuestos!$G$6),IF(Supuestos!$C$6="Normal",NORMINV(C784,Supuestos!$D$6,Supuestos!$E$6),IF(Supuestos!$C$6="Triangular",IF(C784&lt;(Supuestos!$E$6-Supuestos!$D$6)/(Supuestos!$F$6-Supuestos!$D$6),Supuestos!$D$6+SQRT(C784*(Supuestos!$F$6-Supuestos!$D$6)*(Supuestos!$E$6-Supuestos!$D$6)),Supuestos!$F$6-SQRT((1-C784)*(Supuestos!$F$6-Supuestos!$D$6)*(Supuestos!$F$6-Supuestos!$E$6))),IF(Supuestos!$C$6="Uniforme",Supuestos!$D$6+C784*(Supuestos!$E$6-Supuestos!$D$6),IF(Supuestos!$C$6="Lognormal",LOGINV(C784,LN(Supuestos!$D$6)-LN(1+Supuestos!$E$6^2/Supuestos!$D$6^2)/2,SQRT(LN(1+Supuestos!$E$6^2/Supuestos!$D$6^2))),Supuestos!$D$6))))))</f>
        <v/>
      </c>
      <c r="K784" s="32">
        <f>MIN(IF(Supuestos!$H$7="",1E+99,Supuestos!$H$7),MAX(IF(Supuestos!$G$7="",-1E+99,Supuestos!$G$7),IF(Supuestos!$C$7="Normal",NORMINV(D784,Supuestos!$D$7,Supuestos!$E$7),IF(Supuestos!$C$7="Triangular",IF(D784&lt;(Supuestos!$E$7-Supuestos!$D$7)/(Supuestos!$F$7-Supuestos!$D$7),Supuestos!$D$7+SQRT(D784*(Supuestos!$F$7-Supuestos!$D$7)*(Supuestos!$E$7-Supuestos!$D$7)),Supuestos!$F$7-SQRT((1-D784)*(Supuestos!$F$7-Supuestos!$D$7)*(Supuestos!$F$7-Supuestos!$E$7))),IF(Supuestos!$C$7="Uniforme",Supuestos!$D$7+D784*(Supuestos!$E$7-Supuestos!$D$7),IF(Supuestos!$C$7="Lognormal",LOGINV(D784,LN(Supuestos!$D$7)-LN(1+Supuestos!$E$7^2/Supuestos!$D$7^2)/2,SQRT(LN(1+Supuestos!$E$7^2/Supuestos!$D$7^2))),Supuestos!$D$7))))))</f>
        <v/>
      </c>
      <c r="L784" s="32">
        <f>MIN(IF(Supuestos!$H$8="",1E+99,Supuestos!$H$8),MAX(IF(Supuestos!$G$8="",-1E+99,Supuestos!$G$8),IF(Supuestos!$C$8="Normal",NORMINV(E784,Supuestos!$D$8,Supuestos!$E$8),IF(Supuestos!$C$8="Triangular",IF(E784&lt;(Supuestos!$E$8-Supuestos!$D$8)/(Supuestos!$F$8-Supuestos!$D$8),Supuestos!$D$8+SQRT(E784*(Supuestos!$F$8-Supuestos!$D$8)*(Supuestos!$E$8-Supuestos!$D$8)),Supuestos!$F$8-SQRT((1-E784)*(Supuestos!$F$8-Supuestos!$D$8)*(Supuestos!$F$8-Supuestos!$E$8))),IF(Supuestos!$C$8="Uniforme",Supuestos!$D$8+E784*(Supuestos!$E$8-Supuestos!$D$8),IF(Supuestos!$C$8="Lognormal",LOGINV(E784,LN(Supuestos!$D$8)-LN(1+Supuestos!$E$8^2/Supuestos!$D$8^2)/2,SQRT(LN(1+Supuestos!$E$8^2/Supuestos!$D$8^2))),Supuestos!$D$8))))))</f>
        <v/>
      </c>
      <c r="M784" s="32">
        <f>MIN(IF(Supuestos!$H$9="",1E+99,Supuestos!$H$9),MAX(IF(Supuestos!$G$9="",-1E+99,Supuestos!$G$9),IF(Supuestos!$C$9="Normal",NORMINV(F784,Supuestos!$D$9,Supuestos!$E$9),IF(Supuestos!$C$9="Triangular",IF(F784&lt;(Supuestos!$E$9-Supuestos!$D$9)/(Supuestos!$F$9-Supuestos!$D$9),Supuestos!$D$9+SQRT(F784*(Supuestos!$F$9-Supuestos!$D$9)*(Supuestos!$E$9-Supuestos!$D$9)),Supuestos!$F$9-SQRT((1-F784)*(Supuestos!$F$9-Supuestos!$D$9)*(Supuestos!$F$9-Supuestos!$E$9))),IF(Supuestos!$C$9="Uniforme",Supuestos!$D$9+F784*(Supuestos!$E$9-Supuestos!$D$9),IF(Supuestos!$C$9="Lognormal",LOGINV(F784,LN(Supuestos!$D$9)-LN(1+Supuestos!$E$9^2/Supuestos!$D$9^2)/2,SQRT(LN(1+Supuestos!$E$9^2/Supuestos!$D$9^2))),Supuestos!$D$9))))))</f>
        <v/>
      </c>
      <c r="N784" s="32">
        <f>MIN(IF(Supuestos!$H$10="",1E+99,Supuestos!$H$10),MAX(IF(Supuestos!$G$10="",-1E+99,Supuestos!$G$10),IF(Supuestos!$C$10="Normal",NORMINV(G784,Supuestos!$D$10,Supuestos!$E$10),IF(Supuestos!$C$10="Triangular",IF(G784&lt;(Supuestos!$E$10-Supuestos!$D$10)/(Supuestos!$F$10-Supuestos!$D$10),Supuestos!$D$10+SQRT(G784*(Supuestos!$F$10-Supuestos!$D$10)*(Supuestos!$E$10-Supuestos!$D$10)),Supuestos!$F$10-SQRT((1-G784)*(Supuestos!$F$10-Supuestos!$D$10)*(Supuestos!$F$10-Supuestos!$E$10))),IF(Supuestos!$C$10="Uniforme",Supuestos!$D$10+G784*(Supuestos!$E$10-Supuestos!$D$10),IF(Supuestos!$C$10="Lognormal",LOGINV(G784,LN(Supuestos!$D$10)-LN(1+Supuestos!$E$10^2/Supuestos!$D$10^2)/2,SQRT(LN(1+Supuestos!$E$10^2/Supuestos!$D$10^2))),Supuestos!$D$10))))))</f>
        <v/>
      </c>
      <c r="O784" s="31">
        <f>MIN(IF(Supuestos!$H$11="",1E+99,Supuestos!$H$11),MAX(IF(Supuestos!$G$11="",-1E+99,Supuestos!$G$11),IF(Supuestos!$C$11="Normal",NORMINV(H784,Supuestos!$D$11,Supuestos!$E$11),IF(Supuestos!$C$11="Triangular",IF(H784&lt;(Supuestos!$E$11-Supuestos!$D$11)/(Supuestos!$F$11-Supuestos!$D$11),Supuestos!$D$11+SQRT(H784*(Supuestos!$F$11-Supuestos!$D$11)*(Supuestos!$E$11-Supuestos!$D$11)),Supuestos!$F$11-SQRT((1-H784)*(Supuestos!$F$11-Supuestos!$D$11)*(Supuestos!$F$11-Supuestos!$E$11))),IF(Supuestos!$C$11="Uniforme",Supuestos!$D$11+H784*(Supuestos!$E$11-Supuestos!$D$11),IF(Supuestos!$C$11="Lognormal",LOGINV(H784,LN(Supuestos!$D$11)-LN(1+Supuestos!$E$11^2/Supuestos!$D$11^2)/2,SQRT(LN(1+Supuestos!$E$11^2/Supuestos!$D$11^2))),Supuestos!$D$11))))))</f>
        <v/>
      </c>
      <c r="P784" s="33">
        <f>-I784</f>
        <v/>
      </c>
      <c r="Q784" s="33">
        <f>$J784*(1+$K784)^(1-1)*(1-$L784)*(1-$M784)</f>
        <v/>
      </c>
      <c r="R784" s="33">
        <f>$J784*(1+$K784)^(2-1)*(1-$L784)*(1-$M784)</f>
        <v/>
      </c>
      <c r="S784" s="33">
        <f>$J784*(1+$K784)^(3-1)*(1-$L784)*(1-$M784)</f>
        <v/>
      </c>
      <c r="T784" s="33">
        <f>$J784*(1+$K784)^(4-1)*(1-$L784)*(1-$M784)</f>
        <v/>
      </c>
      <c r="U784" s="33">
        <f>$J784*(1+$K784)^(5-1)*(1-$L784)*(1-$M784)+$O784</f>
        <v/>
      </c>
      <c r="V784" s="33">
        <f>P784+NPV($N784,Q784:U784)</f>
        <v/>
      </c>
      <c r="W784" s="32">
        <f>IFERROR(IRR(P784:U784,0.1),"")</f>
        <v/>
      </c>
    </row>
    <row r="785">
      <c r="A785" s="14" t="n">
        <v>781</v>
      </c>
      <c r="B785" s="30">
        <f>RAND()*(1-2E-6)+1E-6</f>
        <v/>
      </c>
      <c r="C785" s="30">
        <f>RAND()*(1-2E-6)+1E-6</f>
        <v/>
      </c>
      <c r="D785" s="30">
        <f>RAND()*(1-2E-6)+1E-6</f>
        <v/>
      </c>
      <c r="E785" s="30">
        <f>RAND()*(1-2E-6)+1E-6</f>
        <v/>
      </c>
      <c r="F785" s="30">
        <f>RAND()*(1-2E-6)+1E-6</f>
        <v/>
      </c>
      <c r="G785" s="30">
        <f>RAND()*(1-2E-6)+1E-6</f>
        <v/>
      </c>
      <c r="H785" s="30">
        <f>RAND()*(1-2E-6)+1E-6</f>
        <v/>
      </c>
      <c r="I785" s="31">
        <f>MIN(IF(Supuestos!$H$5="",1E+99,Supuestos!$H$5),MAX(IF(Supuestos!$G$5="",-1E+99,Supuestos!$G$5),IF(Supuestos!$C$5="Normal",NORMINV(B785,Supuestos!$D$5,Supuestos!$E$5),IF(Supuestos!$C$5="Triangular",IF(B785&lt;(Supuestos!$E$5-Supuestos!$D$5)/(Supuestos!$F$5-Supuestos!$D$5),Supuestos!$D$5+SQRT(B785*(Supuestos!$F$5-Supuestos!$D$5)*(Supuestos!$E$5-Supuestos!$D$5)),Supuestos!$F$5-SQRT((1-B785)*(Supuestos!$F$5-Supuestos!$D$5)*(Supuestos!$F$5-Supuestos!$E$5))),IF(Supuestos!$C$5="Uniforme",Supuestos!$D$5+B785*(Supuestos!$E$5-Supuestos!$D$5),IF(Supuestos!$C$5="Lognormal",LOGINV(B785,LN(Supuestos!$D$5)-LN(1+Supuestos!$E$5^2/Supuestos!$D$5^2)/2,SQRT(LN(1+Supuestos!$E$5^2/Supuestos!$D$5^2))),Supuestos!$D$5))))))</f>
        <v/>
      </c>
      <c r="J785" s="31">
        <f>MIN(IF(Supuestos!$H$6="",1E+99,Supuestos!$H$6),MAX(IF(Supuestos!$G$6="",-1E+99,Supuestos!$G$6),IF(Supuestos!$C$6="Normal",NORMINV(C785,Supuestos!$D$6,Supuestos!$E$6),IF(Supuestos!$C$6="Triangular",IF(C785&lt;(Supuestos!$E$6-Supuestos!$D$6)/(Supuestos!$F$6-Supuestos!$D$6),Supuestos!$D$6+SQRT(C785*(Supuestos!$F$6-Supuestos!$D$6)*(Supuestos!$E$6-Supuestos!$D$6)),Supuestos!$F$6-SQRT((1-C785)*(Supuestos!$F$6-Supuestos!$D$6)*(Supuestos!$F$6-Supuestos!$E$6))),IF(Supuestos!$C$6="Uniforme",Supuestos!$D$6+C785*(Supuestos!$E$6-Supuestos!$D$6),IF(Supuestos!$C$6="Lognormal",LOGINV(C785,LN(Supuestos!$D$6)-LN(1+Supuestos!$E$6^2/Supuestos!$D$6^2)/2,SQRT(LN(1+Supuestos!$E$6^2/Supuestos!$D$6^2))),Supuestos!$D$6))))))</f>
        <v/>
      </c>
      <c r="K785" s="32">
        <f>MIN(IF(Supuestos!$H$7="",1E+99,Supuestos!$H$7),MAX(IF(Supuestos!$G$7="",-1E+99,Supuestos!$G$7),IF(Supuestos!$C$7="Normal",NORMINV(D785,Supuestos!$D$7,Supuestos!$E$7),IF(Supuestos!$C$7="Triangular",IF(D785&lt;(Supuestos!$E$7-Supuestos!$D$7)/(Supuestos!$F$7-Supuestos!$D$7),Supuestos!$D$7+SQRT(D785*(Supuestos!$F$7-Supuestos!$D$7)*(Supuestos!$E$7-Supuestos!$D$7)),Supuestos!$F$7-SQRT((1-D785)*(Supuestos!$F$7-Supuestos!$D$7)*(Supuestos!$F$7-Supuestos!$E$7))),IF(Supuestos!$C$7="Uniforme",Supuestos!$D$7+D785*(Supuestos!$E$7-Supuestos!$D$7),IF(Supuestos!$C$7="Lognormal",LOGINV(D785,LN(Supuestos!$D$7)-LN(1+Supuestos!$E$7^2/Supuestos!$D$7^2)/2,SQRT(LN(1+Supuestos!$E$7^2/Supuestos!$D$7^2))),Supuestos!$D$7))))))</f>
        <v/>
      </c>
      <c r="L785" s="32">
        <f>MIN(IF(Supuestos!$H$8="",1E+99,Supuestos!$H$8),MAX(IF(Supuestos!$G$8="",-1E+99,Supuestos!$G$8),IF(Supuestos!$C$8="Normal",NORMINV(E785,Supuestos!$D$8,Supuestos!$E$8),IF(Supuestos!$C$8="Triangular",IF(E785&lt;(Supuestos!$E$8-Supuestos!$D$8)/(Supuestos!$F$8-Supuestos!$D$8),Supuestos!$D$8+SQRT(E785*(Supuestos!$F$8-Supuestos!$D$8)*(Supuestos!$E$8-Supuestos!$D$8)),Supuestos!$F$8-SQRT((1-E785)*(Supuestos!$F$8-Supuestos!$D$8)*(Supuestos!$F$8-Supuestos!$E$8))),IF(Supuestos!$C$8="Uniforme",Supuestos!$D$8+E785*(Supuestos!$E$8-Supuestos!$D$8),IF(Supuestos!$C$8="Lognormal",LOGINV(E785,LN(Supuestos!$D$8)-LN(1+Supuestos!$E$8^2/Supuestos!$D$8^2)/2,SQRT(LN(1+Supuestos!$E$8^2/Supuestos!$D$8^2))),Supuestos!$D$8))))))</f>
        <v/>
      </c>
      <c r="M785" s="32">
        <f>MIN(IF(Supuestos!$H$9="",1E+99,Supuestos!$H$9),MAX(IF(Supuestos!$G$9="",-1E+99,Supuestos!$G$9),IF(Supuestos!$C$9="Normal",NORMINV(F785,Supuestos!$D$9,Supuestos!$E$9),IF(Supuestos!$C$9="Triangular",IF(F785&lt;(Supuestos!$E$9-Supuestos!$D$9)/(Supuestos!$F$9-Supuestos!$D$9),Supuestos!$D$9+SQRT(F785*(Supuestos!$F$9-Supuestos!$D$9)*(Supuestos!$E$9-Supuestos!$D$9)),Supuestos!$F$9-SQRT((1-F785)*(Supuestos!$F$9-Supuestos!$D$9)*(Supuestos!$F$9-Supuestos!$E$9))),IF(Supuestos!$C$9="Uniforme",Supuestos!$D$9+F785*(Supuestos!$E$9-Supuestos!$D$9),IF(Supuestos!$C$9="Lognormal",LOGINV(F785,LN(Supuestos!$D$9)-LN(1+Supuestos!$E$9^2/Supuestos!$D$9^2)/2,SQRT(LN(1+Supuestos!$E$9^2/Supuestos!$D$9^2))),Supuestos!$D$9))))))</f>
        <v/>
      </c>
      <c r="N785" s="32">
        <f>MIN(IF(Supuestos!$H$10="",1E+99,Supuestos!$H$10),MAX(IF(Supuestos!$G$10="",-1E+99,Supuestos!$G$10),IF(Supuestos!$C$10="Normal",NORMINV(G785,Supuestos!$D$10,Supuestos!$E$10),IF(Supuestos!$C$10="Triangular",IF(G785&lt;(Supuestos!$E$10-Supuestos!$D$10)/(Supuestos!$F$10-Supuestos!$D$10),Supuestos!$D$10+SQRT(G785*(Supuestos!$F$10-Supuestos!$D$10)*(Supuestos!$E$10-Supuestos!$D$10)),Supuestos!$F$10-SQRT((1-G785)*(Supuestos!$F$10-Supuestos!$D$10)*(Supuestos!$F$10-Supuestos!$E$10))),IF(Supuestos!$C$10="Uniforme",Supuestos!$D$10+G785*(Supuestos!$E$10-Supuestos!$D$10),IF(Supuestos!$C$10="Lognormal",LOGINV(G785,LN(Supuestos!$D$10)-LN(1+Supuestos!$E$10^2/Supuestos!$D$10^2)/2,SQRT(LN(1+Supuestos!$E$10^2/Supuestos!$D$10^2))),Supuestos!$D$10))))))</f>
        <v/>
      </c>
      <c r="O785" s="31">
        <f>MIN(IF(Supuestos!$H$11="",1E+99,Supuestos!$H$11),MAX(IF(Supuestos!$G$11="",-1E+99,Supuestos!$G$11),IF(Supuestos!$C$11="Normal",NORMINV(H785,Supuestos!$D$11,Supuestos!$E$11),IF(Supuestos!$C$11="Triangular",IF(H785&lt;(Supuestos!$E$11-Supuestos!$D$11)/(Supuestos!$F$11-Supuestos!$D$11),Supuestos!$D$11+SQRT(H785*(Supuestos!$F$11-Supuestos!$D$11)*(Supuestos!$E$11-Supuestos!$D$11)),Supuestos!$F$11-SQRT((1-H785)*(Supuestos!$F$11-Supuestos!$D$11)*(Supuestos!$F$11-Supuestos!$E$11))),IF(Supuestos!$C$11="Uniforme",Supuestos!$D$11+H785*(Supuestos!$E$11-Supuestos!$D$11),IF(Supuestos!$C$11="Lognormal",LOGINV(H785,LN(Supuestos!$D$11)-LN(1+Supuestos!$E$11^2/Supuestos!$D$11^2)/2,SQRT(LN(1+Supuestos!$E$11^2/Supuestos!$D$11^2))),Supuestos!$D$11))))))</f>
        <v/>
      </c>
      <c r="P785" s="33">
        <f>-I785</f>
        <v/>
      </c>
      <c r="Q785" s="33">
        <f>$J785*(1+$K785)^(1-1)*(1-$L785)*(1-$M785)</f>
        <v/>
      </c>
      <c r="R785" s="33">
        <f>$J785*(1+$K785)^(2-1)*(1-$L785)*(1-$M785)</f>
        <v/>
      </c>
      <c r="S785" s="33">
        <f>$J785*(1+$K785)^(3-1)*(1-$L785)*(1-$M785)</f>
        <v/>
      </c>
      <c r="T785" s="33">
        <f>$J785*(1+$K785)^(4-1)*(1-$L785)*(1-$M785)</f>
        <v/>
      </c>
      <c r="U785" s="33">
        <f>$J785*(1+$K785)^(5-1)*(1-$L785)*(1-$M785)+$O785</f>
        <v/>
      </c>
      <c r="V785" s="33">
        <f>P785+NPV($N785,Q785:U785)</f>
        <v/>
      </c>
      <c r="W785" s="32">
        <f>IFERROR(IRR(P785:U785,0.1),"")</f>
        <v/>
      </c>
    </row>
    <row r="786">
      <c r="A786" s="14" t="n">
        <v>782</v>
      </c>
      <c r="B786" s="30">
        <f>RAND()*(1-2E-6)+1E-6</f>
        <v/>
      </c>
      <c r="C786" s="30">
        <f>RAND()*(1-2E-6)+1E-6</f>
        <v/>
      </c>
      <c r="D786" s="30">
        <f>RAND()*(1-2E-6)+1E-6</f>
        <v/>
      </c>
      <c r="E786" s="30">
        <f>RAND()*(1-2E-6)+1E-6</f>
        <v/>
      </c>
      <c r="F786" s="30">
        <f>RAND()*(1-2E-6)+1E-6</f>
        <v/>
      </c>
      <c r="G786" s="30">
        <f>RAND()*(1-2E-6)+1E-6</f>
        <v/>
      </c>
      <c r="H786" s="30">
        <f>RAND()*(1-2E-6)+1E-6</f>
        <v/>
      </c>
      <c r="I786" s="31">
        <f>MIN(IF(Supuestos!$H$5="",1E+99,Supuestos!$H$5),MAX(IF(Supuestos!$G$5="",-1E+99,Supuestos!$G$5),IF(Supuestos!$C$5="Normal",NORMINV(B786,Supuestos!$D$5,Supuestos!$E$5),IF(Supuestos!$C$5="Triangular",IF(B786&lt;(Supuestos!$E$5-Supuestos!$D$5)/(Supuestos!$F$5-Supuestos!$D$5),Supuestos!$D$5+SQRT(B786*(Supuestos!$F$5-Supuestos!$D$5)*(Supuestos!$E$5-Supuestos!$D$5)),Supuestos!$F$5-SQRT((1-B786)*(Supuestos!$F$5-Supuestos!$D$5)*(Supuestos!$F$5-Supuestos!$E$5))),IF(Supuestos!$C$5="Uniforme",Supuestos!$D$5+B786*(Supuestos!$E$5-Supuestos!$D$5),IF(Supuestos!$C$5="Lognormal",LOGINV(B786,LN(Supuestos!$D$5)-LN(1+Supuestos!$E$5^2/Supuestos!$D$5^2)/2,SQRT(LN(1+Supuestos!$E$5^2/Supuestos!$D$5^2))),Supuestos!$D$5))))))</f>
        <v/>
      </c>
      <c r="J786" s="31">
        <f>MIN(IF(Supuestos!$H$6="",1E+99,Supuestos!$H$6),MAX(IF(Supuestos!$G$6="",-1E+99,Supuestos!$G$6),IF(Supuestos!$C$6="Normal",NORMINV(C786,Supuestos!$D$6,Supuestos!$E$6),IF(Supuestos!$C$6="Triangular",IF(C786&lt;(Supuestos!$E$6-Supuestos!$D$6)/(Supuestos!$F$6-Supuestos!$D$6),Supuestos!$D$6+SQRT(C786*(Supuestos!$F$6-Supuestos!$D$6)*(Supuestos!$E$6-Supuestos!$D$6)),Supuestos!$F$6-SQRT((1-C786)*(Supuestos!$F$6-Supuestos!$D$6)*(Supuestos!$F$6-Supuestos!$E$6))),IF(Supuestos!$C$6="Uniforme",Supuestos!$D$6+C786*(Supuestos!$E$6-Supuestos!$D$6),IF(Supuestos!$C$6="Lognormal",LOGINV(C786,LN(Supuestos!$D$6)-LN(1+Supuestos!$E$6^2/Supuestos!$D$6^2)/2,SQRT(LN(1+Supuestos!$E$6^2/Supuestos!$D$6^2))),Supuestos!$D$6))))))</f>
        <v/>
      </c>
      <c r="K786" s="32">
        <f>MIN(IF(Supuestos!$H$7="",1E+99,Supuestos!$H$7),MAX(IF(Supuestos!$G$7="",-1E+99,Supuestos!$G$7),IF(Supuestos!$C$7="Normal",NORMINV(D786,Supuestos!$D$7,Supuestos!$E$7),IF(Supuestos!$C$7="Triangular",IF(D786&lt;(Supuestos!$E$7-Supuestos!$D$7)/(Supuestos!$F$7-Supuestos!$D$7),Supuestos!$D$7+SQRT(D786*(Supuestos!$F$7-Supuestos!$D$7)*(Supuestos!$E$7-Supuestos!$D$7)),Supuestos!$F$7-SQRT((1-D786)*(Supuestos!$F$7-Supuestos!$D$7)*(Supuestos!$F$7-Supuestos!$E$7))),IF(Supuestos!$C$7="Uniforme",Supuestos!$D$7+D786*(Supuestos!$E$7-Supuestos!$D$7),IF(Supuestos!$C$7="Lognormal",LOGINV(D786,LN(Supuestos!$D$7)-LN(1+Supuestos!$E$7^2/Supuestos!$D$7^2)/2,SQRT(LN(1+Supuestos!$E$7^2/Supuestos!$D$7^2))),Supuestos!$D$7))))))</f>
        <v/>
      </c>
      <c r="L786" s="32">
        <f>MIN(IF(Supuestos!$H$8="",1E+99,Supuestos!$H$8),MAX(IF(Supuestos!$G$8="",-1E+99,Supuestos!$G$8),IF(Supuestos!$C$8="Normal",NORMINV(E786,Supuestos!$D$8,Supuestos!$E$8),IF(Supuestos!$C$8="Triangular",IF(E786&lt;(Supuestos!$E$8-Supuestos!$D$8)/(Supuestos!$F$8-Supuestos!$D$8),Supuestos!$D$8+SQRT(E786*(Supuestos!$F$8-Supuestos!$D$8)*(Supuestos!$E$8-Supuestos!$D$8)),Supuestos!$F$8-SQRT((1-E786)*(Supuestos!$F$8-Supuestos!$D$8)*(Supuestos!$F$8-Supuestos!$E$8))),IF(Supuestos!$C$8="Uniforme",Supuestos!$D$8+E786*(Supuestos!$E$8-Supuestos!$D$8),IF(Supuestos!$C$8="Lognormal",LOGINV(E786,LN(Supuestos!$D$8)-LN(1+Supuestos!$E$8^2/Supuestos!$D$8^2)/2,SQRT(LN(1+Supuestos!$E$8^2/Supuestos!$D$8^2))),Supuestos!$D$8))))))</f>
        <v/>
      </c>
      <c r="M786" s="32">
        <f>MIN(IF(Supuestos!$H$9="",1E+99,Supuestos!$H$9),MAX(IF(Supuestos!$G$9="",-1E+99,Supuestos!$G$9),IF(Supuestos!$C$9="Normal",NORMINV(F786,Supuestos!$D$9,Supuestos!$E$9),IF(Supuestos!$C$9="Triangular",IF(F786&lt;(Supuestos!$E$9-Supuestos!$D$9)/(Supuestos!$F$9-Supuestos!$D$9),Supuestos!$D$9+SQRT(F786*(Supuestos!$F$9-Supuestos!$D$9)*(Supuestos!$E$9-Supuestos!$D$9)),Supuestos!$F$9-SQRT((1-F786)*(Supuestos!$F$9-Supuestos!$D$9)*(Supuestos!$F$9-Supuestos!$E$9))),IF(Supuestos!$C$9="Uniforme",Supuestos!$D$9+F786*(Supuestos!$E$9-Supuestos!$D$9),IF(Supuestos!$C$9="Lognormal",LOGINV(F786,LN(Supuestos!$D$9)-LN(1+Supuestos!$E$9^2/Supuestos!$D$9^2)/2,SQRT(LN(1+Supuestos!$E$9^2/Supuestos!$D$9^2))),Supuestos!$D$9))))))</f>
        <v/>
      </c>
      <c r="N786" s="32">
        <f>MIN(IF(Supuestos!$H$10="",1E+99,Supuestos!$H$10),MAX(IF(Supuestos!$G$10="",-1E+99,Supuestos!$G$10),IF(Supuestos!$C$10="Normal",NORMINV(G786,Supuestos!$D$10,Supuestos!$E$10),IF(Supuestos!$C$10="Triangular",IF(G786&lt;(Supuestos!$E$10-Supuestos!$D$10)/(Supuestos!$F$10-Supuestos!$D$10),Supuestos!$D$10+SQRT(G786*(Supuestos!$F$10-Supuestos!$D$10)*(Supuestos!$E$10-Supuestos!$D$10)),Supuestos!$F$10-SQRT((1-G786)*(Supuestos!$F$10-Supuestos!$D$10)*(Supuestos!$F$10-Supuestos!$E$10))),IF(Supuestos!$C$10="Uniforme",Supuestos!$D$10+G786*(Supuestos!$E$10-Supuestos!$D$10),IF(Supuestos!$C$10="Lognormal",LOGINV(G786,LN(Supuestos!$D$10)-LN(1+Supuestos!$E$10^2/Supuestos!$D$10^2)/2,SQRT(LN(1+Supuestos!$E$10^2/Supuestos!$D$10^2))),Supuestos!$D$10))))))</f>
        <v/>
      </c>
      <c r="O786" s="31">
        <f>MIN(IF(Supuestos!$H$11="",1E+99,Supuestos!$H$11),MAX(IF(Supuestos!$G$11="",-1E+99,Supuestos!$G$11),IF(Supuestos!$C$11="Normal",NORMINV(H786,Supuestos!$D$11,Supuestos!$E$11),IF(Supuestos!$C$11="Triangular",IF(H786&lt;(Supuestos!$E$11-Supuestos!$D$11)/(Supuestos!$F$11-Supuestos!$D$11),Supuestos!$D$11+SQRT(H786*(Supuestos!$F$11-Supuestos!$D$11)*(Supuestos!$E$11-Supuestos!$D$11)),Supuestos!$F$11-SQRT((1-H786)*(Supuestos!$F$11-Supuestos!$D$11)*(Supuestos!$F$11-Supuestos!$E$11))),IF(Supuestos!$C$11="Uniforme",Supuestos!$D$11+H786*(Supuestos!$E$11-Supuestos!$D$11),IF(Supuestos!$C$11="Lognormal",LOGINV(H786,LN(Supuestos!$D$11)-LN(1+Supuestos!$E$11^2/Supuestos!$D$11^2)/2,SQRT(LN(1+Supuestos!$E$11^2/Supuestos!$D$11^2))),Supuestos!$D$11))))))</f>
        <v/>
      </c>
      <c r="P786" s="33">
        <f>-I786</f>
        <v/>
      </c>
      <c r="Q786" s="33">
        <f>$J786*(1+$K786)^(1-1)*(1-$L786)*(1-$M786)</f>
        <v/>
      </c>
      <c r="R786" s="33">
        <f>$J786*(1+$K786)^(2-1)*(1-$L786)*(1-$M786)</f>
        <v/>
      </c>
      <c r="S786" s="33">
        <f>$J786*(1+$K786)^(3-1)*(1-$L786)*(1-$M786)</f>
        <v/>
      </c>
      <c r="T786" s="33">
        <f>$J786*(1+$K786)^(4-1)*(1-$L786)*(1-$M786)</f>
        <v/>
      </c>
      <c r="U786" s="33">
        <f>$J786*(1+$K786)^(5-1)*(1-$L786)*(1-$M786)+$O786</f>
        <v/>
      </c>
      <c r="V786" s="33">
        <f>P786+NPV($N786,Q786:U786)</f>
        <v/>
      </c>
      <c r="W786" s="32">
        <f>IFERROR(IRR(P786:U786,0.1),"")</f>
        <v/>
      </c>
    </row>
    <row r="787">
      <c r="A787" s="14" t="n">
        <v>783</v>
      </c>
      <c r="B787" s="30">
        <f>RAND()*(1-2E-6)+1E-6</f>
        <v/>
      </c>
      <c r="C787" s="30">
        <f>RAND()*(1-2E-6)+1E-6</f>
        <v/>
      </c>
      <c r="D787" s="30">
        <f>RAND()*(1-2E-6)+1E-6</f>
        <v/>
      </c>
      <c r="E787" s="30">
        <f>RAND()*(1-2E-6)+1E-6</f>
        <v/>
      </c>
      <c r="F787" s="30">
        <f>RAND()*(1-2E-6)+1E-6</f>
        <v/>
      </c>
      <c r="G787" s="30">
        <f>RAND()*(1-2E-6)+1E-6</f>
        <v/>
      </c>
      <c r="H787" s="30">
        <f>RAND()*(1-2E-6)+1E-6</f>
        <v/>
      </c>
      <c r="I787" s="31">
        <f>MIN(IF(Supuestos!$H$5="",1E+99,Supuestos!$H$5),MAX(IF(Supuestos!$G$5="",-1E+99,Supuestos!$G$5),IF(Supuestos!$C$5="Normal",NORMINV(B787,Supuestos!$D$5,Supuestos!$E$5),IF(Supuestos!$C$5="Triangular",IF(B787&lt;(Supuestos!$E$5-Supuestos!$D$5)/(Supuestos!$F$5-Supuestos!$D$5),Supuestos!$D$5+SQRT(B787*(Supuestos!$F$5-Supuestos!$D$5)*(Supuestos!$E$5-Supuestos!$D$5)),Supuestos!$F$5-SQRT((1-B787)*(Supuestos!$F$5-Supuestos!$D$5)*(Supuestos!$F$5-Supuestos!$E$5))),IF(Supuestos!$C$5="Uniforme",Supuestos!$D$5+B787*(Supuestos!$E$5-Supuestos!$D$5),IF(Supuestos!$C$5="Lognormal",LOGINV(B787,LN(Supuestos!$D$5)-LN(1+Supuestos!$E$5^2/Supuestos!$D$5^2)/2,SQRT(LN(1+Supuestos!$E$5^2/Supuestos!$D$5^2))),Supuestos!$D$5))))))</f>
        <v/>
      </c>
      <c r="J787" s="31">
        <f>MIN(IF(Supuestos!$H$6="",1E+99,Supuestos!$H$6),MAX(IF(Supuestos!$G$6="",-1E+99,Supuestos!$G$6),IF(Supuestos!$C$6="Normal",NORMINV(C787,Supuestos!$D$6,Supuestos!$E$6),IF(Supuestos!$C$6="Triangular",IF(C787&lt;(Supuestos!$E$6-Supuestos!$D$6)/(Supuestos!$F$6-Supuestos!$D$6),Supuestos!$D$6+SQRT(C787*(Supuestos!$F$6-Supuestos!$D$6)*(Supuestos!$E$6-Supuestos!$D$6)),Supuestos!$F$6-SQRT((1-C787)*(Supuestos!$F$6-Supuestos!$D$6)*(Supuestos!$F$6-Supuestos!$E$6))),IF(Supuestos!$C$6="Uniforme",Supuestos!$D$6+C787*(Supuestos!$E$6-Supuestos!$D$6),IF(Supuestos!$C$6="Lognormal",LOGINV(C787,LN(Supuestos!$D$6)-LN(1+Supuestos!$E$6^2/Supuestos!$D$6^2)/2,SQRT(LN(1+Supuestos!$E$6^2/Supuestos!$D$6^2))),Supuestos!$D$6))))))</f>
        <v/>
      </c>
      <c r="K787" s="32">
        <f>MIN(IF(Supuestos!$H$7="",1E+99,Supuestos!$H$7),MAX(IF(Supuestos!$G$7="",-1E+99,Supuestos!$G$7),IF(Supuestos!$C$7="Normal",NORMINV(D787,Supuestos!$D$7,Supuestos!$E$7),IF(Supuestos!$C$7="Triangular",IF(D787&lt;(Supuestos!$E$7-Supuestos!$D$7)/(Supuestos!$F$7-Supuestos!$D$7),Supuestos!$D$7+SQRT(D787*(Supuestos!$F$7-Supuestos!$D$7)*(Supuestos!$E$7-Supuestos!$D$7)),Supuestos!$F$7-SQRT((1-D787)*(Supuestos!$F$7-Supuestos!$D$7)*(Supuestos!$F$7-Supuestos!$E$7))),IF(Supuestos!$C$7="Uniforme",Supuestos!$D$7+D787*(Supuestos!$E$7-Supuestos!$D$7),IF(Supuestos!$C$7="Lognormal",LOGINV(D787,LN(Supuestos!$D$7)-LN(1+Supuestos!$E$7^2/Supuestos!$D$7^2)/2,SQRT(LN(1+Supuestos!$E$7^2/Supuestos!$D$7^2))),Supuestos!$D$7))))))</f>
        <v/>
      </c>
      <c r="L787" s="32">
        <f>MIN(IF(Supuestos!$H$8="",1E+99,Supuestos!$H$8),MAX(IF(Supuestos!$G$8="",-1E+99,Supuestos!$G$8),IF(Supuestos!$C$8="Normal",NORMINV(E787,Supuestos!$D$8,Supuestos!$E$8),IF(Supuestos!$C$8="Triangular",IF(E787&lt;(Supuestos!$E$8-Supuestos!$D$8)/(Supuestos!$F$8-Supuestos!$D$8),Supuestos!$D$8+SQRT(E787*(Supuestos!$F$8-Supuestos!$D$8)*(Supuestos!$E$8-Supuestos!$D$8)),Supuestos!$F$8-SQRT((1-E787)*(Supuestos!$F$8-Supuestos!$D$8)*(Supuestos!$F$8-Supuestos!$E$8))),IF(Supuestos!$C$8="Uniforme",Supuestos!$D$8+E787*(Supuestos!$E$8-Supuestos!$D$8),IF(Supuestos!$C$8="Lognormal",LOGINV(E787,LN(Supuestos!$D$8)-LN(1+Supuestos!$E$8^2/Supuestos!$D$8^2)/2,SQRT(LN(1+Supuestos!$E$8^2/Supuestos!$D$8^2))),Supuestos!$D$8))))))</f>
        <v/>
      </c>
      <c r="M787" s="32">
        <f>MIN(IF(Supuestos!$H$9="",1E+99,Supuestos!$H$9),MAX(IF(Supuestos!$G$9="",-1E+99,Supuestos!$G$9),IF(Supuestos!$C$9="Normal",NORMINV(F787,Supuestos!$D$9,Supuestos!$E$9),IF(Supuestos!$C$9="Triangular",IF(F787&lt;(Supuestos!$E$9-Supuestos!$D$9)/(Supuestos!$F$9-Supuestos!$D$9),Supuestos!$D$9+SQRT(F787*(Supuestos!$F$9-Supuestos!$D$9)*(Supuestos!$E$9-Supuestos!$D$9)),Supuestos!$F$9-SQRT((1-F787)*(Supuestos!$F$9-Supuestos!$D$9)*(Supuestos!$F$9-Supuestos!$E$9))),IF(Supuestos!$C$9="Uniforme",Supuestos!$D$9+F787*(Supuestos!$E$9-Supuestos!$D$9),IF(Supuestos!$C$9="Lognormal",LOGINV(F787,LN(Supuestos!$D$9)-LN(1+Supuestos!$E$9^2/Supuestos!$D$9^2)/2,SQRT(LN(1+Supuestos!$E$9^2/Supuestos!$D$9^2))),Supuestos!$D$9))))))</f>
        <v/>
      </c>
      <c r="N787" s="32">
        <f>MIN(IF(Supuestos!$H$10="",1E+99,Supuestos!$H$10),MAX(IF(Supuestos!$G$10="",-1E+99,Supuestos!$G$10),IF(Supuestos!$C$10="Normal",NORMINV(G787,Supuestos!$D$10,Supuestos!$E$10),IF(Supuestos!$C$10="Triangular",IF(G787&lt;(Supuestos!$E$10-Supuestos!$D$10)/(Supuestos!$F$10-Supuestos!$D$10),Supuestos!$D$10+SQRT(G787*(Supuestos!$F$10-Supuestos!$D$10)*(Supuestos!$E$10-Supuestos!$D$10)),Supuestos!$F$10-SQRT((1-G787)*(Supuestos!$F$10-Supuestos!$D$10)*(Supuestos!$F$10-Supuestos!$E$10))),IF(Supuestos!$C$10="Uniforme",Supuestos!$D$10+G787*(Supuestos!$E$10-Supuestos!$D$10),IF(Supuestos!$C$10="Lognormal",LOGINV(G787,LN(Supuestos!$D$10)-LN(1+Supuestos!$E$10^2/Supuestos!$D$10^2)/2,SQRT(LN(1+Supuestos!$E$10^2/Supuestos!$D$10^2))),Supuestos!$D$10))))))</f>
        <v/>
      </c>
      <c r="O787" s="31">
        <f>MIN(IF(Supuestos!$H$11="",1E+99,Supuestos!$H$11),MAX(IF(Supuestos!$G$11="",-1E+99,Supuestos!$G$11),IF(Supuestos!$C$11="Normal",NORMINV(H787,Supuestos!$D$11,Supuestos!$E$11),IF(Supuestos!$C$11="Triangular",IF(H787&lt;(Supuestos!$E$11-Supuestos!$D$11)/(Supuestos!$F$11-Supuestos!$D$11),Supuestos!$D$11+SQRT(H787*(Supuestos!$F$11-Supuestos!$D$11)*(Supuestos!$E$11-Supuestos!$D$11)),Supuestos!$F$11-SQRT((1-H787)*(Supuestos!$F$11-Supuestos!$D$11)*(Supuestos!$F$11-Supuestos!$E$11))),IF(Supuestos!$C$11="Uniforme",Supuestos!$D$11+H787*(Supuestos!$E$11-Supuestos!$D$11),IF(Supuestos!$C$11="Lognormal",LOGINV(H787,LN(Supuestos!$D$11)-LN(1+Supuestos!$E$11^2/Supuestos!$D$11^2)/2,SQRT(LN(1+Supuestos!$E$11^2/Supuestos!$D$11^2))),Supuestos!$D$11))))))</f>
        <v/>
      </c>
      <c r="P787" s="33">
        <f>-I787</f>
        <v/>
      </c>
      <c r="Q787" s="33">
        <f>$J787*(1+$K787)^(1-1)*(1-$L787)*(1-$M787)</f>
        <v/>
      </c>
      <c r="R787" s="33">
        <f>$J787*(1+$K787)^(2-1)*(1-$L787)*(1-$M787)</f>
        <v/>
      </c>
      <c r="S787" s="33">
        <f>$J787*(1+$K787)^(3-1)*(1-$L787)*(1-$M787)</f>
        <v/>
      </c>
      <c r="T787" s="33">
        <f>$J787*(1+$K787)^(4-1)*(1-$L787)*(1-$M787)</f>
        <v/>
      </c>
      <c r="U787" s="33">
        <f>$J787*(1+$K787)^(5-1)*(1-$L787)*(1-$M787)+$O787</f>
        <v/>
      </c>
      <c r="V787" s="33">
        <f>P787+NPV($N787,Q787:U787)</f>
        <v/>
      </c>
      <c r="W787" s="32">
        <f>IFERROR(IRR(P787:U787,0.1),"")</f>
        <v/>
      </c>
    </row>
    <row r="788">
      <c r="A788" s="14" t="n">
        <v>784</v>
      </c>
      <c r="B788" s="30">
        <f>RAND()*(1-2E-6)+1E-6</f>
        <v/>
      </c>
      <c r="C788" s="30">
        <f>RAND()*(1-2E-6)+1E-6</f>
        <v/>
      </c>
      <c r="D788" s="30">
        <f>RAND()*(1-2E-6)+1E-6</f>
        <v/>
      </c>
      <c r="E788" s="30">
        <f>RAND()*(1-2E-6)+1E-6</f>
        <v/>
      </c>
      <c r="F788" s="30">
        <f>RAND()*(1-2E-6)+1E-6</f>
        <v/>
      </c>
      <c r="G788" s="30">
        <f>RAND()*(1-2E-6)+1E-6</f>
        <v/>
      </c>
      <c r="H788" s="30">
        <f>RAND()*(1-2E-6)+1E-6</f>
        <v/>
      </c>
      <c r="I788" s="31">
        <f>MIN(IF(Supuestos!$H$5="",1E+99,Supuestos!$H$5),MAX(IF(Supuestos!$G$5="",-1E+99,Supuestos!$G$5),IF(Supuestos!$C$5="Normal",NORMINV(B788,Supuestos!$D$5,Supuestos!$E$5),IF(Supuestos!$C$5="Triangular",IF(B788&lt;(Supuestos!$E$5-Supuestos!$D$5)/(Supuestos!$F$5-Supuestos!$D$5),Supuestos!$D$5+SQRT(B788*(Supuestos!$F$5-Supuestos!$D$5)*(Supuestos!$E$5-Supuestos!$D$5)),Supuestos!$F$5-SQRT((1-B788)*(Supuestos!$F$5-Supuestos!$D$5)*(Supuestos!$F$5-Supuestos!$E$5))),IF(Supuestos!$C$5="Uniforme",Supuestos!$D$5+B788*(Supuestos!$E$5-Supuestos!$D$5),IF(Supuestos!$C$5="Lognormal",LOGINV(B788,LN(Supuestos!$D$5)-LN(1+Supuestos!$E$5^2/Supuestos!$D$5^2)/2,SQRT(LN(1+Supuestos!$E$5^2/Supuestos!$D$5^2))),Supuestos!$D$5))))))</f>
        <v/>
      </c>
      <c r="J788" s="31">
        <f>MIN(IF(Supuestos!$H$6="",1E+99,Supuestos!$H$6),MAX(IF(Supuestos!$G$6="",-1E+99,Supuestos!$G$6),IF(Supuestos!$C$6="Normal",NORMINV(C788,Supuestos!$D$6,Supuestos!$E$6),IF(Supuestos!$C$6="Triangular",IF(C788&lt;(Supuestos!$E$6-Supuestos!$D$6)/(Supuestos!$F$6-Supuestos!$D$6),Supuestos!$D$6+SQRT(C788*(Supuestos!$F$6-Supuestos!$D$6)*(Supuestos!$E$6-Supuestos!$D$6)),Supuestos!$F$6-SQRT((1-C788)*(Supuestos!$F$6-Supuestos!$D$6)*(Supuestos!$F$6-Supuestos!$E$6))),IF(Supuestos!$C$6="Uniforme",Supuestos!$D$6+C788*(Supuestos!$E$6-Supuestos!$D$6),IF(Supuestos!$C$6="Lognormal",LOGINV(C788,LN(Supuestos!$D$6)-LN(1+Supuestos!$E$6^2/Supuestos!$D$6^2)/2,SQRT(LN(1+Supuestos!$E$6^2/Supuestos!$D$6^2))),Supuestos!$D$6))))))</f>
        <v/>
      </c>
      <c r="K788" s="32">
        <f>MIN(IF(Supuestos!$H$7="",1E+99,Supuestos!$H$7),MAX(IF(Supuestos!$G$7="",-1E+99,Supuestos!$G$7),IF(Supuestos!$C$7="Normal",NORMINV(D788,Supuestos!$D$7,Supuestos!$E$7),IF(Supuestos!$C$7="Triangular",IF(D788&lt;(Supuestos!$E$7-Supuestos!$D$7)/(Supuestos!$F$7-Supuestos!$D$7),Supuestos!$D$7+SQRT(D788*(Supuestos!$F$7-Supuestos!$D$7)*(Supuestos!$E$7-Supuestos!$D$7)),Supuestos!$F$7-SQRT((1-D788)*(Supuestos!$F$7-Supuestos!$D$7)*(Supuestos!$F$7-Supuestos!$E$7))),IF(Supuestos!$C$7="Uniforme",Supuestos!$D$7+D788*(Supuestos!$E$7-Supuestos!$D$7),IF(Supuestos!$C$7="Lognormal",LOGINV(D788,LN(Supuestos!$D$7)-LN(1+Supuestos!$E$7^2/Supuestos!$D$7^2)/2,SQRT(LN(1+Supuestos!$E$7^2/Supuestos!$D$7^2))),Supuestos!$D$7))))))</f>
        <v/>
      </c>
      <c r="L788" s="32">
        <f>MIN(IF(Supuestos!$H$8="",1E+99,Supuestos!$H$8),MAX(IF(Supuestos!$G$8="",-1E+99,Supuestos!$G$8),IF(Supuestos!$C$8="Normal",NORMINV(E788,Supuestos!$D$8,Supuestos!$E$8),IF(Supuestos!$C$8="Triangular",IF(E788&lt;(Supuestos!$E$8-Supuestos!$D$8)/(Supuestos!$F$8-Supuestos!$D$8),Supuestos!$D$8+SQRT(E788*(Supuestos!$F$8-Supuestos!$D$8)*(Supuestos!$E$8-Supuestos!$D$8)),Supuestos!$F$8-SQRT((1-E788)*(Supuestos!$F$8-Supuestos!$D$8)*(Supuestos!$F$8-Supuestos!$E$8))),IF(Supuestos!$C$8="Uniforme",Supuestos!$D$8+E788*(Supuestos!$E$8-Supuestos!$D$8),IF(Supuestos!$C$8="Lognormal",LOGINV(E788,LN(Supuestos!$D$8)-LN(1+Supuestos!$E$8^2/Supuestos!$D$8^2)/2,SQRT(LN(1+Supuestos!$E$8^2/Supuestos!$D$8^2))),Supuestos!$D$8))))))</f>
        <v/>
      </c>
      <c r="M788" s="32">
        <f>MIN(IF(Supuestos!$H$9="",1E+99,Supuestos!$H$9),MAX(IF(Supuestos!$G$9="",-1E+99,Supuestos!$G$9),IF(Supuestos!$C$9="Normal",NORMINV(F788,Supuestos!$D$9,Supuestos!$E$9),IF(Supuestos!$C$9="Triangular",IF(F788&lt;(Supuestos!$E$9-Supuestos!$D$9)/(Supuestos!$F$9-Supuestos!$D$9),Supuestos!$D$9+SQRT(F788*(Supuestos!$F$9-Supuestos!$D$9)*(Supuestos!$E$9-Supuestos!$D$9)),Supuestos!$F$9-SQRT((1-F788)*(Supuestos!$F$9-Supuestos!$D$9)*(Supuestos!$F$9-Supuestos!$E$9))),IF(Supuestos!$C$9="Uniforme",Supuestos!$D$9+F788*(Supuestos!$E$9-Supuestos!$D$9),IF(Supuestos!$C$9="Lognormal",LOGINV(F788,LN(Supuestos!$D$9)-LN(1+Supuestos!$E$9^2/Supuestos!$D$9^2)/2,SQRT(LN(1+Supuestos!$E$9^2/Supuestos!$D$9^2))),Supuestos!$D$9))))))</f>
        <v/>
      </c>
      <c r="N788" s="32">
        <f>MIN(IF(Supuestos!$H$10="",1E+99,Supuestos!$H$10),MAX(IF(Supuestos!$G$10="",-1E+99,Supuestos!$G$10),IF(Supuestos!$C$10="Normal",NORMINV(G788,Supuestos!$D$10,Supuestos!$E$10),IF(Supuestos!$C$10="Triangular",IF(G788&lt;(Supuestos!$E$10-Supuestos!$D$10)/(Supuestos!$F$10-Supuestos!$D$10),Supuestos!$D$10+SQRT(G788*(Supuestos!$F$10-Supuestos!$D$10)*(Supuestos!$E$10-Supuestos!$D$10)),Supuestos!$F$10-SQRT((1-G788)*(Supuestos!$F$10-Supuestos!$D$10)*(Supuestos!$F$10-Supuestos!$E$10))),IF(Supuestos!$C$10="Uniforme",Supuestos!$D$10+G788*(Supuestos!$E$10-Supuestos!$D$10),IF(Supuestos!$C$10="Lognormal",LOGINV(G788,LN(Supuestos!$D$10)-LN(1+Supuestos!$E$10^2/Supuestos!$D$10^2)/2,SQRT(LN(1+Supuestos!$E$10^2/Supuestos!$D$10^2))),Supuestos!$D$10))))))</f>
        <v/>
      </c>
      <c r="O788" s="31">
        <f>MIN(IF(Supuestos!$H$11="",1E+99,Supuestos!$H$11),MAX(IF(Supuestos!$G$11="",-1E+99,Supuestos!$G$11),IF(Supuestos!$C$11="Normal",NORMINV(H788,Supuestos!$D$11,Supuestos!$E$11),IF(Supuestos!$C$11="Triangular",IF(H788&lt;(Supuestos!$E$11-Supuestos!$D$11)/(Supuestos!$F$11-Supuestos!$D$11),Supuestos!$D$11+SQRT(H788*(Supuestos!$F$11-Supuestos!$D$11)*(Supuestos!$E$11-Supuestos!$D$11)),Supuestos!$F$11-SQRT((1-H788)*(Supuestos!$F$11-Supuestos!$D$11)*(Supuestos!$F$11-Supuestos!$E$11))),IF(Supuestos!$C$11="Uniforme",Supuestos!$D$11+H788*(Supuestos!$E$11-Supuestos!$D$11),IF(Supuestos!$C$11="Lognormal",LOGINV(H788,LN(Supuestos!$D$11)-LN(1+Supuestos!$E$11^2/Supuestos!$D$11^2)/2,SQRT(LN(1+Supuestos!$E$11^2/Supuestos!$D$11^2))),Supuestos!$D$11))))))</f>
        <v/>
      </c>
      <c r="P788" s="33">
        <f>-I788</f>
        <v/>
      </c>
      <c r="Q788" s="33">
        <f>$J788*(1+$K788)^(1-1)*(1-$L788)*(1-$M788)</f>
        <v/>
      </c>
      <c r="R788" s="33">
        <f>$J788*(1+$K788)^(2-1)*(1-$L788)*(1-$M788)</f>
        <v/>
      </c>
      <c r="S788" s="33">
        <f>$J788*(1+$K788)^(3-1)*(1-$L788)*(1-$M788)</f>
        <v/>
      </c>
      <c r="T788" s="33">
        <f>$J788*(1+$K788)^(4-1)*(1-$L788)*(1-$M788)</f>
        <v/>
      </c>
      <c r="U788" s="33">
        <f>$J788*(1+$K788)^(5-1)*(1-$L788)*(1-$M788)+$O788</f>
        <v/>
      </c>
      <c r="V788" s="33">
        <f>P788+NPV($N788,Q788:U788)</f>
        <v/>
      </c>
      <c r="W788" s="32">
        <f>IFERROR(IRR(P788:U788,0.1),"")</f>
        <v/>
      </c>
    </row>
    <row r="789">
      <c r="A789" s="14" t="n">
        <v>785</v>
      </c>
      <c r="B789" s="30">
        <f>RAND()*(1-2E-6)+1E-6</f>
        <v/>
      </c>
      <c r="C789" s="30">
        <f>RAND()*(1-2E-6)+1E-6</f>
        <v/>
      </c>
      <c r="D789" s="30">
        <f>RAND()*(1-2E-6)+1E-6</f>
        <v/>
      </c>
      <c r="E789" s="30">
        <f>RAND()*(1-2E-6)+1E-6</f>
        <v/>
      </c>
      <c r="F789" s="30">
        <f>RAND()*(1-2E-6)+1E-6</f>
        <v/>
      </c>
      <c r="G789" s="30">
        <f>RAND()*(1-2E-6)+1E-6</f>
        <v/>
      </c>
      <c r="H789" s="30">
        <f>RAND()*(1-2E-6)+1E-6</f>
        <v/>
      </c>
      <c r="I789" s="31">
        <f>MIN(IF(Supuestos!$H$5="",1E+99,Supuestos!$H$5),MAX(IF(Supuestos!$G$5="",-1E+99,Supuestos!$G$5),IF(Supuestos!$C$5="Normal",NORMINV(B789,Supuestos!$D$5,Supuestos!$E$5),IF(Supuestos!$C$5="Triangular",IF(B789&lt;(Supuestos!$E$5-Supuestos!$D$5)/(Supuestos!$F$5-Supuestos!$D$5),Supuestos!$D$5+SQRT(B789*(Supuestos!$F$5-Supuestos!$D$5)*(Supuestos!$E$5-Supuestos!$D$5)),Supuestos!$F$5-SQRT((1-B789)*(Supuestos!$F$5-Supuestos!$D$5)*(Supuestos!$F$5-Supuestos!$E$5))),IF(Supuestos!$C$5="Uniforme",Supuestos!$D$5+B789*(Supuestos!$E$5-Supuestos!$D$5),IF(Supuestos!$C$5="Lognormal",LOGINV(B789,LN(Supuestos!$D$5)-LN(1+Supuestos!$E$5^2/Supuestos!$D$5^2)/2,SQRT(LN(1+Supuestos!$E$5^2/Supuestos!$D$5^2))),Supuestos!$D$5))))))</f>
        <v/>
      </c>
      <c r="J789" s="31">
        <f>MIN(IF(Supuestos!$H$6="",1E+99,Supuestos!$H$6),MAX(IF(Supuestos!$G$6="",-1E+99,Supuestos!$G$6),IF(Supuestos!$C$6="Normal",NORMINV(C789,Supuestos!$D$6,Supuestos!$E$6),IF(Supuestos!$C$6="Triangular",IF(C789&lt;(Supuestos!$E$6-Supuestos!$D$6)/(Supuestos!$F$6-Supuestos!$D$6),Supuestos!$D$6+SQRT(C789*(Supuestos!$F$6-Supuestos!$D$6)*(Supuestos!$E$6-Supuestos!$D$6)),Supuestos!$F$6-SQRT((1-C789)*(Supuestos!$F$6-Supuestos!$D$6)*(Supuestos!$F$6-Supuestos!$E$6))),IF(Supuestos!$C$6="Uniforme",Supuestos!$D$6+C789*(Supuestos!$E$6-Supuestos!$D$6),IF(Supuestos!$C$6="Lognormal",LOGINV(C789,LN(Supuestos!$D$6)-LN(1+Supuestos!$E$6^2/Supuestos!$D$6^2)/2,SQRT(LN(1+Supuestos!$E$6^2/Supuestos!$D$6^2))),Supuestos!$D$6))))))</f>
        <v/>
      </c>
      <c r="K789" s="32">
        <f>MIN(IF(Supuestos!$H$7="",1E+99,Supuestos!$H$7),MAX(IF(Supuestos!$G$7="",-1E+99,Supuestos!$G$7),IF(Supuestos!$C$7="Normal",NORMINV(D789,Supuestos!$D$7,Supuestos!$E$7),IF(Supuestos!$C$7="Triangular",IF(D789&lt;(Supuestos!$E$7-Supuestos!$D$7)/(Supuestos!$F$7-Supuestos!$D$7),Supuestos!$D$7+SQRT(D789*(Supuestos!$F$7-Supuestos!$D$7)*(Supuestos!$E$7-Supuestos!$D$7)),Supuestos!$F$7-SQRT((1-D789)*(Supuestos!$F$7-Supuestos!$D$7)*(Supuestos!$F$7-Supuestos!$E$7))),IF(Supuestos!$C$7="Uniforme",Supuestos!$D$7+D789*(Supuestos!$E$7-Supuestos!$D$7),IF(Supuestos!$C$7="Lognormal",LOGINV(D789,LN(Supuestos!$D$7)-LN(1+Supuestos!$E$7^2/Supuestos!$D$7^2)/2,SQRT(LN(1+Supuestos!$E$7^2/Supuestos!$D$7^2))),Supuestos!$D$7))))))</f>
        <v/>
      </c>
      <c r="L789" s="32">
        <f>MIN(IF(Supuestos!$H$8="",1E+99,Supuestos!$H$8),MAX(IF(Supuestos!$G$8="",-1E+99,Supuestos!$G$8),IF(Supuestos!$C$8="Normal",NORMINV(E789,Supuestos!$D$8,Supuestos!$E$8),IF(Supuestos!$C$8="Triangular",IF(E789&lt;(Supuestos!$E$8-Supuestos!$D$8)/(Supuestos!$F$8-Supuestos!$D$8),Supuestos!$D$8+SQRT(E789*(Supuestos!$F$8-Supuestos!$D$8)*(Supuestos!$E$8-Supuestos!$D$8)),Supuestos!$F$8-SQRT((1-E789)*(Supuestos!$F$8-Supuestos!$D$8)*(Supuestos!$F$8-Supuestos!$E$8))),IF(Supuestos!$C$8="Uniforme",Supuestos!$D$8+E789*(Supuestos!$E$8-Supuestos!$D$8),IF(Supuestos!$C$8="Lognormal",LOGINV(E789,LN(Supuestos!$D$8)-LN(1+Supuestos!$E$8^2/Supuestos!$D$8^2)/2,SQRT(LN(1+Supuestos!$E$8^2/Supuestos!$D$8^2))),Supuestos!$D$8))))))</f>
        <v/>
      </c>
      <c r="M789" s="32">
        <f>MIN(IF(Supuestos!$H$9="",1E+99,Supuestos!$H$9),MAX(IF(Supuestos!$G$9="",-1E+99,Supuestos!$G$9),IF(Supuestos!$C$9="Normal",NORMINV(F789,Supuestos!$D$9,Supuestos!$E$9),IF(Supuestos!$C$9="Triangular",IF(F789&lt;(Supuestos!$E$9-Supuestos!$D$9)/(Supuestos!$F$9-Supuestos!$D$9),Supuestos!$D$9+SQRT(F789*(Supuestos!$F$9-Supuestos!$D$9)*(Supuestos!$E$9-Supuestos!$D$9)),Supuestos!$F$9-SQRT((1-F789)*(Supuestos!$F$9-Supuestos!$D$9)*(Supuestos!$F$9-Supuestos!$E$9))),IF(Supuestos!$C$9="Uniforme",Supuestos!$D$9+F789*(Supuestos!$E$9-Supuestos!$D$9),IF(Supuestos!$C$9="Lognormal",LOGINV(F789,LN(Supuestos!$D$9)-LN(1+Supuestos!$E$9^2/Supuestos!$D$9^2)/2,SQRT(LN(1+Supuestos!$E$9^2/Supuestos!$D$9^2))),Supuestos!$D$9))))))</f>
        <v/>
      </c>
      <c r="N789" s="32">
        <f>MIN(IF(Supuestos!$H$10="",1E+99,Supuestos!$H$10),MAX(IF(Supuestos!$G$10="",-1E+99,Supuestos!$G$10),IF(Supuestos!$C$10="Normal",NORMINV(G789,Supuestos!$D$10,Supuestos!$E$10),IF(Supuestos!$C$10="Triangular",IF(G789&lt;(Supuestos!$E$10-Supuestos!$D$10)/(Supuestos!$F$10-Supuestos!$D$10),Supuestos!$D$10+SQRT(G789*(Supuestos!$F$10-Supuestos!$D$10)*(Supuestos!$E$10-Supuestos!$D$10)),Supuestos!$F$10-SQRT((1-G789)*(Supuestos!$F$10-Supuestos!$D$10)*(Supuestos!$F$10-Supuestos!$E$10))),IF(Supuestos!$C$10="Uniforme",Supuestos!$D$10+G789*(Supuestos!$E$10-Supuestos!$D$10),IF(Supuestos!$C$10="Lognormal",LOGINV(G789,LN(Supuestos!$D$10)-LN(1+Supuestos!$E$10^2/Supuestos!$D$10^2)/2,SQRT(LN(1+Supuestos!$E$10^2/Supuestos!$D$10^2))),Supuestos!$D$10))))))</f>
        <v/>
      </c>
      <c r="O789" s="31">
        <f>MIN(IF(Supuestos!$H$11="",1E+99,Supuestos!$H$11),MAX(IF(Supuestos!$G$11="",-1E+99,Supuestos!$G$11),IF(Supuestos!$C$11="Normal",NORMINV(H789,Supuestos!$D$11,Supuestos!$E$11),IF(Supuestos!$C$11="Triangular",IF(H789&lt;(Supuestos!$E$11-Supuestos!$D$11)/(Supuestos!$F$11-Supuestos!$D$11),Supuestos!$D$11+SQRT(H789*(Supuestos!$F$11-Supuestos!$D$11)*(Supuestos!$E$11-Supuestos!$D$11)),Supuestos!$F$11-SQRT((1-H789)*(Supuestos!$F$11-Supuestos!$D$11)*(Supuestos!$F$11-Supuestos!$E$11))),IF(Supuestos!$C$11="Uniforme",Supuestos!$D$11+H789*(Supuestos!$E$11-Supuestos!$D$11),IF(Supuestos!$C$11="Lognormal",LOGINV(H789,LN(Supuestos!$D$11)-LN(1+Supuestos!$E$11^2/Supuestos!$D$11^2)/2,SQRT(LN(1+Supuestos!$E$11^2/Supuestos!$D$11^2))),Supuestos!$D$11))))))</f>
        <v/>
      </c>
      <c r="P789" s="33">
        <f>-I789</f>
        <v/>
      </c>
      <c r="Q789" s="33">
        <f>$J789*(1+$K789)^(1-1)*(1-$L789)*(1-$M789)</f>
        <v/>
      </c>
      <c r="R789" s="33">
        <f>$J789*(1+$K789)^(2-1)*(1-$L789)*(1-$M789)</f>
        <v/>
      </c>
      <c r="S789" s="33">
        <f>$J789*(1+$K789)^(3-1)*(1-$L789)*(1-$M789)</f>
        <v/>
      </c>
      <c r="T789" s="33">
        <f>$J789*(1+$K789)^(4-1)*(1-$L789)*(1-$M789)</f>
        <v/>
      </c>
      <c r="U789" s="33">
        <f>$J789*(1+$K789)^(5-1)*(1-$L789)*(1-$M789)+$O789</f>
        <v/>
      </c>
      <c r="V789" s="33">
        <f>P789+NPV($N789,Q789:U789)</f>
        <v/>
      </c>
      <c r="W789" s="32">
        <f>IFERROR(IRR(P789:U789,0.1),"")</f>
        <v/>
      </c>
    </row>
    <row r="790">
      <c r="A790" s="14" t="n">
        <v>786</v>
      </c>
      <c r="B790" s="30">
        <f>RAND()*(1-2E-6)+1E-6</f>
        <v/>
      </c>
      <c r="C790" s="30">
        <f>RAND()*(1-2E-6)+1E-6</f>
        <v/>
      </c>
      <c r="D790" s="30">
        <f>RAND()*(1-2E-6)+1E-6</f>
        <v/>
      </c>
      <c r="E790" s="30">
        <f>RAND()*(1-2E-6)+1E-6</f>
        <v/>
      </c>
      <c r="F790" s="30">
        <f>RAND()*(1-2E-6)+1E-6</f>
        <v/>
      </c>
      <c r="G790" s="30">
        <f>RAND()*(1-2E-6)+1E-6</f>
        <v/>
      </c>
      <c r="H790" s="30">
        <f>RAND()*(1-2E-6)+1E-6</f>
        <v/>
      </c>
      <c r="I790" s="31">
        <f>MIN(IF(Supuestos!$H$5="",1E+99,Supuestos!$H$5),MAX(IF(Supuestos!$G$5="",-1E+99,Supuestos!$G$5),IF(Supuestos!$C$5="Normal",NORMINV(B790,Supuestos!$D$5,Supuestos!$E$5),IF(Supuestos!$C$5="Triangular",IF(B790&lt;(Supuestos!$E$5-Supuestos!$D$5)/(Supuestos!$F$5-Supuestos!$D$5),Supuestos!$D$5+SQRT(B790*(Supuestos!$F$5-Supuestos!$D$5)*(Supuestos!$E$5-Supuestos!$D$5)),Supuestos!$F$5-SQRT((1-B790)*(Supuestos!$F$5-Supuestos!$D$5)*(Supuestos!$F$5-Supuestos!$E$5))),IF(Supuestos!$C$5="Uniforme",Supuestos!$D$5+B790*(Supuestos!$E$5-Supuestos!$D$5),IF(Supuestos!$C$5="Lognormal",LOGINV(B790,LN(Supuestos!$D$5)-LN(1+Supuestos!$E$5^2/Supuestos!$D$5^2)/2,SQRT(LN(1+Supuestos!$E$5^2/Supuestos!$D$5^2))),Supuestos!$D$5))))))</f>
        <v/>
      </c>
      <c r="J790" s="31">
        <f>MIN(IF(Supuestos!$H$6="",1E+99,Supuestos!$H$6),MAX(IF(Supuestos!$G$6="",-1E+99,Supuestos!$G$6),IF(Supuestos!$C$6="Normal",NORMINV(C790,Supuestos!$D$6,Supuestos!$E$6),IF(Supuestos!$C$6="Triangular",IF(C790&lt;(Supuestos!$E$6-Supuestos!$D$6)/(Supuestos!$F$6-Supuestos!$D$6),Supuestos!$D$6+SQRT(C790*(Supuestos!$F$6-Supuestos!$D$6)*(Supuestos!$E$6-Supuestos!$D$6)),Supuestos!$F$6-SQRT((1-C790)*(Supuestos!$F$6-Supuestos!$D$6)*(Supuestos!$F$6-Supuestos!$E$6))),IF(Supuestos!$C$6="Uniforme",Supuestos!$D$6+C790*(Supuestos!$E$6-Supuestos!$D$6),IF(Supuestos!$C$6="Lognormal",LOGINV(C790,LN(Supuestos!$D$6)-LN(1+Supuestos!$E$6^2/Supuestos!$D$6^2)/2,SQRT(LN(1+Supuestos!$E$6^2/Supuestos!$D$6^2))),Supuestos!$D$6))))))</f>
        <v/>
      </c>
      <c r="K790" s="32">
        <f>MIN(IF(Supuestos!$H$7="",1E+99,Supuestos!$H$7),MAX(IF(Supuestos!$G$7="",-1E+99,Supuestos!$G$7),IF(Supuestos!$C$7="Normal",NORMINV(D790,Supuestos!$D$7,Supuestos!$E$7),IF(Supuestos!$C$7="Triangular",IF(D790&lt;(Supuestos!$E$7-Supuestos!$D$7)/(Supuestos!$F$7-Supuestos!$D$7),Supuestos!$D$7+SQRT(D790*(Supuestos!$F$7-Supuestos!$D$7)*(Supuestos!$E$7-Supuestos!$D$7)),Supuestos!$F$7-SQRT((1-D790)*(Supuestos!$F$7-Supuestos!$D$7)*(Supuestos!$F$7-Supuestos!$E$7))),IF(Supuestos!$C$7="Uniforme",Supuestos!$D$7+D790*(Supuestos!$E$7-Supuestos!$D$7),IF(Supuestos!$C$7="Lognormal",LOGINV(D790,LN(Supuestos!$D$7)-LN(1+Supuestos!$E$7^2/Supuestos!$D$7^2)/2,SQRT(LN(1+Supuestos!$E$7^2/Supuestos!$D$7^2))),Supuestos!$D$7))))))</f>
        <v/>
      </c>
      <c r="L790" s="32">
        <f>MIN(IF(Supuestos!$H$8="",1E+99,Supuestos!$H$8),MAX(IF(Supuestos!$G$8="",-1E+99,Supuestos!$G$8),IF(Supuestos!$C$8="Normal",NORMINV(E790,Supuestos!$D$8,Supuestos!$E$8),IF(Supuestos!$C$8="Triangular",IF(E790&lt;(Supuestos!$E$8-Supuestos!$D$8)/(Supuestos!$F$8-Supuestos!$D$8),Supuestos!$D$8+SQRT(E790*(Supuestos!$F$8-Supuestos!$D$8)*(Supuestos!$E$8-Supuestos!$D$8)),Supuestos!$F$8-SQRT((1-E790)*(Supuestos!$F$8-Supuestos!$D$8)*(Supuestos!$F$8-Supuestos!$E$8))),IF(Supuestos!$C$8="Uniforme",Supuestos!$D$8+E790*(Supuestos!$E$8-Supuestos!$D$8),IF(Supuestos!$C$8="Lognormal",LOGINV(E790,LN(Supuestos!$D$8)-LN(1+Supuestos!$E$8^2/Supuestos!$D$8^2)/2,SQRT(LN(1+Supuestos!$E$8^2/Supuestos!$D$8^2))),Supuestos!$D$8))))))</f>
        <v/>
      </c>
      <c r="M790" s="32">
        <f>MIN(IF(Supuestos!$H$9="",1E+99,Supuestos!$H$9),MAX(IF(Supuestos!$G$9="",-1E+99,Supuestos!$G$9),IF(Supuestos!$C$9="Normal",NORMINV(F790,Supuestos!$D$9,Supuestos!$E$9),IF(Supuestos!$C$9="Triangular",IF(F790&lt;(Supuestos!$E$9-Supuestos!$D$9)/(Supuestos!$F$9-Supuestos!$D$9),Supuestos!$D$9+SQRT(F790*(Supuestos!$F$9-Supuestos!$D$9)*(Supuestos!$E$9-Supuestos!$D$9)),Supuestos!$F$9-SQRT((1-F790)*(Supuestos!$F$9-Supuestos!$D$9)*(Supuestos!$F$9-Supuestos!$E$9))),IF(Supuestos!$C$9="Uniforme",Supuestos!$D$9+F790*(Supuestos!$E$9-Supuestos!$D$9),IF(Supuestos!$C$9="Lognormal",LOGINV(F790,LN(Supuestos!$D$9)-LN(1+Supuestos!$E$9^2/Supuestos!$D$9^2)/2,SQRT(LN(1+Supuestos!$E$9^2/Supuestos!$D$9^2))),Supuestos!$D$9))))))</f>
        <v/>
      </c>
      <c r="N790" s="32">
        <f>MIN(IF(Supuestos!$H$10="",1E+99,Supuestos!$H$10),MAX(IF(Supuestos!$G$10="",-1E+99,Supuestos!$G$10),IF(Supuestos!$C$10="Normal",NORMINV(G790,Supuestos!$D$10,Supuestos!$E$10),IF(Supuestos!$C$10="Triangular",IF(G790&lt;(Supuestos!$E$10-Supuestos!$D$10)/(Supuestos!$F$10-Supuestos!$D$10),Supuestos!$D$10+SQRT(G790*(Supuestos!$F$10-Supuestos!$D$10)*(Supuestos!$E$10-Supuestos!$D$10)),Supuestos!$F$10-SQRT((1-G790)*(Supuestos!$F$10-Supuestos!$D$10)*(Supuestos!$F$10-Supuestos!$E$10))),IF(Supuestos!$C$10="Uniforme",Supuestos!$D$10+G790*(Supuestos!$E$10-Supuestos!$D$10),IF(Supuestos!$C$10="Lognormal",LOGINV(G790,LN(Supuestos!$D$10)-LN(1+Supuestos!$E$10^2/Supuestos!$D$10^2)/2,SQRT(LN(1+Supuestos!$E$10^2/Supuestos!$D$10^2))),Supuestos!$D$10))))))</f>
        <v/>
      </c>
      <c r="O790" s="31">
        <f>MIN(IF(Supuestos!$H$11="",1E+99,Supuestos!$H$11),MAX(IF(Supuestos!$G$11="",-1E+99,Supuestos!$G$11),IF(Supuestos!$C$11="Normal",NORMINV(H790,Supuestos!$D$11,Supuestos!$E$11),IF(Supuestos!$C$11="Triangular",IF(H790&lt;(Supuestos!$E$11-Supuestos!$D$11)/(Supuestos!$F$11-Supuestos!$D$11),Supuestos!$D$11+SQRT(H790*(Supuestos!$F$11-Supuestos!$D$11)*(Supuestos!$E$11-Supuestos!$D$11)),Supuestos!$F$11-SQRT((1-H790)*(Supuestos!$F$11-Supuestos!$D$11)*(Supuestos!$F$11-Supuestos!$E$11))),IF(Supuestos!$C$11="Uniforme",Supuestos!$D$11+H790*(Supuestos!$E$11-Supuestos!$D$11),IF(Supuestos!$C$11="Lognormal",LOGINV(H790,LN(Supuestos!$D$11)-LN(1+Supuestos!$E$11^2/Supuestos!$D$11^2)/2,SQRT(LN(1+Supuestos!$E$11^2/Supuestos!$D$11^2))),Supuestos!$D$11))))))</f>
        <v/>
      </c>
      <c r="P790" s="33">
        <f>-I790</f>
        <v/>
      </c>
      <c r="Q790" s="33">
        <f>$J790*(1+$K790)^(1-1)*(1-$L790)*(1-$M790)</f>
        <v/>
      </c>
      <c r="R790" s="33">
        <f>$J790*(1+$K790)^(2-1)*(1-$L790)*(1-$M790)</f>
        <v/>
      </c>
      <c r="S790" s="33">
        <f>$J790*(1+$K790)^(3-1)*(1-$L790)*(1-$M790)</f>
        <v/>
      </c>
      <c r="T790" s="33">
        <f>$J790*(1+$K790)^(4-1)*(1-$L790)*(1-$M790)</f>
        <v/>
      </c>
      <c r="U790" s="33">
        <f>$J790*(1+$K790)^(5-1)*(1-$L790)*(1-$M790)+$O790</f>
        <v/>
      </c>
      <c r="V790" s="33">
        <f>P790+NPV($N790,Q790:U790)</f>
        <v/>
      </c>
      <c r="W790" s="32">
        <f>IFERROR(IRR(P790:U790,0.1),"")</f>
        <v/>
      </c>
    </row>
    <row r="791">
      <c r="A791" s="14" t="n">
        <v>787</v>
      </c>
      <c r="B791" s="30">
        <f>RAND()*(1-2E-6)+1E-6</f>
        <v/>
      </c>
      <c r="C791" s="30">
        <f>RAND()*(1-2E-6)+1E-6</f>
        <v/>
      </c>
      <c r="D791" s="30">
        <f>RAND()*(1-2E-6)+1E-6</f>
        <v/>
      </c>
      <c r="E791" s="30">
        <f>RAND()*(1-2E-6)+1E-6</f>
        <v/>
      </c>
      <c r="F791" s="30">
        <f>RAND()*(1-2E-6)+1E-6</f>
        <v/>
      </c>
      <c r="G791" s="30">
        <f>RAND()*(1-2E-6)+1E-6</f>
        <v/>
      </c>
      <c r="H791" s="30">
        <f>RAND()*(1-2E-6)+1E-6</f>
        <v/>
      </c>
      <c r="I791" s="31">
        <f>MIN(IF(Supuestos!$H$5="",1E+99,Supuestos!$H$5),MAX(IF(Supuestos!$G$5="",-1E+99,Supuestos!$G$5),IF(Supuestos!$C$5="Normal",NORMINV(B791,Supuestos!$D$5,Supuestos!$E$5),IF(Supuestos!$C$5="Triangular",IF(B791&lt;(Supuestos!$E$5-Supuestos!$D$5)/(Supuestos!$F$5-Supuestos!$D$5),Supuestos!$D$5+SQRT(B791*(Supuestos!$F$5-Supuestos!$D$5)*(Supuestos!$E$5-Supuestos!$D$5)),Supuestos!$F$5-SQRT((1-B791)*(Supuestos!$F$5-Supuestos!$D$5)*(Supuestos!$F$5-Supuestos!$E$5))),IF(Supuestos!$C$5="Uniforme",Supuestos!$D$5+B791*(Supuestos!$E$5-Supuestos!$D$5),IF(Supuestos!$C$5="Lognormal",LOGINV(B791,LN(Supuestos!$D$5)-LN(1+Supuestos!$E$5^2/Supuestos!$D$5^2)/2,SQRT(LN(1+Supuestos!$E$5^2/Supuestos!$D$5^2))),Supuestos!$D$5))))))</f>
        <v/>
      </c>
      <c r="J791" s="31">
        <f>MIN(IF(Supuestos!$H$6="",1E+99,Supuestos!$H$6),MAX(IF(Supuestos!$G$6="",-1E+99,Supuestos!$G$6),IF(Supuestos!$C$6="Normal",NORMINV(C791,Supuestos!$D$6,Supuestos!$E$6),IF(Supuestos!$C$6="Triangular",IF(C791&lt;(Supuestos!$E$6-Supuestos!$D$6)/(Supuestos!$F$6-Supuestos!$D$6),Supuestos!$D$6+SQRT(C791*(Supuestos!$F$6-Supuestos!$D$6)*(Supuestos!$E$6-Supuestos!$D$6)),Supuestos!$F$6-SQRT((1-C791)*(Supuestos!$F$6-Supuestos!$D$6)*(Supuestos!$F$6-Supuestos!$E$6))),IF(Supuestos!$C$6="Uniforme",Supuestos!$D$6+C791*(Supuestos!$E$6-Supuestos!$D$6),IF(Supuestos!$C$6="Lognormal",LOGINV(C791,LN(Supuestos!$D$6)-LN(1+Supuestos!$E$6^2/Supuestos!$D$6^2)/2,SQRT(LN(1+Supuestos!$E$6^2/Supuestos!$D$6^2))),Supuestos!$D$6))))))</f>
        <v/>
      </c>
      <c r="K791" s="32">
        <f>MIN(IF(Supuestos!$H$7="",1E+99,Supuestos!$H$7),MAX(IF(Supuestos!$G$7="",-1E+99,Supuestos!$G$7),IF(Supuestos!$C$7="Normal",NORMINV(D791,Supuestos!$D$7,Supuestos!$E$7),IF(Supuestos!$C$7="Triangular",IF(D791&lt;(Supuestos!$E$7-Supuestos!$D$7)/(Supuestos!$F$7-Supuestos!$D$7),Supuestos!$D$7+SQRT(D791*(Supuestos!$F$7-Supuestos!$D$7)*(Supuestos!$E$7-Supuestos!$D$7)),Supuestos!$F$7-SQRT((1-D791)*(Supuestos!$F$7-Supuestos!$D$7)*(Supuestos!$F$7-Supuestos!$E$7))),IF(Supuestos!$C$7="Uniforme",Supuestos!$D$7+D791*(Supuestos!$E$7-Supuestos!$D$7),IF(Supuestos!$C$7="Lognormal",LOGINV(D791,LN(Supuestos!$D$7)-LN(1+Supuestos!$E$7^2/Supuestos!$D$7^2)/2,SQRT(LN(1+Supuestos!$E$7^2/Supuestos!$D$7^2))),Supuestos!$D$7))))))</f>
        <v/>
      </c>
      <c r="L791" s="32">
        <f>MIN(IF(Supuestos!$H$8="",1E+99,Supuestos!$H$8),MAX(IF(Supuestos!$G$8="",-1E+99,Supuestos!$G$8),IF(Supuestos!$C$8="Normal",NORMINV(E791,Supuestos!$D$8,Supuestos!$E$8),IF(Supuestos!$C$8="Triangular",IF(E791&lt;(Supuestos!$E$8-Supuestos!$D$8)/(Supuestos!$F$8-Supuestos!$D$8),Supuestos!$D$8+SQRT(E791*(Supuestos!$F$8-Supuestos!$D$8)*(Supuestos!$E$8-Supuestos!$D$8)),Supuestos!$F$8-SQRT((1-E791)*(Supuestos!$F$8-Supuestos!$D$8)*(Supuestos!$F$8-Supuestos!$E$8))),IF(Supuestos!$C$8="Uniforme",Supuestos!$D$8+E791*(Supuestos!$E$8-Supuestos!$D$8),IF(Supuestos!$C$8="Lognormal",LOGINV(E791,LN(Supuestos!$D$8)-LN(1+Supuestos!$E$8^2/Supuestos!$D$8^2)/2,SQRT(LN(1+Supuestos!$E$8^2/Supuestos!$D$8^2))),Supuestos!$D$8))))))</f>
        <v/>
      </c>
      <c r="M791" s="32">
        <f>MIN(IF(Supuestos!$H$9="",1E+99,Supuestos!$H$9),MAX(IF(Supuestos!$G$9="",-1E+99,Supuestos!$G$9),IF(Supuestos!$C$9="Normal",NORMINV(F791,Supuestos!$D$9,Supuestos!$E$9),IF(Supuestos!$C$9="Triangular",IF(F791&lt;(Supuestos!$E$9-Supuestos!$D$9)/(Supuestos!$F$9-Supuestos!$D$9),Supuestos!$D$9+SQRT(F791*(Supuestos!$F$9-Supuestos!$D$9)*(Supuestos!$E$9-Supuestos!$D$9)),Supuestos!$F$9-SQRT((1-F791)*(Supuestos!$F$9-Supuestos!$D$9)*(Supuestos!$F$9-Supuestos!$E$9))),IF(Supuestos!$C$9="Uniforme",Supuestos!$D$9+F791*(Supuestos!$E$9-Supuestos!$D$9),IF(Supuestos!$C$9="Lognormal",LOGINV(F791,LN(Supuestos!$D$9)-LN(1+Supuestos!$E$9^2/Supuestos!$D$9^2)/2,SQRT(LN(1+Supuestos!$E$9^2/Supuestos!$D$9^2))),Supuestos!$D$9))))))</f>
        <v/>
      </c>
      <c r="N791" s="32">
        <f>MIN(IF(Supuestos!$H$10="",1E+99,Supuestos!$H$10),MAX(IF(Supuestos!$G$10="",-1E+99,Supuestos!$G$10),IF(Supuestos!$C$10="Normal",NORMINV(G791,Supuestos!$D$10,Supuestos!$E$10),IF(Supuestos!$C$10="Triangular",IF(G791&lt;(Supuestos!$E$10-Supuestos!$D$10)/(Supuestos!$F$10-Supuestos!$D$10),Supuestos!$D$10+SQRT(G791*(Supuestos!$F$10-Supuestos!$D$10)*(Supuestos!$E$10-Supuestos!$D$10)),Supuestos!$F$10-SQRT((1-G791)*(Supuestos!$F$10-Supuestos!$D$10)*(Supuestos!$F$10-Supuestos!$E$10))),IF(Supuestos!$C$10="Uniforme",Supuestos!$D$10+G791*(Supuestos!$E$10-Supuestos!$D$10),IF(Supuestos!$C$10="Lognormal",LOGINV(G791,LN(Supuestos!$D$10)-LN(1+Supuestos!$E$10^2/Supuestos!$D$10^2)/2,SQRT(LN(1+Supuestos!$E$10^2/Supuestos!$D$10^2))),Supuestos!$D$10))))))</f>
        <v/>
      </c>
      <c r="O791" s="31">
        <f>MIN(IF(Supuestos!$H$11="",1E+99,Supuestos!$H$11),MAX(IF(Supuestos!$G$11="",-1E+99,Supuestos!$G$11),IF(Supuestos!$C$11="Normal",NORMINV(H791,Supuestos!$D$11,Supuestos!$E$11),IF(Supuestos!$C$11="Triangular",IF(H791&lt;(Supuestos!$E$11-Supuestos!$D$11)/(Supuestos!$F$11-Supuestos!$D$11),Supuestos!$D$11+SQRT(H791*(Supuestos!$F$11-Supuestos!$D$11)*(Supuestos!$E$11-Supuestos!$D$11)),Supuestos!$F$11-SQRT((1-H791)*(Supuestos!$F$11-Supuestos!$D$11)*(Supuestos!$F$11-Supuestos!$E$11))),IF(Supuestos!$C$11="Uniforme",Supuestos!$D$11+H791*(Supuestos!$E$11-Supuestos!$D$11),IF(Supuestos!$C$11="Lognormal",LOGINV(H791,LN(Supuestos!$D$11)-LN(1+Supuestos!$E$11^2/Supuestos!$D$11^2)/2,SQRT(LN(1+Supuestos!$E$11^2/Supuestos!$D$11^2))),Supuestos!$D$11))))))</f>
        <v/>
      </c>
      <c r="P791" s="33">
        <f>-I791</f>
        <v/>
      </c>
      <c r="Q791" s="33">
        <f>$J791*(1+$K791)^(1-1)*(1-$L791)*(1-$M791)</f>
        <v/>
      </c>
      <c r="R791" s="33">
        <f>$J791*(1+$K791)^(2-1)*(1-$L791)*(1-$M791)</f>
        <v/>
      </c>
      <c r="S791" s="33">
        <f>$J791*(1+$K791)^(3-1)*(1-$L791)*(1-$M791)</f>
        <v/>
      </c>
      <c r="T791" s="33">
        <f>$J791*(1+$K791)^(4-1)*(1-$L791)*(1-$M791)</f>
        <v/>
      </c>
      <c r="U791" s="33">
        <f>$J791*(1+$K791)^(5-1)*(1-$L791)*(1-$M791)+$O791</f>
        <v/>
      </c>
      <c r="V791" s="33">
        <f>P791+NPV($N791,Q791:U791)</f>
        <v/>
      </c>
      <c r="W791" s="32">
        <f>IFERROR(IRR(P791:U791,0.1),"")</f>
        <v/>
      </c>
    </row>
    <row r="792">
      <c r="A792" s="14" t="n">
        <v>788</v>
      </c>
      <c r="B792" s="30">
        <f>RAND()*(1-2E-6)+1E-6</f>
        <v/>
      </c>
      <c r="C792" s="30">
        <f>RAND()*(1-2E-6)+1E-6</f>
        <v/>
      </c>
      <c r="D792" s="30">
        <f>RAND()*(1-2E-6)+1E-6</f>
        <v/>
      </c>
      <c r="E792" s="30">
        <f>RAND()*(1-2E-6)+1E-6</f>
        <v/>
      </c>
      <c r="F792" s="30">
        <f>RAND()*(1-2E-6)+1E-6</f>
        <v/>
      </c>
      <c r="G792" s="30">
        <f>RAND()*(1-2E-6)+1E-6</f>
        <v/>
      </c>
      <c r="H792" s="30">
        <f>RAND()*(1-2E-6)+1E-6</f>
        <v/>
      </c>
      <c r="I792" s="31">
        <f>MIN(IF(Supuestos!$H$5="",1E+99,Supuestos!$H$5),MAX(IF(Supuestos!$G$5="",-1E+99,Supuestos!$G$5),IF(Supuestos!$C$5="Normal",NORMINV(B792,Supuestos!$D$5,Supuestos!$E$5),IF(Supuestos!$C$5="Triangular",IF(B792&lt;(Supuestos!$E$5-Supuestos!$D$5)/(Supuestos!$F$5-Supuestos!$D$5),Supuestos!$D$5+SQRT(B792*(Supuestos!$F$5-Supuestos!$D$5)*(Supuestos!$E$5-Supuestos!$D$5)),Supuestos!$F$5-SQRT((1-B792)*(Supuestos!$F$5-Supuestos!$D$5)*(Supuestos!$F$5-Supuestos!$E$5))),IF(Supuestos!$C$5="Uniforme",Supuestos!$D$5+B792*(Supuestos!$E$5-Supuestos!$D$5),IF(Supuestos!$C$5="Lognormal",LOGINV(B792,LN(Supuestos!$D$5)-LN(1+Supuestos!$E$5^2/Supuestos!$D$5^2)/2,SQRT(LN(1+Supuestos!$E$5^2/Supuestos!$D$5^2))),Supuestos!$D$5))))))</f>
        <v/>
      </c>
      <c r="J792" s="31">
        <f>MIN(IF(Supuestos!$H$6="",1E+99,Supuestos!$H$6),MAX(IF(Supuestos!$G$6="",-1E+99,Supuestos!$G$6),IF(Supuestos!$C$6="Normal",NORMINV(C792,Supuestos!$D$6,Supuestos!$E$6),IF(Supuestos!$C$6="Triangular",IF(C792&lt;(Supuestos!$E$6-Supuestos!$D$6)/(Supuestos!$F$6-Supuestos!$D$6),Supuestos!$D$6+SQRT(C792*(Supuestos!$F$6-Supuestos!$D$6)*(Supuestos!$E$6-Supuestos!$D$6)),Supuestos!$F$6-SQRT((1-C792)*(Supuestos!$F$6-Supuestos!$D$6)*(Supuestos!$F$6-Supuestos!$E$6))),IF(Supuestos!$C$6="Uniforme",Supuestos!$D$6+C792*(Supuestos!$E$6-Supuestos!$D$6),IF(Supuestos!$C$6="Lognormal",LOGINV(C792,LN(Supuestos!$D$6)-LN(1+Supuestos!$E$6^2/Supuestos!$D$6^2)/2,SQRT(LN(1+Supuestos!$E$6^2/Supuestos!$D$6^2))),Supuestos!$D$6))))))</f>
        <v/>
      </c>
      <c r="K792" s="32">
        <f>MIN(IF(Supuestos!$H$7="",1E+99,Supuestos!$H$7),MAX(IF(Supuestos!$G$7="",-1E+99,Supuestos!$G$7),IF(Supuestos!$C$7="Normal",NORMINV(D792,Supuestos!$D$7,Supuestos!$E$7),IF(Supuestos!$C$7="Triangular",IF(D792&lt;(Supuestos!$E$7-Supuestos!$D$7)/(Supuestos!$F$7-Supuestos!$D$7),Supuestos!$D$7+SQRT(D792*(Supuestos!$F$7-Supuestos!$D$7)*(Supuestos!$E$7-Supuestos!$D$7)),Supuestos!$F$7-SQRT((1-D792)*(Supuestos!$F$7-Supuestos!$D$7)*(Supuestos!$F$7-Supuestos!$E$7))),IF(Supuestos!$C$7="Uniforme",Supuestos!$D$7+D792*(Supuestos!$E$7-Supuestos!$D$7),IF(Supuestos!$C$7="Lognormal",LOGINV(D792,LN(Supuestos!$D$7)-LN(1+Supuestos!$E$7^2/Supuestos!$D$7^2)/2,SQRT(LN(1+Supuestos!$E$7^2/Supuestos!$D$7^2))),Supuestos!$D$7))))))</f>
        <v/>
      </c>
      <c r="L792" s="32">
        <f>MIN(IF(Supuestos!$H$8="",1E+99,Supuestos!$H$8),MAX(IF(Supuestos!$G$8="",-1E+99,Supuestos!$G$8),IF(Supuestos!$C$8="Normal",NORMINV(E792,Supuestos!$D$8,Supuestos!$E$8),IF(Supuestos!$C$8="Triangular",IF(E792&lt;(Supuestos!$E$8-Supuestos!$D$8)/(Supuestos!$F$8-Supuestos!$D$8),Supuestos!$D$8+SQRT(E792*(Supuestos!$F$8-Supuestos!$D$8)*(Supuestos!$E$8-Supuestos!$D$8)),Supuestos!$F$8-SQRT((1-E792)*(Supuestos!$F$8-Supuestos!$D$8)*(Supuestos!$F$8-Supuestos!$E$8))),IF(Supuestos!$C$8="Uniforme",Supuestos!$D$8+E792*(Supuestos!$E$8-Supuestos!$D$8),IF(Supuestos!$C$8="Lognormal",LOGINV(E792,LN(Supuestos!$D$8)-LN(1+Supuestos!$E$8^2/Supuestos!$D$8^2)/2,SQRT(LN(1+Supuestos!$E$8^2/Supuestos!$D$8^2))),Supuestos!$D$8))))))</f>
        <v/>
      </c>
      <c r="M792" s="32">
        <f>MIN(IF(Supuestos!$H$9="",1E+99,Supuestos!$H$9),MAX(IF(Supuestos!$G$9="",-1E+99,Supuestos!$G$9),IF(Supuestos!$C$9="Normal",NORMINV(F792,Supuestos!$D$9,Supuestos!$E$9),IF(Supuestos!$C$9="Triangular",IF(F792&lt;(Supuestos!$E$9-Supuestos!$D$9)/(Supuestos!$F$9-Supuestos!$D$9),Supuestos!$D$9+SQRT(F792*(Supuestos!$F$9-Supuestos!$D$9)*(Supuestos!$E$9-Supuestos!$D$9)),Supuestos!$F$9-SQRT((1-F792)*(Supuestos!$F$9-Supuestos!$D$9)*(Supuestos!$F$9-Supuestos!$E$9))),IF(Supuestos!$C$9="Uniforme",Supuestos!$D$9+F792*(Supuestos!$E$9-Supuestos!$D$9),IF(Supuestos!$C$9="Lognormal",LOGINV(F792,LN(Supuestos!$D$9)-LN(1+Supuestos!$E$9^2/Supuestos!$D$9^2)/2,SQRT(LN(1+Supuestos!$E$9^2/Supuestos!$D$9^2))),Supuestos!$D$9))))))</f>
        <v/>
      </c>
      <c r="N792" s="32">
        <f>MIN(IF(Supuestos!$H$10="",1E+99,Supuestos!$H$10),MAX(IF(Supuestos!$G$10="",-1E+99,Supuestos!$G$10),IF(Supuestos!$C$10="Normal",NORMINV(G792,Supuestos!$D$10,Supuestos!$E$10),IF(Supuestos!$C$10="Triangular",IF(G792&lt;(Supuestos!$E$10-Supuestos!$D$10)/(Supuestos!$F$10-Supuestos!$D$10),Supuestos!$D$10+SQRT(G792*(Supuestos!$F$10-Supuestos!$D$10)*(Supuestos!$E$10-Supuestos!$D$10)),Supuestos!$F$10-SQRT((1-G792)*(Supuestos!$F$10-Supuestos!$D$10)*(Supuestos!$F$10-Supuestos!$E$10))),IF(Supuestos!$C$10="Uniforme",Supuestos!$D$10+G792*(Supuestos!$E$10-Supuestos!$D$10),IF(Supuestos!$C$10="Lognormal",LOGINV(G792,LN(Supuestos!$D$10)-LN(1+Supuestos!$E$10^2/Supuestos!$D$10^2)/2,SQRT(LN(1+Supuestos!$E$10^2/Supuestos!$D$10^2))),Supuestos!$D$10))))))</f>
        <v/>
      </c>
      <c r="O792" s="31">
        <f>MIN(IF(Supuestos!$H$11="",1E+99,Supuestos!$H$11),MAX(IF(Supuestos!$G$11="",-1E+99,Supuestos!$G$11),IF(Supuestos!$C$11="Normal",NORMINV(H792,Supuestos!$D$11,Supuestos!$E$11),IF(Supuestos!$C$11="Triangular",IF(H792&lt;(Supuestos!$E$11-Supuestos!$D$11)/(Supuestos!$F$11-Supuestos!$D$11),Supuestos!$D$11+SQRT(H792*(Supuestos!$F$11-Supuestos!$D$11)*(Supuestos!$E$11-Supuestos!$D$11)),Supuestos!$F$11-SQRT((1-H792)*(Supuestos!$F$11-Supuestos!$D$11)*(Supuestos!$F$11-Supuestos!$E$11))),IF(Supuestos!$C$11="Uniforme",Supuestos!$D$11+H792*(Supuestos!$E$11-Supuestos!$D$11),IF(Supuestos!$C$11="Lognormal",LOGINV(H792,LN(Supuestos!$D$11)-LN(1+Supuestos!$E$11^2/Supuestos!$D$11^2)/2,SQRT(LN(1+Supuestos!$E$11^2/Supuestos!$D$11^2))),Supuestos!$D$11))))))</f>
        <v/>
      </c>
      <c r="P792" s="33">
        <f>-I792</f>
        <v/>
      </c>
      <c r="Q792" s="33">
        <f>$J792*(1+$K792)^(1-1)*(1-$L792)*(1-$M792)</f>
        <v/>
      </c>
      <c r="R792" s="33">
        <f>$J792*(1+$K792)^(2-1)*(1-$L792)*(1-$M792)</f>
        <v/>
      </c>
      <c r="S792" s="33">
        <f>$J792*(1+$K792)^(3-1)*(1-$L792)*(1-$M792)</f>
        <v/>
      </c>
      <c r="T792" s="33">
        <f>$J792*(1+$K792)^(4-1)*(1-$L792)*(1-$M792)</f>
        <v/>
      </c>
      <c r="U792" s="33">
        <f>$J792*(1+$K792)^(5-1)*(1-$L792)*(1-$M792)+$O792</f>
        <v/>
      </c>
      <c r="V792" s="33">
        <f>P792+NPV($N792,Q792:U792)</f>
        <v/>
      </c>
      <c r="W792" s="32">
        <f>IFERROR(IRR(P792:U792,0.1),"")</f>
        <v/>
      </c>
    </row>
    <row r="793">
      <c r="A793" s="14" t="n">
        <v>789</v>
      </c>
      <c r="B793" s="30">
        <f>RAND()*(1-2E-6)+1E-6</f>
        <v/>
      </c>
      <c r="C793" s="30">
        <f>RAND()*(1-2E-6)+1E-6</f>
        <v/>
      </c>
      <c r="D793" s="30">
        <f>RAND()*(1-2E-6)+1E-6</f>
        <v/>
      </c>
      <c r="E793" s="30">
        <f>RAND()*(1-2E-6)+1E-6</f>
        <v/>
      </c>
      <c r="F793" s="30">
        <f>RAND()*(1-2E-6)+1E-6</f>
        <v/>
      </c>
      <c r="G793" s="30">
        <f>RAND()*(1-2E-6)+1E-6</f>
        <v/>
      </c>
      <c r="H793" s="30">
        <f>RAND()*(1-2E-6)+1E-6</f>
        <v/>
      </c>
      <c r="I793" s="31">
        <f>MIN(IF(Supuestos!$H$5="",1E+99,Supuestos!$H$5),MAX(IF(Supuestos!$G$5="",-1E+99,Supuestos!$G$5),IF(Supuestos!$C$5="Normal",NORMINV(B793,Supuestos!$D$5,Supuestos!$E$5),IF(Supuestos!$C$5="Triangular",IF(B793&lt;(Supuestos!$E$5-Supuestos!$D$5)/(Supuestos!$F$5-Supuestos!$D$5),Supuestos!$D$5+SQRT(B793*(Supuestos!$F$5-Supuestos!$D$5)*(Supuestos!$E$5-Supuestos!$D$5)),Supuestos!$F$5-SQRT((1-B793)*(Supuestos!$F$5-Supuestos!$D$5)*(Supuestos!$F$5-Supuestos!$E$5))),IF(Supuestos!$C$5="Uniforme",Supuestos!$D$5+B793*(Supuestos!$E$5-Supuestos!$D$5),IF(Supuestos!$C$5="Lognormal",LOGINV(B793,LN(Supuestos!$D$5)-LN(1+Supuestos!$E$5^2/Supuestos!$D$5^2)/2,SQRT(LN(1+Supuestos!$E$5^2/Supuestos!$D$5^2))),Supuestos!$D$5))))))</f>
        <v/>
      </c>
      <c r="J793" s="31">
        <f>MIN(IF(Supuestos!$H$6="",1E+99,Supuestos!$H$6),MAX(IF(Supuestos!$G$6="",-1E+99,Supuestos!$G$6),IF(Supuestos!$C$6="Normal",NORMINV(C793,Supuestos!$D$6,Supuestos!$E$6),IF(Supuestos!$C$6="Triangular",IF(C793&lt;(Supuestos!$E$6-Supuestos!$D$6)/(Supuestos!$F$6-Supuestos!$D$6),Supuestos!$D$6+SQRT(C793*(Supuestos!$F$6-Supuestos!$D$6)*(Supuestos!$E$6-Supuestos!$D$6)),Supuestos!$F$6-SQRT((1-C793)*(Supuestos!$F$6-Supuestos!$D$6)*(Supuestos!$F$6-Supuestos!$E$6))),IF(Supuestos!$C$6="Uniforme",Supuestos!$D$6+C793*(Supuestos!$E$6-Supuestos!$D$6),IF(Supuestos!$C$6="Lognormal",LOGINV(C793,LN(Supuestos!$D$6)-LN(1+Supuestos!$E$6^2/Supuestos!$D$6^2)/2,SQRT(LN(1+Supuestos!$E$6^2/Supuestos!$D$6^2))),Supuestos!$D$6))))))</f>
        <v/>
      </c>
      <c r="K793" s="32">
        <f>MIN(IF(Supuestos!$H$7="",1E+99,Supuestos!$H$7),MAX(IF(Supuestos!$G$7="",-1E+99,Supuestos!$G$7),IF(Supuestos!$C$7="Normal",NORMINV(D793,Supuestos!$D$7,Supuestos!$E$7),IF(Supuestos!$C$7="Triangular",IF(D793&lt;(Supuestos!$E$7-Supuestos!$D$7)/(Supuestos!$F$7-Supuestos!$D$7),Supuestos!$D$7+SQRT(D793*(Supuestos!$F$7-Supuestos!$D$7)*(Supuestos!$E$7-Supuestos!$D$7)),Supuestos!$F$7-SQRT((1-D793)*(Supuestos!$F$7-Supuestos!$D$7)*(Supuestos!$F$7-Supuestos!$E$7))),IF(Supuestos!$C$7="Uniforme",Supuestos!$D$7+D793*(Supuestos!$E$7-Supuestos!$D$7),IF(Supuestos!$C$7="Lognormal",LOGINV(D793,LN(Supuestos!$D$7)-LN(1+Supuestos!$E$7^2/Supuestos!$D$7^2)/2,SQRT(LN(1+Supuestos!$E$7^2/Supuestos!$D$7^2))),Supuestos!$D$7))))))</f>
        <v/>
      </c>
      <c r="L793" s="32">
        <f>MIN(IF(Supuestos!$H$8="",1E+99,Supuestos!$H$8),MAX(IF(Supuestos!$G$8="",-1E+99,Supuestos!$G$8),IF(Supuestos!$C$8="Normal",NORMINV(E793,Supuestos!$D$8,Supuestos!$E$8),IF(Supuestos!$C$8="Triangular",IF(E793&lt;(Supuestos!$E$8-Supuestos!$D$8)/(Supuestos!$F$8-Supuestos!$D$8),Supuestos!$D$8+SQRT(E793*(Supuestos!$F$8-Supuestos!$D$8)*(Supuestos!$E$8-Supuestos!$D$8)),Supuestos!$F$8-SQRT((1-E793)*(Supuestos!$F$8-Supuestos!$D$8)*(Supuestos!$F$8-Supuestos!$E$8))),IF(Supuestos!$C$8="Uniforme",Supuestos!$D$8+E793*(Supuestos!$E$8-Supuestos!$D$8),IF(Supuestos!$C$8="Lognormal",LOGINV(E793,LN(Supuestos!$D$8)-LN(1+Supuestos!$E$8^2/Supuestos!$D$8^2)/2,SQRT(LN(1+Supuestos!$E$8^2/Supuestos!$D$8^2))),Supuestos!$D$8))))))</f>
        <v/>
      </c>
      <c r="M793" s="32">
        <f>MIN(IF(Supuestos!$H$9="",1E+99,Supuestos!$H$9),MAX(IF(Supuestos!$G$9="",-1E+99,Supuestos!$G$9),IF(Supuestos!$C$9="Normal",NORMINV(F793,Supuestos!$D$9,Supuestos!$E$9),IF(Supuestos!$C$9="Triangular",IF(F793&lt;(Supuestos!$E$9-Supuestos!$D$9)/(Supuestos!$F$9-Supuestos!$D$9),Supuestos!$D$9+SQRT(F793*(Supuestos!$F$9-Supuestos!$D$9)*(Supuestos!$E$9-Supuestos!$D$9)),Supuestos!$F$9-SQRT((1-F793)*(Supuestos!$F$9-Supuestos!$D$9)*(Supuestos!$F$9-Supuestos!$E$9))),IF(Supuestos!$C$9="Uniforme",Supuestos!$D$9+F793*(Supuestos!$E$9-Supuestos!$D$9),IF(Supuestos!$C$9="Lognormal",LOGINV(F793,LN(Supuestos!$D$9)-LN(1+Supuestos!$E$9^2/Supuestos!$D$9^2)/2,SQRT(LN(1+Supuestos!$E$9^2/Supuestos!$D$9^2))),Supuestos!$D$9))))))</f>
        <v/>
      </c>
      <c r="N793" s="32">
        <f>MIN(IF(Supuestos!$H$10="",1E+99,Supuestos!$H$10),MAX(IF(Supuestos!$G$10="",-1E+99,Supuestos!$G$10),IF(Supuestos!$C$10="Normal",NORMINV(G793,Supuestos!$D$10,Supuestos!$E$10),IF(Supuestos!$C$10="Triangular",IF(G793&lt;(Supuestos!$E$10-Supuestos!$D$10)/(Supuestos!$F$10-Supuestos!$D$10),Supuestos!$D$10+SQRT(G793*(Supuestos!$F$10-Supuestos!$D$10)*(Supuestos!$E$10-Supuestos!$D$10)),Supuestos!$F$10-SQRT((1-G793)*(Supuestos!$F$10-Supuestos!$D$10)*(Supuestos!$F$10-Supuestos!$E$10))),IF(Supuestos!$C$10="Uniforme",Supuestos!$D$10+G793*(Supuestos!$E$10-Supuestos!$D$10),IF(Supuestos!$C$10="Lognormal",LOGINV(G793,LN(Supuestos!$D$10)-LN(1+Supuestos!$E$10^2/Supuestos!$D$10^2)/2,SQRT(LN(1+Supuestos!$E$10^2/Supuestos!$D$10^2))),Supuestos!$D$10))))))</f>
        <v/>
      </c>
      <c r="O793" s="31">
        <f>MIN(IF(Supuestos!$H$11="",1E+99,Supuestos!$H$11),MAX(IF(Supuestos!$G$11="",-1E+99,Supuestos!$G$11),IF(Supuestos!$C$11="Normal",NORMINV(H793,Supuestos!$D$11,Supuestos!$E$11),IF(Supuestos!$C$11="Triangular",IF(H793&lt;(Supuestos!$E$11-Supuestos!$D$11)/(Supuestos!$F$11-Supuestos!$D$11),Supuestos!$D$11+SQRT(H793*(Supuestos!$F$11-Supuestos!$D$11)*(Supuestos!$E$11-Supuestos!$D$11)),Supuestos!$F$11-SQRT((1-H793)*(Supuestos!$F$11-Supuestos!$D$11)*(Supuestos!$F$11-Supuestos!$E$11))),IF(Supuestos!$C$11="Uniforme",Supuestos!$D$11+H793*(Supuestos!$E$11-Supuestos!$D$11),IF(Supuestos!$C$11="Lognormal",LOGINV(H793,LN(Supuestos!$D$11)-LN(1+Supuestos!$E$11^2/Supuestos!$D$11^2)/2,SQRT(LN(1+Supuestos!$E$11^2/Supuestos!$D$11^2))),Supuestos!$D$11))))))</f>
        <v/>
      </c>
      <c r="P793" s="33">
        <f>-I793</f>
        <v/>
      </c>
      <c r="Q793" s="33">
        <f>$J793*(1+$K793)^(1-1)*(1-$L793)*(1-$M793)</f>
        <v/>
      </c>
      <c r="R793" s="33">
        <f>$J793*(1+$K793)^(2-1)*(1-$L793)*(1-$M793)</f>
        <v/>
      </c>
      <c r="S793" s="33">
        <f>$J793*(1+$K793)^(3-1)*(1-$L793)*(1-$M793)</f>
        <v/>
      </c>
      <c r="T793" s="33">
        <f>$J793*(1+$K793)^(4-1)*(1-$L793)*(1-$M793)</f>
        <v/>
      </c>
      <c r="U793" s="33">
        <f>$J793*(1+$K793)^(5-1)*(1-$L793)*(1-$M793)+$O793</f>
        <v/>
      </c>
      <c r="V793" s="33">
        <f>P793+NPV($N793,Q793:U793)</f>
        <v/>
      </c>
      <c r="W793" s="32">
        <f>IFERROR(IRR(P793:U793,0.1),"")</f>
        <v/>
      </c>
    </row>
    <row r="794">
      <c r="A794" s="14" t="n">
        <v>790</v>
      </c>
      <c r="B794" s="30">
        <f>RAND()*(1-2E-6)+1E-6</f>
        <v/>
      </c>
      <c r="C794" s="30">
        <f>RAND()*(1-2E-6)+1E-6</f>
        <v/>
      </c>
      <c r="D794" s="30">
        <f>RAND()*(1-2E-6)+1E-6</f>
        <v/>
      </c>
      <c r="E794" s="30">
        <f>RAND()*(1-2E-6)+1E-6</f>
        <v/>
      </c>
      <c r="F794" s="30">
        <f>RAND()*(1-2E-6)+1E-6</f>
        <v/>
      </c>
      <c r="G794" s="30">
        <f>RAND()*(1-2E-6)+1E-6</f>
        <v/>
      </c>
      <c r="H794" s="30">
        <f>RAND()*(1-2E-6)+1E-6</f>
        <v/>
      </c>
      <c r="I794" s="31">
        <f>MIN(IF(Supuestos!$H$5="",1E+99,Supuestos!$H$5),MAX(IF(Supuestos!$G$5="",-1E+99,Supuestos!$G$5),IF(Supuestos!$C$5="Normal",NORMINV(B794,Supuestos!$D$5,Supuestos!$E$5),IF(Supuestos!$C$5="Triangular",IF(B794&lt;(Supuestos!$E$5-Supuestos!$D$5)/(Supuestos!$F$5-Supuestos!$D$5),Supuestos!$D$5+SQRT(B794*(Supuestos!$F$5-Supuestos!$D$5)*(Supuestos!$E$5-Supuestos!$D$5)),Supuestos!$F$5-SQRT((1-B794)*(Supuestos!$F$5-Supuestos!$D$5)*(Supuestos!$F$5-Supuestos!$E$5))),IF(Supuestos!$C$5="Uniforme",Supuestos!$D$5+B794*(Supuestos!$E$5-Supuestos!$D$5),IF(Supuestos!$C$5="Lognormal",LOGINV(B794,LN(Supuestos!$D$5)-LN(1+Supuestos!$E$5^2/Supuestos!$D$5^2)/2,SQRT(LN(1+Supuestos!$E$5^2/Supuestos!$D$5^2))),Supuestos!$D$5))))))</f>
        <v/>
      </c>
      <c r="J794" s="31">
        <f>MIN(IF(Supuestos!$H$6="",1E+99,Supuestos!$H$6),MAX(IF(Supuestos!$G$6="",-1E+99,Supuestos!$G$6),IF(Supuestos!$C$6="Normal",NORMINV(C794,Supuestos!$D$6,Supuestos!$E$6),IF(Supuestos!$C$6="Triangular",IF(C794&lt;(Supuestos!$E$6-Supuestos!$D$6)/(Supuestos!$F$6-Supuestos!$D$6),Supuestos!$D$6+SQRT(C794*(Supuestos!$F$6-Supuestos!$D$6)*(Supuestos!$E$6-Supuestos!$D$6)),Supuestos!$F$6-SQRT((1-C794)*(Supuestos!$F$6-Supuestos!$D$6)*(Supuestos!$F$6-Supuestos!$E$6))),IF(Supuestos!$C$6="Uniforme",Supuestos!$D$6+C794*(Supuestos!$E$6-Supuestos!$D$6),IF(Supuestos!$C$6="Lognormal",LOGINV(C794,LN(Supuestos!$D$6)-LN(1+Supuestos!$E$6^2/Supuestos!$D$6^2)/2,SQRT(LN(1+Supuestos!$E$6^2/Supuestos!$D$6^2))),Supuestos!$D$6))))))</f>
        <v/>
      </c>
      <c r="K794" s="32">
        <f>MIN(IF(Supuestos!$H$7="",1E+99,Supuestos!$H$7),MAX(IF(Supuestos!$G$7="",-1E+99,Supuestos!$G$7),IF(Supuestos!$C$7="Normal",NORMINV(D794,Supuestos!$D$7,Supuestos!$E$7),IF(Supuestos!$C$7="Triangular",IF(D794&lt;(Supuestos!$E$7-Supuestos!$D$7)/(Supuestos!$F$7-Supuestos!$D$7),Supuestos!$D$7+SQRT(D794*(Supuestos!$F$7-Supuestos!$D$7)*(Supuestos!$E$7-Supuestos!$D$7)),Supuestos!$F$7-SQRT((1-D794)*(Supuestos!$F$7-Supuestos!$D$7)*(Supuestos!$F$7-Supuestos!$E$7))),IF(Supuestos!$C$7="Uniforme",Supuestos!$D$7+D794*(Supuestos!$E$7-Supuestos!$D$7),IF(Supuestos!$C$7="Lognormal",LOGINV(D794,LN(Supuestos!$D$7)-LN(1+Supuestos!$E$7^2/Supuestos!$D$7^2)/2,SQRT(LN(1+Supuestos!$E$7^2/Supuestos!$D$7^2))),Supuestos!$D$7))))))</f>
        <v/>
      </c>
      <c r="L794" s="32">
        <f>MIN(IF(Supuestos!$H$8="",1E+99,Supuestos!$H$8),MAX(IF(Supuestos!$G$8="",-1E+99,Supuestos!$G$8),IF(Supuestos!$C$8="Normal",NORMINV(E794,Supuestos!$D$8,Supuestos!$E$8),IF(Supuestos!$C$8="Triangular",IF(E794&lt;(Supuestos!$E$8-Supuestos!$D$8)/(Supuestos!$F$8-Supuestos!$D$8),Supuestos!$D$8+SQRT(E794*(Supuestos!$F$8-Supuestos!$D$8)*(Supuestos!$E$8-Supuestos!$D$8)),Supuestos!$F$8-SQRT((1-E794)*(Supuestos!$F$8-Supuestos!$D$8)*(Supuestos!$F$8-Supuestos!$E$8))),IF(Supuestos!$C$8="Uniforme",Supuestos!$D$8+E794*(Supuestos!$E$8-Supuestos!$D$8),IF(Supuestos!$C$8="Lognormal",LOGINV(E794,LN(Supuestos!$D$8)-LN(1+Supuestos!$E$8^2/Supuestos!$D$8^2)/2,SQRT(LN(1+Supuestos!$E$8^2/Supuestos!$D$8^2))),Supuestos!$D$8))))))</f>
        <v/>
      </c>
      <c r="M794" s="32">
        <f>MIN(IF(Supuestos!$H$9="",1E+99,Supuestos!$H$9),MAX(IF(Supuestos!$G$9="",-1E+99,Supuestos!$G$9),IF(Supuestos!$C$9="Normal",NORMINV(F794,Supuestos!$D$9,Supuestos!$E$9),IF(Supuestos!$C$9="Triangular",IF(F794&lt;(Supuestos!$E$9-Supuestos!$D$9)/(Supuestos!$F$9-Supuestos!$D$9),Supuestos!$D$9+SQRT(F794*(Supuestos!$F$9-Supuestos!$D$9)*(Supuestos!$E$9-Supuestos!$D$9)),Supuestos!$F$9-SQRT((1-F794)*(Supuestos!$F$9-Supuestos!$D$9)*(Supuestos!$F$9-Supuestos!$E$9))),IF(Supuestos!$C$9="Uniforme",Supuestos!$D$9+F794*(Supuestos!$E$9-Supuestos!$D$9),IF(Supuestos!$C$9="Lognormal",LOGINV(F794,LN(Supuestos!$D$9)-LN(1+Supuestos!$E$9^2/Supuestos!$D$9^2)/2,SQRT(LN(1+Supuestos!$E$9^2/Supuestos!$D$9^2))),Supuestos!$D$9))))))</f>
        <v/>
      </c>
      <c r="N794" s="32">
        <f>MIN(IF(Supuestos!$H$10="",1E+99,Supuestos!$H$10),MAX(IF(Supuestos!$G$10="",-1E+99,Supuestos!$G$10),IF(Supuestos!$C$10="Normal",NORMINV(G794,Supuestos!$D$10,Supuestos!$E$10),IF(Supuestos!$C$10="Triangular",IF(G794&lt;(Supuestos!$E$10-Supuestos!$D$10)/(Supuestos!$F$10-Supuestos!$D$10),Supuestos!$D$10+SQRT(G794*(Supuestos!$F$10-Supuestos!$D$10)*(Supuestos!$E$10-Supuestos!$D$10)),Supuestos!$F$10-SQRT((1-G794)*(Supuestos!$F$10-Supuestos!$D$10)*(Supuestos!$F$10-Supuestos!$E$10))),IF(Supuestos!$C$10="Uniforme",Supuestos!$D$10+G794*(Supuestos!$E$10-Supuestos!$D$10),IF(Supuestos!$C$10="Lognormal",LOGINV(G794,LN(Supuestos!$D$10)-LN(1+Supuestos!$E$10^2/Supuestos!$D$10^2)/2,SQRT(LN(1+Supuestos!$E$10^2/Supuestos!$D$10^2))),Supuestos!$D$10))))))</f>
        <v/>
      </c>
      <c r="O794" s="31">
        <f>MIN(IF(Supuestos!$H$11="",1E+99,Supuestos!$H$11),MAX(IF(Supuestos!$G$11="",-1E+99,Supuestos!$G$11),IF(Supuestos!$C$11="Normal",NORMINV(H794,Supuestos!$D$11,Supuestos!$E$11),IF(Supuestos!$C$11="Triangular",IF(H794&lt;(Supuestos!$E$11-Supuestos!$D$11)/(Supuestos!$F$11-Supuestos!$D$11),Supuestos!$D$11+SQRT(H794*(Supuestos!$F$11-Supuestos!$D$11)*(Supuestos!$E$11-Supuestos!$D$11)),Supuestos!$F$11-SQRT((1-H794)*(Supuestos!$F$11-Supuestos!$D$11)*(Supuestos!$F$11-Supuestos!$E$11))),IF(Supuestos!$C$11="Uniforme",Supuestos!$D$11+H794*(Supuestos!$E$11-Supuestos!$D$11),IF(Supuestos!$C$11="Lognormal",LOGINV(H794,LN(Supuestos!$D$11)-LN(1+Supuestos!$E$11^2/Supuestos!$D$11^2)/2,SQRT(LN(1+Supuestos!$E$11^2/Supuestos!$D$11^2))),Supuestos!$D$11))))))</f>
        <v/>
      </c>
      <c r="P794" s="33">
        <f>-I794</f>
        <v/>
      </c>
      <c r="Q794" s="33">
        <f>$J794*(1+$K794)^(1-1)*(1-$L794)*(1-$M794)</f>
        <v/>
      </c>
      <c r="R794" s="33">
        <f>$J794*(1+$K794)^(2-1)*(1-$L794)*(1-$M794)</f>
        <v/>
      </c>
      <c r="S794" s="33">
        <f>$J794*(1+$K794)^(3-1)*(1-$L794)*(1-$M794)</f>
        <v/>
      </c>
      <c r="T794" s="33">
        <f>$J794*(1+$K794)^(4-1)*(1-$L794)*(1-$M794)</f>
        <v/>
      </c>
      <c r="U794" s="33">
        <f>$J794*(1+$K794)^(5-1)*(1-$L794)*(1-$M794)+$O794</f>
        <v/>
      </c>
      <c r="V794" s="33">
        <f>P794+NPV($N794,Q794:U794)</f>
        <v/>
      </c>
      <c r="W794" s="32">
        <f>IFERROR(IRR(P794:U794,0.1),"")</f>
        <v/>
      </c>
    </row>
    <row r="795">
      <c r="A795" s="14" t="n">
        <v>791</v>
      </c>
      <c r="B795" s="30">
        <f>RAND()*(1-2E-6)+1E-6</f>
        <v/>
      </c>
      <c r="C795" s="30">
        <f>RAND()*(1-2E-6)+1E-6</f>
        <v/>
      </c>
      <c r="D795" s="30">
        <f>RAND()*(1-2E-6)+1E-6</f>
        <v/>
      </c>
      <c r="E795" s="30">
        <f>RAND()*(1-2E-6)+1E-6</f>
        <v/>
      </c>
      <c r="F795" s="30">
        <f>RAND()*(1-2E-6)+1E-6</f>
        <v/>
      </c>
      <c r="G795" s="30">
        <f>RAND()*(1-2E-6)+1E-6</f>
        <v/>
      </c>
      <c r="H795" s="30">
        <f>RAND()*(1-2E-6)+1E-6</f>
        <v/>
      </c>
      <c r="I795" s="31">
        <f>MIN(IF(Supuestos!$H$5="",1E+99,Supuestos!$H$5),MAX(IF(Supuestos!$G$5="",-1E+99,Supuestos!$G$5),IF(Supuestos!$C$5="Normal",NORMINV(B795,Supuestos!$D$5,Supuestos!$E$5),IF(Supuestos!$C$5="Triangular",IF(B795&lt;(Supuestos!$E$5-Supuestos!$D$5)/(Supuestos!$F$5-Supuestos!$D$5),Supuestos!$D$5+SQRT(B795*(Supuestos!$F$5-Supuestos!$D$5)*(Supuestos!$E$5-Supuestos!$D$5)),Supuestos!$F$5-SQRT((1-B795)*(Supuestos!$F$5-Supuestos!$D$5)*(Supuestos!$F$5-Supuestos!$E$5))),IF(Supuestos!$C$5="Uniforme",Supuestos!$D$5+B795*(Supuestos!$E$5-Supuestos!$D$5),IF(Supuestos!$C$5="Lognormal",LOGINV(B795,LN(Supuestos!$D$5)-LN(1+Supuestos!$E$5^2/Supuestos!$D$5^2)/2,SQRT(LN(1+Supuestos!$E$5^2/Supuestos!$D$5^2))),Supuestos!$D$5))))))</f>
        <v/>
      </c>
      <c r="J795" s="31">
        <f>MIN(IF(Supuestos!$H$6="",1E+99,Supuestos!$H$6),MAX(IF(Supuestos!$G$6="",-1E+99,Supuestos!$G$6),IF(Supuestos!$C$6="Normal",NORMINV(C795,Supuestos!$D$6,Supuestos!$E$6),IF(Supuestos!$C$6="Triangular",IF(C795&lt;(Supuestos!$E$6-Supuestos!$D$6)/(Supuestos!$F$6-Supuestos!$D$6),Supuestos!$D$6+SQRT(C795*(Supuestos!$F$6-Supuestos!$D$6)*(Supuestos!$E$6-Supuestos!$D$6)),Supuestos!$F$6-SQRT((1-C795)*(Supuestos!$F$6-Supuestos!$D$6)*(Supuestos!$F$6-Supuestos!$E$6))),IF(Supuestos!$C$6="Uniforme",Supuestos!$D$6+C795*(Supuestos!$E$6-Supuestos!$D$6),IF(Supuestos!$C$6="Lognormal",LOGINV(C795,LN(Supuestos!$D$6)-LN(1+Supuestos!$E$6^2/Supuestos!$D$6^2)/2,SQRT(LN(1+Supuestos!$E$6^2/Supuestos!$D$6^2))),Supuestos!$D$6))))))</f>
        <v/>
      </c>
      <c r="K795" s="32">
        <f>MIN(IF(Supuestos!$H$7="",1E+99,Supuestos!$H$7),MAX(IF(Supuestos!$G$7="",-1E+99,Supuestos!$G$7),IF(Supuestos!$C$7="Normal",NORMINV(D795,Supuestos!$D$7,Supuestos!$E$7),IF(Supuestos!$C$7="Triangular",IF(D795&lt;(Supuestos!$E$7-Supuestos!$D$7)/(Supuestos!$F$7-Supuestos!$D$7),Supuestos!$D$7+SQRT(D795*(Supuestos!$F$7-Supuestos!$D$7)*(Supuestos!$E$7-Supuestos!$D$7)),Supuestos!$F$7-SQRT((1-D795)*(Supuestos!$F$7-Supuestos!$D$7)*(Supuestos!$F$7-Supuestos!$E$7))),IF(Supuestos!$C$7="Uniforme",Supuestos!$D$7+D795*(Supuestos!$E$7-Supuestos!$D$7),IF(Supuestos!$C$7="Lognormal",LOGINV(D795,LN(Supuestos!$D$7)-LN(1+Supuestos!$E$7^2/Supuestos!$D$7^2)/2,SQRT(LN(1+Supuestos!$E$7^2/Supuestos!$D$7^2))),Supuestos!$D$7))))))</f>
        <v/>
      </c>
      <c r="L795" s="32">
        <f>MIN(IF(Supuestos!$H$8="",1E+99,Supuestos!$H$8),MAX(IF(Supuestos!$G$8="",-1E+99,Supuestos!$G$8),IF(Supuestos!$C$8="Normal",NORMINV(E795,Supuestos!$D$8,Supuestos!$E$8),IF(Supuestos!$C$8="Triangular",IF(E795&lt;(Supuestos!$E$8-Supuestos!$D$8)/(Supuestos!$F$8-Supuestos!$D$8),Supuestos!$D$8+SQRT(E795*(Supuestos!$F$8-Supuestos!$D$8)*(Supuestos!$E$8-Supuestos!$D$8)),Supuestos!$F$8-SQRT((1-E795)*(Supuestos!$F$8-Supuestos!$D$8)*(Supuestos!$F$8-Supuestos!$E$8))),IF(Supuestos!$C$8="Uniforme",Supuestos!$D$8+E795*(Supuestos!$E$8-Supuestos!$D$8),IF(Supuestos!$C$8="Lognormal",LOGINV(E795,LN(Supuestos!$D$8)-LN(1+Supuestos!$E$8^2/Supuestos!$D$8^2)/2,SQRT(LN(1+Supuestos!$E$8^2/Supuestos!$D$8^2))),Supuestos!$D$8))))))</f>
        <v/>
      </c>
      <c r="M795" s="32">
        <f>MIN(IF(Supuestos!$H$9="",1E+99,Supuestos!$H$9),MAX(IF(Supuestos!$G$9="",-1E+99,Supuestos!$G$9),IF(Supuestos!$C$9="Normal",NORMINV(F795,Supuestos!$D$9,Supuestos!$E$9),IF(Supuestos!$C$9="Triangular",IF(F795&lt;(Supuestos!$E$9-Supuestos!$D$9)/(Supuestos!$F$9-Supuestos!$D$9),Supuestos!$D$9+SQRT(F795*(Supuestos!$F$9-Supuestos!$D$9)*(Supuestos!$E$9-Supuestos!$D$9)),Supuestos!$F$9-SQRT((1-F795)*(Supuestos!$F$9-Supuestos!$D$9)*(Supuestos!$F$9-Supuestos!$E$9))),IF(Supuestos!$C$9="Uniforme",Supuestos!$D$9+F795*(Supuestos!$E$9-Supuestos!$D$9),IF(Supuestos!$C$9="Lognormal",LOGINV(F795,LN(Supuestos!$D$9)-LN(1+Supuestos!$E$9^2/Supuestos!$D$9^2)/2,SQRT(LN(1+Supuestos!$E$9^2/Supuestos!$D$9^2))),Supuestos!$D$9))))))</f>
        <v/>
      </c>
      <c r="N795" s="32">
        <f>MIN(IF(Supuestos!$H$10="",1E+99,Supuestos!$H$10),MAX(IF(Supuestos!$G$10="",-1E+99,Supuestos!$G$10),IF(Supuestos!$C$10="Normal",NORMINV(G795,Supuestos!$D$10,Supuestos!$E$10),IF(Supuestos!$C$10="Triangular",IF(G795&lt;(Supuestos!$E$10-Supuestos!$D$10)/(Supuestos!$F$10-Supuestos!$D$10),Supuestos!$D$10+SQRT(G795*(Supuestos!$F$10-Supuestos!$D$10)*(Supuestos!$E$10-Supuestos!$D$10)),Supuestos!$F$10-SQRT((1-G795)*(Supuestos!$F$10-Supuestos!$D$10)*(Supuestos!$F$10-Supuestos!$E$10))),IF(Supuestos!$C$10="Uniforme",Supuestos!$D$10+G795*(Supuestos!$E$10-Supuestos!$D$10),IF(Supuestos!$C$10="Lognormal",LOGINV(G795,LN(Supuestos!$D$10)-LN(1+Supuestos!$E$10^2/Supuestos!$D$10^2)/2,SQRT(LN(1+Supuestos!$E$10^2/Supuestos!$D$10^2))),Supuestos!$D$10))))))</f>
        <v/>
      </c>
      <c r="O795" s="31">
        <f>MIN(IF(Supuestos!$H$11="",1E+99,Supuestos!$H$11),MAX(IF(Supuestos!$G$11="",-1E+99,Supuestos!$G$11),IF(Supuestos!$C$11="Normal",NORMINV(H795,Supuestos!$D$11,Supuestos!$E$11),IF(Supuestos!$C$11="Triangular",IF(H795&lt;(Supuestos!$E$11-Supuestos!$D$11)/(Supuestos!$F$11-Supuestos!$D$11),Supuestos!$D$11+SQRT(H795*(Supuestos!$F$11-Supuestos!$D$11)*(Supuestos!$E$11-Supuestos!$D$11)),Supuestos!$F$11-SQRT((1-H795)*(Supuestos!$F$11-Supuestos!$D$11)*(Supuestos!$F$11-Supuestos!$E$11))),IF(Supuestos!$C$11="Uniforme",Supuestos!$D$11+H795*(Supuestos!$E$11-Supuestos!$D$11),IF(Supuestos!$C$11="Lognormal",LOGINV(H795,LN(Supuestos!$D$11)-LN(1+Supuestos!$E$11^2/Supuestos!$D$11^2)/2,SQRT(LN(1+Supuestos!$E$11^2/Supuestos!$D$11^2))),Supuestos!$D$11))))))</f>
        <v/>
      </c>
      <c r="P795" s="33">
        <f>-I795</f>
        <v/>
      </c>
      <c r="Q795" s="33">
        <f>$J795*(1+$K795)^(1-1)*(1-$L795)*(1-$M795)</f>
        <v/>
      </c>
      <c r="R795" s="33">
        <f>$J795*(1+$K795)^(2-1)*(1-$L795)*(1-$M795)</f>
        <v/>
      </c>
      <c r="S795" s="33">
        <f>$J795*(1+$K795)^(3-1)*(1-$L795)*(1-$M795)</f>
        <v/>
      </c>
      <c r="T795" s="33">
        <f>$J795*(1+$K795)^(4-1)*(1-$L795)*(1-$M795)</f>
        <v/>
      </c>
      <c r="U795" s="33">
        <f>$J795*(1+$K795)^(5-1)*(1-$L795)*(1-$M795)+$O795</f>
        <v/>
      </c>
      <c r="V795" s="33">
        <f>P795+NPV($N795,Q795:U795)</f>
        <v/>
      </c>
      <c r="W795" s="32">
        <f>IFERROR(IRR(P795:U795,0.1),"")</f>
        <v/>
      </c>
    </row>
    <row r="796">
      <c r="A796" s="14" t="n">
        <v>792</v>
      </c>
      <c r="B796" s="30">
        <f>RAND()*(1-2E-6)+1E-6</f>
        <v/>
      </c>
      <c r="C796" s="30">
        <f>RAND()*(1-2E-6)+1E-6</f>
        <v/>
      </c>
      <c r="D796" s="30">
        <f>RAND()*(1-2E-6)+1E-6</f>
        <v/>
      </c>
      <c r="E796" s="30">
        <f>RAND()*(1-2E-6)+1E-6</f>
        <v/>
      </c>
      <c r="F796" s="30">
        <f>RAND()*(1-2E-6)+1E-6</f>
        <v/>
      </c>
      <c r="G796" s="30">
        <f>RAND()*(1-2E-6)+1E-6</f>
        <v/>
      </c>
      <c r="H796" s="30">
        <f>RAND()*(1-2E-6)+1E-6</f>
        <v/>
      </c>
      <c r="I796" s="31">
        <f>MIN(IF(Supuestos!$H$5="",1E+99,Supuestos!$H$5),MAX(IF(Supuestos!$G$5="",-1E+99,Supuestos!$G$5),IF(Supuestos!$C$5="Normal",NORMINV(B796,Supuestos!$D$5,Supuestos!$E$5),IF(Supuestos!$C$5="Triangular",IF(B796&lt;(Supuestos!$E$5-Supuestos!$D$5)/(Supuestos!$F$5-Supuestos!$D$5),Supuestos!$D$5+SQRT(B796*(Supuestos!$F$5-Supuestos!$D$5)*(Supuestos!$E$5-Supuestos!$D$5)),Supuestos!$F$5-SQRT((1-B796)*(Supuestos!$F$5-Supuestos!$D$5)*(Supuestos!$F$5-Supuestos!$E$5))),IF(Supuestos!$C$5="Uniforme",Supuestos!$D$5+B796*(Supuestos!$E$5-Supuestos!$D$5),IF(Supuestos!$C$5="Lognormal",LOGINV(B796,LN(Supuestos!$D$5)-LN(1+Supuestos!$E$5^2/Supuestos!$D$5^2)/2,SQRT(LN(1+Supuestos!$E$5^2/Supuestos!$D$5^2))),Supuestos!$D$5))))))</f>
        <v/>
      </c>
      <c r="J796" s="31">
        <f>MIN(IF(Supuestos!$H$6="",1E+99,Supuestos!$H$6),MAX(IF(Supuestos!$G$6="",-1E+99,Supuestos!$G$6),IF(Supuestos!$C$6="Normal",NORMINV(C796,Supuestos!$D$6,Supuestos!$E$6),IF(Supuestos!$C$6="Triangular",IF(C796&lt;(Supuestos!$E$6-Supuestos!$D$6)/(Supuestos!$F$6-Supuestos!$D$6),Supuestos!$D$6+SQRT(C796*(Supuestos!$F$6-Supuestos!$D$6)*(Supuestos!$E$6-Supuestos!$D$6)),Supuestos!$F$6-SQRT((1-C796)*(Supuestos!$F$6-Supuestos!$D$6)*(Supuestos!$F$6-Supuestos!$E$6))),IF(Supuestos!$C$6="Uniforme",Supuestos!$D$6+C796*(Supuestos!$E$6-Supuestos!$D$6),IF(Supuestos!$C$6="Lognormal",LOGINV(C796,LN(Supuestos!$D$6)-LN(1+Supuestos!$E$6^2/Supuestos!$D$6^2)/2,SQRT(LN(1+Supuestos!$E$6^2/Supuestos!$D$6^2))),Supuestos!$D$6))))))</f>
        <v/>
      </c>
      <c r="K796" s="32">
        <f>MIN(IF(Supuestos!$H$7="",1E+99,Supuestos!$H$7),MAX(IF(Supuestos!$G$7="",-1E+99,Supuestos!$G$7),IF(Supuestos!$C$7="Normal",NORMINV(D796,Supuestos!$D$7,Supuestos!$E$7),IF(Supuestos!$C$7="Triangular",IF(D796&lt;(Supuestos!$E$7-Supuestos!$D$7)/(Supuestos!$F$7-Supuestos!$D$7),Supuestos!$D$7+SQRT(D796*(Supuestos!$F$7-Supuestos!$D$7)*(Supuestos!$E$7-Supuestos!$D$7)),Supuestos!$F$7-SQRT((1-D796)*(Supuestos!$F$7-Supuestos!$D$7)*(Supuestos!$F$7-Supuestos!$E$7))),IF(Supuestos!$C$7="Uniforme",Supuestos!$D$7+D796*(Supuestos!$E$7-Supuestos!$D$7),IF(Supuestos!$C$7="Lognormal",LOGINV(D796,LN(Supuestos!$D$7)-LN(1+Supuestos!$E$7^2/Supuestos!$D$7^2)/2,SQRT(LN(1+Supuestos!$E$7^2/Supuestos!$D$7^2))),Supuestos!$D$7))))))</f>
        <v/>
      </c>
      <c r="L796" s="32">
        <f>MIN(IF(Supuestos!$H$8="",1E+99,Supuestos!$H$8),MAX(IF(Supuestos!$G$8="",-1E+99,Supuestos!$G$8),IF(Supuestos!$C$8="Normal",NORMINV(E796,Supuestos!$D$8,Supuestos!$E$8),IF(Supuestos!$C$8="Triangular",IF(E796&lt;(Supuestos!$E$8-Supuestos!$D$8)/(Supuestos!$F$8-Supuestos!$D$8),Supuestos!$D$8+SQRT(E796*(Supuestos!$F$8-Supuestos!$D$8)*(Supuestos!$E$8-Supuestos!$D$8)),Supuestos!$F$8-SQRT((1-E796)*(Supuestos!$F$8-Supuestos!$D$8)*(Supuestos!$F$8-Supuestos!$E$8))),IF(Supuestos!$C$8="Uniforme",Supuestos!$D$8+E796*(Supuestos!$E$8-Supuestos!$D$8),IF(Supuestos!$C$8="Lognormal",LOGINV(E796,LN(Supuestos!$D$8)-LN(1+Supuestos!$E$8^2/Supuestos!$D$8^2)/2,SQRT(LN(1+Supuestos!$E$8^2/Supuestos!$D$8^2))),Supuestos!$D$8))))))</f>
        <v/>
      </c>
      <c r="M796" s="32">
        <f>MIN(IF(Supuestos!$H$9="",1E+99,Supuestos!$H$9),MAX(IF(Supuestos!$G$9="",-1E+99,Supuestos!$G$9),IF(Supuestos!$C$9="Normal",NORMINV(F796,Supuestos!$D$9,Supuestos!$E$9),IF(Supuestos!$C$9="Triangular",IF(F796&lt;(Supuestos!$E$9-Supuestos!$D$9)/(Supuestos!$F$9-Supuestos!$D$9),Supuestos!$D$9+SQRT(F796*(Supuestos!$F$9-Supuestos!$D$9)*(Supuestos!$E$9-Supuestos!$D$9)),Supuestos!$F$9-SQRT((1-F796)*(Supuestos!$F$9-Supuestos!$D$9)*(Supuestos!$F$9-Supuestos!$E$9))),IF(Supuestos!$C$9="Uniforme",Supuestos!$D$9+F796*(Supuestos!$E$9-Supuestos!$D$9),IF(Supuestos!$C$9="Lognormal",LOGINV(F796,LN(Supuestos!$D$9)-LN(1+Supuestos!$E$9^2/Supuestos!$D$9^2)/2,SQRT(LN(1+Supuestos!$E$9^2/Supuestos!$D$9^2))),Supuestos!$D$9))))))</f>
        <v/>
      </c>
      <c r="N796" s="32">
        <f>MIN(IF(Supuestos!$H$10="",1E+99,Supuestos!$H$10),MAX(IF(Supuestos!$G$10="",-1E+99,Supuestos!$G$10),IF(Supuestos!$C$10="Normal",NORMINV(G796,Supuestos!$D$10,Supuestos!$E$10),IF(Supuestos!$C$10="Triangular",IF(G796&lt;(Supuestos!$E$10-Supuestos!$D$10)/(Supuestos!$F$10-Supuestos!$D$10),Supuestos!$D$10+SQRT(G796*(Supuestos!$F$10-Supuestos!$D$10)*(Supuestos!$E$10-Supuestos!$D$10)),Supuestos!$F$10-SQRT((1-G796)*(Supuestos!$F$10-Supuestos!$D$10)*(Supuestos!$F$10-Supuestos!$E$10))),IF(Supuestos!$C$10="Uniforme",Supuestos!$D$10+G796*(Supuestos!$E$10-Supuestos!$D$10),IF(Supuestos!$C$10="Lognormal",LOGINV(G796,LN(Supuestos!$D$10)-LN(1+Supuestos!$E$10^2/Supuestos!$D$10^2)/2,SQRT(LN(1+Supuestos!$E$10^2/Supuestos!$D$10^2))),Supuestos!$D$10))))))</f>
        <v/>
      </c>
      <c r="O796" s="31">
        <f>MIN(IF(Supuestos!$H$11="",1E+99,Supuestos!$H$11),MAX(IF(Supuestos!$G$11="",-1E+99,Supuestos!$G$11),IF(Supuestos!$C$11="Normal",NORMINV(H796,Supuestos!$D$11,Supuestos!$E$11),IF(Supuestos!$C$11="Triangular",IF(H796&lt;(Supuestos!$E$11-Supuestos!$D$11)/(Supuestos!$F$11-Supuestos!$D$11),Supuestos!$D$11+SQRT(H796*(Supuestos!$F$11-Supuestos!$D$11)*(Supuestos!$E$11-Supuestos!$D$11)),Supuestos!$F$11-SQRT((1-H796)*(Supuestos!$F$11-Supuestos!$D$11)*(Supuestos!$F$11-Supuestos!$E$11))),IF(Supuestos!$C$11="Uniforme",Supuestos!$D$11+H796*(Supuestos!$E$11-Supuestos!$D$11),IF(Supuestos!$C$11="Lognormal",LOGINV(H796,LN(Supuestos!$D$11)-LN(1+Supuestos!$E$11^2/Supuestos!$D$11^2)/2,SQRT(LN(1+Supuestos!$E$11^2/Supuestos!$D$11^2))),Supuestos!$D$11))))))</f>
        <v/>
      </c>
      <c r="P796" s="33">
        <f>-I796</f>
        <v/>
      </c>
      <c r="Q796" s="33">
        <f>$J796*(1+$K796)^(1-1)*(1-$L796)*(1-$M796)</f>
        <v/>
      </c>
      <c r="R796" s="33">
        <f>$J796*(1+$K796)^(2-1)*(1-$L796)*(1-$M796)</f>
        <v/>
      </c>
      <c r="S796" s="33">
        <f>$J796*(1+$K796)^(3-1)*(1-$L796)*(1-$M796)</f>
        <v/>
      </c>
      <c r="T796" s="33">
        <f>$J796*(1+$K796)^(4-1)*(1-$L796)*(1-$M796)</f>
        <v/>
      </c>
      <c r="U796" s="33">
        <f>$J796*(1+$K796)^(5-1)*(1-$L796)*(1-$M796)+$O796</f>
        <v/>
      </c>
      <c r="V796" s="33">
        <f>P796+NPV($N796,Q796:U796)</f>
        <v/>
      </c>
      <c r="W796" s="32">
        <f>IFERROR(IRR(P796:U796,0.1),"")</f>
        <v/>
      </c>
    </row>
    <row r="797">
      <c r="A797" s="14" t="n">
        <v>793</v>
      </c>
      <c r="B797" s="30">
        <f>RAND()*(1-2E-6)+1E-6</f>
        <v/>
      </c>
      <c r="C797" s="30">
        <f>RAND()*(1-2E-6)+1E-6</f>
        <v/>
      </c>
      <c r="D797" s="30">
        <f>RAND()*(1-2E-6)+1E-6</f>
        <v/>
      </c>
      <c r="E797" s="30">
        <f>RAND()*(1-2E-6)+1E-6</f>
        <v/>
      </c>
      <c r="F797" s="30">
        <f>RAND()*(1-2E-6)+1E-6</f>
        <v/>
      </c>
      <c r="G797" s="30">
        <f>RAND()*(1-2E-6)+1E-6</f>
        <v/>
      </c>
      <c r="H797" s="30">
        <f>RAND()*(1-2E-6)+1E-6</f>
        <v/>
      </c>
      <c r="I797" s="31">
        <f>MIN(IF(Supuestos!$H$5="",1E+99,Supuestos!$H$5),MAX(IF(Supuestos!$G$5="",-1E+99,Supuestos!$G$5),IF(Supuestos!$C$5="Normal",NORMINV(B797,Supuestos!$D$5,Supuestos!$E$5),IF(Supuestos!$C$5="Triangular",IF(B797&lt;(Supuestos!$E$5-Supuestos!$D$5)/(Supuestos!$F$5-Supuestos!$D$5),Supuestos!$D$5+SQRT(B797*(Supuestos!$F$5-Supuestos!$D$5)*(Supuestos!$E$5-Supuestos!$D$5)),Supuestos!$F$5-SQRT((1-B797)*(Supuestos!$F$5-Supuestos!$D$5)*(Supuestos!$F$5-Supuestos!$E$5))),IF(Supuestos!$C$5="Uniforme",Supuestos!$D$5+B797*(Supuestos!$E$5-Supuestos!$D$5),IF(Supuestos!$C$5="Lognormal",LOGINV(B797,LN(Supuestos!$D$5)-LN(1+Supuestos!$E$5^2/Supuestos!$D$5^2)/2,SQRT(LN(1+Supuestos!$E$5^2/Supuestos!$D$5^2))),Supuestos!$D$5))))))</f>
        <v/>
      </c>
      <c r="J797" s="31">
        <f>MIN(IF(Supuestos!$H$6="",1E+99,Supuestos!$H$6),MAX(IF(Supuestos!$G$6="",-1E+99,Supuestos!$G$6),IF(Supuestos!$C$6="Normal",NORMINV(C797,Supuestos!$D$6,Supuestos!$E$6),IF(Supuestos!$C$6="Triangular",IF(C797&lt;(Supuestos!$E$6-Supuestos!$D$6)/(Supuestos!$F$6-Supuestos!$D$6),Supuestos!$D$6+SQRT(C797*(Supuestos!$F$6-Supuestos!$D$6)*(Supuestos!$E$6-Supuestos!$D$6)),Supuestos!$F$6-SQRT((1-C797)*(Supuestos!$F$6-Supuestos!$D$6)*(Supuestos!$F$6-Supuestos!$E$6))),IF(Supuestos!$C$6="Uniforme",Supuestos!$D$6+C797*(Supuestos!$E$6-Supuestos!$D$6),IF(Supuestos!$C$6="Lognormal",LOGINV(C797,LN(Supuestos!$D$6)-LN(1+Supuestos!$E$6^2/Supuestos!$D$6^2)/2,SQRT(LN(1+Supuestos!$E$6^2/Supuestos!$D$6^2))),Supuestos!$D$6))))))</f>
        <v/>
      </c>
      <c r="K797" s="32">
        <f>MIN(IF(Supuestos!$H$7="",1E+99,Supuestos!$H$7),MAX(IF(Supuestos!$G$7="",-1E+99,Supuestos!$G$7),IF(Supuestos!$C$7="Normal",NORMINV(D797,Supuestos!$D$7,Supuestos!$E$7),IF(Supuestos!$C$7="Triangular",IF(D797&lt;(Supuestos!$E$7-Supuestos!$D$7)/(Supuestos!$F$7-Supuestos!$D$7),Supuestos!$D$7+SQRT(D797*(Supuestos!$F$7-Supuestos!$D$7)*(Supuestos!$E$7-Supuestos!$D$7)),Supuestos!$F$7-SQRT((1-D797)*(Supuestos!$F$7-Supuestos!$D$7)*(Supuestos!$F$7-Supuestos!$E$7))),IF(Supuestos!$C$7="Uniforme",Supuestos!$D$7+D797*(Supuestos!$E$7-Supuestos!$D$7),IF(Supuestos!$C$7="Lognormal",LOGINV(D797,LN(Supuestos!$D$7)-LN(1+Supuestos!$E$7^2/Supuestos!$D$7^2)/2,SQRT(LN(1+Supuestos!$E$7^2/Supuestos!$D$7^2))),Supuestos!$D$7))))))</f>
        <v/>
      </c>
      <c r="L797" s="32">
        <f>MIN(IF(Supuestos!$H$8="",1E+99,Supuestos!$H$8),MAX(IF(Supuestos!$G$8="",-1E+99,Supuestos!$G$8),IF(Supuestos!$C$8="Normal",NORMINV(E797,Supuestos!$D$8,Supuestos!$E$8),IF(Supuestos!$C$8="Triangular",IF(E797&lt;(Supuestos!$E$8-Supuestos!$D$8)/(Supuestos!$F$8-Supuestos!$D$8),Supuestos!$D$8+SQRT(E797*(Supuestos!$F$8-Supuestos!$D$8)*(Supuestos!$E$8-Supuestos!$D$8)),Supuestos!$F$8-SQRT((1-E797)*(Supuestos!$F$8-Supuestos!$D$8)*(Supuestos!$F$8-Supuestos!$E$8))),IF(Supuestos!$C$8="Uniforme",Supuestos!$D$8+E797*(Supuestos!$E$8-Supuestos!$D$8),IF(Supuestos!$C$8="Lognormal",LOGINV(E797,LN(Supuestos!$D$8)-LN(1+Supuestos!$E$8^2/Supuestos!$D$8^2)/2,SQRT(LN(1+Supuestos!$E$8^2/Supuestos!$D$8^2))),Supuestos!$D$8))))))</f>
        <v/>
      </c>
      <c r="M797" s="32">
        <f>MIN(IF(Supuestos!$H$9="",1E+99,Supuestos!$H$9),MAX(IF(Supuestos!$G$9="",-1E+99,Supuestos!$G$9),IF(Supuestos!$C$9="Normal",NORMINV(F797,Supuestos!$D$9,Supuestos!$E$9),IF(Supuestos!$C$9="Triangular",IF(F797&lt;(Supuestos!$E$9-Supuestos!$D$9)/(Supuestos!$F$9-Supuestos!$D$9),Supuestos!$D$9+SQRT(F797*(Supuestos!$F$9-Supuestos!$D$9)*(Supuestos!$E$9-Supuestos!$D$9)),Supuestos!$F$9-SQRT((1-F797)*(Supuestos!$F$9-Supuestos!$D$9)*(Supuestos!$F$9-Supuestos!$E$9))),IF(Supuestos!$C$9="Uniforme",Supuestos!$D$9+F797*(Supuestos!$E$9-Supuestos!$D$9),IF(Supuestos!$C$9="Lognormal",LOGINV(F797,LN(Supuestos!$D$9)-LN(1+Supuestos!$E$9^2/Supuestos!$D$9^2)/2,SQRT(LN(1+Supuestos!$E$9^2/Supuestos!$D$9^2))),Supuestos!$D$9))))))</f>
        <v/>
      </c>
      <c r="N797" s="32">
        <f>MIN(IF(Supuestos!$H$10="",1E+99,Supuestos!$H$10),MAX(IF(Supuestos!$G$10="",-1E+99,Supuestos!$G$10),IF(Supuestos!$C$10="Normal",NORMINV(G797,Supuestos!$D$10,Supuestos!$E$10),IF(Supuestos!$C$10="Triangular",IF(G797&lt;(Supuestos!$E$10-Supuestos!$D$10)/(Supuestos!$F$10-Supuestos!$D$10),Supuestos!$D$10+SQRT(G797*(Supuestos!$F$10-Supuestos!$D$10)*(Supuestos!$E$10-Supuestos!$D$10)),Supuestos!$F$10-SQRT((1-G797)*(Supuestos!$F$10-Supuestos!$D$10)*(Supuestos!$F$10-Supuestos!$E$10))),IF(Supuestos!$C$10="Uniforme",Supuestos!$D$10+G797*(Supuestos!$E$10-Supuestos!$D$10),IF(Supuestos!$C$10="Lognormal",LOGINV(G797,LN(Supuestos!$D$10)-LN(1+Supuestos!$E$10^2/Supuestos!$D$10^2)/2,SQRT(LN(1+Supuestos!$E$10^2/Supuestos!$D$10^2))),Supuestos!$D$10))))))</f>
        <v/>
      </c>
      <c r="O797" s="31">
        <f>MIN(IF(Supuestos!$H$11="",1E+99,Supuestos!$H$11),MAX(IF(Supuestos!$G$11="",-1E+99,Supuestos!$G$11),IF(Supuestos!$C$11="Normal",NORMINV(H797,Supuestos!$D$11,Supuestos!$E$11),IF(Supuestos!$C$11="Triangular",IF(H797&lt;(Supuestos!$E$11-Supuestos!$D$11)/(Supuestos!$F$11-Supuestos!$D$11),Supuestos!$D$11+SQRT(H797*(Supuestos!$F$11-Supuestos!$D$11)*(Supuestos!$E$11-Supuestos!$D$11)),Supuestos!$F$11-SQRT((1-H797)*(Supuestos!$F$11-Supuestos!$D$11)*(Supuestos!$F$11-Supuestos!$E$11))),IF(Supuestos!$C$11="Uniforme",Supuestos!$D$11+H797*(Supuestos!$E$11-Supuestos!$D$11),IF(Supuestos!$C$11="Lognormal",LOGINV(H797,LN(Supuestos!$D$11)-LN(1+Supuestos!$E$11^2/Supuestos!$D$11^2)/2,SQRT(LN(1+Supuestos!$E$11^2/Supuestos!$D$11^2))),Supuestos!$D$11))))))</f>
        <v/>
      </c>
      <c r="P797" s="33">
        <f>-I797</f>
        <v/>
      </c>
      <c r="Q797" s="33">
        <f>$J797*(1+$K797)^(1-1)*(1-$L797)*(1-$M797)</f>
        <v/>
      </c>
      <c r="R797" s="33">
        <f>$J797*(1+$K797)^(2-1)*(1-$L797)*(1-$M797)</f>
        <v/>
      </c>
      <c r="S797" s="33">
        <f>$J797*(1+$K797)^(3-1)*(1-$L797)*(1-$M797)</f>
        <v/>
      </c>
      <c r="T797" s="33">
        <f>$J797*(1+$K797)^(4-1)*(1-$L797)*(1-$M797)</f>
        <v/>
      </c>
      <c r="U797" s="33">
        <f>$J797*(1+$K797)^(5-1)*(1-$L797)*(1-$M797)+$O797</f>
        <v/>
      </c>
      <c r="V797" s="33">
        <f>P797+NPV($N797,Q797:U797)</f>
        <v/>
      </c>
      <c r="W797" s="32">
        <f>IFERROR(IRR(P797:U797,0.1),"")</f>
        <v/>
      </c>
    </row>
    <row r="798">
      <c r="A798" s="14" t="n">
        <v>794</v>
      </c>
      <c r="B798" s="30">
        <f>RAND()*(1-2E-6)+1E-6</f>
        <v/>
      </c>
      <c r="C798" s="30">
        <f>RAND()*(1-2E-6)+1E-6</f>
        <v/>
      </c>
      <c r="D798" s="30">
        <f>RAND()*(1-2E-6)+1E-6</f>
        <v/>
      </c>
      <c r="E798" s="30">
        <f>RAND()*(1-2E-6)+1E-6</f>
        <v/>
      </c>
      <c r="F798" s="30">
        <f>RAND()*(1-2E-6)+1E-6</f>
        <v/>
      </c>
      <c r="G798" s="30">
        <f>RAND()*(1-2E-6)+1E-6</f>
        <v/>
      </c>
      <c r="H798" s="30">
        <f>RAND()*(1-2E-6)+1E-6</f>
        <v/>
      </c>
      <c r="I798" s="31">
        <f>MIN(IF(Supuestos!$H$5="",1E+99,Supuestos!$H$5),MAX(IF(Supuestos!$G$5="",-1E+99,Supuestos!$G$5),IF(Supuestos!$C$5="Normal",NORMINV(B798,Supuestos!$D$5,Supuestos!$E$5),IF(Supuestos!$C$5="Triangular",IF(B798&lt;(Supuestos!$E$5-Supuestos!$D$5)/(Supuestos!$F$5-Supuestos!$D$5),Supuestos!$D$5+SQRT(B798*(Supuestos!$F$5-Supuestos!$D$5)*(Supuestos!$E$5-Supuestos!$D$5)),Supuestos!$F$5-SQRT((1-B798)*(Supuestos!$F$5-Supuestos!$D$5)*(Supuestos!$F$5-Supuestos!$E$5))),IF(Supuestos!$C$5="Uniforme",Supuestos!$D$5+B798*(Supuestos!$E$5-Supuestos!$D$5),IF(Supuestos!$C$5="Lognormal",LOGINV(B798,LN(Supuestos!$D$5)-LN(1+Supuestos!$E$5^2/Supuestos!$D$5^2)/2,SQRT(LN(1+Supuestos!$E$5^2/Supuestos!$D$5^2))),Supuestos!$D$5))))))</f>
        <v/>
      </c>
      <c r="J798" s="31">
        <f>MIN(IF(Supuestos!$H$6="",1E+99,Supuestos!$H$6),MAX(IF(Supuestos!$G$6="",-1E+99,Supuestos!$G$6),IF(Supuestos!$C$6="Normal",NORMINV(C798,Supuestos!$D$6,Supuestos!$E$6),IF(Supuestos!$C$6="Triangular",IF(C798&lt;(Supuestos!$E$6-Supuestos!$D$6)/(Supuestos!$F$6-Supuestos!$D$6),Supuestos!$D$6+SQRT(C798*(Supuestos!$F$6-Supuestos!$D$6)*(Supuestos!$E$6-Supuestos!$D$6)),Supuestos!$F$6-SQRT((1-C798)*(Supuestos!$F$6-Supuestos!$D$6)*(Supuestos!$F$6-Supuestos!$E$6))),IF(Supuestos!$C$6="Uniforme",Supuestos!$D$6+C798*(Supuestos!$E$6-Supuestos!$D$6),IF(Supuestos!$C$6="Lognormal",LOGINV(C798,LN(Supuestos!$D$6)-LN(1+Supuestos!$E$6^2/Supuestos!$D$6^2)/2,SQRT(LN(1+Supuestos!$E$6^2/Supuestos!$D$6^2))),Supuestos!$D$6))))))</f>
        <v/>
      </c>
      <c r="K798" s="32">
        <f>MIN(IF(Supuestos!$H$7="",1E+99,Supuestos!$H$7),MAX(IF(Supuestos!$G$7="",-1E+99,Supuestos!$G$7),IF(Supuestos!$C$7="Normal",NORMINV(D798,Supuestos!$D$7,Supuestos!$E$7),IF(Supuestos!$C$7="Triangular",IF(D798&lt;(Supuestos!$E$7-Supuestos!$D$7)/(Supuestos!$F$7-Supuestos!$D$7),Supuestos!$D$7+SQRT(D798*(Supuestos!$F$7-Supuestos!$D$7)*(Supuestos!$E$7-Supuestos!$D$7)),Supuestos!$F$7-SQRT((1-D798)*(Supuestos!$F$7-Supuestos!$D$7)*(Supuestos!$F$7-Supuestos!$E$7))),IF(Supuestos!$C$7="Uniforme",Supuestos!$D$7+D798*(Supuestos!$E$7-Supuestos!$D$7),IF(Supuestos!$C$7="Lognormal",LOGINV(D798,LN(Supuestos!$D$7)-LN(1+Supuestos!$E$7^2/Supuestos!$D$7^2)/2,SQRT(LN(1+Supuestos!$E$7^2/Supuestos!$D$7^2))),Supuestos!$D$7))))))</f>
        <v/>
      </c>
      <c r="L798" s="32">
        <f>MIN(IF(Supuestos!$H$8="",1E+99,Supuestos!$H$8),MAX(IF(Supuestos!$G$8="",-1E+99,Supuestos!$G$8),IF(Supuestos!$C$8="Normal",NORMINV(E798,Supuestos!$D$8,Supuestos!$E$8),IF(Supuestos!$C$8="Triangular",IF(E798&lt;(Supuestos!$E$8-Supuestos!$D$8)/(Supuestos!$F$8-Supuestos!$D$8),Supuestos!$D$8+SQRT(E798*(Supuestos!$F$8-Supuestos!$D$8)*(Supuestos!$E$8-Supuestos!$D$8)),Supuestos!$F$8-SQRT((1-E798)*(Supuestos!$F$8-Supuestos!$D$8)*(Supuestos!$F$8-Supuestos!$E$8))),IF(Supuestos!$C$8="Uniforme",Supuestos!$D$8+E798*(Supuestos!$E$8-Supuestos!$D$8),IF(Supuestos!$C$8="Lognormal",LOGINV(E798,LN(Supuestos!$D$8)-LN(1+Supuestos!$E$8^2/Supuestos!$D$8^2)/2,SQRT(LN(1+Supuestos!$E$8^2/Supuestos!$D$8^2))),Supuestos!$D$8))))))</f>
        <v/>
      </c>
      <c r="M798" s="32">
        <f>MIN(IF(Supuestos!$H$9="",1E+99,Supuestos!$H$9),MAX(IF(Supuestos!$G$9="",-1E+99,Supuestos!$G$9),IF(Supuestos!$C$9="Normal",NORMINV(F798,Supuestos!$D$9,Supuestos!$E$9),IF(Supuestos!$C$9="Triangular",IF(F798&lt;(Supuestos!$E$9-Supuestos!$D$9)/(Supuestos!$F$9-Supuestos!$D$9),Supuestos!$D$9+SQRT(F798*(Supuestos!$F$9-Supuestos!$D$9)*(Supuestos!$E$9-Supuestos!$D$9)),Supuestos!$F$9-SQRT((1-F798)*(Supuestos!$F$9-Supuestos!$D$9)*(Supuestos!$F$9-Supuestos!$E$9))),IF(Supuestos!$C$9="Uniforme",Supuestos!$D$9+F798*(Supuestos!$E$9-Supuestos!$D$9),IF(Supuestos!$C$9="Lognormal",LOGINV(F798,LN(Supuestos!$D$9)-LN(1+Supuestos!$E$9^2/Supuestos!$D$9^2)/2,SQRT(LN(1+Supuestos!$E$9^2/Supuestos!$D$9^2))),Supuestos!$D$9))))))</f>
        <v/>
      </c>
      <c r="N798" s="32">
        <f>MIN(IF(Supuestos!$H$10="",1E+99,Supuestos!$H$10),MAX(IF(Supuestos!$G$10="",-1E+99,Supuestos!$G$10),IF(Supuestos!$C$10="Normal",NORMINV(G798,Supuestos!$D$10,Supuestos!$E$10),IF(Supuestos!$C$10="Triangular",IF(G798&lt;(Supuestos!$E$10-Supuestos!$D$10)/(Supuestos!$F$10-Supuestos!$D$10),Supuestos!$D$10+SQRT(G798*(Supuestos!$F$10-Supuestos!$D$10)*(Supuestos!$E$10-Supuestos!$D$10)),Supuestos!$F$10-SQRT((1-G798)*(Supuestos!$F$10-Supuestos!$D$10)*(Supuestos!$F$10-Supuestos!$E$10))),IF(Supuestos!$C$10="Uniforme",Supuestos!$D$10+G798*(Supuestos!$E$10-Supuestos!$D$10),IF(Supuestos!$C$10="Lognormal",LOGINV(G798,LN(Supuestos!$D$10)-LN(1+Supuestos!$E$10^2/Supuestos!$D$10^2)/2,SQRT(LN(1+Supuestos!$E$10^2/Supuestos!$D$10^2))),Supuestos!$D$10))))))</f>
        <v/>
      </c>
      <c r="O798" s="31">
        <f>MIN(IF(Supuestos!$H$11="",1E+99,Supuestos!$H$11),MAX(IF(Supuestos!$G$11="",-1E+99,Supuestos!$G$11),IF(Supuestos!$C$11="Normal",NORMINV(H798,Supuestos!$D$11,Supuestos!$E$11),IF(Supuestos!$C$11="Triangular",IF(H798&lt;(Supuestos!$E$11-Supuestos!$D$11)/(Supuestos!$F$11-Supuestos!$D$11),Supuestos!$D$11+SQRT(H798*(Supuestos!$F$11-Supuestos!$D$11)*(Supuestos!$E$11-Supuestos!$D$11)),Supuestos!$F$11-SQRT((1-H798)*(Supuestos!$F$11-Supuestos!$D$11)*(Supuestos!$F$11-Supuestos!$E$11))),IF(Supuestos!$C$11="Uniforme",Supuestos!$D$11+H798*(Supuestos!$E$11-Supuestos!$D$11),IF(Supuestos!$C$11="Lognormal",LOGINV(H798,LN(Supuestos!$D$11)-LN(1+Supuestos!$E$11^2/Supuestos!$D$11^2)/2,SQRT(LN(1+Supuestos!$E$11^2/Supuestos!$D$11^2))),Supuestos!$D$11))))))</f>
        <v/>
      </c>
      <c r="P798" s="33">
        <f>-I798</f>
        <v/>
      </c>
      <c r="Q798" s="33">
        <f>$J798*(1+$K798)^(1-1)*(1-$L798)*(1-$M798)</f>
        <v/>
      </c>
      <c r="R798" s="33">
        <f>$J798*(1+$K798)^(2-1)*(1-$L798)*(1-$M798)</f>
        <v/>
      </c>
      <c r="S798" s="33">
        <f>$J798*(1+$K798)^(3-1)*(1-$L798)*(1-$M798)</f>
        <v/>
      </c>
      <c r="T798" s="33">
        <f>$J798*(1+$K798)^(4-1)*(1-$L798)*(1-$M798)</f>
        <v/>
      </c>
      <c r="U798" s="33">
        <f>$J798*(1+$K798)^(5-1)*(1-$L798)*(1-$M798)+$O798</f>
        <v/>
      </c>
      <c r="V798" s="33">
        <f>P798+NPV($N798,Q798:U798)</f>
        <v/>
      </c>
      <c r="W798" s="32">
        <f>IFERROR(IRR(P798:U798,0.1),"")</f>
        <v/>
      </c>
    </row>
    <row r="799">
      <c r="A799" s="14" t="n">
        <v>795</v>
      </c>
      <c r="B799" s="30">
        <f>RAND()*(1-2E-6)+1E-6</f>
        <v/>
      </c>
      <c r="C799" s="30">
        <f>RAND()*(1-2E-6)+1E-6</f>
        <v/>
      </c>
      <c r="D799" s="30">
        <f>RAND()*(1-2E-6)+1E-6</f>
        <v/>
      </c>
      <c r="E799" s="30">
        <f>RAND()*(1-2E-6)+1E-6</f>
        <v/>
      </c>
      <c r="F799" s="30">
        <f>RAND()*(1-2E-6)+1E-6</f>
        <v/>
      </c>
      <c r="G799" s="30">
        <f>RAND()*(1-2E-6)+1E-6</f>
        <v/>
      </c>
      <c r="H799" s="30">
        <f>RAND()*(1-2E-6)+1E-6</f>
        <v/>
      </c>
      <c r="I799" s="31">
        <f>MIN(IF(Supuestos!$H$5="",1E+99,Supuestos!$H$5),MAX(IF(Supuestos!$G$5="",-1E+99,Supuestos!$G$5),IF(Supuestos!$C$5="Normal",NORMINV(B799,Supuestos!$D$5,Supuestos!$E$5),IF(Supuestos!$C$5="Triangular",IF(B799&lt;(Supuestos!$E$5-Supuestos!$D$5)/(Supuestos!$F$5-Supuestos!$D$5),Supuestos!$D$5+SQRT(B799*(Supuestos!$F$5-Supuestos!$D$5)*(Supuestos!$E$5-Supuestos!$D$5)),Supuestos!$F$5-SQRT((1-B799)*(Supuestos!$F$5-Supuestos!$D$5)*(Supuestos!$F$5-Supuestos!$E$5))),IF(Supuestos!$C$5="Uniforme",Supuestos!$D$5+B799*(Supuestos!$E$5-Supuestos!$D$5),IF(Supuestos!$C$5="Lognormal",LOGINV(B799,LN(Supuestos!$D$5)-LN(1+Supuestos!$E$5^2/Supuestos!$D$5^2)/2,SQRT(LN(1+Supuestos!$E$5^2/Supuestos!$D$5^2))),Supuestos!$D$5))))))</f>
        <v/>
      </c>
      <c r="J799" s="31">
        <f>MIN(IF(Supuestos!$H$6="",1E+99,Supuestos!$H$6),MAX(IF(Supuestos!$G$6="",-1E+99,Supuestos!$G$6),IF(Supuestos!$C$6="Normal",NORMINV(C799,Supuestos!$D$6,Supuestos!$E$6),IF(Supuestos!$C$6="Triangular",IF(C799&lt;(Supuestos!$E$6-Supuestos!$D$6)/(Supuestos!$F$6-Supuestos!$D$6),Supuestos!$D$6+SQRT(C799*(Supuestos!$F$6-Supuestos!$D$6)*(Supuestos!$E$6-Supuestos!$D$6)),Supuestos!$F$6-SQRT((1-C799)*(Supuestos!$F$6-Supuestos!$D$6)*(Supuestos!$F$6-Supuestos!$E$6))),IF(Supuestos!$C$6="Uniforme",Supuestos!$D$6+C799*(Supuestos!$E$6-Supuestos!$D$6),IF(Supuestos!$C$6="Lognormal",LOGINV(C799,LN(Supuestos!$D$6)-LN(1+Supuestos!$E$6^2/Supuestos!$D$6^2)/2,SQRT(LN(1+Supuestos!$E$6^2/Supuestos!$D$6^2))),Supuestos!$D$6))))))</f>
        <v/>
      </c>
      <c r="K799" s="32">
        <f>MIN(IF(Supuestos!$H$7="",1E+99,Supuestos!$H$7),MAX(IF(Supuestos!$G$7="",-1E+99,Supuestos!$G$7),IF(Supuestos!$C$7="Normal",NORMINV(D799,Supuestos!$D$7,Supuestos!$E$7),IF(Supuestos!$C$7="Triangular",IF(D799&lt;(Supuestos!$E$7-Supuestos!$D$7)/(Supuestos!$F$7-Supuestos!$D$7),Supuestos!$D$7+SQRT(D799*(Supuestos!$F$7-Supuestos!$D$7)*(Supuestos!$E$7-Supuestos!$D$7)),Supuestos!$F$7-SQRT((1-D799)*(Supuestos!$F$7-Supuestos!$D$7)*(Supuestos!$F$7-Supuestos!$E$7))),IF(Supuestos!$C$7="Uniforme",Supuestos!$D$7+D799*(Supuestos!$E$7-Supuestos!$D$7),IF(Supuestos!$C$7="Lognormal",LOGINV(D799,LN(Supuestos!$D$7)-LN(1+Supuestos!$E$7^2/Supuestos!$D$7^2)/2,SQRT(LN(1+Supuestos!$E$7^2/Supuestos!$D$7^2))),Supuestos!$D$7))))))</f>
        <v/>
      </c>
      <c r="L799" s="32">
        <f>MIN(IF(Supuestos!$H$8="",1E+99,Supuestos!$H$8),MAX(IF(Supuestos!$G$8="",-1E+99,Supuestos!$G$8),IF(Supuestos!$C$8="Normal",NORMINV(E799,Supuestos!$D$8,Supuestos!$E$8),IF(Supuestos!$C$8="Triangular",IF(E799&lt;(Supuestos!$E$8-Supuestos!$D$8)/(Supuestos!$F$8-Supuestos!$D$8),Supuestos!$D$8+SQRT(E799*(Supuestos!$F$8-Supuestos!$D$8)*(Supuestos!$E$8-Supuestos!$D$8)),Supuestos!$F$8-SQRT((1-E799)*(Supuestos!$F$8-Supuestos!$D$8)*(Supuestos!$F$8-Supuestos!$E$8))),IF(Supuestos!$C$8="Uniforme",Supuestos!$D$8+E799*(Supuestos!$E$8-Supuestos!$D$8),IF(Supuestos!$C$8="Lognormal",LOGINV(E799,LN(Supuestos!$D$8)-LN(1+Supuestos!$E$8^2/Supuestos!$D$8^2)/2,SQRT(LN(1+Supuestos!$E$8^2/Supuestos!$D$8^2))),Supuestos!$D$8))))))</f>
        <v/>
      </c>
      <c r="M799" s="32">
        <f>MIN(IF(Supuestos!$H$9="",1E+99,Supuestos!$H$9),MAX(IF(Supuestos!$G$9="",-1E+99,Supuestos!$G$9),IF(Supuestos!$C$9="Normal",NORMINV(F799,Supuestos!$D$9,Supuestos!$E$9),IF(Supuestos!$C$9="Triangular",IF(F799&lt;(Supuestos!$E$9-Supuestos!$D$9)/(Supuestos!$F$9-Supuestos!$D$9),Supuestos!$D$9+SQRT(F799*(Supuestos!$F$9-Supuestos!$D$9)*(Supuestos!$E$9-Supuestos!$D$9)),Supuestos!$F$9-SQRT((1-F799)*(Supuestos!$F$9-Supuestos!$D$9)*(Supuestos!$F$9-Supuestos!$E$9))),IF(Supuestos!$C$9="Uniforme",Supuestos!$D$9+F799*(Supuestos!$E$9-Supuestos!$D$9),IF(Supuestos!$C$9="Lognormal",LOGINV(F799,LN(Supuestos!$D$9)-LN(1+Supuestos!$E$9^2/Supuestos!$D$9^2)/2,SQRT(LN(1+Supuestos!$E$9^2/Supuestos!$D$9^2))),Supuestos!$D$9))))))</f>
        <v/>
      </c>
      <c r="N799" s="32">
        <f>MIN(IF(Supuestos!$H$10="",1E+99,Supuestos!$H$10),MAX(IF(Supuestos!$G$10="",-1E+99,Supuestos!$G$10),IF(Supuestos!$C$10="Normal",NORMINV(G799,Supuestos!$D$10,Supuestos!$E$10),IF(Supuestos!$C$10="Triangular",IF(G799&lt;(Supuestos!$E$10-Supuestos!$D$10)/(Supuestos!$F$10-Supuestos!$D$10),Supuestos!$D$10+SQRT(G799*(Supuestos!$F$10-Supuestos!$D$10)*(Supuestos!$E$10-Supuestos!$D$10)),Supuestos!$F$10-SQRT((1-G799)*(Supuestos!$F$10-Supuestos!$D$10)*(Supuestos!$F$10-Supuestos!$E$10))),IF(Supuestos!$C$10="Uniforme",Supuestos!$D$10+G799*(Supuestos!$E$10-Supuestos!$D$10),IF(Supuestos!$C$10="Lognormal",LOGINV(G799,LN(Supuestos!$D$10)-LN(1+Supuestos!$E$10^2/Supuestos!$D$10^2)/2,SQRT(LN(1+Supuestos!$E$10^2/Supuestos!$D$10^2))),Supuestos!$D$10))))))</f>
        <v/>
      </c>
      <c r="O799" s="31">
        <f>MIN(IF(Supuestos!$H$11="",1E+99,Supuestos!$H$11),MAX(IF(Supuestos!$G$11="",-1E+99,Supuestos!$G$11),IF(Supuestos!$C$11="Normal",NORMINV(H799,Supuestos!$D$11,Supuestos!$E$11),IF(Supuestos!$C$11="Triangular",IF(H799&lt;(Supuestos!$E$11-Supuestos!$D$11)/(Supuestos!$F$11-Supuestos!$D$11),Supuestos!$D$11+SQRT(H799*(Supuestos!$F$11-Supuestos!$D$11)*(Supuestos!$E$11-Supuestos!$D$11)),Supuestos!$F$11-SQRT((1-H799)*(Supuestos!$F$11-Supuestos!$D$11)*(Supuestos!$F$11-Supuestos!$E$11))),IF(Supuestos!$C$11="Uniforme",Supuestos!$D$11+H799*(Supuestos!$E$11-Supuestos!$D$11),IF(Supuestos!$C$11="Lognormal",LOGINV(H799,LN(Supuestos!$D$11)-LN(1+Supuestos!$E$11^2/Supuestos!$D$11^2)/2,SQRT(LN(1+Supuestos!$E$11^2/Supuestos!$D$11^2))),Supuestos!$D$11))))))</f>
        <v/>
      </c>
      <c r="P799" s="33">
        <f>-I799</f>
        <v/>
      </c>
      <c r="Q799" s="33">
        <f>$J799*(1+$K799)^(1-1)*(1-$L799)*(1-$M799)</f>
        <v/>
      </c>
      <c r="R799" s="33">
        <f>$J799*(1+$K799)^(2-1)*(1-$L799)*(1-$M799)</f>
        <v/>
      </c>
      <c r="S799" s="33">
        <f>$J799*(1+$K799)^(3-1)*(1-$L799)*(1-$M799)</f>
        <v/>
      </c>
      <c r="T799" s="33">
        <f>$J799*(1+$K799)^(4-1)*(1-$L799)*(1-$M799)</f>
        <v/>
      </c>
      <c r="U799" s="33">
        <f>$J799*(1+$K799)^(5-1)*(1-$L799)*(1-$M799)+$O799</f>
        <v/>
      </c>
      <c r="V799" s="33">
        <f>P799+NPV($N799,Q799:U799)</f>
        <v/>
      </c>
      <c r="W799" s="32">
        <f>IFERROR(IRR(P799:U799,0.1),"")</f>
        <v/>
      </c>
    </row>
    <row r="800">
      <c r="A800" s="14" t="n">
        <v>796</v>
      </c>
      <c r="B800" s="30">
        <f>RAND()*(1-2E-6)+1E-6</f>
        <v/>
      </c>
      <c r="C800" s="30">
        <f>RAND()*(1-2E-6)+1E-6</f>
        <v/>
      </c>
      <c r="D800" s="30">
        <f>RAND()*(1-2E-6)+1E-6</f>
        <v/>
      </c>
      <c r="E800" s="30">
        <f>RAND()*(1-2E-6)+1E-6</f>
        <v/>
      </c>
      <c r="F800" s="30">
        <f>RAND()*(1-2E-6)+1E-6</f>
        <v/>
      </c>
      <c r="G800" s="30">
        <f>RAND()*(1-2E-6)+1E-6</f>
        <v/>
      </c>
      <c r="H800" s="30">
        <f>RAND()*(1-2E-6)+1E-6</f>
        <v/>
      </c>
      <c r="I800" s="31">
        <f>MIN(IF(Supuestos!$H$5="",1E+99,Supuestos!$H$5),MAX(IF(Supuestos!$G$5="",-1E+99,Supuestos!$G$5),IF(Supuestos!$C$5="Normal",NORMINV(B800,Supuestos!$D$5,Supuestos!$E$5),IF(Supuestos!$C$5="Triangular",IF(B800&lt;(Supuestos!$E$5-Supuestos!$D$5)/(Supuestos!$F$5-Supuestos!$D$5),Supuestos!$D$5+SQRT(B800*(Supuestos!$F$5-Supuestos!$D$5)*(Supuestos!$E$5-Supuestos!$D$5)),Supuestos!$F$5-SQRT((1-B800)*(Supuestos!$F$5-Supuestos!$D$5)*(Supuestos!$F$5-Supuestos!$E$5))),IF(Supuestos!$C$5="Uniforme",Supuestos!$D$5+B800*(Supuestos!$E$5-Supuestos!$D$5),IF(Supuestos!$C$5="Lognormal",LOGINV(B800,LN(Supuestos!$D$5)-LN(1+Supuestos!$E$5^2/Supuestos!$D$5^2)/2,SQRT(LN(1+Supuestos!$E$5^2/Supuestos!$D$5^2))),Supuestos!$D$5))))))</f>
        <v/>
      </c>
      <c r="J800" s="31">
        <f>MIN(IF(Supuestos!$H$6="",1E+99,Supuestos!$H$6),MAX(IF(Supuestos!$G$6="",-1E+99,Supuestos!$G$6),IF(Supuestos!$C$6="Normal",NORMINV(C800,Supuestos!$D$6,Supuestos!$E$6),IF(Supuestos!$C$6="Triangular",IF(C800&lt;(Supuestos!$E$6-Supuestos!$D$6)/(Supuestos!$F$6-Supuestos!$D$6),Supuestos!$D$6+SQRT(C800*(Supuestos!$F$6-Supuestos!$D$6)*(Supuestos!$E$6-Supuestos!$D$6)),Supuestos!$F$6-SQRT((1-C800)*(Supuestos!$F$6-Supuestos!$D$6)*(Supuestos!$F$6-Supuestos!$E$6))),IF(Supuestos!$C$6="Uniforme",Supuestos!$D$6+C800*(Supuestos!$E$6-Supuestos!$D$6),IF(Supuestos!$C$6="Lognormal",LOGINV(C800,LN(Supuestos!$D$6)-LN(1+Supuestos!$E$6^2/Supuestos!$D$6^2)/2,SQRT(LN(1+Supuestos!$E$6^2/Supuestos!$D$6^2))),Supuestos!$D$6))))))</f>
        <v/>
      </c>
      <c r="K800" s="32">
        <f>MIN(IF(Supuestos!$H$7="",1E+99,Supuestos!$H$7),MAX(IF(Supuestos!$G$7="",-1E+99,Supuestos!$G$7),IF(Supuestos!$C$7="Normal",NORMINV(D800,Supuestos!$D$7,Supuestos!$E$7),IF(Supuestos!$C$7="Triangular",IF(D800&lt;(Supuestos!$E$7-Supuestos!$D$7)/(Supuestos!$F$7-Supuestos!$D$7),Supuestos!$D$7+SQRT(D800*(Supuestos!$F$7-Supuestos!$D$7)*(Supuestos!$E$7-Supuestos!$D$7)),Supuestos!$F$7-SQRT((1-D800)*(Supuestos!$F$7-Supuestos!$D$7)*(Supuestos!$F$7-Supuestos!$E$7))),IF(Supuestos!$C$7="Uniforme",Supuestos!$D$7+D800*(Supuestos!$E$7-Supuestos!$D$7),IF(Supuestos!$C$7="Lognormal",LOGINV(D800,LN(Supuestos!$D$7)-LN(1+Supuestos!$E$7^2/Supuestos!$D$7^2)/2,SQRT(LN(1+Supuestos!$E$7^2/Supuestos!$D$7^2))),Supuestos!$D$7))))))</f>
        <v/>
      </c>
      <c r="L800" s="32">
        <f>MIN(IF(Supuestos!$H$8="",1E+99,Supuestos!$H$8),MAX(IF(Supuestos!$G$8="",-1E+99,Supuestos!$G$8),IF(Supuestos!$C$8="Normal",NORMINV(E800,Supuestos!$D$8,Supuestos!$E$8),IF(Supuestos!$C$8="Triangular",IF(E800&lt;(Supuestos!$E$8-Supuestos!$D$8)/(Supuestos!$F$8-Supuestos!$D$8),Supuestos!$D$8+SQRT(E800*(Supuestos!$F$8-Supuestos!$D$8)*(Supuestos!$E$8-Supuestos!$D$8)),Supuestos!$F$8-SQRT((1-E800)*(Supuestos!$F$8-Supuestos!$D$8)*(Supuestos!$F$8-Supuestos!$E$8))),IF(Supuestos!$C$8="Uniforme",Supuestos!$D$8+E800*(Supuestos!$E$8-Supuestos!$D$8),IF(Supuestos!$C$8="Lognormal",LOGINV(E800,LN(Supuestos!$D$8)-LN(1+Supuestos!$E$8^2/Supuestos!$D$8^2)/2,SQRT(LN(1+Supuestos!$E$8^2/Supuestos!$D$8^2))),Supuestos!$D$8))))))</f>
        <v/>
      </c>
      <c r="M800" s="32">
        <f>MIN(IF(Supuestos!$H$9="",1E+99,Supuestos!$H$9),MAX(IF(Supuestos!$G$9="",-1E+99,Supuestos!$G$9),IF(Supuestos!$C$9="Normal",NORMINV(F800,Supuestos!$D$9,Supuestos!$E$9),IF(Supuestos!$C$9="Triangular",IF(F800&lt;(Supuestos!$E$9-Supuestos!$D$9)/(Supuestos!$F$9-Supuestos!$D$9),Supuestos!$D$9+SQRT(F800*(Supuestos!$F$9-Supuestos!$D$9)*(Supuestos!$E$9-Supuestos!$D$9)),Supuestos!$F$9-SQRT((1-F800)*(Supuestos!$F$9-Supuestos!$D$9)*(Supuestos!$F$9-Supuestos!$E$9))),IF(Supuestos!$C$9="Uniforme",Supuestos!$D$9+F800*(Supuestos!$E$9-Supuestos!$D$9),IF(Supuestos!$C$9="Lognormal",LOGINV(F800,LN(Supuestos!$D$9)-LN(1+Supuestos!$E$9^2/Supuestos!$D$9^2)/2,SQRT(LN(1+Supuestos!$E$9^2/Supuestos!$D$9^2))),Supuestos!$D$9))))))</f>
        <v/>
      </c>
      <c r="N800" s="32">
        <f>MIN(IF(Supuestos!$H$10="",1E+99,Supuestos!$H$10),MAX(IF(Supuestos!$G$10="",-1E+99,Supuestos!$G$10),IF(Supuestos!$C$10="Normal",NORMINV(G800,Supuestos!$D$10,Supuestos!$E$10),IF(Supuestos!$C$10="Triangular",IF(G800&lt;(Supuestos!$E$10-Supuestos!$D$10)/(Supuestos!$F$10-Supuestos!$D$10),Supuestos!$D$10+SQRT(G800*(Supuestos!$F$10-Supuestos!$D$10)*(Supuestos!$E$10-Supuestos!$D$10)),Supuestos!$F$10-SQRT((1-G800)*(Supuestos!$F$10-Supuestos!$D$10)*(Supuestos!$F$10-Supuestos!$E$10))),IF(Supuestos!$C$10="Uniforme",Supuestos!$D$10+G800*(Supuestos!$E$10-Supuestos!$D$10),IF(Supuestos!$C$10="Lognormal",LOGINV(G800,LN(Supuestos!$D$10)-LN(1+Supuestos!$E$10^2/Supuestos!$D$10^2)/2,SQRT(LN(1+Supuestos!$E$10^2/Supuestos!$D$10^2))),Supuestos!$D$10))))))</f>
        <v/>
      </c>
      <c r="O800" s="31">
        <f>MIN(IF(Supuestos!$H$11="",1E+99,Supuestos!$H$11),MAX(IF(Supuestos!$G$11="",-1E+99,Supuestos!$G$11),IF(Supuestos!$C$11="Normal",NORMINV(H800,Supuestos!$D$11,Supuestos!$E$11),IF(Supuestos!$C$11="Triangular",IF(H800&lt;(Supuestos!$E$11-Supuestos!$D$11)/(Supuestos!$F$11-Supuestos!$D$11),Supuestos!$D$11+SQRT(H800*(Supuestos!$F$11-Supuestos!$D$11)*(Supuestos!$E$11-Supuestos!$D$11)),Supuestos!$F$11-SQRT((1-H800)*(Supuestos!$F$11-Supuestos!$D$11)*(Supuestos!$F$11-Supuestos!$E$11))),IF(Supuestos!$C$11="Uniforme",Supuestos!$D$11+H800*(Supuestos!$E$11-Supuestos!$D$11),IF(Supuestos!$C$11="Lognormal",LOGINV(H800,LN(Supuestos!$D$11)-LN(1+Supuestos!$E$11^2/Supuestos!$D$11^2)/2,SQRT(LN(1+Supuestos!$E$11^2/Supuestos!$D$11^2))),Supuestos!$D$11))))))</f>
        <v/>
      </c>
      <c r="P800" s="33">
        <f>-I800</f>
        <v/>
      </c>
      <c r="Q800" s="33">
        <f>$J800*(1+$K800)^(1-1)*(1-$L800)*(1-$M800)</f>
        <v/>
      </c>
      <c r="R800" s="33">
        <f>$J800*(1+$K800)^(2-1)*(1-$L800)*(1-$M800)</f>
        <v/>
      </c>
      <c r="S800" s="33">
        <f>$J800*(1+$K800)^(3-1)*(1-$L800)*(1-$M800)</f>
        <v/>
      </c>
      <c r="T800" s="33">
        <f>$J800*(1+$K800)^(4-1)*(1-$L800)*(1-$M800)</f>
        <v/>
      </c>
      <c r="U800" s="33">
        <f>$J800*(1+$K800)^(5-1)*(1-$L800)*(1-$M800)+$O800</f>
        <v/>
      </c>
      <c r="V800" s="33">
        <f>P800+NPV($N800,Q800:U800)</f>
        <v/>
      </c>
      <c r="W800" s="32">
        <f>IFERROR(IRR(P800:U800,0.1),"")</f>
        <v/>
      </c>
    </row>
    <row r="801">
      <c r="A801" s="14" t="n">
        <v>797</v>
      </c>
      <c r="B801" s="30">
        <f>RAND()*(1-2E-6)+1E-6</f>
        <v/>
      </c>
      <c r="C801" s="30">
        <f>RAND()*(1-2E-6)+1E-6</f>
        <v/>
      </c>
      <c r="D801" s="30">
        <f>RAND()*(1-2E-6)+1E-6</f>
        <v/>
      </c>
      <c r="E801" s="30">
        <f>RAND()*(1-2E-6)+1E-6</f>
        <v/>
      </c>
      <c r="F801" s="30">
        <f>RAND()*(1-2E-6)+1E-6</f>
        <v/>
      </c>
      <c r="G801" s="30">
        <f>RAND()*(1-2E-6)+1E-6</f>
        <v/>
      </c>
      <c r="H801" s="30">
        <f>RAND()*(1-2E-6)+1E-6</f>
        <v/>
      </c>
      <c r="I801" s="31">
        <f>MIN(IF(Supuestos!$H$5="",1E+99,Supuestos!$H$5),MAX(IF(Supuestos!$G$5="",-1E+99,Supuestos!$G$5),IF(Supuestos!$C$5="Normal",NORMINV(B801,Supuestos!$D$5,Supuestos!$E$5),IF(Supuestos!$C$5="Triangular",IF(B801&lt;(Supuestos!$E$5-Supuestos!$D$5)/(Supuestos!$F$5-Supuestos!$D$5),Supuestos!$D$5+SQRT(B801*(Supuestos!$F$5-Supuestos!$D$5)*(Supuestos!$E$5-Supuestos!$D$5)),Supuestos!$F$5-SQRT((1-B801)*(Supuestos!$F$5-Supuestos!$D$5)*(Supuestos!$F$5-Supuestos!$E$5))),IF(Supuestos!$C$5="Uniforme",Supuestos!$D$5+B801*(Supuestos!$E$5-Supuestos!$D$5),IF(Supuestos!$C$5="Lognormal",LOGINV(B801,LN(Supuestos!$D$5)-LN(1+Supuestos!$E$5^2/Supuestos!$D$5^2)/2,SQRT(LN(1+Supuestos!$E$5^2/Supuestos!$D$5^2))),Supuestos!$D$5))))))</f>
        <v/>
      </c>
      <c r="J801" s="31">
        <f>MIN(IF(Supuestos!$H$6="",1E+99,Supuestos!$H$6),MAX(IF(Supuestos!$G$6="",-1E+99,Supuestos!$G$6),IF(Supuestos!$C$6="Normal",NORMINV(C801,Supuestos!$D$6,Supuestos!$E$6),IF(Supuestos!$C$6="Triangular",IF(C801&lt;(Supuestos!$E$6-Supuestos!$D$6)/(Supuestos!$F$6-Supuestos!$D$6),Supuestos!$D$6+SQRT(C801*(Supuestos!$F$6-Supuestos!$D$6)*(Supuestos!$E$6-Supuestos!$D$6)),Supuestos!$F$6-SQRT((1-C801)*(Supuestos!$F$6-Supuestos!$D$6)*(Supuestos!$F$6-Supuestos!$E$6))),IF(Supuestos!$C$6="Uniforme",Supuestos!$D$6+C801*(Supuestos!$E$6-Supuestos!$D$6),IF(Supuestos!$C$6="Lognormal",LOGINV(C801,LN(Supuestos!$D$6)-LN(1+Supuestos!$E$6^2/Supuestos!$D$6^2)/2,SQRT(LN(1+Supuestos!$E$6^2/Supuestos!$D$6^2))),Supuestos!$D$6))))))</f>
        <v/>
      </c>
      <c r="K801" s="32">
        <f>MIN(IF(Supuestos!$H$7="",1E+99,Supuestos!$H$7),MAX(IF(Supuestos!$G$7="",-1E+99,Supuestos!$G$7),IF(Supuestos!$C$7="Normal",NORMINV(D801,Supuestos!$D$7,Supuestos!$E$7),IF(Supuestos!$C$7="Triangular",IF(D801&lt;(Supuestos!$E$7-Supuestos!$D$7)/(Supuestos!$F$7-Supuestos!$D$7),Supuestos!$D$7+SQRT(D801*(Supuestos!$F$7-Supuestos!$D$7)*(Supuestos!$E$7-Supuestos!$D$7)),Supuestos!$F$7-SQRT((1-D801)*(Supuestos!$F$7-Supuestos!$D$7)*(Supuestos!$F$7-Supuestos!$E$7))),IF(Supuestos!$C$7="Uniforme",Supuestos!$D$7+D801*(Supuestos!$E$7-Supuestos!$D$7),IF(Supuestos!$C$7="Lognormal",LOGINV(D801,LN(Supuestos!$D$7)-LN(1+Supuestos!$E$7^2/Supuestos!$D$7^2)/2,SQRT(LN(1+Supuestos!$E$7^2/Supuestos!$D$7^2))),Supuestos!$D$7))))))</f>
        <v/>
      </c>
      <c r="L801" s="32">
        <f>MIN(IF(Supuestos!$H$8="",1E+99,Supuestos!$H$8),MAX(IF(Supuestos!$G$8="",-1E+99,Supuestos!$G$8),IF(Supuestos!$C$8="Normal",NORMINV(E801,Supuestos!$D$8,Supuestos!$E$8),IF(Supuestos!$C$8="Triangular",IF(E801&lt;(Supuestos!$E$8-Supuestos!$D$8)/(Supuestos!$F$8-Supuestos!$D$8),Supuestos!$D$8+SQRT(E801*(Supuestos!$F$8-Supuestos!$D$8)*(Supuestos!$E$8-Supuestos!$D$8)),Supuestos!$F$8-SQRT((1-E801)*(Supuestos!$F$8-Supuestos!$D$8)*(Supuestos!$F$8-Supuestos!$E$8))),IF(Supuestos!$C$8="Uniforme",Supuestos!$D$8+E801*(Supuestos!$E$8-Supuestos!$D$8),IF(Supuestos!$C$8="Lognormal",LOGINV(E801,LN(Supuestos!$D$8)-LN(1+Supuestos!$E$8^2/Supuestos!$D$8^2)/2,SQRT(LN(1+Supuestos!$E$8^2/Supuestos!$D$8^2))),Supuestos!$D$8))))))</f>
        <v/>
      </c>
      <c r="M801" s="32">
        <f>MIN(IF(Supuestos!$H$9="",1E+99,Supuestos!$H$9),MAX(IF(Supuestos!$G$9="",-1E+99,Supuestos!$G$9),IF(Supuestos!$C$9="Normal",NORMINV(F801,Supuestos!$D$9,Supuestos!$E$9),IF(Supuestos!$C$9="Triangular",IF(F801&lt;(Supuestos!$E$9-Supuestos!$D$9)/(Supuestos!$F$9-Supuestos!$D$9),Supuestos!$D$9+SQRT(F801*(Supuestos!$F$9-Supuestos!$D$9)*(Supuestos!$E$9-Supuestos!$D$9)),Supuestos!$F$9-SQRT((1-F801)*(Supuestos!$F$9-Supuestos!$D$9)*(Supuestos!$F$9-Supuestos!$E$9))),IF(Supuestos!$C$9="Uniforme",Supuestos!$D$9+F801*(Supuestos!$E$9-Supuestos!$D$9),IF(Supuestos!$C$9="Lognormal",LOGINV(F801,LN(Supuestos!$D$9)-LN(1+Supuestos!$E$9^2/Supuestos!$D$9^2)/2,SQRT(LN(1+Supuestos!$E$9^2/Supuestos!$D$9^2))),Supuestos!$D$9))))))</f>
        <v/>
      </c>
      <c r="N801" s="32">
        <f>MIN(IF(Supuestos!$H$10="",1E+99,Supuestos!$H$10),MAX(IF(Supuestos!$G$10="",-1E+99,Supuestos!$G$10),IF(Supuestos!$C$10="Normal",NORMINV(G801,Supuestos!$D$10,Supuestos!$E$10),IF(Supuestos!$C$10="Triangular",IF(G801&lt;(Supuestos!$E$10-Supuestos!$D$10)/(Supuestos!$F$10-Supuestos!$D$10),Supuestos!$D$10+SQRT(G801*(Supuestos!$F$10-Supuestos!$D$10)*(Supuestos!$E$10-Supuestos!$D$10)),Supuestos!$F$10-SQRT((1-G801)*(Supuestos!$F$10-Supuestos!$D$10)*(Supuestos!$F$10-Supuestos!$E$10))),IF(Supuestos!$C$10="Uniforme",Supuestos!$D$10+G801*(Supuestos!$E$10-Supuestos!$D$10),IF(Supuestos!$C$10="Lognormal",LOGINV(G801,LN(Supuestos!$D$10)-LN(1+Supuestos!$E$10^2/Supuestos!$D$10^2)/2,SQRT(LN(1+Supuestos!$E$10^2/Supuestos!$D$10^2))),Supuestos!$D$10))))))</f>
        <v/>
      </c>
      <c r="O801" s="31">
        <f>MIN(IF(Supuestos!$H$11="",1E+99,Supuestos!$H$11),MAX(IF(Supuestos!$G$11="",-1E+99,Supuestos!$G$11),IF(Supuestos!$C$11="Normal",NORMINV(H801,Supuestos!$D$11,Supuestos!$E$11),IF(Supuestos!$C$11="Triangular",IF(H801&lt;(Supuestos!$E$11-Supuestos!$D$11)/(Supuestos!$F$11-Supuestos!$D$11),Supuestos!$D$11+SQRT(H801*(Supuestos!$F$11-Supuestos!$D$11)*(Supuestos!$E$11-Supuestos!$D$11)),Supuestos!$F$11-SQRT((1-H801)*(Supuestos!$F$11-Supuestos!$D$11)*(Supuestos!$F$11-Supuestos!$E$11))),IF(Supuestos!$C$11="Uniforme",Supuestos!$D$11+H801*(Supuestos!$E$11-Supuestos!$D$11),IF(Supuestos!$C$11="Lognormal",LOGINV(H801,LN(Supuestos!$D$11)-LN(1+Supuestos!$E$11^2/Supuestos!$D$11^2)/2,SQRT(LN(1+Supuestos!$E$11^2/Supuestos!$D$11^2))),Supuestos!$D$11))))))</f>
        <v/>
      </c>
      <c r="P801" s="33">
        <f>-I801</f>
        <v/>
      </c>
      <c r="Q801" s="33">
        <f>$J801*(1+$K801)^(1-1)*(1-$L801)*(1-$M801)</f>
        <v/>
      </c>
      <c r="R801" s="33">
        <f>$J801*(1+$K801)^(2-1)*(1-$L801)*(1-$M801)</f>
        <v/>
      </c>
      <c r="S801" s="33">
        <f>$J801*(1+$K801)^(3-1)*(1-$L801)*(1-$M801)</f>
        <v/>
      </c>
      <c r="T801" s="33">
        <f>$J801*(1+$K801)^(4-1)*(1-$L801)*(1-$M801)</f>
        <v/>
      </c>
      <c r="U801" s="33">
        <f>$J801*(1+$K801)^(5-1)*(1-$L801)*(1-$M801)+$O801</f>
        <v/>
      </c>
      <c r="V801" s="33">
        <f>P801+NPV($N801,Q801:U801)</f>
        <v/>
      </c>
      <c r="W801" s="32">
        <f>IFERROR(IRR(P801:U801,0.1),"")</f>
        <v/>
      </c>
    </row>
    <row r="802">
      <c r="A802" s="14" t="n">
        <v>798</v>
      </c>
      <c r="B802" s="30">
        <f>RAND()*(1-2E-6)+1E-6</f>
        <v/>
      </c>
      <c r="C802" s="30">
        <f>RAND()*(1-2E-6)+1E-6</f>
        <v/>
      </c>
      <c r="D802" s="30">
        <f>RAND()*(1-2E-6)+1E-6</f>
        <v/>
      </c>
      <c r="E802" s="30">
        <f>RAND()*(1-2E-6)+1E-6</f>
        <v/>
      </c>
      <c r="F802" s="30">
        <f>RAND()*(1-2E-6)+1E-6</f>
        <v/>
      </c>
      <c r="G802" s="30">
        <f>RAND()*(1-2E-6)+1E-6</f>
        <v/>
      </c>
      <c r="H802" s="30">
        <f>RAND()*(1-2E-6)+1E-6</f>
        <v/>
      </c>
      <c r="I802" s="31">
        <f>MIN(IF(Supuestos!$H$5="",1E+99,Supuestos!$H$5),MAX(IF(Supuestos!$G$5="",-1E+99,Supuestos!$G$5),IF(Supuestos!$C$5="Normal",NORMINV(B802,Supuestos!$D$5,Supuestos!$E$5),IF(Supuestos!$C$5="Triangular",IF(B802&lt;(Supuestos!$E$5-Supuestos!$D$5)/(Supuestos!$F$5-Supuestos!$D$5),Supuestos!$D$5+SQRT(B802*(Supuestos!$F$5-Supuestos!$D$5)*(Supuestos!$E$5-Supuestos!$D$5)),Supuestos!$F$5-SQRT((1-B802)*(Supuestos!$F$5-Supuestos!$D$5)*(Supuestos!$F$5-Supuestos!$E$5))),IF(Supuestos!$C$5="Uniforme",Supuestos!$D$5+B802*(Supuestos!$E$5-Supuestos!$D$5),IF(Supuestos!$C$5="Lognormal",LOGINV(B802,LN(Supuestos!$D$5)-LN(1+Supuestos!$E$5^2/Supuestos!$D$5^2)/2,SQRT(LN(1+Supuestos!$E$5^2/Supuestos!$D$5^2))),Supuestos!$D$5))))))</f>
        <v/>
      </c>
      <c r="J802" s="31">
        <f>MIN(IF(Supuestos!$H$6="",1E+99,Supuestos!$H$6),MAX(IF(Supuestos!$G$6="",-1E+99,Supuestos!$G$6),IF(Supuestos!$C$6="Normal",NORMINV(C802,Supuestos!$D$6,Supuestos!$E$6),IF(Supuestos!$C$6="Triangular",IF(C802&lt;(Supuestos!$E$6-Supuestos!$D$6)/(Supuestos!$F$6-Supuestos!$D$6),Supuestos!$D$6+SQRT(C802*(Supuestos!$F$6-Supuestos!$D$6)*(Supuestos!$E$6-Supuestos!$D$6)),Supuestos!$F$6-SQRT((1-C802)*(Supuestos!$F$6-Supuestos!$D$6)*(Supuestos!$F$6-Supuestos!$E$6))),IF(Supuestos!$C$6="Uniforme",Supuestos!$D$6+C802*(Supuestos!$E$6-Supuestos!$D$6),IF(Supuestos!$C$6="Lognormal",LOGINV(C802,LN(Supuestos!$D$6)-LN(1+Supuestos!$E$6^2/Supuestos!$D$6^2)/2,SQRT(LN(1+Supuestos!$E$6^2/Supuestos!$D$6^2))),Supuestos!$D$6))))))</f>
        <v/>
      </c>
      <c r="K802" s="32">
        <f>MIN(IF(Supuestos!$H$7="",1E+99,Supuestos!$H$7),MAX(IF(Supuestos!$G$7="",-1E+99,Supuestos!$G$7),IF(Supuestos!$C$7="Normal",NORMINV(D802,Supuestos!$D$7,Supuestos!$E$7),IF(Supuestos!$C$7="Triangular",IF(D802&lt;(Supuestos!$E$7-Supuestos!$D$7)/(Supuestos!$F$7-Supuestos!$D$7),Supuestos!$D$7+SQRT(D802*(Supuestos!$F$7-Supuestos!$D$7)*(Supuestos!$E$7-Supuestos!$D$7)),Supuestos!$F$7-SQRT((1-D802)*(Supuestos!$F$7-Supuestos!$D$7)*(Supuestos!$F$7-Supuestos!$E$7))),IF(Supuestos!$C$7="Uniforme",Supuestos!$D$7+D802*(Supuestos!$E$7-Supuestos!$D$7),IF(Supuestos!$C$7="Lognormal",LOGINV(D802,LN(Supuestos!$D$7)-LN(1+Supuestos!$E$7^2/Supuestos!$D$7^2)/2,SQRT(LN(1+Supuestos!$E$7^2/Supuestos!$D$7^2))),Supuestos!$D$7))))))</f>
        <v/>
      </c>
      <c r="L802" s="32">
        <f>MIN(IF(Supuestos!$H$8="",1E+99,Supuestos!$H$8),MAX(IF(Supuestos!$G$8="",-1E+99,Supuestos!$G$8),IF(Supuestos!$C$8="Normal",NORMINV(E802,Supuestos!$D$8,Supuestos!$E$8),IF(Supuestos!$C$8="Triangular",IF(E802&lt;(Supuestos!$E$8-Supuestos!$D$8)/(Supuestos!$F$8-Supuestos!$D$8),Supuestos!$D$8+SQRT(E802*(Supuestos!$F$8-Supuestos!$D$8)*(Supuestos!$E$8-Supuestos!$D$8)),Supuestos!$F$8-SQRT((1-E802)*(Supuestos!$F$8-Supuestos!$D$8)*(Supuestos!$F$8-Supuestos!$E$8))),IF(Supuestos!$C$8="Uniforme",Supuestos!$D$8+E802*(Supuestos!$E$8-Supuestos!$D$8),IF(Supuestos!$C$8="Lognormal",LOGINV(E802,LN(Supuestos!$D$8)-LN(1+Supuestos!$E$8^2/Supuestos!$D$8^2)/2,SQRT(LN(1+Supuestos!$E$8^2/Supuestos!$D$8^2))),Supuestos!$D$8))))))</f>
        <v/>
      </c>
      <c r="M802" s="32">
        <f>MIN(IF(Supuestos!$H$9="",1E+99,Supuestos!$H$9),MAX(IF(Supuestos!$G$9="",-1E+99,Supuestos!$G$9),IF(Supuestos!$C$9="Normal",NORMINV(F802,Supuestos!$D$9,Supuestos!$E$9),IF(Supuestos!$C$9="Triangular",IF(F802&lt;(Supuestos!$E$9-Supuestos!$D$9)/(Supuestos!$F$9-Supuestos!$D$9),Supuestos!$D$9+SQRT(F802*(Supuestos!$F$9-Supuestos!$D$9)*(Supuestos!$E$9-Supuestos!$D$9)),Supuestos!$F$9-SQRT((1-F802)*(Supuestos!$F$9-Supuestos!$D$9)*(Supuestos!$F$9-Supuestos!$E$9))),IF(Supuestos!$C$9="Uniforme",Supuestos!$D$9+F802*(Supuestos!$E$9-Supuestos!$D$9),IF(Supuestos!$C$9="Lognormal",LOGINV(F802,LN(Supuestos!$D$9)-LN(1+Supuestos!$E$9^2/Supuestos!$D$9^2)/2,SQRT(LN(1+Supuestos!$E$9^2/Supuestos!$D$9^2))),Supuestos!$D$9))))))</f>
        <v/>
      </c>
      <c r="N802" s="32">
        <f>MIN(IF(Supuestos!$H$10="",1E+99,Supuestos!$H$10),MAX(IF(Supuestos!$G$10="",-1E+99,Supuestos!$G$10),IF(Supuestos!$C$10="Normal",NORMINV(G802,Supuestos!$D$10,Supuestos!$E$10),IF(Supuestos!$C$10="Triangular",IF(G802&lt;(Supuestos!$E$10-Supuestos!$D$10)/(Supuestos!$F$10-Supuestos!$D$10),Supuestos!$D$10+SQRT(G802*(Supuestos!$F$10-Supuestos!$D$10)*(Supuestos!$E$10-Supuestos!$D$10)),Supuestos!$F$10-SQRT((1-G802)*(Supuestos!$F$10-Supuestos!$D$10)*(Supuestos!$F$10-Supuestos!$E$10))),IF(Supuestos!$C$10="Uniforme",Supuestos!$D$10+G802*(Supuestos!$E$10-Supuestos!$D$10),IF(Supuestos!$C$10="Lognormal",LOGINV(G802,LN(Supuestos!$D$10)-LN(1+Supuestos!$E$10^2/Supuestos!$D$10^2)/2,SQRT(LN(1+Supuestos!$E$10^2/Supuestos!$D$10^2))),Supuestos!$D$10))))))</f>
        <v/>
      </c>
      <c r="O802" s="31">
        <f>MIN(IF(Supuestos!$H$11="",1E+99,Supuestos!$H$11),MAX(IF(Supuestos!$G$11="",-1E+99,Supuestos!$G$11),IF(Supuestos!$C$11="Normal",NORMINV(H802,Supuestos!$D$11,Supuestos!$E$11),IF(Supuestos!$C$11="Triangular",IF(H802&lt;(Supuestos!$E$11-Supuestos!$D$11)/(Supuestos!$F$11-Supuestos!$D$11),Supuestos!$D$11+SQRT(H802*(Supuestos!$F$11-Supuestos!$D$11)*(Supuestos!$E$11-Supuestos!$D$11)),Supuestos!$F$11-SQRT((1-H802)*(Supuestos!$F$11-Supuestos!$D$11)*(Supuestos!$F$11-Supuestos!$E$11))),IF(Supuestos!$C$11="Uniforme",Supuestos!$D$11+H802*(Supuestos!$E$11-Supuestos!$D$11),IF(Supuestos!$C$11="Lognormal",LOGINV(H802,LN(Supuestos!$D$11)-LN(1+Supuestos!$E$11^2/Supuestos!$D$11^2)/2,SQRT(LN(1+Supuestos!$E$11^2/Supuestos!$D$11^2))),Supuestos!$D$11))))))</f>
        <v/>
      </c>
      <c r="P802" s="33">
        <f>-I802</f>
        <v/>
      </c>
      <c r="Q802" s="33">
        <f>$J802*(1+$K802)^(1-1)*(1-$L802)*(1-$M802)</f>
        <v/>
      </c>
      <c r="R802" s="33">
        <f>$J802*(1+$K802)^(2-1)*(1-$L802)*(1-$M802)</f>
        <v/>
      </c>
      <c r="S802" s="33">
        <f>$J802*(1+$K802)^(3-1)*(1-$L802)*(1-$M802)</f>
        <v/>
      </c>
      <c r="T802" s="33">
        <f>$J802*(1+$K802)^(4-1)*(1-$L802)*(1-$M802)</f>
        <v/>
      </c>
      <c r="U802" s="33">
        <f>$J802*(1+$K802)^(5-1)*(1-$L802)*(1-$M802)+$O802</f>
        <v/>
      </c>
      <c r="V802" s="33">
        <f>P802+NPV($N802,Q802:U802)</f>
        <v/>
      </c>
      <c r="W802" s="32">
        <f>IFERROR(IRR(P802:U802,0.1),"")</f>
        <v/>
      </c>
    </row>
    <row r="803">
      <c r="A803" s="14" t="n">
        <v>799</v>
      </c>
      <c r="B803" s="30">
        <f>RAND()*(1-2E-6)+1E-6</f>
        <v/>
      </c>
      <c r="C803" s="30">
        <f>RAND()*(1-2E-6)+1E-6</f>
        <v/>
      </c>
      <c r="D803" s="30">
        <f>RAND()*(1-2E-6)+1E-6</f>
        <v/>
      </c>
      <c r="E803" s="30">
        <f>RAND()*(1-2E-6)+1E-6</f>
        <v/>
      </c>
      <c r="F803" s="30">
        <f>RAND()*(1-2E-6)+1E-6</f>
        <v/>
      </c>
      <c r="G803" s="30">
        <f>RAND()*(1-2E-6)+1E-6</f>
        <v/>
      </c>
      <c r="H803" s="30">
        <f>RAND()*(1-2E-6)+1E-6</f>
        <v/>
      </c>
      <c r="I803" s="31">
        <f>MIN(IF(Supuestos!$H$5="",1E+99,Supuestos!$H$5),MAX(IF(Supuestos!$G$5="",-1E+99,Supuestos!$G$5),IF(Supuestos!$C$5="Normal",NORMINV(B803,Supuestos!$D$5,Supuestos!$E$5),IF(Supuestos!$C$5="Triangular",IF(B803&lt;(Supuestos!$E$5-Supuestos!$D$5)/(Supuestos!$F$5-Supuestos!$D$5),Supuestos!$D$5+SQRT(B803*(Supuestos!$F$5-Supuestos!$D$5)*(Supuestos!$E$5-Supuestos!$D$5)),Supuestos!$F$5-SQRT((1-B803)*(Supuestos!$F$5-Supuestos!$D$5)*(Supuestos!$F$5-Supuestos!$E$5))),IF(Supuestos!$C$5="Uniforme",Supuestos!$D$5+B803*(Supuestos!$E$5-Supuestos!$D$5),IF(Supuestos!$C$5="Lognormal",LOGINV(B803,LN(Supuestos!$D$5)-LN(1+Supuestos!$E$5^2/Supuestos!$D$5^2)/2,SQRT(LN(1+Supuestos!$E$5^2/Supuestos!$D$5^2))),Supuestos!$D$5))))))</f>
        <v/>
      </c>
      <c r="J803" s="31">
        <f>MIN(IF(Supuestos!$H$6="",1E+99,Supuestos!$H$6),MAX(IF(Supuestos!$G$6="",-1E+99,Supuestos!$G$6),IF(Supuestos!$C$6="Normal",NORMINV(C803,Supuestos!$D$6,Supuestos!$E$6),IF(Supuestos!$C$6="Triangular",IF(C803&lt;(Supuestos!$E$6-Supuestos!$D$6)/(Supuestos!$F$6-Supuestos!$D$6),Supuestos!$D$6+SQRT(C803*(Supuestos!$F$6-Supuestos!$D$6)*(Supuestos!$E$6-Supuestos!$D$6)),Supuestos!$F$6-SQRT((1-C803)*(Supuestos!$F$6-Supuestos!$D$6)*(Supuestos!$F$6-Supuestos!$E$6))),IF(Supuestos!$C$6="Uniforme",Supuestos!$D$6+C803*(Supuestos!$E$6-Supuestos!$D$6),IF(Supuestos!$C$6="Lognormal",LOGINV(C803,LN(Supuestos!$D$6)-LN(1+Supuestos!$E$6^2/Supuestos!$D$6^2)/2,SQRT(LN(1+Supuestos!$E$6^2/Supuestos!$D$6^2))),Supuestos!$D$6))))))</f>
        <v/>
      </c>
      <c r="K803" s="32">
        <f>MIN(IF(Supuestos!$H$7="",1E+99,Supuestos!$H$7),MAX(IF(Supuestos!$G$7="",-1E+99,Supuestos!$G$7),IF(Supuestos!$C$7="Normal",NORMINV(D803,Supuestos!$D$7,Supuestos!$E$7),IF(Supuestos!$C$7="Triangular",IF(D803&lt;(Supuestos!$E$7-Supuestos!$D$7)/(Supuestos!$F$7-Supuestos!$D$7),Supuestos!$D$7+SQRT(D803*(Supuestos!$F$7-Supuestos!$D$7)*(Supuestos!$E$7-Supuestos!$D$7)),Supuestos!$F$7-SQRT((1-D803)*(Supuestos!$F$7-Supuestos!$D$7)*(Supuestos!$F$7-Supuestos!$E$7))),IF(Supuestos!$C$7="Uniforme",Supuestos!$D$7+D803*(Supuestos!$E$7-Supuestos!$D$7),IF(Supuestos!$C$7="Lognormal",LOGINV(D803,LN(Supuestos!$D$7)-LN(1+Supuestos!$E$7^2/Supuestos!$D$7^2)/2,SQRT(LN(1+Supuestos!$E$7^2/Supuestos!$D$7^2))),Supuestos!$D$7))))))</f>
        <v/>
      </c>
      <c r="L803" s="32">
        <f>MIN(IF(Supuestos!$H$8="",1E+99,Supuestos!$H$8),MAX(IF(Supuestos!$G$8="",-1E+99,Supuestos!$G$8),IF(Supuestos!$C$8="Normal",NORMINV(E803,Supuestos!$D$8,Supuestos!$E$8),IF(Supuestos!$C$8="Triangular",IF(E803&lt;(Supuestos!$E$8-Supuestos!$D$8)/(Supuestos!$F$8-Supuestos!$D$8),Supuestos!$D$8+SQRT(E803*(Supuestos!$F$8-Supuestos!$D$8)*(Supuestos!$E$8-Supuestos!$D$8)),Supuestos!$F$8-SQRT((1-E803)*(Supuestos!$F$8-Supuestos!$D$8)*(Supuestos!$F$8-Supuestos!$E$8))),IF(Supuestos!$C$8="Uniforme",Supuestos!$D$8+E803*(Supuestos!$E$8-Supuestos!$D$8),IF(Supuestos!$C$8="Lognormal",LOGINV(E803,LN(Supuestos!$D$8)-LN(1+Supuestos!$E$8^2/Supuestos!$D$8^2)/2,SQRT(LN(1+Supuestos!$E$8^2/Supuestos!$D$8^2))),Supuestos!$D$8))))))</f>
        <v/>
      </c>
      <c r="M803" s="32">
        <f>MIN(IF(Supuestos!$H$9="",1E+99,Supuestos!$H$9),MAX(IF(Supuestos!$G$9="",-1E+99,Supuestos!$G$9),IF(Supuestos!$C$9="Normal",NORMINV(F803,Supuestos!$D$9,Supuestos!$E$9),IF(Supuestos!$C$9="Triangular",IF(F803&lt;(Supuestos!$E$9-Supuestos!$D$9)/(Supuestos!$F$9-Supuestos!$D$9),Supuestos!$D$9+SQRT(F803*(Supuestos!$F$9-Supuestos!$D$9)*(Supuestos!$E$9-Supuestos!$D$9)),Supuestos!$F$9-SQRT((1-F803)*(Supuestos!$F$9-Supuestos!$D$9)*(Supuestos!$F$9-Supuestos!$E$9))),IF(Supuestos!$C$9="Uniforme",Supuestos!$D$9+F803*(Supuestos!$E$9-Supuestos!$D$9),IF(Supuestos!$C$9="Lognormal",LOGINV(F803,LN(Supuestos!$D$9)-LN(1+Supuestos!$E$9^2/Supuestos!$D$9^2)/2,SQRT(LN(1+Supuestos!$E$9^2/Supuestos!$D$9^2))),Supuestos!$D$9))))))</f>
        <v/>
      </c>
      <c r="N803" s="32">
        <f>MIN(IF(Supuestos!$H$10="",1E+99,Supuestos!$H$10),MAX(IF(Supuestos!$G$10="",-1E+99,Supuestos!$G$10),IF(Supuestos!$C$10="Normal",NORMINV(G803,Supuestos!$D$10,Supuestos!$E$10),IF(Supuestos!$C$10="Triangular",IF(G803&lt;(Supuestos!$E$10-Supuestos!$D$10)/(Supuestos!$F$10-Supuestos!$D$10),Supuestos!$D$10+SQRT(G803*(Supuestos!$F$10-Supuestos!$D$10)*(Supuestos!$E$10-Supuestos!$D$10)),Supuestos!$F$10-SQRT((1-G803)*(Supuestos!$F$10-Supuestos!$D$10)*(Supuestos!$F$10-Supuestos!$E$10))),IF(Supuestos!$C$10="Uniforme",Supuestos!$D$10+G803*(Supuestos!$E$10-Supuestos!$D$10),IF(Supuestos!$C$10="Lognormal",LOGINV(G803,LN(Supuestos!$D$10)-LN(1+Supuestos!$E$10^2/Supuestos!$D$10^2)/2,SQRT(LN(1+Supuestos!$E$10^2/Supuestos!$D$10^2))),Supuestos!$D$10))))))</f>
        <v/>
      </c>
      <c r="O803" s="31">
        <f>MIN(IF(Supuestos!$H$11="",1E+99,Supuestos!$H$11),MAX(IF(Supuestos!$G$11="",-1E+99,Supuestos!$G$11),IF(Supuestos!$C$11="Normal",NORMINV(H803,Supuestos!$D$11,Supuestos!$E$11),IF(Supuestos!$C$11="Triangular",IF(H803&lt;(Supuestos!$E$11-Supuestos!$D$11)/(Supuestos!$F$11-Supuestos!$D$11),Supuestos!$D$11+SQRT(H803*(Supuestos!$F$11-Supuestos!$D$11)*(Supuestos!$E$11-Supuestos!$D$11)),Supuestos!$F$11-SQRT((1-H803)*(Supuestos!$F$11-Supuestos!$D$11)*(Supuestos!$F$11-Supuestos!$E$11))),IF(Supuestos!$C$11="Uniforme",Supuestos!$D$11+H803*(Supuestos!$E$11-Supuestos!$D$11),IF(Supuestos!$C$11="Lognormal",LOGINV(H803,LN(Supuestos!$D$11)-LN(1+Supuestos!$E$11^2/Supuestos!$D$11^2)/2,SQRT(LN(1+Supuestos!$E$11^2/Supuestos!$D$11^2))),Supuestos!$D$11))))))</f>
        <v/>
      </c>
      <c r="P803" s="33">
        <f>-I803</f>
        <v/>
      </c>
      <c r="Q803" s="33">
        <f>$J803*(1+$K803)^(1-1)*(1-$L803)*(1-$M803)</f>
        <v/>
      </c>
      <c r="R803" s="33">
        <f>$J803*(1+$K803)^(2-1)*(1-$L803)*(1-$M803)</f>
        <v/>
      </c>
      <c r="S803" s="33">
        <f>$J803*(1+$K803)^(3-1)*(1-$L803)*(1-$M803)</f>
        <v/>
      </c>
      <c r="T803" s="33">
        <f>$J803*(1+$K803)^(4-1)*(1-$L803)*(1-$M803)</f>
        <v/>
      </c>
      <c r="U803" s="33">
        <f>$J803*(1+$K803)^(5-1)*(1-$L803)*(1-$M803)+$O803</f>
        <v/>
      </c>
      <c r="V803" s="33">
        <f>P803+NPV($N803,Q803:U803)</f>
        <v/>
      </c>
      <c r="W803" s="32">
        <f>IFERROR(IRR(P803:U803,0.1),"")</f>
        <v/>
      </c>
    </row>
    <row r="804">
      <c r="A804" s="14" t="n">
        <v>800</v>
      </c>
      <c r="B804" s="30">
        <f>RAND()*(1-2E-6)+1E-6</f>
        <v/>
      </c>
      <c r="C804" s="30">
        <f>RAND()*(1-2E-6)+1E-6</f>
        <v/>
      </c>
      <c r="D804" s="30">
        <f>RAND()*(1-2E-6)+1E-6</f>
        <v/>
      </c>
      <c r="E804" s="30">
        <f>RAND()*(1-2E-6)+1E-6</f>
        <v/>
      </c>
      <c r="F804" s="30">
        <f>RAND()*(1-2E-6)+1E-6</f>
        <v/>
      </c>
      <c r="G804" s="30">
        <f>RAND()*(1-2E-6)+1E-6</f>
        <v/>
      </c>
      <c r="H804" s="30">
        <f>RAND()*(1-2E-6)+1E-6</f>
        <v/>
      </c>
      <c r="I804" s="31">
        <f>MIN(IF(Supuestos!$H$5="",1E+99,Supuestos!$H$5),MAX(IF(Supuestos!$G$5="",-1E+99,Supuestos!$G$5),IF(Supuestos!$C$5="Normal",NORMINV(B804,Supuestos!$D$5,Supuestos!$E$5),IF(Supuestos!$C$5="Triangular",IF(B804&lt;(Supuestos!$E$5-Supuestos!$D$5)/(Supuestos!$F$5-Supuestos!$D$5),Supuestos!$D$5+SQRT(B804*(Supuestos!$F$5-Supuestos!$D$5)*(Supuestos!$E$5-Supuestos!$D$5)),Supuestos!$F$5-SQRT((1-B804)*(Supuestos!$F$5-Supuestos!$D$5)*(Supuestos!$F$5-Supuestos!$E$5))),IF(Supuestos!$C$5="Uniforme",Supuestos!$D$5+B804*(Supuestos!$E$5-Supuestos!$D$5),IF(Supuestos!$C$5="Lognormal",LOGINV(B804,LN(Supuestos!$D$5)-LN(1+Supuestos!$E$5^2/Supuestos!$D$5^2)/2,SQRT(LN(1+Supuestos!$E$5^2/Supuestos!$D$5^2))),Supuestos!$D$5))))))</f>
        <v/>
      </c>
      <c r="J804" s="31">
        <f>MIN(IF(Supuestos!$H$6="",1E+99,Supuestos!$H$6),MAX(IF(Supuestos!$G$6="",-1E+99,Supuestos!$G$6),IF(Supuestos!$C$6="Normal",NORMINV(C804,Supuestos!$D$6,Supuestos!$E$6),IF(Supuestos!$C$6="Triangular",IF(C804&lt;(Supuestos!$E$6-Supuestos!$D$6)/(Supuestos!$F$6-Supuestos!$D$6),Supuestos!$D$6+SQRT(C804*(Supuestos!$F$6-Supuestos!$D$6)*(Supuestos!$E$6-Supuestos!$D$6)),Supuestos!$F$6-SQRT((1-C804)*(Supuestos!$F$6-Supuestos!$D$6)*(Supuestos!$F$6-Supuestos!$E$6))),IF(Supuestos!$C$6="Uniforme",Supuestos!$D$6+C804*(Supuestos!$E$6-Supuestos!$D$6),IF(Supuestos!$C$6="Lognormal",LOGINV(C804,LN(Supuestos!$D$6)-LN(1+Supuestos!$E$6^2/Supuestos!$D$6^2)/2,SQRT(LN(1+Supuestos!$E$6^2/Supuestos!$D$6^2))),Supuestos!$D$6))))))</f>
        <v/>
      </c>
      <c r="K804" s="32">
        <f>MIN(IF(Supuestos!$H$7="",1E+99,Supuestos!$H$7),MAX(IF(Supuestos!$G$7="",-1E+99,Supuestos!$G$7),IF(Supuestos!$C$7="Normal",NORMINV(D804,Supuestos!$D$7,Supuestos!$E$7),IF(Supuestos!$C$7="Triangular",IF(D804&lt;(Supuestos!$E$7-Supuestos!$D$7)/(Supuestos!$F$7-Supuestos!$D$7),Supuestos!$D$7+SQRT(D804*(Supuestos!$F$7-Supuestos!$D$7)*(Supuestos!$E$7-Supuestos!$D$7)),Supuestos!$F$7-SQRT((1-D804)*(Supuestos!$F$7-Supuestos!$D$7)*(Supuestos!$F$7-Supuestos!$E$7))),IF(Supuestos!$C$7="Uniforme",Supuestos!$D$7+D804*(Supuestos!$E$7-Supuestos!$D$7),IF(Supuestos!$C$7="Lognormal",LOGINV(D804,LN(Supuestos!$D$7)-LN(1+Supuestos!$E$7^2/Supuestos!$D$7^2)/2,SQRT(LN(1+Supuestos!$E$7^2/Supuestos!$D$7^2))),Supuestos!$D$7))))))</f>
        <v/>
      </c>
      <c r="L804" s="32">
        <f>MIN(IF(Supuestos!$H$8="",1E+99,Supuestos!$H$8),MAX(IF(Supuestos!$G$8="",-1E+99,Supuestos!$G$8),IF(Supuestos!$C$8="Normal",NORMINV(E804,Supuestos!$D$8,Supuestos!$E$8),IF(Supuestos!$C$8="Triangular",IF(E804&lt;(Supuestos!$E$8-Supuestos!$D$8)/(Supuestos!$F$8-Supuestos!$D$8),Supuestos!$D$8+SQRT(E804*(Supuestos!$F$8-Supuestos!$D$8)*(Supuestos!$E$8-Supuestos!$D$8)),Supuestos!$F$8-SQRT((1-E804)*(Supuestos!$F$8-Supuestos!$D$8)*(Supuestos!$F$8-Supuestos!$E$8))),IF(Supuestos!$C$8="Uniforme",Supuestos!$D$8+E804*(Supuestos!$E$8-Supuestos!$D$8),IF(Supuestos!$C$8="Lognormal",LOGINV(E804,LN(Supuestos!$D$8)-LN(1+Supuestos!$E$8^2/Supuestos!$D$8^2)/2,SQRT(LN(1+Supuestos!$E$8^2/Supuestos!$D$8^2))),Supuestos!$D$8))))))</f>
        <v/>
      </c>
      <c r="M804" s="32">
        <f>MIN(IF(Supuestos!$H$9="",1E+99,Supuestos!$H$9),MAX(IF(Supuestos!$G$9="",-1E+99,Supuestos!$G$9),IF(Supuestos!$C$9="Normal",NORMINV(F804,Supuestos!$D$9,Supuestos!$E$9),IF(Supuestos!$C$9="Triangular",IF(F804&lt;(Supuestos!$E$9-Supuestos!$D$9)/(Supuestos!$F$9-Supuestos!$D$9),Supuestos!$D$9+SQRT(F804*(Supuestos!$F$9-Supuestos!$D$9)*(Supuestos!$E$9-Supuestos!$D$9)),Supuestos!$F$9-SQRT((1-F804)*(Supuestos!$F$9-Supuestos!$D$9)*(Supuestos!$F$9-Supuestos!$E$9))),IF(Supuestos!$C$9="Uniforme",Supuestos!$D$9+F804*(Supuestos!$E$9-Supuestos!$D$9),IF(Supuestos!$C$9="Lognormal",LOGINV(F804,LN(Supuestos!$D$9)-LN(1+Supuestos!$E$9^2/Supuestos!$D$9^2)/2,SQRT(LN(1+Supuestos!$E$9^2/Supuestos!$D$9^2))),Supuestos!$D$9))))))</f>
        <v/>
      </c>
      <c r="N804" s="32">
        <f>MIN(IF(Supuestos!$H$10="",1E+99,Supuestos!$H$10),MAX(IF(Supuestos!$G$10="",-1E+99,Supuestos!$G$10),IF(Supuestos!$C$10="Normal",NORMINV(G804,Supuestos!$D$10,Supuestos!$E$10),IF(Supuestos!$C$10="Triangular",IF(G804&lt;(Supuestos!$E$10-Supuestos!$D$10)/(Supuestos!$F$10-Supuestos!$D$10),Supuestos!$D$10+SQRT(G804*(Supuestos!$F$10-Supuestos!$D$10)*(Supuestos!$E$10-Supuestos!$D$10)),Supuestos!$F$10-SQRT((1-G804)*(Supuestos!$F$10-Supuestos!$D$10)*(Supuestos!$F$10-Supuestos!$E$10))),IF(Supuestos!$C$10="Uniforme",Supuestos!$D$10+G804*(Supuestos!$E$10-Supuestos!$D$10),IF(Supuestos!$C$10="Lognormal",LOGINV(G804,LN(Supuestos!$D$10)-LN(1+Supuestos!$E$10^2/Supuestos!$D$10^2)/2,SQRT(LN(1+Supuestos!$E$10^2/Supuestos!$D$10^2))),Supuestos!$D$10))))))</f>
        <v/>
      </c>
      <c r="O804" s="31">
        <f>MIN(IF(Supuestos!$H$11="",1E+99,Supuestos!$H$11),MAX(IF(Supuestos!$G$11="",-1E+99,Supuestos!$G$11),IF(Supuestos!$C$11="Normal",NORMINV(H804,Supuestos!$D$11,Supuestos!$E$11),IF(Supuestos!$C$11="Triangular",IF(H804&lt;(Supuestos!$E$11-Supuestos!$D$11)/(Supuestos!$F$11-Supuestos!$D$11),Supuestos!$D$11+SQRT(H804*(Supuestos!$F$11-Supuestos!$D$11)*(Supuestos!$E$11-Supuestos!$D$11)),Supuestos!$F$11-SQRT((1-H804)*(Supuestos!$F$11-Supuestos!$D$11)*(Supuestos!$F$11-Supuestos!$E$11))),IF(Supuestos!$C$11="Uniforme",Supuestos!$D$11+H804*(Supuestos!$E$11-Supuestos!$D$11),IF(Supuestos!$C$11="Lognormal",LOGINV(H804,LN(Supuestos!$D$11)-LN(1+Supuestos!$E$11^2/Supuestos!$D$11^2)/2,SQRT(LN(1+Supuestos!$E$11^2/Supuestos!$D$11^2))),Supuestos!$D$11))))))</f>
        <v/>
      </c>
      <c r="P804" s="33">
        <f>-I804</f>
        <v/>
      </c>
      <c r="Q804" s="33">
        <f>$J804*(1+$K804)^(1-1)*(1-$L804)*(1-$M804)</f>
        <v/>
      </c>
      <c r="R804" s="33">
        <f>$J804*(1+$K804)^(2-1)*(1-$L804)*(1-$M804)</f>
        <v/>
      </c>
      <c r="S804" s="33">
        <f>$J804*(1+$K804)^(3-1)*(1-$L804)*(1-$M804)</f>
        <v/>
      </c>
      <c r="T804" s="33">
        <f>$J804*(1+$K804)^(4-1)*(1-$L804)*(1-$M804)</f>
        <v/>
      </c>
      <c r="U804" s="33">
        <f>$J804*(1+$K804)^(5-1)*(1-$L804)*(1-$M804)+$O804</f>
        <v/>
      </c>
      <c r="V804" s="33">
        <f>P804+NPV($N804,Q804:U804)</f>
        <v/>
      </c>
      <c r="W804" s="32">
        <f>IFERROR(IRR(P804:U804,0.1),"")</f>
        <v/>
      </c>
    </row>
    <row r="805">
      <c r="A805" s="14" t="n">
        <v>801</v>
      </c>
      <c r="B805" s="30">
        <f>RAND()*(1-2E-6)+1E-6</f>
        <v/>
      </c>
      <c r="C805" s="30">
        <f>RAND()*(1-2E-6)+1E-6</f>
        <v/>
      </c>
      <c r="D805" s="30">
        <f>RAND()*(1-2E-6)+1E-6</f>
        <v/>
      </c>
      <c r="E805" s="30">
        <f>RAND()*(1-2E-6)+1E-6</f>
        <v/>
      </c>
      <c r="F805" s="30">
        <f>RAND()*(1-2E-6)+1E-6</f>
        <v/>
      </c>
      <c r="G805" s="30">
        <f>RAND()*(1-2E-6)+1E-6</f>
        <v/>
      </c>
      <c r="H805" s="30">
        <f>RAND()*(1-2E-6)+1E-6</f>
        <v/>
      </c>
      <c r="I805" s="31">
        <f>MIN(IF(Supuestos!$H$5="",1E+99,Supuestos!$H$5),MAX(IF(Supuestos!$G$5="",-1E+99,Supuestos!$G$5),IF(Supuestos!$C$5="Normal",NORMINV(B805,Supuestos!$D$5,Supuestos!$E$5),IF(Supuestos!$C$5="Triangular",IF(B805&lt;(Supuestos!$E$5-Supuestos!$D$5)/(Supuestos!$F$5-Supuestos!$D$5),Supuestos!$D$5+SQRT(B805*(Supuestos!$F$5-Supuestos!$D$5)*(Supuestos!$E$5-Supuestos!$D$5)),Supuestos!$F$5-SQRT((1-B805)*(Supuestos!$F$5-Supuestos!$D$5)*(Supuestos!$F$5-Supuestos!$E$5))),IF(Supuestos!$C$5="Uniforme",Supuestos!$D$5+B805*(Supuestos!$E$5-Supuestos!$D$5),IF(Supuestos!$C$5="Lognormal",LOGINV(B805,LN(Supuestos!$D$5)-LN(1+Supuestos!$E$5^2/Supuestos!$D$5^2)/2,SQRT(LN(1+Supuestos!$E$5^2/Supuestos!$D$5^2))),Supuestos!$D$5))))))</f>
        <v/>
      </c>
      <c r="J805" s="31">
        <f>MIN(IF(Supuestos!$H$6="",1E+99,Supuestos!$H$6),MAX(IF(Supuestos!$G$6="",-1E+99,Supuestos!$G$6),IF(Supuestos!$C$6="Normal",NORMINV(C805,Supuestos!$D$6,Supuestos!$E$6),IF(Supuestos!$C$6="Triangular",IF(C805&lt;(Supuestos!$E$6-Supuestos!$D$6)/(Supuestos!$F$6-Supuestos!$D$6),Supuestos!$D$6+SQRT(C805*(Supuestos!$F$6-Supuestos!$D$6)*(Supuestos!$E$6-Supuestos!$D$6)),Supuestos!$F$6-SQRT((1-C805)*(Supuestos!$F$6-Supuestos!$D$6)*(Supuestos!$F$6-Supuestos!$E$6))),IF(Supuestos!$C$6="Uniforme",Supuestos!$D$6+C805*(Supuestos!$E$6-Supuestos!$D$6),IF(Supuestos!$C$6="Lognormal",LOGINV(C805,LN(Supuestos!$D$6)-LN(1+Supuestos!$E$6^2/Supuestos!$D$6^2)/2,SQRT(LN(1+Supuestos!$E$6^2/Supuestos!$D$6^2))),Supuestos!$D$6))))))</f>
        <v/>
      </c>
      <c r="K805" s="32">
        <f>MIN(IF(Supuestos!$H$7="",1E+99,Supuestos!$H$7),MAX(IF(Supuestos!$G$7="",-1E+99,Supuestos!$G$7),IF(Supuestos!$C$7="Normal",NORMINV(D805,Supuestos!$D$7,Supuestos!$E$7),IF(Supuestos!$C$7="Triangular",IF(D805&lt;(Supuestos!$E$7-Supuestos!$D$7)/(Supuestos!$F$7-Supuestos!$D$7),Supuestos!$D$7+SQRT(D805*(Supuestos!$F$7-Supuestos!$D$7)*(Supuestos!$E$7-Supuestos!$D$7)),Supuestos!$F$7-SQRT((1-D805)*(Supuestos!$F$7-Supuestos!$D$7)*(Supuestos!$F$7-Supuestos!$E$7))),IF(Supuestos!$C$7="Uniforme",Supuestos!$D$7+D805*(Supuestos!$E$7-Supuestos!$D$7),IF(Supuestos!$C$7="Lognormal",LOGINV(D805,LN(Supuestos!$D$7)-LN(1+Supuestos!$E$7^2/Supuestos!$D$7^2)/2,SQRT(LN(1+Supuestos!$E$7^2/Supuestos!$D$7^2))),Supuestos!$D$7))))))</f>
        <v/>
      </c>
      <c r="L805" s="32">
        <f>MIN(IF(Supuestos!$H$8="",1E+99,Supuestos!$H$8),MAX(IF(Supuestos!$G$8="",-1E+99,Supuestos!$G$8),IF(Supuestos!$C$8="Normal",NORMINV(E805,Supuestos!$D$8,Supuestos!$E$8),IF(Supuestos!$C$8="Triangular",IF(E805&lt;(Supuestos!$E$8-Supuestos!$D$8)/(Supuestos!$F$8-Supuestos!$D$8),Supuestos!$D$8+SQRT(E805*(Supuestos!$F$8-Supuestos!$D$8)*(Supuestos!$E$8-Supuestos!$D$8)),Supuestos!$F$8-SQRT((1-E805)*(Supuestos!$F$8-Supuestos!$D$8)*(Supuestos!$F$8-Supuestos!$E$8))),IF(Supuestos!$C$8="Uniforme",Supuestos!$D$8+E805*(Supuestos!$E$8-Supuestos!$D$8),IF(Supuestos!$C$8="Lognormal",LOGINV(E805,LN(Supuestos!$D$8)-LN(1+Supuestos!$E$8^2/Supuestos!$D$8^2)/2,SQRT(LN(1+Supuestos!$E$8^2/Supuestos!$D$8^2))),Supuestos!$D$8))))))</f>
        <v/>
      </c>
      <c r="M805" s="32">
        <f>MIN(IF(Supuestos!$H$9="",1E+99,Supuestos!$H$9),MAX(IF(Supuestos!$G$9="",-1E+99,Supuestos!$G$9),IF(Supuestos!$C$9="Normal",NORMINV(F805,Supuestos!$D$9,Supuestos!$E$9),IF(Supuestos!$C$9="Triangular",IF(F805&lt;(Supuestos!$E$9-Supuestos!$D$9)/(Supuestos!$F$9-Supuestos!$D$9),Supuestos!$D$9+SQRT(F805*(Supuestos!$F$9-Supuestos!$D$9)*(Supuestos!$E$9-Supuestos!$D$9)),Supuestos!$F$9-SQRT((1-F805)*(Supuestos!$F$9-Supuestos!$D$9)*(Supuestos!$F$9-Supuestos!$E$9))),IF(Supuestos!$C$9="Uniforme",Supuestos!$D$9+F805*(Supuestos!$E$9-Supuestos!$D$9),IF(Supuestos!$C$9="Lognormal",LOGINV(F805,LN(Supuestos!$D$9)-LN(1+Supuestos!$E$9^2/Supuestos!$D$9^2)/2,SQRT(LN(1+Supuestos!$E$9^2/Supuestos!$D$9^2))),Supuestos!$D$9))))))</f>
        <v/>
      </c>
      <c r="N805" s="32">
        <f>MIN(IF(Supuestos!$H$10="",1E+99,Supuestos!$H$10),MAX(IF(Supuestos!$G$10="",-1E+99,Supuestos!$G$10),IF(Supuestos!$C$10="Normal",NORMINV(G805,Supuestos!$D$10,Supuestos!$E$10),IF(Supuestos!$C$10="Triangular",IF(G805&lt;(Supuestos!$E$10-Supuestos!$D$10)/(Supuestos!$F$10-Supuestos!$D$10),Supuestos!$D$10+SQRT(G805*(Supuestos!$F$10-Supuestos!$D$10)*(Supuestos!$E$10-Supuestos!$D$10)),Supuestos!$F$10-SQRT((1-G805)*(Supuestos!$F$10-Supuestos!$D$10)*(Supuestos!$F$10-Supuestos!$E$10))),IF(Supuestos!$C$10="Uniforme",Supuestos!$D$10+G805*(Supuestos!$E$10-Supuestos!$D$10),IF(Supuestos!$C$10="Lognormal",LOGINV(G805,LN(Supuestos!$D$10)-LN(1+Supuestos!$E$10^2/Supuestos!$D$10^2)/2,SQRT(LN(1+Supuestos!$E$10^2/Supuestos!$D$10^2))),Supuestos!$D$10))))))</f>
        <v/>
      </c>
      <c r="O805" s="31">
        <f>MIN(IF(Supuestos!$H$11="",1E+99,Supuestos!$H$11),MAX(IF(Supuestos!$G$11="",-1E+99,Supuestos!$G$11),IF(Supuestos!$C$11="Normal",NORMINV(H805,Supuestos!$D$11,Supuestos!$E$11),IF(Supuestos!$C$11="Triangular",IF(H805&lt;(Supuestos!$E$11-Supuestos!$D$11)/(Supuestos!$F$11-Supuestos!$D$11),Supuestos!$D$11+SQRT(H805*(Supuestos!$F$11-Supuestos!$D$11)*(Supuestos!$E$11-Supuestos!$D$11)),Supuestos!$F$11-SQRT((1-H805)*(Supuestos!$F$11-Supuestos!$D$11)*(Supuestos!$F$11-Supuestos!$E$11))),IF(Supuestos!$C$11="Uniforme",Supuestos!$D$11+H805*(Supuestos!$E$11-Supuestos!$D$11),IF(Supuestos!$C$11="Lognormal",LOGINV(H805,LN(Supuestos!$D$11)-LN(1+Supuestos!$E$11^2/Supuestos!$D$11^2)/2,SQRT(LN(1+Supuestos!$E$11^2/Supuestos!$D$11^2))),Supuestos!$D$11))))))</f>
        <v/>
      </c>
      <c r="P805" s="33">
        <f>-I805</f>
        <v/>
      </c>
      <c r="Q805" s="33">
        <f>$J805*(1+$K805)^(1-1)*(1-$L805)*(1-$M805)</f>
        <v/>
      </c>
      <c r="R805" s="33">
        <f>$J805*(1+$K805)^(2-1)*(1-$L805)*(1-$M805)</f>
        <v/>
      </c>
      <c r="S805" s="33">
        <f>$J805*(1+$K805)^(3-1)*(1-$L805)*(1-$M805)</f>
        <v/>
      </c>
      <c r="T805" s="33">
        <f>$J805*(1+$K805)^(4-1)*(1-$L805)*(1-$M805)</f>
        <v/>
      </c>
      <c r="U805" s="33">
        <f>$J805*(1+$K805)^(5-1)*(1-$L805)*(1-$M805)+$O805</f>
        <v/>
      </c>
      <c r="V805" s="33">
        <f>P805+NPV($N805,Q805:U805)</f>
        <v/>
      </c>
      <c r="W805" s="32">
        <f>IFERROR(IRR(P805:U805,0.1),"")</f>
        <v/>
      </c>
    </row>
    <row r="806">
      <c r="A806" s="14" t="n">
        <v>802</v>
      </c>
      <c r="B806" s="30">
        <f>RAND()*(1-2E-6)+1E-6</f>
        <v/>
      </c>
      <c r="C806" s="30">
        <f>RAND()*(1-2E-6)+1E-6</f>
        <v/>
      </c>
      <c r="D806" s="30">
        <f>RAND()*(1-2E-6)+1E-6</f>
        <v/>
      </c>
      <c r="E806" s="30">
        <f>RAND()*(1-2E-6)+1E-6</f>
        <v/>
      </c>
      <c r="F806" s="30">
        <f>RAND()*(1-2E-6)+1E-6</f>
        <v/>
      </c>
      <c r="G806" s="30">
        <f>RAND()*(1-2E-6)+1E-6</f>
        <v/>
      </c>
      <c r="H806" s="30">
        <f>RAND()*(1-2E-6)+1E-6</f>
        <v/>
      </c>
      <c r="I806" s="31">
        <f>MIN(IF(Supuestos!$H$5="",1E+99,Supuestos!$H$5),MAX(IF(Supuestos!$G$5="",-1E+99,Supuestos!$G$5),IF(Supuestos!$C$5="Normal",NORMINV(B806,Supuestos!$D$5,Supuestos!$E$5),IF(Supuestos!$C$5="Triangular",IF(B806&lt;(Supuestos!$E$5-Supuestos!$D$5)/(Supuestos!$F$5-Supuestos!$D$5),Supuestos!$D$5+SQRT(B806*(Supuestos!$F$5-Supuestos!$D$5)*(Supuestos!$E$5-Supuestos!$D$5)),Supuestos!$F$5-SQRT((1-B806)*(Supuestos!$F$5-Supuestos!$D$5)*(Supuestos!$F$5-Supuestos!$E$5))),IF(Supuestos!$C$5="Uniforme",Supuestos!$D$5+B806*(Supuestos!$E$5-Supuestos!$D$5),IF(Supuestos!$C$5="Lognormal",LOGINV(B806,LN(Supuestos!$D$5)-LN(1+Supuestos!$E$5^2/Supuestos!$D$5^2)/2,SQRT(LN(1+Supuestos!$E$5^2/Supuestos!$D$5^2))),Supuestos!$D$5))))))</f>
        <v/>
      </c>
      <c r="J806" s="31">
        <f>MIN(IF(Supuestos!$H$6="",1E+99,Supuestos!$H$6),MAX(IF(Supuestos!$G$6="",-1E+99,Supuestos!$G$6),IF(Supuestos!$C$6="Normal",NORMINV(C806,Supuestos!$D$6,Supuestos!$E$6),IF(Supuestos!$C$6="Triangular",IF(C806&lt;(Supuestos!$E$6-Supuestos!$D$6)/(Supuestos!$F$6-Supuestos!$D$6),Supuestos!$D$6+SQRT(C806*(Supuestos!$F$6-Supuestos!$D$6)*(Supuestos!$E$6-Supuestos!$D$6)),Supuestos!$F$6-SQRT((1-C806)*(Supuestos!$F$6-Supuestos!$D$6)*(Supuestos!$F$6-Supuestos!$E$6))),IF(Supuestos!$C$6="Uniforme",Supuestos!$D$6+C806*(Supuestos!$E$6-Supuestos!$D$6),IF(Supuestos!$C$6="Lognormal",LOGINV(C806,LN(Supuestos!$D$6)-LN(1+Supuestos!$E$6^2/Supuestos!$D$6^2)/2,SQRT(LN(1+Supuestos!$E$6^2/Supuestos!$D$6^2))),Supuestos!$D$6))))))</f>
        <v/>
      </c>
      <c r="K806" s="32">
        <f>MIN(IF(Supuestos!$H$7="",1E+99,Supuestos!$H$7),MAX(IF(Supuestos!$G$7="",-1E+99,Supuestos!$G$7),IF(Supuestos!$C$7="Normal",NORMINV(D806,Supuestos!$D$7,Supuestos!$E$7),IF(Supuestos!$C$7="Triangular",IF(D806&lt;(Supuestos!$E$7-Supuestos!$D$7)/(Supuestos!$F$7-Supuestos!$D$7),Supuestos!$D$7+SQRT(D806*(Supuestos!$F$7-Supuestos!$D$7)*(Supuestos!$E$7-Supuestos!$D$7)),Supuestos!$F$7-SQRT((1-D806)*(Supuestos!$F$7-Supuestos!$D$7)*(Supuestos!$F$7-Supuestos!$E$7))),IF(Supuestos!$C$7="Uniforme",Supuestos!$D$7+D806*(Supuestos!$E$7-Supuestos!$D$7),IF(Supuestos!$C$7="Lognormal",LOGINV(D806,LN(Supuestos!$D$7)-LN(1+Supuestos!$E$7^2/Supuestos!$D$7^2)/2,SQRT(LN(1+Supuestos!$E$7^2/Supuestos!$D$7^2))),Supuestos!$D$7))))))</f>
        <v/>
      </c>
      <c r="L806" s="32">
        <f>MIN(IF(Supuestos!$H$8="",1E+99,Supuestos!$H$8),MAX(IF(Supuestos!$G$8="",-1E+99,Supuestos!$G$8),IF(Supuestos!$C$8="Normal",NORMINV(E806,Supuestos!$D$8,Supuestos!$E$8),IF(Supuestos!$C$8="Triangular",IF(E806&lt;(Supuestos!$E$8-Supuestos!$D$8)/(Supuestos!$F$8-Supuestos!$D$8),Supuestos!$D$8+SQRT(E806*(Supuestos!$F$8-Supuestos!$D$8)*(Supuestos!$E$8-Supuestos!$D$8)),Supuestos!$F$8-SQRT((1-E806)*(Supuestos!$F$8-Supuestos!$D$8)*(Supuestos!$F$8-Supuestos!$E$8))),IF(Supuestos!$C$8="Uniforme",Supuestos!$D$8+E806*(Supuestos!$E$8-Supuestos!$D$8),IF(Supuestos!$C$8="Lognormal",LOGINV(E806,LN(Supuestos!$D$8)-LN(1+Supuestos!$E$8^2/Supuestos!$D$8^2)/2,SQRT(LN(1+Supuestos!$E$8^2/Supuestos!$D$8^2))),Supuestos!$D$8))))))</f>
        <v/>
      </c>
      <c r="M806" s="32">
        <f>MIN(IF(Supuestos!$H$9="",1E+99,Supuestos!$H$9),MAX(IF(Supuestos!$G$9="",-1E+99,Supuestos!$G$9),IF(Supuestos!$C$9="Normal",NORMINV(F806,Supuestos!$D$9,Supuestos!$E$9),IF(Supuestos!$C$9="Triangular",IF(F806&lt;(Supuestos!$E$9-Supuestos!$D$9)/(Supuestos!$F$9-Supuestos!$D$9),Supuestos!$D$9+SQRT(F806*(Supuestos!$F$9-Supuestos!$D$9)*(Supuestos!$E$9-Supuestos!$D$9)),Supuestos!$F$9-SQRT((1-F806)*(Supuestos!$F$9-Supuestos!$D$9)*(Supuestos!$F$9-Supuestos!$E$9))),IF(Supuestos!$C$9="Uniforme",Supuestos!$D$9+F806*(Supuestos!$E$9-Supuestos!$D$9),IF(Supuestos!$C$9="Lognormal",LOGINV(F806,LN(Supuestos!$D$9)-LN(1+Supuestos!$E$9^2/Supuestos!$D$9^2)/2,SQRT(LN(1+Supuestos!$E$9^2/Supuestos!$D$9^2))),Supuestos!$D$9))))))</f>
        <v/>
      </c>
      <c r="N806" s="32">
        <f>MIN(IF(Supuestos!$H$10="",1E+99,Supuestos!$H$10),MAX(IF(Supuestos!$G$10="",-1E+99,Supuestos!$G$10),IF(Supuestos!$C$10="Normal",NORMINV(G806,Supuestos!$D$10,Supuestos!$E$10),IF(Supuestos!$C$10="Triangular",IF(G806&lt;(Supuestos!$E$10-Supuestos!$D$10)/(Supuestos!$F$10-Supuestos!$D$10),Supuestos!$D$10+SQRT(G806*(Supuestos!$F$10-Supuestos!$D$10)*(Supuestos!$E$10-Supuestos!$D$10)),Supuestos!$F$10-SQRT((1-G806)*(Supuestos!$F$10-Supuestos!$D$10)*(Supuestos!$F$10-Supuestos!$E$10))),IF(Supuestos!$C$10="Uniforme",Supuestos!$D$10+G806*(Supuestos!$E$10-Supuestos!$D$10),IF(Supuestos!$C$10="Lognormal",LOGINV(G806,LN(Supuestos!$D$10)-LN(1+Supuestos!$E$10^2/Supuestos!$D$10^2)/2,SQRT(LN(1+Supuestos!$E$10^2/Supuestos!$D$10^2))),Supuestos!$D$10))))))</f>
        <v/>
      </c>
      <c r="O806" s="31">
        <f>MIN(IF(Supuestos!$H$11="",1E+99,Supuestos!$H$11),MAX(IF(Supuestos!$G$11="",-1E+99,Supuestos!$G$11),IF(Supuestos!$C$11="Normal",NORMINV(H806,Supuestos!$D$11,Supuestos!$E$11),IF(Supuestos!$C$11="Triangular",IF(H806&lt;(Supuestos!$E$11-Supuestos!$D$11)/(Supuestos!$F$11-Supuestos!$D$11),Supuestos!$D$11+SQRT(H806*(Supuestos!$F$11-Supuestos!$D$11)*(Supuestos!$E$11-Supuestos!$D$11)),Supuestos!$F$11-SQRT((1-H806)*(Supuestos!$F$11-Supuestos!$D$11)*(Supuestos!$F$11-Supuestos!$E$11))),IF(Supuestos!$C$11="Uniforme",Supuestos!$D$11+H806*(Supuestos!$E$11-Supuestos!$D$11),IF(Supuestos!$C$11="Lognormal",LOGINV(H806,LN(Supuestos!$D$11)-LN(1+Supuestos!$E$11^2/Supuestos!$D$11^2)/2,SQRT(LN(1+Supuestos!$E$11^2/Supuestos!$D$11^2))),Supuestos!$D$11))))))</f>
        <v/>
      </c>
      <c r="P806" s="33">
        <f>-I806</f>
        <v/>
      </c>
      <c r="Q806" s="33">
        <f>$J806*(1+$K806)^(1-1)*(1-$L806)*(1-$M806)</f>
        <v/>
      </c>
      <c r="R806" s="33">
        <f>$J806*(1+$K806)^(2-1)*(1-$L806)*(1-$M806)</f>
        <v/>
      </c>
      <c r="S806" s="33">
        <f>$J806*(1+$K806)^(3-1)*(1-$L806)*(1-$M806)</f>
        <v/>
      </c>
      <c r="T806" s="33">
        <f>$J806*(1+$K806)^(4-1)*(1-$L806)*(1-$M806)</f>
        <v/>
      </c>
      <c r="U806" s="33">
        <f>$J806*(1+$K806)^(5-1)*(1-$L806)*(1-$M806)+$O806</f>
        <v/>
      </c>
      <c r="V806" s="33">
        <f>P806+NPV($N806,Q806:U806)</f>
        <v/>
      </c>
      <c r="W806" s="32">
        <f>IFERROR(IRR(P806:U806,0.1),"")</f>
        <v/>
      </c>
    </row>
    <row r="807">
      <c r="A807" s="14" t="n">
        <v>803</v>
      </c>
      <c r="B807" s="30">
        <f>RAND()*(1-2E-6)+1E-6</f>
        <v/>
      </c>
      <c r="C807" s="30">
        <f>RAND()*(1-2E-6)+1E-6</f>
        <v/>
      </c>
      <c r="D807" s="30">
        <f>RAND()*(1-2E-6)+1E-6</f>
        <v/>
      </c>
      <c r="E807" s="30">
        <f>RAND()*(1-2E-6)+1E-6</f>
        <v/>
      </c>
      <c r="F807" s="30">
        <f>RAND()*(1-2E-6)+1E-6</f>
        <v/>
      </c>
      <c r="G807" s="30">
        <f>RAND()*(1-2E-6)+1E-6</f>
        <v/>
      </c>
      <c r="H807" s="30">
        <f>RAND()*(1-2E-6)+1E-6</f>
        <v/>
      </c>
      <c r="I807" s="31">
        <f>MIN(IF(Supuestos!$H$5="",1E+99,Supuestos!$H$5),MAX(IF(Supuestos!$G$5="",-1E+99,Supuestos!$G$5),IF(Supuestos!$C$5="Normal",NORMINV(B807,Supuestos!$D$5,Supuestos!$E$5),IF(Supuestos!$C$5="Triangular",IF(B807&lt;(Supuestos!$E$5-Supuestos!$D$5)/(Supuestos!$F$5-Supuestos!$D$5),Supuestos!$D$5+SQRT(B807*(Supuestos!$F$5-Supuestos!$D$5)*(Supuestos!$E$5-Supuestos!$D$5)),Supuestos!$F$5-SQRT((1-B807)*(Supuestos!$F$5-Supuestos!$D$5)*(Supuestos!$F$5-Supuestos!$E$5))),IF(Supuestos!$C$5="Uniforme",Supuestos!$D$5+B807*(Supuestos!$E$5-Supuestos!$D$5),IF(Supuestos!$C$5="Lognormal",LOGINV(B807,LN(Supuestos!$D$5)-LN(1+Supuestos!$E$5^2/Supuestos!$D$5^2)/2,SQRT(LN(1+Supuestos!$E$5^2/Supuestos!$D$5^2))),Supuestos!$D$5))))))</f>
        <v/>
      </c>
      <c r="J807" s="31">
        <f>MIN(IF(Supuestos!$H$6="",1E+99,Supuestos!$H$6),MAX(IF(Supuestos!$G$6="",-1E+99,Supuestos!$G$6),IF(Supuestos!$C$6="Normal",NORMINV(C807,Supuestos!$D$6,Supuestos!$E$6),IF(Supuestos!$C$6="Triangular",IF(C807&lt;(Supuestos!$E$6-Supuestos!$D$6)/(Supuestos!$F$6-Supuestos!$D$6),Supuestos!$D$6+SQRT(C807*(Supuestos!$F$6-Supuestos!$D$6)*(Supuestos!$E$6-Supuestos!$D$6)),Supuestos!$F$6-SQRT((1-C807)*(Supuestos!$F$6-Supuestos!$D$6)*(Supuestos!$F$6-Supuestos!$E$6))),IF(Supuestos!$C$6="Uniforme",Supuestos!$D$6+C807*(Supuestos!$E$6-Supuestos!$D$6),IF(Supuestos!$C$6="Lognormal",LOGINV(C807,LN(Supuestos!$D$6)-LN(1+Supuestos!$E$6^2/Supuestos!$D$6^2)/2,SQRT(LN(1+Supuestos!$E$6^2/Supuestos!$D$6^2))),Supuestos!$D$6))))))</f>
        <v/>
      </c>
      <c r="K807" s="32">
        <f>MIN(IF(Supuestos!$H$7="",1E+99,Supuestos!$H$7),MAX(IF(Supuestos!$G$7="",-1E+99,Supuestos!$G$7),IF(Supuestos!$C$7="Normal",NORMINV(D807,Supuestos!$D$7,Supuestos!$E$7),IF(Supuestos!$C$7="Triangular",IF(D807&lt;(Supuestos!$E$7-Supuestos!$D$7)/(Supuestos!$F$7-Supuestos!$D$7),Supuestos!$D$7+SQRT(D807*(Supuestos!$F$7-Supuestos!$D$7)*(Supuestos!$E$7-Supuestos!$D$7)),Supuestos!$F$7-SQRT((1-D807)*(Supuestos!$F$7-Supuestos!$D$7)*(Supuestos!$F$7-Supuestos!$E$7))),IF(Supuestos!$C$7="Uniforme",Supuestos!$D$7+D807*(Supuestos!$E$7-Supuestos!$D$7),IF(Supuestos!$C$7="Lognormal",LOGINV(D807,LN(Supuestos!$D$7)-LN(1+Supuestos!$E$7^2/Supuestos!$D$7^2)/2,SQRT(LN(1+Supuestos!$E$7^2/Supuestos!$D$7^2))),Supuestos!$D$7))))))</f>
        <v/>
      </c>
      <c r="L807" s="32">
        <f>MIN(IF(Supuestos!$H$8="",1E+99,Supuestos!$H$8),MAX(IF(Supuestos!$G$8="",-1E+99,Supuestos!$G$8),IF(Supuestos!$C$8="Normal",NORMINV(E807,Supuestos!$D$8,Supuestos!$E$8),IF(Supuestos!$C$8="Triangular",IF(E807&lt;(Supuestos!$E$8-Supuestos!$D$8)/(Supuestos!$F$8-Supuestos!$D$8),Supuestos!$D$8+SQRT(E807*(Supuestos!$F$8-Supuestos!$D$8)*(Supuestos!$E$8-Supuestos!$D$8)),Supuestos!$F$8-SQRT((1-E807)*(Supuestos!$F$8-Supuestos!$D$8)*(Supuestos!$F$8-Supuestos!$E$8))),IF(Supuestos!$C$8="Uniforme",Supuestos!$D$8+E807*(Supuestos!$E$8-Supuestos!$D$8),IF(Supuestos!$C$8="Lognormal",LOGINV(E807,LN(Supuestos!$D$8)-LN(1+Supuestos!$E$8^2/Supuestos!$D$8^2)/2,SQRT(LN(1+Supuestos!$E$8^2/Supuestos!$D$8^2))),Supuestos!$D$8))))))</f>
        <v/>
      </c>
      <c r="M807" s="32">
        <f>MIN(IF(Supuestos!$H$9="",1E+99,Supuestos!$H$9),MAX(IF(Supuestos!$G$9="",-1E+99,Supuestos!$G$9),IF(Supuestos!$C$9="Normal",NORMINV(F807,Supuestos!$D$9,Supuestos!$E$9),IF(Supuestos!$C$9="Triangular",IF(F807&lt;(Supuestos!$E$9-Supuestos!$D$9)/(Supuestos!$F$9-Supuestos!$D$9),Supuestos!$D$9+SQRT(F807*(Supuestos!$F$9-Supuestos!$D$9)*(Supuestos!$E$9-Supuestos!$D$9)),Supuestos!$F$9-SQRT((1-F807)*(Supuestos!$F$9-Supuestos!$D$9)*(Supuestos!$F$9-Supuestos!$E$9))),IF(Supuestos!$C$9="Uniforme",Supuestos!$D$9+F807*(Supuestos!$E$9-Supuestos!$D$9),IF(Supuestos!$C$9="Lognormal",LOGINV(F807,LN(Supuestos!$D$9)-LN(1+Supuestos!$E$9^2/Supuestos!$D$9^2)/2,SQRT(LN(1+Supuestos!$E$9^2/Supuestos!$D$9^2))),Supuestos!$D$9))))))</f>
        <v/>
      </c>
      <c r="N807" s="32">
        <f>MIN(IF(Supuestos!$H$10="",1E+99,Supuestos!$H$10),MAX(IF(Supuestos!$G$10="",-1E+99,Supuestos!$G$10),IF(Supuestos!$C$10="Normal",NORMINV(G807,Supuestos!$D$10,Supuestos!$E$10),IF(Supuestos!$C$10="Triangular",IF(G807&lt;(Supuestos!$E$10-Supuestos!$D$10)/(Supuestos!$F$10-Supuestos!$D$10),Supuestos!$D$10+SQRT(G807*(Supuestos!$F$10-Supuestos!$D$10)*(Supuestos!$E$10-Supuestos!$D$10)),Supuestos!$F$10-SQRT((1-G807)*(Supuestos!$F$10-Supuestos!$D$10)*(Supuestos!$F$10-Supuestos!$E$10))),IF(Supuestos!$C$10="Uniforme",Supuestos!$D$10+G807*(Supuestos!$E$10-Supuestos!$D$10),IF(Supuestos!$C$10="Lognormal",LOGINV(G807,LN(Supuestos!$D$10)-LN(1+Supuestos!$E$10^2/Supuestos!$D$10^2)/2,SQRT(LN(1+Supuestos!$E$10^2/Supuestos!$D$10^2))),Supuestos!$D$10))))))</f>
        <v/>
      </c>
      <c r="O807" s="31">
        <f>MIN(IF(Supuestos!$H$11="",1E+99,Supuestos!$H$11),MAX(IF(Supuestos!$G$11="",-1E+99,Supuestos!$G$11),IF(Supuestos!$C$11="Normal",NORMINV(H807,Supuestos!$D$11,Supuestos!$E$11),IF(Supuestos!$C$11="Triangular",IF(H807&lt;(Supuestos!$E$11-Supuestos!$D$11)/(Supuestos!$F$11-Supuestos!$D$11),Supuestos!$D$11+SQRT(H807*(Supuestos!$F$11-Supuestos!$D$11)*(Supuestos!$E$11-Supuestos!$D$11)),Supuestos!$F$11-SQRT((1-H807)*(Supuestos!$F$11-Supuestos!$D$11)*(Supuestos!$F$11-Supuestos!$E$11))),IF(Supuestos!$C$11="Uniforme",Supuestos!$D$11+H807*(Supuestos!$E$11-Supuestos!$D$11),IF(Supuestos!$C$11="Lognormal",LOGINV(H807,LN(Supuestos!$D$11)-LN(1+Supuestos!$E$11^2/Supuestos!$D$11^2)/2,SQRT(LN(1+Supuestos!$E$11^2/Supuestos!$D$11^2))),Supuestos!$D$11))))))</f>
        <v/>
      </c>
      <c r="P807" s="33">
        <f>-I807</f>
        <v/>
      </c>
      <c r="Q807" s="33">
        <f>$J807*(1+$K807)^(1-1)*(1-$L807)*(1-$M807)</f>
        <v/>
      </c>
      <c r="R807" s="33">
        <f>$J807*(1+$K807)^(2-1)*(1-$L807)*(1-$M807)</f>
        <v/>
      </c>
      <c r="S807" s="33">
        <f>$J807*(1+$K807)^(3-1)*(1-$L807)*(1-$M807)</f>
        <v/>
      </c>
      <c r="T807" s="33">
        <f>$J807*(1+$K807)^(4-1)*(1-$L807)*(1-$M807)</f>
        <v/>
      </c>
      <c r="U807" s="33">
        <f>$J807*(1+$K807)^(5-1)*(1-$L807)*(1-$M807)+$O807</f>
        <v/>
      </c>
      <c r="V807" s="33">
        <f>P807+NPV($N807,Q807:U807)</f>
        <v/>
      </c>
      <c r="W807" s="32">
        <f>IFERROR(IRR(P807:U807,0.1),"")</f>
        <v/>
      </c>
    </row>
    <row r="808">
      <c r="A808" s="14" t="n">
        <v>804</v>
      </c>
      <c r="B808" s="30">
        <f>RAND()*(1-2E-6)+1E-6</f>
        <v/>
      </c>
      <c r="C808" s="30">
        <f>RAND()*(1-2E-6)+1E-6</f>
        <v/>
      </c>
      <c r="D808" s="30">
        <f>RAND()*(1-2E-6)+1E-6</f>
        <v/>
      </c>
      <c r="E808" s="30">
        <f>RAND()*(1-2E-6)+1E-6</f>
        <v/>
      </c>
      <c r="F808" s="30">
        <f>RAND()*(1-2E-6)+1E-6</f>
        <v/>
      </c>
      <c r="G808" s="30">
        <f>RAND()*(1-2E-6)+1E-6</f>
        <v/>
      </c>
      <c r="H808" s="30">
        <f>RAND()*(1-2E-6)+1E-6</f>
        <v/>
      </c>
      <c r="I808" s="31">
        <f>MIN(IF(Supuestos!$H$5="",1E+99,Supuestos!$H$5),MAX(IF(Supuestos!$G$5="",-1E+99,Supuestos!$G$5),IF(Supuestos!$C$5="Normal",NORMINV(B808,Supuestos!$D$5,Supuestos!$E$5),IF(Supuestos!$C$5="Triangular",IF(B808&lt;(Supuestos!$E$5-Supuestos!$D$5)/(Supuestos!$F$5-Supuestos!$D$5),Supuestos!$D$5+SQRT(B808*(Supuestos!$F$5-Supuestos!$D$5)*(Supuestos!$E$5-Supuestos!$D$5)),Supuestos!$F$5-SQRT((1-B808)*(Supuestos!$F$5-Supuestos!$D$5)*(Supuestos!$F$5-Supuestos!$E$5))),IF(Supuestos!$C$5="Uniforme",Supuestos!$D$5+B808*(Supuestos!$E$5-Supuestos!$D$5),IF(Supuestos!$C$5="Lognormal",LOGINV(B808,LN(Supuestos!$D$5)-LN(1+Supuestos!$E$5^2/Supuestos!$D$5^2)/2,SQRT(LN(1+Supuestos!$E$5^2/Supuestos!$D$5^2))),Supuestos!$D$5))))))</f>
        <v/>
      </c>
      <c r="J808" s="31">
        <f>MIN(IF(Supuestos!$H$6="",1E+99,Supuestos!$H$6),MAX(IF(Supuestos!$G$6="",-1E+99,Supuestos!$G$6),IF(Supuestos!$C$6="Normal",NORMINV(C808,Supuestos!$D$6,Supuestos!$E$6),IF(Supuestos!$C$6="Triangular",IF(C808&lt;(Supuestos!$E$6-Supuestos!$D$6)/(Supuestos!$F$6-Supuestos!$D$6),Supuestos!$D$6+SQRT(C808*(Supuestos!$F$6-Supuestos!$D$6)*(Supuestos!$E$6-Supuestos!$D$6)),Supuestos!$F$6-SQRT((1-C808)*(Supuestos!$F$6-Supuestos!$D$6)*(Supuestos!$F$6-Supuestos!$E$6))),IF(Supuestos!$C$6="Uniforme",Supuestos!$D$6+C808*(Supuestos!$E$6-Supuestos!$D$6),IF(Supuestos!$C$6="Lognormal",LOGINV(C808,LN(Supuestos!$D$6)-LN(1+Supuestos!$E$6^2/Supuestos!$D$6^2)/2,SQRT(LN(1+Supuestos!$E$6^2/Supuestos!$D$6^2))),Supuestos!$D$6))))))</f>
        <v/>
      </c>
      <c r="K808" s="32">
        <f>MIN(IF(Supuestos!$H$7="",1E+99,Supuestos!$H$7),MAX(IF(Supuestos!$G$7="",-1E+99,Supuestos!$G$7),IF(Supuestos!$C$7="Normal",NORMINV(D808,Supuestos!$D$7,Supuestos!$E$7),IF(Supuestos!$C$7="Triangular",IF(D808&lt;(Supuestos!$E$7-Supuestos!$D$7)/(Supuestos!$F$7-Supuestos!$D$7),Supuestos!$D$7+SQRT(D808*(Supuestos!$F$7-Supuestos!$D$7)*(Supuestos!$E$7-Supuestos!$D$7)),Supuestos!$F$7-SQRT((1-D808)*(Supuestos!$F$7-Supuestos!$D$7)*(Supuestos!$F$7-Supuestos!$E$7))),IF(Supuestos!$C$7="Uniforme",Supuestos!$D$7+D808*(Supuestos!$E$7-Supuestos!$D$7),IF(Supuestos!$C$7="Lognormal",LOGINV(D808,LN(Supuestos!$D$7)-LN(1+Supuestos!$E$7^2/Supuestos!$D$7^2)/2,SQRT(LN(1+Supuestos!$E$7^2/Supuestos!$D$7^2))),Supuestos!$D$7))))))</f>
        <v/>
      </c>
      <c r="L808" s="32">
        <f>MIN(IF(Supuestos!$H$8="",1E+99,Supuestos!$H$8),MAX(IF(Supuestos!$G$8="",-1E+99,Supuestos!$G$8),IF(Supuestos!$C$8="Normal",NORMINV(E808,Supuestos!$D$8,Supuestos!$E$8),IF(Supuestos!$C$8="Triangular",IF(E808&lt;(Supuestos!$E$8-Supuestos!$D$8)/(Supuestos!$F$8-Supuestos!$D$8),Supuestos!$D$8+SQRT(E808*(Supuestos!$F$8-Supuestos!$D$8)*(Supuestos!$E$8-Supuestos!$D$8)),Supuestos!$F$8-SQRT((1-E808)*(Supuestos!$F$8-Supuestos!$D$8)*(Supuestos!$F$8-Supuestos!$E$8))),IF(Supuestos!$C$8="Uniforme",Supuestos!$D$8+E808*(Supuestos!$E$8-Supuestos!$D$8),IF(Supuestos!$C$8="Lognormal",LOGINV(E808,LN(Supuestos!$D$8)-LN(1+Supuestos!$E$8^2/Supuestos!$D$8^2)/2,SQRT(LN(1+Supuestos!$E$8^2/Supuestos!$D$8^2))),Supuestos!$D$8))))))</f>
        <v/>
      </c>
      <c r="M808" s="32">
        <f>MIN(IF(Supuestos!$H$9="",1E+99,Supuestos!$H$9),MAX(IF(Supuestos!$G$9="",-1E+99,Supuestos!$G$9),IF(Supuestos!$C$9="Normal",NORMINV(F808,Supuestos!$D$9,Supuestos!$E$9),IF(Supuestos!$C$9="Triangular",IF(F808&lt;(Supuestos!$E$9-Supuestos!$D$9)/(Supuestos!$F$9-Supuestos!$D$9),Supuestos!$D$9+SQRT(F808*(Supuestos!$F$9-Supuestos!$D$9)*(Supuestos!$E$9-Supuestos!$D$9)),Supuestos!$F$9-SQRT((1-F808)*(Supuestos!$F$9-Supuestos!$D$9)*(Supuestos!$F$9-Supuestos!$E$9))),IF(Supuestos!$C$9="Uniforme",Supuestos!$D$9+F808*(Supuestos!$E$9-Supuestos!$D$9),IF(Supuestos!$C$9="Lognormal",LOGINV(F808,LN(Supuestos!$D$9)-LN(1+Supuestos!$E$9^2/Supuestos!$D$9^2)/2,SQRT(LN(1+Supuestos!$E$9^2/Supuestos!$D$9^2))),Supuestos!$D$9))))))</f>
        <v/>
      </c>
      <c r="N808" s="32">
        <f>MIN(IF(Supuestos!$H$10="",1E+99,Supuestos!$H$10),MAX(IF(Supuestos!$G$10="",-1E+99,Supuestos!$G$10),IF(Supuestos!$C$10="Normal",NORMINV(G808,Supuestos!$D$10,Supuestos!$E$10),IF(Supuestos!$C$10="Triangular",IF(G808&lt;(Supuestos!$E$10-Supuestos!$D$10)/(Supuestos!$F$10-Supuestos!$D$10),Supuestos!$D$10+SQRT(G808*(Supuestos!$F$10-Supuestos!$D$10)*(Supuestos!$E$10-Supuestos!$D$10)),Supuestos!$F$10-SQRT((1-G808)*(Supuestos!$F$10-Supuestos!$D$10)*(Supuestos!$F$10-Supuestos!$E$10))),IF(Supuestos!$C$10="Uniforme",Supuestos!$D$10+G808*(Supuestos!$E$10-Supuestos!$D$10),IF(Supuestos!$C$10="Lognormal",LOGINV(G808,LN(Supuestos!$D$10)-LN(1+Supuestos!$E$10^2/Supuestos!$D$10^2)/2,SQRT(LN(1+Supuestos!$E$10^2/Supuestos!$D$10^2))),Supuestos!$D$10))))))</f>
        <v/>
      </c>
      <c r="O808" s="31">
        <f>MIN(IF(Supuestos!$H$11="",1E+99,Supuestos!$H$11),MAX(IF(Supuestos!$G$11="",-1E+99,Supuestos!$G$11),IF(Supuestos!$C$11="Normal",NORMINV(H808,Supuestos!$D$11,Supuestos!$E$11),IF(Supuestos!$C$11="Triangular",IF(H808&lt;(Supuestos!$E$11-Supuestos!$D$11)/(Supuestos!$F$11-Supuestos!$D$11),Supuestos!$D$11+SQRT(H808*(Supuestos!$F$11-Supuestos!$D$11)*(Supuestos!$E$11-Supuestos!$D$11)),Supuestos!$F$11-SQRT((1-H808)*(Supuestos!$F$11-Supuestos!$D$11)*(Supuestos!$F$11-Supuestos!$E$11))),IF(Supuestos!$C$11="Uniforme",Supuestos!$D$11+H808*(Supuestos!$E$11-Supuestos!$D$11),IF(Supuestos!$C$11="Lognormal",LOGINV(H808,LN(Supuestos!$D$11)-LN(1+Supuestos!$E$11^2/Supuestos!$D$11^2)/2,SQRT(LN(1+Supuestos!$E$11^2/Supuestos!$D$11^2))),Supuestos!$D$11))))))</f>
        <v/>
      </c>
      <c r="P808" s="33">
        <f>-I808</f>
        <v/>
      </c>
      <c r="Q808" s="33">
        <f>$J808*(1+$K808)^(1-1)*(1-$L808)*(1-$M808)</f>
        <v/>
      </c>
      <c r="R808" s="33">
        <f>$J808*(1+$K808)^(2-1)*(1-$L808)*(1-$M808)</f>
        <v/>
      </c>
      <c r="S808" s="33">
        <f>$J808*(1+$K808)^(3-1)*(1-$L808)*(1-$M808)</f>
        <v/>
      </c>
      <c r="T808" s="33">
        <f>$J808*(1+$K808)^(4-1)*(1-$L808)*(1-$M808)</f>
        <v/>
      </c>
      <c r="U808" s="33">
        <f>$J808*(1+$K808)^(5-1)*(1-$L808)*(1-$M808)+$O808</f>
        <v/>
      </c>
      <c r="V808" s="33">
        <f>P808+NPV($N808,Q808:U808)</f>
        <v/>
      </c>
      <c r="W808" s="32">
        <f>IFERROR(IRR(P808:U808,0.1),"")</f>
        <v/>
      </c>
    </row>
    <row r="809">
      <c r="A809" s="14" t="n">
        <v>805</v>
      </c>
      <c r="B809" s="30">
        <f>RAND()*(1-2E-6)+1E-6</f>
        <v/>
      </c>
      <c r="C809" s="30">
        <f>RAND()*(1-2E-6)+1E-6</f>
        <v/>
      </c>
      <c r="D809" s="30">
        <f>RAND()*(1-2E-6)+1E-6</f>
        <v/>
      </c>
      <c r="E809" s="30">
        <f>RAND()*(1-2E-6)+1E-6</f>
        <v/>
      </c>
      <c r="F809" s="30">
        <f>RAND()*(1-2E-6)+1E-6</f>
        <v/>
      </c>
      <c r="G809" s="30">
        <f>RAND()*(1-2E-6)+1E-6</f>
        <v/>
      </c>
      <c r="H809" s="30">
        <f>RAND()*(1-2E-6)+1E-6</f>
        <v/>
      </c>
      <c r="I809" s="31">
        <f>MIN(IF(Supuestos!$H$5="",1E+99,Supuestos!$H$5),MAX(IF(Supuestos!$G$5="",-1E+99,Supuestos!$G$5),IF(Supuestos!$C$5="Normal",NORMINV(B809,Supuestos!$D$5,Supuestos!$E$5),IF(Supuestos!$C$5="Triangular",IF(B809&lt;(Supuestos!$E$5-Supuestos!$D$5)/(Supuestos!$F$5-Supuestos!$D$5),Supuestos!$D$5+SQRT(B809*(Supuestos!$F$5-Supuestos!$D$5)*(Supuestos!$E$5-Supuestos!$D$5)),Supuestos!$F$5-SQRT((1-B809)*(Supuestos!$F$5-Supuestos!$D$5)*(Supuestos!$F$5-Supuestos!$E$5))),IF(Supuestos!$C$5="Uniforme",Supuestos!$D$5+B809*(Supuestos!$E$5-Supuestos!$D$5),IF(Supuestos!$C$5="Lognormal",LOGINV(B809,LN(Supuestos!$D$5)-LN(1+Supuestos!$E$5^2/Supuestos!$D$5^2)/2,SQRT(LN(1+Supuestos!$E$5^2/Supuestos!$D$5^2))),Supuestos!$D$5))))))</f>
        <v/>
      </c>
      <c r="J809" s="31">
        <f>MIN(IF(Supuestos!$H$6="",1E+99,Supuestos!$H$6),MAX(IF(Supuestos!$G$6="",-1E+99,Supuestos!$G$6),IF(Supuestos!$C$6="Normal",NORMINV(C809,Supuestos!$D$6,Supuestos!$E$6),IF(Supuestos!$C$6="Triangular",IF(C809&lt;(Supuestos!$E$6-Supuestos!$D$6)/(Supuestos!$F$6-Supuestos!$D$6),Supuestos!$D$6+SQRT(C809*(Supuestos!$F$6-Supuestos!$D$6)*(Supuestos!$E$6-Supuestos!$D$6)),Supuestos!$F$6-SQRT((1-C809)*(Supuestos!$F$6-Supuestos!$D$6)*(Supuestos!$F$6-Supuestos!$E$6))),IF(Supuestos!$C$6="Uniforme",Supuestos!$D$6+C809*(Supuestos!$E$6-Supuestos!$D$6),IF(Supuestos!$C$6="Lognormal",LOGINV(C809,LN(Supuestos!$D$6)-LN(1+Supuestos!$E$6^2/Supuestos!$D$6^2)/2,SQRT(LN(1+Supuestos!$E$6^2/Supuestos!$D$6^2))),Supuestos!$D$6))))))</f>
        <v/>
      </c>
      <c r="K809" s="32">
        <f>MIN(IF(Supuestos!$H$7="",1E+99,Supuestos!$H$7),MAX(IF(Supuestos!$G$7="",-1E+99,Supuestos!$G$7),IF(Supuestos!$C$7="Normal",NORMINV(D809,Supuestos!$D$7,Supuestos!$E$7),IF(Supuestos!$C$7="Triangular",IF(D809&lt;(Supuestos!$E$7-Supuestos!$D$7)/(Supuestos!$F$7-Supuestos!$D$7),Supuestos!$D$7+SQRT(D809*(Supuestos!$F$7-Supuestos!$D$7)*(Supuestos!$E$7-Supuestos!$D$7)),Supuestos!$F$7-SQRT((1-D809)*(Supuestos!$F$7-Supuestos!$D$7)*(Supuestos!$F$7-Supuestos!$E$7))),IF(Supuestos!$C$7="Uniforme",Supuestos!$D$7+D809*(Supuestos!$E$7-Supuestos!$D$7),IF(Supuestos!$C$7="Lognormal",LOGINV(D809,LN(Supuestos!$D$7)-LN(1+Supuestos!$E$7^2/Supuestos!$D$7^2)/2,SQRT(LN(1+Supuestos!$E$7^2/Supuestos!$D$7^2))),Supuestos!$D$7))))))</f>
        <v/>
      </c>
      <c r="L809" s="32">
        <f>MIN(IF(Supuestos!$H$8="",1E+99,Supuestos!$H$8),MAX(IF(Supuestos!$G$8="",-1E+99,Supuestos!$G$8),IF(Supuestos!$C$8="Normal",NORMINV(E809,Supuestos!$D$8,Supuestos!$E$8),IF(Supuestos!$C$8="Triangular",IF(E809&lt;(Supuestos!$E$8-Supuestos!$D$8)/(Supuestos!$F$8-Supuestos!$D$8),Supuestos!$D$8+SQRT(E809*(Supuestos!$F$8-Supuestos!$D$8)*(Supuestos!$E$8-Supuestos!$D$8)),Supuestos!$F$8-SQRT((1-E809)*(Supuestos!$F$8-Supuestos!$D$8)*(Supuestos!$F$8-Supuestos!$E$8))),IF(Supuestos!$C$8="Uniforme",Supuestos!$D$8+E809*(Supuestos!$E$8-Supuestos!$D$8),IF(Supuestos!$C$8="Lognormal",LOGINV(E809,LN(Supuestos!$D$8)-LN(1+Supuestos!$E$8^2/Supuestos!$D$8^2)/2,SQRT(LN(1+Supuestos!$E$8^2/Supuestos!$D$8^2))),Supuestos!$D$8))))))</f>
        <v/>
      </c>
      <c r="M809" s="32">
        <f>MIN(IF(Supuestos!$H$9="",1E+99,Supuestos!$H$9),MAX(IF(Supuestos!$G$9="",-1E+99,Supuestos!$G$9),IF(Supuestos!$C$9="Normal",NORMINV(F809,Supuestos!$D$9,Supuestos!$E$9),IF(Supuestos!$C$9="Triangular",IF(F809&lt;(Supuestos!$E$9-Supuestos!$D$9)/(Supuestos!$F$9-Supuestos!$D$9),Supuestos!$D$9+SQRT(F809*(Supuestos!$F$9-Supuestos!$D$9)*(Supuestos!$E$9-Supuestos!$D$9)),Supuestos!$F$9-SQRT((1-F809)*(Supuestos!$F$9-Supuestos!$D$9)*(Supuestos!$F$9-Supuestos!$E$9))),IF(Supuestos!$C$9="Uniforme",Supuestos!$D$9+F809*(Supuestos!$E$9-Supuestos!$D$9),IF(Supuestos!$C$9="Lognormal",LOGINV(F809,LN(Supuestos!$D$9)-LN(1+Supuestos!$E$9^2/Supuestos!$D$9^2)/2,SQRT(LN(1+Supuestos!$E$9^2/Supuestos!$D$9^2))),Supuestos!$D$9))))))</f>
        <v/>
      </c>
      <c r="N809" s="32">
        <f>MIN(IF(Supuestos!$H$10="",1E+99,Supuestos!$H$10),MAX(IF(Supuestos!$G$10="",-1E+99,Supuestos!$G$10),IF(Supuestos!$C$10="Normal",NORMINV(G809,Supuestos!$D$10,Supuestos!$E$10),IF(Supuestos!$C$10="Triangular",IF(G809&lt;(Supuestos!$E$10-Supuestos!$D$10)/(Supuestos!$F$10-Supuestos!$D$10),Supuestos!$D$10+SQRT(G809*(Supuestos!$F$10-Supuestos!$D$10)*(Supuestos!$E$10-Supuestos!$D$10)),Supuestos!$F$10-SQRT((1-G809)*(Supuestos!$F$10-Supuestos!$D$10)*(Supuestos!$F$10-Supuestos!$E$10))),IF(Supuestos!$C$10="Uniforme",Supuestos!$D$10+G809*(Supuestos!$E$10-Supuestos!$D$10),IF(Supuestos!$C$10="Lognormal",LOGINV(G809,LN(Supuestos!$D$10)-LN(1+Supuestos!$E$10^2/Supuestos!$D$10^2)/2,SQRT(LN(1+Supuestos!$E$10^2/Supuestos!$D$10^2))),Supuestos!$D$10))))))</f>
        <v/>
      </c>
      <c r="O809" s="31">
        <f>MIN(IF(Supuestos!$H$11="",1E+99,Supuestos!$H$11),MAX(IF(Supuestos!$G$11="",-1E+99,Supuestos!$G$11),IF(Supuestos!$C$11="Normal",NORMINV(H809,Supuestos!$D$11,Supuestos!$E$11),IF(Supuestos!$C$11="Triangular",IF(H809&lt;(Supuestos!$E$11-Supuestos!$D$11)/(Supuestos!$F$11-Supuestos!$D$11),Supuestos!$D$11+SQRT(H809*(Supuestos!$F$11-Supuestos!$D$11)*(Supuestos!$E$11-Supuestos!$D$11)),Supuestos!$F$11-SQRT((1-H809)*(Supuestos!$F$11-Supuestos!$D$11)*(Supuestos!$F$11-Supuestos!$E$11))),IF(Supuestos!$C$11="Uniforme",Supuestos!$D$11+H809*(Supuestos!$E$11-Supuestos!$D$11),IF(Supuestos!$C$11="Lognormal",LOGINV(H809,LN(Supuestos!$D$11)-LN(1+Supuestos!$E$11^2/Supuestos!$D$11^2)/2,SQRT(LN(1+Supuestos!$E$11^2/Supuestos!$D$11^2))),Supuestos!$D$11))))))</f>
        <v/>
      </c>
      <c r="P809" s="33">
        <f>-I809</f>
        <v/>
      </c>
      <c r="Q809" s="33">
        <f>$J809*(1+$K809)^(1-1)*(1-$L809)*(1-$M809)</f>
        <v/>
      </c>
      <c r="R809" s="33">
        <f>$J809*(1+$K809)^(2-1)*(1-$L809)*(1-$M809)</f>
        <v/>
      </c>
      <c r="S809" s="33">
        <f>$J809*(1+$K809)^(3-1)*(1-$L809)*(1-$M809)</f>
        <v/>
      </c>
      <c r="T809" s="33">
        <f>$J809*(1+$K809)^(4-1)*(1-$L809)*(1-$M809)</f>
        <v/>
      </c>
      <c r="U809" s="33">
        <f>$J809*(1+$K809)^(5-1)*(1-$L809)*(1-$M809)+$O809</f>
        <v/>
      </c>
      <c r="V809" s="33">
        <f>P809+NPV($N809,Q809:U809)</f>
        <v/>
      </c>
      <c r="W809" s="32">
        <f>IFERROR(IRR(P809:U809,0.1),"")</f>
        <v/>
      </c>
    </row>
    <row r="810">
      <c r="A810" s="14" t="n">
        <v>806</v>
      </c>
      <c r="B810" s="30">
        <f>RAND()*(1-2E-6)+1E-6</f>
        <v/>
      </c>
      <c r="C810" s="30">
        <f>RAND()*(1-2E-6)+1E-6</f>
        <v/>
      </c>
      <c r="D810" s="30">
        <f>RAND()*(1-2E-6)+1E-6</f>
        <v/>
      </c>
      <c r="E810" s="30">
        <f>RAND()*(1-2E-6)+1E-6</f>
        <v/>
      </c>
      <c r="F810" s="30">
        <f>RAND()*(1-2E-6)+1E-6</f>
        <v/>
      </c>
      <c r="G810" s="30">
        <f>RAND()*(1-2E-6)+1E-6</f>
        <v/>
      </c>
      <c r="H810" s="30">
        <f>RAND()*(1-2E-6)+1E-6</f>
        <v/>
      </c>
      <c r="I810" s="31">
        <f>MIN(IF(Supuestos!$H$5="",1E+99,Supuestos!$H$5),MAX(IF(Supuestos!$G$5="",-1E+99,Supuestos!$G$5),IF(Supuestos!$C$5="Normal",NORMINV(B810,Supuestos!$D$5,Supuestos!$E$5),IF(Supuestos!$C$5="Triangular",IF(B810&lt;(Supuestos!$E$5-Supuestos!$D$5)/(Supuestos!$F$5-Supuestos!$D$5),Supuestos!$D$5+SQRT(B810*(Supuestos!$F$5-Supuestos!$D$5)*(Supuestos!$E$5-Supuestos!$D$5)),Supuestos!$F$5-SQRT((1-B810)*(Supuestos!$F$5-Supuestos!$D$5)*(Supuestos!$F$5-Supuestos!$E$5))),IF(Supuestos!$C$5="Uniforme",Supuestos!$D$5+B810*(Supuestos!$E$5-Supuestos!$D$5),IF(Supuestos!$C$5="Lognormal",LOGINV(B810,LN(Supuestos!$D$5)-LN(1+Supuestos!$E$5^2/Supuestos!$D$5^2)/2,SQRT(LN(1+Supuestos!$E$5^2/Supuestos!$D$5^2))),Supuestos!$D$5))))))</f>
        <v/>
      </c>
      <c r="J810" s="31">
        <f>MIN(IF(Supuestos!$H$6="",1E+99,Supuestos!$H$6),MAX(IF(Supuestos!$G$6="",-1E+99,Supuestos!$G$6),IF(Supuestos!$C$6="Normal",NORMINV(C810,Supuestos!$D$6,Supuestos!$E$6),IF(Supuestos!$C$6="Triangular",IF(C810&lt;(Supuestos!$E$6-Supuestos!$D$6)/(Supuestos!$F$6-Supuestos!$D$6),Supuestos!$D$6+SQRT(C810*(Supuestos!$F$6-Supuestos!$D$6)*(Supuestos!$E$6-Supuestos!$D$6)),Supuestos!$F$6-SQRT((1-C810)*(Supuestos!$F$6-Supuestos!$D$6)*(Supuestos!$F$6-Supuestos!$E$6))),IF(Supuestos!$C$6="Uniforme",Supuestos!$D$6+C810*(Supuestos!$E$6-Supuestos!$D$6),IF(Supuestos!$C$6="Lognormal",LOGINV(C810,LN(Supuestos!$D$6)-LN(1+Supuestos!$E$6^2/Supuestos!$D$6^2)/2,SQRT(LN(1+Supuestos!$E$6^2/Supuestos!$D$6^2))),Supuestos!$D$6))))))</f>
        <v/>
      </c>
      <c r="K810" s="32">
        <f>MIN(IF(Supuestos!$H$7="",1E+99,Supuestos!$H$7),MAX(IF(Supuestos!$G$7="",-1E+99,Supuestos!$G$7),IF(Supuestos!$C$7="Normal",NORMINV(D810,Supuestos!$D$7,Supuestos!$E$7),IF(Supuestos!$C$7="Triangular",IF(D810&lt;(Supuestos!$E$7-Supuestos!$D$7)/(Supuestos!$F$7-Supuestos!$D$7),Supuestos!$D$7+SQRT(D810*(Supuestos!$F$7-Supuestos!$D$7)*(Supuestos!$E$7-Supuestos!$D$7)),Supuestos!$F$7-SQRT((1-D810)*(Supuestos!$F$7-Supuestos!$D$7)*(Supuestos!$F$7-Supuestos!$E$7))),IF(Supuestos!$C$7="Uniforme",Supuestos!$D$7+D810*(Supuestos!$E$7-Supuestos!$D$7),IF(Supuestos!$C$7="Lognormal",LOGINV(D810,LN(Supuestos!$D$7)-LN(1+Supuestos!$E$7^2/Supuestos!$D$7^2)/2,SQRT(LN(1+Supuestos!$E$7^2/Supuestos!$D$7^2))),Supuestos!$D$7))))))</f>
        <v/>
      </c>
      <c r="L810" s="32">
        <f>MIN(IF(Supuestos!$H$8="",1E+99,Supuestos!$H$8),MAX(IF(Supuestos!$G$8="",-1E+99,Supuestos!$G$8),IF(Supuestos!$C$8="Normal",NORMINV(E810,Supuestos!$D$8,Supuestos!$E$8),IF(Supuestos!$C$8="Triangular",IF(E810&lt;(Supuestos!$E$8-Supuestos!$D$8)/(Supuestos!$F$8-Supuestos!$D$8),Supuestos!$D$8+SQRT(E810*(Supuestos!$F$8-Supuestos!$D$8)*(Supuestos!$E$8-Supuestos!$D$8)),Supuestos!$F$8-SQRT((1-E810)*(Supuestos!$F$8-Supuestos!$D$8)*(Supuestos!$F$8-Supuestos!$E$8))),IF(Supuestos!$C$8="Uniforme",Supuestos!$D$8+E810*(Supuestos!$E$8-Supuestos!$D$8),IF(Supuestos!$C$8="Lognormal",LOGINV(E810,LN(Supuestos!$D$8)-LN(1+Supuestos!$E$8^2/Supuestos!$D$8^2)/2,SQRT(LN(1+Supuestos!$E$8^2/Supuestos!$D$8^2))),Supuestos!$D$8))))))</f>
        <v/>
      </c>
      <c r="M810" s="32">
        <f>MIN(IF(Supuestos!$H$9="",1E+99,Supuestos!$H$9),MAX(IF(Supuestos!$G$9="",-1E+99,Supuestos!$G$9),IF(Supuestos!$C$9="Normal",NORMINV(F810,Supuestos!$D$9,Supuestos!$E$9),IF(Supuestos!$C$9="Triangular",IF(F810&lt;(Supuestos!$E$9-Supuestos!$D$9)/(Supuestos!$F$9-Supuestos!$D$9),Supuestos!$D$9+SQRT(F810*(Supuestos!$F$9-Supuestos!$D$9)*(Supuestos!$E$9-Supuestos!$D$9)),Supuestos!$F$9-SQRT((1-F810)*(Supuestos!$F$9-Supuestos!$D$9)*(Supuestos!$F$9-Supuestos!$E$9))),IF(Supuestos!$C$9="Uniforme",Supuestos!$D$9+F810*(Supuestos!$E$9-Supuestos!$D$9),IF(Supuestos!$C$9="Lognormal",LOGINV(F810,LN(Supuestos!$D$9)-LN(1+Supuestos!$E$9^2/Supuestos!$D$9^2)/2,SQRT(LN(1+Supuestos!$E$9^2/Supuestos!$D$9^2))),Supuestos!$D$9))))))</f>
        <v/>
      </c>
      <c r="N810" s="32">
        <f>MIN(IF(Supuestos!$H$10="",1E+99,Supuestos!$H$10),MAX(IF(Supuestos!$G$10="",-1E+99,Supuestos!$G$10),IF(Supuestos!$C$10="Normal",NORMINV(G810,Supuestos!$D$10,Supuestos!$E$10),IF(Supuestos!$C$10="Triangular",IF(G810&lt;(Supuestos!$E$10-Supuestos!$D$10)/(Supuestos!$F$10-Supuestos!$D$10),Supuestos!$D$10+SQRT(G810*(Supuestos!$F$10-Supuestos!$D$10)*(Supuestos!$E$10-Supuestos!$D$10)),Supuestos!$F$10-SQRT((1-G810)*(Supuestos!$F$10-Supuestos!$D$10)*(Supuestos!$F$10-Supuestos!$E$10))),IF(Supuestos!$C$10="Uniforme",Supuestos!$D$10+G810*(Supuestos!$E$10-Supuestos!$D$10),IF(Supuestos!$C$10="Lognormal",LOGINV(G810,LN(Supuestos!$D$10)-LN(1+Supuestos!$E$10^2/Supuestos!$D$10^2)/2,SQRT(LN(1+Supuestos!$E$10^2/Supuestos!$D$10^2))),Supuestos!$D$10))))))</f>
        <v/>
      </c>
      <c r="O810" s="31">
        <f>MIN(IF(Supuestos!$H$11="",1E+99,Supuestos!$H$11),MAX(IF(Supuestos!$G$11="",-1E+99,Supuestos!$G$11),IF(Supuestos!$C$11="Normal",NORMINV(H810,Supuestos!$D$11,Supuestos!$E$11),IF(Supuestos!$C$11="Triangular",IF(H810&lt;(Supuestos!$E$11-Supuestos!$D$11)/(Supuestos!$F$11-Supuestos!$D$11),Supuestos!$D$11+SQRT(H810*(Supuestos!$F$11-Supuestos!$D$11)*(Supuestos!$E$11-Supuestos!$D$11)),Supuestos!$F$11-SQRT((1-H810)*(Supuestos!$F$11-Supuestos!$D$11)*(Supuestos!$F$11-Supuestos!$E$11))),IF(Supuestos!$C$11="Uniforme",Supuestos!$D$11+H810*(Supuestos!$E$11-Supuestos!$D$11),IF(Supuestos!$C$11="Lognormal",LOGINV(H810,LN(Supuestos!$D$11)-LN(1+Supuestos!$E$11^2/Supuestos!$D$11^2)/2,SQRT(LN(1+Supuestos!$E$11^2/Supuestos!$D$11^2))),Supuestos!$D$11))))))</f>
        <v/>
      </c>
      <c r="P810" s="33">
        <f>-I810</f>
        <v/>
      </c>
      <c r="Q810" s="33">
        <f>$J810*(1+$K810)^(1-1)*(1-$L810)*(1-$M810)</f>
        <v/>
      </c>
      <c r="R810" s="33">
        <f>$J810*(1+$K810)^(2-1)*(1-$L810)*(1-$M810)</f>
        <v/>
      </c>
      <c r="S810" s="33">
        <f>$J810*(1+$K810)^(3-1)*(1-$L810)*(1-$M810)</f>
        <v/>
      </c>
      <c r="T810" s="33">
        <f>$J810*(1+$K810)^(4-1)*(1-$L810)*(1-$M810)</f>
        <v/>
      </c>
      <c r="U810" s="33">
        <f>$J810*(1+$K810)^(5-1)*(1-$L810)*(1-$M810)+$O810</f>
        <v/>
      </c>
      <c r="V810" s="33">
        <f>P810+NPV($N810,Q810:U810)</f>
        <v/>
      </c>
      <c r="W810" s="32">
        <f>IFERROR(IRR(P810:U810,0.1),"")</f>
        <v/>
      </c>
    </row>
    <row r="811">
      <c r="A811" s="14" t="n">
        <v>807</v>
      </c>
      <c r="B811" s="30">
        <f>RAND()*(1-2E-6)+1E-6</f>
        <v/>
      </c>
      <c r="C811" s="30">
        <f>RAND()*(1-2E-6)+1E-6</f>
        <v/>
      </c>
      <c r="D811" s="30">
        <f>RAND()*(1-2E-6)+1E-6</f>
        <v/>
      </c>
      <c r="E811" s="30">
        <f>RAND()*(1-2E-6)+1E-6</f>
        <v/>
      </c>
      <c r="F811" s="30">
        <f>RAND()*(1-2E-6)+1E-6</f>
        <v/>
      </c>
      <c r="G811" s="30">
        <f>RAND()*(1-2E-6)+1E-6</f>
        <v/>
      </c>
      <c r="H811" s="30">
        <f>RAND()*(1-2E-6)+1E-6</f>
        <v/>
      </c>
      <c r="I811" s="31">
        <f>MIN(IF(Supuestos!$H$5="",1E+99,Supuestos!$H$5),MAX(IF(Supuestos!$G$5="",-1E+99,Supuestos!$G$5),IF(Supuestos!$C$5="Normal",NORMINV(B811,Supuestos!$D$5,Supuestos!$E$5),IF(Supuestos!$C$5="Triangular",IF(B811&lt;(Supuestos!$E$5-Supuestos!$D$5)/(Supuestos!$F$5-Supuestos!$D$5),Supuestos!$D$5+SQRT(B811*(Supuestos!$F$5-Supuestos!$D$5)*(Supuestos!$E$5-Supuestos!$D$5)),Supuestos!$F$5-SQRT((1-B811)*(Supuestos!$F$5-Supuestos!$D$5)*(Supuestos!$F$5-Supuestos!$E$5))),IF(Supuestos!$C$5="Uniforme",Supuestos!$D$5+B811*(Supuestos!$E$5-Supuestos!$D$5),IF(Supuestos!$C$5="Lognormal",LOGINV(B811,LN(Supuestos!$D$5)-LN(1+Supuestos!$E$5^2/Supuestos!$D$5^2)/2,SQRT(LN(1+Supuestos!$E$5^2/Supuestos!$D$5^2))),Supuestos!$D$5))))))</f>
        <v/>
      </c>
      <c r="J811" s="31">
        <f>MIN(IF(Supuestos!$H$6="",1E+99,Supuestos!$H$6),MAX(IF(Supuestos!$G$6="",-1E+99,Supuestos!$G$6),IF(Supuestos!$C$6="Normal",NORMINV(C811,Supuestos!$D$6,Supuestos!$E$6),IF(Supuestos!$C$6="Triangular",IF(C811&lt;(Supuestos!$E$6-Supuestos!$D$6)/(Supuestos!$F$6-Supuestos!$D$6),Supuestos!$D$6+SQRT(C811*(Supuestos!$F$6-Supuestos!$D$6)*(Supuestos!$E$6-Supuestos!$D$6)),Supuestos!$F$6-SQRT((1-C811)*(Supuestos!$F$6-Supuestos!$D$6)*(Supuestos!$F$6-Supuestos!$E$6))),IF(Supuestos!$C$6="Uniforme",Supuestos!$D$6+C811*(Supuestos!$E$6-Supuestos!$D$6),IF(Supuestos!$C$6="Lognormal",LOGINV(C811,LN(Supuestos!$D$6)-LN(1+Supuestos!$E$6^2/Supuestos!$D$6^2)/2,SQRT(LN(1+Supuestos!$E$6^2/Supuestos!$D$6^2))),Supuestos!$D$6))))))</f>
        <v/>
      </c>
      <c r="K811" s="32">
        <f>MIN(IF(Supuestos!$H$7="",1E+99,Supuestos!$H$7),MAX(IF(Supuestos!$G$7="",-1E+99,Supuestos!$G$7),IF(Supuestos!$C$7="Normal",NORMINV(D811,Supuestos!$D$7,Supuestos!$E$7),IF(Supuestos!$C$7="Triangular",IF(D811&lt;(Supuestos!$E$7-Supuestos!$D$7)/(Supuestos!$F$7-Supuestos!$D$7),Supuestos!$D$7+SQRT(D811*(Supuestos!$F$7-Supuestos!$D$7)*(Supuestos!$E$7-Supuestos!$D$7)),Supuestos!$F$7-SQRT((1-D811)*(Supuestos!$F$7-Supuestos!$D$7)*(Supuestos!$F$7-Supuestos!$E$7))),IF(Supuestos!$C$7="Uniforme",Supuestos!$D$7+D811*(Supuestos!$E$7-Supuestos!$D$7),IF(Supuestos!$C$7="Lognormal",LOGINV(D811,LN(Supuestos!$D$7)-LN(1+Supuestos!$E$7^2/Supuestos!$D$7^2)/2,SQRT(LN(1+Supuestos!$E$7^2/Supuestos!$D$7^2))),Supuestos!$D$7))))))</f>
        <v/>
      </c>
      <c r="L811" s="32">
        <f>MIN(IF(Supuestos!$H$8="",1E+99,Supuestos!$H$8),MAX(IF(Supuestos!$G$8="",-1E+99,Supuestos!$G$8),IF(Supuestos!$C$8="Normal",NORMINV(E811,Supuestos!$D$8,Supuestos!$E$8),IF(Supuestos!$C$8="Triangular",IF(E811&lt;(Supuestos!$E$8-Supuestos!$D$8)/(Supuestos!$F$8-Supuestos!$D$8),Supuestos!$D$8+SQRT(E811*(Supuestos!$F$8-Supuestos!$D$8)*(Supuestos!$E$8-Supuestos!$D$8)),Supuestos!$F$8-SQRT((1-E811)*(Supuestos!$F$8-Supuestos!$D$8)*(Supuestos!$F$8-Supuestos!$E$8))),IF(Supuestos!$C$8="Uniforme",Supuestos!$D$8+E811*(Supuestos!$E$8-Supuestos!$D$8),IF(Supuestos!$C$8="Lognormal",LOGINV(E811,LN(Supuestos!$D$8)-LN(1+Supuestos!$E$8^2/Supuestos!$D$8^2)/2,SQRT(LN(1+Supuestos!$E$8^2/Supuestos!$D$8^2))),Supuestos!$D$8))))))</f>
        <v/>
      </c>
      <c r="M811" s="32">
        <f>MIN(IF(Supuestos!$H$9="",1E+99,Supuestos!$H$9),MAX(IF(Supuestos!$G$9="",-1E+99,Supuestos!$G$9),IF(Supuestos!$C$9="Normal",NORMINV(F811,Supuestos!$D$9,Supuestos!$E$9),IF(Supuestos!$C$9="Triangular",IF(F811&lt;(Supuestos!$E$9-Supuestos!$D$9)/(Supuestos!$F$9-Supuestos!$D$9),Supuestos!$D$9+SQRT(F811*(Supuestos!$F$9-Supuestos!$D$9)*(Supuestos!$E$9-Supuestos!$D$9)),Supuestos!$F$9-SQRT((1-F811)*(Supuestos!$F$9-Supuestos!$D$9)*(Supuestos!$F$9-Supuestos!$E$9))),IF(Supuestos!$C$9="Uniforme",Supuestos!$D$9+F811*(Supuestos!$E$9-Supuestos!$D$9),IF(Supuestos!$C$9="Lognormal",LOGINV(F811,LN(Supuestos!$D$9)-LN(1+Supuestos!$E$9^2/Supuestos!$D$9^2)/2,SQRT(LN(1+Supuestos!$E$9^2/Supuestos!$D$9^2))),Supuestos!$D$9))))))</f>
        <v/>
      </c>
      <c r="N811" s="32">
        <f>MIN(IF(Supuestos!$H$10="",1E+99,Supuestos!$H$10),MAX(IF(Supuestos!$G$10="",-1E+99,Supuestos!$G$10),IF(Supuestos!$C$10="Normal",NORMINV(G811,Supuestos!$D$10,Supuestos!$E$10),IF(Supuestos!$C$10="Triangular",IF(G811&lt;(Supuestos!$E$10-Supuestos!$D$10)/(Supuestos!$F$10-Supuestos!$D$10),Supuestos!$D$10+SQRT(G811*(Supuestos!$F$10-Supuestos!$D$10)*(Supuestos!$E$10-Supuestos!$D$10)),Supuestos!$F$10-SQRT((1-G811)*(Supuestos!$F$10-Supuestos!$D$10)*(Supuestos!$F$10-Supuestos!$E$10))),IF(Supuestos!$C$10="Uniforme",Supuestos!$D$10+G811*(Supuestos!$E$10-Supuestos!$D$10),IF(Supuestos!$C$10="Lognormal",LOGINV(G811,LN(Supuestos!$D$10)-LN(1+Supuestos!$E$10^2/Supuestos!$D$10^2)/2,SQRT(LN(1+Supuestos!$E$10^2/Supuestos!$D$10^2))),Supuestos!$D$10))))))</f>
        <v/>
      </c>
      <c r="O811" s="31">
        <f>MIN(IF(Supuestos!$H$11="",1E+99,Supuestos!$H$11),MAX(IF(Supuestos!$G$11="",-1E+99,Supuestos!$G$11),IF(Supuestos!$C$11="Normal",NORMINV(H811,Supuestos!$D$11,Supuestos!$E$11),IF(Supuestos!$C$11="Triangular",IF(H811&lt;(Supuestos!$E$11-Supuestos!$D$11)/(Supuestos!$F$11-Supuestos!$D$11),Supuestos!$D$11+SQRT(H811*(Supuestos!$F$11-Supuestos!$D$11)*(Supuestos!$E$11-Supuestos!$D$11)),Supuestos!$F$11-SQRT((1-H811)*(Supuestos!$F$11-Supuestos!$D$11)*(Supuestos!$F$11-Supuestos!$E$11))),IF(Supuestos!$C$11="Uniforme",Supuestos!$D$11+H811*(Supuestos!$E$11-Supuestos!$D$11),IF(Supuestos!$C$11="Lognormal",LOGINV(H811,LN(Supuestos!$D$11)-LN(1+Supuestos!$E$11^2/Supuestos!$D$11^2)/2,SQRT(LN(1+Supuestos!$E$11^2/Supuestos!$D$11^2))),Supuestos!$D$11))))))</f>
        <v/>
      </c>
      <c r="P811" s="33">
        <f>-I811</f>
        <v/>
      </c>
      <c r="Q811" s="33">
        <f>$J811*(1+$K811)^(1-1)*(1-$L811)*(1-$M811)</f>
        <v/>
      </c>
      <c r="R811" s="33">
        <f>$J811*(1+$K811)^(2-1)*(1-$L811)*(1-$M811)</f>
        <v/>
      </c>
      <c r="S811" s="33">
        <f>$J811*(1+$K811)^(3-1)*(1-$L811)*(1-$M811)</f>
        <v/>
      </c>
      <c r="T811" s="33">
        <f>$J811*(1+$K811)^(4-1)*(1-$L811)*(1-$M811)</f>
        <v/>
      </c>
      <c r="U811" s="33">
        <f>$J811*(1+$K811)^(5-1)*(1-$L811)*(1-$M811)+$O811</f>
        <v/>
      </c>
      <c r="V811" s="33">
        <f>P811+NPV($N811,Q811:U811)</f>
        <v/>
      </c>
      <c r="W811" s="32">
        <f>IFERROR(IRR(P811:U811,0.1),"")</f>
        <v/>
      </c>
    </row>
    <row r="812">
      <c r="A812" s="14" t="n">
        <v>808</v>
      </c>
      <c r="B812" s="30">
        <f>RAND()*(1-2E-6)+1E-6</f>
        <v/>
      </c>
      <c r="C812" s="30">
        <f>RAND()*(1-2E-6)+1E-6</f>
        <v/>
      </c>
      <c r="D812" s="30">
        <f>RAND()*(1-2E-6)+1E-6</f>
        <v/>
      </c>
      <c r="E812" s="30">
        <f>RAND()*(1-2E-6)+1E-6</f>
        <v/>
      </c>
      <c r="F812" s="30">
        <f>RAND()*(1-2E-6)+1E-6</f>
        <v/>
      </c>
      <c r="G812" s="30">
        <f>RAND()*(1-2E-6)+1E-6</f>
        <v/>
      </c>
      <c r="H812" s="30">
        <f>RAND()*(1-2E-6)+1E-6</f>
        <v/>
      </c>
      <c r="I812" s="31">
        <f>MIN(IF(Supuestos!$H$5="",1E+99,Supuestos!$H$5),MAX(IF(Supuestos!$G$5="",-1E+99,Supuestos!$G$5),IF(Supuestos!$C$5="Normal",NORMINV(B812,Supuestos!$D$5,Supuestos!$E$5),IF(Supuestos!$C$5="Triangular",IF(B812&lt;(Supuestos!$E$5-Supuestos!$D$5)/(Supuestos!$F$5-Supuestos!$D$5),Supuestos!$D$5+SQRT(B812*(Supuestos!$F$5-Supuestos!$D$5)*(Supuestos!$E$5-Supuestos!$D$5)),Supuestos!$F$5-SQRT((1-B812)*(Supuestos!$F$5-Supuestos!$D$5)*(Supuestos!$F$5-Supuestos!$E$5))),IF(Supuestos!$C$5="Uniforme",Supuestos!$D$5+B812*(Supuestos!$E$5-Supuestos!$D$5),IF(Supuestos!$C$5="Lognormal",LOGINV(B812,LN(Supuestos!$D$5)-LN(1+Supuestos!$E$5^2/Supuestos!$D$5^2)/2,SQRT(LN(1+Supuestos!$E$5^2/Supuestos!$D$5^2))),Supuestos!$D$5))))))</f>
        <v/>
      </c>
      <c r="J812" s="31">
        <f>MIN(IF(Supuestos!$H$6="",1E+99,Supuestos!$H$6),MAX(IF(Supuestos!$G$6="",-1E+99,Supuestos!$G$6),IF(Supuestos!$C$6="Normal",NORMINV(C812,Supuestos!$D$6,Supuestos!$E$6),IF(Supuestos!$C$6="Triangular",IF(C812&lt;(Supuestos!$E$6-Supuestos!$D$6)/(Supuestos!$F$6-Supuestos!$D$6),Supuestos!$D$6+SQRT(C812*(Supuestos!$F$6-Supuestos!$D$6)*(Supuestos!$E$6-Supuestos!$D$6)),Supuestos!$F$6-SQRT((1-C812)*(Supuestos!$F$6-Supuestos!$D$6)*(Supuestos!$F$6-Supuestos!$E$6))),IF(Supuestos!$C$6="Uniforme",Supuestos!$D$6+C812*(Supuestos!$E$6-Supuestos!$D$6),IF(Supuestos!$C$6="Lognormal",LOGINV(C812,LN(Supuestos!$D$6)-LN(1+Supuestos!$E$6^2/Supuestos!$D$6^2)/2,SQRT(LN(1+Supuestos!$E$6^2/Supuestos!$D$6^2))),Supuestos!$D$6))))))</f>
        <v/>
      </c>
      <c r="K812" s="32">
        <f>MIN(IF(Supuestos!$H$7="",1E+99,Supuestos!$H$7),MAX(IF(Supuestos!$G$7="",-1E+99,Supuestos!$G$7),IF(Supuestos!$C$7="Normal",NORMINV(D812,Supuestos!$D$7,Supuestos!$E$7),IF(Supuestos!$C$7="Triangular",IF(D812&lt;(Supuestos!$E$7-Supuestos!$D$7)/(Supuestos!$F$7-Supuestos!$D$7),Supuestos!$D$7+SQRT(D812*(Supuestos!$F$7-Supuestos!$D$7)*(Supuestos!$E$7-Supuestos!$D$7)),Supuestos!$F$7-SQRT((1-D812)*(Supuestos!$F$7-Supuestos!$D$7)*(Supuestos!$F$7-Supuestos!$E$7))),IF(Supuestos!$C$7="Uniforme",Supuestos!$D$7+D812*(Supuestos!$E$7-Supuestos!$D$7),IF(Supuestos!$C$7="Lognormal",LOGINV(D812,LN(Supuestos!$D$7)-LN(1+Supuestos!$E$7^2/Supuestos!$D$7^2)/2,SQRT(LN(1+Supuestos!$E$7^2/Supuestos!$D$7^2))),Supuestos!$D$7))))))</f>
        <v/>
      </c>
      <c r="L812" s="32">
        <f>MIN(IF(Supuestos!$H$8="",1E+99,Supuestos!$H$8),MAX(IF(Supuestos!$G$8="",-1E+99,Supuestos!$G$8),IF(Supuestos!$C$8="Normal",NORMINV(E812,Supuestos!$D$8,Supuestos!$E$8),IF(Supuestos!$C$8="Triangular",IF(E812&lt;(Supuestos!$E$8-Supuestos!$D$8)/(Supuestos!$F$8-Supuestos!$D$8),Supuestos!$D$8+SQRT(E812*(Supuestos!$F$8-Supuestos!$D$8)*(Supuestos!$E$8-Supuestos!$D$8)),Supuestos!$F$8-SQRT((1-E812)*(Supuestos!$F$8-Supuestos!$D$8)*(Supuestos!$F$8-Supuestos!$E$8))),IF(Supuestos!$C$8="Uniforme",Supuestos!$D$8+E812*(Supuestos!$E$8-Supuestos!$D$8),IF(Supuestos!$C$8="Lognormal",LOGINV(E812,LN(Supuestos!$D$8)-LN(1+Supuestos!$E$8^2/Supuestos!$D$8^2)/2,SQRT(LN(1+Supuestos!$E$8^2/Supuestos!$D$8^2))),Supuestos!$D$8))))))</f>
        <v/>
      </c>
      <c r="M812" s="32">
        <f>MIN(IF(Supuestos!$H$9="",1E+99,Supuestos!$H$9),MAX(IF(Supuestos!$G$9="",-1E+99,Supuestos!$G$9),IF(Supuestos!$C$9="Normal",NORMINV(F812,Supuestos!$D$9,Supuestos!$E$9),IF(Supuestos!$C$9="Triangular",IF(F812&lt;(Supuestos!$E$9-Supuestos!$D$9)/(Supuestos!$F$9-Supuestos!$D$9),Supuestos!$D$9+SQRT(F812*(Supuestos!$F$9-Supuestos!$D$9)*(Supuestos!$E$9-Supuestos!$D$9)),Supuestos!$F$9-SQRT((1-F812)*(Supuestos!$F$9-Supuestos!$D$9)*(Supuestos!$F$9-Supuestos!$E$9))),IF(Supuestos!$C$9="Uniforme",Supuestos!$D$9+F812*(Supuestos!$E$9-Supuestos!$D$9),IF(Supuestos!$C$9="Lognormal",LOGINV(F812,LN(Supuestos!$D$9)-LN(1+Supuestos!$E$9^2/Supuestos!$D$9^2)/2,SQRT(LN(1+Supuestos!$E$9^2/Supuestos!$D$9^2))),Supuestos!$D$9))))))</f>
        <v/>
      </c>
      <c r="N812" s="32">
        <f>MIN(IF(Supuestos!$H$10="",1E+99,Supuestos!$H$10),MAX(IF(Supuestos!$G$10="",-1E+99,Supuestos!$G$10),IF(Supuestos!$C$10="Normal",NORMINV(G812,Supuestos!$D$10,Supuestos!$E$10),IF(Supuestos!$C$10="Triangular",IF(G812&lt;(Supuestos!$E$10-Supuestos!$D$10)/(Supuestos!$F$10-Supuestos!$D$10),Supuestos!$D$10+SQRT(G812*(Supuestos!$F$10-Supuestos!$D$10)*(Supuestos!$E$10-Supuestos!$D$10)),Supuestos!$F$10-SQRT((1-G812)*(Supuestos!$F$10-Supuestos!$D$10)*(Supuestos!$F$10-Supuestos!$E$10))),IF(Supuestos!$C$10="Uniforme",Supuestos!$D$10+G812*(Supuestos!$E$10-Supuestos!$D$10),IF(Supuestos!$C$10="Lognormal",LOGINV(G812,LN(Supuestos!$D$10)-LN(1+Supuestos!$E$10^2/Supuestos!$D$10^2)/2,SQRT(LN(1+Supuestos!$E$10^2/Supuestos!$D$10^2))),Supuestos!$D$10))))))</f>
        <v/>
      </c>
      <c r="O812" s="31">
        <f>MIN(IF(Supuestos!$H$11="",1E+99,Supuestos!$H$11),MAX(IF(Supuestos!$G$11="",-1E+99,Supuestos!$G$11),IF(Supuestos!$C$11="Normal",NORMINV(H812,Supuestos!$D$11,Supuestos!$E$11),IF(Supuestos!$C$11="Triangular",IF(H812&lt;(Supuestos!$E$11-Supuestos!$D$11)/(Supuestos!$F$11-Supuestos!$D$11),Supuestos!$D$11+SQRT(H812*(Supuestos!$F$11-Supuestos!$D$11)*(Supuestos!$E$11-Supuestos!$D$11)),Supuestos!$F$11-SQRT((1-H812)*(Supuestos!$F$11-Supuestos!$D$11)*(Supuestos!$F$11-Supuestos!$E$11))),IF(Supuestos!$C$11="Uniforme",Supuestos!$D$11+H812*(Supuestos!$E$11-Supuestos!$D$11),IF(Supuestos!$C$11="Lognormal",LOGINV(H812,LN(Supuestos!$D$11)-LN(1+Supuestos!$E$11^2/Supuestos!$D$11^2)/2,SQRT(LN(1+Supuestos!$E$11^2/Supuestos!$D$11^2))),Supuestos!$D$11))))))</f>
        <v/>
      </c>
      <c r="P812" s="33">
        <f>-I812</f>
        <v/>
      </c>
      <c r="Q812" s="33">
        <f>$J812*(1+$K812)^(1-1)*(1-$L812)*(1-$M812)</f>
        <v/>
      </c>
      <c r="R812" s="33">
        <f>$J812*(1+$K812)^(2-1)*(1-$L812)*(1-$M812)</f>
        <v/>
      </c>
      <c r="S812" s="33">
        <f>$J812*(1+$K812)^(3-1)*(1-$L812)*(1-$M812)</f>
        <v/>
      </c>
      <c r="T812" s="33">
        <f>$J812*(1+$K812)^(4-1)*(1-$L812)*(1-$M812)</f>
        <v/>
      </c>
      <c r="U812" s="33">
        <f>$J812*(1+$K812)^(5-1)*(1-$L812)*(1-$M812)+$O812</f>
        <v/>
      </c>
      <c r="V812" s="33">
        <f>P812+NPV($N812,Q812:U812)</f>
        <v/>
      </c>
      <c r="W812" s="32">
        <f>IFERROR(IRR(P812:U812,0.1),"")</f>
        <v/>
      </c>
    </row>
    <row r="813">
      <c r="A813" s="14" t="n">
        <v>809</v>
      </c>
      <c r="B813" s="30">
        <f>RAND()*(1-2E-6)+1E-6</f>
        <v/>
      </c>
      <c r="C813" s="30">
        <f>RAND()*(1-2E-6)+1E-6</f>
        <v/>
      </c>
      <c r="D813" s="30">
        <f>RAND()*(1-2E-6)+1E-6</f>
        <v/>
      </c>
      <c r="E813" s="30">
        <f>RAND()*(1-2E-6)+1E-6</f>
        <v/>
      </c>
      <c r="F813" s="30">
        <f>RAND()*(1-2E-6)+1E-6</f>
        <v/>
      </c>
      <c r="G813" s="30">
        <f>RAND()*(1-2E-6)+1E-6</f>
        <v/>
      </c>
      <c r="H813" s="30">
        <f>RAND()*(1-2E-6)+1E-6</f>
        <v/>
      </c>
      <c r="I813" s="31">
        <f>MIN(IF(Supuestos!$H$5="",1E+99,Supuestos!$H$5),MAX(IF(Supuestos!$G$5="",-1E+99,Supuestos!$G$5),IF(Supuestos!$C$5="Normal",NORMINV(B813,Supuestos!$D$5,Supuestos!$E$5),IF(Supuestos!$C$5="Triangular",IF(B813&lt;(Supuestos!$E$5-Supuestos!$D$5)/(Supuestos!$F$5-Supuestos!$D$5),Supuestos!$D$5+SQRT(B813*(Supuestos!$F$5-Supuestos!$D$5)*(Supuestos!$E$5-Supuestos!$D$5)),Supuestos!$F$5-SQRT((1-B813)*(Supuestos!$F$5-Supuestos!$D$5)*(Supuestos!$F$5-Supuestos!$E$5))),IF(Supuestos!$C$5="Uniforme",Supuestos!$D$5+B813*(Supuestos!$E$5-Supuestos!$D$5),IF(Supuestos!$C$5="Lognormal",LOGINV(B813,LN(Supuestos!$D$5)-LN(1+Supuestos!$E$5^2/Supuestos!$D$5^2)/2,SQRT(LN(1+Supuestos!$E$5^2/Supuestos!$D$5^2))),Supuestos!$D$5))))))</f>
        <v/>
      </c>
      <c r="J813" s="31">
        <f>MIN(IF(Supuestos!$H$6="",1E+99,Supuestos!$H$6),MAX(IF(Supuestos!$G$6="",-1E+99,Supuestos!$G$6),IF(Supuestos!$C$6="Normal",NORMINV(C813,Supuestos!$D$6,Supuestos!$E$6),IF(Supuestos!$C$6="Triangular",IF(C813&lt;(Supuestos!$E$6-Supuestos!$D$6)/(Supuestos!$F$6-Supuestos!$D$6),Supuestos!$D$6+SQRT(C813*(Supuestos!$F$6-Supuestos!$D$6)*(Supuestos!$E$6-Supuestos!$D$6)),Supuestos!$F$6-SQRT((1-C813)*(Supuestos!$F$6-Supuestos!$D$6)*(Supuestos!$F$6-Supuestos!$E$6))),IF(Supuestos!$C$6="Uniforme",Supuestos!$D$6+C813*(Supuestos!$E$6-Supuestos!$D$6),IF(Supuestos!$C$6="Lognormal",LOGINV(C813,LN(Supuestos!$D$6)-LN(1+Supuestos!$E$6^2/Supuestos!$D$6^2)/2,SQRT(LN(1+Supuestos!$E$6^2/Supuestos!$D$6^2))),Supuestos!$D$6))))))</f>
        <v/>
      </c>
      <c r="K813" s="32">
        <f>MIN(IF(Supuestos!$H$7="",1E+99,Supuestos!$H$7),MAX(IF(Supuestos!$G$7="",-1E+99,Supuestos!$G$7),IF(Supuestos!$C$7="Normal",NORMINV(D813,Supuestos!$D$7,Supuestos!$E$7),IF(Supuestos!$C$7="Triangular",IF(D813&lt;(Supuestos!$E$7-Supuestos!$D$7)/(Supuestos!$F$7-Supuestos!$D$7),Supuestos!$D$7+SQRT(D813*(Supuestos!$F$7-Supuestos!$D$7)*(Supuestos!$E$7-Supuestos!$D$7)),Supuestos!$F$7-SQRT((1-D813)*(Supuestos!$F$7-Supuestos!$D$7)*(Supuestos!$F$7-Supuestos!$E$7))),IF(Supuestos!$C$7="Uniforme",Supuestos!$D$7+D813*(Supuestos!$E$7-Supuestos!$D$7),IF(Supuestos!$C$7="Lognormal",LOGINV(D813,LN(Supuestos!$D$7)-LN(1+Supuestos!$E$7^2/Supuestos!$D$7^2)/2,SQRT(LN(1+Supuestos!$E$7^2/Supuestos!$D$7^2))),Supuestos!$D$7))))))</f>
        <v/>
      </c>
      <c r="L813" s="32">
        <f>MIN(IF(Supuestos!$H$8="",1E+99,Supuestos!$H$8),MAX(IF(Supuestos!$G$8="",-1E+99,Supuestos!$G$8),IF(Supuestos!$C$8="Normal",NORMINV(E813,Supuestos!$D$8,Supuestos!$E$8),IF(Supuestos!$C$8="Triangular",IF(E813&lt;(Supuestos!$E$8-Supuestos!$D$8)/(Supuestos!$F$8-Supuestos!$D$8),Supuestos!$D$8+SQRT(E813*(Supuestos!$F$8-Supuestos!$D$8)*(Supuestos!$E$8-Supuestos!$D$8)),Supuestos!$F$8-SQRT((1-E813)*(Supuestos!$F$8-Supuestos!$D$8)*(Supuestos!$F$8-Supuestos!$E$8))),IF(Supuestos!$C$8="Uniforme",Supuestos!$D$8+E813*(Supuestos!$E$8-Supuestos!$D$8),IF(Supuestos!$C$8="Lognormal",LOGINV(E813,LN(Supuestos!$D$8)-LN(1+Supuestos!$E$8^2/Supuestos!$D$8^2)/2,SQRT(LN(1+Supuestos!$E$8^2/Supuestos!$D$8^2))),Supuestos!$D$8))))))</f>
        <v/>
      </c>
      <c r="M813" s="32">
        <f>MIN(IF(Supuestos!$H$9="",1E+99,Supuestos!$H$9),MAX(IF(Supuestos!$G$9="",-1E+99,Supuestos!$G$9),IF(Supuestos!$C$9="Normal",NORMINV(F813,Supuestos!$D$9,Supuestos!$E$9),IF(Supuestos!$C$9="Triangular",IF(F813&lt;(Supuestos!$E$9-Supuestos!$D$9)/(Supuestos!$F$9-Supuestos!$D$9),Supuestos!$D$9+SQRT(F813*(Supuestos!$F$9-Supuestos!$D$9)*(Supuestos!$E$9-Supuestos!$D$9)),Supuestos!$F$9-SQRT((1-F813)*(Supuestos!$F$9-Supuestos!$D$9)*(Supuestos!$F$9-Supuestos!$E$9))),IF(Supuestos!$C$9="Uniforme",Supuestos!$D$9+F813*(Supuestos!$E$9-Supuestos!$D$9),IF(Supuestos!$C$9="Lognormal",LOGINV(F813,LN(Supuestos!$D$9)-LN(1+Supuestos!$E$9^2/Supuestos!$D$9^2)/2,SQRT(LN(1+Supuestos!$E$9^2/Supuestos!$D$9^2))),Supuestos!$D$9))))))</f>
        <v/>
      </c>
      <c r="N813" s="32">
        <f>MIN(IF(Supuestos!$H$10="",1E+99,Supuestos!$H$10),MAX(IF(Supuestos!$G$10="",-1E+99,Supuestos!$G$10),IF(Supuestos!$C$10="Normal",NORMINV(G813,Supuestos!$D$10,Supuestos!$E$10),IF(Supuestos!$C$10="Triangular",IF(G813&lt;(Supuestos!$E$10-Supuestos!$D$10)/(Supuestos!$F$10-Supuestos!$D$10),Supuestos!$D$10+SQRT(G813*(Supuestos!$F$10-Supuestos!$D$10)*(Supuestos!$E$10-Supuestos!$D$10)),Supuestos!$F$10-SQRT((1-G813)*(Supuestos!$F$10-Supuestos!$D$10)*(Supuestos!$F$10-Supuestos!$E$10))),IF(Supuestos!$C$10="Uniforme",Supuestos!$D$10+G813*(Supuestos!$E$10-Supuestos!$D$10),IF(Supuestos!$C$10="Lognormal",LOGINV(G813,LN(Supuestos!$D$10)-LN(1+Supuestos!$E$10^2/Supuestos!$D$10^2)/2,SQRT(LN(1+Supuestos!$E$10^2/Supuestos!$D$10^2))),Supuestos!$D$10))))))</f>
        <v/>
      </c>
      <c r="O813" s="31">
        <f>MIN(IF(Supuestos!$H$11="",1E+99,Supuestos!$H$11),MAX(IF(Supuestos!$G$11="",-1E+99,Supuestos!$G$11),IF(Supuestos!$C$11="Normal",NORMINV(H813,Supuestos!$D$11,Supuestos!$E$11),IF(Supuestos!$C$11="Triangular",IF(H813&lt;(Supuestos!$E$11-Supuestos!$D$11)/(Supuestos!$F$11-Supuestos!$D$11),Supuestos!$D$11+SQRT(H813*(Supuestos!$F$11-Supuestos!$D$11)*(Supuestos!$E$11-Supuestos!$D$11)),Supuestos!$F$11-SQRT((1-H813)*(Supuestos!$F$11-Supuestos!$D$11)*(Supuestos!$F$11-Supuestos!$E$11))),IF(Supuestos!$C$11="Uniforme",Supuestos!$D$11+H813*(Supuestos!$E$11-Supuestos!$D$11),IF(Supuestos!$C$11="Lognormal",LOGINV(H813,LN(Supuestos!$D$11)-LN(1+Supuestos!$E$11^2/Supuestos!$D$11^2)/2,SQRT(LN(1+Supuestos!$E$11^2/Supuestos!$D$11^2))),Supuestos!$D$11))))))</f>
        <v/>
      </c>
      <c r="P813" s="33">
        <f>-I813</f>
        <v/>
      </c>
      <c r="Q813" s="33">
        <f>$J813*(1+$K813)^(1-1)*(1-$L813)*(1-$M813)</f>
        <v/>
      </c>
      <c r="R813" s="33">
        <f>$J813*(1+$K813)^(2-1)*(1-$L813)*(1-$M813)</f>
        <v/>
      </c>
      <c r="S813" s="33">
        <f>$J813*(1+$K813)^(3-1)*(1-$L813)*(1-$M813)</f>
        <v/>
      </c>
      <c r="T813" s="33">
        <f>$J813*(1+$K813)^(4-1)*(1-$L813)*(1-$M813)</f>
        <v/>
      </c>
      <c r="U813" s="33">
        <f>$J813*(1+$K813)^(5-1)*(1-$L813)*(1-$M813)+$O813</f>
        <v/>
      </c>
      <c r="V813" s="33">
        <f>P813+NPV($N813,Q813:U813)</f>
        <v/>
      </c>
      <c r="W813" s="32">
        <f>IFERROR(IRR(P813:U813,0.1),"")</f>
        <v/>
      </c>
    </row>
    <row r="814">
      <c r="A814" s="14" t="n">
        <v>810</v>
      </c>
      <c r="B814" s="30">
        <f>RAND()*(1-2E-6)+1E-6</f>
        <v/>
      </c>
      <c r="C814" s="30">
        <f>RAND()*(1-2E-6)+1E-6</f>
        <v/>
      </c>
      <c r="D814" s="30">
        <f>RAND()*(1-2E-6)+1E-6</f>
        <v/>
      </c>
      <c r="E814" s="30">
        <f>RAND()*(1-2E-6)+1E-6</f>
        <v/>
      </c>
      <c r="F814" s="30">
        <f>RAND()*(1-2E-6)+1E-6</f>
        <v/>
      </c>
      <c r="G814" s="30">
        <f>RAND()*(1-2E-6)+1E-6</f>
        <v/>
      </c>
      <c r="H814" s="30">
        <f>RAND()*(1-2E-6)+1E-6</f>
        <v/>
      </c>
      <c r="I814" s="31">
        <f>MIN(IF(Supuestos!$H$5="",1E+99,Supuestos!$H$5),MAX(IF(Supuestos!$G$5="",-1E+99,Supuestos!$G$5),IF(Supuestos!$C$5="Normal",NORMINV(B814,Supuestos!$D$5,Supuestos!$E$5),IF(Supuestos!$C$5="Triangular",IF(B814&lt;(Supuestos!$E$5-Supuestos!$D$5)/(Supuestos!$F$5-Supuestos!$D$5),Supuestos!$D$5+SQRT(B814*(Supuestos!$F$5-Supuestos!$D$5)*(Supuestos!$E$5-Supuestos!$D$5)),Supuestos!$F$5-SQRT((1-B814)*(Supuestos!$F$5-Supuestos!$D$5)*(Supuestos!$F$5-Supuestos!$E$5))),IF(Supuestos!$C$5="Uniforme",Supuestos!$D$5+B814*(Supuestos!$E$5-Supuestos!$D$5),IF(Supuestos!$C$5="Lognormal",LOGINV(B814,LN(Supuestos!$D$5)-LN(1+Supuestos!$E$5^2/Supuestos!$D$5^2)/2,SQRT(LN(1+Supuestos!$E$5^2/Supuestos!$D$5^2))),Supuestos!$D$5))))))</f>
        <v/>
      </c>
      <c r="J814" s="31">
        <f>MIN(IF(Supuestos!$H$6="",1E+99,Supuestos!$H$6),MAX(IF(Supuestos!$G$6="",-1E+99,Supuestos!$G$6),IF(Supuestos!$C$6="Normal",NORMINV(C814,Supuestos!$D$6,Supuestos!$E$6),IF(Supuestos!$C$6="Triangular",IF(C814&lt;(Supuestos!$E$6-Supuestos!$D$6)/(Supuestos!$F$6-Supuestos!$D$6),Supuestos!$D$6+SQRT(C814*(Supuestos!$F$6-Supuestos!$D$6)*(Supuestos!$E$6-Supuestos!$D$6)),Supuestos!$F$6-SQRT((1-C814)*(Supuestos!$F$6-Supuestos!$D$6)*(Supuestos!$F$6-Supuestos!$E$6))),IF(Supuestos!$C$6="Uniforme",Supuestos!$D$6+C814*(Supuestos!$E$6-Supuestos!$D$6),IF(Supuestos!$C$6="Lognormal",LOGINV(C814,LN(Supuestos!$D$6)-LN(1+Supuestos!$E$6^2/Supuestos!$D$6^2)/2,SQRT(LN(1+Supuestos!$E$6^2/Supuestos!$D$6^2))),Supuestos!$D$6))))))</f>
        <v/>
      </c>
      <c r="K814" s="32">
        <f>MIN(IF(Supuestos!$H$7="",1E+99,Supuestos!$H$7),MAX(IF(Supuestos!$G$7="",-1E+99,Supuestos!$G$7),IF(Supuestos!$C$7="Normal",NORMINV(D814,Supuestos!$D$7,Supuestos!$E$7),IF(Supuestos!$C$7="Triangular",IF(D814&lt;(Supuestos!$E$7-Supuestos!$D$7)/(Supuestos!$F$7-Supuestos!$D$7),Supuestos!$D$7+SQRT(D814*(Supuestos!$F$7-Supuestos!$D$7)*(Supuestos!$E$7-Supuestos!$D$7)),Supuestos!$F$7-SQRT((1-D814)*(Supuestos!$F$7-Supuestos!$D$7)*(Supuestos!$F$7-Supuestos!$E$7))),IF(Supuestos!$C$7="Uniforme",Supuestos!$D$7+D814*(Supuestos!$E$7-Supuestos!$D$7),IF(Supuestos!$C$7="Lognormal",LOGINV(D814,LN(Supuestos!$D$7)-LN(1+Supuestos!$E$7^2/Supuestos!$D$7^2)/2,SQRT(LN(1+Supuestos!$E$7^2/Supuestos!$D$7^2))),Supuestos!$D$7))))))</f>
        <v/>
      </c>
      <c r="L814" s="32">
        <f>MIN(IF(Supuestos!$H$8="",1E+99,Supuestos!$H$8),MAX(IF(Supuestos!$G$8="",-1E+99,Supuestos!$G$8),IF(Supuestos!$C$8="Normal",NORMINV(E814,Supuestos!$D$8,Supuestos!$E$8),IF(Supuestos!$C$8="Triangular",IF(E814&lt;(Supuestos!$E$8-Supuestos!$D$8)/(Supuestos!$F$8-Supuestos!$D$8),Supuestos!$D$8+SQRT(E814*(Supuestos!$F$8-Supuestos!$D$8)*(Supuestos!$E$8-Supuestos!$D$8)),Supuestos!$F$8-SQRT((1-E814)*(Supuestos!$F$8-Supuestos!$D$8)*(Supuestos!$F$8-Supuestos!$E$8))),IF(Supuestos!$C$8="Uniforme",Supuestos!$D$8+E814*(Supuestos!$E$8-Supuestos!$D$8),IF(Supuestos!$C$8="Lognormal",LOGINV(E814,LN(Supuestos!$D$8)-LN(1+Supuestos!$E$8^2/Supuestos!$D$8^2)/2,SQRT(LN(1+Supuestos!$E$8^2/Supuestos!$D$8^2))),Supuestos!$D$8))))))</f>
        <v/>
      </c>
      <c r="M814" s="32">
        <f>MIN(IF(Supuestos!$H$9="",1E+99,Supuestos!$H$9),MAX(IF(Supuestos!$G$9="",-1E+99,Supuestos!$G$9),IF(Supuestos!$C$9="Normal",NORMINV(F814,Supuestos!$D$9,Supuestos!$E$9),IF(Supuestos!$C$9="Triangular",IF(F814&lt;(Supuestos!$E$9-Supuestos!$D$9)/(Supuestos!$F$9-Supuestos!$D$9),Supuestos!$D$9+SQRT(F814*(Supuestos!$F$9-Supuestos!$D$9)*(Supuestos!$E$9-Supuestos!$D$9)),Supuestos!$F$9-SQRT((1-F814)*(Supuestos!$F$9-Supuestos!$D$9)*(Supuestos!$F$9-Supuestos!$E$9))),IF(Supuestos!$C$9="Uniforme",Supuestos!$D$9+F814*(Supuestos!$E$9-Supuestos!$D$9),IF(Supuestos!$C$9="Lognormal",LOGINV(F814,LN(Supuestos!$D$9)-LN(1+Supuestos!$E$9^2/Supuestos!$D$9^2)/2,SQRT(LN(1+Supuestos!$E$9^2/Supuestos!$D$9^2))),Supuestos!$D$9))))))</f>
        <v/>
      </c>
      <c r="N814" s="32">
        <f>MIN(IF(Supuestos!$H$10="",1E+99,Supuestos!$H$10),MAX(IF(Supuestos!$G$10="",-1E+99,Supuestos!$G$10),IF(Supuestos!$C$10="Normal",NORMINV(G814,Supuestos!$D$10,Supuestos!$E$10),IF(Supuestos!$C$10="Triangular",IF(G814&lt;(Supuestos!$E$10-Supuestos!$D$10)/(Supuestos!$F$10-Supuestos!$D$10),Supuestos!$D$10+SQRT(G814*(Supuestos!$F$10-Supuestos!$D$10)*(Supuestos!$E$10-Supuestos!$D$10)),Supuestos!$F$10-SQRT((1-G814)*(Supuestos!$F$10-Supuestos!$D$10)*(Supuestos!$F$10-Supuestos!$E$10))),IF(Supuestos!$C$10="Uniforme",Supuestos!$D$10+G814*(Supuestos!$E$10-Supuestos!$D$10),IF(Supuestos!$C$10="Lognormal",LOGINV(G814,LN(Supuestos!$D$10)-LN(1+Supuestos!$E$10^2/Supuestos!$D$10^2)/2,SQRT(LN(1+Supuestos!$E$10^2/Supuestos!$D$10^2))),Supuestos!$D$10))))))</f>
        <v/>
      </c>
      <c r="O814" s="31">
        <f>MIN(IF(Supuestos!$H$11="",1E+99,Supuestos!$H$11),MAX(IF(Supuestos!$G$11="",-1E+99,Supuestos!$G$11),IF(Supuestos!$C$11="Normal",NORMINV(H814,Supuestos!$D$11,Supuestos!$E$11),IF(Supuestos!$C$11="Triangular",IF(H814&lt;(Supuestos!$E$11-Supuestos!$D$11)/(Supuestos!$F$11-Supuestos!$D$11),Supuestos!$D$11+SQRT(H814*(Supuestos!$F$11-Supuestos!$D$11)*(Supuestos!$E$11-Supuestos!$D$11)),Supuestos!$F$11-SQRT((1-H814)*(Supuestos!$F$11-Supuestos!$D$11)*(Supuestos!$F$11-Supuestos!$E$11))),IF(Supuestos!$C$11="Uniforme",Supuestos!$D$11+H814*(Supuestos!$E$11-Supuestos!$D$11),IF(Supuestos!$C$11="Lognormal",LOGINV(H814,LN(Supuestos!$D$11)-LN(1+Supuestos!$E$11^2/Supuestos!$D$11^2)/2,SQRT(LN(1+Supuestos!$E$11^2/Supuestos!$D$11^2))),Supuestos!$D$11))))))</f>
        <v/>
      </c>
      <c r="P814" s="33">
        <f>-I814</f>
        <v/>
      </c>
      <c r="Q814" s="33">
        <f>$J814*(1+$K814)^(1-1)*(1-$L814)*(1-$M814)</f>
        <v/>
      </c>
      <c r="R814" s="33">
        <f>$J814*(1+$K814)^(2-1)*(1-$L814)*(1-$M814)</f>
        <v/>
      </c>
      <c r="S814" s="33">
        <f>$J814*(1+$K814)^(3-1)*(1-$L814)*(1-$M814)</f>
        <v/>
      </c>
      <c r="T814" s="33">
        <f>$J814*(1+$K814)^(4-1)*(1-$L814)*(1-$M814)</f>
        <v/>
      </c>
      <c r="U814" s="33">
        <f>$J814*(1+$K814)^(5-1)*(1-$L814)*(1-$M814)+$O814</f>
        <v/>
      </c>
      <c r="V814" s="33">
        <f>P814+NPV($N814,Q814:U814)</f>
        <v/>
      </c>
      <c r="W814" s="32">
        <f>IFERROR(IRR(P814:U814,0.1),"")</f>
        <v/>
      </c>
    </row>
    <row r="815">
      <c r="A815" s="14" t="n">
        <v>811</v>
      </c>
      <c r="B815" s="30">
        <f>RAND()*(1-2E-6)+1E-6</f>
        <v/>
      </c>
      <c r="C815" s="30">
        <f>RAND()*(1-2E-6)+1E-6</f>
        <v/>
      </c>
      <c r="D815" s="30">
        <f>RAND()*(1-2E-6)+1E-6</f>
        <v/>
      </c>
      <c r="E815" s="30">
        <f>RAND()*(1-2E-6)+1E-6</f>
        <v/>
      </c>
      <c r="F815" s="30">
        <f>RAND()*(1-2E-6)+1E-6</f>
        <v/>
      </c>
      <c r="G815" s="30">
        <f>RAND()*(1-2E-6)+1E-6</f>
        <v/>
      </c>
      <c r="H815" s="30">
        <f>RAND()*(1-2E-6)+1E-6</f>
        <v/>
      </c>
      <c r="I815" s="31">
        <f>MIN(IF(Supuestos!$H$5="",1E+99,Supuestos!$H$5),MAX(IF(Supuestos!$G$5="",-1E+99,Supuestos!$G$5),IF(Supuestos!$C$5="Normal",NORMINV(B815,Supuestos!$D$5,Supuestos!$E$5),IF(Supuestos!$C$5="Triangular",IF(B815&lt;(Supuestos!$E$5-Supuestos!$D$5)/(Supuestos!$F$5-Supuestos!$D$5),Supuestos!$D$5+SQRT(B815*(Supuestos!$F$5-Supuestos!$D$5)*(Supuestos!$E$5-Supuestos!$D$5)),Supuestos!$F$5-SQRT((1-B815)*(Supuestos!$F$5-Supuestos!$D$5)*(Supuestos!$F$5-Supuestos!$E$5))),IF(Supuestos!$C$5="Uniforme",Supuestos!$D$5+B815*(Supuestos!$E$5-Supuestos!$D$5),IF(Supuestos!$C$5="Lognormal",LOGINV(B815,LN(Supuestos!$D$5)-LN(1+Supuestos!$E$5^2/Supuestos!$D$5^2)/2,SQRT(LN(1+Supuestos!$E$5^2/Supuestos!$D$5^2))),Supuestos!$D$5))))))</f>
        <v/>
      </c>
      <c r="J815" s="31">
        <f>MIN(IF(Supuestos!$H$6="",1E+99,Supuestos!$H$6),MAX(IF(Supuestos!$G$6="",-1E+99,Supuestos!$G$6),IF(Supuestos!$C$6="Normal",NORMINV(C815,Supuestos!$D$6,Supuestos!$E$6),IF(Supuestos!$C$6="Triangular",IF(C815&lt;(Supuestos!$E$6-Supuestos!$D$6)/(Supuestos!$F$6-Supuestos!$D$6),Supuestos!$D$6+SQRT(C815*(Supuestos!$F$6-Supuestos!$D$6)*(Supuestos!$E$6-Supuestos!$D$6)),Supuestos!$F$6-SQRT((1-C815)*(Supuestos!$F$6-Supuestos!$D$6)*(Supuestos!$F$6-Supuestos!$E$6))),IF(Supuestos!$C$6="Uniforme",Supuestos!$D$6+C815*(Supuestos!$E$6-Supuestos!$D$6),IF(Supuestos!$C$6="Lognormal",LOGINV(C815,LN(Supuestos!$D$6)-LN(1+Supuestos!$E$6^2/Supuestos!$D$6^2)/2,SQRT(LN(1+Supuestos!$E$6^2/Supuestos!$D$6^2))),Supuestos!$D$6))))))</f>
        <v/>
      </c>
      <c r="K815" s="32">
        <f>MIN(IF(Supuestos!$H$7="",1E+99,Supuestos!$H$7),MAX(IF(Supuestos!$G$7="",-1E+99,Supuestos!$G$7),IF(Supuestos!$C$7="Normal",NORMINV(D815,Supuestos!$D$7,Supuestos!$E$7),IF(Supuestos!$C$7="Triangular",IF(D815&lt;(Supuestos!$E$7-Supuestos!$D$7)/(Supuestos!$F$7-Supuestos!$D$7),Supuestos!$D$7+SQRT(D815*(Supuestos!$F$7-Supuestos!$D$7)*(Supuestos!$E$7-Supuestos!$D$7)),Supuestos!$F$7-SQRT((1-D815)*(Supuestos!$F$7-Supuestos!$D$7)*(Supuestos!$F$7-Supuestos!$E$7))),IF(Supuestos!$C$7="Uniforme",Supuestos!$D$7+D815*(Supuestos!$E$7-Supuestos!$D$7),IF(Supuestos!$C$7="Lognormal",LOGINV(D815,LN(Supuestos!$D$7)-LN(1+Supuestos!$E$7^2/Supuestos!$D$7^2)/2,SQRT(LN(1+Supuestos!$E$7^2/Supuestos!$D$7^2))),Supuestos!$D$7))))))</f>
        <v/>
      </c>
      <c r="L815" s="32">
        <f>MIN(IF(Supuestos!$H$8="",1E+99,Supuestos!$H$8),MAX(IF(Supuestos!$G$8="",-1E+99,Supuestos!$G$8),IF(Supuestos!$C$8="Normal",NORMINV(E815,Supuestos!$D$8,Supuestos!$E$8),IF(Supuestos!$C$8="Triangular",IF(E815&lt;(Supuestos!$E$8-Supuestos!$D$8)/(Supuestos!$F$8-Supuestos!$D$8),Supuestos!$D$8+SQRT(E815*(Supuestos!$F$8-Supuestos!$D$8)*(Supuestos!$E$8-Supuestos!$D$8)),Supuestos!$F$8-SQRT((1-E815)*(Supuestos!$F$8-Supuestos!$D$8)*(Supuestos!$F$8-Supuestos!$E$8))),IF(Supuestos!$C$8="Uniforme",Supuestos!$D$8+E815*(Supuestos!$E$8-Supuestos!$D$8),IF(Supuestos!$C$8="Lognormal",LOGINV(E815,LN(Supuestos!$D$8)-LN(1+Supuestos!$E$8^2/Supuestos!$D$8^2)/2,SQRT(LN(1+Supuestos!$E$8^2/Supuestos!$D$8^2))),Supuestos!$D$8))))))</f>
        <v/>
      </c>
      <c r="M815" s="32">
        <f>MIN(IF(Supuestos!$H$9="",1E+99,Supuestos!$H$9),MAX(IF(Supuestos!$G$9="",-1E+99,Supuestos!$G$9),IF(Supuestos!$C$9="Normal",NORMINV(F815,Supuestos!$D$9,Supuestos!$E$9),IF(Supuestos!$C$9="Triangular",IF(F815&lt;(Supuestos!$E$9-Supuestos!$D$9)/(Supuestos!$F$9-Supuestos!$D$9),Supuestos!$D$9+SQRT(F815*(Supuestos!$F$9-Supuestos!$D$9)*(Supuestos!$E$9-Supuestos!$D$9)),Supuestos!$F$9-SQRT((1-F815)*(Supuestos!$F$9-Supuestos!$D$9)*(Supuestos!$F$9-Supuestos!$E$9))),IF(Supuestos!$C$9="Uniforme",Supuestos!$D$9+F815*(Supuestos!$E$9-Supuestos!$D$9),IF(Supuestos!$C$9="Lognormal",LOGINV(F815,LN(Supuestos!$D$9)-LN(1+Supuestos!$E$9^2/Supuestos!$D$9^2)/2,SQRT(LN(1+Supuestos!$E$9^2/Supuestos!$D$9^2))),Supuestos!$D$9))))))</f>
        <v/>
      </c>
      <c r="N815" s="32">
        <f>MIN(IF(Supuestos!$H$10="",1E+99,Supuestos!$H$10),MAX(IF(Supuestos!$G$10="",-1E+99,Supuestos!$G$10),IF(Supuestos!$C$10="Normal",NORMINV(G815,Supuestos!$D$10,Supuestos!$E$10),IF(Supuestos!$C$10="Triangular",IF(G815&lt;(Supuestos!$E$10-Supuestos!$D$10)/(Supuestos!$F$10-Supuestos!$D$10),Supuestos!$D$10+SQRT(G815*(Supuestos!$F$10-Supuestos!$D$10)*(Supuestos!$E$10-Supuestos!$D$10)),Supuestos!$F$10-SQRT((1-G815)*(Supuestos!$F$10-Supuestos!$D$10)*(Supuestos!$F$10-Supuestos!$E$10))),IF(Supuestos!$C$10="Uniforme",Supuestos!$D$10+G815*(Supuestos!$E$10-Supuestos!$D$10),IF(Supuestos!$C$10="Lognormal",LOGINV(G815,LN(Supuestos!$D$10)-LN(1+Supuestos!$E$10^2/Supuestos!$D$10^2)/2,SQRT(LN(1+Supuestos!$E$10^2/Supuestos!$D$10^2))),Supuestos!$D$10))))))</f>
        <v/>
      </c>
      <c r="O815" s="31">
        <f>MIN(IF(Supuestos!$H$11="",1E+99,Supuestos!$H$11),MAX(IF(Supuestos!$G$11="",-1E+99,Supuestos!$G$11),IF(Supuestos!$C$11="Normal",NORMINV(H815,Supuestos!$D$11,Supuestos!$E$11),IF(Supuestos!$C$11="Triangular",IF(H815&lt;(Supuestos!$E$11-Supuestos!$D$11)/(Supuestos!$F$11-Supuestos!$D$11),Supuestos!$D$11+SQRT(H815*(Supuestos!$F$11-Supuestos!$D$11)*(Supuestos!$E$11-Supuestos!$D$11)),Supuestos!$F$11-SQRT((1-H815)*(Supuestos!$F$11-Supuestos!$D$11)*(Supuestos!$F$11-Supuestos!$E$11))),IF(Supuestos!$C$11="Uniforme",Supuestos!$D$11+H815*(Supuestos!$E$11-Supuestos!$D$11),IF(Supuestos!$C$11="Lognormal",LOGINV(H815,LN(Supuestos!$D$11)-LN(1+Supuestos!$E$11^2/Supuestos!$D$11^2)/2,SQRT(LN(1+Supuestos!$E$11^2/Supuestos!$D$11^2))),Supuestos!$D$11))))))</f>
        <v/>
      </c>
      <c r="P815" s="33">
        <f>-I815</f>
        <v/>
      </c>
      <c r="Q815" s="33">
        <f>$J815*(1+$K815)^(1-1)*(1-$L815)*(1-$M815)</f>
        <v/>
      </c>
      <c r="R815" s="33">
        <f>$J815*(1+$K815)^(2-1)*(1-$L815)*(1-$M815)</f>
        <v/>
      </c>
      <c r="S815" s="33">
        <f>$J815*(1+$K815)^(3-1)*(1-$L815)*(1-$M815)</f>
        <v/>
      </c>
      <c r="T815" s="33">
        <f>$J815*(1+$K815)^(4-1)*(1-$L815)*(1-$M815)</f>
        <v/>
      </c>
      <c r="U815" s="33">
        <f>$J815*(1+$K815)^(5-1)*(1-$L815)*(1-$M815)+$O815</f>
        <v/>
      </c>
      <c r="V815" s="33">
        <f>P815+NPV($N815,Q815:U815)</f>
        <v/>
      </c>
      <c r="W815" s="32">
        <f>IFERROR(IRR(P815:U815,0.1),"")</f>
        <v/>
      </c>
    </row>
    <row r="816">
      <c r="A816" s="14" t="n">
        <v>812</v>
      </c>
      <c r="B816" s="30">
        <f>RAND()*(1-2E-6)+1E-6</f>
        <v/>
      </c>
      <c r="C816" s="30">
        <f>RAND()*(1-2E-6)+1E-6</f>
        <v/>
      </c>
      <c r="D816" s="30">
        <f>RAND()*(1-2E-6)+1E-6</f>
        <v/>
      </c>
      <c r="E816" s="30">
        <f>RAND()*(1-2E-6)+1E-6</f>
        <v/>
      </c>
      <c r="F816" s="30">
        <f>RAND()*(1-2E-6)+1E-6</f>
        <v/>
      </c>
      <c r="G816" s="30">
        <f>RAND()*(1-2E-6)+1E-6</f>
        <v/>
      </c>
      <c r="H816" s="30">
        <f>RAND()*(1-2E-6)+1E-6</f>
        <v/>
      </c>
      <c r="I816" s="31">
        <f>MIN(IF(Supuestos!$H$5="",1E+99,Supuestos!$H$5),MAX(IF(Supuestos!$G$5="",-1E+99,Supuestos!$G$5),IF(Supuestos!$C$5="Normal",NORMINV(B816,Supuestos!$D$5,Supuestos!$E$5),IF(Supuestos!$C$5="Triangular",IF(B816&lt;(Supuestos!$E$5-Supuestos!$D$5)/(Supuestos!$F$5-Supuestos!$D$5),Supuestos!$D$5+SQRT(B816*(Supuestos!$F$5-Supuestos!$D$5)*(Supuestos!$E$5-Supuestos!$D$5)),Supuestos!$F$5-SQRT((1-B816)*(Supuestos!$F$5-Supuestos!$D$5)*(Supuestos!$F$5-Supuestos!$E$5))),IF(Supuestos!$C$5="Uniforme",Supuestos!$D$5+B816*(Supuestos!$E$5-Supuestos!$D$5),IF(Supuestos!$C$5="Lognormal",LOGINV(B816,LN(Supuestos!$D$5)-LN(1+Supuestos!$E$5^2/Supuestos!$D$5^2)/2,SQRT(LN(1+Supuestos!$E$5^2/Supuestos!$D$5^2))),Supuestos!$D$5))))))</f>
        <v/>
      </c>
      <c r="J816" s="31">
        <f>MIN(IF(Supuestos!$H$6="",1E+99,Supuestos!$H$6),MAX(IF(Supuestos!$G$6="",-1E+99,Supuestos!$G$6),IF(Supuestos!$C$6="Normal",NORMINV(C816,Supuestos!$D$6,Supuestos!$E$6),IF(Supuestos!$C$6="Triangular",IF(C816&lt;(Supuestos!$E$6-Supuestos!$D$6)/(Supuestos!$F$6-Supuestos!$D$6),Supuestos!$D$6+SQRT(C816*(Supuestos!$F$6-Supuestos!$D$6)*(Supuestos!$E$6-Supuestos!$D$6)),Supuestos!$F$6-SQRT((1-C816)*(Supuestos!$F$6-Supuestos!$D$6)*(Supuestos!$F$6-Supuestos!$E$6))),IF(Supuestos!$C$6="Uniforme",Supuestos!$D$6+C816*(Supuestos!$E$6-Supuestos!$D$6),IF(Supuestos!$C$6="Lognormal",LOGINV(C816,LN(Supuestos!$D$6)-LN(1+Supuestos!$E$6^2/Supuestos!$D$6^2)/2,SQRT(LN(1+Supuestos!$E$6^2/Supuestos!$D$6^2))),Supuestos!$D$6))))))</f>
        <v/>
      </c>
      <c r="K816" s="32">
        <f>MIN(IF(Supuestos!$H$7="",1E+99,Supuestos!$H$7),MAX(IF(Supuestos!$G$7="",-1E+99,Supuestos!$G$7),IF(Supuestos!$C$7="Normal",NORMINV(D816,Supuestos!$D$7,Supuestos!$E$7),IF(Supuestos!$C$7="Triangular",IF(D816&lt;(Supuestos!$E$7-Supuestos!$D$7)/(Supuestos!$F$7-Supuestos!$D$7),Supuestos!$D$7+SQRT(D816*(Supuestos!$F$7-Supuestos!$D$7)*(Supuestos!$E$7-Supuestos!$D$7)),Supuestos!$F$7-SQRT((1-D816)*(Supuestos!$F$7-Supuestos!$D$7)*(Supuestos!$F$7-Supuestos!$E$7))),IF(Supuestos!$C$7="Uniforme",Supuestos!$D$7+D816*(Supuestos!$E$7-Supuestos!$D$7),IF(Supuestos!$C$7="Lognormal",LOGINV(D816,LN(Supuestos!$D$7)-LN(1+Supuestos!$E$7^2/Supuestos!$D$7^2)/2,SQRT(LN(1+Supuestos!$E$7^2/Supuestos!$D$7^2))),Supuestos!$D$7))))))</f>
        <v/>
      </c>
      <c r="L816" s="32">
        <f>MIN(IF(Supuestos!$H$8="",1E+99,Supuestos!$H$8),MAX(IF(Supuestos!$G$8="",-1E+99,Supuestos!$G$8),IF(Supuestos!$C$8="Normal",NORMINV(E816,Supuestos!$D$8,Supuestos!$E$8),IF(Supuestos!$C$8="Triangular",IF(E816&lt;(Supuestos!$E$8-Supuestos!$D$8)/(Supuestos!$F$8-Supuestos!$D$8),Supuestos!$D$8+SQRT(E816*(Supuestos!$F$8-Supuestos!$D$8)*(Supuestos!$E$8-Supuestos!$D$8)),Supuestos!$F$8-SQRT((1-E816)*(Supuestos!$F$8-Supuestos!$D$8)*(Supuestos!$F$8-Supuestos!$E$8))),IF(Supuestos!$C$8="Uniforme",Supuestos!$D$8+E816*(Supuestos!$E$8-Supuestos!$D$8),IF(Supuestos!$C$8="Lognormal",LOGINV(E816,LN(Supuestos!$D$8)-LN(1+Supuestos!$E$8^2/Supuestos!$D$8^2)/2,SQRT(LN(1+Supuestos!$E$8^2/Supuestos!$D$8^2))),Supuestos!$D$8))))))</f>
        <v/>
      </c>
      <c r="M816" s="32">
        <f>MIN(IF(Supuestos!$H$9="",1E+99,Supuestos!$H$9),MAX(IF(Supuestos!$G$9="",-1E+99,Supuestos!$G$9),IF(Supuestos!$C$9="Normal",NORMINV(F816,Supuestos!$D$9,Supuestos!$E$9),IF(Supuestos!$C$9="Triangular",IF(F816&lt;(Supuestos!$E$9-Supuestos!$D$9)/(Supuestos!$F$9-Supuestos!$D$9),Supuestos!$D$9+SQRT(F816*(Supuestos!$F$9-Supuestos!$D$9)*(Supuestos!$E$9-Supuestos!$D$9)),Supuestos!$F$9-SQRT((1-F816)*(Supuestos!$F$9-Supuestos!$D$9)*(Supuestos!$F$9-Supuestos!$E$9))),IF(Supuestos!$C$9="Uniforme",Supuestos!$D$9+F816*(Supuestos!$E$9-Supuestos!$D$9),IF(Supuestos!$C$9="Lognormal",LOGINV(F816,LN(Supuestos!$D$9)-LN(1+Supuestos!$E$9^2/Supuestos!$D$9^2)/2,SQRT(LN(1+Supuestos!$E$9^2/Supuestos!$D$9^2))),Supuestos!$D$9))))))</f>
        <v/>
      </c>
      <c r="N816" s="32">
        <f>MIN(IF(Supuestos!$H$10="",1E+99,Supuestos!$H$10),MAX(IF(Supuestos!$G$10="",-1E+99,Supuestos!$G$10),IF(Supuestos!$C$10="Normal",NORMINV(G816,Supuestos!$D$10,Supuestos!$E$10),IF(Supuestos!$C$10="Triangular",IF(G816&lt;(Supuestos!$E$10-Supuestos!$D$10)/(Supuestos!$F$10-Supuestos!$D$10),Supuestos!$D$10+SQRT(G816*(Supuestos!$F$10-Supuestos!$D$10)*(Supuestos!$E$10-Supuestos!$D$10)),Supuestos!$F$10-SQRT((1-G816)*(Supuestos!$F$10-Supuestos!$D$10)*(Supuestos!$F$10-Supuestos!$E$10))),IF(Supuestos!$C$10="Uniforme",Supuestos!$D$10+G816*(Supuestos!$E$10-Supuestos!$D$10),IF(Supuestos!$C$10="Lognormal",LOGINV(G816,LN(Supuestos!$D$10)-LN(1+Supuestos!$E$10^2/Supuestos!$D$10^2)/2,SQRT(LN(1+Supuestos!$E$10^2/Supuestos!$D$10^2))),Supuestos!$D$10))))))</f>
        <v/>
      </c>
      <c r="O816" s="31">
        <f>MIN(IF(Supuestos!$H$11="",1E+99,Supuestos!$H$11),MAX(IF(Supuestos!$G$11="",-1E+99,Supuestos!$G$11),IF(Supuestos!$C$11="Normal",NORMINV(H816,Supuestos!$D$11,Supuestos!$E$11),IF(Supuestos!$C$11="Triangular",IF(H816&lt;(Supuestos!$E$11-Supuestos!$D$11)/(Supuestos!$F$11-Supuestos!$D$11),Supuestos!$D$11+SQRT(H816*(Supuestos!$F$11-Supuestos!$D$11)*(Supuestos!$E$11-Supuestos!$D$11)),Supuestos!$F$11-SQRT((1-H816)*(Supuestos!$F$11-Supuestos!$D$11)*(Supuestos!$F$11-Supuestos!$E$11))),IF(Supuestos!$C$11="Uniforme",Supuestos!$D$11+H816*(Supuestos!$E$11-Supuestos!$D$11),IF(Supuestos!$C$11="Lognormal",LOGINV(H816,LN(Supuestos!$D$11)-LN(1+Supuestos!$E$11^2/Supuestos!$D$11^2)/2,SQRT(LN(1+Supuestos!$E$11^2/Supuestos!$D$11^2))),Supuestos!$D$11))))))</f>
        <v/>
      </c>
      <c r="P816" s="33">
        <f>-I816</f>
        <v/>
      </c>
      <c r="Q816" s="33">
        <f>$J816*(1+$K816)^(1-1)*(1-$L816)*(1-$M816)</f>
        <v/>
      </c>
      <c r="R816" s="33">
        <f>$J816*(1+$K816)^(2-1)*(1-$L816)*(1-$M816)</f>
        <v/>
      </c>
      <c r="S816" s="33">
        <f>$J816*(1+$K816)^(3-1)*(1-$L816)*(1-$M816)</f>
        <v/>
      </c>
      <c r="T816" s="33">
        <f>$J816*(1+$K816)^(4-1)*(1-$L816)*(1-$M816)</f>
        <v/>
      </c>
      <c r="U816" s="33">
        <f>$J816*(1+$K816)^(5-1)*(1-$L816)*(1-$M816)+$O816</f>
        <v/>
      </c>
      <c r="V816" s="33">
        <f>P816+NPV($N816,Q816:U816)</f>
        <v/>
      </c>
      <c r="W816" s="32">
        <f>IFERROR(IRR(P816:U816,0.1),"")</f>
        <v/>
      </c>
    </row>
    <row r="817">
      <c r="A817" s="14" t="n">
        <v>813</v>
      </c>
      <c r="B817" s="30">
        <f>RAND()*(1-2E-6)+1E-6</f>
        <v/>
      </c>
      <c r="C817" s="30">
        <f>RAND()*(1-2E-6)+1E-6</f>
        <v/>
      </c>
      <c r="D817" s="30">
        <f>RAND()*(1-2E-6)+1E-6</f>
        <v/>
      </c>
      <c r="E817" s="30">
        <f>RAND()*(1-2E-6)+1E-6</f>
        <v/>
      </c>
      <c r="F817" s="30">
        <f>RAND()*(1-2E-6)+1E-6</f>
        <v/>
      </c>
      <c r="G817" s="30">
        <f>RAND()*(1-2E-6)+1E-6</f>
        <v/>
      </c>
      <c r="H817" s="30">
        <f>RAND()*(1-2E-6)+1E-6</f>
        <v/>
      </c>
      <c r="I817" s="31">
        <f>MIN(IF(Supuestos!$H$5="",1E+99,Supuestos!$H$5),MAX(IF(Supuestos!$G$5="",-1E+99,Supuestos!$G$5),IF(Supuestos!$C$5="Normal",NORMINV(B817,Supuestos!$D$5,Supuestos!$E$5),IF(Supuestos!$C$5="Triangular",IF(B817&lt;(Supuestos!$E$5-Supuestos!$D$5)/(Supuestos!$F$5-Supuestos!$D$5),Supuestos!$D$5+SQRT(B817*(Supuestos!$F$5-Supuestos!$D$5)*(Supuestos!$E$5-Supuestos!$D$5)),Supuestos!$F$5-SQRT((1-B817)*(Supuestos!$F$5-Supuestos!$D$5)*(Supuestos!$F$5-Supuestos!$E$5))),IF(Supuestos!$C$5="Uniforme",Supuestos!$D$5+B817*(Supuestos!$E$5-Supuestos!$D$5),IF(Supuestos!$C$5="Lognormal",LOGINV(B817,LN(Supuestos!$D$5)-LN(1+Supuestos!$E$5^2/Supuestos!$D$5^2)/2,SQRT(LN(1+Supuestos!$E$5^2/Supuestos!$D$5^2))),Supuestos!$D$5))))))</f>
        <v/>
      </c>
      <c r="J817" s="31">
        <f>MIN(IF(Supuestos!$H$6="",1E+99,Supuestos!$H$6),MAX(IF(Supuestos!$G$6="",-1E+99,Supuestos!$G$6),IF(Supuestos!$C$6="Normal",NORMINV(C817,Supuestos!$D$6,Supuestos!$E$6),IF(Supuestos!$C$6="Triangular",IF(C817&lt;(Supuestos!$E$6-Supuestos!$D$6)/(Supuestos!$F$6-Supuestos!$D$6),Supuestos!$D$6+SQRT(C817*(Supuestos!$F$6-Supuestos!$D$6)*(Supuestos!$E$6-Supuestos!$D$6)),Supuestos!$F$6-SQRT((1-C817)*(Supuestos!$F$6-Supuestos!$D$6)*(Supuestos!$F$6-Supuestos!$E$6))),IF(Supuestos!$C$6="Uniforme",Supuestos!$D$6+C817*(Supuestos!$E$6-Supuestos!$D$6),IF(Supuestos!$C$6="Lognormal",LOGINV(C817,LN(Supuestos!$D$6)-LN(1+Supuestos!$E$6^2/Supuestos!$D$6^2)/2,SQRT(LN(1+Supuestos!$E$6^2/Supuestos!$D$6^2))),Supuestos!$D$6))))))</f>
        <v/>
      </c>
      <c r="K817" s="32">
        <f>MIN(IF(Supuestos!$H$7="",1E+99,Supuestos!$H$7),MAX(IF(Supuestos!$G$7="",-1E+99,Supuestos!$G$7),IF(Supuestos!$C$7="Normal",NORMINV(D817,Supuestos!$D$7,Supuestos!$E$7),IF(Supuestos!$C$7="Triangular",IF(D817&lt;(Supuestos!$E$7-Supuestos!$D$7)/(Supuestos!$F$7-Supuestos!$D$7),Supuestos!$D$7+SQRT(D817*(Supuestos!$F$7-Supuestos!$D$7)*(Supuestos!$E$7-Supuestos!$D$7)),Supuestos!$F$7-SQRT((1-D817)*(Supuestos!$F$7-Supuestos!$D$7)*(Supuestos!$F$7-Supuestos!$E$7))),IF(Supuestos!$C$7="Uniforme",Supuestos!$D$7+D817*(Supuestos!$E$7-Supuestos!$D$7),IF(Supuestos!$C$7="Lognormal",LOGINV(D817,LN(Supuestos!$D$7)-LN(1+Supuestos!$E$7^2/Supuestos!$D$7^2)/2,SQRT(LN(1+Supuestos!$E$7^2/Supuestos!$D$7^2))),Supuestos!$D$7))))))</f>
        <v/>
      </c>
      <c r="L817" s="32">
        <f>MIN(IF(Supuestos!$H$8="",1E+99,Supuestos!$H$8),MAX(IF(Supuestos!$G$8="",-1E+99,Supuestos!$G$8),IF(Supuestos!$C$8="Normal",NORMINV(E817,Supuestos!$D$8,Supuestos!$E$8),IF(Supuestos!$C$8="Triangular",IF(E817&lt;(Supuestos!$E$8-Supuestos!$D$8)/(Supuestos!$F$8-Supuestos!$D$8),Supuestos!$D$8+SQRT(E817*(Supuestos!$F$8-Supuestos!$D$8)*(Supuestos!$E$8-Supuestos!$D$8)),Supuestos!$F$8-SQRT((1-E817)*(Supuestos!$F$8-Supuestos!$D$8)*(Supuestos!$F$8-Supuestos!$E$8))),IF(Supuestos!$C$8="Uniforme",Supuestos!$D$8+E817*(Supuestos!$E$8-Supuestos!$D$8),IF(Supuestos!$C$8="Lognormal",LOGINV(E817,LN(Supuestos!$D$8)-LN(1+Supuestos!$E$8^2/Supuestos!$D$8^2)/2,SQRT(LN(1+Supuestos!$E$8^2/Supuestos!$D$8^2))),Supuestos!$D$8))))))</f>
        <v/>
      </c>
      <c r="M817" s="32">
        <f>MIN(IF(Supuestos!$H$9="",1E+99,Supuestos!$H$9),MAX(IF(Supuestos!$G$9="",-1E+99,Supuestos!$G$9),IF(Supuestos!$C$9="Normal",NORMINV(F817,Supuestos!$D$9,Supuestos!$E$9),IF(Supuestos!$C$9="Triangular",IF(F817&lt;(Supuestos!$E$9-Supuestos!$D$9)/(Supuestos!$F$9-Supuestos!$D$9),Supuestos!$D$9+SQRT(F817*(Supuestos!$F$9-Supuestos!$D$9)*(Supuestos!$E$9-Supuestos!$D$9)),Supuestos!$F$9-SQRT((1-F817)*(Supuestos!$F$9-Supuestos!$D$9)*(Supuestos!$F$9-Supuestos!$E$9))),IF(Supuestos!$C$9="Uniforme",Supuestos!$D$9+F817*(Supuestos!$E$9-Supuestos!$D$9),IF(Supuestos!$C$9="Lognormal",LOGINV(F817,LN(Supuestos!$D$9)-LN(1+Supuestos!$E$9^2/Supuestos!$D$9^2)/2,SQRT(LN(1+Supuestos!$E$9^2/Supuestos!$D$9^2))),Supuestos!$D$9))))))</f>
        <v/>
      </c>
      <c r="N817" s="32">
        <f>MIN(IF(Supuestos!$H$10="",1E+99,Supuestos!$H$10),MAX(IF(Supuestos!$G$10="",-1E+99,Supuestos!$G$10),IF(Supuestos!$C$10="Normal",NORMINV(G817,Supuestos!$D$10,Supuestos!$E$10),IF(Supuestos!$C$10="Triangular",IF(G817&lt;(Supuestos!$E$10-Supuestos!$D$10)/(Supuestos!$F$10-Supuestos!$D$10),Supuestos!$D$10+SQRT(G817*(Supuestos!$F$10-Supuestos!$D$10)*(Supuestos!$E$10-Supuestos!$D$10)),Supuestos!$F$10-SQRT((1-G817)*(Supuestos!$F$10-Supuestos!$D$10)*(Supuestos!$F$10-Supuestos!$E$10))),IF(Supuestos!$C$10="Uniforme",Supuestos!$D$10+G817*(Supuestos!$E$10-Supuestos!$D$10),IF(Supuestos!$C$10="Lognormal",LOGINV(G817,LN(Supuestos!$D$10)-LN(1+Supuestos!$E$10^2/Supuestos!$D$10^2)/2,SQRT(LN(1+Supuestos!$E$10^2/Supuestos!$D$10^2))),Supuestos!$D$10))))))</f>
        <v/>
      </c>
      <c r="O817" s="31">
        <f>MIN(IF(Supuestos!$H$11="",1E+99,Supuestos!$H$11),MAX(IF(Supuestos!$G$11="",-1E+99,Supuestos!$G$11),IF(Supuestos!$C$11="Normal",NORMINV(H817,Supuestos!$D$11,Supuestos!$E$11),IF(Supuestos!$C$11="Triangular",IF(H817&lt;(Supuestos!$E$11-Supuestos!$D$11)/(Supuestos!$F$11-Supuestos!$D$11),Supuestos!$D$11+SQRT(H817*(Supuestos!$F$11-Supuestos!$D$11)*(Supuestos!$E$11-Supuestos!$D$11)),Supuestos!$F$11-SQRT((1-H817)*(Supuestos!$F$11-Supuestos!$D$11)*(Supuestos!$F$11-Supuestos!$E$11))),IF(Supuestos!$C$11="Uniforme",Supuestos!$D$11+H817*(Supuestos!$E$11-Supuestos!$D$11),IF(Supuestos!$C$11="Lognormal",LOGINV(H817,LN(Supuestos!$D$11)-LN(1+Supuestos!$E$11^2/Supuestos!$D$11^2)/2,SQRT(LN(1+Supuestos!$E$11^2/Supuestos!$D$11^2))),Supuestos!$D$11))))))</f>
        <v/>
      </c>
      <c r="P817" s="33">
        <f>-I817</f>
        <v/>
      </c>
      <c r="Q817" s="33">
        <f>$J817*(1+$K817)^(1-1)*(1-$L817)*(1-$M817)</f>
        <v/>
      </c>
      <c r="R817" s="33">
        <f>$J817*(1+$K817)^(2-1)*(1-$L817)*(1-$M817)</f>
        <v/>
      </c>
      <c r="S817" s="33">
        <f>$J817*(1+$K817)^(3-1)*(1-$L817)*(1-$M817)</f>
        <v/>
      </c>
      <c r="T817" s="33">
        <f>$J817*(1+$K817)^(4-1)*(1-$L817)*(1-$M817)</f>
        <v/>
      </c>
      <c r="U817" s="33">
        <f>$J817*(1+$K817)^(5-1)*(1-$L817)*(1-$M817)+$O817</f>
        <v/>
      </c>
      <c r="V817" s="33">
        <f>P817+NPV($N817,Q817:U817)</f>
        <v/>
      </c>
      <c r="W817" s="32">
        <f>IFERROR(IRR(P817:U817,0.1),"")</f>
        <v/>
      </c>
    </row>
    <row r="818">
      <c r="A818" s="14" t="n">
        <v>814</v>
      </c>
      <c r="B818" s="30">
        <f>RAND()*(1-2E-6)+1E-6</f>
        <v/>
      </c>
      <c r="C818" s="30">
        <f>RAND()*(1-2E-6)+1E-6</f>
        <v/>
      </c>
      <c r="D818" s="30">
        <f>RAND()*(1-2E-6)+1E-6</f>
        <v/>
      </c>
      <c r="E818" s="30">
        <f>RAND()*(1-2E-6)+1E-6</f>
        <v/>
      </c>
      <c r="F818" s="30">
        <f>RAND()*(1-2E-6)+1E-6</f>
        <v/>
      </c>
      <c r="G818" s="30">
        <f>RAND()*(1-2E-6)+1E-6</f>
        <v/>
      </c>
      <c r="H818" s="30">
        <f>RAND()*(1-2E-6)+1E-6</f>
        <v/>
      </c>
      <c r="I818" s="31">
        <f>MIN(IF(Supuestos!$H$5="",1E+99,Supuestos!$H$5),MAX(IF(Supuestos!$G$5="",-1E+99,Supuestos!$G$5),IF(Supuestos!$C$5="Normal",NORMINV(B818,Supuestos!$D$5,Supuestos!$E$5),IF(Supuestos!$C$5="Triangular",IF(B818&lt;(Supuestos!$E$5-Supuestos!$D$5)/(Supuestos!$F$5-Supuestos!$D$5),Supuestos!$D$5+SQRT(B818*(Supuestos!$F$5-Supuestos!$D$5)*(Supuestos!$E$5-Supuestos!$D$5)),Supuestos!$F$5-SQRT((1-B818)*(Supuestos!$F$5-Supuestos!$D$5)*(Supuestos!$F$5-Supuestos!$E$5))),IF(Supuestos!$C$5="Uniforme",Supuestos!$D$5+B818*(Supuestos!$E$5-Supuestos!$D$5),IF(Supuestos!$C$5="Lognormal",LOGINV(B818,LN(Supuestos!$D$5)-LN(1+Supuestos!$E$5^2/Supuestos!$D$5^2)/2,SQRT(LN(1+Supuestos!$E$5^2/Supuestos!$D$5^2))),Supuestos!$D$5))))))</f>
        <v/>
      </c>
      <c r="J818" s="31">
        <f>MIN(IF(Supuestos!$H$6="",1E+99,Supuestos!$H$6),MAX(IF(Supuestos!$G$6="",-1E+99,Supuestos!$G$6),IF(Supuestos!$C$6="Normal",NORMINV(C818,Supuestos!$D$6,Supuestos!$E$6),IF(Supuestos!$C$6="Triangular",IF(C818&lt;(Supuestos!$E$6-Supuestos!$D$6)/(Supuestos!$F$6-Supuestos!$D$6),Supuestos!$D$6+SQRT(C818*(Supuestos!$F$6-Supuestos!$D$6)*(Supuestos!$E$6-Supuestos!$D$6)),Supuestos!$F$6-SQRT((1-C818)*(Supuestos!$F$6-Supuestos!$D$6)*(Supuestos!$F$6-Supuestos!$E$6))),IF(Supuestos!$C$6="Uniforme",Supuestos!$D$6+C818*(Supuestos!$E$6-Supuestos!$D$6),IF(Supuestos!$C$6="Lognormal",LOGINV(C818,LN(Supuestos!$D$6)-LN(1+Supuestos!$E$6^2/Supuestos!$D$6^2)/2,SQRT(LN(1+Supuestos!$E$6^2/Supuestos!$D$6^2))),Supuestos!$D$6))))))</f>
        <v/>
      </c>
      <c r="K818" s="32">
        <f>MIN(IF(Supuestos!$H$7="",1E+99,Supuestos!$H$7),MAX(IF(Supuestos!$G$7="",-1E+99,Supuestos!$G$7),IF(Supuestos!$C$7="Normal",NORMINV(D818,Supuestos!$D$7,Supuestos!$E$7),IF(Supuestos!$C$7="Triangular",IF(D818&lt;(Supuestos!$E$7-Supuestos!$D$7)/(Supuestos!$F$7-Supuestos!$D$7),Supuestos!$D$7+SQRT(D818*(Supuestos!$F$7-Supuestos!$D$7)*(Supuestos!$E$7-Supuestos!$D$7)),Supuestos!$F$7-SQRT((1-D818)*(Supuestos!$F$7-Supuestos!$D$7)*(Supuestos!$F$7-Supuestos!$E$7))),IF(Supuestos!$C$7="Uniforme",Supuestos!$D$7+D818*(Supuestos!$E$7-Supuestos!$D$7),IF(Supuestos!$C$7="Lognormal",LOGINV(D818,LN(Supuestos!$D$7)-LN(1+Supuestos!$E$7^2/Supuestos!$D$7^2)/2,SQRT(LN(1+Supuestos!$E$7^2/Supuestos!$D$7^2))),Supuestos!$D$7))))))</f>
        <v/>
      </c>
      <c r="L818" s="32">
        <f>MIN(IF(Supuestos!$H$8="",1E+99,Supuestos!$H$8),MAX(IF(Supuestos!$G$8="",-1E+99,Supuestos!$G$8),IF(Supuestos!$C$8="Normal",NORMINV(E818,Supuestos!$D$8,Supuestos!$E$8),IF(Supuestos!$C$8="Triangular",IF(E818&lt;(Supuestos!$E$8-Supuestos!$D$8)/(Supuestos!$F$8-Supuestos!$D$8),Supuestos!$D$8+SQRT(E818*(Supuestos!$F$8-Supuestos!$D$8)*(Supuestos!$E$8-Supuestos!$D$8)),Supuestos!$F$8-SQRT((1-E818)*(Supuestos!$F$8-Supuestos!$D$8)*(Supuestos!$F$8-Supuestos!$E$8))),IF(Supuestos!$C$8="Uniforme",Supuestos!$D$8+E818*(Supuestos!$E$8-Supuestos!$D$8),IF(Supuestos!$C$8="Lognormal",LOGINV(E818,LN(Supuestos!$D$8)-LN(1+Supuestos!$E$8^2/Supuestos!$D$8^2)/2,SQRT(LN(1+Supuestos!$E$8^2/Supuestos!$D$8^2))),Supuestos!$D$8))))))</f>
        <v/>
      </c>
      <c r="M818" s="32">
        <f>MIN(IF(Supuestos!$H$9="",1E+99,Supuestos!$H$9),MAX(IF(Supuestos!$G$9="",-1E+99,Supuestos!$G$9),IF(Supuestos!$C$9="Normal",NORMINV(F818,Supuestos!$D$9,Supuestos!$E$9),IF(Supuestos!$C$9="Triangular",IF(F818&lt;(Supuestos!$E$9-Supuestos!$D$9)/(Supuestos!$F$9-Supuestos!$D$9),Supuestos!$D$9+SQRT(F818*(Supuestos!$F$9-Supuestos!$D$9)*(Supuestos!$E$9-Supuestos!$D$9)),Supuestos!$F$9-SQRT((1-F818)*(Supuestos!$F$9-Supuestos!$D$9)*(Supuestos!$F$9-Supuestos!$E$9))),IF(Supuestos!$C$9="Uniforme",Supuestos!$D$9+F818*(Supuestos!$E$9-Supuestos!$D$9),IF(Supuestos!$C$9="Lognormal",LOGINV(F818,LN(Supuestos!$D$9)-LN(1+Supuestos!$E$9^2/Supuestos!$D$9^2)/2,SQRT(LN(1+Supuestos!$E$9^2/Supuestos!$D$9^2))),Supuestos!$D$9))))))</f>
        <v/>
      </c>
      <c r="N818" s="32">
        <f>MIN(IF(Supuestos!$H$10="",1E+99,Supuestos!$H$10),MAX(IF(Supuestos!$G$10="",-1E+99,Supuestos!$G$10),IF(Supuestos!$C$10="Normal",NORMINV(G818,Supuestos!$D$10,Supuestos!$E$10),IF(Supuestos!$C$10="Triangular",IF(G818&lt;(Supuestos!$E$10-Supuestos!$D$10)/(Supuestos!$F$10-Supuestos!$D$10),Supuestos!$D$10+SQRT(G818*(Supuestos!$F$10-Supuestos!$D$10)*(Supuestos!$E$10-Supuestos!$D$10)),Supuestos!$F$10-SQRT((1-G818)*(Supuestos!$F$10-Supuestos!$D$10)*(Supuestos!$F$10-Supuestos!$E$10))),IF(Supuestos!$C$10="Uniforme",Supuestos!$D$10+G818*(Supuestos!$E$10-Supuestos!$D$10),IF(Supuestos!$C$10="Lognormal",LOGINV(G818,LN(Supuestos!$D$10)-LN(1+Supuestos!$E$10^2/Supuestos!$D$10^2)/2,SQRT(LN(1+Supuestos!$E$10^2/Supuestos!$D$10^2))),Supuestos!$D$10))))))</f>
        <v/>
      </c>
      <c r="O818" s="31">
        <f>MIN(IF(Supuestos!$H$11="",1E+99,Supuestos!$H$11),MAX(IF(Supuestos!$G$11="",-1E+99,Supuestos!$G$11),IF(Supuestos!$C$11="Normal",NORMINV(H818,Supuestos!$D$11,Supuestos!$E$11),IF(Supuestos!$C$11="Triangular",IF(H818&lt;(Supuestos!$E$11-Supuestos!$D$11)/(Supuestos!$F$11-Supuestos!$D$11),Supuestos!$D$11+SQRT(H818*(Supuestos!$F$11-Supuestos!$D$11)*(Supuestos!$E$11-Supuestos!$D$11)),Supuestos!$F$11-SQRT((1-H818)*(Supuestos!$F$11-Supuestos!$D$11)*(Supuestos!$F$11-Supuestos!$E$11))),IF(Supuestos!$C$11="Uniforme",Supuestos!$D$11+H818*(Supuestos!$E$11-Supuestos!$D$11),IF(Supuestos!$C$11="Lognormal",LOGINV(H818,LN(Supuestos!$D$11)-LN(1+Supuestos!$E$11^2/Supuestos!$D$11^2)/2,SQRT(LN(1+Supuestos!$E$11^2/Supuestos!$D$11^2))),Supuestos!$D$11))))))</f>
        <v/>
      </c>
      <c r="P818" s="33">
        <f>-I818</f>
        <v/>
      </c>
      <c r="Q818" s="33">
        <f>$J818*(1+$K818)^(1-1)*(1-$L818)*(1-$M818)</f>
        <v/>
      </c>
      <c r="R818" s="33">
        <f>$J818*(1+$K818)^(2-1)*(1-$L818)*(1-$M818)</f>
        <v/>
      </c>
      <c r="S818" s="33">
        <f>$J818*(1+$K818)^(3-1)*(1-$L818)*(1-$M818)</f>
        <v/>
      </c>
      <c r="T818" s="33">
        <f>$J818*(1+$K818)^(4-1)*(1-$L818)*(1-$M818)</f>
        <v/>
      </c>
      <c r="U818" s="33">
        <f>$J818*(1+$K818)^(5-1)*(1-$L818)*(1-$M818)+$O818</f>
        <v/>
      </c>
      <c r="V818" s="33">
        <f>P818+NPV($N818,Q818:U818)</f>
        <v/>
      </c>
      <c r="W818" s="32">
        <f>IFERROR(IRR(P818:U818,0.1),"")</f>
        <v/>
      </c>
    </row>
    <row r="819">
      <c r="A819" s="14" t="n">
        <v>815</v>
      </c>
      <c r="B819" s="30">
        <f>RAND()*(1-2E-6)+1E-6</f>
        <v/>
      </c>
      <c r="C819" s="30">
        <f>RAND()*(1-2E-6)+1E-6</f>
        <v/>
      </c>
      <c r="D819" s="30">
        <f>RAND()*(1-2E-6)+1E-6</f>
        <v/>
      </c>
      <c r="E819" s="30">
        <f>RAND()*(1-2E-6)+1E-6</f>
        <v/>
      </c>
      <c r="F819" s="30">
        <f>RAND()*(1-2E-6)+1E-6</f>
        <v/>
      </c>
      <c r="G819" s="30">
        <f>RAND()*(1-2E-6)+1E-6</f>
        <v/>
      </c>
      <c r="H819" s="30">
        <f>RAND()*(1-2E-6)+1E-6</f>
        <v/>
      </c>
      <c r="I819" s="31">
        <f>MIN(IF(Supuestos!$H$5="",1E+99,Supuestos!$H$5),MAX(IF(Supuestos!$G$5="",-1E+99,Supuestos!$G$5),IF(Supuestos!$C$5="Normal",NORMINV(B819,Supuestos!$D$5,Supuestos!$E$5),IF(Supuestos!$C$5="Triangular",IF(B819&lt;(Supuestos!$E$5-Supuestos!$D$5)/(Supuestos!$F$5-Supuestos!$D$5),Supuestos!$D$5+SQRT(B819*(Supuestos!$F$5-Supuestos!$D$5)*(Supuestos!$E$5-Supuestos!$D$5)),Supuestos!$F$5-SQRT((1-B819)*(Supuestos!$F$5-Supuestos!$D$5)*(Supuestos!$F$5-Supuestos!$E$5))),IF(Supuestos!$C$5="Uniforme",Supuestos!$D$5+B819*(Supuestos!$E$5-Supuestos!$D$5),IF(Supuestos!$C$5="Lognormal",LOGINV(B819,LN(Supuestos!$D$5)-LN(1+Supuestos!$E$5^2/Supuestos!$D$5^2)/2,SQRT(LN(1+Supuestos!$E$5^2/Supuestos!$D$5^2))),Supuestos!$D$5))))))</f>
        <v/>
      </c>
      <c r="J819" s="31">
        <f>MIN(IF(Supuestos!$H$6="",1E+99,Supuestos!$H$6),MAX(IF(Supuestos!$G$6="",-1E+99,Supuestos!$G$6),IF(Supuestos!$C$6="Normal",NORMINV(C819,Supuestos!$D$6,Supuestos!$E$6),IF(Supuestos!$C$6="Triangular",IF(C819&lt;(Supuestos!$E$6-Supuestos!$D$6)/(Supuestos!$F$6-Supuestos!$D$6),Supuestos!$D$6+SQRT(C819*(Supuestos!$F$6-Supuestos!$D$6)*(Supuestos!$E$6-Supuestos!$D$6)),Supuestos!$F$6-SQRT((1-C819)*(Supuestos!$F$6-Supuestos!$D$6)*(Supuestos!$F$6-Supuestos!$E$6))),IF(Supuestos!$C$6="Uniforme",Supuestos!$D$6+C819*(Supuestos!$E$6-Supuestos!$D$6),IF(Supuestos!$C$6="Lognormal",LOGINV(C819,LN(Supuestos!$D$6)-LN(1+Supuestos!$E$6^2/Supuestos!$D$6^2)/2,SQRT(LN(1+Supuestos!$E$6^2/Supuestos!$D$6^2))),Supuestos!$D$6))))))</f>
        <v/>
      </c>
      <c r="K819" s="32">
        <f>MIN(IF(Supuestos!$H$7="",1E+99,Supuestos!$H$7),MAX(IF(Supuestos!$G$7="",-1E+99,Supuestos!$G$7),IF(Supuestos!$C$7="Normal",NORMINV(D819,Supuestos!$D$7,Supuestos!$E$7),IF(Supuestos!$C$7="Triangular",IF(D819&lt;(Supuestos!$E$7-Supuestos!$D$7)/(Supuestos!$F$7-Supuestos!$D$7),Supuestos!$D$7+SQRT(D819*(Supuestos!$F$7-Supuestos!$D$7)*(Supuestos!$E$7-Supuestos!$D$7)),Supuestos!$F$7-SQRT((1-D819)*(Supuestos!$F$7-Supuestos!$D$7)*(Supuestos!$F$7-Supuestos!$E$7))),IF(Supuestos!$C$7="Uniforme",Supuestos!$D$7+D819*(Supuestos!$E$7-Supuestos!$D$7),IF(Supuestos!$C$7="Lognormal",LOGINV(D819,LN(Supuestos!$D$7)-LN(1+Supuestos!$E$7^2/Supuestos!$D$7^2)/2,SQRT(LN(1+Supuestos!$E$7^2/Supuestos!$D$7^2))),Supuestos!$D$7))))))</f>
        <v/>
      </c>
      <c r="L819" s="32">
        <f>MIN(IF(Supuestos!$H$8="",1E+99,Supuestos!$H$8),MAX(IF(Supuestos!$G$8="",-1E+99,Supuestos!$G$8),IF(Supuestos!$C$8="Normal",NORMINV(E819,Supuestos!$D$8,Supuestos!$E$8),IF(Supuestos!$C$8="Triangular",IF(E819&lt;(Supuestos!$E$8-Supuestos!$D$8)/(Supuestos!$F$8-Supuestos!$D$8),Supuestos!$D$8+SQRT(E819*(Supuestos!$F$8-Supuestos!$D$8)*(Supuestos!$E$8-Supuestos!$D$8)),Supuestos!$F$8-SQRT((1-E819)*(Supuestos!$F$8-Supuestos!$D$8)*(Supuestos!$F$8-Supuestos!$E$8))),IF(Supuestos!$C$8="Uniforme",Supuestos!$D$8+E819*(Supuestos!$E$8-Supuestos!$D$8),IF(Supuestos!$C$8="Lognormal",LOGINV(E819,LN(Supuestos!$D$8)-LN(1+Supuestos!$E$8^2/Supuestos!$D$8^2)/2,SQRT(LN(1+Supuestos!$E$8^2/Supuestos!$D$8^2))),Supuestos!$D$8))))))</f>
        <v/>
      </c>
      <c r="M819" s="32">
        <f>MIN(IF(Supuestos!$H$9="",1E+99,Supuestos!$H$9),MAX(IF(Supuestos!$G$9="",-1E+99,Supuestos!$G$9),IF(Supuestos!$C$9="Normal",NORMINV(F819,Supuestos!$D$9,Supuestos!$E$9),IF(Supuestos!$C$9="Triangular",IF(F819&lt;(Supuestos!$E$9-Supuestos!$D$9)/(Supuestos!$F$9-Supuestos!$D$9),Supuestos!$D$9+SQRT(F819*(Supuestos!$F$9-Supuestos!$D$9)*(Supuestos!$E$9-Supuestos!$D$9)),Supuestos!$F$9-SQRT((1-F819)*(Supuestos!$F$9-Supuestos!$D$9)*(Supuestos!$F$9-Supuestos!$E$9))),IF(Supuestos!$C$9="Uniforme",Supuestos!$D$9+F819*(Supuestos!$E$9-Supuestos!$D$9),IF(Supuestos!$C$9="Lognormal",LOGINV(F819,LN(Supuestos!$D$9)-LN(1+Supuestos!$E$9^2/Supuestos!$D$9^2)/2,SQRT(LN(1+Supuestos!$E$9^2/Supuestos!$D$9^2))),Supuestos!$D$9))))))</f>
        <v/>
      </c>
      <c r="N819" s="32">
        <f>MIN(IF(Supuestos!$H$10="",1E+99,Supuestos!$H$10),MAX(IF(Supuestos!$G$10="",-1E+99,Supuestos!$G$10),IF(Supuestos!$C$10="Normal",NORMINV(G819,Supuestos!$D$10,Supuestos!$E$10),IF(Supuestos!$C$10="Triangular",IF(G819&lt;(Supuestos!$E$10-Supuestos!$D$10)/(Supuestos!$F$10-Supuestos!$D$10),Supuestos!$D$10+SQRT(G819*(Supuestos!$F$10-Supuestos!$D$10)*(Supuestos!$E$10-Supuestos!$D$10)),Supuestos!$F$10-SQRT((1-G819)*(Supuestos!$F$10-Supuestos!$D$10)*(Supuestos!$F$10-Supuestos!$E$10))),IF(Supuestos!$C$10="Uniforme",Supuestos!$D$10+G819*(Supuestos!$E$10-Supuestos!$D$10),IF(Supuestos!$C$10="Lognormal",LOGINV(G819,LN(Supuestos!$D$10)-LN(1+Supuestos!$E$10^2/Supuestos!$D$10^2)/2,SQRT(LN(1+Supuestos!$E$10^2/Supuestos!$D$10^2))),Supuestos!$D$10))))))</f>
        <v/>
      </c>
      <c r="O819" s="31">
        <f>MIN(IF(Supuestos!$H$11="",1E+99,Supuestos!$H$11),MAX(IF(Supuestos!$G$11="",-1E+99,Supuestos!$G$11),IF(Supuestos!$C$11="Normal",NORMINV(H819,Supuestos!$D$11,Supuestos!$E$11),IF(Supuestos!$C$11="Triangular",IF(H819&lt;(Supuestos!$E$11-Supuestos!$D$11)/(Supuestos!$F$11-Supuestos!$D$11),Supuestos!$D$11+SQRT(H819*(Supuestos!$F$11-Supuestos!$D$11)*(Supuestos!$E$11-Supuestos!$D$11)),Supuestos!$F$11-SQRT((1-H819)*(Supuestos!$F$11-Supuestos!$D$11)*(Supuestos!$F$11-Supuestos!$E$11))),IF(Supuestos!$C$11="Uniforme",Supuestos!$D$11+H819*(Supuestos!$E$11-Supuestos!$D$11),IF(Supuestos!$C$11="Lognormal",LOGINV(H819,LN(Supuestos!$D$11)-LN(1+Supuestos!$E$11^2/Supuestos!$D$11^2)/2,SQRT(LN(1+Supuestos!$E$11^2/Supuestos!$D$11^2))),Supuestos!$D$11))))))</f>
        <v/>
      </c>
      <c r="P819" s="33">
        <f>-I819</f>
        <v/>
      </c>
      <c r="Q819" s="33">
        <f>$J819*(1+$K819)^(1-1)*(1-$L819)*(1-$M819)</f>
        <v/>
      </c>
      <c r="R819" s="33">
        <f>$J819*(1+$K819)^(2-1)*(1-$L819)*(1-$M819)</f>
        <v/>
      </c>
      <c r="S819" s="33">
        <f>$J819*(1+$K819)^(3-1)*(1-$L819)*(1-$M819)</f>
        <v/>
      </c>
      <c r="T819" s="33">
        <f>$J819*(1+$K819)^(4-1)*(1-$L819)*(1-$M819)</f>
        <v/>
      </c>
      <c r="U819" s="33">
        <f>$J819*(1+$K819)^(5-1)*(1-$L819)*(1-$M819)+$O819</f>
        <v/>
      </c>
      <c r="V819" s="33">
        <f>P819+NPV($N819,Q819:U819)</f>
        <v/>
      </c>
      <c r="W819" s="32">
        <f>IFERROR(IRR(P819:U819,0.1),"")</f>
        <v/>
      </c>
    </row>
    <row r="820">
      <c r="A820" s="14" t="n">
        <v>816</v>
      </c>
      <c r="B820" s="30">
        <f>RAND()*(1-2E-6)+1E-6</f>
        <v/>
      </c>
      <c r="C820" s="30">
        <f>RAND()*(1-2E-6)+1E-6</f>
        <v/>
      </c>
      <c r="D820" s="30">
        <f>RAND()*(1-2E-6)+1E-6</f>
        <v/>
      </c>
      <c r="E820" s="30">
        <f>RAND()*(1-2E-6)+1E-6</f>
        <v/>
      </c>
      <c r="F820" s="30">
        <f>RAND()*(1-2E-6)+1E-6</f>
        <v/>
      </c>
      <c r="G820" s="30">
        <f>RAND()*(1-2E-6)+1E-6</f>
        <v/>
      </c>
      <c r="H820" s="30">
        <f>RAND()*(1-2E-6)+1E-6</f>
        <v/>
      </c>
      <c r="I820" s="31">
        <f>MIN(IF(Supuestos!$H$5="",1E+99,Supuestos!$H$5),MAX(IF(Supuestos!$G$5="",-1E+99,Supuestos!$G$5),IF(Supuestos!$C$5="Normal",NORMINV(B820,Supuestos!$D$5,Supuestos!$E$5),IF(Supuestos!$C$5="Triangular",IF(B820&lt;(Supuestos!$E$5-Supuestos!$D$5)/(Supuestos!$F$5-Supuestos!$D$5),Supuestos!$D$5+SQRT(B820*(Supuestos!$F$5-Supuestos!$D$5)*(Supuestos!$E$5-Supuestos!$D$5)),Supuestos!$F$5-SQRT((1-B820)*(Supuestos!$F$5-Supuestos!$D$5)*(Supuestos!$F$5-Supuestos!$E$5))),IF(Supuestos!$C$5="Uniforme",Supuestos!$D$5+B820*(Supuestos!$E$5-Supuestos!$D$5),IF(Supuestos!$C$5="Lognormal",LOGINV(B820,LN(Supuestos!$D$5)-LN(1+Supuestos!$E$5^2/Supuestos!$D$5^2)/2,SQRT(LN(1+Supuestos!$E$5^2/Supuestos!$D$5^2))),Supuestos!$D$5))))))</f>
        <v/>
      </c>
      <c r="J820" s="31">
        <f>MIN(IF(Supuestos!$H$6="",1E+99,Supuestos!$H$6),MAX(IF(Supuestos!$G$6="",-1E+99,Supuestos!$G$6),IF(Supuestos!$C$6="Normal",NORMINV(C820,Supuestos!$D$6,Supuestos!$E$6),IF(Supuestos!$C$6="Triangular",IF(C820&lt;(Supuestos!$E$6-Supuestos!$D$6)/(Supuestos!$F$6-Supuestos!$D$6),Supuestos!$D$6+SQRT(C820*(Supuestos!$F$6-Supuestos!$D$6)*(Supuestos!$E$6-Supuestos!$D$6)),Supuestos!$F$6-SQRT((1-C820)*(Supuestos!$F$6-Supuestos!$D$6)*(Supuestos!$F$6-Supuestos!$E$6))),IF(Supuestos!$C$6="Uniforme",Supuestos!$D$6+C820*(Supuestos!$E$6-Supuestos!$D$6),IF(Supuestos!$C$6="Lognormal",LOGINV(C820,LN(Supuestos!$D$6)-LN(1+Supuestos!$E$6^2/Supuestos!$D$6^2)/2,SQRT(LN(1+Supuestos!$E$6^2/Supuestos!$D$6^2))),Supuestos!$D$6))))))</f>
        <v/>
      </c>
      <c r="K820" s="32">
        <f>MIN(IF(Supuestos!$H$7="",1E+99,Supuestos!$H$7),MAX(IF(Supuestos!$G$7="",-1E+99,Supuestos!$G$7),IF(Supuestos!$C$7="Normal",NORMINV(D820,Supuestos!$D$7,Supuestos!$E$7),IF(Supuestos!$C$7="Triangular",IF(D820&lt;(Supuestos!$E$7-Supuestos!$D$7)/(Supuestos!$F$7-Supuestos!$D$7),Supuestos!$D$7+SQRT(D820*(Supuestos!$F$7-Supuestos!$D$7)*(Supuestos!$E$7-Supuestos!$D$7)),Supuestos!$F$7-SQRT((1-D820)*(Supuestos!$F$7-Supuestos!$D$7)*(Supuestos!$F$7-Supuestos!$E$7))),IF(Supuestos!$C$7="Uniforme",Supuestos!$D$7+D820*(Supuestos!$E$7-Supuestos!$D$7),IF(Supuestos!$C$7="Lognormal",LOGINV(D820,LN(Supuestos!$D$7)-LN(1+Supuestos!$E$7^2/Supuestos!$D$7^2)/2,SQRT(LN(1+Supuestos!$E$7^2/Supuestos!$D$7^2))),Supuestos!$D$7))))))</f>
        <v/>
      </c>
      <c r="L820" s="32">
        <f>MIN(IF(Supuestos!$H$8="",1E+99,Supuestos!$H$8),MAX(IF(Supuestos!$G$8="",-1E+99,Supuestos!$G$8),IF(Supuestos!$C$8="Normal",NORMINV(E820,Supuestos!$D$8,Supuestos!$E$8),IF(Supuestos!$C$8="Triangular",IF(E820&lt;(Supuestos!$E$8-Supuestos!$D$8)/(Supuestos!$F$8-Supuestos!$D$8),Supuestos!$D$8+SQRT(E820*(Supuestos!$F$8-Supuestos!$D$8)*(Supuestos!$E$8-Supuestos!$D$8)),Supuestos!$F$8-SQRT((1-E820)*(Supuestos!$F$8-Supuestos!$D$8)*(Supuestos!$F$8-Supuestos!$E$8))),IF(Supuestos!$C$8="Uniforme",Supuestos!$D$8+E820*(Supuestos!$E$8-Supuestos!$D$8),IF(Supuestos!$C$8="Lognormal",LOGINV(E820,LN(Supuestos!$D$8)-LN(1+Supuestos!$E$8^2/Supuestos!$D$8^2)/2,SQRT(LN(1+Supuestos!$E$8^2/Supuestos!$D$8^2))),Supuestos!$D$8))))))</f>
        <v/>
      </c>
      <c r="M820" s="32">
        <f>MIN(IF(Supuestos!$H$9="",1E+99,Supuestos!$H$9),MAX(IF(Supuestos!$G$9="",-1E+99,Supuestos!$G$9),IF(Supuestos!$C$9="Normal",NORMINV(F820,Supuestos!$D$9,Supuestos!$E$9),IF(Supuestos!$C$9="Triangular",IF(F820&lt;(Supuestos!$E$9-Supuestos!$D$9)/(Supuestos!$F$9-Supuestos!$D$9),Supuestos!$D$9+SQRT(F820*(Supuestos!$F$9-Supuestos!$D$9)*(Supuestos!$E$9-Supuestos!$D$9)),Supuestos!$F$9-SQRT((1-F820)*(Supuestos!$F$9-Supuestos!$D$9)*(Supuestos!$F$9-Supuestos!$E$9))),IF(Supuestos!$C$9="Uniforme",Supuestos!$D$9+F820*(Supuestos!$E$9-Supuestos!$D$9),IF(Supuestos!$C$9="Lognormal",LOGINV(F820,LN(Supuestos!$D$9)-LN(1+Supuestos!$E$9^2/Supuestos!$D$9^2)/2,SQRT(LN(1+Supuestos!$E$9^2/Supuestos!$D$9^2))),Supuestos!$D$9))))))</f>
        <v/>
      </c>
      <c r="N820" s="32">
        <f>MIN(IF(Supuestos!$H$10="",1E+99,Supuestos!$H$10),MAX(IF(Supuestos!$G$10="",-1E+99,Supuestos!$G$10),IF(Supuestos!$C$10="Normal",NORMINV(G820,Supuestos!$D$10,Supuestos!$E$10),IF(Supuestos!$C$10="Triangular",IF(G820&lt;(Supuestos!$E$10-Supuestos!$D$10)/(Supuestos!$F$10-Supuestos!$D$10),Supuestos!$D$10+SQRT(G820*(Supuestos!$F$10-Supuestos!$D$10)*(Supuestos!$E$10-Supuestos!$D$10)),Supuestos!$F$10-SQRT((1-G820)*(Supuestos!$F$10-Supuestos!$D$10)*(Supuestos!$F$10-Supuestos!$E$10))),IF(Supuestos!$C$10="Uniforme",Supuestos!$D$10+G820*(Supuestos!$E$10-Supuestos!$D$10),IF(Supuestos!$C$10="Lognormal",LOGINV(G820,LN(Supuestos!$D$10)-LN(1+Supuestos!$E$10^2/Supuestos!$D$10^2)/2,SQRT(LN(1+Supuestos!$E$10^2/Supuestos!$D$10^2))),Supuestos!$D$10))))))</f>
        <v/>
      </c>
      <c r="O820" s="31">
        <f>MIN(IF(Supuestos!$H$11="",1E+99,Supuestos!$H$11),MAX(IF(Supuestos!$G$11="",-1E+99,Supuestos!$G$11),IF(Supuestos!$C$11="Normal",NORMINV(H820,Supuestos!$D$11,Supuestos!$E$11),IF(Supuestos!$C$11="Triangular",IF(H820&lt;(Supuestos!$E$11-Supuestos!$D$11)/(Supuestos!$F$11-Supuestos!$D$11),Supuestos!$D$11+SQRT(H820*(Supuestos!$F$11-Supuestos!$D$11)*(Supuestos!$E$11-Supuestos!$D$11)),Supuestos!$F$11-SQRT((1-H820)*(Supuestos!$F$11-Supuestos!$D$11)*(Supuestos!$F$11-Supuestos!$E$11))),IF(Supuestos!$C$11="Uniforme",Supuestos!$D$11+H820*(Supuestos!$E$11-Supuestos!$D$11),IF(Supuestos!$C$11="Lognormal",LOGINV(H820,LN(Supuestos!$D$11)-LN(1+Supuestos!$E$11^2/Supuestos!$D$11^2)/2,SQRT(LN(1+Supuestos!$E$11^2/Supuestos!$D$11^2))),Supuestos!$D$11))))))</f>
        <v/>
      </c>
      <c r="P820" s="33">
        <f>-I820</f>
        <v/>
      </c>
      <c r="Q820" s="33">
        <f>$J820*(1+$K820)^(1-1)*(1-$L820)*(1-$M820)</f>
        <v/>
      </c>
      <c r="R820" s="33">
        <f>$J820*(1+$K820)^(2-1)*(1-$L820)*(1-$M820)</f>
        <v/>
      </c>
      <c r="S820" s="33">
        <f>$J820*(1+$K820)^(3-1)*(1-$L820)*(1-$M820)</f>
        <v/>
      </c>
      <c r="T820" s="33">
        <f>$J820*(1+$K820)^(4-1)*(1-$L820)*(1-$M820)</f>
        <v/>
      </c>
      <c r="U820" s="33">
        <f>$J820*(1+$K820)^(5-1)*(1-$L820)*(1-$M820)+$O820</f>
        <v/>
      </c>
      <c r="V820" s="33">
        <f>P820+NPV($N820,Q820:U820)</f>
        <v/>
      </c>
      <c r="W820" s="32">
        <f>IFERROR(IRR(P820:U820,0.1),"")</f>
        <v/>
      </c>
    </row>
    <row r="821">
      <c r="A821" s="14" t="n">
        <v>817</v>
      </c>
      <c r="B821" s="30">
        <f>RAND()*(1-2E-6)+1E-6</f>
        <v/>
      </c>
      <c r="C821" s="30">
        <f>RAND()*(1-2E-6)+1E-6</f>
        <v/>
      </c>
      <c r="D821" s="30">
        <f>RAND()*(1-2E-6)+1E-6</f>
        <v/>
      </c>
      <c r="E821" s="30">
        <f>RAND()*(1-2E-6)+1E-6</f>
        <v/>
      </c>
      <c r="F821" s="30">
        <f>RAND()*(1-2E-6)+1E-6</f>
        <v/>
      </c>
      <c r="G821" s="30">
        <f>RAND()*(1-2E-6)+1E-6</f>
        <v/>
      </c>
      <c r="H821" s="30">
        <f>RAND()*(1-2E-6)+1E-6</f>
        <v/>
      </c>
      <c r="I821" s="31">
        <f>MIN(IF(Supuestos!$H$5="",1E+99,Supuestos!$H$5),MAX(IF(Supuestos!$G$5="",-1E+99,Supuestos!$G$5),IF(Supuestos!$C$5="Normal",NORMINV(B821,Supuestos!$D$5,Supuestos!$E$5),IF(Supuestos!$C$5="Triangular",IF(B821&lt;(Supuestos!$E$5-Supuestos!$D$5)/(Supuestos!$F$5-Supuestos!$D$5),Supuestos!$D$5+SQRT(B821*(Supuestos!$F$5-Supuestos!$D$5)*(Supuestos!$E$5-Supuestos!$D$5)),Supuestos!$F$5-SQRT((1-B821)*(Supuestos!$F$5-Supuestos!$D$5)*(Supuestos!$F$5-Supuestos!$E$5))),IF(Supuestos!$C$5="Uniforme",Supuestos!$D$5+B821*(Supuestos!$E$5-Supuestos!$D$5),IF(Supuestos!$C$5="Lognormal",LOGINV(B821,LN(Supuestos!$D$5)-LN(1+Supuestos!$E$5^2/Supuestos!$D$5^2)/2,SQRT(LN(1+Supuestos!$E$5^2/Supuestos!$D$5^2))),Supuestos!$D$5))))))</f>
        <v/>
      </c>
      <c r="J821" s="31">
        <f>MIN(IF(Supuestos!$H$6="",1E+99,Supuestos!$H$6),MAX(IF(Supuestos!$G$6="",-1E+99,Supuestos!$G$6),IF(Supuestos!$C$6="Normal",NORMINV(C821,Supuestos!$D$6,Supuestos!$E$6),IF(Supuestos!$C$6="Triangular",IF(C821&lt;(Supuestos!$E$6-Supuestos!$D$6)/(Supuestos!$F$6-Supuestos!$D$6),Supuestos!$D$6+SQRT(C821*(Supuestos!$F$6-Supuestos!$D$6)*(Supuestos!$E$6-Supuestos!$D$6)),Supuestos!$F$6-SQRT((1-C821)*(Supuestos!$F$6-Supuestos!$D$6)*(Supuestos!$F$6-Supuestos!$E$6))),IF(Supuestos!$C$6="Uniforme",Supuestos!$D$6+C821*(Supuestos!$E$6-Supuestos!$D$6),IF(Supuestos!$C$6="Lognormal",LOGINV(C821,LN(Supuestos!$D$6)-LN(1+Supuestos!$E$6^2/Supuestos!$D$6^2)/2,SQRT(LN(1+Supuestos!$E$6^2/Supuestos!$D$6^2))),Supuestos!$D$6))))))</f>
        <v/>
      </c>
      <c r="K821" s="32">
        <f>MIN(IF(Supuestos!$H$7="",1E+99,Supuestos!$H$7),MAX(IF(Supuestos!$G$7="",-1E+99,Supuestos!$G$7),IF(Supuestos!$C$7="Normal",NORMINV(D821,Supuestos!$D$7,Supuestos!$E$7),IF(Supuestos!$C$7="Triangular",IF(D821&lt;(Supuestos!$E$7-Supuestos!$D$7)/(Supuestos!$F$7-Supuestos!$D$7),Supuestos!$D$7+SQRT(D821*(Supuestos!$F$7-Supuestos!$D$7)*(Supuestos!$E$7-Supuestos!$D$7)),Supuestos!$F$7-SQRT((1-D821)*(Supuestos!$F$7-Supuestos!$D$7)*(Supuestos!$F$7-Supuestos!$E$7))),IF(Supuestos!$C$7="Uniforme",Supuestos!$D$7+D821*(Supuestos!$E$7-Supuestos!$D$7),IF(Supuestos!$C$7="Lognormal",LOGINV(D821,LN(Supuestos!$D$7)-LN(1+Supuestos!$E$7^2/Supuestos!$D$7^2)/2,SQRT(LN(1+Supuestos!$E$7^2/Supuestos!$D$7^2))),Supuestos!$D$7))))))</f>
        <v/>
      </c>
      <c r="L821" s="32">
        <f>MIN(IF(Supuestos!$H$8="",1E+99,Supuestos!$H$8),MAX(IF(Supuestos!$G$8="",-1E+99,Supuestos!$G$8),IF(Supuestos!$C$8="Normal",NORMINV(E821,Supuestos!$D$8,Supuestos!$E$8),IF(Supuestos!$C$8="Triangular",IF(E821&lt;(Supuestos!$E$8-Supuestos!$D$8)/(Supuestos!$F$8-Supuestos!$D$8),Supuestos!$D$8+SQRT(E821*(Supuestos!$F$8-Supuestos!$D$8)*(Supuestos!$E$8-Supuestos!$D$8)),Supuestos!$F$8-SQRT((1-E821)*(Supuestos!$F$8-Supuestos!$D$8)*(Supuestos!$F$8-Supuestos!$E$8))),IF(Supuestos!$C$8="Uniforme",Supuestos!$D$8+E821*(Supuestos!$E$8-Supuestos!$D$8),IF(Supuestos!$C$8="Lognormal",LOGINV(E821,LN(Supuestos!$D$8)-LN(1+Supuestos!$E$8^2/Supuestos!$D$8^2)/2,SQRT(LN(1+Supuestos!$E$8^2/Supuestos!$D$8^2))),Supuestos!$D$8))))))</f>
        <v/>
      </c>
      <c r="M821" s="32">
        <f>MIN(IF(Supuestos!$H$9="",1E+99,Supuestos!$H$9),MAX(IF(Supuestos!$G$9="",-1E+99,Supuestos!$G$9),IF(Supuestos!$C$9="Normal",NORMINV(F821,Supuestos!$D$9,Supuestos!$E$9),IF(Supuestos!$C$9="Triangular",IF(F821&lt;(Supuestos!$E$9-Supuestos!$D$9)/(Supuestos!$F$9-Supuestos!$D$9),Supuestos!$D$9+SQRT(F821*(Supuestos!$F$9-Supuestos!$D$9)*(Supuestos!$E$9-Supuestos!$D$9)),Supuestos!$F$9-SQRT((1-F821)*(Supuestos!$F$9-Supuestos!$D$9)*(Supuestos!$F$9-Supuestos!$E$9))),IF(Supuestos!$C$9="Uniforme",Supuestos!$D$9+F821*(Supuestos!$E$9-Supuestos!$D$9),IF(Supuestos!$C$9="Lognormal",LOGINV(F821,LN(Supuestos!$D$9)-LN(1+Supuestos!$E$9^2/Supuestos!$D$9^2)/2,SQRT(LN(1+Supuestos!$E$9^2/Supuestos!$D$9^2))),Supuestos!$D$9))))))</f>
        <v/>
      </c>
      <c r="N821" s="32">
        <f>MIN(IF(Supuestos!$H$10="",1E+99,Supuestos!$H$10),MAX(IF(Supuestos!$G$10="",-1E+99,Supuestos!$G$10),IF(Supuestos!$C$10="Normal",NORMINV(G821,Supuestos!$D$10,Supuestos!$E$10),IF(Supuestos!$C$10="Triangular",IF(G821&lt;(Supuestos!$E$10-Supuestos!$D$10)/(Supuestos!$F$10-Supuestos!$D$10),Supuestos!$D$10+SQRT(G821*(Supuestos!$F$10-Supuestos!$D$10)*(Supuestos!$E$10-Supuestos!$D$10)),Supuestos!$F$10-SQRT((1-G821)*(Supuestos!$F$10-Supuestos!$D$10)*(Supuestos!$F$10-Supuestos!$E$10))),IF(Supuestos!$C$10="Uniforme",Supuestos!$D$10+G821*(Supuestos!$E$10-Supuestos!$D$10),IF(Supuestos!$C$10="Lognormal",LOGINV(G821,LN(Supuestos!$D$10)-LN(1+Supuestos!$E$10^2/Supuestos!$D$10^2)/2,SQRT(LN(1+Supuestos!$E$10^2/Supuestos!$D$10^2))),Supuestos!$D$10))))))</f>
        <v/>
      </c>
      <c r="O821" s="31">
        <f>MIN(IF(Supuestos!$H$11="",1E+99,Supuestos!$H$11),MAX(IF(Supuestos!$G$11="",-1E+99,Supuestos!$G$11),IF(Supuestos!$C$11="Normal",NORMINV(H821,Supuestos!$D$11,Supuestos!$E$11),IF(Supuestos!$C$11="Triangular",IF(H821&lt;(Supuestos!$E$11-Supuestos!$D$11)/(Supuestos!$F$11-Supuestos!$D$11),Supuestos!$D$11+SQRT(H821*(Supuestos!$F$11-Supuestos!$D$11)*(Supuestos!$E$11-Supuestos!$D$11)),Supuestos!$F$11-SQRT((1-H821)*(Supuestos!$F$11-Supuestos!$D$11)*(Supuestos!$F$11-Supuestos!$E$11))),IF(Supuestos!$C$11="Uniforme",Supuestos!$D$11+H821*(Supuestos!$E$11-Supuestos!$D$11),IF(Supuestos!$C$11="Lognormal",LOGINV(H821,LN(Supuestos!$D$11)-LN(1+Supuestos!$E$11^2/Supuestos!$D$11^2)/2,SQRT(LN(1+Supuestos!$E$11^2/Supuestos!$D$11^2))),Supuestos!$D$11))))))</f>
        <v/>
      </c>
      <c r="P821" s="33">
        <f>-I821</f>
        <v/>
      </c>
      <c r="Q821" s="33">
        <f>$J821*(1+$K821)^(1-1)*(1-$L821)*(1-$M821)</f>
        <v/>
      </c>
      <c r="R821" s="33">
        <f>$J821*(1+$K821)^(2-1)*(1-$L821)*(1-$M821)</f>
        <v/>
      </c>
      <c r="S821" s="33">
        <f>$J821*(1+$K821)^(3-1)*(1-$L821)*(1-$M821)</f>
        <v/>
      </c>
      <c r="T821" s="33">
        <f>$J821*(1+$K821)^(4-1)*(1-$L821)*(1-$M821)</f>
        <v/>
      </c>
      <c r="U821" s="33">
        <f>$J821*(1+$K821)^(5-1)*(1-$L821)*(1-$M821)+$O821</f>
        <v/>
      </c>
      <c r="V821" s="33">
        <f>P821+NPV($N821,Q821:U821)</f>
        <v/>
      </c>
      <c r="W821" s="32">
        <f>IFERROR(IRR(P821:U821,0.1),"")</f>
        <v/>
      </c>
    </row>
    <row r="822">
      <c r="A822" s="14" t="n">
        <v>818</v>
      </c>
      <c r="B822" s="30">
        <f>RAND()*(1-2E-6)+1E-6</f>
        <v/>
      </c>
      <c r="C822" s="30">
        <f>RAND()*(1-2E-6)+1E-6</f>
        <v/>
      </c>
      <c r="D822" s="30">
        <f>RAND()*(1-2E-6)+1E-6</f>
        <v/>
      </c>
      <c r="E822" s="30">
        <f>RAND()*(1-2E-6)+1E-6</f>
        <v/>
      </c>
      <c r="F822" s="30">
        <f>RAND()*(1-2E-6)+1E-6</f>
        <v/>
      </c>
      <c r="G822" s="30">
        <f>RAND()*(1-2E-6)+1E-6</f>
        <v/>
      </c>
      <c r="H822" s="30">
        <f>RAND()*(1-2E-6)+1E-6</f>
        <v/>
      </c>
      <c r="I822" s="31">
        <f>MIN(IF(Supuestos!$H$5="",1E+99,Supuestos!$H$5),MAX(IF(Supuestos!$G$5="",-1E+99,Supuestos!$G$5),IF(Supuestos!$C$5="Normal",NORMINV(B822,Supuestos!$D$5,Supuestos!$E$5),IF(Supuestos!$C$5="Triangular",IF(B822&lt;(Supuestos!$E$5-Supuestos!$D$5)/(Supuestos!$F$5-Supuestos!$D$5),Supuestos!$D$5+SQRT(B822*(Supuestos!$F$5-Supuestos!$D$5)*(Supuestos!$E$5-Supuestos!$D$5)),Supuestos!$F$5-SQRT((1-B822)*(Supuestos!$F$5-Supuestos!$D$5)*(Supuestos!$F$5-Supuestos!$E$5))),IF(Supuestos!$C$5="Uniforme",Supuestos!$D$5+B822*(Supuestos!$E$5-Supuestos!$D$5),IF(Supuestos!$C$5="Lognormal",LOGINV(B822,LN(Supuestos!$D$5)-LN(1+Supuestos!$E$5^2/Supuestos!$D$5^2)/2,SQRT(LN(1+Supuestos!$E$5^2/Supuestos!$D$5^2))),Supuestos!$D$5))))))</f>
        <v/>
      </c>
      <c r="J822" s="31">
        <f>MIN(IF(Supuestos!$H$6="",1E+99,Supuestos!$H$6),MAX(IF(Supuestos!$G$6="",-1E+99,Supuestos!$G$6),IF(Supuestos!$C$6="Normal",NORMINV(C822,Supuestos!$D$6,Supuestos!$E$6),IF(Supuestos!$C$6="Triangular",IF(C822&lt;(Supuestos!$E$6-Supuestos!$D$6)/(Supuestos!$F$6-Supuestos!$D$6),Supuestos!$D$6+SQRT(C822*(Supuestos!$F$6-Supuestos!$D$6)*(Supuestos!$E$6-Supuestos!$D$6)),Supuestos!$F$6-SQRT((1-C822)*(Supuestos!$F$6-Supuestos!$D$6)*(Supuestos!$F$6-Supuestos!$E$6))),IF(Supuestos!$C$6="Uniforme",Supuestos!$D$6+C822*(Supuestos!$E$6-Supuestos!$D$6),IF(Supuestos!$C$6="Lognormal",LOGINV(C822,LN(Supuestos!$D$6)-LN(1+Supuestos!$E$6^2/Supuestos!$D$6^2)/2,SQRT(LN(1+Supuestos!$E$6^2/Supuestos!$D$6^2))),Supuestos!$D$6))))))</f>
        <v/>
      </c>
      <c r="K822" s="32">
        <f>MIN(IF(Supuestos!$H$7="",1E+99,Supuestos!$H$7),MAX(IF(Supuestos!$G$7="",-1E+99,Supuestos!$G$7),IF(Supuestos!$C$7="Normal",NORMINV(D822,Supuestos!$D$7,Supuestos!$E$7),IF(Supuestos!$C$7="Triangular",IF(D822&lt;(Supuestos!$E$7-Supuestos!$D$7)/(Supuestos!$F$7-Supuestos!$D$7),Supuestos!$D$7+SQRT(D822*(Supuestos!$F$7-Supuestos!$D$7)*(Supuestos!$E$7-Supuestos!$D$7)),Supuestos!$F$7-SQRT((1-D822)*(Supuestos!$F$7-Supuestos!$D$7)*(Supuestos!$F$7-Supuestos!$E$7))),IF(Supuestos!$C$7="Uniforme",Supuestos!$D$7+D822*(Supuestos!$E$7-Supuestos!$D$7),IF(Supuestos!$C$7="Lognormal",LOGINV(D822,LN(Supuestos!$D$7)-LN(1+Supuestos!$E$7^2/Supuestos!$D$7^2)/2,SQRT(LN(1+Supuestos!$E$7^2/Supuestos!$D$7^2))),Supuestos!$D$7))))))</f>
        <v/>
      </c>
      <c r="L822" s="32">
        <f>MIN(IF(Supuestos!$H$8="",1E+99,Supuestos!$H$8),MAX(IF(Supuestos!$G$8="",-1E+99,Supuestos!$G$8),IF(Supuestos!$C$8="Normal",NORMINV(E822,Supuestos!$D$8,Supuestos!$E$8),IF(Supuestos!$C$8="Triangular",IF(E822&lt;(Supuestos!$E$8-Supuestos!$D$8)/(Supuestos!$F$8-Supuestos!$D$8),Supuestos!$D$8+SQRT(E822*(Supuestos!$F$8-Supuestos!$D$8)*(Supuestos!$E$8-Supuestos!$D$8)),Supuestos!$F$8-SQRT((1-E822)*(Supuestos!$F$8-Supuestos!$D$8)*(Supuestos!$F$8-Supuestos!$E$8))),IF(Supuestos!$C$8="Uniforme",Supuestos!$D$8+E822*(Supuestos!$E$8-Supuestos!$D$8),IF(Supuestos!$C$8="Lognormal",LOGINV(E822,LN(Supuestos!$D$8)-LN(1+Supuestos!$E$8^2/Supuestos!$D$8^2)/2,SQRT(LN(1+Supuestos!$E$8^2/Supuestos!$D$8^2))),Supuestos!$D$8))))))</f>
        <v/>
      </c>
      <c r="M822" s="32">
        <f>MIN(IF(Supuestos!$H$9="",1E+99,Supuestos!$H$9),MAX(IF(Supuestos!$G$9="",-1E+99,Supuestos!$G$9),IF(Supuestos!$C$9="Normal",NORMINV(F822,Supuestos!$D$9,Supuestos!$E$9),IF(Supuestos!$C$9="Triangular",IF(F822&lt;(Supuestos!$E$9-Supuestos!$D$9)/(Supuestos!$F$9-Supuestos!$D$9),Supuestos!$D$9+SQRT(F822*(Supuestos!$F$9-Supuestos!$D$9)*(Supuestos!$E$9-Supuestos!$D$9)),Supuestos!$F$9-SQRT((1-F822)*(Supuestos!$F$9-Supuestos!$D$9)*(Supuestos!$F$9-Supuestos!$E$9))),IF(Supuestos!$C$9="Uniforme",Supuestos!$D$9+F822*(Supuestos!$E$9-Supuestos!$D$9),IF(Supuestos!$C$9="Lognormal",LOGINV(F822,LN(Supuestos!$D$9)-LN(1+Supuestos!$E$9^2/Supuestos!$D$9^2)/2,SQRT(LN(1+Supuestos!$E$9^2/Supuestos!$D$9^2))),Supuestos!$D$9))))))</f>
        <v/>
      </c>
      <c r="N822" s="32">
        <f>MIN(IF(Supuestos!$H$10="",1E+99,Supuestos!$H$10),MAX(IF(Supuestos!$G$10="",-1E+99,Supuestos!$G$10),IF(Supuestos!$C$10="Normal",NORMINV(G822,Supuestos!$D$10,Supuestos!$E$10),IF(Supuestos!$C$10="Triangular",IF(G822&lt;(Supuestos!$E$10-Supuestos!$D$10)/(Supuestos!$F$10-Supuestos!$D$10),Supuestos!$D$10+SQRT(G822*(Supuestos!$F$10-Supuestos!$D$10)*(Supuestos!$E$10-Supuestos!$D$10)),Supuestos!$F$10-SQRT((1-G822)*(Supuestos!$F$10-Supuestos!$D$10)*(Supuestos!$F$10-Supuestos!$E$10))),IF(Supuestos!$C$10="Uniforme",Supuestos!$D$10+G822*(Supuestos!$E$10-Supuestos!$D$10),IF(Supuestos!$C$10="Lognormal",LOGINV(G822,LN(Supuestos!$D$10)-LN(1+Supuestos!$E$10^2/Supuestos!$D$10^2)/2,SQRT(LN(1+Supuestos!$E$10^2/Supuestos!$D$10^2))),Supuestos!$D$10))))))</f>
        <v/>
      </c>
      <c r="O822" s="31">
        <f>MIN(IF(Supuestos!$H$11="",1E+99,Supuestos!$H$11),MAX(IF(Supuestos!$G$11="",-1E+99,Supuestos!$G$11),IF(Supuestos!$C$11="Normal",NORMINV(H822,Supuestos!$D$11,Supuestos!$E$11),IF(Supuestos!$C$11="Triangular",IF(H822&lt;(Supuestos!$E$11-Supuestos!$D$11)/(Supuestos!$F$11-Supuestos!$D$11),Supuestos!$D$11+SQRT(H822*(Supuestos!$F$11-Supuestos!$D$11)*(Supuestos!$E$11-Supuestos!$D$11)),Supuestos!$F$11-SQRT((1-H822)*(Supuestos!$F$11-Supuestos!$D$11)*(Supuestos!$F$11-Supuestos!$E$11))),IF(Supuestos!$C$11="Uniforme",Supuestos!$D$11+H822*(Supuestos!$E$11-Supuestos!$D$11),IF(Supuestos!$C$11="Lognormal",LOGINV(H822,LN(Supuestos!$D$11)-LN(1+Supuestos!$E$11^2/Supuestos!$D$11^2)/2,SQRT(LN(1+Supuestos!$E$11^2/Supuestos!$D$11^2))),Supuestos!$D$11))))))</f>
        <v/>
      </c>
      <c r="P822" s="33">
        <f>-I822</f>
        <v/>
      </c>
      <c r="Q822" s="33">
        <f>$J822*(1+$K822)^(1-1)*(1-$L822)*(1-$M822)</f>
        <v/>
      </c>
      <c r="R822" s="33">
        <f>$J822*(1+$K822)^(2-1)*(1-$L822)*(1-$M822)</f>
        <v/>
      </c>
      <c r="S822" s="33">
        <f>$J822*(1+$K822)^(3-1)*(1-$L822)*(1-$M822)</f>
        <v/>
      </c>
      <c r="T822" s="33">
        <f>$J822*(1+$K822)^(4-1)*(1-$L822)*(1-$M822)</f>
        <v/>
      </c>
      <c r="U822" s="33">
        <f>$J822*(1+$K822)^(5-1)*(1-$L822)*(1-$M822)+$O822</f>
        <v/>
      </c>
      <c r="V822" s="33">
        <f>P822+NPV($N822,Q822:U822)</f>
        <v/>
      </c>
      <c r="W822" s="32">
        <f>IFERROR(IRR(P822:U822,0.1),"")</f>
        <v/>
      </c>
    </row>
    <row r="823">
      <c r="A823" s="14" t="n">
        <v>819</v>
      </c>
      <c r="B823" s="30">
        <f>RAND()*(1-2E-6)+1E-6</f>
        <v/>
      </c>
      <c r="C823" s="30">
        <f>RAND()*(1-2E-6)+1E-6</f>
        <v/>
      </c>
      <c r="D823" s="30">
        <f>RAND()*(1-2E-6)+1E-6</f>
        <v/>
      </c>
      <c r="E823" s="30">
        <f>RAND()*(1-2E-6)+1E-6</f>
        <v/>
      </c>
      <c r="F823" s="30">
        <f>RAND()*(1-2E-6)+1E-6</f>
        <v/>
      </c>
      <c r="G823" s="30">
        <f>RAND()*(1-2E-6)+1E-6</f>
        <v/>
      </c>
      <c r="H823" s="30">
        <f>RAND()*(1-2E-6)+1E-6</f>
        <v/>
      </c>
      <c r="I823" s="31">
        <f>MIN(IF(Supuestos!$H$5="",1E+99,Supuestos!$H$5),MAX(IF(Supuestos!$G$5="",-1E+99,Supuestos!$G$5),IF(Supuestos!$C$5="Normal",NORMINV(B823,Supuestos!$D$5,Supuestos!$E$5),IF(Supuestos!$C$5="Triangular",IF(B823&lt;(Supuestos!$E$5-Supuestos!$D$5)/(Supuestos!$F$5-Supuestos!$D$5),Supuestos!$D$5+SQRT(B823*(Supuestos!$F$5-Supuestos!$D$5)*(Supuestos!$E$5-Supuestos!$D$5)),Supuestos!$F$5-SQRT((1-B823)*(Supuestos!$F$5-Supuestos!$D$5)*(Supuestos!$F$5-Supuestos!$E$5))),IF(Supuestos!$C$5="Uniforme",Supuestos!$D$5+B823*(Supuestos!$E$5-Supuestos!$D$5),IF(Supuestos!$C$5="Lognormal",LOGINV(B823,LN(Supuestos!$D$5)-LN(1+Supuestos!$E$5^2/Supuestos!$D$5^2)/2,SQRT(LN(1+Supuestos!$E$5^2/Supuestos!$D$5^2))),Supuestos!$D$5))))))</f>
        <v/>
      </c>
      <c r="J823" s="31">
        <f>MIN(IF(Supuestos!$H$6="",1E+99,Supuestos!$H$6),MAX(IF(Supuestos!$G$6="",-1E+99,Supuestos!$G$6),IF(Supuestos!$C$6="Normal",NORMINV(C823,Supuestos!$D$6,Supuestos!$E$6),IF(Supuestos!$C$6="Triangular",IF(C823&lt;(Supuestos!$E$6-Supuestos!$D$6)/(Supuestos!$F$6-Supuestos!$D$6),Supuestos!$D$6+SQRT(C823*(Supuestos!$F$6-Supuestos!$D$6)*(Supuestos!$E$6-Supuestos!$D$6)),Supuestos!$F$6-SQRT((1-C823)*(Supuestos!$F$6-Supuestos!$D$6)*(Supuestos!$F$6-Supuestos!$E$6))),IF(Supuestos!$C$6="Uniforme",Supuestos!$D$6+C823*(Supuestos!$E$6-Supuestos!$D$6),IF(Supuestos!$C$6="Lognormal",LOGINV(C823,LN(Supuestos!$D$6)-LN(1+Supuestos!$E$6^2/Supuestos!$D$6^2)/2,SQRT(LN(1+Supuestos!$E$6^2/Supuestos!$D$6^2))),Supuestos!$D$6))))))</f>
        <v/>
      </c>
      <c r="K823" s="32">
        <f>MIN(IF(Supuestos!$H$7="",1E+99,Supuestos!$H$7),MAX(IF(Supuestos!$G$7="",-1E+99,Supuestos!$G$7),IF(Supuestos!$C$7="Normal",NORMINV(D823,Supuestos!$D$7,Supuestos!$E$7),IF(Supuestos!$C$7="Triangular",IF(D823&lt;(Supuestos!$E$7-Supuestos!$D$7)/(Supuestos!$F$7-Supuestos!$D$7),Supuestos!$D$7+SQRT(D823*(Supuestos!$F$7-Supuestos!$D$7)*(Supuestos!$E$7-Supuestos!$D$7)),Supuestos!$F$7-SQRT((1-D823)*(Supuestos!$F$7-Supuestos!$D$7)*(Supuestos!$F$7-Supuestos!$E$7))),IF(Supuestos!$C$7="Uniforme",Supuestos!$D$7+D823*(Supuestos!$E$7-Supuestos!$D$7),IF(Supuestos!$C$7="Lognormal",LOGINV(D823,LN(Supuestos!$D$7)-LN(1+Supuestos!$E$7^2/Supuestos!$D$7^2)/2,SQRT(LN(1+Supuestos!$E$7^2/Supuestos!$D$7^2))),Supuestos!$D$7))))))</f>
        <v/>
      </c>
      <c r="L823" s="32">
        <f>MIN(IF(Supuestos!$H$8="",1E+99,Supuestos!$H$8),MAX(IF(Supuestos!$G$8="",-1E+99,Supuestos!$G$8),IF(Supuestos!$C$8="Normal",NORMINV(E823,Supuestos!$D$8,Supuestos!$E$8),IF(Supuestos!$C$8="Triangular",IF(E823&lt;(Supuestos!$E$8-Supuestos!$D$8)/(Supuestos!$F$8-Supuestos!$D$8),Supuestos!$D$8+SQRT(E823*(Supuestos!$F$8-Supuestos!$D$8)*(Supuestos!$E$8-Supuestos!$D$8)),Supuestos!$F$8-SQRT((1-E823)*(Supuestos!$F$8-Supuestos!$D$8)*(Supuestos!$F$8-Supuestos!$E$8))),IF(Supuestos!$C$8="Uniforme",Supuestos!$D$8+E823*(Supuestos!$E$8-Supuestos!$D$8),IF(Supuestos!$C$8="Lognormal",LOGINV(E823,LN(Supuestos!$D$8)-LN(1+Supuestos!$E$8^2/Supuestos!$D$8^2)/2,SQRT(LN(1+Supuestos!$E$8^2/Supuestos!$D$8^2))),Supuestos!$D$8))))))</f>
        <v/>
      </c>
      <c r="M823" s="32">
        <f>MIN(IF(Supuestos!$H$9="",1E+99,Supuestos!$H$9),MAX(IF(Supuestos!$G$9="",-1E+99,Supuestos!$G$9),IF(Supuestos!$C$9="Normal",NORMINV(F823,Supuestos!$D$9,Supuestos!$E$9),IF(Supuestos!$C$9="Triangular",IF(F823&lt;(Supuestos!$E$9-Supuestos!$D$9)/(Supuestos!$F$9-Supuestos!$D$9),Supuestos!$D$9+SQRT(F823*(Supuestos!$F$9-Supuestos!$D$9)*(Supuestos!$E$9-Supuestos!$D$9)),Supuestos!$F$9-SQRT((1-F823)*(Supuestos!$F$9-Supuestos!$D$9)*(Supuestos!$F$9-Supuestos!$E$9))),IF(Supuestos!$C$9="Uniforme",Supuestos!$D$9+F823*(Supuestos!$E$9-Supuestos!$D$9),IF(Supuestos!$C$9="Lognormal",LOGINV(F823,LN(Supuestos!$D$9)-LN(1+Supuestos!$E$9^2/Supuestos!$D$9^2)/2,SQRT(LN(1+Supuestos!$E$9^2/Supuestos!$D$9^2))),Supuestos!$D$9))))))</f>
        <v/>
      </c>
      <c r="N823" s="32">
        <f>MIN(IF(Supuestos!$H$10="",1E+99,Supuestos!$H$10),MAX(IF(Supuestos!$G$10="",-1E+99,Supuestos!$G$10),IF(Supuestos!$C$10="Normal",NORMINV(G823,Supuestos!$D$10,Supuestos!$E$10),IF(Supuestos!$C$10="Triangular",IF(G823&lt;(Supuestos!$E$10-Supuestos!$D$10)/(Supuestos!$F$10-Supuestos!$D$10),Supuestos!$D$10+SQRT(G823*(Supuestos!$F$10-Supuestos!$D$10)*(Supuestos!$E$10-Supuestos!$D$10)),Supuestos!$F$10-SQRT((1-G823)*(Supuestos!$F$10-Supuestos!$D$10)*(Supuestos!$F$10-Supuestos!$E$10))),IF(Supuestos!$C$10="Uniforme",Supuestos!$D$10+G823*(Supuestos!$E$10-Supuestos!$D$10),IF(Supuestos!$C$10="Lognormal",LOGINV(G823,LN(Supuestos!$D$10)-LN(1+Supuestos!$E$10^2/Supuestos!$D$10^2)/2,SQRT(LN(1+Supuestos!$E$10^2/Supuestos!$D$10^2))),Supuestos!$D$10))))))</f>
        <v/>
      </c>
      <c r="O823" s="31">
        <f>MIN(IF(Supuestos!$H$11="",1E+99,Supuestos!$H$11),MAX(IF(Supuestos!$G$11="",-1E+99,Supuestos!$G$11),IF(Supuestos!$C$11="Normal",NORMINV(H823,Supuestos!$D$11,Supuestos!$E$11),IF(Supuestos!$C$11="Triangular",IF(H823&lt;(Supuestos!$E$11-Supuestos!$D$11)/(Supuestos!$F$11-Supuestos!$D$11),Supuestos!$D$11+SQRT(H823*(Supuestos!$F$11-Supuestos!$D$11)*(Supuestos!$E$11-Supuestos!$D$11)),Supuestos!$F$11-SQRT((1-H823)*(Supuestos!$F$11-Supuestos!$D$11)*(Supuestos!$F$11-Supuestos!$E$11))),IF(Supuestos!$C$11="Uniforme",Supuestos!$D$11+H823*(Supuestos!$E$11-Supuestos!$D$11),IF(Supuestos!$C$11="Lognormal",LOGINV(H823,LN(Supuestos!$D$11)-LN(1+Supuestos!$E$11^2/Supuestos!$D$11^2)/2,SQRT(LN(1+Supuestos!$E$11^2/Supuestos!$D$11^2))),Supuestos!$D$11))))))</f>
        <v/>
      </c>
      <c r="P823" s="33">
        <f>-I823</f>
        <v/>
      </c>
      <c r="Q823" s="33">
        <f>$J823*(1+$K823)^(1-1)*(1-$L823)*(1-$M823)</f>
        <v/>
      </c>
      <c r="R823" s="33">
        <f>$J823*(1+$K823)^(2-1)*(1-$L823)*(1-$M823)</f>
        <v/>
      </c>
      <c r="S823" s="33">
        <f>$J823*(1+$K823)^(3-1)*(1-$L823)*(1-$M823)</f>
        <v/>
      </c>
      <c r="T823" s="33">
        <f>$J823*(1+$K823)^(4-1)*(1-$L823)*(1-$M823)</f>
        <v/>
      </c>
      <c r="U823" s="33">
        <f>$J823*(1+$K823)^(5-1)*(1-$L823)*(1-$M823)+$O823</f>
        <v/>
      </c>
      <c r="V823" s="33">
        <f>P823+NPV($N823,Q823:U823)</f>
        <v/>
      </c>
      <c r="W823" s="32">
        <f>IFERROR(IRR(P823:U823,0.1),"")</f>
        <v/>
      </c>
    </row>
    <row r="824">
      <c r="A824" s="14" t="n">
        <v>820</v>
      </c>
      <c r="B824" s="30">
        <f>RAND()*(1-2E-6)+1E-6</f>
        <v/>
      </c>
      <c r="C824" s="30">
        <f>RAND()*(1-2E-6)+1E-6</f>
        <v/>
      </c>
      <c r="D824" s="30">
        <f>RAND()*(1-2E-6)+1E-6</f>
        <v/>
      </c>
      <c r="E824" s="30">
        <f>RAND()*(1-2E-6)+1E-6</f>
        <v/>
      </c>
      <c r="F824" s="30">
        <f>RAND()*(1-2E-6)+1E-6</f>
        <v/>
      </c>
      <c r="G824" s="30">
        <f>RAND()*(1-2E-6)+1E-6</f>
        <v/>
      </c>
      <c r="H824" s="30">
        <f>RAND()*(1-2E-6)+1E-6</f>
        <v/>
      </c>
      <c r="I824" s="31">
        <f>MIN(IF(Supuestos!$H$5="",1E+99,Supuestos!$H$5),MAX(IF(Supuestos!$G$5="",-1E+99,Supuestos!$G$5),IF(Supuestos!$C$5="Normal",NORMINV(B824,Supuestos!$D$5,Supuestos!$E$5),IF(Supuestos!$C$5="Triangular",IF(B824&lt;(Supuestos!$E$5-Supuestos!$D$5)/(Supuestos!$F$5-Supuestos!$D$5),Supuestos!$D$5+SQRT(B824*(Supuestos!$F$5-Supuestos!$D$5)*(Supuestos!$E$5-Supuestos!$D$5)),Supuestos!$F$5-SQRT((1-B824)*(Supuestos!$F$5-Supuestos!$D$5)*(Supuestos!$F$5-Supuestos!$E$5))),IF(Supuestos!$C$5="Uniforme",Supuestos!$D$5+B824*(Supuestos!$E$5-Supuestos!$D$5),IF(Supuestos!$C$5="Lognormal",LOGINV(B824,LN(Supuestos!$D$5)-LN(1+Supuestos!$E$5^2/Supuestos!$D$5^2)/2,SQRT(LN(1+Supuestos!$E$5^2/Supuestos!$D$5^2))),Supuestos!$D$5))))))</f>
        <v/>
      </c>
      <c r="J824" s="31">
        <f>MIN(IF(Supuestos!$H$6="",1E+99,Supuestos!$H$6),MAX(IF(Supuestos!$G$6="",-1E+99,Supuestos!$G$6),IF(Supuestos!$C$6="Normal",NORMINV(C824,Supuestos!$D$6,Supuestos!$E$6),IF(Supuestos!$C$6="Triangular",IF(C824&lt;(Supuestos!$E$6-Supuestos!$D$6)/(Supuestos!$F$6-Supuestos!$D$6),Supuestos!$D$6+SQRT(C824*(Supuestos!$F$6-Supuestos!$D$6)*(Supuestos!$E$6-Supuestos!$D$6)),Supuestos!$F$6-SQRT((1-C824)*(Supuestos!$F$6-Supuestos!$D$6)*(Supuestos!$F$6-Supuestos!$E$6))),IF(Supuestos!$C$6="Uniforme",Supuestos!$D$6+C824*(Supuestos!$E$6-Supuestos!$D$6),IF(Supuestos!$C$6="Lognormal",LOGINV(C824,LN(Supuestos!$D$6)-LN(1+Supuestos!$E$6^2/Supuestos!$D$6^2)/2,SQRT(LN(1+Supuestos!$E$6^2/Supuestos!$D$6^2))),Supuestos!$D$6))))))</f>
        <v/>
      </c>
      <c r="K824" s="32">
        <f>MIN(IF(Supuestos!$H$7="",1E+99,Supuestos!$H$7),MAX(IF(Supuestos!$G$7="",-1E+99,Supuestos!$G$7),IF(Supuestos!$C$7="Normal",NORMINV(D824,Supuestos!$D$7,Supuestos!$E$7),IF(Supuestos!$C$7="Triangular",IF(D824&lt;(Supuestos!$E$7-Supuestos!$D$7)/(Supuestos!$F$7-Supuestos!$D$7),Supuestos!$D$7+SQRT(D824*(Supuestos!$F$7-Supuestos!$D$7)*(Supuestos!$E$7-Supuestos!$D$7)),Supuestos!$F$7-SQRT((1-D824)*(Supuestos!$F$7-Supuestos!$D$7)*(Supuestos!$F$7-Supuestos!$E$7))),IF(Supuestos!$C$7="Uniforme",Supuestos!$D$7+D824*(Supuestos!$E$7-Supuestos!$D$7),IF(Supuestos!$C$7="Lognormal",LOGINV(D824,LN(Supuestos!$D$7)-LN(1+Supuestos!$E$7^2/Supuestos!$D$7^2)/2,SQRT(LN(1+Supuestos!$E$7^2/Supuestos!$D$7^2))),Supuestos!$D$7))))))</f>
        <v/>
      </c>
      <c r="L824" s="32">
        <f>MIN(IF(Supuestos!$H$8="",1E+99,Supuestos!$H$8),MAX(IF(Supuestos!$G$8="",-1E+99,Supuestos!$G$8),IF(Supuestos!$C$8="Normal",NORMINV(E824,Supuestos!$D$8,Supuestos!$E$8),IF(Supuestos!$C$8="Triangular",IF(E824&lt;(Supuestos!$E$8-Supuestos!$D$8)/(Supuestos!$F$8-Supuestos!$D$8),Supuestos!$D$8+SQRT(E824*(Supuestos!$F$8-Supuestos!$D$8)*(Supuestos!$E$8-Supuestos!$D$8)),Supuestos!$F$8-SQRT((1-E824)*(Supuestos!$F$8-Supuestos!$D$8)*(Supuestos!$F$8-Supuestos!$E$8))),IF(Supuestos!$C$8="Uniforme",Supuestos!$D$8+E824*(Supuestos!$E$8-Supuestos!$D$8),IF(Supuestos!$C$8="Lognormal",LOGINV(E824,LN(Supuestos!$D$8)-LN(1+Supuestos!$E$8^2/Supuestos!$D$8^2)/2,SQRT(LN(1+Supuestos!$E$8^2/Supuestos!$D$8^2))),Supuestos!$D$8))))))</f>
        <v/>
      </c>
      <c r="M824" s="32">
        <f>MIN(IF(Supuestos!$H$9="",1E+99,Supuestos!$H$9),MAX(IF(Supuestos!$G$9="",-1E+99,Supuestos!$G$9),IF(Supuestos!$C$9="Normal",NORMINV(F824,Supuestos!$D$9,Supuestos!$E$9),IF(Supuestos!$C$9="Triangular",IF(F824&lt;(Supuestos!$E$9-Supuestos!$D$9)/(Supuestos!$F$9-Supuestos!$D$9),Supuestos!$D$9+SQRT(F824*(Supuestos!$F$9-Supuestos!$D$9)*(Supuestos!$E$9-Supuestos!$D$9)),Supuestos!$F$9-SQRT((1-F824)*(Supuestos!$F$9-Supuestos!$D$9)*(Supuestos!$F$9-Supuestos!$E$9))),IF(Supuestos!$C$9="Uniforme",Supuestos!$D$9+F824*(Supuestos!$E$9-Supuestos!$D$9),IF(Supuestos!$C$9="Lognormal",LOGINV(F824,LN(Supuestos!$D$9)-LN(1+Supuestos!$E$9^2/Supuestos!$D$9^2)/2,SQRT(LN(1+Supuestos!$E$9^2/Supuestos!$D$9^2))),Supuestos!$D$9))))))</f>
        <v/>
      </c>
      <c r="N824" s="32">
        <f>MIN(IF(Supuestos!$H$10="",1E+99,Supuestos!$H$10),MAX(IF(Supuestos!$G$10="",-1E+99,Supuestos!$G$10),IF(Supuestos!$C$10="Normal",NORMINV(G824,Supuestos!$D$10,Supuestos!$E$10),IF(Supuestos!$C$10="Triangular",IF(G824&lt;(Supuestos!$E$10-Supuestos!$D$10)/(Supuestos!$F$10-Supuestos!$D$10),Supuestos!$D$10+SQRT(G824*(Supuestos!$F$10-Supuestos!$D$10)*(Supuestos!$E$10-Supuestos!$D$10)),Supuestos!$F$10-SQRT((1-G824)*(Supuestos!$F$10-Supuestos!$D$10)*(Supuestos!$F$10-Supuestos!$E$10))),IF(Supuestos!$C$10="Uniforme",Supuestos!$D$10+G824*(Supuestos!$E$10-Supuestos!$D$10),IF(Supuestos!$C$10="Lognormal",LOGINV(G824,LN(Supuestos!$D$10)-LN(1+Supuestos!$E$10^2/Supuestos!$D$10^2)/2,SQRT(LN(1+Supuestos!$E$10^2/Supuestos!$D$10^2))),Supuestos!$D$10))))))</f>
        <v/>
      </c>
      <c r="O824" s="31">
        <f>MIN(IF(Supuestos!$H$11="",1E+99,Supuestos!$H$11),MAX(IF(Supuestos!$G$11="",-1E+99,Supuestos!$G$11),IF(Supuestos!$C$11="Normal",NORMINV(H824,Supuestos!$D$11,Supuestos!$E$11),IF(Supuestos!$C$11="Triangular",IF(H824&lt;(Supuestos!$E$11-Supuestos!$D$11)/(Supuestos!$F$11-Supuestos!$D$11),Supuestos!$D$11+SQRT(H824*(Supuestos!$F$11-Supuestos!$D$11)*(Supuestos!$E$11-Supuestos!$D$11)),Supuestos!$F$11-SQRT((1-H824)*(Supuestos!$F$11-Supuestos!$D$11)*(Supuestos!$F$11-Supuestos!$E$11))),IF(Supuestos!$C$11="Uniforme",Supuestos!$D$11+H824*(Supuestos!$E$11-Supuestos!$D$11),IF(Supuestos!$C$11="Lognormal",LOGINV(H824,LN(Supuestos!$D$11)-LN(1+Supuestos!$E$11^2/Supuestos!$D$11^2)/2,SQRT(LN(1+Supuestos!$E$11^2/Supuestos!$D$11^2))),Supuestos!$D$11))))))</f>
        <v/>
      </c>
      <c r="P824" s="33">
        <f>-I824</f>
        <v/>
      </c>
      <c r="Q824" s="33">
        <f>$J824*(1+$K824)^(1-1)*(1-$L824)*(1-$M824)</f>
        <v/>
      </c>
      <c r="R824" s="33">
        <f>$J824*(1+$K824)^(2-1)*(1-$L824)*(1-$M824)</f>
        <v/>
      </c>
      <c r="S824" s="33">
        <f>$J824*(1+$K824)^(3-1)*(1-$L824)*(1-$M824)</f>
        <v/>
      </c>
      <c r="T824" s="33">
        <f>$J824*(1+$K824)^(4-1)*(1-$L824)*(1-$M824)</f>
        <v/>
      </c>
      <c r="U824" s="33">
        <f>$J824*(1+$K824)^(5-1)*(1-$L824)*(1-$M824)+$O824</f>
        <v/>
      </c>
      <c r="V824" s="33">
        <f>P824+NPV($N824,Q824:U824)</f>
        <v/>
      </c>
      <c r="W824" s="32">
        <f>IFERROR(IRR(P824:U824,0.1),"")</f>
        <v/>
      </c>
    </row>
    <row r="825">
      <c r="A825" s="14" t="n">
        <v>821</v>
      </c>
      <c r="B825" s="30">
        <f>RAND()*(1-2E-6)+1E-6</f>
        <v/>
      </c>
      <c r="C825" s="30">
        <f>RAND()*(1-2E-6)+1E-6</f>
        <v/>
      </c>
      <c r="D825" s="30">
        <f>RAND()*(1-2E-6)+1E-6</f>
        <v/>
      </c>
      <c r="E825" s="30">
        <f>RAND()*(1-2E-6)+1E-6</f>
        <v/>
      </c>
      <c r="F825" s="30">
        <f>RAND()*(1-2E-6)+1E-6</f>
        <v/>
      </c>
      <c r="G825" s="30">
        <f>RAND()*(1-2E-6)+1E-6</f>
        <v/>
      </c>
      <c r="H825" s="30">
        <f>RAND()*(1-2E-6)+1E-6</f>
        <v/>
      </c>
      <c r="I825" s="31">
        <f>MIN(IF(Supuestos!$H$5="",1E+99,Supuestos!$H$5),MAX(IF(Supuestos!$G$5="",-1E+99,Supuestos!$G$5),IF(Supuestos!$C$5="Normal",NORMINV(B825,Supuestos!$D$5,Supuestos!$E$5),IF(Supuestos!$C$5="Triangular",IF(B825&lt;(Supuestos!$E$5-Supuestos!$D$5)/(Supuestos!$F$5-Supuestos!$D$5),Supuestos!$D$5+SQRT(B825*(Supuestos!$F$5-Supuestos!$D$5)*(Supuestos!$E$5-Supuestos!$D$5)),Supuestos!$F$5-SQRT((1-B825)*(Supuestos!$F$5-Supuestos!$D$5)*(Supuestos!$F$5-Supuestos!$E$5))),IF(Supuestos!$C$5="Uniforme",Supuestos!$D$5+B825*(Supuestos!$E$5-Supuestos!$D$5),IF(Supuestos!$C$5="Lognormal",LOGINV(B825,LN(Supuestos!$D$5)-LN(1+Supuestos!$E$5^2/Supuestos!$D$5^2)/2,SQRT(LN(1+Supuestos!$E$5^2/Supuestos!$D$5^2))),Supuestos!$D$5))))))</f>
        <v/>
      </c>
      <c r="J825" s="31">
        <f>MIN(IF(Supuestos!$H$6="",1E+99,Supuestos!$H$6),MAX(IF(Supuestos!$G$6="",-1E+99,Supuestos!$G$6),IF(Supuestos!$C$6="Normal",NORMINV(C825,Supuestos!$D$6,Supuestos!$E$6),IF(Supuestos!$C$6="Triangular",IF(C825&lt;(Supuestos!$E$6-Supuestos!$D$6)/(Supuestos!$F$6-Supuestos!$D$6),Supuestos!$D$6+SQRT(C825*(Supuestos!$F$6-Supuestos!$D$6)*(Supuestos!$E$6-Supuestos!$D$6)),Supuestos!$F$6-SQRT((1-C825)*(Supuestos!$F$6-Supuestos!$D$6)*(Supuestos!$F$6-Supuestos!$E$6))),IF(Supuestos!$C$6="Uniforme",Supuestos!$D$6+C825*(Supuestos!$E$6-Supuestos!$D$6),IF(Supuestos!$C$6="Lognormal",LOGINV(C825,LN(Supuestos!$D$6)-LN(1+Supuestos!$E$6^2/Supuestos!$D$6^2)/2,SQRT(LN(1+Supuestos!$E$6^2/Supuestos!$D$6^2))),Supuestos!$D$6))))))</f>
        <v/>
      </c>
      <c r="K825" s="32">
        <f>MIN(IF(Supuestos!$H$7="",1E+99,Supuestos!$H$7),MAX(IF(Supuestos!$G$7="",-1E+99,Supuestos!$G$7),IF(Supuestos!$C$7="Normal",NORMINV(D825,Supuestos!$D$7,Supuestos!$E$7),IF(Supuestos!$C$7="Triangular",IF(D825&lt;(Supuestos!$E$7-Supuestos!$D$7)/(Supuestos!$F$7-Supuestos!$D$7),Supuestos!$D$7+SQRT(D825*(Supuestos!$F$7-Supuestos!$D$7)*(Supuestos!$E$7-Supuestos!$D$7)),Supuestos!$F$7-SQRT((1-D825)*(Supuestos!$F$7-Supuestos!$D$7)*(Supuestos!$F$7-Supuestos!$E$7))),IF(Supuestos!$C$7="Uniforme",Supuestos!$D$7+D825*(Supuestos!$E$7-Supuestos!$D$7),IF(Supuestos!$C$7="Lognormal",LOGINV(D825,LN(Supuestos!$D$7)-LN(1+Supuestos!$E$7^2/Supuestos!$D$7^2)/2,SQRT(LN(1+Supuestos!$E$7^2/Supuestos!$D$7^2))),Supuestos!$D$7))))))</f>
        <v/>
      </c>
      <c r="L825" s="32">
        <f>MIN(IF(Supuestos!$H$8="",1E+99,Supuestos!$H$8),MAX(IF(Supuestos!$G$8="",-1E+99,Supuestos!$G$8),IF(Supuestos!$C$8="Normal",NORMINV(E825,Supuestos!$D$8,Supuestos!$E$8),IF(Supuestos!$C$8="Triangular",IF(E825&lt;(Supuestos!$E$8-Supuestos!$D$8)/(Supuestos!$F$8-Supuestos!$D$8),Supuestos!$D$8+SQRT(E825*(Supuestos!$F$8-Supuestos!$D$8)*(Supuestos!$E$8-Supuestos!$D$8)),Supuestos!$F$8-SQRT((1-E825)*(Supuestos!$F$8-Supuestos!$D$8)*(Supuestos!$F$8-Supuestos!$E$8))),IF(Supuestos!$C$8="Uniforme",Supuestos!$D$8+E825*(Supuestos!$E$8-Supuestos!$D$8),IF(Supuestos!$C$8="Lognormal",LOGINV(E825,LN(Supuestos!$D$8)-LN(1+Supuestos!$E$8^2/Supuestos!$D$8^2)/2,SQRT(LN(1+Supuestos!$E$8^2/Supuestos!$D$8^2))),Supuestos!$D$8))))))</f>
        <v/>
      </c>
      <c r="M825" s="32">
        <f>MIN(IF(Supuestos!$H$9="",1E+99,Supuestos!$H$9),MAX(IF(Supuestos!$G$9="",-1E+99,Supuestos!$G$9),IF(Supuestos!$C$9="Normal",NORMINV(F825,Supuestos!$D$9,Supuestos!$E$9),IF(Supuestos!$C$9="Triangular",IF(F825&lt;(Supuestos!$E$9-Supuestos!$D$9)/(Supuestos!$F$9-Supuestos!$D$9),Supuestos!$D$9+SQRT(F825*(Supuestos!$F$9-Supuestos!$D$9)*(Supuestos!$E$9-Supuestos!$D$9)),Supuestos!$F$9-SQRT((1-F825)*(Supuestos!$F$9-Supuestos!$D$9)*(Supuestos!$F$9-Supuestos!$E$9))),IF(Supuestos!$C$9="Uniforme",Supuestos!$D$9+F825*(Supuestos!$E$9-Supuestos!$D$9),IF(Supuestos!$C$9="Lognormal",LOGINV(F825,LN(Supuestos!$D$9)-LN(1+Supuestos!$E$9^2/Supuestos!$D$9^2)/2,SQRT(LN(1+Supuestos!$E$9^2/Supuestos!$D$9^2))),Supuestos!$D$9))))))</f>
        <v/>
      </c>
      <c r="N825" s="32">
        <f>MIN(IF(Supuestos!$H$10="",1E+99,Supuestos!$H$10),MAX(IF(Supuestos!$G$10="",-1E+99,Supuestos!$G$10),IF(Supuestos!$C$10="Normal",NORMINV(G825,Supuestos!$D$10,Supuestos!$E$10),IF(Supuestos!$C$10="Triangular",IF(G825&lt;(Supuestos!$E$10-Supuestos!$D$10)/(Supuestos!$F$10-Supuestos!$D$10),Supuestos!$D$10+SQRT(G825*(Supuestos!$F$10-Supuestos!$D$10)*(Supuestos!$E$10-Supuestos!$D$10)),Supuestos!$F$10-SQRT((1-G825)*(Supuestos!$F$10-Supuestos!$D$10)*(Supuestos!$F$10-Supuestos!$E$10))),IF(Supuestos!$C$10="Uniforme",Supuestos!$D$10+G825*(Supuestos!$E$10-Supuestos!$D$10),IF(Supuestos!$C$10="Lognormal",LOGINV(G825,LN(Supuestos!$D$10)-LN(1+Supuestos!$E$10^2/Supuestos!$D$10^2)/2,SQRT(LN(1+Supuestos!$E$10^2/Supuestos!$D$10^2))),Supuestos!$D$10))))))</f>
        <v/>
      </c>
      <c r="O825" s="31">
        <f>MIN(IF(Supuestos!$H$11="",1E+99,Supuestos!$H$11),MAX(IF(Supuestos!$G$11="",-1E+99,Supuestos!$G$11),IF(Supuestos!$C$11="Normal",NORMINV(H825,Supuestos!$D$11,Supuestos!$E$11),IF(Supuestos!$C$11="Triangular",IF(H825&lt;(Supuestos!$E$11-Supuestos!$D$11)/(Supuestos!$F$11-Supuestos!$D$11),Supuestos!$D$11+SQRT(H825*(Supuestos!$F$11-Supuestos!$D$11)*(Supuestos!$E$11-Supuestos!$D$11)),Supuestos!$F$11-SQRT((1-H825)*(Supuestos!$F$11-Supuestos!$D$11)*(Supuestos!$F$11-Supuestos!$E$11))),IF(Supuestos!$C$11="Uniforme",Supuestos!$D$11+H825*(Supuestos!$E$11-Supuestos!$D$11),IF(Supuestos!$C$11="Lognormal",LOGINV(H825,LN(Supuestos!$D$11)-LN(1+Supuestos!$E$11^2/Supuestos!$D$11^2)/2,SQRT(LN(1+Supuestos!$E$11^2/Supuestos!$D$11^2))),Supuestos!$D$11))))))</f>
        <v/>
      </c>
      <c r="P825" s="33">
        <f>-I825</f>
        <v/>
      </c>
      <c r="Q825" s="33">
        <f>$J825*(1+$K825)^(1-1)*(1-$L825)*(1-$M825)</f>
        <v/>
      </c>
      <c r="R825" s="33">
        <f>$J825*(1+$K825)^(2-1)*(1-$L825)*(1-$M825)</f>
        <v/>
      </c>
      <c r="S825" s="33">
        <f>$J825*(1+$K825)^(3-1)*(1-$L825)*(1-$M825)</f>
        <v/>
      </c>
      <c r="T825" s="33">
        <f>$J825*(1+$K825)^(4-1)*(1-$L825)*(1-$M825)</f>
        <v/>
      </c>
      <c r="U825" s="33">
        <f>$J825*(1+$K825)^(5-1)*(1-$L825)*(1-$M825)+$O825</f>
        <v/>
      </c>
      <c r="V825" s="33">
        <f>P825+NPV($N825,Q825:U825)</f>
        <v/>
      </c>
      <c r="W825" s="32">
        <f>IFERROR(IRR(P825:U825,0.1),"")</f>
        <v/>
      </c>
    </row>
    <row r="826">
      <c r="A826" s="14" t="n">
        <v>822</v>
      </c>
      <c r="B826" s="30">
        <f>RAND()*(1-2E-6)+1E-6</f>
        <v/>
      </c>
      <c r="C826" s="30">
        <f>RAND()*(1-2E-6)+1E-6</f>
        <v/>
      </c>
      <c r="D826" s="30">
        <f>RAND()*(1-2E-6)+1E-6</f>
        <v/>
      </c>
      <c r="E826" s="30">
        <f>RAND()*(1-2E-6)+1E-6</f>
        <v/>
      </c>
      <c r="F826" s="30">
        <f>RAND()*(1-2E-6)+1E-6</f>
        <v/>
      </c>
      <c r="G826" s="30">
        <f>RAND()*(1-2E-6)+1E-6</f>
        <v/>
      </c>
      <c r="H826" s="30">
        <f>RAND()*(1-2E-6)+1E-6</f>
        <v/>
      </c>
      <c r="I826" s="31">
        <f>MIN(IF(Supuestos!$H$5="",1E+99,Supuestos!$H$5),MAX(IF(Supuestos!$G$5="",-1E+99,Supuestos!$G$5),IF(Supuestos!$C$5="Normal",NORMINV(B826,Supuestos!$D$5,Supuestos!$E$5),IF(Supuestos!$C$5="Triangular",IF(B826&lt;(Supuestos!$E$5-Supuestos!$D$5)/(Supuestos!$F$5-Supuestos!$D$5),Supuestos!$D$5+SQRT(B826*(Supuestos!$F$5-Supuestos!$D$5)*(Supuestos!$E$5-Supuestos!$D$5)),Supuestos!$F$5-SQRT((1-B826)*(Supuestos!$F$5-Supuestos!$D$5)*(Supuestos!$F$5-Supuestos!$E$5))),IF(Supuestos!$C$5="Uniforme",Supuestos!$D$5+B826*(Supuestos!$E$5-Supuestos!$D$5),IF(Supuestos!$C$5="Lognormal",LOGINV(B826,LN(Supuestos!$D$5)-LN(1+Supuestos!$E$5^2/Supuestos!$D$5^2)/2,SQRT(LN(1+Supuestos!$E$5^2/Supuestos!$D$5^2))),Supuestos!$D$5))))))</f>
        <v/>
      </c>
      <c r="J826" s="31">
        <f>MIN(IF(Supuestos!$H$6="",1E+99,Supuestos!$H$6),MAX(IF(Supuestos!$G$6="",-1E+99,Supuestos!$G$6),IF(Supuestos!$C$6="Normal",NORMINV(C826,Supuestos!$D$6,Supuestos!$E$6),IF(Supuestos!$C$6="Triangular",IF(C826&lt;(Supuestos!$E$6-Supuestos!$D$6)/(Supuestos!$F$6-Supuestos!$D$6),Supuestos!$D$6+SQRT(C826*(Supuestos!$F$6-Supuestos!$D$6)*(Supuestos!$E$6-Supuestos!$D$6)),Supuestos!$F$6-SQRT((1-C826)*(Supuestos!$F$6-Supuestos!$D$6)*(Supuestos!$F$6-Supuestos!$E$6))),IF(Supuestos!$C$6="Uniforme",Supuestos!$D$6+C826*(Supuestos!$E$6-Supuestos!$D$6),IF(Supuestos!$C$6="Lognormal",LOGINV(C826,LN(Supuestos!$D$6)-LN(1+Supuestos!$E$6^2/Supuestos!$D$6^2)/2,SQRT(LN(1+Supuestos!$E$6^2/Supuestos!$D$6^2))),Supuestos!$D$6))))))</f>
        <v/>
      </c>
      <c r="K826" s="32">
        <f>MIN(IF(Supuestos!$H$7="",1E+99,Supuestos!$H$7),MAX(IF(Supuestos!$G$7="",-1E+99,Supuestos!$G$7),IF(Supuestos!$C$7="Normal",NORMINV(D826,Supuestos!$D$7,Supuestos!$E$7),IF(Supuestos!$C$7="Triangular",IF(D826&lt;(Supuestos!$E$7-Supuestos!$D$7)/(Supuestos!$F$7-Supuestos!$D$7),Supuestos!$D$7+SQRT(D826*(Supuestos!$F$7-Supuestos!$D$7)*(Supuestos!$E$7-Supuestos!$D$7)),Supuestos!$F$7-SQRT((1-D826)*(Supuestos!$F$7-Supuestos!$D$7)*(Supuestos!$F$7-Supuestos!$E$7))),IF(Supuestos!$C$7="Uniforme",Supuestos!$D$7+D826*(Supuestos!$E$7-Supuestos!$D$7),IF(Supuestos!$C$7="Lognormal",LOGINV(D826,LN(Supuestos!$D$7)-LN(1+Supuestos!$E$7^2/Supuestos!$D$7^2)/2,SQRT(LN(1+Supuestos!$E$7^2/Supuestos!$D$7^2))),Supuestos!$D$7))))))</f>
        <v/>
      </c>
      <c r="L826" s="32">
        <f>MIN(IF(Supuestos!$H$8="",1E+99,Supuestos!$H$8),MAX(IF(Supuestos!$G$8="",-1E+99,Supuestos!$G$8),IF(Supuestos!$C$8="Normal",NORMINV(E826,Supuestos!$D$8,Supuestos!$E$8),IF(Supuestos!$C$8="Triangular",IF(E826&lt;(Supuestos!$E$8-Supuestos!$D$8)/(Supuestos!$F$8-Supuestos!$D$8),Supuestos!$D$8+SQRT(E826*(Supuestos!$F$8-Supuestos!$D$8)*(Supuestos!$E$8-Supuestos!$D$8)),Supuestos!$F$8-SQRT((1-E826)*(Supuestos!$F$8-Supuestos!$D$8)*(Supuestos!$F$8-Supuestos!$E$8))),IF(Supuestos!$C$8="Uniforme",Supuestos!$D$8+E826*(Supuestos!$E$8-Supuestos!$D$8),IF(Supuestos!$C$8="Lognormal",LOGINV(E826,LN(Supuestos!$D$8)-LN(1+Supuestos!$E$8^2/Supuestos!$D$8^2)/2,SQRT(LN(1+Supuestos!$E$8^2/Supuestos!$D$8^2))),Supuestos!$D$8))))))</f>
        <v/>
      </c>
      <c r="M826" s="32">
        <f>MIN(IF(Supuestos!$H$9="",1E+99,Supuestos!$H$9),MAX(IF(Supuestos!$G$9="",-1E+99,Supuestos!$G$9),IF(Supuestos!$C$9="Normal",NORMINV(F826,Supuestos!$D$9,Supuestos!$E$9),IF(Supuestos!$C$9="Triangular",IF(F826&lt;(Supuestos!$E$9-Supuestos!$D$9)/(Supuestos!$F$9-Supuestos!$D$9),Supuestos!$D$9+SQRT(F826*(Supuestos!$F$9-Supuestos!$D$9)*(Supuestos!$E$9-Supuestos!$D$9)),Supuestos!$F$9-SQRT((1-F826)*(Supuestos!$F$9-Supuestos!$D$9)*(Supuestos!$F$9-Supuestos!$E$9))),IF(Supuestos!$C$9="Uniforme",Supuestos!$D$9+F826*(Supuestos!$E$9-Supuestos!$D$9),IF(Supuestos!$C$9="Lognormal",LOGINV(F826,LN(Supuestos!$D$9)-LN(1+Supuestos!$E$9^2/Supuestos!$D$9^2)/2,SQRT(LN(1+Supuestos!$E$9^2/Supuestos!$D$9^2))),Supuestos!$D$9))))))</f>
        <v/>
      </c>
      <c r="N826" s="32">
        <f>MIN(IF(Supuestos!$H$10="",1E+99,Supuestos!$H$10),MAX(IF(Supuestos!$G$10="",-1E+99,Supuestos!$G$10),IF(Supuestos!$C$10="Normal",NORMINV(G826,Supuestos!$D$10,Supuestos!$E$10),IF(Supuestos!$C$10="Triangular",IF(G826&lt;(Supuestos!$E$10-Supuestos!$D$10)/(Supuestos!$F$10-Supuestos!$D$10),Supuestos!$D$10+SQRT(G826*(Supuestos!$F$10-Supuestos!$D$10)*(Supuestos!$E$10-Supuestos!$D$10)),Supuestos!$F$10-SQRT((1-G826)*(Supuestos!$F$10-Supuestos!$D$10)*(Supuestos!$F$10-Supuestos!$E$10))),IF(Supuestos!$C$10="Uniforme",Supuestos!$D$10+G826*(Supuestos!$E$10-Supuestos!$D$10),IF(Supuestos!$C$10="Lognormal",LOGINV(G826,LN(Supuestos!$D$10)-LN(1+Supuestos!$E$10^2/Supuestos!$D$10^2)/2,SQRT(LN(1+Supuestos!$E$10^2/Supuestos!$D$10^2))),Supuestos!$D$10))))))</f>
        <v/>
      </c>
      <c r="O826" s="31">
        <f>MIN(IF(Supuestos!$H$11="",1E+99,Supuestos!$H$11),MAX(IF(Supuestos!$G$11="",-1E+99,Supuestos!$G$11),IF(Supuestos!$C$11="Normal",NORMINV(H826,Supuestos!$D$11,Supuestos!$E$11),IF(Supuestos!$C$11="Triangular",IF(H826&lt;(Supuestos!$E$11-Supuestos!$D$11)/(Supuestos!$F$11-Supuestos!$D$11),Supuestos!$D$11+SQRT(H826*(Supuestos!$F$11-Supuestos!$D$11)*(Supuestos!$E$11-Supuestos!$D$11)),Supuestos!$F$11-SQRT((1-H826)*(Supuestos!$F$11-Supuestos!$D$11)*(Supuestos!$F$11-Supuestos!$E$11))),IF(Supuestos!$C$11="Uniforme",Supuestos!$D$11+H826*(Supuestos!$E$11-Supuestos!$D$11),IF(Supuestos!$C$11="Lognormal",LOGINV(H826,LN(Supuestos!$D$11)-LN(1+Supuestos!$E$11^2/Supuestos!$D$11^2)/2,SQRT(LN(1+Supuestos!$E$11^2/Supuestos!$D$11^2))),Supuestos!$D$11))))))</f>
        <v/>
      </c>
      <c r="P826" s="33">
        <f>-I826</f>
        <v/>
      </c>
      <c r="Q826" s="33">
        <f>$J826*(1+$K826)^(1-1)*(1-$L826)*(1-$M826)</f>
        <v/>
      </c>
      <c r="R826" s="33">
        <f>$J826*(1+$K826)^(2-1)*(1-$L826)*(1-$M826)</f>
        <v/>
      </c>
      <c r="S826" s="33">
        <f>$J826*(1+$K826)^(3-1)*(1-$L826)*(1-$M826)</f>
        <v/>
      </c>
      <c r="T826" s="33">
        <f>$J826*(1+$K826)^(4-1)*(1-$L826)*(1-$M826)</f>
        <v/>
      </c>
      <c r="U826" s="33">
        <f>$J826*(1+$K826)^(5-1)*(1-$L826)*(1-$M826)+$O826</f>
        <v/>
      </c>
      <c r="V826" s="33">
        <f>P826+NPV($N826,Q826:U826)</f>
        <v/>
      </c>
      <c r="W826" s="32">
        <f>IFERROR(IRR(P826:U826,0.1),"")</f>
        <v/>
      </c>
    </row>
    <row r="827">
      <c r="A827" s="14" t="n">
        <v>823</v>
      </c>
      <c r="B827" s="30">
        <f>RAND()*(1-2E-6)+1E-6</f>
        <v/>
      </c>
      <c r="C827" s="30">
        <f>RAND()*(1-2E-6)+1E-6</f>
        <v/>
      </c>
      <c r="D827" s="30">
        <f>RAND()*(1-2E-6)+1E-6</f>
        <v/>
      </c>
      <c r="E827" s="30">
        <f>RAND()*(1-2E-6)+1E-6</f>
        <v/>
      </c>
      <c r="F827" s="30">
        <f>RAND()*(1-2E-6)+1E-6</f>
        <v/>
      </c>
      <c r="G827" s="30">
        <f>RAND()*(1-2E-6)+1E-6</f>
        <v/>
      </c>
      <c r="H827" s="30">
        <f>RAND()*(1-2E-6)+1E-6</f>
        <v/>
      </c>
      <c r="I827" s="31">
        <f>MIN(IF(Supuestos!$H$5="",1E+99,Supuestos!$H$5),MAX(IF(Supuestos!$G$5="",-1E+99,Supuestos!$G$5),IF(Supuestos!$C$5="Normal",NORMINV(B827,Supuestos!$D$5,Supuestos!$E$5),IF(Supuestos!$C$5="Triangular",IF(B827&lt;(Supuestos!$E$5-Supuestos!$D$5)/(Supuestos!$F$5-Supuestos!$D$5),Supuestos!$D$5+SQRT(B827*(Supuestos!$F$5-Supuestos!$D$5)*(Supuestos!$E$5-Supuestos!$D$5)),Supuestos!$F$5-SQRT((1-B827)*(Supuestos!$F$5-Supuestos!$D$5)*(Supuestos!$F$5-Supuestos!$E$5))),IF(Supuestos!$C$5="Uniforme",Supuestos!$D$5+B827*(Supuestos!$E$5-Supuestos!$D$5),IF(Supuestos!$C$5="Lognormal",LOGINV(B827,LN(Supuestos!$D$5)-LN(1+Supuestos!$E$5^2/Supuestos!$D$5^2)/2,SQRT(LN(1+Supuestos!$E$5^2/Supuestos!$D$5^2))),Supuestos!$D$5))))))</f>
        <v/>
      </c>
      <c r="J827" s="31">
        <f>MIN(IF(Supuestos!$H$6="",1E+99,Supuestos!$H$6),MAX(IF(Supuestos!$G$6="",-1E+99,Supuestos!$G$6),IF(Supuestos!$C$6="Normal",NORMINV(C827,Supuestos!$D$6,Supuestos!$E$6),IF(Supuestos!$C$6="Triangular",IF(C827&lt;(Supuestos!$E$6-Supuestos!$D$6)/(Supuestos!$F$6-Supuestos!$D$6),Supuestos!$D$6+SQRT(C827*(Supuestos!$F$6-Supuestos!$D$6)*(Supuestos!$E$6-Supuestos!$D$6)),Supuestos!$F$6-SQRT((1-C827)*(Supuestos!$F$6-Supuestos!$D$6)*(Supuestos!$F$6-Supuestos!$E$6))),IF(Supuestos!$C$6="Uniforme",Supuestos!$D$6+C827*(Supuestos!$E$6-Supuestos!$D$6),IF(Supuestos!$C$6="Lognormal",LOGINV(C827,LN(Supuestos!$D$6)-LN(1+Supuestos!$E$6^2/Supuestos!$D$6^2)/2,SQRT(LN(1+Supuestos!$E$6^2/Supuestos!$D$6^2))),Supuestos!$D$6))))))</f>
        <v/>
      </c>
      <c r="K827" s="32">
        <f>MIN(IF(Supuestos!$H$7="",1E+99,Supuestos!$H$7),MAX(IF(Supuestos!$G$7="",-1E+99,Supuestos!$G$7),IF(Supuestos!$C$7="Normal",NORMINV(D827,Supuestos!$D$7,Supuestos!$E$7),IF(Supuestos!$C$7="Triangular",IF(D827&lt;(Supuestos!$E$7-Supuestos!$D$7)/(Supuestos!$F$7-Supuestos!$D$7),Supuestos!$D$7+SQRT(D827*(Supuestos!$F$7-Supuestos!$D$7)*(Supuestos!$E$7-Supuestos!$D$7)),Supuestos!$F$7-SQRT((1-D827)*(Supuestos!$F$7-Supuestos!$D$7)*(Supuestos!$F$7-Supuestos!$E$7))),IF(Supuestos!$C$7="Uniforme",Supuestos!$D$7+D827*(Supuestos!$E$7-Supuestos!$D$7),IF(Supuestos!$C$7="Lognormal",LOGINV(D827,LN(Supuestos!$D$7)-LN(1+Supuestos!$E$7^2/Supuestos!$D$7^2)/2,SQRT(LN(1+Supuestos!$E$7^2/Supuestos!$D$7^2))),Supuestos!$D$7))))))</f>
        <v/>
      </c>
      <c r="L827" s="32">
        <f>MIN(IF(Supuestos!$H$8="",1E+99,Supuestos!$H$8),MAX(IF(Supuestos!$G$8="",-1E+99,Supuestos!$G$8),IF(Supuestos!$C$8="Normal",NORMINV(E827,Supuestos!$D$8,Supuestos!$E$8),IF(Supuestos!$C$8="Triangular",IF(E827&lt;(Supuestos!$E$8-Supuestos!$D$8)/(Supuestos!$F$8-Supuestos!$D$8),Supuestos!$D$8+SQRT(E827*(Supuestos!$F$8-Supuestos!$D$8)*(Supuestos!$E$8-Supuestos!$D$8)),Supuestos!$F$8-SQRT((1-E827)*(Supuestos!$F$8-Supuestos!$D$8)*(Supuestos!$F$8-Supuestos!$E$8))),IF(Supuestos!$C$8="Uniforme",Supuestos!$D$8+E827*(Supuestos!$E$8-Supuestos!$D$8),IF(Supuestos!$C$8="Lognormal",LOGINV(E827,LN(Supuestos!$D$8)-LN(1+Supuestos!$E$8^2/Supuestos!$D$8^2)/2,SQRT(LN(1+Supuestos!$E$8^2/Supuestos!$D$8^2))),Supuestos!$D$8))))))</f>
        <v/>
      </c>
      <c r="M827" s="32">
        <f>MIN(IF(Supuestos!$H$9="",1E+99,Supuestos!$H$9),MAX(IF(Supuestos!$G$9="",-1E+99,Supuestos!$G$9),IF(Supuestos!$C$9="Normal",NORMINV(F827,Supuestos!$D$9,Supuestos!$E$9),IF(Supuestos!$C$9="Triangular",IF(F827&lt;(Supuestos!$E$9-Supuestos!$D$9)/(Supuestos!$F$9-Supuestos!$D$9),Supuestos!$D$9+SQRT(F827*(Supuestos!$F$9-Supuestos!$D$9)*(Supuestos!$E$9-Supuestos!$D$9)),Supuestos!$F$9-SQRT((1-F827)*(Supuestos!$F$9-Supuestos!$D$9)*(Supuestos!$F$9-Supuestos!$E$9))),IF(Supuestos!$C$9="Uniforme",Supuestos!$D$9+F827*(Supuestos!$E$9-Supuestos!$D$9),IF(Supuestos!$C$9="Lognormal",LOGINV(F827,LN(Supuestos!$D$9)-LN(1+Supuestos!$E$9^2/Supuestos!$D$9^2)/2,SQRT(LN(1+Supuestos!$E$9^2/Supuestos!$D$9^2))),Supuestos!$D$9))))))</f>
        <v/>
      </c>
      <c r="N827" s="32">
        <f>MIN(IF(Supuestos!$H$10="",1E+99,Supuestos!$H$10),MAX(IF(Supuestos!$G$10="",-1E+99,Supuestos!$G$10),IF(Supuestos!$C$10="Normal",NORMINV(G827,Supuestos!$D$10,Supuestos!$E$10),IF(Supuestos!$C$10="Triangular",IF(G827&lt;(Supuestos!$E$10-Supuestos!$D$10)/(Supuestos!$F$10-Supuestos!$D$10),Supuestos!$D$10+SQRT(G827*(Supuestos!$F$10-Supuestos!$D$10)*(Supuestos!$E$10-Supuestos!$D$10)),Supuestos!$F$10-SQRT((1-G827)*(Supuestos!$F$10-Supuestos!$D$10)*(Supuestos!$F$10-Supuestos!$E$10))),IF(Supuestos!$C$10="Uniforme",Supuestos!$D$10+G827*(Supuestos!$E$10-Supuestos!$D$10),IF(Supuestos!$C$10="Lognormal",LOGINV(G827,LN(Supuestos!$D$10)-LN(1+Supuestos!$E$10^2/Supuestos!$D$10^2)/2,SQRT(LN(1+Supuestos!$E$10^2/Supuestos!$D$10^2))),Supuestos!$D$10))))))</f>
        <v/>
      </c>
      <c r="O827" s="31">
        <f>MIN(IF(Supuestos!$H$11="",1E+99,Supuestos!$H$11),MAX(IF(Supuestos!$G$11="",-1E+99,Supuestos!$G$11),IF(Supuestos!$C$11="Normal",NORMINV(H827,Supuestos!$D$11,Supuestos!$E$11),IF(Supuestos!$C$11="Triangular",IF(H827&lt;(Supuestos!$E$11-Supuestos!$D$11)/(Supuestos!$F$11-Supuestos!$D$11),Supuestos!$D$11+SQRT(H827*(Supuestos!$F$11-Supuestos!$D$11)*(Supuestos!$E$11-Supuestos!$D$11)),Supuestos!$F$11-SQRT((1-H827)*(Supuestos!$F$11-Supuestos!$D$11)*(Supuestos!$F$11-Supuestos!$E$11))),IF(Supuestos!$C$11="Uniforme",Supuestos!$D$11+H827*(Supuestos!$E$11-Supuestos!$D$11),IF(Supuestos!$C$11="Lognormal",LOGINV(H827,LN(Supuestos!$D$11)-LN(1+Supuestos!$E$11^2/Supuestos!$D$11^2)/2,SQRT(LN(1+Supuestos!$E$11^2/Supuestos!$D$11^2))),Supuestos!$D$11))))))</f>
        <v/>
      </c>
      <c r="P827" s="33">
        <f>-I827</f>
        <v/>
      </c>
      <c r="Q827" s="33">
        <f>$J827*(1+$K827)^(1-1)*(1-$L827)*(1-$M827)</f>
        <v/>
      </c>
      <c r="R827" s="33">
        <f>$J827*(1+$K827)^(2-1)*(1-$L827)*(1-$M827)</f>
        <v/>
      </c>
      <c r="S827" s="33">
        <f>$J827*(1+$K827)^(3-1)*(1-$L827)*(1-$M827)</f>
        <v/>
      </c>
      <c r="T827" s="33">
        <f>$J827*(1+$K827)^(4-1)*(1-$L827)*(1-$M827)</f>
        <v/>
      </c>
      <c r="U827" s="33">
        <f>$J827*(1+$K827)^(5-1)*(1-$L827)*(1-$M827)+$O827</f>
        <v/>
      </c>
      <c r="V827" s="33">
        <f>P827+NPV($N827,Q827:U827)</f>
        <v/>
      </c>
      <c r="W827" s="32">
        <f>IFERROR(IRR(P827:U827,0.1),"")</f>
        <v/>
      </c>
    </row>
    <row r="828">
      <c r="A828" s="14" t="n">
        <v>824</v>
      </c>
      <c r="B828" s="30">
        <f>RAND()*(1-2E-6)+1E-6</f>
        <v/>
      </c>
      <c r="C828" s="30">
        <f>RAND()*(1-2E-6)+1E-6</f>
        <v/>
      </c>
      <c r="D828" s="30">
        <f>RAND()*(1-2E-6)+1E-6</f>
        <v/>
      </c>
      <c r="E828" s="30">
        <f>RAND()*(1-2E-6)+1E-6</f>
        <v/>
      </c>
      <c r="F828" s="30">
        <f>RAND()*(1-2E-6)+1E-6</f>
        <v/>
      </c>
      <c r="G828" s="30">
        <f>RAND()*(1-2E-6)+1E-6</f>
        <v/>
      </c>
      <c r="H828" s="30">
        <f>RAND()*(1-2E-6)+1E-6</f>
        <v/>
      </c>
      <c r="I828" s="31">
        <f>MIN(IF(Supuestos!$H$5="",1E+99,Supuestos!$H$5),MAX(IF(Supuestos!$G$5="",-1E+99,Supuestos!$G$5),IF(Supuestos!$C$5="Normal",NORMINV(B828,Supuestos!$D$5,Supuestos!$E$5),IF(Supuestos!$C$5="Triangular",IF(B828&lt;(Supuestos!$E$5-Supuestos!$D$5)/(Supuestos!$F$5-Supuestos!$D$5),Supuestos!$D$5+SQRT(B828*(Supuestos!$F$5-Supuestos!$D$5)*(Supuestos!$E$5-Supuestos!$D$5)),Supuestos!$F$5-SQRT((1-B828)*(Supuestos!$F$5-Supuestos!$D$5)*(Supuestos!$F$5-Supuestos!$E$5))),IF(Supuestos!$C$5="Uniforme",Supuestos!$D$5+B828*(Supuestos!$E$5-Supuestos!$D$5),IF(Supuestos!$C$5="Lognormal",LOGINV(B828,LN(Supuestos!$D$5)-LN(1+Supuestos!$E$5^2/Supuestos!$D$5^2)/2,SQRT(LN(1+Supuestos!$E$5^2/Supuestos!$D$5^2))),Supuestos!$D$5))))))</f>
        <v/>
      </c>
      <c r="J828" s="31">
        <f>MIN(IF(Supuestos!$H$6="",1E+99,Supuestos!$H$6),MAX(IF(Supuestos!$G$6="",-1E+99,Supuestos!$G$6),IF(Supuestos!$C$6="Normal",NORMINV(C828,Supuestos!$D$6,Supuestos!$E$6),IF(Supuestos!$C$6="Triangular",IF(C828&lt;(Supuestos!$E$6-Supuestos!$D$6)/(Supuestos!$F$6-Supuestos!$D$6),Supuestos!$D$6+SQRT(C828*(Supuestos!$F$6-Supuestos!$D$6)*(Supuestos!$E$6-Supuestos!$D$6)),Supuestos!$F$6-SQRT((1-C828)*(Supuestos!$F$6-Supuestos!$D$6)*(Supuestos!$F$6-Supuestos!$E$6))),IF(Supuestos!$C$6="Uniforme",Supuestos!$D$6+C828*(Supuestos!$E$6-Supuestos!$D$6),IF(Supuestos!$C$6="Lognormal",LOGINV(C828,LN(Supuestos!$D$6)-LN(1+Supuestos!$E$6^2/Supuestos!$D$6^2)/2,SQRT(LN(1+Supuestos!$E$6^2/Supuestos!$D$6^2))),Supuestos!$D$6))))))</f>
        <v/>
      </c>
      <c r="K828" s="32">
        <f>MIN(IF(Supuestos!$H$7="",1E+99,Supuestos!$H$7),MAX(IF(Supuestos!$G$7="",-1E+99,Supuestos!$G$7),IF(Supuestos!$C$7="Normal",NORMINV(D828,Supuestos!$D$7,Supuestos!$E$7),IF(Supuestos!$C$7="Triangular",IF(D828&lt;(Supuestos!$E$7-Supuestos!$D$7)/(Supuestos!$F$7-Supuestos!$D$7),Supuestos!$D$7+SQRT(D828*(Supuestos!$F$7-Supuestos!$D$7)*(Supuestos!$E$7-Supuestos!$D$7)),Supuestos!$F$7-SQRT((1-D828)*(Supuestos!$F$7-Supuestos!$D$7)*(Supuestos!$F$7-Supuestos!$E$7))),IF(Supuestos!$C$7="Uniforme",Supuestos!$D$7+D828*(Supuestos!$E$7-Supuestos!$D$7),IF(Supuestos!$C$7="Lognormal",LOGINV(D828,LN(Supuestos!$D$7)-LN(1+Supuestos!$E$7^2/Supuestos!$D$7^2)/2,SQRT(LN(1+Supuestos!$E$7^2/Supuestos!$D$7^2))),Supuestos!$D$7))))))</f>
        <v/>
      </c>
      <c r="L828" s="32">
        <f>MIN(IF(Supuestos!$H$8="",1E+99,Supuestos!$H$8),MAX(IF(Supuestos!$G$8="",-1E+99,Supuestos!$G$8),IF(Supuestos!$C$8="Normal",NORMINV(E828,Supuestos!$D$8,Supuestos!$E$8),IF(Supuestos!$C$8="Triangular",IF(E828&lt;(Supuestos!$E$8-Supuestos!$D$8)/(Supuestos!$F$8-Supuestos!$D$8),Supuestos!$D$8+SQRT(E828*(Supuestos!$F$8-Supuestos!$D$8)*(Supuestos!$E$8-Supuestos!$D$8)),Supuestos!$F$8-SQRT((1-E828)*(Supuestos!$F$8-Supuestos!$D$8)*(Supuestos!$F$8-Supuestos!$E$8))),IF(Supuestos!$C$8="Uniforme",Supuestos!$D$8+E828*(Supuestos!$E$8-Supuestos!$D$8),IF(Supuestos!$C$8="Lognormal",LOGINV(E828,LN(Supuestos!$D$8)-LN(1+Supuestos!$E$8^2/Supuestos!$D$8^2)/2,SQRT(LN(1+Supuestos!$E$8^2/Supuestos!$D$8^2))),Supuestos!$D$8))))))</f>
        <v/>
      </c>
      <c r="M828" s="32">
        <f>MIN(IF(Supuestos!$H$9="",1E+99,Supuestos!$H$9),MAX(IF(Supuestos!$G$9="",-1E+99,Supuestos!$G$9),IF(Supuestos!$C$9="Normal",NORMINV(F828,Supuestos!$D$9,Supuestos!$E$9),IF(Supuestos!$C$9="Triangular",IF(F828&lt;(Supuestos!$E$9-Supuestos!$D$9)/(Supuestos!$F$9-Supuestos!$D$9),Supuestos!$D$9+SQRT(F828*(Supuestos!$F$9-Supuestos!$D$9)*(Supuestos!$E$9-Supuestos!$D$9)),Supuestos!$F$9-SQRT((1-F828)*(Supuestos!$F$9-Supuestos!$D$9)*(Supuestos!$F$9-Supuestos!$E$9))),IF(Supuestos!$C$9="Uniforme",Supuestos!$D$9+F828*(Supuestos!$E$9-Supuestos!$D$9),IF(Supuestos!$C$9="Lognormal",LOGINV(F828,LN(Supuestos!$D$9)-LN(1+Supuestos!$E$9^2/Supuestos!$D$9^2)/2,SQRT(LN(1+Supuestos!$E$9^2/Supuestos!$D$9^2))),Supuestos!$D$9))))))</f>
        <v/>
      </c>
      <c r="N828" s="32">
        <f>MIN(IF(Supuestos!$H$10="",1E+99,Supuestos!$H$10),MAX(IF(Supuestos!$G$10="",-1E+99,Supuestos!$G$10),IF(Supuestos!$C$10="Normal",NORMINV(G828,Supuestos!$D$10,Supuestos!$E$10),IF(Supuestos!$C$10="Triangular",IF(G828&lt;(Supuestos!$E$10-Supuestos!$D$10)/(Supuestos!$F$10-Supuestos!$D$10),Supuestos!$D$10+SQRT(G828*(Supuestos!$F$10-Supuestos!$D$10)*(Supuestos!$E$10-Supuestos!$D$10)),Supuestos!$F$10-SQRT((1-G828)*(Supuestos!$F$10-Supuestos!$D$10)*(Supuestos!$F$10-Supuestos!$E$10))),IF(Supuestos!$C$10="Uniforme",Supuestos!$D$10+G828*(Supuestos!$E$10-Supuestos!$D$10),IF(Supuestos!$C$10="Lognormal",LOGINV(G828,LN(Supuestos!$D$10)-LN(1+Supuestos!$E$10^2/Supuestos!$D$10^2)/2,SQRT(LN(1+Supuestos!$E$10^2/Supuestos!$D$10^2))),Supuestos!$D$10))))))</f>
        <v/>
      </c>
      <c r="O828" s="31">
        <f>MIN(IF(Supuestos!$H$11="",1E+99,Supuestos!$H$11),MAX(IF(Supuestos!$G$11="",-1E+99,Supuestos!$G$11),IF(Supuestos!$C$11="Normal",NORMINV(H828,Supuestos!$D$11,Supuestos!$E$11),IF(Supuestos!$C$11="Triangular",IF(H828&lt;(Supuestos!$E$11-Supuestos!$D$11)/(Supuestos!$F$11-Supuestos!$D$11),Supuestos!$D$11+SQRT(H828*(Supuestos!$F$11-Supuestos!$D$11)*(Supuestos!$E$11-Supuestos!$D$11)),Supuestos!$F$11-SQRT((1-H828)*(Supuestos!$F$11-Supuestos!$D$11)*(Supuestos!$F$11-Supuestos!$E$11))),IF(Supuestos!$C$11="Uniforme",Supuestos!$D$11+H828*(Supuestos!$E$11-Supuestos!$D$11),IF(Supuestos!$C$11="Lognormal",LOGINV(H828,LN(Supuestos!$D$11)-LN(1+Supuestos!$E$11^2/Supuestos!$D$11^2)/2,SQRT(LN(1+Supuestos!$E$11^2/Supuestos!$D$11^2))),Supuestos!$D$11))))))</f>
        <v/>
      </c>
      <c r="P828" s="33">
        <f>-I828</f>
        <v/>
      </c>
      <c r="Q828" s="33">
        <f>$J828*(1+$K828)^(1-1)*(1-$L828)*(1-$M828)</f>
        <v/>
      </c>
      <c r="R828" s="33">
        <f>$J828*(1+$K828)^(2-1)*(1-$L828)*(1-$M828)</f>
        <v/>
      </c>
      <c r="S828" s="33">
        <f>$J828*(1+$K828)^(3-1)*(1-$L828)*(1-$M828)</f>
        <v/>
      </c>
      <c r="T828" s="33">
        <f>$J828*(1+$K828)^(4-1)*(1-$L828)*(1-$M828)</f>
        <v/>
      </c>
      <c r="U828" s="33">
        <f>$J828*(1+$K828)^(5-1)*(1-$L828)*(1-$M828)+$O828</f>
        <v/>
      </c>
      <c r="V828" s="33">
        <f>P828+NPV($N828,Q828:U828)</f>
        <v/>
      </c>
      <c r="W828" s="32">
        <f>IFERROR(IRR(P828:U828,0.1),"")</f>
        <v/>
      </c>
    </row>
    <row r="829">
      <c r="A829" s="14" t="n">
        <v>825</v>
      </c>
      <c r="B829" s="30">
        <f>RAND()*(1-2E-6)+1E-6</f>
        <v/>
      </c>
      <c r="C829" s="30">
        <f>RAND()*(1-2E-6)+1E-6</f>
        <v/>
      </c>
      <c r="D829" s="30">
        <f>RAND()*(1-2E-6)+1E-6</f>
        <v/>
      </c>
      <c r="E829" s="30">
        <f>RAND()*(1-2E-6)+1E-6</f>
        <v/>
      </c>
      <c r="F829" s="30">
        <f>RAND()*(1-2E-6)+1E-6</f>
        <v/>
      </c>
      <c r="G829" s="30">
        <f>RAND()*(1-2E-6)+1E-6</f>
        <v/>
      </c>
      <c r="H829" s="30">
        <f>RAND()*(1-2E-6)+1E-6</f>
        <v/>
      </c>
      <c r="I829" s="31">
        <f>MIN(IF(Supuestos!$H$5="",1E+99,Supuestos!$H$5),MAX(IF(Supuestos!$G$5="",-1E+99,Supuestos!$G$5),IF(Supuestos!$C$5="Normal",NORMINV(B829,Supuestos!$D$5,Supuestos!$E$5),IF(Supuestos!$C$5="Triangular",IF(B829&lt;(Supuestos!$E$5-Supuestos!$D$5)/(Supuestos!$F$5-Supuestos!$D$5),Supuestos!$D$5+SQRT(B829*(Supuestos!$F$5-Supuestos!$D$5)*(Supuestos!$E$5-Supuestos!$D$5)),Supuestos!$F$5-SQRT((1-B829)*(Supuestos!$F$5-Supuestos!$D$5)*(Supuestos!$F$5-Supuestos!$E$5))),IF(Supuestos!$C$5="Uniforme",Supuestos!$D$5+B829*(Supuestos!$E$5-Supuestos!$D$5),IF(Supuestos!$C$5="Lognormal",LOGINV(B829,LN(Supuestos!$D$5)-LN(1+Supuestos!$E$5^2/Supuestos!$D$5^2)/2,SQRT(LN(1+Supuestos!$E$5^2/Supuestos!$D$5^2))),Supuestos!$D$5))))))</f>
        <v/>
      </c>
      <c r="J829" s="31">
        <f>MIN(IF(Supuestos!$H$6="",1E+99,Supuestos!$H$6),MAX(IF(Supuestos!$G$6="",-1E+99,Supuestos!$G$6),IF(Supuestos!$C$6="Normal",NORMINV(C829,Supuestos!$D$6,Supuestos!$E$6),IF(Supuestos!$C$6="Triangular",IF(C829&lt;(Supuestos!$E$6-Supuestos!$D$6)/(Supuestos!$F$6-Supuestos!$D$6),Supuestos!$D$6+SQRT(C829*(Supuestos!$F$6-Supuestos!$D$6)*(Supuestos!$E$6-Supuestos!$D$6)),Supuestos!$F$6-SQRT((1-C829)*(Supuestos!$F$6-Supuestos!$D$6)*(Supuestos!$F$6-Supuestos!$E$6))),IF(Supuestos!$C$6="Uniforme",Supuestos!$D$6+C829*(Supuestos!$E$6-Supuestos!$D$6),IF(Supuestos!$C$6="Lognormal",LOGINV(C829,LN(Supuestos!$D$6)-LN(1+Supuestos!$E$6^2/Supuestos!$D$6^2)/2,SQRT(LN(1+Supuestos!$E$6^2/Supuestos!$D$6^2))),Supuestos!$D$6))))))</f>
        <v/>
      </c>
      <c r="K829" s="32">
        <f>MIN(IF(Supuestos!$H$7="",1E+99,Supuestos!$H$7),MAX(IF(Supuestos!$G$7="",-1E+99,Supuestos!$G$7),IF(Supuestos!$C$7="Normal",NORMINV(D829,Supuestos!$D$7,Supuestos!$E$7),IF(Supuestos!$C$7="Triangular",IF(D829&lt;(Supuestos!$E$7-Supuestos!$D$7)/(Supuestos!$F$7-Supuestos!$D$7),Supuestos!$D$7+SQRT(D829*(Supuestos!$F$7-Supuestos!$D$7)*(Supuestos!$E$7-Supuestos!$D$7)),Supuestos!$F$7-SQRT((1-D829)*(Supuestos!$F$7-Supuestos!$D$7)*(Supuestos!$F$7-Supuestos!$E$7))),IF(Supuestos!$C$7="Uniforme",Supuestos!$D$7+D829*(Supuestos!$E$7-Supuestos!$D$7),IF(Supuestos!$C$7="Lognormal",LOGINV(D829,LN(Supuestos!$D$7)-LN(1+Supuestos!$E$7^2/Supuestos!$D$7^2)/2,SQRT(LN(1+Supuestos!$E$7^2/Supuestos!$D$7^2))),Supuestos!$D$7))))))</f>
        <v/>
      </c>
      <c r="L829" s="32">
        <f>MIN(IF(Supuestos!$H$8="",1E+99,Supuestos!$H$8),MAX(IF(Supuestos!$G$8="",-1E+99,Supuestos!$G$8),IF(Supuestos!$C$8="Normal",NORMINV(E829,Supuestos!$D$8,Supuestos!$E$8),IF(Supuestos!$C$8="Triangular",IF(E829&lt;(Supuestos!$E$8-Supuestos!$D$8)/(Supuestos!$F$8-Supuestos!$D$8),Supuestos!$D$8+SQRT(E829*(Supuestos!$F$8-Supuestos!$D$8)*(Supuestos!$E$8-Supuestos!$D$8)),Supuestos!$F$8-SQRT((1-E829)*(Supuestos!$F$8-Supuestos!$D$8)*(Supuestos!$F$8-Supuestos!$E$8))),IF(Supuestos!$C$8="Uniforme",Supuestos!$D$8+E829*(Supuestos!$E$8-Supuestos!$D$8),IF(Supuestos!$C$8="Lognormal",LOGINV(E829,LN(Supuestos!$D$8)-LN(1+Supuestos!$E$8^2/Supuestos!$D$8^2)/2,SQRT(LN(1+Supuestos!$E$8^2/Supuestos!$D$8^2))),Supuestos!$D$8))))))</f>
        <v/>
      </c>
      <c r="M829" s="32">
        <f>MIN(IF(Supuestos!$H$9="",1E+99,Supuestos!$H$9),MAX(IF(Supuestos!$G$9="",-1E+99,Supuestos!$G$9),IF(Supuestos!$C$9="Normal",NORMINV(F829,Supuestos!$D$9,Supuestos!$E$9),IF(Supuestos!$C$9="Triangular",IF(F829&lt;(Supuestos!$E$9-Supuestos!$D$9)/(Supuestos!$F$9-Supuestos!$D$9),Supuestos!$D$9+SQRT(F829*(Supuestos!$F$9-Supuestos!$D$9)*(Supuestos!$E$9-Supuestos!$D$9)),Supuestos!$F$9-SQRT((1-F829)*(Supuestos!$F$9-Supuestos!$D$9)*(Supuestos!$F$9-Supuestos!$E$9))),IF(Supuestos!$C$9="Uniforme",Supuestos!$D$9+F829*(Supuestos!$E$9-Supuestos!$D$9),IF(Supuestos!$C$9="Lognormal",LOGINV(F829,LN(Supuestos!$D$9)-LN(1+Supuestos!$E$9^2/Supuestos!$D$9^2)/2,SQRT(LN(1+Supuestos!$E$9^2/Supuestos!$D$9^2))),Supuestos!$D$9))))))</f>
        <v/>
      </c>
      <c r="N829" s="32">
        <f>MIN(IF(Supuestos!$H$10="",1E+99,Supuestos!$H$10),MAX(IF(Supuestos!$G$10="",-1E+99,Supuestos!$G$10),IF(Supuestos!$C$10="Normal",NORMINV(G829,Supuestos!$D$10,Supuestos!$E$10),IF(Supuestos!$C$10="Triangular",IF(G829&lt;(Supuestos!$E$10-Supuestos!$D$10)/(Supuestos!$F$10-Supuestos!$D$10),Supuestos!$D$10+SQRT(G829*(Supuestos!$F$10-Supuestos!$D$10)*(Supuestos!$E$10-Supuestos!$D$10)),Supuestos!$F$10-SQRT((1-G829)*(Supuestos!$F$10-Supuestos!$D$10)*(Supuestos!$F$10-Supuestos!$E$10))),IF(Supuestos!$C$10="Uniforme",Supuestos!$D$10+G829*(Supuestos!$E$10-Supuestos!$D$10),IF(Supuestos!$C$10="Lognormal",LOGINV(G829,LN(Supuestos!$D$10)-LN(1+Supuestos!$E$10^2/Supuestos!$D$10^2)/2,SQRT(LN(1+Supuestos!$E$10^2/Supuestos!$D$10^2))),Supuestos!$D$10))))))</f>
        <v/>
      </c>
      <c r="O829" s="31">
        <f>MIN(IF(Supuestos!$H$11="",1E+99,Supuestos!$H$11),MAX(IF(Supuestos!$G$11="",-1E+99,Supuestos!$G$11),IF(Supuestos!$C$11="Normal",NORMINV(H829,Supuestos!$D$11,Supuestos!$E$11),IF(Supuestos!$C$11="Triangular",IF(H829&lt;(Supuestos!$E$11-Supuestos!$D$11)/(Supuestos!$F$11-Supuestos!$D$11),Supuestos!$D$11+SQRT(H829*(Supuestos!$F$11-Supuestos!$D$11)*(Supuestos!$E$11-Supuestos!$D$11)),Supuestos!$F$11-SQRT((1-H829)*(Supuestos!$F$11-Supuestos!$D$11)*(Supuestos!$F$11-Supuestos!$E$11))),IF(Supuestos!$C$11="Uniforme",Supuestos!$D$11+H829*(Supuestos!$E$11-Supuestos!$D$11),IF(Supuestos!$C$11="Lognormal",LOGINV(H829,LN(Supuestos!$D$11)-LN(1+Supuestos!$E$11^2/Supuestos!$D$11^2)/2,SQRT(LN(1+Supuestos!$E$11^2/Supuestos!$D$11^2))),Supuestos!$D$11))))))</f>
        <v/>
      </c>
      <c r="P829" s="33">
        <f>-I829</f>
        <v/>
      </c>
      <c r="Q829" s="33">
        <f>$J829*(1+$K829)^(1-1)*(1-$L829)*(1-$M829)</f>
        <v/>
      </c>
      <c r="R829" s="33">
        <f>$J829*(1+$K829)^(2-1)*(1-$L829)*(1-$M829)</f>
        <v/>
      </c>
      <c r="S829" s="33">
        <f>$J829*(1+$K829)^(3-1)*(1-$L829)*(1-$M829)</f>
        <v/>
      </c>
      <c r="T829" s="33">
        <f>$J829*(1+$K829)^(4-1)*(1-$L829)*(1-$M829)</f>
        <v/>
      </c>
      <c r="U829" s="33">
        <f>$J829*(1+$K829)^(5-1)*(1-$L829)*(1-$M829)+$O829</f>
        <v/>
      </c>
      <c r="V829" s="33">
        <f>P829+NPV($N829,Q829:U829)</f>
        <v/>
      </c>
      <c r="W829" s="32">
        <f>IFERROR(IRR(P829:U829,0.1),"")</f>
        <v/>
      </c>
    </row>
    <row r="830">
      <c r="A830" s="14" t="n">
        <v>826</v>
      </c>
      <c r="B830" s="30">
        <f>RAND()*(1-2E-6)+1E-6</f>
        <v/>
      </c>
      <c r="C830" s="30">
        <f>RAND()*(1-2E-6)+1E-6</f>
        <v/>
      </c>
      <c r="D830" s="30">
        <f>RAND()*(1-2E-6)+1E-6</f>
        <v/>
      </c>
      <c r="E830" s="30">
        <f>RAND()*(1-2E-6)+1E-6</f>
        <v/>
      </c>
      <c r="F830" s="30">
        <f>RAND()*(1-2E-6)+1E-6</f>
        <v/>
      </c>
      <c r="G830" s="30">
        <f>RAND()*(1-2E-6)+1E-6</f>
        <v/>
      </c>
      <c r="H830" s="30">
        <f>RAND()*(1-2E-6)+1E-6</f>
        <v/>
      </c>
      <c r="I830" s="31">
        <f>MIN(IF(Supuestos!$H$5="",1E+99,Supuestos!$H$5),MAX(IF(Supuestos!$G$5="",-1E+99,Supuestos!$G$5),IF(Supuestos!$C$5="Normal",NORMINV(B830,Supuestos!$D$5,Supuestos!$E$5),IF(Supuestos!$C$5="Triangular",IF(B830&lt;(Supuestos!$E$5-Supuestos!$D$5)/(Supuestos!$F$5-Supuestos!$D$5),Supuestos!$D$5+SQRT(B830*(Supuestos!$F$5-Supuestos!$D$5)*(Supuestos!$E$5-Supuestos!$D$5)),Supuestos!$F$5-SQRT((1-B830)*(Supuestos!$F$5-Supuestos!$D$5)*(Supuestos!$F$5-Supuestos!$E$5))),IF(Supuestos!$C$5="Uniforme",Supuestos!$D$5+B830*(Supuestos!$E$5-Supuestos!$D$5),IF(Supuestos!$C$5="Lognormal",LOGINV(B830,LN(Supuestos!$D$5)-LN(1+Supuestos!$E$5^2/Supuestos!$D$5^2)/2,SQRT(LN(1+Supuestos!$E$5^2/Supuestos!$D$5^2))),Supuestos!$D$5))))))</f>
        <v/>
      </c>
      <c r="J830" s="31">
        <f>MIN(IF(Supuestos!$H$6="",1E+99,Supuestos!$H$6),MAX(IF(Supuestos!$G$6="",-1E+99,Supuestos!$G$6),IF(Supuestos!$C$6="Normal",NORMINV(C830,Supuestos!$D$6,Supuestos!$E$6),IF(Supuestos!$C$6="Triangular",IF(C830&lt;(Supuestos!$E$6-Supuestos!$D$6)/(Supuestos!$F$6-Supuestos!$D$6),Supuestos!$D$6+SQRT(C830*(Supuestos!$F$6-Supuestos!$D$6)*(Supuestos!$E$6-Supuestos!$D$6)),Supuestos!$F$6-SQRT((1-C830)*(Supuestos!$F$6-Supuestos!$D$6)*(Supuestos!$F$6-Supuestos!$E$6))),IF(Supuestos!$C$6="Uniforme",Supuestos!$D$6+C830*(Supuestos!$E$6-Supuestos!$D$6),IF(Supuestos!$C$6="Lognormal",LOGINV(C830,LN(Supuestos!$D$6)-LN(1+Supuestos!$E$6^2/Supuestos!$D$6^2)/2,SQRT(LN(1+Supuestos!$E$6^2/Supuestos!$D$6^2))),Supuestos!$D$6))))))</f>
        <v/>
      </c>
      <c r="K830" s="32">
        <f>MIN(IF(Supuestos!$H$7="",1E+99,Supuestos!$H$7),MAX(IF(Supuestos!$G$7="",-1E+99,Supuestos!$G$7),IF(Supuestos!$C$7="Normal",NORMINV(D830,Supuestos!$D$7,Supuestos!$E$7),IF(Supuestos!$C$7="Triangular",IF(D830&lt;(Supuestos!$E$7-Supuestos!$D$7)/(Supuestos!$F$7-Supuestos!$D$7),Supuestos!$D$7+SQRT(D830*(Supuestos!$F$7-Supuestos!$D$7)*(Supuestos!$E$7-Supuestos!$D$7)),Supuestos!$F$7-SQRT((1-D830)*(Supuestos!$F$7-Supuestos!$D$7)*(Supuestos!$F$7-Supuestos!$E$7))),IF(Supuestos!$C$7="Uniforme",Supuestos!$D$7+D830*(Supuestos!$E$7-Supuestos!$D$7),IF(Supuestos!$C$7="Lognormal",LOGINV(D830,LN(Supuestos!$D$7)-LN(1+Supuestos!$E$7^2/Supuestos!$D$7^2)/2,SQRT(LN(1+Supuestos!$E$7^2/Supuestos!$D$7^2))),Supuestos!$D$7))))))</f>
        <v/>
      </c>
      <c r="L830" s="32">
        <f>MIN(IF(Supuestos!$H$8="",1E+99,Supuestos!$H$8),MAX(IF(Supuestos!$G$8="",-1E+99,Supuestos!$G$8),IF(Supuestos!$C$8="Normal",NORMINV(E830,Supuestos!$D$8,Supuestos!$E$8),IF(Supuestos!$C$8="Triangular",IF(E830&lt;(Supuestos!$E$8-Supuestos!$D$8)/(Supuestos!$F$8-Supuestos!$D$8),Supuestos!$D$8+SQRT(E830*(Supuestos!$F$8-Supuestos!$D$8)*(Supuestos!$E$8-Supuestos!$D$8)),Supuestos!$F$8-SQRT((1-E830)*(Supuestos!$F$8-Supuestos!$D$8)*(Supuestos!$F$8-Supuestos!$E$8))),IF(Supuestos!$C$8="Uniforme",Supuestos!$D$8+E830*(Supuestos!$E$8-Supuestos!$D$8),IF(Supuestos!$C$8="Lognormal",LOGINV(E830,LN(Supuestos!$D$8)-LN(1+Supuestos!$E$8^2/Supuestos!$D$8^2)/2,SQRT(LN(1+Supuestos!$E$8^2/Supuestos!$D$8^2))),Supuestos!$D$8))))))</f>
        <v/>
      </c>
      <c r="M830" s="32">
        <f>MIN(IF(Supuestos!$H$9="",1E+99,Supuestos!$H$9),MAX(IF(Supuestos!$G$9="",-1E+99,Supuestos!$G$9),IF(Supuestos!$C$9="Normal",NORMINV(F830,Supuestos!$D$9,Supuestos!$E$9),IF(Supuestos!$C$9="Triangular",IF(F830&lt;(Supuestos!$E$9-Supuestos!$D$9)/(Supuestos!$F$9-Supuestos!$D$9),Supuestos!$D$9+SQRT(F830*(Supuestos!$F$9-Supuestos!$D$9)*(Supuestos!$E$9-Supuestos!$D$9)),Supuestos!$F$9-SQRT((1-F830)*(Supuestos!$F$9-Supuestos!$D$9)*(Supuestos!$F$9-Supuestos!$E$9))),IF(Supuestos!$C$9="Uniforme",Supuestos!$D$9+F830*(Supuestos!$E$9-Supuestos!$D$9),IF(Supuestos!$C$9="Lognormal",LOGINV(F830,LN(Supuestos!$D$9)-LN(1+Supuestos!$E$9^2/Supuestos!$D$9^2)/2,SQRT(LN(1+Supuestos!$E$9^2/Supuestos!$D$9^2))),Supuestos!$D$9))))))</f>
        <v/>
      </c>
      <c r="N830" s="32">
        <f>MIN(IF(Supuestos!$H$10="",1E+99,Supuestos!$H$10),MAX(IF(Supuestos!$G$10="",-1E+99,Supuestos!$G$10),IF(Supuestos!$C$10="Normal",NORMINV(G830,Supuestos!$D$10,Supuestos!$E$10),IF(Supuestos!$C$10="Triangular",IF(G830&lt;(Supuestos!$E$10-Supuestos!$D$10)/(Supuestos!$F$10-Supuestos!$D$10),Supuestos!$D$10+SQRT(G830*(Supuestos!$F$10-Supuestos!$D$10)*(Supuestos!$E$10-Supuestos!$D$10)),Supuestos!$F$10-SQRT((1-G830)*(Supuestos!$F$10-Supuestos!$D$10)*(Supuestos!$F$10-Supuestos!$E$10))),IF(Supuestos!$C$10="Uniforme",Supuestos!$D$10+G830*(Supuestos!$E$10-Supuestos!$D$10),IF(Supuestos!$C$10="Lognormal",LOGINV(G830,LN(Supuestos!$D$10)-LN(1+Supuestos!$E$10^2/Supuestos!$D$10^2)/2,SQRT(LN(1+Supuestos!$E$10^2/Supuestos!$D$10^2))),Supuestos!$D$10))))))</f>
        <v/>
      </c>
      <c r="O830" s="31">
        <f>MIN(IF(Supuestos!$H$11="",1E+99,Supuestos!$H$11),MAX(IF(Supuestos!$G$11="",-1E+99,Supuestos!$G$11),IF(Supuestos!$C$11="Normal",NORMINV(H830,Supuestos!$D$11,Supuestos!$E$11),IF(Supuestos!$C$11="Triangular",IF(H830&lt;(Supuestos!$E$11-Supuestos!$D$11)/(Supuestos!$F$11-Supuestos!$D$11),Supuestos!$D$11+SQRT(H830*(Supuestos!$F$11-Supuestos!$D$11)*(Supuestos!$E$11-Supuestos!$D$11)),Supuestos!$F$11-SQRT((1-H830)*(Supuestos!$F$11-Supuestos!$D$11)*(Supuestos!$F$11-Supuestos!$E$11))),IF(Supuestos!$C$11="Uniforme",Supuestos!$D$11+H830*(Supuestos!$E$11-Supuestos!$D$11),IF(Supuestos!$C$11="Lognormal",LOGINV(H830,LN(Supuestos!$D$11)-LN(1+Supuestos!$E$11^2/Supuestos!$D$11^2)/2,SQRT(LN(1+Supuestos!$E$11^2/Supuestos!$D$11^2))),Supuestos!$D$11))))))</f>
        <v/>
      </c>
      <c r="P830" s="33">
        <f>-I830</f>
        <v/>
      </c>
      <c r="Q830" s="33">
        <f>$J830*(1+$K830)^(1-1)*(1-$L830)*(1-$M830)</f>
        <v/>
      </c>
      <c r="R830" s="33">
        <f>$J830*(1+$K830)^(2-1)*(1-$L830)*(1-$M830)</f>
        <v/>
      </c>
      <c r="S830" s="33">
        <f>$J830*(1+$K830)^(3-1)*(1-$L830)*(1-$M830)</f>
        <v/>
      </c>
      <c r="T830" s="33">
        <f>$J830*(1+$K830)^(4-1)*(1-$L830)*(1-$M830)</f>
        <v/>
      </c>
      <c r="U830" s="33">
        <f>$J830*(1+$K830)^(5-1)*(1-$L830)*(1-$M830)+$O830</f>
        <v/>
      </c>
      <c r="V830" s="33">
        <f>P830+NPV($N830,Q830:U830)</f>
        <v/>
      </c>
      <c r="W830" s="32">
        <f>IFERROR(IRR(P830:U830,0.1),"")</f>
        <v/>
      </c>
    </row>
    <row r="831">
      <c r="A831" s="14" t="n">
        <v>827</v>
      </c>
      <c r="B831" s="30">
        <f>RAND()*(1-2E-6)+1E-6</f>
        <v/>
      </c>
      <c r="C831" s="30">
        <f>RAND()*(1-2E-6)+1E-6</f>
        <v/>
      </c>
      <c r="D831" s="30">
        <f>RAND()*(1-2E-6)+1E-6</f>
        <v/>
      </c>
      <c r="E831" s="30">
        <f>RAND()*(1-2E-6)+1E-6</f>
        <v/>
      </c>
      <c r="F831" s="30">
        <f>RAND()*(1-2E-6)+1E-6</f>
        <v/>
      </c>
      <c r="G831" s="30">
        <f>RAND()*(1-2E-6)+1E-6</f>
        <v/>
      </c>
      <c r="H831" s="30">
        <f>RAND()*(1-2E-6)+1E-6</f>
        <v/>
      </c>
      <c r="I831" s="31">
        <f>MIN(IF(Supuestos!$H$5="",1E+99,Supuestos!$H$5),MAX(IF(Supuestos!$G$5="",-1E+99,Supuestos!$G$5),IF(Supuestos!$C$5="Normal",NORMINV(B831,Supuestos!$D$5,Supuestos!$E$5),IF(Supuestos!$C$5="Triangular",IF(B831&lt;(Supuestos!$E$5-Supuestos!$D$5)/(Supuestos!$F$5-Supuestos!$D$5),Supuestos!$D$5+SQRT(B831*(Supuestos!$F$5-Supuestos!$D$5)*(Supuestos!$E$5-Supuestos!$D$5)),Supuestos!$F$5-SQRT((1-B831)*(Supuestos!$F$5-Supuestos!$D$5)*(Supuestos!$F$5-Supuestos!$E$5))),IF(Supuestos!$C$5="Uniforme",Supuestos!$D$5+B831*(Supuestos!$E$5-Supuestos!$D$5),IF(Supuestos!$C$5="Lognormal",LOGINV(B831,LN(Supuestos!$D$5)-LN(1+Supuestos!$E$5^2/Supuestos!$D$5^2)/2,SQRT(LN(1+Supuestos!$E$5^2/Supuestos!$D$5^2))),Supuestos!$D$5))))))</f>
        <v/>
      </c>
      <c r="J831" s="31">
        <f>MIN(IF(Supuestos!$H$6="",1E+99,Supuestos!$H$6),MAX(IF(Supuestos!$G$6="",-1E+99,Supuestos!$G$6),IF(Supuestos!$C$6="Normal",NORMINV(C831,Supuestos!$D$6,Supuestos!$E$6),IF(Supuestos!$C$6="Triangular",IF(C831&lt;(Supuestos!$E$6-Supuestos!$D$6)/(Supuestos!$F$6-Supuestos!$D$6),Supuestos!$D$6+SQRT(C831*(Supuestos!$F$6-Supuestos!$D$6)*(Supuestos!$E$6-Supuestos!$D$6)),Supuestos!$F$6-SQRT((1-C831)*(Supuestos!$F$6-Supuestos!$D$6)*(Supuestos!$F$6-Supuestos!$E$6))),IF(Supuestos!$C$6="Uniforme",Supuestos!$D$6+C831*(Supuestos!$E$6-Supuestos!$D$6),IF(Supuestos!$C$6="Lognormal",LOGINV(C831,LN(Supuestos!$D$6)-LN(1+Supuestos!$E$6^2/Supuestos!$D$6^2)/2,SQRT(LN(1+Supuestos!$E$6^2/Supuestos!$D$6^2))),Supuestos!$D$6))))))</f>
        <v/>
      </c>
      <c r="K831" s="32">
        <f>MIN(IF(Supuestos!$H$7="",1E+99,Supuestos!$H$7),MAX(IF(Supuestos!$G$7="",-1E+99,Supuestos!$G$7),IF(Supuestos!$C$7="Normal",NORMINV(D831,Supuestos!$D$7,Supuestos!$E$7),IF(Supuestos!$C$7="Triangular",IF(D831&lt;(Supuestos!$E$7-Supuestos!$D$7)/(Supuestos!$F$7-Supuestos!$D$7),Supuestos!$D$7+SQRT(D831*(Supuestos!$F$7-Supuestos!$D$7)*(Supuestos!$E$7-Supuestos!$D$7)),Supuestos!$F$7-SQRT((1-D831)*(Supuestos!$F$7-Supuestos!$D$7)*(Supuestos!$F$7-Supuestos!$E$7))),IF(Supuestos!$C$7="Uniforme",Supuestos!$D$7+D831*(Supuestos!$E$7-Supuestos!$D$7),IF(Supuestos!$C$7="Lognormal",LOGINV(D831,LN(Supuestos!$D$7)-LN(1+Supuestos!$E$7^2/Supuestos!$D$7^2)/2,SQRT(LN(1+Supuestos!$E$7^2/Supuestos!$D$7^2))),Supuestos!$D$7))))))</f>
        <v/>
      </c>
      <c r="L831" s="32">
        <f>MIN(IF(Supuestos!$H$8="",1E+99,Supuestos!$H$8),MAX(IF(Supuestos!$G$8="",-1E+99,Supuestos!$G$8),IF(Supuestos!$C$8="Normal",NORMINV(E831,Supuestos!$D$8,Supuestos!$E$8),IF(Supuestos!$C$8="Triangular",IF(E831&lt;(Supuestos!$E$8-Supuestos!$D$8)/(Supuestos!$F$8-Supuestos!$D$8),Supuestos!$D$8+SQRT(E831*(Supuestos!$F$8-Supuestos!$D$8)*(Supuestos!$E$8-Supuestos!$D$8)),Supuestos!$F$8-SQRT((1-E831)*(Supuestos!$F$8-Supuestos!$D$8)*(Supuestos!$F$8-Supuestos!$E$8))),IF(Supuestos!$C$8="Uniforme",Supuestos!$D$8+E831*(Supuestos!$E$8-Supuestos!$D$8),IF(Supuestos!$C$8="Lognormal",LOGINV(E831,LN(Supuestos!$D$8)-LN(1+Supuestos!$E$8^2/Supuestos!$D$8^2)/2,SQRT(LN(1+Supuestos!$E$8^2/Supuestos!$D$8^2))),Supuestos!$D$8))))))</f>
        <v/>
      </c>
      <c r="M831" s="32">
        <f>MIN(IF(Supuestos!$H$9="",1E+99,Supuestos!$H$9),MAX(IF(Supuestos!$G$9="",-1E+99,Supuestos!$G$9),IF(Supuestos!$C$9="Normal",NORMINV(F831,Supuestos!$D$9,Supuestos!$E$9),IF(Supuestos!$C$9="Triangular",IF(F831&lt;(Supuestos!$E$9-Supuestos!$D$9)/(Supuestos!$F$9-Supuestos!$D$9),Supuestos!$D$9+SQRT(F831*(Supuestos!$F$9-Supuestos!$D$9)*(Supuestos!$E$9-Supuestos!$D$9)),Supuestos!$F$9-SQRT((1-F831)*(Supuestos!$F$9-Supuestos!$D$9)*(Supuestos!$F$9-Supuestos!$E$9))),IF(Supuestos!$C$9="Uniforme",Supuestos!$D$9+F831*(Supuestos!$E$9-Supuestos!$D$9),IF(Supuestos!$C$9="Lognormal",LOGINV(F831,LN(Supuestos!$D$9)-LN(1+Supuestos!$E$9^2/Supuestos!$D$9^2)/2,SQRT(LN(1+Supuestos!$E$9^2/Supuestos!$D$9^2))),Supuestos!$D$9))))))</f>
        <v/>
      </c>
      <c r="N831" s="32">
        <f>MIN(IF(Supuestos!$H$10="",1E+99,Supuestos!$H$10),MAX(IF(Supuestos!$G$10="",-1E+99,Supuestos!$G$10),IF(Supuestos!$C$10="Normal",NORMINV(G831,Supuestos!$D$10,Supuestos!$E$10),IF(Supuestos!$C$10="Triangular",IF(G831&lt;(Supuestos!$E$10-Supuestos!$D$10)/(Supuestos!$F$10-Supuestos!$D$10),Supuestos!$D$10+SQRT(G831*(Supuestos!$F$10-Supuestos!$D$10)*(Supuestos!$E$10-Supuestos!$D$10)),Supuestos!$F$10-SQRT((1-G831)*(Supuestos!$F$10-Supuestos!$D$10)*(Supuestos!$F$10-Supuestos!$E$10))),IF(Supuestos!$C$10="Uniforme",Supuestos!$D$10+G831*(Supuestos!$E$10-Supuestos!$D$10),IF(Supuestos!$C$10="Lognormal",LOGINV(G831,LN(Supuestos!$D$10)-LN(1+Supuestos!$E$10^2/Supuestos!$D$10^2)/2,SQRT(LN(1+Supuestos!$E$10^2/Supuestos!$D$10^2))),Supuestos!$D$10))))))</f>
        <v/>
      </c>
      <c r="O831" s="31">
        <f>MIN(IF(Supuestos!$H$11="",1E+99,Supuestos!$H$11),MAX(IF(Supuestos!$G$11="",-1E+99,Supuestos!$G$11),IF(Supuestos!$C$11="Normal",NORMINV(H831,Supuestos!$D$11,Supuestos!$E$11),IF(Supuestos!$C$11="Triangular",IF(H831&lt;(Supuestos!$E$11-Supuestos!$D$11)/(Supuestos!$F$11-Supuestos!$D$11),Supuestos!$D$11+SQRT(H831*(Supuestos!$F$11-Supuestos!$D$11)*(Supuestos!$E$11-Supuestos!$D$11)),Supuestos!$F$11-SQRT((1-H831)*(Supuestos!$F$11-Supuestos!$D$11)*(Supuestos!$F$11-Supuestos!$E$11))),IF(Supuestos!$C$11="Uniforme",Supuestos!$D$11+H831*(Supuestos!$E$11-Supuestos!$D$11),IF(Supuestos!$C$11="Lognormal",LOGINV(H831,LN(Supuestos!$D$11)-LN(1+Supuestos!$E$11^2/Supuestos!$D$11^2)/2,SQRT(LN(1+Supuestos!$E$11^2/Supuestos!$D$11^2))),Supuestos!$D$11))))))</f>
        <v/>
      </c>
      <c r="P831" s="33">
        <f>-I831</f>
        <v/>
      </c>
      <c r="Q831" s="33">
        <f>$J831*(1+$K831)^(1-1)*(1-$L831)*(1-$M831)</f>
        <v/>
      </c>
      <c r="R831" s="33">
        <f>$J831*(1+$K831)^(2-1)*(1-$L831)*(1-$M831)</f>
        <v/>
      </c>
      <c r="S831" s="33">
        <f>$J831*(1+$K831)^(3-1)*(1-$L831)*(1-$M831)</f>
        <v/>
      </c>
      <c r="T831" s="33">
        <f>$J831*(1+$K831)^(4-1)*(1-$L831)*(1-$M831)</f>
        <v/>
      </c>
      <c r="U831" s="33">
        <f>$J831*(1+$K831)^(5-1)*(1-$L831)*(1-$M831)+$O831</f>
        <v/>
      </c>
      <c r="V831" s="33">
        <f>P831+NPV($N831,Q831:U831)</f>
        <v/>
      </c>
      <c r="W831" s="32">
        <f>IFERROR(IRR(P831:U831,0.1),"")</f>
        <v/>
      </c>
    </row>
    <row r="832">
      <c r="A832" s="14" t="n">
        <v>828</v>
      </c>
      <c r="B832" s="30">
        <f>RAND()*(1-2E-6)+1E-6</f>
        <v/>
      </c>
      <c r="C832" s="30">
        <f>RAND()*(1-2E-6)+1E-6</f>
        <v/>
      </c>
      <c r="D832" s="30">
        <f>RAND()*(1-2E-6)+1E-6</f>
        <v/>
      </c>
      <c r="E832" s="30">
        <f>RAND()*(1-2E-6)+1E-6</f>
        <v/>
      </c>
      <c r="F832" s="30">
        <f>RAND()*(1-2E-6)+1E-6</f>
        <v/>
      </c>
      <c r="G832" s="30">
        <f>RAND()*(1-2E-6)+1E-6</f>
        <v/>
      </c>
      <c r="H832" s="30">
        <f>RAND()*(1-2E-6)+1E-6</f>
        <v/>
      </c>
      <c r="I832" s="31">
        <f>MIN(IF(Supuestos!$H$5="",1E+99,Supuestos!$H$5),MAX(IF(Supuestos!$G$5="",-1E+99,Supuestos!$G$5),IF(Supuestos!$C$5="Normal",NORMINV(B832,Supuestos!$D$5,Supuestos!$E$5),IF(Supuestos!$C$5="Triangular",IF(B832&lt;(Supuestos!$E$5-Supuestos!$D$5)/(Supuestos!$F$5-Supuestos!$D$5),Supuestos!$D$5+SQRT(B832*(Supuestos!$F$5-Supuestos!$D$5)*(Supuestos!$E$5-Supuestos!$D$5)),Supuestos!$F$5-SQRT((1-B832)*(Supuestos!$F$5-Supuestos!$D$5)*(Supuestos!$F$5-Supuestos!$E$5))),IF(Supuestos!$C$5="Uniforme",Supuestos!$D$5+B832*(Supuestos!$E$5-Supuestos!$D$5),IF(Supuestos!$C$5="Lognormal",LOGINV(B832,LN(Supuestos!$D$5)-LN(1+Supuestos!$E$5^2/Supuestos!$D$5^2)/2,SQRT(LN(1+Supuestos!$E$5^2/Supuestos!$D$5^2))),Supuestos!$D$5))))))</f>
        <v/>
      </c>
      <c r="J832" s="31">
        <f>MIN(IF(Supuestos!$H$6="",1E+99,Supuestos!$H$6),MAX(IF(Supuestos!$G$6="",-1E+99,Supuestos!$G$6),IF(Supuestos!$C$6="Normal",NORMINV(C832,Supuestos!$D$6,Supuestos!$E$6),IF(Supuestos!$C$6="Triangular",IF(C832&lt;(Supuestos!$E$6-Supuestos!$D$6)/(Supuestos!$F$6-Supuestos!$D$6),Supuestos!$D$6+SQRT(C832*(Supuestos!$F$6-Supuestos!$D$6)*(Supuestos!$E$6-Supuestos!$D$6)),Supuestos!$F$6-SQRT((1-C832)*(Supuestos!$F$6-Supuestos!$D$6)*(Supuestos!$F$6-Supuestos!$E$6))),IF(Supuestos!$C$6="Uniforme",Supuestos!$D$6+C832*(Supuestos!$E$6-Supuestos!$D$6),IF(Supuestos!$C$6="Lognormal",LOGINV(C832,LN(Supuestos!$D$6)-LN(1+Supuestos!$E$6^2/Supuestos!$D$6^2)/2,SQRT(LN(1+Supuestos!$E$6^2/Supuestos!$D$6^2))),Supuestos!$D$6))))))</f>
        <v/>
      </c>
      <c r="K832" s="32">
        <f>MIN(IF(Supuestos!$H$7="",1E+99,Supuestos!$H$7),MAX(IF(Supuestos!$G$7="",-1E+99,Supuestos!$G$7),IF(Supuestos!$C$7="Normal",NORMINV(D832,Supuestos!$D$7,Supuestos!$E$7),IF(Supuestos!$C$7="Triangular",IF(D832&lt;(Supuestos!$E$7-Supuestos!$D$7)/(Supuestos!$F$7-Supuestos!$D$7),Supuestos!$D$7+SQRT(D832*(Supuestos!$F$7-Supuestos!$D$7)*(Supuestos!$E$7-Supuestos!$D$7)),Supuestos!$F$7-SQRT((1-D832)*(Supuestos!$F$7-Supuestos!$D$7)*(Supuestos!$F$7-Supuestos!$E$7))),IF(Supuestos!$C$7="Uniforme",Supuestos!$D$7+D832*(Supuestos!$E$7-Supuestos!$D$7),IF(Supuestos!$C$7="Lognormal",LOGINV(D832,LN(Supuestos!$D$7)-LN(1+Supuestos!$E$7^2/Supuestos!$D$7^2)/2,SQRT(LN(1+Supuestos!$E$7^2/Supuestos!$D$7^2))),Supuestos!$D$7))))))</f>
        <v/>
      </c>
      <c r="L832" s="32">
        <f>MIN(IF(Supuestos!$H$8="",1E+99,Supuestos!$H$8),MAX(IF(Supuestos!$G$8="",-1E+99,Supuestos!$G$8),IF(Supuestos!$C$8="Normal",NORMINV(E832,Supuestos!$D$8,Supuestos!$E$8),IF(Supuestos!$C$8="Triangular",IF(E832&lt;(Supuestos!$E$8-Supuestos!$D$8)/(Supuestos!$F$8-Supuestos!$D$8),Supuestos!$D$8+SQRT(E832*(Supuestos!$F$8-Supuestos!$D$8)*(Supuestos!$E$8-Supuestos!$D$8)),Supuestos!$F$8-SQRT((1-E832)*(Supuestos!$F$8-Supuestos!$D$8)*(Supuestos!$F$8-Supuestos!$E$8))),IF(Supuestos!$C$8="Uniforme",Supuestos!$D$8+E832*(Supuestos!$E$8-Supuestos!$D$8),IF(Supuestos!$C$8="Lognormal",LOGINV(E832,LN(Supuestos!$D$8)-LN(1+Supuestos!$E$8^2/Supuestos!$D$8^2)/2,SQRT(LN(1+Supuestos!$E$8^2/Supuestos!$D$8^2))),Supuestos!$D$8))))))</f>
        <v/>
      </c>
      <c r="M832" s="32">
        <f>MIN(IF(Supuestos!$H$9="",1E+99,Supuestos!$H$9),MAX(IF(Supuestos!$G$9="",-1E+99,Supuestos!$G$9),IF(Supuestos!$C$9="Normal",NORMINV(F832,Supuestos!$D$9,Supuestos!$E$9),IF(Supuestos!$C$9="Triangular",IF(F832&lt;(Supuestos!$E$9-Supuestos!$D$9)/(Supuestos!$F$9-Supuestos!$D$9),Supuestos!$D$9+SQRT(F832*(Supuestos!$F$9-Supuestos!$D$9)*(Supuestos!$E$9-Supuestos!$D$9)),Supuestos!$F$9-SQRT((1-F832)*(Supuestos!$F$9-Supuestos!$D$9)*(Supuestos!$F$9-Supuestos!$E$9))),IF(Supuestos!$C$9="Uniforme",Supuestos!$D$9+F832*(Supuestos!$E$9-Supuestos!$D$9),IF(Supuestos!$C$9="Lognormal",LOGINV(F832,LN(Supuestos!$D$9)-LN(1+Supuestos!$E$9^2/Supuestos!$D$9^2)/2,SQRT(LN(1+Supuestos!$E$9^2/Supuestos!$D$9^2))),Supuestos!$D$9))))))</f>
        <v/>
      </c>
      <c r="N832" s="32">
        <f>MIN(IF(Supuestos!$H$10="",1E+99,Supuestos!$H$10),MAX(IF(Supuestos!$G$10="",-1E+99,Supuestos!$G$10),IF(Supuestos!$C$10="Normal",NORMINV(G832,Supuestos!$D$10,Supuestos!$E$10),IF(Supuestos!$C$10="Triangular",IF(G832&lt;(Supuestos!$E$10-Supuestos!$D$10)/(Supuestos!$F$10-Supuestos!$D$10),Supuestos!$D$10+SQRT(G832*(Supuestos!$F$10-Supuestos!$D$10)*(Supuestos!$E$10-Supuestos!$D$10)),Supuestos!$F$10-SQRT((1-G832)*(Supuestos!$F$10-Supuestos!$D$10)*(Supuestos!$F$10-Supuestos!$E$10))),IF(Supuestos!$C$10="Uniforme",Supuestos!$D$10+G832*(Supuestos!$E$10-Supuestos!$D$10),IF(Supuestos!$C$10="Lognormal",LOGINV(G832,LN(Supuestos!$D$10)-LN(1+Supuestos!$E$10^2/Supuestos!$D$10^2)/2,SQRT(LN(1+Supuestos!$E$10^2/Supuestos!$D$10^2))),Supuestos!$D$10))))))</f>
        <v/>
      </c>
      <c r="O832" s="31">
        <f>MIN(IF(Supuestos!$H$11="",1E+99,Supuestos!$H$11),MAX(IF(Supuestos!$G$11="",-1E+99,Supuestos!$G$11),IF(Supuestos!$C$11="Normal",NORMINV(H832,Supuestos!$D$11,Supuestos!$E$11),IF(Supuestos!$C$11="Triangular",IF(H832&lt;(Supuestos!$E$11-Supuestos!$D$11)/(Supuestos!$F$11-Supuestos!$D$11),Supuestos!$D$11+SQRT(H832*(Supuestos!$F$11-Supuestos!$D$11)*(Supuestos!$E$11-Supuestos!$D$11)),Supuestos!$F$11-SQRT((1-H832)*(Supuestos!$F$11-Supuestos!$D$11)*(Supuestos!$F$11-Supuestos!$E$11))),IF(Supuestos!$C$11="Uniforme",Supuestos!$D$11+H832*(Supuestos!$E$11-Supuestos!$D$11),IF(Supuestos!$C$11="Lognormal",LOGINV(H832,LN(Supuestos!$D$11)-LN(1+Supuestos!$E$11^2/Supuestos!$D$11^2)/2,SQRT(LN(1+Supuestos!$E$11^2/Supuestos!$D$11^2))),Supuestos!$D$11))))))</f>
        <v/>
      </c>
      <c r="P832" s="33">
        <f>-I832</f>
        <v/>
      </c>
      <c r="Q832" s="33">
        <f>$J832*(1+$K832)^(1-1)*(1-$L832)*(1-$M832)</f>
        <v/>
      </c>
      <c r="R832" s="33">
        <f>$J832*(1+$K832)^(2-1)*(1-$L832)*(1-$M832)</f>
        <v/>
      </c>
      <c r="S832" s="33">
        <f>$J832*(1+$K832)^(3-1)*(1-$L832)*(1-$M832)</f>
        <v/>
      </c>
      <c r="T832" s="33">
        <f>$J832*(1+$K832)^(4-1)*(1-$L832)*(1-$M832)</f>
        <v/>
      </c>
      <c r="U832" s="33">
        <f>$J832*(1+$K832)^(5-1)*(1-$L832)*(1-$M832)+$O832</f>
        <v/>
      </c>
      <c r="V832" s="33">
        <f>P832+NPV($N832,Q832:U832)</f>
        <v/>
      </c>
      <c r="W832" s="32">
        <f>IFERROR(IRR(P832:U832,0.1),"")</f>
        <v/>
      </c>
    </row>
    <row r="833">
      <c r="A833" s="14" t="n">
        <v>829</v>
      </c>
      <c r="B833" s="30">
        <f>RAND()*(1-2E-6)+1E-6</f>
        <v/>
      </c>
      <c r="C833" s="30">
        <f>RAND()*(1-2E-6)+1E-6</f>
        <v/>
      </c>
      <c r="D833" s="30">
        <f>RAND()*(1-2E-6)+1E-6</f>
        <v/>
      </c>
      <c r="E833" s="30">
        <f>RAND()*(1-2E-6)+1E-6</f>
        <v/>
      </c>
      <c r="F833" s="30">
        <f>RAND()*(1-2E-6)+1E-6</f>
        <v/>
      </c>
      <c r="G833" s="30">
        <f>RAND()*(1-2E-6)+1E-6</f>
        <v/>
      </c>
      <c r="H833" s="30">
        <f>RAND()*(1-2E-6)+1E-6</f>
        <v/>
      </c>
      <c r="I833" s="31">
        <f>MIN(IF(Supuestos!$H$5="",1E+99,Supuestos!$H$5),MAX(IF(Supuestos!$G$5="",-1E+99,Supuestos!$G$5),IF(Supuestos!$C$5="Normal",NORMINV(B833,Supuestos!$D$5,Supuestos!$E$5),IF(Supuestos!$C$5="Triangular",IF(B833&lt;(Supuestos!$E$5-Supuestos!$D$5)/(Supuestos!$F$5-Supuestos!$D$5),Supuestos!$D$5+SQRT(B833*(Supuestos!$F$5-Supuestos!$D$5)*(Supuestos!$E$5-Supuestos!$D$5)),Supuestos!$F$5-SQRT((1-B833)*(Supuestos!$F$5-Supuestos!$D$5)*(Supuestos!$F$5-Supuestos!$E$5))),IF(Supuestos!$C$5="Uniforme",Supuestos!$D$5+B833*(Supuestos!$E$5-Supuestos!$D$5),IF(Supuestos!$C$5="Lognormal",LOGINV(B833,LN(Supuestos!$D$5)-LN(1+Supuestos!$E$5^2/Supuestos!$D$5^2)/2,SQRT(LN(1+Supuestos!$E$5^2/Supuestos!$D$5^2))),Supuestos!$D$5))))))</f>
        <v/>
      </c>
      <c r="J833" s="31">
        <f>MIN(IF(Supuestos!$H$6="",1E+99,Supuestos!$H$6),MAX(IF(Supuestos!$G$6="",-1E+99,Supuestos!$G$6),IF(Supuestos!$C$6="Normal",NORMINV(C833,Supuestos!$D$6,Supuestos!$E$6),IF(Supuestos!$C$6="Triangular",IF(C833&lt;(Supuestos!$E$6-Supuestos!$D$6)/(Supuestos!$F$6-Supuestos!$D$6),Supuestos!$D$6+SQRT(C833*(Supuestos!$F$6-Supuestos!$D$6)*(Supuestos!$E$6-Supuestos!$D$6)),Supuestos!$F$6-SQRT((1-C833)*(Supuestos!$F$6-Supuestos!$D$6)*(Supuestos!$F$6-Supuestos!$E$6))),IF(Supuestos!$C$6="Uniforme",Supuestos!$D$6+C833*(Supuestos!$E$6-Supuestos!$D$6),IF(Supuestos!$C$6="Lognormal",LOGINV(C833,LN(Supuestos!$D$6)-LN(1+Supuestos!$E$6^2/Supuestos!$D$6^2)/2,SQRT(LN(1+Supuestos!$E$6^2/Supuestos!$D$6^2))),Supuestos!$D$6))))))</f>
        <v/>
      </c>
      <c r="K833" s="32">
        <f>MIN(IF(Supuestos!$H$7="",1E+99,Supuestos!$H$7),MAX(IF(Supuestos!$G$7="",-1E+99,Supuestos!$G$7),IF(Supuestos!$C$7="Normal",NORMINV(D833,Supuestos!$D$7,Supuestos!$E$7),IF(Supuestos!$C$7="Triangular",IF(D833&lt;(Supuestos!$E$7-Supuestos!$D$7)/(Supuestos!$F$7-Supuestos!$D$7),Supuestos!$D$7+SQRT(D833*(Supuestos!$F$7-Supuestos!$D$7)*(Supuestos!$E$7-Supuestos!$D$7)),Supuestos!$F$7-SQRT((1-D833)*(Supuestos!$F$7-Supuestos!$D$7)*(Supuestos!$F$7-Supuestos!$E$7))),IF(Supuestos!$C$7="Uniforme",Supuestos!$D$7+D833*(Supuestos!$E$7-Supuestos!$D$7),IF(Supuestos!$C$7="Lognormal",LOGINV(D833,LN(Supuestos!$D$7)-LN(1+Supuestos!$E$7^2/Supuestos!$D$7^2)/2,SQRT(LN(1+Supuestos!$E$7^2/Supuestos!$D$7^2))),Supuestos!$D$7))))))</f>
        <v/>
      </c>
      <c r="L833" s="32">
        <f>MIN(IF(Supuestos!$H$8="",1E+99,Supuestos!$H$8),MAX(IF(Supuestos!$G$8="",-1E+99,Supuestos!$G$8),IF(Supuestos!$C$8="Normal",NORMINV(E833,Supuestos!$D$8,Supuestos!$E$8),IF(Supuestos!$C$8="Triangular",IF(E833&lt;(Supuestos!$E$8-Supuestos!$D$8)/(Supuestos!$F$8-Supuestos!$D$8),Supuestos!$D$8+SQRT(E833*(Supuestos!$F$8-Supuestos!$D$8)*(Supuestos!$E$8-Supuestos!$D$8)),Supuestos!$F$8-SQRT((1-E833)*(Supuestos!$F$8-Supuestos!$D$8)*(Supuestos!$F$8-Supuestos!$E$8))),IF(Supuestos!$C$8="Uniforme",Supuestos!$D$8+E833*(Supuestos!$E$8-Supuestos!$D$8),IF(Supuestos!$C$8="Lognormal",LOGINV(E833,LN(Supuestos!$D$8)-LN(1+Supuestos!$E$8^2/Supuestos!$D$8^2)/2,SQRT(LN(1+Supuestos!$E$8^2/Supuestos!$D$8^2))),Supuestos!$D$8))))))</f>
        <v/>
      </c>
      <c r="M833" s="32">
        <f>MIN(IF(Supuestos!$H$9="",1E+99,Supuestos!$H$9),MAX(IF(Supuestos!$G$9="",-1E+99,Supuestos!$G$9),IF(Supuestos!$C$9="Normal",NORMINV(F833,Supuestos!$D$9,Supuestos!$E$9),IF(Supuestos!$C$9="Triangular",IF(F833&lt;(Supuestos!$E$9-Supuestos!$D$9)/(Supuestos!$F$9-Supuestos!$D$9),Supuestos!$D$9+SQRT(F833*(Supuestos!$F$9-Supuestos!$D$9)*(Supuestos!$E$9-Supuestos!$D$9)),Supuestos!$F$9-SQRT((1-F833)*(Supuestos!$F$9-Supuestos!$D$9)*(Supuestos!$F$9-Supuestos!$E$9))),IF(Supuestos!$C$9="Uniforme",Supuestos!$D$9+F833*(Supuestos!$E$9-Supuestos!$D$9),IF(Supuestos!$C$9="Lognormal",LOGINV(F833,LN(Supuestos!$D$9)-LN(1+Supuestos!$E$9^2/Supuestos!$D$9^2)/2,SQRT(LN(1+Supuestos!$E$9^2/Supuestos!$D$9^2))),Supuestos!$D$9))))))</f>
        <v/>
      </c>
      <c r="N833" s="32">
        <f>MIN(IF(Supuestos!$H$10="",1E+99,Supuestos!$H$10),MAX(IF(Supuestos!$G$10="",-1E+99,Supuestos!$G$10),IF(Supuestos!$C$10="Normal",NORMINV(G833,Supuestos!$D$10,Supuestos!$E$10),IF(Supuestos!$C$10="Triangular",IF(G833&lt;(Supuestos!$E$10-Supuestos!$D$10)/(Supuestos!$F$10-Supuestos!$D$10),Supuestos!$D$10+SQRT(G833*(Supuestos!$F$10-Supuestos!$D$10)*(Supuestos!$E$10-Supuestos!$D$10)),Supuestos!$F$10-SQRT((1-G833)*(Supuestos!$F$10-Supuestos!$D$10)*(Supuestos!$F$10-Supuestos!$E$10))),IF(Supuestos!$C$10="Uniforme",Supuestos!$D$10+G833*(Supuestos!$E$10-Supuestos!$D$10),IF(Supuestos!$C$10="Lognormal",LOGINV(G833,LN(Supuestos!$D$10)-LN(1+Supuestos!$E$10^2/Supuestos!$D$10^2)/2,SQRT(LN(1+Supuestos!$E$10^2/Supuestos!$D$10^2))),Supuestos!$D$10))))))</f>
        <v/>
      </c>
      <c r="O833" s="31">
        <f>MIN(IF(Supuestos!$H$11="",1E+99,Supuestos!$H$11),MAX(IF(Supuestos!$G$11="",-1E+99,Supuestos!$G$11),IF(Supuestos!$C$11="Normal",NORMINV(H833,Supuestos!$D$11,Supuestos!$E$11),IF(Supuestos!$C$11="Triangular",IF(H833&lt;(Supuestos!$E$11-Supuestos!$D$11)/(Supuestos!$F$11-Supuestos!$D$11),Supuestos!$D$11+SQRT(H833*(Supuestos!$F$11-Supuestos!$D$11)*(Supuestos!$E$11-Supuestos!$D$11)),Supuestos!$F$11-SQRT((1-H833)*(Supuestos!$F$11-Supuestos!$D$11)*(Supuestos!$F$11-Supuestos!$E$11))),IF(Supuestos!$C$11="Uniforme",Supuestos!$D$11+H833*(Supuestos!$E$11-Supuestos!$D$11),IF(Supuestos!$C$11="Lognormal",LOGINV(H833,LN(Supuestos!$D$11)-LN(1+Supuestos!$E$11^2/Supuestos!$D$11^2)/2,SQRT(LN(1+Supuestos!$E$11^2/Supuestos!$D$11^2))),Supuestos!$D$11))))))</f>
        <v/>
      </c>
      <c r="P833" s="33">
        <f>-I833</f>
        <v/>
      </c>
      <c r="Q833" s="33">
        <f>$J833*(1+$K833)^(1-1)*(1-$L833)*(1-$M833)</f>
        <v/>
      </c>
      <c r="R833" s="33">
        <f>$J833*(1+$K833)^(2-1)*(1-$L833)*(1-$M833)</f>
        <v/>
      </c>
      <c r="S833" s="33">
        <f>$J833*(1+$K833)^(3-1)*(1-$L833)*(1-$M833)</f>
        <v/>
      </c>
      <c r="T833" s="33">
        <f>$J833*(1+$K833)^(4-1)*(1-$L833)*(1-$M833)</f>
        <v/>
      </c>
      <c r="U833" s="33">
        <f>$J833*(1+$K833)^(5-1)*(1-$L833)*(1-$M833)+$O833</f>
        <v/>
      </c>
      <c r="V833" s="33">
        <f>P833+NPV($N833,Q833:U833)</f>
        <v/>
      </c>
      <c r="W833" s="32">
        <f>IFERROR(IRR(P833:U833,0.1),"")</f>
        <v/>
      </c>
    </row>
    <row r="834">
      <c r="A834" s="14" t="n">
        <v>830</v>
      </c>
      <c r="B834" s="30">
        <f>RAND()*(1-2E-6)+1E-6</f>
        <v/>
      </c>
      <c r="C834" s="30">
        <f>RAND()*(1-2E-6)+1E-6</f>
        <v/>
      </c>
      <c r="D834" s="30">
        <f>RAND()*(1-2E-6)+1E-6</f>
        <v/>
      </c>
      <c r="E834" s="30">
        <f>RAND()*(1-2E-6)+1E-6</f>
        <v/>
      </c>
      <c r="F834" s="30">
        <f>RAND()*(1-2E-6)+1E-6</f>
        <v/>
      </c>
      <c r="G834" s="30">
        <f>RAND()*(1-2E-6)+1E-6</f>
        <v/>
      </c>
      <c r="H834" s="30">
        <f>RAND()*(1-2E-6)+1E-6</f>
        <v/>
      </c>
      <c r="I834" s="31">
        <f>MIN(IF(Supuestos!$H$5="",1E+99,Supuestos!$H$5),MAX(IF(Supuestos!$G$5="",-1E+99,Supuestos!$G$5),IF(Supuestos!$C$5="Normal",NORMINV(B834,Supuestos!$D$5,Supuestos!$E$5),IF(Supuestos!$C$5="Triangular",IF(B834&lt;(Supuestos!$E$5-Supuestos!$D$5)/(Supuestos!$F$5-Supuestos!$D$5),Supuestos!$D$5+SQRT(B834*(Supuestos!$F$5-Supuestos!$D$5)*(Supuestos!$E$5-Supuestos!$D$5)),Supuestos!$F$5-SQRT((1-B834)*(Supuestos!$F$5-Supuestos!$D$5)*(Supuestos!$F$5-Supuestos!$E$5))),IF(Supuestos!$C$5="Uniforme",Supuestos!$D$5+B834*(Supuestos!$E$5-Supuestos!$D$5),IF(Supuestos!$C$5="Lognormal",LOGINV(B834,LN(Supuestos!$D$5)-LN(1+Supuestos!$E$5^2/Supuestos!$D$5^2)/2,SQRT(LN(1+Supuestos!$E$5^2/Supuestos!$D$5^2))),Supuestos!$D$5))))))</f>
        <v/>
      </c>
      <c r="J834" s="31">
        <f>MIN(IF(Supuestos!$H$6="",1E+99,Supuestos!$H$6),MAX(IF(Supuestos!$G$6="",-1E+99,Supuestos!$G$6),IF(Supuestos!$C$6="Normal",NORMINV(C834,Supuestos!$D$6,Supuestos!$E$6),IF(Supuestos!$C$6="Triangular",IF(C834&lt;(Supuestos!$E$6-Supuestos!$D$6)/(Supuestos!$F$6-Supuestos!$D$6),Supuestos!$D$6+SQRT(C834*(Supuestos!$F$6-Supuestos!$D$6)*(Supuestos!$E$6-Supuestos!$D$6)),Supuestos!$F$6-SQRT((1-C834)*(Supuestos!$F$6-Supuestos!$D$6)*(Supuestos!$F$6-Supuestos!$E$6))),IF(Supuestos!$C$6="Uniforme",Supuestos!$D$6+C834*(Supuestos!$E$6-Supuestos!$D$6),IF(Supuestos!$C$6="Lognormal",LOGINV(C834,LN(Supuestos!$D$6)-LN(1+Supuestos!$E$6^2/Supuestos!$D$6^2)/2,SQRT(LN(1+Supuestos!$E$6^2/Supuestos!$D$6^2))),Supuestos!$D$6))))))</f>
        <v/>
      </c>
      <c r="K834" s="32">
        <f>MIN(IF(Supuestos!$H$7="",1E+99,Supuestos!$H$7),MAX(IF(Supuestos!$G$7="",-1E+99,Supuestos!$G$7),IF(Supuestos!$C$7="Normal",NORMINV(D834,Supuestos!$D$7,Supuestos!$E$7),IF(Supuestos!$C$7="Triangular",IF(D834&lt;(Supuestos!$E$7-Supuestos!$D$7)/(Supuestos!$F$7-Supuestos!$D$7),Supuestos!$D$7+SQRT(D834*(Supuestos!$F$7-Supuestos!$D$7)*(Supuestos!$E$7-Supuestos!$D$7)),Supuestos!$F$7-SQRT((1-D834)*(Supuestos!$F$7-Supuestos!$D$7)*(Supuestos!$F$7-Supuestos!$E$7))),IF(Supuestos!$C$7="Uniforme",Supuestos!$D$7+D834*(Supuestos!$E$7-Supuestos!$D$7),IF(Supuestos!$C$7="Lognormal",LOGINV(D834,LN(Supuestos!$D$7)-LN(1+Supuestos!$E$7^2/Supuestos!$D$7^2)/2,SQRT(LN(1+Supuestos!$E$7^2/Supuestos!$D$7^2))),Supuestos!$D$7))))))</f>
        <v/>
      </c>
      <c r="L834" s="32">
        <f>MIN(IF(Supuestos!$H$8="",1E+99,Supuestos!$H$8),MAX(IF(Supuestos!$G$8="",-1E+99,Supuestos!$G$8),IF(Supuestos!$C$8="Normal",NORMINV(E834,Supuestos!$D$8,Supuestos!$E$8),IF(Supuestos!$C$8="Triangular",IF(E834&lt;(Supuestos!$E$8-Supuestos!$D$8)/(Supuestos!$F$8-Supuestos!$D$8),Supuestos!$D$8+SQRT(E834*(Supuestos!$F$8-Supuestos!$D$8)*(Supuestos!$E$8-Supuestos!$D$8)),Supuestos!$F$8-SQRT((1-E834)*(Supuestos!$F$8-Supuestos!$D$8)*(Supuestos!$F$8-Supuestos!$E$8))),IF(Supuestos!$C$8="Uniforme",Supuestos!$D$8+E834*(Supuestos!$E$8-Supuestos!$D$8),IF(Supuestos!$C$8="Lognormal",LOGINV(E834,LN(Supuestos!$D$8)-LN(1+Supuestos!$E$8^2/Supuestos!$D$8^2)/2,SQRT(LN(1+Supuestos!$E$8^2/Supuestos!$D$8^2))),Supuestos!$D$8))))))</f>
        <v/>
      </c>
      <c r="M834" s="32">
        <f>MIN(IF(Supuestos!$H$9="",1E+99,Supuestos!$H$9),MAX(IF(Supuestos!$G$9="",-1E+99,Supuestos!$G$9),IF(Supuestos!$C$9="Normal",NORMINV(F834,Supuestos!$D$9,Supuestos!$E$9),IF(Supuestos!$C$9="Triangular",IF(F834&lt;(Supuestos!$E$9-Supuestos!$D$9)/(Supuestos!$F$9-Supuestos!$D$9),Supuestos!$D$9+SQRT(F834*(Supuestos!$F$9-Supuestos!$D$9)*(Supuestos!$E$9-Supuestos!$D$9)),Supuestos!$F$9-SQRT((1-F834)*(Supuestos!$F$9-Supuestos!$D$9)*(Supuestos!$F$9-Supuestos!$E$9))),IF(Supuestos!$C$9="Uniforme",Supuestos!$D$9+F834*(Supuestos!$E$9-Supuestos!$D$9),IF(Supuestos!$C$9="Lognormal",LOGINV(F834,LN(Supuestos!$D$9)-LN(1+Supuestos!$E$9^2/Supuestos!$D$9^2)/2,SQRT(LN(1+Supuestos!$E$9^2/Supuestos!$D$9^2))),Supuestos!$D$9))))))</f>
        <v/>
      </c>
      <c r="N834" s="32">
        <f>MIN(IF(Supuestos!$H$10="",1E+99,Supuestos!$H$10),MAX(IF(Supuestos!$G$10="",-1E+99,Supuestos!$G$10),IF(Supuestos!$C$10="Normal",NORMINV(G834,Supuestos!$D$10,Supuestos!$E$10),IF(Supuestos!$C$10="Triangular",IF(G834&lt;(Supuestos!$E$10-Supuestos!$D$10)/(Supuestos!$F$10-Supuestos!$D$10),Supuestos!$D$10+SQRT(G834*(Supuestos!$F$10-Supuestos!$D$10)*(Supuestos!$E$10-Supuestos!$D$10)),Supuestos!$F$10-SQRT((1-G834)*(Supuestos!$F$10-Supuestos!$D$10)*(Supuestos!$F$10-Supuestos!$E$10))),IF(Supuestos!$C$10="Uniforme",Supuestos!$D$10+G834*(Supuestos!$E$10-Supuestos!$D$10),IF(Supuestos!$C$10="Lognormal",LOGINV(G834,LN(Supuestos!$D$10)-LN(1+Supuestos!$E$10^2/Supuestos!$D$10^2)/2,SQRT(LN(1+Supuestos!$E$10^2/Supuestos!$D$10^2))),Supuestos!$D$10))))))</f>
        <v/>
      </c>
      <c r="O834" s="31">
        <f>MIN(IF(Supuestos!$H$11="",1E+99,Supuestos!$H$11),MAX(IF(Supuestos!$G$11="",-1E+99,Supuestos!$G$11),IF(Supuestos!$C$11="Normal",NORMINV(H834,Supuestos!$D$11,Supuestos!$E$11),IF(Supuestos!$C$11="Triangular",IF(H834&lt;(Supuestos!$E$11-Supuestos!$D$11)/(Supuestos!$F$11-Supuestos!$D$11),Supuestos!$D$11+SQRT(H834*(Supuestos!$F$11-Supuestos!$D$11)*(Supuestos!$E$11-Supuestos!$D$11)),Supuestos!$F$11-SQRT((1-H834)*(Supuestos!$F$11-Supuestos!$D$11)*(Supuestos!$F$11-Supuestos!$E$11))),IF(Supuestos!$C$11="Uniforme",Supuestos!$D$11+H834*(Supuestos!$E$11-Supuestos!$D$11),IF(Supuestos!$C$11="Lognormal",LOGINV(H834,LN(Supuestos!$D$11)-LN(1+Supuestos!$E$11^2/Supuestos!$D$11^2)/2,SQRT(LN(1+Supuestos!$E$11^2/Supuestos!$D$11^2))),Supuestos!$D$11))))))</f>
        <v/>
      </c>
      <c r="P834" s="33">
        <f>-I834</f>
        <v/>
      </c>
      <c r="Q834" s="33">
        <f>$J834*(1+$K834)^(1-1)*(1-$L834)*(1-$M834)</f>
        <v/>
      </c>
      <c r="R834" s="33">
        <f>$J834*(1+$K834)^(2-1)*(1-$L834)*(1-$M834)</f>
        <v/>
      </c>
      <c r="S834" s="33">
        <f>$J834*(1+$K834)^(3-1)*(1-$L834)*(1-$M834)</f>
        <v/>
      </c>
      <c r="T834" s="33">
        <f>$J834*(1+$K834)^(4-1)*(1-$L834)*(1-$M834)</f>
        <v/>
      </c>
      <c r="U834" s="33">
        <f>$J834*(1+$K834)^(5-1)*(1-$L834)*(1-$M834)+$O834</f>
        <v/>
      </c>
      <c r="V834" s="33">
        <f>P834+NPV($N834,Q834:U834)</f>
        <v/>
      </c>
      <c r="W834" s="32">
        <f>IFERROR(IRR(P834:U834,0.1),"")</f>
        <v/>
      </c>
    </row>
    <row r="835">
      <c r="A835" s="14" t="n">
        <v>831</v>
      </c>
      <c r="B835" s="30">
        <f>RAND()*(1-2E-6)+1E-6</f>
        <v/>
      </c>
      <c r="C835" s="30">
        <f>RAND()*(1-2E-6)+1E-6</f>
        <v/>
      </c>
      <c r="D835" s="30">
        <f>RAND()*(1-2E-6)+1E-6</f>
        <v/>
      </c>
      <c r="E835" s="30">
        <f>RAND()*(1-2E-6)+1E-6</f>
        <v/>
      </c>
      <c r="F835" s="30">
        <f>RAND()*(1-2E-6)+1E-6</f>
        <v/>
      </c>
      <c r="G835" s="30">
        <f>RAND()*(1-2E-6)+1E-6</f>
        <v/>
      </c>
      <c r="H835" s="30">
        <f>RAND()*(1-2E-6)+1E-6</f>
        <v/>
      </c>
      <c r="I835" s="31">
        <f>MIN(IF(Supuestos!$H$5="",1E+99,Supuestos!$H$5),MAX(IF(Supuestos!$G$5="",-1E+99,Supuestos!$G$5),IF(Supuestos!$C$5="Normal",NORMINV(B835,Supuestos!$D$5,Supuestos!$E$5),IF(Supuestos!$C$5="Triangular",IF(B835&lt;(Supuestos!$E$5-Supuestos!$D$5)/(Supuestos!$F$5-Supuestos!$D$5),Supuestos!$D$5+SQRT(B835*(Supuestos!$F$5-Supuestos!$D$5)*(Supuestos!$E$5-Supuestos!$D$5)),Supuestos!$F$5-SQRT((1-B835)*(Supuestos!$F$5-Supuestos!$D$5)*(Supuestos!$F$5-Supuestos!$E$5))),IF(Supuestos!$C$5="Uniforme",Supuestos!$D$5+B835*(Supuestos!$E$5-Supuestos!$D$5),IF(Supuestos!$C$5="Lognormal",LOGINV(B835,LN(Supuestos!$D$5)-LN(1+Supuestos!$E$5^2/Supuestos!$D$5^2)/2,SQRT(LN(1+Supuestos!$E$5^2/Supuestos!$D$5^2))),Supuestos!$D$5))))))</f>
        <v/>
      </c>
      <c r="J835" s="31">
        <f>MIN(IF(Supuestos!$H$6="",1E+99,Supuestos!$H$6),MAX(IF(Supuestos!$G$6="",-1E+99,Supuestos!$G$6),IF(Supuestos!$C$6="Normal",NORMINV(C835,Supuestos!$D$6,Supuestos!$E$6),IF(Supuestos!$C$6="Triangular",IF(C835&lt;(Supuestos!$E$6-Supuestos!$D$6)/(Supuestos!$F$6-Supuestos!$D$6),Supuestos!$D$6+SQRT(C835*(Supuestos!$F$6-Supuestos!$D$6)*(Supuestos!$E$6-Supuestos!$D$6)),Supuestos!$F$6-SQRT((1-C835)*(Supuestos!$F$6-Supuestos!$D$6)*(Supuestos!$F$6-Supuestos!$E$6))),IF(Supuestos!$C$6="Uniforme",Supuestos!$D$6+C835*(Supuestos!$E$6-Supuestos!$D$6),IF(Supuestos!$C$6="Lognormal",LOGINV(C835,LN(Supuestos!$D$6)-LN(1+Supuestos!$E$6^2/Supuestos!$D$6^2)/2,SQRT(LN(1+Supuestos!$E$6^2/Supuestos!$D$6^2))),Supuestos!$D$6))))))</f>
        <v/>
      </c>
      <c r="K835" s="32">
        <f>MIN(IF(Supuestos!$H$7="",1E+99,Supuestos!$H$7),MAX(IF(Supuestos!$G$7="",-1E+99,Supuestos!$G$7),IF(Supuestos!$C$7="Normal",NORMINV(D835,Supuestos!$D$7,Supuestos!$E$7),IF(Supuestos!$C$7="Triangular",IF(D835&lt;(Supuestos!$E$7-Supuestos!$D$7)/(Supuestos!$F$7-Supuestos!$D$7),Supuestos!$D$7+SQRT(D835*(Supuestos!$F$7-Supuestos!$D$7)*(Supuestos!$E$7-Supuestos!$D$7)),Supuestos!$F$7-SQRT((1-D835)*(Supuestos!$F$7-Supuestos!$D$7)*(Supuestos!$F$7-Supuestos!$E$7))),IF(Supuestos!$C$7="Uniforme",Supuestos!$D$7+D835*(Supuestos!$E$7-Supuestos!$D$7),IF(Supuestos!$C$7="Lognormal",LOGINV(D835,LN(Supuestos!$D$7)-LN(1+Supuestos!$E$7^2/Supuestos!$D$7^2)/2,SQRT(LN(1+Supuestos!$E$7^2/Supuestos!$D$7^2))),Supuestos!$D$7))))))</f>
        <v/>
      </c>
      <c r="L835" s="32">
        <f>MIN(IF(Supuestos!$H$8="",1E+99,Supuestos!$H$8),MAX(IF(Supuestos!$G$8="",-1E+99,Supuestos!$G$8),IF(Supuestos!$C$8="Normal",NORMINV(E835,Supuestos!$D$8,Supuestos!$E$8),IF(Supuestos!$C$8="Triangular",IF(E835&lt;(Supuestos!$E$8-Supuestos!$D$8)/(Supuestos!$F$8-Supuestos!$D$8),Supuestos!$D$8+SQRT(E835*(Supuestos!$F$8-Supuestos!$D$8)*(Supuestos!$E$8-Supuestos!$D$8)),Supuestos!$F$8-SQRT((1-E835)*(Supuestos!$F$8-Supuestos!$D$8)*(Supuestos!$F$8-Supuestos!$E$8))),IF(Supuestos!$C$8="Uniforme",Supuestos!$D$8+E835*(Supuestos!$E$8-Supuestos!$D$8),IF(Supuestos!$C$8="Lognormal",LOGINV(E835,LN(Supuestos!$D$8)-LN(1+Supuestos!$E$8^2/Supuestos!$D$8^2)/2,SQRT(LN(1+Supuestos!$E$8^2/Supuestos!$D$8^2))),Supuestos!$D$8))))))</f>
        <v/>
      </c>
      <c r="M835" s="32">
        <f>MIN(IF(Supuestos!$H$9="",1E+99,Supuestos!$H$9),MAX(IF(Supuestos!$G$9="",-1E+99,Supuestos!$G$9),IF(Supuestos!$C$9="Normal",NORMINV(F835,Supuestos!$D$9,Supuestos!$E$9),IF(Supuestos!$C$9="Triangular",IF(F835&lt;(Supuestos!$E$9-Supuestos!$D$9)/(Supuestos!$F$9-Supuestos!$D$9),Supuestos!$D$9+SQRT(F835*(Supuestos!$F$9-Supuestos!$D$9)*(Supuestos!$E$9-Supuestos!$D$9)),Supuestos!$F$9-SQRT((1-F835)*(Supuestos!$F$9-Supuestos!$D$9)*(Supuestos!$F$9-Supuestos!$E$9))),IF(Supuestos!$C$9="Uniforme",Supuestos!$D$9+F835*(Supuestos!$E$9-Supuestos!$D$9),IF(Supuestos!$C$9="Lognormal",LOGINV(F835,LN(Supuestos!$D$9)-LN(1+Supuestos!$E$9^2/Supuestos!$D$9^2)/2,SQRT(LN(1+Supuestos!$E$9^2/Supuestos!$D$9^2))),Supuestos!$D$9))))))</f>
        <v/>
      </c>
      <c r="N835" s="32">
        <f>MIN(IF(Supuestos!$H$10="",1E+99,Supuestos!$H$10),MAX(IF(Supuestos!$G$10="",-1E+99,Supuestos!$G$10),IF(Supuestos!$C$10="Normal",NORMINV(G835,Supuestos!$D$10,Supuestos!$E$10),IF(Supuestos!$C$10="Triangular",IF(G835&lt;(Supuestos!$E$10-Supuestos!$D$10)/(Supuestos!$F$10-Supuestos!$D$10),Supuestos!$D$10+SQRT(G835*(Supuestos!$F$10-Supuestos!$D$10)*(Supuestos!$E$10-Supuestos!$D$10)),Supuestos!$F$10-SQRT((1-G835)*(Supuestos!$F$10-Supuestos!$D$10)*(Supuestos!$F$10-Supuestos!$E$10))),IF(Supuestos!$C$10="Uniforme",Supuestos!$D$10+G835*(Supuestos!$E$10-Supuestos!$D$10),IF(Supuestos!$C$10="Lognormal",LOGINV(G835,LN(Supuestos!$D$10)-LN(1+Supuestos!$E$10^2/Supuestos!$D$10^2)/2,SQRT(LN(1+Supuestos!$E$10^2/Supuestos!$D$10^2))),Supuestos!$D$10))))))</f>
        <v/>
      </c>
      <c r="O835" s="31">
        <f>MIN(IF(Supuestos!$H$11="",1E+99,Supuestos!$H$11),MAX(IF(Supuestos!$G$11="",-1E+99,Supuestos!$G$11),IF(Supuestos!$C$11="Normal",NORMINV(H835,Supuestos!$D$11,Supuestos!$E$11),IF(Supuestos!$C$11="Triangular",IF(H835&lt;(Supuestos!$E$11-Supuestos!$D$11)/(Supuestos!$F$11-Supuestos!$D$11),Supuestos!$D$11+SQRT(H835*(Supuestos!$F$11-Supuestos!$D$11)*(Supuestos!$E$11-Supuestos!$D$11)),Supuestos!$F$11-SQRT((1-H835)*(Supuestos!$F$11-Supuestos!$D$11)*(Supuestos!$F$11-Supuestos!$E$11))),IF(Supuestos!$C$11="Uniforme",Supuestos!$D$11+H835*(Supuestos!$E$11-Supuestos!$D$11),IF(Supuestos!$C$11="Lognormal",LOGINV(H835,LN(Supuestos!$D$11)-LN(1+Supuestos!$E$11^2/Supuestos!$D$11^2)/2,SQRT(LN(1+Supuestos!$E$11^2/Supuestos!$D$11^2))),Supuestos!$D$11))))))</f>
        <v/>
      </c>
      <c r="P835" s="33">
        <f>-I835</f>
        <v/>
      </c>
      <c r="Q835" s="33">
        <f>$J835*(1+$K835)^(1-1)*(1-$L835)*(1-$M835)</f>
        <v/>
      </c>
      <c r="R835" s="33">
        <f>$J835*(1+$K835)^(2-1)*(1-$L835)*(1-$M835)</f>
        <v/>
      </c>
      <c r="S835" s="33">
        <f>$J835*(1+$K835)^(3-1)*(1-$L835)*(1-$M835)</f>
        <v/>
      </c>
      <c r="T835" s="33">
        <f>$J835*(1+$K835)^(4-1)*(1-$L835)*(1-$M835)</f>
        <v/>
      </c>
      <c r="U835" s="33">
        <f>$J835*(1+$K835)^(5-1)*(1-$L835)*(1-$M835)+$O835</f>
        <v/>
      </c>
      <c r="V835" s="33">
        <f>P835+NPV($N835,Q835:U835)</f>
        <v/>
      </c>
      <c r="W835" s="32">
        <f>IFERROR(IRR(P835:U835,0.1),"")</f>
        <v/>
      </c>
    </row>
    <row r="836">
      <c r="A836" s="14" t="n">
        <v>832</v>
      </c>
      <c r="B836" s="30">
        <f>RAND()*(1-2E-6)+1E-6</f>
        <v/>
      </c>
      <c r="C836" s="30">
        <f>RAND()*(1-2E-6)+1E-6</f>
        <v/>
      </c>
      <c r="D836" s="30">
        <f>RAND()*(1-2E-6)+1E-6</f>
        <v/>
      </c>
      <c r="E836" s="30">
        <f>RAND()*(1-2E-6)+1E-6</f>
        <v/>
      </c>
      <c r="F836" s="30">
        <f>RAND()*(1-2E-6)+1E-6</f>
        <v/>
      </c>
      <c r="G836" s="30">
        <f>RAND()*(1-2E-6)+1E-6</f>
        <v/>
      </c>
      <c r="H836" s="30">
        <f>RAND()*(1-2E-6)+1E-6</f>
        <v/>
      </c>
      <c r="I836" s="31">
        <f>MIN(IF(Supuestos!$H$5="",1E+99,Supuestos!$H$5),MAX(IF(Supuestos!$G$5="",-1E+99,Supuestos!$G$5),IF(Supuestos!$C$5="Normal",NORMINV(B836,Supuestos!$D$5,Supuestos!$E$5),IF(Supuestos!$C$5="Triangular",IF(B836&lt;(Supuestos!$E$5-Supuestos!$D$5)/(Supuestos!$F$5-Supuestos!$D$5),Supuestos!$D$5+SQRT(B836*(Supuestos!$F$5-Supuestos!$D$5)*(Supuestos!$E$5-Supuestos!$D$5)),Supuestos!$F$5-SQRT((1-B836)*(Supuestos!$F$5-Supuestos!$D$5)*(Supuestos!$F$5-Supuestos!$E$5))),IF(Supuestos!$C$5="Uniforme",Supuestos!$D$5+B836*(Supuestos!$E$5-Supuestos!$D$5),IF(Supuestos!$C$5="Lognormal",LOGINV(B836,LN(Supuestos!$D$5)-LN(1+Supuestos!$E$5^2/Supuestos!$D$5^2)/2,SQRT(LN(1+Supuestos!$E$5^2/Supuestos!$D$5^2))),Supuestos!$D$5))))))</f>
        <v/>
      </c>
      <c r="J836" s="31">
        <f>MIN(IF(Supuestos!$H$6="",1E+99,Supuestos!$H$6),MAX(IF(Supuestos!$G$6="",-1E+99,Supuestos!$G$6),IF(Supuestos!$C$6="Normal",NORMINV(C836,Supuestos!$D$6,Supuestos!$E$6),IF(Supuestos!$C$6="Triangular",IF(C836&lt;(Supuestos!$E$6-Supuestos!$D$6)/(Supuestos!$F$6-Supuestos!$D$6),Supuestos!$D$6+SQRT(C836*(Supuestos!$F$6-Supuestos!$D$6)*(Supuestos!$E$6-Supuestos!$D$6)),Supuestos!$F$6-SQRT((1-C836)*(Supuestos!$F$6-Supuestos!$D$6)*(Supuestos!$F$6-Supuestos!$E$6))),IF(Supuestos!$C$6="Uniforme",Supuestos!$D$6+C836*(Supuestos!$E$6-Supuestos!$D$6),IF(Supuestos!$C$6="Lognormal",LOGINV(C836,LN(Supuestos!$D$6)-LN(1+Supuestos!$E$6^2/Supuestos!$D$6^2)/2,SQRT(LN(1+Supuestos!$E$6^2/Supuestos!$D$6^2))),Supuestos!$D$6))))))</f>
        <v/>
      </c>
      <c r="K836" s="32">
        <f>MIN(IF(Supuestos!$H$7="",1E+99,Supuestos!$H$7),MAX(IF(Supuestos!$G$7="",-1E+99,Supuestos!$G$7),IF(Supuestos!$C$7="Normal",NORMINV(D836,Supuestos!$D$7,Supuestos!$E$7),IF(Supuestos!$C$7="Triangular",IF(D836&lt;(Supuestos!$E$7-Supuestos!$D$7)/(Supuestos!$F$7-Supuestos!$D$7),Supuestos!$D$7+SQRT(D836*(Supuestos!$F$7-Supuestos!$D$7)*(Supuestos!$E$7-Supuestos!$D$7)),Supuestos!$F$7-SQRT((1-D836)*(Supuestos!$F$7-Supuestos!$D$7)*(Supuestos!$F$7-Supuestos!$E$7))),IF(Supuestos!$C$7="Uniforme",Supuestos!$D$7+D836*(Supuestos!$E$7-Supuestos!$D$7),IF(Supuestos!$C$7="Lognormal",LOGINV(D836,LN(Supuestos!$D$7)-LN(1+Supuestos!$E$7^2/Supuestos!$D$7^2)/2,SQRT(LN(1+Supuestos!$E$7^2/Supuestos!$D$7^2))),Supuestos!$D$7))))))</f>
        <v/>
      </c>
      <c r="L836" s="32">
        <f>MIN(IF(Supuestos!$H$8="",1E+99,Supuestos!$H$8),MAX(IF(Supuestos!$G$8="",-1E+99,Supuestos!$G$8),IF(Supuestos!$C$8="Normal",NORMINV(E836,Supuestos!$D$8,Supuestos!$E$8),IF(Supuestos!$C$8="Triangular",IF(E836&lt;(Supuestos!$E$8-Supuestos!$D$8)/(Supuestos!$F$8-Supuestos!$D$8),Supuestos!$D$8+SQRT(E836*(Supuestos!$F$8-Supuestos!$D$8)*(Supuestos!$E$8-Supuestos!$D$8)),Supuestos!$F$8-SQRT((1-E836)*(Supuestos!$F$8-Supuestos!$D$8)*(Supuestos!$F$8-Supuestos!$E$8))),IF(Supuestos!$C$8="Uniforme",Supuestos!$D$8+E836*(Supuestos!$E$8-Supuestos!$D$8),IF(Supuestos!$C$8="Lognormal",LOGINV(E836,LN(Supuestos!$D$8)-LN(1+Supuestos!$E$8^2/Supuestos!$D$8^2)/2,SQRT(LN(1+Supuestos!$E$8^2/Supuestos!$D$8^2))),Supuestos!$D$8))))))</f>
        <v/>
      </c>
      <c r="M836" s="32">
        <f>MIN(IF(Supuestos!$H$9="",1E+99,Supuestos!$H$9),MAX(IF(Supuestos!$G$9="",-1E+99,Supuestos!$G$9),IF(Supuestos!$C$9="Normal",NORMINV(F836,Supuestos!$D$9,Supuestos!$E$9),IF(Supuestos!$C$9="Triangular",IF(F836&lt;(Supuestos!$E$9-Supuestos!$D$9)/(Supuestos!$F$9-Supuestos!$D$9),Supuestos!$D$9+SQRT(F836*(Supuestos!$F$9-Supuestos!$D$9)*(Supuestos!$E$9-Supuestos!$D$9)),Supuestos!$F$9-SQRT((1-F836)*(Supuestos!$F$9-Supuestos!$D$9)*(Supuestos!$F$9-Supuestos!$E$9))),IF(Supuestos!$C$9="Uniforme",Supuestos!$D$9+F836*(Supuestos!$E$9-Supuestos!$D$9),IF(Supuestos!$C$9="Lognormal",LOGINV(F836,LN(Supuestos!$D$9)-LN(1+Supuestos!$E$9^2/Supuestos!$D$9^2)/2,SQRT(LN(1+Supuestos!$E$9^2/Supuestos!$D$9^2))),Supuestos!$D$9))))))</f>
        <v/>
      </c>
      <c r="N836" s="32">
        <f>MIN(IF(Supuestos!$H$10="",1E+99,Supuestos!$H$10),MAX(IF(Supuestos!$G$10="",-1E+99,Supuestos!$G$10),IF(Supuestos!$C$10="Normal",NORMINV(G836,Supuestos!$D$10,Supuestos!$E$10),IF(Supuestos!$C$10="Triangular",IF(G836&lt;(Supuestos!$E$10-Supuestos!$D$10)/(Supuestos!$F$10-Supuestos!$D$10),Supuestos!$D$10+SQRT(G836*(Supuestos!$F$10-Supuestos!$D$10)*(Supuestos!$E$10-Supuestos!$D$10)),Supuestos!$F$10-SQRT((1-G836)*(Supuestos!$F$10-Supuestos!$D$10)*(Supuestos!$F$10-Supuestos!$E$10))),IF(Supuestos!$C$10="Uniforme",Supuestos!$D$10+G836*(Supuestos!$E$10-Supuestos!$D$10),IF(Supuestos!$C$10="Lognormal",LOGINV(G836,LN(Supuestos!$D$10)-LN(1+Supuestos!$E$10^2/Supuestos!$D$10^2)/2,SQRT(LN(1+Supuestos!$E$10^2/Supuestos!$D$10^2))),Supuestos!$D$10))))))</f>
        <v/>
      </c>
      <c r="O836" s="31">
        <f>MIN(IF(Supuestos!$H$11="",1E+99,Supuestos!$H$11),MAX(IF(Supuestos!$G$11="",-1E+99,Supuestos!$G$11),IF(Supuestos!$C$11="Normal",NORMINV(H836,Supuestos!$D$11,Supuestos!$E$11),IF(Supuestos!$C$11="Triangular",IF(H836&lt;(Supuestos!$E$11-Supuestos!$D$11)/(Supuestos!$F$11-Supuestos!$D$11),Supuestos!$D$11+SQRT(H836*(Supuestos!$F$11-Supuestos!$D$11)*(Supuestos!$E$11-Supuestos!$D$11)),Supuestos!$F$11-SQRT((1-H836)*(Supuestos!$F$11-Supuestos!$D$11)*(Supuestos!$F$11-Supuestos!$E$11))),IF(Supuestos!$C$11="Uniforme",Supuestos!$D$11+H836*(Supuestos!$E$11-Supuestos!$D$11),IF(Supuestos!$C$11="Lognormal",LOGINV(H836,LN(Supuestos!$D$11)-LN(1+Supuestos!$E$11^2/Supuestos!$D$11^2)/2,SQRT(LN(1+Supuestos!$E$11^2/Supuestos!$D$11^2))),Supuestos!$D$11))))))</f>
        <v/>
      </c>
      <c r="P836" s="33">
        <f>-I836</f>
        <v/>
      </c>
      <c r="Q836" s="33">
        <f>$J836*(1+$K836)^(1-1)*(1-$L836)*(1-$M836)</f>
        <v/>
      </c>
      <c r="R836" s="33">
        <f>$J836*(1+$K836)^(2-1)*(1-$L836)*(1-$M836)</f>
        <v/>
      </c>
      <c r="S836" s="33">
        <f>$J836*(1+$K836)^(3-1)*(1-$L836)*(1-$M836)</f>
        <v/>
      </c>
      <c r="T836" s="33">
        <f>$J836*(1+$K836)^(4-1)*(1-$L836)*(1-$M836)</f>
        <v/>
      </c>
      <c r="U836" s="33">
        <f>$J836*(1+$K836)^(5-1)*(1-$L836)*(1-$M836)+$O836</f>
        <v/>
      </c>
      <c r="V836" s="33">
        <f>P836+NPV($N836,Q836:U836)</f>
        <v/>
      </c>
      <c r="W836" s="32">
        <f>IFERROR(IRR(P836:U836,0.1),"")</f>
        <v/>
      </c>
    </row>
    <row r="837">
      <c r="A837" s="14" t="n">
        <v>833</v>
      </c>
      <c r="B837" s="30">
        <f>RAND()*(1-2E-6)+1E-6</f>
        <v/>
      </c>
      <c r="C837" s="30">
        <f>RAND()*(1-2E-6)+1E-6</f>
        <v/>
      </c>
      <c r="D837" s="30">
        <f>RAND()*(1-2E-6)+1E-6</f>
        <v/>
      </c>
      <c r="E837" s="30">
        <f>RAND()*(1-2E-6)+1E-6</f>
        <v/>
      </c>
      <c r="F837" s="30">
        <f>RAND()*(1-2E-6)+1E-6</f>
        <v/>
      </c>
      <c r="G837" s="30">
        <f>RAND()*(1-2E-6)+1E-6</f>
        <v/>
      </c>
      <c r="H837" s="30">
        <f>RAND()*(1-2E-6)+1E-6</f>
        <v/>
      </c>
      <c r="I837" s="31">
        <f>MIN(IF(Supuestos!$H$5="",1E+99,Supuestos!$H$5),MAX(IF(Supuestos!$G$5="",-1E+99,Supuestos!$G$5),IF(Supuestos!$C$5="Normal",NORMINV(B837,Supuestos!$D$5,Supuestos!$E$5),IF(Supuestos!$C$5="Triangular",IF(B837&lt;(Supuestos!$E$5-Supuestos!$D$5)/(Supuestos!$F$5-Supuestos!$D$5),Supuestos!$D$5+SQRT(B837*(Supuestos!$F$5-Supuestos!$D$5)*(Supuestos!$E$5-Supuestos!$D$5)),Supuestos!$F$5-SQRT((1-B837)*(Supuestos!$F$5-Supuestos!$D$5)*(Supuestos!$F$5-Supuestos!$E$5))),IF(Supuestos!$C$5="Uniforme",Supuestos!$D$5+B837*(Supuestos!$E$5-Supuestos!$D$5),IF(Supuestos!$C$5="Lognormal",LOGINV(B837,LN(Supuestos!$D$5)-LN(1+Supuestos!$E$5^2/Supuestos!$D$5^2)/2,SQRT(LN(1+Supuestos!$E$5^2/Supuestos!$D$5^2))),Supuestos!$D$5))))))</f>
        <v/>
      </c>
      <c r="J837" s="31">
        <f>MIN(IF(Supuestos!$H$6="",1E+99,Supuestos!$H$6),MAX(IF(Supuestos!$G$6="",-1E+99,Supuestos!$G$6),IF(Supuestos!$C$6="Normal",NORMINV(C837,Supuestos!$D$6,Supuestos!$E$6),IF(Supuestos!$C$6="Triangular",IF(C837&lt;(Supuestos!$E$6-Supuestos!$D$6)/(Supuestos!$F$6-Supuestos!$D$6),Supuestos!$D$6+SQRT(C837*(Supuestos!$F$6-Supuestos!$D$6)*(Supuestos!$E$6-Supuestos!$D$6)),Supuestos!$F$6-SQRT((1-C837)*(Supuestos!$F$6-Supuestos!$D$6)*(Supuestos!$F$6-Supuestos!$E$6))),IF(Supuestos!$C$6="Uniforme",Supuestos!$D$6+C837*(Supuestos!$E$6-Supuestos!$D$6),IF(Supuestos!$C$6="Lognormal",LOGINV(C837,LN(Supuestos!$D$6)-LN(1+Supuestos!$E$6^2/Supuestos!$D$6^2)/2,SQRT(LN(1+Supuestos!$E$6^2/Supuestos!$D$6^2))),Supuestos!$D$6))))))</f>
        <v/>
      </c>
      <c r="K837" s="32">
        <f>MIN(IF(Supuestos!$H$7="",1E+99,Supuestos!$H$7),MAX(IF(Supuestos!$G$7="",-1E+99,Supuestos!$G$7),IF(Supuestos!$C$7="Normal",NORMINV(D837,Supuestos!$D$7,Supuestos!$E$7),IF(Supuestos!$C$7="Triangular",IF(D837&lt;(Supuestos!$E$7-Supuestos!$D$7)/(Supuestos!$F$7-Supuestos!$D$7),Supuestos!$D$7+SQRT(D837*(Supuestos!$F$7-Supuestos!$D$7)*(Supuestos!$E$7-Supuestos!$D$7)),Supuestos!$F$7-SQRT((1-D837)*(Supuestos!$F$7-Supuestos!$D$7)*(Supuestos!$F$7-Supuestos!$E$7))),IF(Supuestos!$C$7="Uniforme",Supuestos!$D$7+D837*(Supuestos!$E$7-Supuestos!$D$7),IF(Supuestos!$C$7="Lognormal",LOGINV(D837,LN(Supuestos!$D$7)-LN(1+Supuestos!$E$7^2/Supuestos!$D$7^2)/2,SQRT(LN(1+Supuestos!$E$7^2/Supuestos!$D$7^2))),Supuestos!$D$7))))))</f>
        <v/>
      </c>
      <c r="L837" s="32">
        <f>MIN(IF(Supuestos!$H$8="",1E+99,Supuestos!$H$8),MAX(IF(Supuestos!$G$8="",-1E+99,Supuestos!$G$8),IF(Supuestos!$C$8="Normal",NORMINV(E837,Supuestos!$D$8,Supuestos!$E$8),IF(Supuestos!$C$8="Triangular",IF(E837&lt;(Supuestos!$E$8-Supuestos!$D$8)/(Supuestos!$F$8-Supuestos!$D$8),Supuestos!$D$8+SQRT(E837*(Supuestos!$F$8-Supuestos!$D$8)*(Supuestos!$E$8-Supuestos!$D$8)),Supuestos!$F$8-SQRT((1-E837)*(Supuestos!$F$8-Supuestos!$D$8)*(Supuestos!$F$8-Supuestos!$E$8))),IF(Supuestos!$C$8="Uniforme",Supuestos!$D$8+E837*(Supuestos!$E$8-Supuestos!$D$8),IF(Supuestos!$C$8="Lognormal",LOGINV(E837,LN(Supuestos!$D$8)-LN(1+Supuestos!$E$8^2/Supuestos!$D$8^2)/2,SQRT(LN(1+Supuestos!$E$8^2/Supuestos!$D$8^2))),Supuestos!$D$8))))))</f>
        <v/>
      </c>
      <c r="M837" s="32">
        <f>MIN(IF(Supuestos!$H$9="",1E+99,Supuestos!$H$9),MAX(IF(Supuestos!$G$9="",-1E+99,Supuestos!$G$9),IF(Supuestos!$C$9="Normal",NORMINV(F837,Supuestos!$D$9,Supuestos!$E$9),IF(Supuestos!$C$9="Triangular",IF(F837&lt;(Supuestos!$E$9-Supuestos!$D$9)/(Supuestos!$F$9-Supuestos!$D$9),Supuestos!$D$9+SQRT(F837*(Supuestos!$F$9-Supuestos!$D$9)*(Supuestos!$E$9-Supuestos!$D$9)),Supuestos!$F$9-SQRT((1-F837)*(Supuestos!$F$9-Supuestos!$D$9)*(Supuestos!$F$9-Supuestos!$E$9))),IF(Supuestos!$C$9="Uniforme",Supuestos!$D$9+F837*(Supuestos!$E$9-Supuestos!$D$9),IF(Supuestos!$C$9="Lognormal",LOGINV(F837,LN(Supuestos!$D$9)-LN(1+Supuestos!$E$9^2/Supuestos!$D$9^2)/2,SQRT(LN(1+Supuestos!$E$9^2/Supuestos!$D$9^2))),Supuestos!$D$9))))))</f>
        <v/>
      </c>
      <c r="N837" s="32">
        <f>MIN(IF(Supuestos!$H$10="",1E+99,Supuestos!$H$10),MAX(IF(Supuestos!$G$10="",-1E+99,Supuestos!$G$10),IF(Supuestos!$C$10="Normal",NORMINV(G837,Supuestos!$D$10,Supuestos!$E$10),IF(Supuestos!$C$10="Triangular",IF(G837&lt;(Supuestos!$E$10-Supuestos!$D$10)/(Supuestos!$F$10-Supuestos!$D$10),Supuestos!$D$10+SQRT(G837*(Supuestos!$F$10-Supuestos!$D$10)*(Supuestos!$E$10-Supuestos!$D$10)),Supuestos!$F$10-SQRT((1-G837)*(Supuestos!$F$10-Supuestos!$D$10)*(Supuestos!$F$10-Supuestos!$E$10))),IF(Supuestos!$C$10="Uniforme",Supuestos!$D$10+G837*(Supuestos!$E$10-Supuestos!$D$10),IF(Supuestos!$C$10="Lognormal",LOGINV(G837,LN(Supuestos!$D$10)-LN(1+Supuestos!$E$10^2/Supuestos!$D$10^2)/2,SQRT(LN(1+Supuestos!$E$10^2/Supuestos!$D$10^2))),Supuestos!$D$10))))))</f>
        <v/>
      </c>
      <c r="O837" s="31">
        <f>MIN(IF(Supuestos!$H$11="",1E+99,Supuestos!$H$11),MAX(IF(Supuestos!$G$11="",-1E+99,Supuestos!$G$11),IF(Supuestos!$C$11="Normal",NORMINV(H837,Supuestos!$D$11,Supuestos!$E$11),IF(Supuestos!$C$11="Triangular",IF(H837&lt;(Supuestos!$E$11-Supuestos!$D$11)/(Supuestos!$F$11-Supuestos!$D$11),Supuestos!$D$11+SQRT(H837*(Supuestos!$F$11-Supuestos!$D$11)*(Supuestos!$E$11-Supuestos!$D$11)),Supuestos!$F$11-SQRT((1-H837)*(Supuestos!$F$11-Supuestos!$D$11)*(Supuestos!$F$11-Supuestos!$E$11))),IF(Supuestos!$C$11="Uniforme",Supuestos!$D$11+H837*(Supuestos!$E$11-Supuestos!$D$11),IF(Supuestos!$C$11="Lognormal",LOGINV(H837,LN(Supuestos!$D$11)-LN(1+Supuestos!$E$11^2/Supuestos!$D$11^2)/2,SQRT(LN(1+Supuestos!$E$11^2/Supuestos!$D$11^2))),Supuestos!$D$11))))))</f>
        <v/>
      </c>
      <c r="P837" s="33">
        <f>-I837</f>
        <v/>
      </c>
      <c r="Q837" s="33">
        <f>$J837*(1+$K837)^(1-1)*(1-$L837)*(1-$M837)</f>
        <v/>
      </c>
      <c r="R837" s="33">
        <f>$J837*(1+$K837)^(2-1)*(1-$L837)*(1-$M837)</f>
        <v/>
      </c>
      <c r="S837" s="33">
        <f>$J837*(1+$K837)^(3-1)*(1-$L837)*(1-$M837)</f>
        <v/>
      </c>
      <c r="T837" s="33">
        <f>$J837*(1+$K837)^(4-1)*(1-$L837)*(1-$M837)</f>
        <v/>
      </c>
      <c r="U837" s="33">
        <f>$J837*(1+$K837)^(5-1)*(1-$L837)*(1-$M837)+$O837</f>
        <v/>
      </c>
      <c r="V837" s="33">
        <f>P837+NPV($N837,Q837:U837)</f>
        <v/>
      </c>
      <c r="W837" s="32">
        <f>IFERROR(IRR(P837:U837,0.1),"")</f>
        <v/>
      </c>
    </row>
    <row r="838">
      <c r="A838" s="14" t="n">
        <v>834</v>
      </c>
      <c r="B838" s="30">
        <f>RAND()*(1-2E-6)+1E-6</f>
        <v/>
      </c>
      <c r="C838" s="30">
        <f>RAND()*(1-2E-6)+1E-6</f>
        <v/>
      </c>
      <c r="D838" s="30">
        <f>RAND()*(1-2E-6)+1E-6</f>
        <v/>
      </c>
      <c r="E838" s="30">
        <f>RAND()*(1-2E-6)+1E-6</f>
        <v/>
      </c>
      <c r="F838" s="30">
        <f>RAND()*(1-2E-6)+1E-6</f>
        <v/>
      </c>
      <c r="G838" s="30">
        <f>RAND()*(1-2E-6)+1E-6</f>
        <v/>
      </c>
      <c r="H838" s="30">
        <f>RAND()*(1-2E-6)+1E-6</f>
        <v/>
      </c>
      <c r="I838" s="31">
        <f>MIN(IF(Supuestos!$H$5="",1E+99,Supuestos!$H$5),MAX(IF(Supuestos!$G$5="",-1E+99,Supuestos!$G$5),IF(Supuestos!$C$5="Normal",NORMINV(B838,Supuestos!$D$5,Supuestos!$E$5),IF(Supuestos!$C$5="Triangular",IF(B838&lt;(Supuestos!$E$5-Supuestos!$D$5)/(Supuestos!$F$5-Supuestos!$D$5),Supuestos!$D$5+SQRT(B838*(Supuestos!$F$5-Supuestos!$D$5)*(Supuestos!$E$5-Supuestos!$D$5)),Supuestos!$F$5-SQRT((1-B838)*(Supuestos!$F$5-Supuestos!$D$5)*(Supuestos!$F$5-Supuestos!$E$5))),IF(Supuestos!$C$5="Uniforme",Supuestos!$D$5+B838*(Supuestos!$E$5-Supuestos!$D$5),IF(Supuestos!$C$5="Lognormal",LOGINV(B838,LN(Supuestos!$D$5)-LN(1+Supuestos!$E$5^2/Supuestos!$D$5^2)/2,SQRT(LN(1+Supuestos!$E$5^2/Supuestos!$D$5^2))),Supuestos!$D$5))))))</f>
        <v/>
      </c>
      <c r="J838" s="31">
        <f>MIN(IF(Supuestos!$H$6="",1E+99,Supuestos!$H$6),MAX(IF(Supuestos!$G$6="",-1E+99,Supuestos!$G$6),IF(Supuestos!$C$6="Normal",NORMINV(C838,Supuestos!$D$6,Supuestos!$E$6),IF(Supuestos!$C$6="Triangular",IF(C838&lt;(Supuestos!$E$6-Supuestos!$D$6)/(Supuestos!$F$6-Supuestos!$D$6),Supuestos!$D$6+SQRT(C838*(Supuestos!$F$6-Supuestos!$D$6)*(Supuestos!$E$6-Supuestos!$D$6)),Supuestos!$F$6-SQRT((1-C838)*(Supuestos!$F$6-Supuestos!$D$6)*(Supuestos!$F$6-Supuestos!$E$6))),IF(Supuestos!$C$6="Uniforme",Supuestos!$D$6+C838*(Supuestos!$E$6-Supuestos!$D$6),IF(Supuestos!$C$6="Lognormal",LOGINV(C838,LN(Supuestos!$D$6)-LN(1+Supuestos!$E$6^2/Supuestos!$D$6^2)/2,SQRT(LN(1+Supuestos!$E$6^2/Supuestos!$D$6^2))),Supuestos!$D$6))))))</f>
        <v/>
      </c>
      <c r="K838" s="32">
        <f>MIN(IF(Supuestos!$H$7="",1E+99,Supuestos!$H$7),MAX(IF(Supuestos!$G$7="",-1E+99,Supuestos!$G$7),IF(Supuestos!$C$7="Normal",NORMINV(D838,Supuestos!$D$7,Supuestos!$E$7),IF(Supuestos!$C$7="Triangular",IF(D838&lt;(Supuestos!$E$7-Supuestos!$D$7)/(Supuestos!$F$7-Supuestos!$D$7),Supuestos!$D$7+SQRT(D838*(Supuestos!$F$7-Supuestos!$D$7)*(Supuestos!$E$7-Supuestos!$D$7)),Supuestos!$F$7-SQRT((1-D838)*(Supuestos!$F$7-Supuestos!$D$7)*(Supuestos!$F$7-Supuestos!$E$7))),IF(Supuestos!$C$7="Uniforme",Supuestos!$D$7+D838*(Supuestos!$E$7-Supuestos!$D$7),IF(Supuestos!$C$7="Lognormal",LOGINV(D838,LN(Supuestos!$D$7)-LN(1+Supuestos!$E$7^2/Supuestos!$D$7^2)/2,SQRT(LN(1+Supuestos!$E$7^2/Supuestos!$D$7^2))),Supuestos!$D$7))))))</f>
        <v/>
      </c>
      <c r="L838" s="32">
        <f>MIN(IF(Supuestos!$H$8="",1E+99,Supuestos!$H$8),MAX(IF(Supuestos!$G$8="",-1E+99,Supuestos!$G$8),IF(Supuestos!$C$8="Normal",NORMINV(E838,Supuestos!$D$8,Supuestos!$E$8),IF(Supuestos!$C$8="Triangular",IF(E838&lt;(Supuestos!$E$8-Supuestos!$D$8)/(Supuestos!$F$8-Supuestos!$D$8),Supuestos!$D$8+SQRT(E838*(Supuestos!$F$8-Supuestos!$D$8)*(Supuestos!$E$8-Supuestos!$D$8)),Supuestos!$F$8-SQRT((1-E838)*(Supuestos!$F$8-Supuestos!$D$8)*(Supuestos!$F$8-Supuestos!$E$8))),IF(Supuestos!$C$8="Uniforme",Supuestos!$D$8+E838*(Supuestos!$E$8-Supuestos!$D$8),IF(Supuestos!$C$8="Lognormal",LOGINV(E838,LN(Supuestos!$D$8)-LN(1+Supuestos!$E$8^2/Supuestos!$D$8^2)/2,SQRT(LN(1+Supuestos!$E$8^2/Supuestos!$D$8^2))),Supuestos!$D$8))))))</f>
        <v/>
      </c>
      <c r="M838" s="32">
        <f>MIN(IF(Supuestos!$H$9="",1E+99,Supuestos!$H$9),MAX(IF(Supuestos!$G$9="",-1E+99,Supuestos!$G$9),IF(Supuestos!$C$9="Normal",NORMINV(F838,Supuestos!$D$9,Supuestos!$E$9),IF(Supuestos!$C$9="Triangular",IF(F838&lt;(Supuestos!$E$9-Supuestos!$D$9)/(Supuestos!$F$9-Supuestos!$D$9),Supuestos!$D$9+SQRT(F838*(Supuestos!$F$9-Supuestos!$D$9)*(Supuestos!$E$9-Supuestos!$D$9)),Supuestos!$F$9-SQRT((1-F838)*(Supuestos!$F$9-Supuestos!$D$9)*(Supuestos!$F$9-Supuestos!$E$9))),IF(Supuestos!$C$9="Uniforme",Supuestos!$D$9+F838*(Supuestos!$E$9-Supuestos!$D$9),IF(Supuestos!$C$9="Lognormal",LOGINV(F838,LN(Supuestos!$D$9)-LN(1+Supuestos!$E$9^2/Supuestos!$D$9^2)/2,SQRT(LN(1+Supuestos!$E$9^2/Supuestos!$D$9^2))),Supuestos!$D$9))))))</f>
        <v/>
      </c>
      <c r="N838" s="32">
        <f>MIN(IF(Supuestos!$H$10="",1E+99,Supuestos!$H$10),MAX(IF(Supuestos!$G$10="",-1E+99,Supuestos!$G$10),IF(Supuestos!$C$10="Normal",NORMINV(G838,Supuestos!$D$10,Supuestos!$E$10),IF(Supuestos!$C$10="Triangular",IF(G838&lt;(Supuestos!$E$10-Supuestos!$D$10)/(Supuestos!$F$10-Supuestos!$D$10),Supuestos!$D$10+SQRT(G838*(Supuestos!$F$10-Supuestos!$D$10)*(Supuestos!$E$10-Supuestos!$D$10)),Supuestos!$F$10-SQRT((1-G838)*(Supuestos!$F$10-Supuestos!$D$10)*(Supuestos!$F$10-Supuestos!$E$10))),IF(Supuestos!$C$10="Uniforme",Supuestos!$D$10+G838*(Supuestos!$E$10-Supuestos!$D$10),IF(Supuestos!$C$10="Lognormal",LOGINV(G838,LN(Supuestos!$D$10)-LN(1+Supuestos!$E$10^2/Supuestos!$D$10^2)/2,SQRT(LN(1+Supuestos!$E$10^2/Supuestos!$D$10^2))),Supuestos!$D$10))))))</f>
        <v/>
      </c>
      <c r="O838" s="31">
        <f>MIN(IF(Supuestos!$H$11="",1E+99,Supuestos!$H$11),MAX(IF(Supuestos!$G$11="",-1E+99,Supuestos!$G$11),IF(Supuestos!$C$11="Normal",NORMINV(H838,Supuestos!$D$11,Supuestos!$E$11),IF(Supuestos!$C$11="Triangular",IF(H838&lt;(Supuestos!$E$11-Supuestos!$D$11)/(Supuestos!$F$11-Supuestos!$D$11),Supuestos!$D$11+SQRT(H838*(Supuestos!$F$11-Supuestos!$D$11)*(Supuestos!$E$11-Supuestos!$D$11)),Supuestos!$F$11-SQRT((1-H838)*(Supuestos!$F$11-Supuestos!$D$11)*(Supuestos!$F$11-Supuestos!$E$11))),IF(Supuestos!$C$11="Uniforme",Supuestos!$D$11+H838*(Supuestos!$E$11-Supuestos!$D$11),IF(Supuestos!$C$11="Lognormal",LOGINV(H838,LN(Supuestos!$D$11)-LN(1+Supuestos!$E$11^2/Supuestos!$D$11^2)/2,SQRT(LN(1+Supuestos!$E$11^2/Supuestos!$D$11^2))),Supuestos!$D$11))))))</f>
        <v/>
      </c>
      <c r="P838" s="33">
        <f>-I838</f>
        <v/>
      </c>
      <c r="Q838" s="33">
        <f>$J838*(1+$K838)^(1-1)*(1-$L838)*(1-$M838)</f>
        <v/>
      </c>
      <c r="R838" s="33">
        <f>$J838*(1+$K838)^(2-1)*(1-$L838)*(1-$M838)</f>
        <v/>
      </c>
      <c r="S838" s="33">
        <f>$J838*(1+$K838)^(3-1)*(1-$L838)*(1-$M838)</f>
        <v/>
      </c>
      <c r="T838" s="33">
        <f>$J838*(1+$K838)^(4-1)*(1-$L838)*(1-$M838)</f>
        <v/>
      </c>
      <c r="U838" s="33">
        <f>$J838*(1+$K838)^(5-1)*(1-$L838)*(1-$M838)+$O838</f>
        <v/>
      </c>
      <c r="V838" s="33">
        <f>P838+NPV($N838,Q838:U838)</f>
        <v/>
      </c>
      <c r="W838" s="32">
        <f>IFERROR(IRR(P838:U838,0.1),"")</f>
        <v/>
      </c>
    </row>
    <row r="839">
      <c r="A839" s="14" t="n">
        <v>835</v>
      </c>
      <c r="B839" s="30">
        <f>RAND()*(1-2E-6)+1E-6</f>
        <v/>
      </c>
      <c r="C839" s="30">
        <f>RAND()*(1-2E-6)+1E-6</f>
        <v/>
      </c>
      <c r="D839" s="30">
        <f>RAND()*(1-2E-6)+1E-6</f>
        <v/>
      </c>
      <c r="E839" s="30">
        <f>RAND()*(1-2E-6)+1E-6</f>
        <v/>
      </c>
      <c r="F839" s="30">
        <f>RAND()*(1-2E-6)+1E-6</f>
        <v/>
      </c>
      <c r="G839" s="30">
        <f>RAND()*(1-2E-6)+1E-6</f>
        <v/>
      </c>
      <c r="H839" s="30">
        <f>RAND()*(1-2E-6)+1E-6</f>
        <v/>
      </c>
      <c r="I839" s="31">
        <f>MIN(IF(Supuestos!$H$5="",1E+99,Supuestos!$H$5),MAX(IF(Supuestos!$G$5="",-1E+99,Supuestos!$G$5),IF(Supuestos!$C$5="Normal",NORMINV(B839,Supuestos!$D$5,Supuestos!$E$5),IF(Supuestos!$C$5="Triangular",IF(B839&lt;(Supuestos!$E$5-Supuestos!$D$5)/(Supuestos!$F$5-Supuestos!$D$5),Supuestos!$D$5+SQRT(B839*(Supuestos!$F$5-Supuestos!$D$5)*(Supuestos!$E$5-Supuestos!$D$5)),Supuestos!$F$5-SQRT((1-B839)*(Supuestos!$F$5-Supuestos!$D$5)*(Supuestos!$F$5-Supuestos!$E$5))),IF(Supuestos!$C$5="Uniforme",Supuestos!$D$5+B839*(Supuestos!$E$5-Supuestos!$D$5),IF(Supuestos!$C$5="Lognormal",LOGINV(B839,LN(Supuestos!$D$5)-LN(1+Supuestos!$E$5^2/Supuestos!$D$5^2)/2,SQRT(LN(1+Supuestos!$E$5^2/Supuestos!$D$5^2))),Supuestos!$D$5))))))</f>
        <v/>
      </c>
      <c r="J839" s="31">
        <f>MIN(IF(Supuestos!$H$6="",1E+99,Supuestos!$H$6),MAX(IF(Supuestos!$G$6="",-1E+99,Supuestos!$G$6),IF(Supuestos!$C$6="Normal",NORMINV(C839,Supuestos!$D$6,Supuestos!$E$6),IF(Supuestos!$C$6="Triangular",IF(C839&lt;(Supuestos!$E$6-Supuestos!$D$6)/(Supuestos!$F$6-Supuestos!$D$6),Supuestos!$D$6+SQRT(C839*(Supuestos!$F$6-Supuestos!$D$6)*(Supuestos!$E$6-Supuestos!$D$6)),Supuestos!$F$6-SQRT((1-C839)*(Supuestos!$F$6-Supuestos!$D$6)*(Supuestos!$F$6-Supuestos!$E$6))),IF(Supuestos!$C$6="Uniforme",Supuestos!$D$6+C839*(Supuestos!$E$6-Supuestos!$D$6),IF(Supuestos!$C$6="Lognormal",LOGINV(C839,LN(Supuestos!$D$6)-LN(1+Supuestos!$E$6^2/Supuestos!$D$6^2)/2,SQRT(LN(1+Supuestos!$E$6^2/Supuestos!$D$6^2))),Supuestos!$D$6))))))</f>
        <v/>
      </c>
      <c r="K839" s="32">
        <f>MIN(IF(Supuestos!$H$7="",1E+99,Supuestos!$H$7),MAX(IF(Supuestos!$G$7="",-1E+99,Supuestos!$G$7),IF(Supuestos!$C$7="Normal",NORMINV(D839,Supuestos!$D$7,Supuestos!$E$7),IF(Supuestos!$C$7="Triangular",IF(D839&lt;(Supuestos!$E$7-Supuestos!$D$7)/(Supuestos!$F$7-Supuestos!$D$7),Supuestos!$D$7+SQRT(D839*(Supuestos!$F$7-Supuestos!$D$7)*(Supuestos!$E$7-Supuestos!$D$7)),Supuestos!$F$7-SQRT((1-D839)*(Supuestos!$F$7-Supuestos!$D$7)*(Supuestos!$F$7-Supuestos!$E$7))),IF(Supuestos!$C$7="Uniforme",Supuestos!$D$7+D839*(Supuestos!$E$7-Supuestos!$D$7),IF(Supuestos!$C$7="Lognormal",LOGINV(D839,LN(Supuestos!$D$7)-LN(1+Supuestos!$E$7^2/Supuestos!$D$7^2)/2,SQRT(LN(1+Supuestos!$E$7^2/Supuestos!$D$7^2))),Supuestos!$D$7))))))</f>
        <v/>
      </c>
      <c r="L839" s="32">
        <f>MIN(IF(Supuestos!$H$8="",1E+99,Supuestos!$H$8),MAX(IF(Supuestos!$G$8="",-1E+99,Supuestos!$G$8),IF(Supuestos!$C$8="Normal",NORMINV(E839,Supuestos!$D$8,Supuestos!$E$8),IF(Supuestos!$C$8="Triangular",IF(E839&lt;(Supuestos!$E$8-Supuestos!$D$8)/(Supuestos!$F$8-Supuestos!$D$8),Supuestos!$D$8+SQRT(E839*(Supuestos!$F$8-Supuestos!$D$8)*(Supuestos!$E$8-Supuestos!$D$8)),Supuestos!$F$8-SQRT((1-E839)*(Supuestos!$F$8-Supuestos!$D$8)*(Supuestos!$F$8-Supuestos!$E$8))),IF(Supuestos!$C$8="Uniforme",Supuestos!$D$8+E839*(Supuestos!$E$8-Supuestos!$D$8),IF(Supuestos!$C$8="Lognormal",LOGINV(E839,LN(Supuestos!$D$8)-LN(1+Supuestos!$E$8^2/Supuestos!$D$8^2)/2,SQRT(LN(1+Supuestos!$E$8^2/Supuestos!$D$8^2))),Supuestos!$D$8))))))</f>
        <v/>
      </c>
      <c r="M839" s="32">
        <f>MIN(IF(Supuestos!$H$9="",1E+99,Supuestos!$H$9),MAX(IF(Supuestos!$G$9="",-1E+99,Supuestos!$G$9),IF(Supuestos!$C$9="Normal",NORMINV(F839,Supuestos!$D$9,Supuestos!$E$9),IF(Supuestos!$C$9="Triangular",IF(F839&lt;(Supuestos!$E$9-Supuestos!$D$9)/(Supuestos!$F$9-Supuestos!$D$9),Supuestos!$D$9+SQRT(F839*(Supuestos!$F$9-Supuestos!$D$9)*(Supuestos!$E$9-Supuestos!$D$9)),Supuestos!$F$9-SQRT((1-F839)*(Supuestos!$F$9-Supuestos!$D$9)*(Supuestos!$F$9-Supuestos!$E$9))),IF(Supuestos!$C$9="Uniforme",Supuestos!$D$9+F839*(Supuestos!$E$9-Supuestos!$D$9),IF(Supuestos!$C$9="Lognormal",LOGINV(F839,LN(Supuestos!$D$9)-LN(1+Supuestos!$E$9^2/Supuestos!$D$9^2)/2,SQRT(LN(1+Supuestos!$E$9^2/Supuestos!$D$9^2))),Supuestos!$D$9))))))</f>
        <v/>
      </c>
      <c r="N839" s="32">
        <f>MIN(IF(Supuestos!$H$10="",1E+99,Supuestos!$H$10),MAX(IF(Supuestos!$G$10="",-1E+99,Supuestos!$G$10),IF(Supuestos!$C$10="Normal",NORMINV(G839,Supuestos!$D$10,Supuestos!$E$10),IF(Supuestos!$C$10="Triangular",IF(G839&lt;(Supuestos!$E$10-Supuestos!$D$10)/(Supuestos!$F$10-Supuestos!$D$10),Supuestos!$D$10+SQRT(G839*(Supuestos!$F$10-Supuestos!$D$10)*(Supuestos!$E$10-Supuestos!$D$10)),Supuestos!$F$10-SQRT((1-G839)*(Supuestos!$F$10-Supuestos!$D$10)*(Supuestos!$F$10-Supuestos!$E$10))),IF(Supuestos!$C$10="Uniforme",Supuestos!$D$10+G839*(Supuestos!$E$10-Supuestos!$D$10),IF(Supuestos!$C$10="Lognormal",LOGINV(G839,LN(Supuestos!$D$10)-LN(1+Supuestos!$E$10^2/Supuestos!$D$10^2)/2,SQRT(LN(1+Supuestos!$E$10^2/Supuestos!$D$10^2))),Supuestos!$D$10))))))</f>
        <v/>
      </c>
      <c r="O839" s="31">
        <f>MIN(IF(Supuestos!$H$11="",1E+99,Supuestos!$H$11),MAX(IF(Supuestos!$G$11="",-1E+99,Supuestos!$G$11),IF(Supuestos!$C$11="Normal",NORMINV(H839,Supuestos!$D$11,Supuestos!$E$11),IF(Supuestos!$C$11="Triangular",IF(H839&lt;(Supuestos!$E$11-Supuestos!$D$11)/(Supuestos!$F$11-Supuestos!$D$11),Supuestos!$D$11+SQRT(H839*(Supuestos!$F$11-Supuestos!$D$11)*(Supuestos!$E$11-Supuestos!$D$11)),Supuestos!$F$11-SQRT((1-H839)*(Supuestos!$F$11-Supuestos!$D$11)*(Supuestos!$F$11-Supuestos!$E$11))),IF(Supuestos!$C$11="Uniforme",Supuestos!$D$11+H839*(Supuestos!$E$11-Supuestos!$D$11),IF(Supuestos!$C$11="Lognormal",LOGINV(H839,LN(Supuestos!$D$11)-LN(1+Supuestos!$E$11^2/Supuestos!$D$11^2)/2,SQRT(LN(1+Supuestos!$E$11^2/Supuestos!$D$11^2))),Supuestos!$D$11))))))</f>
        <v/>
      </c>
      <c r="P839" s="33">
        <f>-I839</f>
        <v/>
      </c>
      <c r="Q839" s="33">
        <f>$J839*(1+$K839)^(1-1)*(1-$L839)*(1-$M839)</f>
        <v/>
      </c>
      <c r="R839" s="33">
        <f>$J839*(1+$K839)^(2-1)*(1-$L839)*(1-$M839)</f>
        <v/>
      </c>
      <c r="S839" s="33">
        <f>$J839*(1+$K839)^(3-1)*(1-$L839)*(1-$M839)</f>
        <v/>
      </c>
      <c r="T839" s="33">
        <f>$J839*(1+$K839)^(4-1)*(1-$L839)*(1-$M839)</f>
        <v/>
      </c>
      <c r="U839" s="33">
        <f>$J839*(1+$K839)^(5-1)*(1-$L839)*(1-$M839)+$O839</f>
        <v/>
      </c>
      <c r="V839" s="33">
        <f>P839+NPV($N839,Q839:U839)</f>
        <v/>
      </c>
      <c r="W839" s="32">
        <f>IFERROR(IRR(P839:U839,0.1),"")</f>
        <v/>
      </c>
    </row>
    <row r="840">
      <c r="A840" s="14" t="n">
        <v>836</v>
      </c>
      <c r="B840" s="30">
        <f>RAND()*(1-2E-6)+1E-6</f>
        <v/>
      </c>
      <c r="C840" s="30">
        <f>RAND()*(1-2E-6)+1E-6</f>
        <v/>
      </c>
      <c r="D840" s="30">
        <f>RAND()*(1-2E-6)+1E-6</f>
        <v/>
      </c>
      <c r="E840" s="30">
        <f>RAND()*(1-2E-6)+1E-6</f>
        <v/>
      </c>
      <c r="F840" s="30">
        <f>RAND()*(1-2E-6)+1E-6</f>
        <v/>
      </c>
      <c r="G840" s="30">
        <f>RAND()*(1-2E-6)+1E-6</f>
        <v/>
      </c>
      <c r="H840" s="30">
        <f>RAND()*(1-2E-6)+1E-6</f>
        <v/>
      </c>
      <c r="I840" s="31">
        <f>MIN(IF(Supuestos!$H$5="",1E+99,Supuestos!$H$5),MAX(IF(Supuestos!$G$5="",-1E+99,Supuestos!$G$5),IF(Supuestos!$C$5="Normal",NORMINV(B840,Supuestos!$D$5,Supuestos!$E$5),IF(Supuestos!$C$5="Triangular",IF(B840&lt;(Supuestos!$E$5-Supuestos!$D$5)/(Supuestos!$F$5-Supuestos!$D$5),Supuestos!$D$5+SQRT(B840*(Supuestos!$F$5-Supuestos!$D$5)*(Supuestos!$E$5-Supuestos!$D$5)),Supuestos!$F$5-SQRT((1-B840)*(Supuestos!$F$5-Supuestos!$D$5)*(Supuestos!$F$5-Supuestos!$E$5))),IF(Supuestos!$C$5="Uniforme",Supuestos!$D$5+B840*(Supuestos!$E$5-Supuestos!$D$5),IF(Supuestos!$C$5="Lognormal",LOGINV(B840,LN(Supuestos!$D$5)-LN(1+Supuestos!$E$5^2/Supuestos!$D$5^2)/2,SQRT(LN(1+Supuestos!$E$5^2/Supuestos!$D$5^2))),Supuestos!$D$5))))))</f>
        <v/>
      </c>
      <c r="J840" s="31">
        <f>MIN(IF(Supuestos!$H$6="",1E+99,Supuestos!$H$6),MAX(IF(Supuestos!$G$6="",-1E+99,Supuestos!$G$6),IF(Supuestos!$C$6="Normal",NORMINV(C840,Supuestos!$D$6,Supuestos!$E$6),IF(Supuestos!$C$6="Triangular",IF(C840&lt;(Supuestos!$E$6-Supuestos!$D$6)/(Supuestos!$F$6-Supuestos!$D$6),Supuestos!$D$6+SQRT(C840*(Supuestos!$F$6-Supuestos!$D$6)*(Supuestos!$E$6-Supuestos!$D$6)),Supuestos!$F$6-SQRT((1-C840)*(Supuestos!$F$6-Supuestos!$D$6)*(Supuestos!$F$6-Supuestos!$E$6))),IF(Supuestos!$C$6="Uniforme",Supuestos!$D$6+C840*(Supuestos!$E$6-Supuestos!$D$6),IF(Supuestos!$C$6="Lognormal",LOGINV(C840,LN(Supuestos!$D$6)-LN(1+Supuestos!$E$6^2/Supuestos!$D$6^2)/2,SQRT(LN(1+Supuestos!$E$6^2/Supuestos!$D$6^2))),Supuestos!$D$6))))))</f>
        <v/>
      </c>
      <c r="K840" s="32">
        <f>MIN(IF(Supuestos!$H$7="",1E+99,Supuestos!$H$7),MAX(IF(Supuestos!$G$7="",-1E+99,Supuestos!$G$7),IF(Supuestos!$C$7="Normal",NORMINV(D840,Supuestos!$D$7,Supuestos!$E$7),IF(Supuestos!$C$7="Triangular",IF(D840&lt;(Supuestos!$E$7-Supuestos!$D$7)/(Supuestos!$F$7-Supuestos!$D$7),Supuestos!$D$7+SQRT(D840*(Supuestos!$F$7-Supuestos!$D$7)*(Supuestos!$E$7-Supuestos!$D$7)),Supuestos!$F$7-SQRT((1-D840)*(Supuestos!$F$7-Supuestos!$D$7)*(Supuestos!$F$7-Supuestos!$E$7))),IF(Supuestos!$C$7="Uniforme",Supuestos!$D$7+D840*(Supuestos!$E$7-Supuestos!$D$7),IF(Supuestos!$C$7="Lognormal",LOGINV(D840,LN(Supuestos!$D$7)-LN(1+Supuestos!$E$7^2/Supuestos!$D$7^2)/2,SQRT(LN(1+Supuestos!$E$7^2/Supuestos!$D$7^2))),Supuestos!$D$7))))))</f>
        <v/>
      </c>
      <c r="L840" s="32">
        <f>MIN(IF(Supuestos!$H$8="",1E+99,Supuestos!$H$8),MAX(IF(Supuestos!$G$8="",-1E+99,Supuestos!$G$8),IF(Supuestos!$C$8="Normal",NORMINV(E840,Supuestos!$D$8,Supuestos!$E$8),IF(Supuestos!$C$8="Triangular",IF(E840&lt;(Supuestos!$E$8-Supuestos!$D$8)/(Supuestos!$F$8-Supuestos!$D$8),Supuestos!$D$8+SQRT(E840*(Supuestos!$F$8-Supuestos!$D$8)*(Supuestos!$E$8-Supuestos!$D$8)),Supuestos!$F$8-SQRT((1-E840)*(Supuestos!$F$8-Supuestos!$D$8)*(Supuestos!$F$8-Supuestos!$E$8))),IF(Supuestos!$C$8="Uniforme",Supuestos!$D$8+E840*(Supuestos!$E$8-Supuestos!$D$8),IF(Supuestos!$C$8="Lognormal",LOGINV(E840,LN(Supuestos!$D$8)-LN(1+Supuestos!$E$8^2/Supuestos!$D$8^2)/2,SQRT(LN(1+Supuestos!$E$8^2/Supuestos!$D$8^2))),Supuestos!$D$8))))))</f>
        <v/>
      </c>
      <c r="M840" s="32">
        <f>MIN(IF(Supuestos!$H$9="",1E+99,Supuestos!$H$9),MAX(IF(Supuestos!$G$9="",-1E+99,Supuestos!$G$9),IF(Supuestos!$C$9="Normal",NORMINV(F840,Supuestos!$D$9,Supuestos!$E$9),IF(Supuestos!$C$9="Triangular",IF(F840&lt;(Supuestos!$E$9-Supuestos!$D$9)/(Supuestos!$F$9-Supuestos!$D$9),Supuestos!$D$9+SQRT(F840*(Supuestos!$F$9-Supuestos!$D$9)*(Supuestos!$E$9-Supuestos!$D$9)),Supuestos!$F$9-SQRT((1-F840)*(Supuestos!$F$9-Supuestos!$D$9)*(Supuestos!$F$9-Supuestos!$E$9))),IF(Supuestos!$C$9="Uniforme",Supuestos!$D$9+F840*(Supuestos!$E$9-Supuestos!$D$9),IF(Supuestos!$C$9="Lognormal",LOGINV(F840,LN(Supuestos!$D$9)-LN(1+Supuestos!$E$9^2/Supuestos!$D$9^2)/2,SQRT(LN(1+Supuestos!$E$9^2/Supuestos!$D$9^2))),Supuestos!$D$9))))))</f>
        <v/>
      </c>
      <c r="N840" s="32">
        <f>MIN(IF(Supuestos!$H$10="",1E+99,Supuestos!$H$10),MAX(IF(Supuestos!$G$10="",-1E+99,Supuestos!$G$10),IF(Supuestos!$C$10="Normal",NORMINV(G840,Supuestos!$D$10,Supuestos!$E$10),IF(Supuestos!$C$10="Triangular",IF(G840&lt;(Supuestos!$E$10-Supuestos!$D$10)/(Supuestos!$F$10-Supuestos!$D$10),Supuestos!$D$10+SQRT(G840*(Supuestos!$F$10-Supuestos!$D$10)*(Supuestos!$E$10-Supuestos!$D$10)),Supuestos!$F$10-SQRT((1-G840)*(Supuestos!$F$10-Supuestos!$D$10)*(Supuestos!$F$10-Supuestos!$E$10))),IF(Supuestos!$C$10="Uniforme",Supuestos!$D$10+G840*(Supuestos!$E$10-Supuestos!$D$10),IF(Supuestos!$C$10="Lognormal",LOGINV(G840,LN(Supuestos!$D$10)-LN(1+Supuestos!$E$10^2/Supuestos!$D$10^2)/2,SQRT(LN(1+Supuestos!$E$10^2/Supuestos!$D$10^2))),Supuestos!$D$10))))))</f>
        <v/>
      </c>
      <c r="O840" s="31">
        <f>MIN(IF(Supuestos!$H$11="",1E+99,Supuestos!$H$11),MAX(IF(Supuestos!$G$11="",-1E+99,Supuestos!$G$11),IF(Supuestos!$C$11="Normal",NORMINV(H840,Supuestos!$D$11,Supuestos!$E$11),IF(Supuestos!$C$11="Triangular",IF(H840&lt;(Supuestos!$E$11-Supuestos!$D$11)/(Supuestos!$F$11-Supuestos!$D$11),Supuestos!$D$11+SQRT(H840*(Supuestos!$F$11-Supuestos!$D$11)*(Supuestos!$E$11-Supuestos!$D$11)),Supuestos!$F$11-SQRT((1-H840)*(Supuestos!$F$11-Supuestos!$D$11)*(Supuestos!$F$11-Supuestos!$E$11))),IF(Supuestos!$C$11="Uniforme",Supuestos!$D$11+H840*(Supuestos!$E$11-Supuestos!$D$11),IF(Supuestos!$C$11="Lognormal",LOGINV(H840,LN(Supuestos!$D$11)-LN(1+Supuestos!$E$11^2/Supuestos!$D$11^2)/2,SQRT(LN(1+Supuestos!$E$11^2/Supuestos!$D$11^2))),Supuestos!$D$11))))))</f>
        <v/>
      </c>
      <c r="P840" s="33">
        <f>-I840</f>
        <v/>
      </c>
      <c r="Q840" s="33">
        <f>$J840*(1+$K840)^(1-1)*(1-$L840)*(1-$M840)</f>
        <v/>
      </c>
      <c r="R840" s="33">
        <f>$J840*(1+$K840)^(2-1)*(1-$L840)*(1-$M840)</f>
        <v/>
      </c>
      <c r="S840" s="33">
        <f>$J840*(1+$K840)^(3-1)*(1-$L840)*(1-$M840)</f>
        <v/>
      </c>
      <c r="T840" s="33">
        <f>$J840*(1+$K840)^(4-1)*(1-$L840)*(1-$M840)</f>
        <v/>
      </c>
      <c r="U840" s="33">
        <f>$J840*(1+$K840)^(5-1)*(1-$L840)*(1-$M840)+$O840</f>
        <v/>
      </c>
      <c r="V840" s="33">
        <f>P840+NPV($N840,Q840:U840)</f>
        <v/>
      </c>
      <c r="W840" s="32">
        <f>IFERROR(IRR(P840:U840,0.1),"")</f>
        <v/>
      </c>
    </row>
    <row r="841">
      <c r="A841" s="14" t="n">
        <v>837</v>
      </c>
      <c r="B841" s="30">
        <f>RAND()*(1-2E-6)+1E-6</f>
        <v/>
      </c>
      <c r="C841" s="30">
        <f>RAND()*(1-2E-6)+1E-6</f>
        <v/>
      </c>
      <c r="D841" s="30">
        <f>RAND()*(1-2E-6)+1E-6</f>
        <v/>
      </c>
      <c r="E841" s="30">
        <f>RAND()*(1-2E-6)+1E-6</f>
        <v/>
      </c>
      <c r="F841" s="30">
        <f>RAND()*(1-2E-6)+1E-6</f>
        <v/>
      </c>
      <c r="G841" s="30">
        <f>RAND()*(1-2E-6)+1E-6</f>
        <v/>
      </c>
      <c r="H841" s="30">
        <f>RAND()*(1-2E-6)+1E-6</f>
        <v/>
      </c>
      <c r="I841" s="31">
        <f>MIN(IF(Supuestos!$H$5="",1E+99,Supuestos!$H$5),MAX(IF(Supuestos!$G$5="",-1E+99,Supuestos!$G$5),IF(Supuestos!$C$5="Normal",NORMINV(B841,Supuestos!$D$5,Supuestos!$E$5),IF(Supuestos!$C$5="Triangular",IF(B841&lt;(Supuestos!$E$5-Supuestos!$D$5)/(Supuestos!$F$5-Supuestos!$D$5),Supuestos!$D$5+SQRT(B841*(Supuestos!$F$5-Supuestos!$D$5)*(Supuestos!$E$5-Supuestos!$D$5)),Supuestos!$F$5-SQRT((1-B841)*(Supuestos!$F$5-Supuestos!$D$5)*(Supuestos!$F$5-Supuestos!$E$5))),IF(Supuestos!$C$5="Uniforme",Supuestos!$D$5+B841*(Supuestos!$E$5-Supuestos!$D$5),IF(Supuestos!$C$5="Lognormal",LOGINV(B841,LN(Supuestos!$D$5)-LN(1+Supuestos!$E$5^2/Supuestos!$D$5^2)/2,SQRT(LN(1+Supuestos!$E$5^2/Supuestos!$D$5^2))),Supuestos!$D$5))))))</f>
        <v/>
      </c>
      <c r="J841" s="31">
        <f>MIN(IF(Supuestos!$H$6="",1E+99,Supuestos!$H$6),MAX(IF(Supuestos!$G$6="",-1E+99,Supuestos!$G$6),IF(Supuestos!$C$6="Normal",NORMINV(C841,Supuestos!$D$6,Supuestos!$E$6),IF(Supuestos!$C$6="Triangular",IF(C841&lt;(Supuestos!$E$6-Supuestos!$D$6)/(Supuestos!$F$6-Supuestos!$D$6),Supuestos!$D$6+SQRT(C841*(Supuestos!$F$6-Supuestos!$D$6)*(Supuestos!$E$6-Supuestos!$D$6)),Supuestos!$F$6-SQRT((1-C841)*(Supuestos!$F$6-Supuestos!$D$6)*(Supuestos!$F$6-Supuestos!$E$6))),IF(Supuestos!$C$6="Uniforme",Supuestos!$D$6+C841*(Supuestos!$E$6-Supuestos!$D$6),IF(Supuestos!$C$6="Lognormal",LOGINV(C841,LN(Supuestos!$D$6)-LN(1+Supuestos!$E$6^2/Supuestos!$D$6^2)/2,SQRT(LN(1+Supuestos!$E$6^2/Supuestos!$D$6^2))),Supuestos!$D$6))))))</f>
        <v/>
      </c>
      <c r="K841" s="32">
        <f>MIN(IF(Supuestos!$H$7="",1E+99,Supuestos!$H$7),MAX(IF(Supuestos!$G$7="",-1E+99,Supuestos!$G$7),IF(Supuestos!$C$7="Normal",NORMINV(D841,Supuestos!$D$7,Supuestos!$E$7),IF(Supuestos!$C$7="Triangular",IF(D841&lt;(Supuestos!$E$7-Supuestos!$D$7)/(Supuestos!$F$7-Supuestos!$D$7),Supuestos!$D$7+SQRT(D841*(Supuestos!$F$7-Supuestos!$D$7)*(Supuestos!$E$7-Supuestos!$D$7)),Supuestos!$F$7-SQRT((1-D841)*(Supuestos!$F$7-Supuestos!$D$7)*(Supuestos!$F$7-Supuestos!$E$7))),IF(Supuestos!$C$7="Uniforme",Supuestos!$D$7+D841*(Supuestos!$E$7-Supuestos!$D$7),IF(Supuestos!$C$7="Lognormal",LOGINV(D841,LN(Supuestos!$D$7)-LN(1+Supuestos!$E$7^2/Supuestos!$D$7^2)/2,SQRT(LN(1+Supuestos!$E$7^2/Supuestos!$D$7^2))),Supuestos!$D$7))))))</f>
        <v/>
      </c>
      <c r="L841" s="32">
        <f>MIN(IF(Supuestos!$H$8="",1E+99,Supuestos!$H$8),MAX(IF(Supuestos!$G$8="",-1E+99,Supuestos!$G$8),IF(Supuestos!$C$8="Normal",NORMINV(E841,Supuestos!$D$8,Supuestos!$E$8),IF(Supuestos!$C$8="Triangular",IF(E841&lt;(Supuestos!$E$8-Supuestos!$D$8)/(Supuestos!$F$8-Supuestos!$D$8),Supuestos!$D$8+SQRT(E841*(Supuestos!$F$8-Supuestos!$D$8)*(Supuestos!$E$8-Supuestos!$D$8)),Supuestos!$F$8-SQRT((1-E841)*(Supuestos!$F$8-Supuestos!$D$8)*(Supuestos!$F$8-Supuestos!$E$8))),IF(Supuestos!$C$8="Uniforme",Supuestos!$D$8+E841*(Supuestos!$E$8-Supuestos!$D$8),IF(Supuestos!$C$8="Lognormal",LOGINV(E841,LN(Supuestos!$D$8)-LN(1+Supuestos!$E$8^2/Supuestos!$D$8^2)/2,SQRT(LN(1+Supuestos!$E$8^2/Supuestos!$D$8^2))),Supuestos!$D$8))))))</f>
        <v/>
      </c>
      <c r="M841" s="32">
        <f>MIN(IF(Supuestos!$H$9="",1E+99,Supuestos!$H$9),MAX(IF(Supuestos!$G$9="",-1E+99,Supuestos!$G$9),IF(Supuestos!$C$9="Normal",NORMINV(F841,Supuestos!$D$9,Supuestos!$E$9),IF(Supuestos!$C$9="Triangular",IF(F841&lt;(Supuestos!$E$9-Supuestos!$D$9)/(Supuestos!$F$9-Supuestos!$D$9),Supuestos!$D$9+SQRT(F841*(Supuestos!$F$9-Supuestos!$D$9)*(Supuestos!$E$9-Supuestos!$D$9)),Supuestos!$F$9-SQRT((1-F841)*(Supuestos!$F$9-Supuestos!$D$9)*(Supuestos!$F$9-Supuestos!$E$9))),IF(Supuestos!$C$9="Uniforme",Supuestos!$D$9+F841*(Supuestos!$E$9-Supuestos!$D$9),IF(Supuestos!$C$9="Lognormal",LOGINV(F841,LN(Supuestos!$D$9)-LN(1+Supuestos!$E$9^2/Supuestos!$D$9^2)/2,SQRT(LN(1+Supuestos!$E$9^2/Supuestos!$D$9^2))),Supuestos!$D$9))))))</f>
        <v/>
      </c>
      <c r="N841" s="32">
        <f>MIN(IF(Supuestos!$H$10="",1E+99,Supuestos!$H$10),MAX(IF(Supuestos!$G$10="",-1E+99,Supuestos!$G$10),IF(Supuestos!$C$10="Normal",NORMINV(G841,Supuestos!$D$10,Supuestos!$E$10),IF(Supuestos!$C$10="Triangular",IF(G841&lt;(Supuestos!$E$10-Supuestos!$D$10)/(Supuestos!$F$10-Supuestos!$D$10),Supuestos!$D$10+SQRT(G841*(Supuestos!$F$10-Supuestos!$D$10)*(Supuestos!$E$10-Supuestos!$D$10)),Supuestos!$F$10-SQRT((1-G841)*(Supuestos!$F$10-Supuestos!$D$10)*(Supuestos!$F$10-Supuestos!$E$10))),IF(Supuestos!$C$10="Uniforme",Supuestos!$D$10+G841*(Supuestos!$E$10-Supuestos!$D$10),IF(Supuestos!$C$10="Lognormal",LOGINV(G841,LN(Supuestos!$D$10)-LN(1+Supuestos!$E$10^2/Supuestos!$D$10^2)/2,SQRT(LN(1+Supuestos!$E$10^2/Supuestos!$D$10^2))),Supuestos!$D$10))))))</f>
        <v/>
      </c>
      <c r="O841" s="31">
        <f>MIN(IF(Supuestos!$H$11="",1E+99,Supuestos!$H$11),MAX(IF(Supuestos!$G$11="",-1E+99,Supuestos!$G$11),IF(Supuestos!$C$11="Normal",NORMINV(H841,Supuestos!$D$11,Supuestos!$E$11),IF(Supuestos!$C$11="Triangular",IF(H841&lt;(Supuestos!$E$11-Supuestos!$D$11)/(Supuestos!$F$11-Supuestos!$D$11),Supuestos!$D$11+SQRT(H841*(Supuestos!$F$11-Supuestos!$D$11)*(Supuestos!$E$11-Supuestos!$D$11)),Supuestos!$F$11-SQRT((1-H841)*(Supuestos!$F$11-Supuestos!$D$11)*(Supuestos!$F$11-Supuestos!$E$11))),IF(Supuestos!$C$11="Uniforme",Supuestos!$D$11+H841*(Supuestos!$E$11-Supuestos!$D$11),IF(Supuestos!$C$11="Lognormal",LOGINV(H841,LN(Supuestos!$D$11)-LN(1+Supuestos!$E$11^2/Supuestos!$D$11^2)/2,SQRT(LN(1+Supuestos!$E$11^2/Supuestos!$D$11^2))),Supuestos!$D$11))))))</f>
        <v/>
      </c>
      <c r="P841" s="33">
        <f>-I841</f>
        <v/>
      </c>
      <c r="Q841" s="33">
        <f>$J841*(1+$K841)^(1-1)*(1-$L841)*(1-$M841)</f>
        <v/>
      </c>
      <c r="R841" s="33">
        <f>$J841*(1+$K841)^(2-1)*(1-$L841)*(1-$M841)</f>
        <v/>
      </c>
      <c r="S841" s="33">
        <f>$J841*(1+$K841)^(3-1)*(1-$L841)*(1-$M841)</f>
        <v/>
      </c>
      <c r="T841" s="33">
        <f>$J841*(1+$K841)^(4-1)*(1-$L841)*(1-$M841)</f>
        <v/>
      </c>
      <c r="U841" s="33">
        <f>$J841*(1+$K841)^(5-1)*(1-$L841)*(1-$M841)+$O841</f>
        <v/>
      </c>
      <c r="V841" s="33">
        <f>P841+NPV($N841,Q841:U841)</f>
        <v/>
      </c>
      <c r="W841" s="32">
        <f>IFERROR(IRR(P841:U841,0.1),"")</f>
        <v/>
      </c>
    </row>
    <row r="842">
      <c r="A842" s="14" t="n">
        <v>838</v>
      </c>
      <c r="B842" s="30">
        <f>RAND()*(1-2E-6)+1E-6</f>
        <v/>
      </c>
      <c r="C842" s="30">
        <f>RAND()*(1-2E-6)+1E-6</f>
        <v/>
      </c>
      <c r="D842" s="30">
        <f>RAND()*(1-2E-6)+1E-6</f>
        <v/>
      </c>
      <c r="E842" s="30">
        <f>RAND()*(1-2E-6)+1E-6</f>
        <v/>
      </c>
      <c r="F842" s="30">
        <f>RAND()*(1-2E-6)+1E-6</f>
        <v/>
      </c>
      <c r="G842" s="30">
        <f>RAND()*(1-2E-6)+1E-6</f>
        <v/>
      </c>
      <c r="H842" s="30">
        <f>RAND()*(1-2E-6)+1E-6</f>
        <v/>
      </c>
      <c r="I842" s="31">
        <f>MIN(IF(Supuestos!$H$5="",1E+99,Supuestos!$H$5),MAX(IF(Supuestos!$G$5="",-1E+99,Supuestos!$G$5),IF(Supuestos!$C$5="Normal",NORMINV(B842,Supuestos!$D$5,Supuestos!$E$5),IF(Supuestos!$C$5="Triangular",IF(B842&lt;(Supuestos!$E$5-Supuestos!$D$5)/(Supuestos!$F$5-Supuestos!$D$5),Supuestos!$D$5+SQRT(B842*(Supuestos!$F$5-Supuestos!$D$5)*(Supuestos!$E$5-Supuestos!$D$5)),Supuestos!$F$5-SQRT((1-B842)*(Supuestos!$F$5-Supuestos!$D$5)*(Supuestos!$F$5-Supuestos!$E$5))),IF(Supuestos!$C$5="Uniforme",Supuestos!$D$5+B842*(Supuestos!$E$5-Supuestos!$D$5),IF(Supuestos!$C$5="Lognormal",LOGINV(B842,LN(Supuestos!$D$5)-LN(1+Supuestos!$E$5^2/Supuestos!$D$5^2)/2,SQRT(LN(1+Supuestos!$E$5^2/Supuestos!$D$5^2))),Supuestos!$D$5))))))</f>
        <v/>
      </c>
      <c r="J842" s="31">
        <f>MIN(IF(Supuestos!$H$6="",1E+99,Supuestos!$H$6),MAX(IF(Supuestos!$G$6="",-1E+99,Supuestos!$G$6),IF(Supuestos!$C$6="Normal",NORMINV(C842,Supuestos!$D$6,Supuestos!$E$6),IF(Supuestos!$C$6="Triangular",IF(C842&lt;(Supuestos!$E$6-Supuestos!$D$6)/(Supuestos!$F$6-Supuestos!$D$6),Supuestos!$D$6+SQRT(C842*(Supuestos!$F$6-Supuestos!$D$6)*(Supuestos!$E$6-Supuestos!$D$6)),Supuestos!$F$6-SQRT((1-C842)*(Supuestos!$F$6-Supuestos!$D$6)*(Supuestos!$F$6-Supuestos!$E$6))),IF(Supuestos!$C$6="Uniforme",Supuestos!$D$6+C842*(Supuestos!$E$6-Supuestos!$D$6),IF(Supuestos!$C$6="Lognormal",LOGINV(C842,LN(Supuestos!$D$6)-LN(1+Supuestos!$E$6^2/Supuestos!$D$6^2)/2,SQRT(LN(1+Supuestos!$E$6^2/Supuestos!$D$6^2))),Supuestos!$D$6))))))</f>
        <v/>
      </c>
      <c r="K842" s="32">
        <f>MIN(IF(Supuestos!$H$7="",1E+99,Supuestos!$H$7),MAX(IF(Supuestos!$G$7="",-1E+99,Supuestos!$G$7),IF(Supuestos!$C$7="Normal",NORMINV(D842,Supuestos!$D$7,Supuestos!$E$7),IF(Supuestos!$C$7="Triangular",IF(D842&lt;(Supuestos!$E$7-Supuestos!$D$7)/(Supuestos!$F$7-Supuestos!$D$7),Supuestos!$D$7+SQRT(D842*(Supuestos!$F$7-Supuestos!$D$7)*(Supuestos!$E$7-Supuestos!$D$7)),Supuestos!$F$7-SQRT((1-D842)*(Supuestos!$F$7-Supuestos!$D$7)*(Supuestos!$F$7-Supuestos!$E$7))),IF(Supuestos!$C$7="Uniforme",Supuestos!$D$7+D842*(Supuestos!$E$7-Supuestos!$D$7),IF(Supuestos!$C$7="Lognormal",LOGINV(D842,LN(Supuestos!$D$7)-LN(1+Supuestos!$E$7^2/Supuestos!$D$7^2)/2,SQRT(LN(1+Supuestos!$E$7^2/Supuestos!$D$7^2))),Supuestos!$D$7))))))</f>
        <v/>
      </c>
      <c r="L842" s="32">
        <f>MIN(IF(Supuestos!$H$8="",1E+99,Supuestos!$H$8),MAX(IF(Supuestos!$G$8="",-1E+99,Supuestos!$G$8),IF(Supuestos!$C$8="Normal",NORMINV(E842,Supuestos!$D$8,Supuestos!$E$8),IF(Supuestos!$C$8="Triangular",IF(E842&lt;(Supuestos!$E$8-Supuestos!$D$8)/(Supuestos!$F$8-Supuestos!$D$8),Supuestos!$D$8+SQRT(E842*(Supuestos!$F$8-Supuestos!$D$8)*(Supuestos!$E$8-Supuestos!$D$8)),Supuestos!$F$8-SQRT((1-E842)*(Supuestos!$F$8-Supuestos!$D$8)*(Supuestos!$F$8-Supuestos!$E$8))),IF(Supuestos!$C$8="Uniforme",Supuestos!$D$8+E842*(Supuestos!$E$8-Supuestos!$D$8),IF(Supuestos!$C$8="Lognormal",LOGINV(E842,LN(Supuestos!$D$8)-LN(1+Supuestos!$E$8^2/Supuestos!$D$8^2)/2,SQRT(LN(1+Supuestos!$E$8^2/Supuestos!$D$8^2))),Supuestos!$D$8))))))</f>
        <v/>
      </c>
      <c r="M842" s="32">
        <f>MIN(IF(Supuestos!$H$9="",1E+99,Supuestos!$H$9),MAX(IF(Supuestos!$G$9="",-1E+99,Supuestos!$G$9),IF(Supuestos!$C$9="Normal",NORMINV(F842,Supuestos!$D$9,Supuestos!$E$9),IF(Supuestos!$C$9="Triangular",IF(F842&lt;(Supuestos!$E$9-Supuestos!$D$9)/(Supuestos!$F$9-Supuestos!$D$9),Supuestos!$D$9+SQRT(F842*(Supuestos!$F$9-Supuestos!$D$9)*(Supuestos!$E$9-Supuestos!$D$9)),Supuestos!$F$9-SQRT((1-F842)*(Supuestos!$F$9-Supuestos!$D$9)*(Supuestos!$F$9-Supuestos!$E$9))),IF(Supuestos!$C$9="Uniforme",Supuestos!$D$9+F842*(Supuestos!$E$9-Supuestos!$D$9),IF(Supuestos!$C$9="Lognormal",LOGINV(F842,LN(Supuestos!$D$9)-LN(1+Supuestos!$E$9^2/Supuestos!$D$9^2)/2,SQRT(LN(1+Supuestos!$E$9^2/Supuestos!$D$9^2))),Supuestos!$D$9))))))</f>
        <v/>
      </c>
      <c r="N842" s="32">
        <f>MIN(IF(Supuestos!$H$10="",1E+99,Supuestos!$H$10),MAX(IF(Supuestos!$G$10="",-1E+99,Supuestos!$G$10),IF(Supuestos!$C$10="Normal",NORMINV(G842,Supuestos!$D$10,Supuestos!$E$10),IF(Supuestos!$C$10="Triangular",IF(G842&lt;(Supuestos!$E$10-Supuestos!$D$10)/(Supuestos!$F$10-Supuestos!$D$10),Supuestos!$D$10+SQRT(G842*(Supuestos!$F$10-Supuestos!$D$10)*(Supuestos!$E$10-Supuestos!$D$10)),Supuestos!$F$10-SQRT((1-G842)*(Supuestos!$F$10-Supuestos!$D$10)*(Supuestos!$F$10-Supuestos!$E$10))),IF(Supuestos!$C$10="Uniforme",Supuestos!$D$10+G842*(Supuestos!$E$10-Supuestos!$D$10),IF(Supuestos!$C$10="Lognormal",LOGINV(G842,LN(Supuestos!$D$10)-LN(1+Supuestos!$E$10^2/Supuestos!$D$10^2)/2,SQRT(LN(1+Supuestos!$E$10^2/Supuestos!$D$10^2))),Supuestos!$D$10))))))</f>
        <v/>
      </c>
      <c r="O842" s="31">
        <f>MIN(IF(Supuestos!$H$11="",1E+99,Supuestos!$H$11),MAX(IF(Supuestos!$G$11="",-1E+99,Supuestos!$G$11),IF(Supuestos!$C$11="Normal",NORMINV(H842,Supuestos!$D$11,Supuestos!$E$11),IF(Supuestos!$C$11="Triangular",IF(H842&lt;(Supuestos!$E$11-Supuestos!$D$11)/(Supuestos!$F$11-Supuestos!$D$11),Supuestos!$D$11+SQRT(H842*(Supuestos!$F$11-Supuestos!$D$11)*(Supuestos!$E$11-Supuestos!$D$11)),Supuestos!$F$11-SQRT((1-H842)*(Supuestos!$F$11-Supuestos!$D$11)*(Supuestos!$F$11-Supuestos!$E$11))),IF(Supuestos!$C$11="Uniforme",Supuestos!$D$11+H842*(Supuestos!$E$11-Supuestos!$D$11),IF(Supuestos!$C$11="Lognormal",LOGINV(H842,LN(Supuestos!$D$11)-LN(1+Supuestos!$E$11^2/Supuestos!$D$11^2)/2,SQRT(LN(1+Supuestos!$E$11^2/Supuestos!$D$11^2))),Supuestos!$D$11))))))</f>
        <v/>
      </c>
      <c r="P842" s="33">
        <f>-I842</f>
        <v/>
      </c>
      <c r="Q842" s="33">
        <f>$J842*(1+$K842)^(1-1)*(1-$L842)*(1-$M842)</f>
        <v/>
      </c>
      <c r="R842" s="33">
        <f>$J842*(1+$K842)^(2-1)*(1-$L842)*(1-$M842)</f>
        <v/>
      </c>
      <c r="S842" s="33">
        <f>$J842*(1+$K842)^(3-1)*(1-$L842)*(1-$M842)</f>
        <v/>
      </c>
      <c r="T842" s="33">
        <f>$J842*(1+$K842)^(4-1)*(1-$L842)*(1-$M842)</f>
        <v/>
      </c>
      <c r="U842" s="33">
        <f>$J842*(1+$K842)^(5-1)*(1-$L842)*(1-$M842)+$O842</f>
        <v/>
      </c>
      <c r="V842" s="33">
        <f>P842+NPV($N842,Q842:U842)</f>
        <v/>
      </c>
      <c r="W842" s="32">
        <f>IFERROR(IRR(P842:U842,0.1),"")</f>
        <v/>
      </c>
    </row>
    <row r="843">
      <c r="A843" s="14" t="n">
        <v>839</v>
      </c>
      <c r="B843" s="30">
        <f>RAND()*(1-2E-6)+1E-6</f>
        <v/>
      </c>
      <c r="C843" s="30">
        <f>RAND()*(1-2E-6)+1E-6</f>
        <v/>
      </c>
      <c r="D843" s="30">
        <f>RAND()*(1-2E-6)+1E-6</f>
        <v/>
      </c>
      <c r="E843" s="30">
        <f>RAND()*(1-2E-6)+1E-6</f>
        <v/>
      </c>
      <c r="F843" s="30">
        <f>RAND()*(1-2E-6)+1E-6</f>
        <v/>
      </c>
      <c r="G843" s="30">
        <f>RAND()*(1-2E-6)+1E-6</f>
        <v/>
      </c>
      <c r="H843" s="30">
        <f>RAND()*(1-2E-6)+1E-6</f>
        <v/>
      </c>
      <c r="I843" s="31">
        <f>MIN(IF(Supuestos!$H$5="",1E+99,Supuestos!$H$5),MAX(IF(Supuestos!$G$5="",-1E+99,Supuestos!$G$5),IF(Supuestos!$C$5="Normal",NORMINV(B843,Supuestos!$D$5,Supuestos!$E$5),IF(Supuestos!$C$5="Triangular",IF(B843&lt;(Supuestos!$E$5-Supuestos!$D$5)/(Supuestos!$F$5-Supuestos!$D$5),Supuestos!$D$5+SQRT(B843*(Supuestos!$F$5-Supuestos!$D$5)*(Supuestos!$E$5-Supuestos!$D$5)),Supuestos!$F$5-SQRT((1-B843)*(Supuestos!$F$5-Supuestos!$D$5)*(Supuestos!$F$5-Supuestos!$E$5))),IF(Supuestos!$C$5="Uniforme",Supuestos!$D$5+B843*(Supuestos!$E$5-Supuestos!$D$5),IF(Supuestos!$C$5="Lognormal",LOGINV(B843,LN(Supuestos!$D$5)-LN(1+Supuestos!$E$5^2/Supuestos!$D$5^2)/2,SQRT(LN(1+Supuestos!$E$5^2/Supuestos!$D$5^2))),Supuestos!$D$5))))))</f>
        <v/>
      </c>
      <c r="J843" s="31">
        <f>MIN(IF(Supuestos!$H$6="",1E+99,Supuestos!$H$6),MAX(IF(Supuestos!$G$6="",-1E+99,Supuestos!$G$6),IF(Supuestos!$C$6="Normal",NORMINV(C843,Supuestos!$D$6,Supuestos!$E$6),IF(Supuestos!$C$6="Triangular",IF(C843&lt;(Supuestos!$E$6-Supuestos!$D$6)/(Supuestos!$F$6-Supuestos!$D$6),Supuestos!$D$6+SQRT(C843*(Supuestos!$F$6-Supuestos!$D$6)*(Supuestos!$E$6-Supuestos!$D$6)),Supuestos!$F$6-SQRT((1-C843)*(Supuestos!$F$6-Supuestos!$D$6)*(Supuestos!$F$6-Supuestos!$E$6))),IF(Supuestos!$C$6="Uniforme",Supuestos!$D$6+C843*(Supuestos!$E$6-Supuestos!$D$6),IF(Supuestos!$C$6="Lognormal",LOGINV(C843,LN(Supuestos!$D$6)-LN(1+Supuestos!$E$6^2/Supuestos!$D$6^2)/2,SQRT(LN(1+Supuestos!$E$6^2/Supuestos!$D$6^2))),Supuestos!$D$6))))))</f>
        <v/>
      </c>
      <c r="K843" s="32">
        <f>MIN(IF(Supuestos!$H$7="",1E+99,Supuestos!$H$7),MAX(IF(Supuestos!$G$7="",-1E+99,Supuestos!$G$7),IF(Supuestos!$C$7="Normal",NORMINV(D843,Supuestos!$D$7,Supuestos!$E$7),IF(Supuestos!$C$7="Triangular",IF(D843&lt;(Supuestos!$E$7-Supuestos!$D$7)/(Supuestos!$F$7-Supuestos!$D$7),Supuestos!$D$7+SQRT(D843*(Supuestos!$F$7-Supuestos!$D$7)*(Supuestos!$E$7-Supuestos!$D$7)),Supuestos!$F$7-SQRT((1-D843)*(Supuestos!$F$7-Supuestos!$D$7)*(Supuestos!$F$7-Supuestos!$E$7))),IF(Supuestos!$C$7="Uniforme",Supuestos!$D$7+D843*(Supuestos!$E$7-Supuestos!$D$7),IF(Supuestos!$C$7="Lognormal",LOGINV(D843,LN(Supuestos!$D$7)-LN(1+Supuestos!$E$7^2/Supuestos!$D$7^2)/2,SQRT(LN(1+Supuestos!$E$7^2/Supuestos!$D$7^2))),Supuestos!$D$7))))))</f>
        <v/>
      </c>
      <c r="L843" s="32">
        <f>MIN(IF(Supuestos!$H$8="",1E+99,Supuestos!$H$8),MAX(IF(Supuestos!$G$8="",-1E+99,Supuestos!$G$8),IF(Supuestos!$C$8="Normal",NORMINV(E843,Supuestos!$D$8,Supuestos!$E$8),IF(Supuestos!$C$8="Triangular",IF(E843&lt;(Supuestos!$E$8-Supuestos!$D$8)/(Supuestos!$F$8-Supuestos!$D$8),Supuestos!$D$8+SQRT(E843*(Supuestos!$F$8-Supuestos!$D$8)*(Supuestos!$E$8-Supuestos!$D$8)),Supuestos!$F$8-SQRT((1-E843)*(Supuestos!$F$8-Supuestos!$D$8)*(Supuestos!$F$8-Supuestos!$E$8))),IF(Supuestos!$C$8="Uniforme",Supuestos!$D$8+E843*(Supuestos!$E$8-Supuestos!$D$8),IF(Supuestos!$C$8="Lognormal",LOGINV(E843,LN(Supuestos!$D$8)-LN(1+Supuestos!$E$8^2/Supuestos!$D$8^2)/2,SQRT(LN(1+Supuestos!$E$8^2/Supuestos!$D$8^2))),Supuestos!$D$8))))))</f>
        <v/>
      </c>
      <c r="M843" s="32">
        <f>MIN(IF(Supuestos!$H$9="",1E+99,Supuestos!$H$9),MAX(IF(Supuestos!$G$9="",-1E+99,Supuestos!$G$9),IF(Supuestos!$C$9="Normal",NORMINV(F843,Supuestos!$D$9,Supuestos!$E$9),IF(Supuestos!$C$9="Triangular",IF(F843&lt;(Supuestos!$E$9-Supuestos!$D$9)/(Supuestos!$F$9-Supuestos!$D$9),Supuestos!$D$9+SQRT(F843*(Supuestos!$F$9-Supuestos!$D$9)*(Supuestos!$E$9-Supuestos!$D$9)),Supuestos!$F$9-SQRT((1-F843)*(Supuestos!$F$9-Supuestos!$D$9)*(Supuestos!$F$9-Supuestos!$E$9))),IF(Supuestos!$C$9="Uniforme",Supuestos!$D$9+F843*(Supuestos!$E$9-Supuestos!$D$9),IF(Supuestos!$C$9="Lognormal",LOGINV(F843,LN(Supuestos!$D$9)-LN(1+Supuestos!$E$9^2/Supuestos!$D$9^2)/2,SQRT(LN(1+Supuestos!$E$9^2/Supuestos!$D$9^2))),Supuestos!$D$9))))))</f>
        <v/>
      </c>
      <c r="N843" s="32">
        <f>MIN(IF(Supuestos!$H$10="",1E+99,Supuestos!$H$10),MAX(IF(Supuestos!$G$10="",-1E+99,Supuestos!$G$10),IF(Supuestos!$C$10="Normal",NORMINV(G843,Supuestos!$D$10,Supuestos!$E$10),IF(Supuestos!$C$10="Triangular",IF(G843&lt;(Supuestos!$E$10-Supuestos!$D$10)/(Supuestos!$F$10-Supuestos!$D$10),Supuestos!$D$10+SQRT(G843*(Supuestos!$F$10-Supuestos!$D$10)*(Supuestos!$E$10-Supuestos!$D$10)),Supuestos!$F$10-SQRT((1-G843)*(Supuestos!$F$10-Supuestos!$D$10)*(Supuestos!$F$10-Supuestos!$E$10))),IF(Supuestos!$C$10="Uniforme",Supuestos!$D$10+G843*(Supuestos!$E$10-Supuestos!$D$10),IF(Supuestos!$C$10="Lognormal",LOGINV(G843,LN(Supuestos!$D$10)-LN(1+Supuestos!$E$10^2/Supuestos!$D$10^2)/2,SQRT(LN(1+Supuestos!$E$10^2/Supuestos!$D$10^2))),Supuestos!$D$10))))))</f>
        <v/>
      </c>
      <c r="O843" s="31">
        <f>MIN(IF(Supuestos!$H$11="",1E+99,Supuestos!$H$11),MAX(IF(Supuestos!$G$11="",-1E+99,Supuestos!$G$11),IF(Supuestos!$C$11="Normal",NORMINV(H843,Supuestos!$D$11,Supuestos!$E$11),IF(Supuestos!$C$11="Triangular",IF(H843&lt;(Supuestos!$E$11-Supuestos!$D$11)/(Supuestos!$F$11-Supuestos!$D$11),Supuestos!$D$11+SQRT(H843*(Supuestos!$F$11-Supuestos!$D$11)*(Supuestos!$E$11-Supuestos!$D$11)),Supuestos!$F$11-SQRT((1-H843)*(Supuestos!$F$11-Supuestos!$D$11)*(Supuestos!$F$11-Supuestos!$E$11))),IF(Supuestos!$C$11="Uniforme",Supuestos!$D$11+H843*(Supuestos!$E$11-Supuestos!$D$11),IF(Supuestos!$C$11="Lognormal",LOGINV(H843,LN(Supuestos!$D$11)-LN(1+Supuestos!$E$11^2/Supuestos!$D$11^2)/2,SQRT(LN(1+Supuestos!$E$11^2/Supuestos!$D$11^2))),Supuestos!$D$11))))))</f>
        <v/>
      </c>
      <c r="P843" s="33">
        <f>-I843</f>
        <v/>
      </c>
      <c r="Q843" s="33">
        <f>$J843*(1+$K843)^(1-1)*(1-$L843)*(1-$M843)</f>
        <v/>
      </c>
      <c r="R843" s="33">
        <f>$J843*(1+$K843)^(2-1)*(1-$L843)*(1-$M843)</f>
        <v/>
      </c>
      <c r="S843" s="33">
        <f>$J843*(1+$K843)^(3-1)*(1-$L843)*(1-$M843)</f>
        <v/>
      </c>
      <c r="T843" s="33">
        <f>$J843*(1+$K843)^(4-1)*(1-$L843)*(1-$M843)</f>
        <v/>
      </c>
      <c r="U843" s="33">
        <f>$J843*(1+$K843)^(5-1)*(1-$L843)*(1-$M843)+$O843</f>
        <v/>
      </c>
      <c r="V843" s="33">
        <f>P843+NPV($N843,Q843:U843)</f>
        <v/>
      </c>
      <c r="W843" s="32">
        <f>IFERROR(IRR(P843:U843,0.1),"")</f>
        <v/>
      </c>
    </row>
    <row r="844">
      <c r="A844" s="14" t="n">
        <v>840</v>
      </c>
      <c r="B844" s="30">
        <f>RAND()*(1-2E-6)+1E-6</f>
        <v/>
      </c>
      <c r="C844" s="30">
        <f>RAND()*(1-2E-6)+1E-6</f>
        <v/>
      </c>
      <c r="D844" s="30">
        <f>RAND()*(1-2E-6)+1E-6</f>
        <v/>
      </c>
      <c r="E844" s="30">
        <f>RAND()*(1-2E-6)+1E-6</f>
        <v/>
      </c>
      <c r="F844" s="30">
        <f>RAND()*(1-2E-6)+1E-6</f>
        <v/>
      </c>
      <c r="G844" s="30">
        <f>RAND()*(1-2E-6)+1E-6</f>
        <v/>
      </c>
      <c r="H844" s="30">
        <f>RAND()*(1-2E-6)+1E-6</f>
        <v/>
      </c>
      <c r="I844" s="31">
        <f>MIN(IF(Supuestos!$H$5="",1E+99,Supuestos!$H$5),MAX(IF(Supuestos!$G$5="",-1E+99,Supuestos!$G$5),IF(Supuestos!$C$5="Normal",NORMINV(B844,Supuestos!$D$5,Supuestos!$E$5),IF(Supuestos!$C$5="Triangular",IF(B844&lt;(Supuestos!$E$5-Supuestos!$D$5)/(Supuestos!$F$5-Supuestos!$D$5),Supuestos!$D$5+SQRT(B844*(Supuestos!$F$5-Supuestos!$D$5)*(Supuestos!$E$5-Supuestos!$D$5)),Supuestos!$F$5-SQRT((1-B844)*(Supuestos!$F$5-Supuestos!$D$5)*(Supuestos!$F$5-Supuestos!$E$5))),IF(Supuestos!$C$5="Uniforme",Supuestos!$D$5+B844*(Supuestos!$E$5-Supuestos!$D$5),IF(Supuestos!$C$5="Lognormal",LOGINV(B844,LN(Supuestos!$D$5)-LN(1+Supuestos!$E$5^2/Supuestos!$D$5^2)/2,SQRT(LN(1+Supuestos!$E$5^2/Supuestos!$D$5^2))),Supuestos!$D$5))))))</f>
        <v/>
      </c>
      <c r="J844" s="31">
        <f>MIN(IF(Supuestos!$H$6="",1E+99,Supuestos!$H$6),MAX(IF(Supuestos!$G$6="",-1E+99,Supuestos!$G$6),IF(Supuestos!$C$6="Normal",NORMINV(C844,Supuestos!$D$6,Supuestos!$E$6),IF(Supuestos!$C$6="Triangular",IF(C844&lt;(Supuestos!$E$6-Supuestos!$D$6)/(Supuestos!$F$6-Supuestos!$D$6),Supuestos!$D$6+SQRT(C844*(Supuestos!$F$6-Supuestos!$D$6)*(Supuestos!$E$6-Supuestos!$D$6)),Supuestos!$F$6-SQRT((1-C844)*(Supuestos!$F$6-Supuestos!$D$6)*(Supuestos!$F$6-Supuestos!$E$6))),IF(Supuestos!$C$6="Uniforme",Supuestos!$D$6+C844*(Supuestos!$E$6-Supuestos!$D$6),IF(Supuestos!$C$6="Lognormal",LOGINV(C844,LN(Supuestos!$D$6)-LN(1+Supuestos!$E$6^2/Supuestos!$D$6^2)/2,SQRT(LN(1+Supuestos!$E$6^2/Supuestos!$D$6^2))),Supuestos!$D$6))))))</f>
        <v/>
      </c>
      <c r="K844" s="32">
        <f>MIN(IF(Supuestos!$H$7="",1E+99,Supuestos!$H$7),MAX(IF(Supuestos!$G$7="",-1E+99,Supuestos!$G$7),IF(Supuestos!$C$7="Normal",NORMINV(D844,Supuestos!$D$7,Supuestos!$E$7),IF(Supuestos!$C$7="Triangular",IF(D844&lt;(Supuestos!$E$7-Supuestos!$D$7)/(Supuestos!$F$7-Supuestos!$D$7),Supuestos!$D$7+SQRT(D844*(Supuestos!$F$7-Supuestos!$D$7)*(Supuestos!$E$7-Supuestos!$D$7)),Supuestos!$F$7-SQRT((1-D844)*(Supuestos!$F$7-Supuestos!$D$7)*(Supuestos!$F$7-Supuestos!$E$7))),IF(Supuestos!$C$7="Uniforme",Supuestos!$D$7+D844*(Supuestos!$E$7-Supuestos!$D$7),IF(Supuestos!$C$7="Lognormal",LOGINV(D844,LN(Supuestos!$D$7)-LN(1+Supuestos!$E$7^2/Supuestos!$D$7^2)/2,SQRT(LN(1+Supuestos!$E$7^2/Supuestos!$D$7^2))),Supuestos!$D$7))))))</f>
        <v/>
      </c>
      <c r="L844" s="32">
        <f>MIN(IF(Supuestos!$H$8="",1E+99,Supuestos!$H$8),MAX(IF(Supuestos!$G$8="",-1E+99,Supuestos!$G$8),IF(Supuestos!$C$8="Normal",NORMINV(E844,Supuestos!$D$8,Supuestos!$E$8),IF(Supuestos!$C$8="Triangular",IF(E844&lt;(Supuestos!$E$8-Supuestos!$D$8)/(Supuestos!$F$8-Supuestos!$D$8),Supuestos!$D$8+SQRT(E844*(Supuestos!$F$8-Supuestos!$D$8)*(Supuestos!$E$8-Supuestos!$D$8)),Supuestos!$F$8-SQRT((1-E844)*(Supuestos!$F$8-Supuestos!$D$8)*(Supuestos!$F$8-Supuestos!$E$8))),IF(Supuestos!$C$8="Uniforme",Supuestos!$D$8+E844*(Supuestos!$E$8-Supuestos!$D$8),IF(Supuestos!$C$8="Lognormal",LOGINV(E844,LN(Supuestos!$D$8)-LN(1+Supuestos!$E$8^2/Supuestos!$D$8^2)/2,SQRT(LN(1+Supuestos!$E$8^2/Supuestos!$D$8^2))),Supuestos!$D$8))))))</f>
        <v/>
      </c>
      <c r="M844" s="32">
        <f>MIN(IF(Supuestos!$H$9="",1E+99,Supuestos!$H$9),MAX(IF(Supuestos!$G$9="",-1E+99,Supuestos!$G$9),IF(Supuestos!$C$9="Normal",NORMINV(F844,Supuestos!$D$9,Supuestos!$E$9),IF(Supuestos!$C$9="Triangular",IF(F844&lt;(Supuestos!$E$9-Supuestos!$D$9)/(Supuestos!$F$9-Supuestos!$D$9),Supuestos!$D$9+SQRT(F844*(Supuestos!$F$9-Supuestos!$D$9)*(Supuestos!$E$9-Supuestos!$D$9)),Supuestos!$F$9-SQRT((1-F844)*(Supuestos!$F$9-Supuestos!$D$9)*(Supuestos!$F$9-Supuestos!$E$9))),IF(Supuestos!$C$9="Uniforme",Supuestos!$D$9+F844*(Supuestos!$E$9-Supuestos!$D$9),IF(Supuestos!$C$9="Lognormal",LOGINV(F844,LN(Supuestos!$D$9)-LN(1+Supuestos!$E$9^2/Supuestos!$D$9^2)/2,SQRT(LN(1+Supuestos!$E$9^2/Supuestos!$D$9^2))),Supuestos!$D$9))))))</f>
        <v/>
      </c>
      <c r="N844" s="32">
        <f>MIN(IF(Supuestos!$H$10="",1E+99,Supuestos!$H$10),MAX(IF(Supuestos!$G$10="",-1E+99,Supuestos!$G$10),IF(Supuestos!$C$10="Normal",NORMINV(G844,Supuestos!$D$10,Supuestos!$E$10),IF(Supuestos!$C$10="Triangular",IF(G844&lt;(Supuestos!$E$10-Supuestos!$D$10)/(Supuestos!$F$10-Supuestos!$D$10),Supuestos!$D$10+SQRT(G844*(Supuestos!$F$10-Supuestos!$D$10)*(Supuestos!$E$10-Supuestos!$D$10)),Supuestos!$F$10-SQRT((1-G844)*(Supuestos!$F$10-Supuestos!$D$10)*(Supuestos!$F$10-Supuestos!$E$10))),IF(Supuestos!$C$10="Uniforme",Supuestos!$D$10+G844*(Supuestos!$E$10-Supuestos!$D$10),IF(Supuestos!$C$10="Lognormal",LOGINV(G844,LN(Supuestos!$D$10)-LN(1+Supuestos!$E$10^2/Supuestos!$D$10^2)/2,SQRT(LN(1+Supuestos!$E$10^2/Supuestos!$D$10^2))),Supuestos!$D$10))))))</f>
        <v/>
      </c>
      <c r="O844" s="31">
        <f>MIN(IF(Supuestos!$H$11="",1E+99,Supuestos!$H$11),MAX(IF(Supuestos!$G$11="",-1E+99,Supuestos!$G$11),IF(Supuestos!$C$11="Normal",NORMINV(H844,Supuestos!$D$11,Supuestos!$E$11),IF(Supuestos!$C$11="Triangular",IF(H844&lt;(Supuestos!$E$11-Supuestos!$D$11)/(Supuestos!$F$11-Supuestos!$D$11),Supuestos!$D$11+SQRT(H844*(Supuestos!$F$11-Supuestos!$D$11)*(Supuestos!$E$11-Supuestos!$D$11)),Supuestos!$F$11-SQRT((1-H844)*(Supuestos!$F$11-Supuestos!$D$11)*(Supuestos!$F$11-Supuestos!$E$11))),IF(Supuestos!$C$11="Uniforme",Supuestos!$D$11+H844*(Supuestos!$E$11-Supuestos!$D$11),IF(Supuestos!$C$11="Lognormal",LOGINV(H844,LN(Supuestos!$D$11)-LN(1+Supuestos!$E$11^2/Supuestos!$D$11^2)/2,SQRT(LN(1+Supuestos!$E$11^2/Supuestos!$D$11^2))),Supuestos!$D$11))))))</f>
        <v/>
      </c>
      <c r="P844" s="33">
        <f>-I844</f>
        <v/>
      </c>
      <c r="Q844" s="33">
        <f>$J844*(1+$K844)^(1-1)*(1-$L844)*(1-$M844)</f>
        <v/>
      </c>
      <c r="R844" s="33">
        <f>$J844*(1+$K844)^(2-1)*(1-$L844)*(1-$M844)</f>
        <v/>
      </c>
      <c r="S844" s="33">
        <f>$J844*(1+$K844)^(3-1)*(1-$L844)*(1-$M844)</f>
        <v/>
      </c>
      <c r="T844" s="33">
        <f>$J844*(1+$K844)^(4-1)*(1-$L844)*(1-$M844)</f>
        <v/>
      </c>
      <c r="U844" s="33">
        <f>$J844*(1+$K844)^(5-1)*(1-$L844)*(1-$M844)+$O844</f>
        <v/>
      </c>
      <c r="V844" s="33">
        <f>P844+NPV($N844,Q844:U844)</f>
        <v/>
      </c>
      <c r="W844" s="32">
        <f>IFERROR(IRR(P844:U844,0.1),"")</f>
        <v/>
      </c>
    </row>
    <row r="845">
      <c r="A845" s="14" t="n">
        <v>841</v>
      </c>
      <c r="B845" s="30">
        <f>RAND()*(1-2E-6)+1E-6</f>
        <v/>
      </c>
      <c r="C845" s="30">
        <f>RAND()*(1-2E-6)+1E-6</f>
        <v/>
      </c>
      <c r="D845" s="30">
        <f>RAND()*(1-2E-6)+1E-6</f>
        <v/>
      </c>
      <c r="E845" s="30">
        <f>RAND()*(1-2E-6)+1E-6</f>
        <v/>
      </c>
      <c r="F845" s="30">
        <f>RAND()*(1-2E-6)+1E-6</f>
        <v/>
      </c>
      <c r="G845" s="30">
        <f>RAND()*(1-2E-6)+1E-6</f>
        <v/>
      </c>
      <c r="H845" s="30">
        <f>RAND()*(1-2E-6)+1E-6</f>
        <v/>
      </c>
      <c r="I845" s="31">
        <f>MIN(IF(Supuestos!$H$5="",1E+99,Supuestos!$H$5),MAX(IF(Supuestos!$G$5="",-1E+99,Supuestos!$G$5),IF(Supuestos!$C$5="Normal",NORMINV(B845,Supuestos!$D$5,Supuestos!$E$5),IF(Supuestos!$C$5="Triangular",IF(B845&lt;(Supuestos!$E$5-Supuestos!$D$5)/(Supuestos!$F$5-Supuestos!$D$5),Supuestos!$D$5+SQRT(B845*(Supuestos!$F$5-Supuestos!$D$5)*(Supuestos!$E$5-Supuestos!$D$5)),Supuestos!$F$5-SQRT((1-B845)*(Supuestos!$F$5-Supuestos!$D$5)*(Supuestos!$F$5-Supuestos!$E$5))),IF(Supuestos!$C$5="Uniforme",Supuestos!$D$5+B845*(Supuestos!$E$5-Supuestos!$D$5),IF(Supuestos!$C$5="Lognormal",LOGINV(B845,LN(Supuestos!$D$5)-LN(1+Supuestos!$E$5^2/Supuestos!$D$5^2)/2,SQRT(LN(1+Supuestos!$E$5^2/Supuestos!$D$5^2))),Supuestos!$D$5))))))</f>
        <v/>
      </c>
      <c r="J845" s="31">
        <f>MIN(IF(Supuestos!$H$6="",1E+99,Supuestos!$H$6),MAX(IF(Supuestos!$G$6="",-1E+99,Supuestos!$G$6),IF(Supuestos!$C$6="Normal",NORMINV(C845,Supuestos!$D$6,Supuestos!$E$6),IF(Supuestos!$C$6="Triangular",IF(C845&lt;(Supuestos!$E$6-Supuestos!$D$6)/(Supuestos!$F$6-Supuestos!$D$6),Supuestos!$D$6+SQRT(C845*(Supuestos!$F$6-Supuestos!$D$6)*(Supuestos!$E$6-Supuestos!$D$6)),Supuestos!$F$6-SQRT((1-C845)*(Supuestos!$F$6-Supuestos!$D$6)*(Supuestos!$F$6-Supuestos!$E$6))),IF(Supuestos!$C$6="Uniforme",Supuestos!$D$6+C845*(Supuestos!$E$6-Supuestos!$D$6),IF(Supuestos!$C$6="Lognormal",LOGINV(C845,LN(Supuestos!$D$6)-LN(1+Supuestos!$E$6^2/Supuestos!$D$6^2)/2,SQRT(LN(1+Supuestos!$E$6^2/Supuestos!$D$6^2))),Supuestos!$D$6))))))</f>
        <v/>
      </c>
      <c r="K845" s="32">
        <f>MIN(IF(Supuestos!$H$7="",1E+99,Supuestos!$H$7),MAX(IF(Supuestos!$G$7="",-1E+99,Supuestos!$G$7),IF(Supuestos!$C$7="Normal",NORMINV(D845,Supuestos!$D$7,Supuestos!$E$7),IF(Supuestos!$C$7="Triangular",IF(D845&lt;(Supuestos!$E$7-Supuestos!$D$7)/(Supuestos!$F$7-Supuestos!$D$7),Supuestos!$D$7+SQRT(D845*(Supuestos!$F$7-Supuestos!$D$7)*(Supuestos!$E$7-Supuestos!$D$7)),Supuestos!$F$7-SQRT((1-D845)*(Supuestos!$F$7-Supuestos!$D$7)*(Supuestos!$F$7-Supuestos!$E$7))),IF(Supuestos!$C$7="Uniforme",Supuestos!$D$7+D845*(Supuestos!$E$7-Supuestos!$D$7),IF(Supuestos!$C$7="Lognormal",LOGINV(D845,LN(Supuestos!$D$7)-LN(1+Supuestos!$E$7^2/Supuestos!$D$7^2)/2,SQRT(LN(1+Supuestos!$E$7^2/Supuestos!$D$7^2))),Supuestos!$D$7))))))</f>
        <v/>
      </c>
      <c r="L845" s="32">
        <f>MIN(IF(Supuestos!$H$8="",1E+99,Supuestos!$H$8),MAX(IF(Supuestos!$G$8="",-1E+99,Supuestos!$G$8),IF(Supuestos!$C$8="Normal",NORMINV(E845,Supuestos!$D$8,Supuestos!$E$8),IF(Supuestos!$C$8="Triangular",IF(E845&lt;(Supuestos!$E$8-Supuestos!$D$8)/(Supuestos!$F$8-Supuestos!$D$8),Supuestos!$D$8+SQRT(E845*(Supuestos!$F$8-Supuestos!$D$8)*(Supuestos!$E$8-Supuestos!$D$8)),Supuestos!$F$8-SQRT((1-E845)*(Supuestos!$F$8-Supuestos!$D$8)*(Supuestos!$F$8-Supuestos!$E$8))),IF(Supuestos!$C$8="Uniforme",Supuestos!$D$8+E845*(Supuestos!$E$8-Supuestos!$D$8),IF(Supuestos!$C$8="Lognormal",LOGINV(E845,LN(Supuestos!$D$8)-LN(1+Supuestos!$E$8^2/Supuestos!$D$8^2)/2,SQRT(LN(1+Supuestos!$E$8^2/Supuestos!$D$8^2))),Supuestos!$D$8))))))</f>
        <v/>
      </c>
      <c r="M845" s="32">
        <f>MIN(IF(Supuestos!$H$9="",1E+99,Supuestos!$H$9),MAX(IF(Supuestos!$G$9="",-1E+99,Supuestos!$G$9),IF(Supuestos!$C$9="Normal",NORMINV(F845,Supuestos!$D$9,Supuestos!$E$9),IF(Supuestos!$C$9="Triangular",IF(F845&lt;(Supuestos!$E$9-Supuestos!$D$9)/(Supuestos!$F$9-Supuestos!$D$9),Supuestos!$D$9+SQRT(F845*(Supuestos!$F$9-Supuestos!$D$9)*(Supuestos!$E$9-Supuestos!$D$9)),Supuestos!$F$9-SQRT((1-F845)*(Supuestos!$F$9-Supuestos!$D$9)*(Supuestos!$F$9-Supuestos!$E$9))),IF(Supuestos!$C$9="Uniforme",Supuestos!$D$9+F845*(Supuestos!$E$9-Supuestos!$D$9),IF(Supuestos!$C$9="Lognormal",LOGINV(F845,LN(Supuestos!$D$9)-LN(1+Supuestos!$E$9^2/Supuestos!$D$9^2)/2,SQRT(LN(1+Supuestos!$E$9^2/Supuestos!$D$9^2))),Supuestos!$D$9))))))</f>
        <v/>
      </c>
      <c r="N845" s="32">
        <f>MIN(IF(Supuestos!$H$10="",1E+99,Supuestos!$H$10),MAX(IF(Supuestos!$G$10="",-1E+99,Supuestos!$G$10),IF(Supuestos!$C$10="Normal",NORMINV(G845,Supuestos!$D$10,Supuestos!$E$10),IF(Supuestos!$C$10="Triangular",IF(G845&lt;(Supuestos!$E$10-Supuestos!$D$10)/(Supuestos!$F$10-Supuestos!$D$10),Supuestos!$D$10+SQRT(G845*(Supuestos!$F$10-Supuestos!$D$10)*(Supuestos!$E$10-Supuestos!$D$10)),Supuestos!$F$10-SQRT((1-G845)*(Supuestos!$F$10-Supuestos!$D$10)*(Supuestos!$F$10-Supuestos!$E$10))),IF(Supuestos!$C$10="Uniforme",Supuestos!$D$10+G845*(Supuestos!$E$10-Supuestos!$D$10),IF(Supuestos!$C$10="Lognormal",LOGINV(G845,LN(Supuestos!$D$10)-LN(1+Supuestos!$E$10^2/Supuestos!$D$10^2)/2,SQRT(LN(1+Supuestos!$E$10^2/Supuestos!$D$10^2))),Supuestos!$D$10))))))</f>
        <v/>
      </c>
      <c r="O845" s="31">
        <f>MIN(IF(Supuestos!$H$11="",1E+99,Supuestos!$H$11),MAX(IF(Supuestos!$G$11="",-1E+99,Supuestos!$G$11),IF(Supuestos!$C$11="Normal",NORMINV(H845,Supuestos!$D$11,Supuestos!$E$11),IF(Supuestos!$C$11="Triangular",IF(H845&lt;(Supuestos!$E$11-Supuestos!$D$11)/(Supuestos!$F$11-Supuestos!$D$11),Supuestos!$D$11+SQRT(H845*(Supuestos!$F$11-Supuestos!$D$11)*(Supuestos!$E$11-Supuestos!$D$11)),Supuestos!$F$11-SQRT((1-H845)*(Supuestos!$F$11-Supuestos!$D$11)*(Supuestos!$F$11-Supuestos!$E$11))),IF(Supuestos!$C$11="Uniforme",Supuestos!$D$11+H845*(Supuestos!$E$11-Supuestos!$D$11),IF(Supuestos!$C$11="Lognormal",LOGINV(H845,LN(Supuestos!$D$11)-LN(1+Supuestos!$E$11^2/Supuestos!$D$11^2)/2,SQRT(LN(1+Supuestos!$E$11^2/Supuestos!$D$11^2))),Supuestos!$D$11))))))</f>
        <v/>
      </c>
      <c r="P845" s="33">
        <f>-I845</f>
        <v/>
      </c>
      <c r="Q845" s="33">
        <f>$J845*(1+$K845)^(1-1)*(1-$L845)*(1-$M845)</f>
        <v/>
      </c>
      <c r="R845" s="33">
        <f>$J845*(1+$K845)^(2-1)*(1-$L845)*(1-$M845)</f>
        <v/>
      </c>
      <c r="S845" s="33">
        <f>$J845*(1+$K845)^(3-1)*(1-$L845)*(1-$M845)</f>
        <v/>
      </c>
      <c r="T845" s="33">
        <f>$J845*(1+$K845)^(4-1)*(1-$L845)*(1-$M845)</f>
        <v/>
      </c>
      <c r="U845" s="33">
        <f>$J845*(1+$K845)^(5-1)*(1-$L845)*(1-$M845)+$O845</f>
        <v/>
      </c>
      <c r="V845" s="33">
        <f>P845+NPV($N845,Q845:U845)</f>
        <v/>
      </c>
      <c r="W845" s="32">
        <f>IFERROR(IRR(P845:U845,0.1),"")</f>
        <v/>
      </c>
    </row>
    <row r="846">
      <c r="A846" s="14" t="n">
        <v>842</v>
      </c>
      <c r="B846" s="30">
        <f>RAND()*(1-2E-6)+1E-6</f>
        <v/>
      </c>
      <c r="C846" s="30">
        <f>RAND()*(1-2E-6)+1E-6</f>
        <v/>
      </c>
      <c r="D846" s="30">
        <f>RAND()*(1-2E-6)+1E-6</f>
        <v/>
      </c>
      <c r="E846" s="30">
        <f>RAND()*(1-2E-6)+1E-6</f>
        <v/>
      </c>
      <c r="F846" s="30">
        <f>RAND()*(1-2E-6)+1E-6</f>
        <v/>
      </c>
      <c r="G846" s="30">
        <f>RAND()*(1-2E-6)+1E-6</f>
        <v/>
      </c>
      <c r="H846" s="30">
        <f>RAND()*(1-2E-6)+1E-6</f>
        <v/>
      </c>
      <c r="I846" s="31">
        <f>MIN(IF(Supuestos!$H$5="",1E+99,Supuestos!$H$5),MAX(IF(Supuestos!$G$5="",-1E+99,Supuestos!$G$5),IF(Supuestos!$C$5="Normal",NORMINV(B846,Supuestos!$D$5,Supuestos!$E$5),IF(Supuestos!$C$5="Triangular",IF(B846&lt;(Supuestos!$E$5-Supuestos!$D$5)/(Supuestos!$F$5-Supuestos!$D$5),Supuestos!$D$5+SQRT(B846*(Supuestos!$F$5-Supuestos!$D$5)*(Supuestos!$E$5-Supuestos!$D$5)),Supuestos!$F$5-SQRT((1-B846)*(Supuestos!$F$5-Supuestos!$D$5)*(Supuestos!$F$5-Supuestos!$E$5))),IF(Supuestos!$C$5="Uniforme",Supuestos!$D$5+B846*(Supuestos!$E$5-Supuestos!$D$5),IF(Supuestos!$C$5="Lognormal",LOGINV(B846,LN(Supuestos!$D$5)-LN(1+Supuestos!$E$5^2/Supuestos!$D$5^2)/2,SQRT(LN(1+Supuestos!$E$5^2/Supuestos!$D$5^2))),Supuestos!$D$5))))))</f>
        <v/>
      </c>
      <c r="J846" s="31">
        <f>MIN(IF(Supuestos!$H$6="",1E+99,Supuestos!$H$6),MAX(IF(Supuestos!$G$6="",-1E+99,Supuestos!$G$6),IF(Supuestos!$C$6="Normal",NORMINV(C846,Supuestos!$D$6,Supuestos!$E$6),IF(Supuestos!$C$6="Triangular",IF(C846&lt;(Supuestos!$E$6-Supuestos!$D$6)/(Supuestos!$F$6-Supuestos!$D$6),Supuestos!$D$6+SQRT(C846*(Supuestos!$F$6-Supuestos!$D$6)*(Supuestos!$E$6-Supuestos!$D$6)),Supuestos!$F$6-SQRT((1-C846)*(Supuestos!$F$6-Supuestos!$D$6)*(Supuestos!$F$6-Supuestos!$E$6))),IF(Supuestos!$C$6="Uniforme",Supuestos!$D$6+C846*(Supuestos!$E$6-Supuestos!$D$6),IF(Supuestos!$C$6="Lognormal",LOGINV(C846,LN(Supuestos!$D$6)-LN(1+Supuestos!$E$6^2/Supuestos!$D$6^2)/2,SQRT(LN(1+Supuestos!$E$6^2/Supuestos!$D$6^2))),Supuestos!$D$6))))))</f>
        <v/>
      </c>
      <c r="K846" s="32">
        <f>MIN(IF(Supuestos!$H$7="",1E+99,Supuestos!$H$7),MAX(IF(Supuestos!$G$7="",-1E+99,Supuestos!$G$7),IF(Supuestos!$C$7="Normal",NORMINV(D846,Supuestos!$D$7,Supuestos!$E$7),IF(Supuestos!$C$7="Triangular",IF(D846&lt;(Supuestos!$E$7-Supuestos!$D$7)/(Supuestos!$F$7-Supuestos!$D$7),Supuestos!$D$7+SQRT(D846*(Supuestos!$F$7-Supuestos!$D$7)*(Supuestos!$E$7-Supuestos!$D$7)),Supuestos!$F$7-SQRT((1-D846)*(Supuestos!$F$7-Supuestos!$D$7)*(Supuestos!$F$7-Supuestos!$E$7))),IF(Supuestos!$C$7="Uniforme",Supuestos!$D$7+D846*(Supuestos!$E$7-Supuestos!$D$7),IF(Supuestos!$C$7="Lognormal",LOGINV(D846,LN(Supuestos!$D$7)-LN(1+Supuestos!$E$7^2/Supuestos!$D$7^2)/2,SQRT(LN(1+Supuestos!$E$7^2/Supuestos!$D$7^2))),Supuestos!$D$7))))))</f>
        <v/>
      </c>
      <c r="L846" s="32">
        <f>MIN(IF(Supuestos!$H$8="",1E+99,Supuestos!$H$8),MAX(IF(Supuestos!$G$8="",-1E+99,Supuestos!$G$8),IF(Supuestos!$C$8="Normal",NORMINV(E846,Supuestos!$D$8,Supuestos!$E$8),IF(Supuestos!$C$8="Triangular",IF(E846&lt;(Supuestos!$E$8-Supuestos!$D$8)/(Supuestos!$F$8-Supuestos!$D$8),Supuestos!$D$8+SQRT(E846*(Supuestos!$F$8-Supuestos!$D$8)*(Supuestos!$E$8-Supuestos!$D$8)),Supuestos!$F$8-SQRT((1-E846)*(Supuestos!$F$8-Supuestos!$D$8)*(Supuestos!$F$8-Supuestos!$E$8))),IF(Supuestos!$C$8="Uniforme",Supuestos!$D$8+E846*(Supuestos!$E$8-Supuestos!$D$8),IF(Supuestos!$C$8="Lognormal",LOGINV(E846,LN(Supuestos!$D$8)-LN(1+Supuestos!$E$8^2/Supuestos!$D$8^2)/2,SQRT(LN(1+Supuestos!$E$8^2/Supuestos!$D$8^2))),Supuestos!$D$8))))))</f>
        <v/>
      </c>
      <c r="M846" s="32">
        <f>MIN(IF(Supuestos!$H$9="",1E+99,Supuestos!$H$9),MAX(IF(Supuestos!$G$9="",-1E+99,Supuestos!$G$9),IF(Supuestos!$C$9="Normal",NORMINV(F846,Supuestos!$D$9,Supuestos!$E$9),IF(Supuestos!$C$9="Triangular",IF(F846&lt;(Supuestos!$E$9-Supuestos!$D$9)/(Supuestos!$F$9-Supuestos!$D$9),Supuestos!$D$9+SQRT(F846*(Supuestos!$F$9-Supuestos!$D$9)*(Supuestos!$E$9-Supuestos!$D$9)),Supuestos!$F$9-SQRT((1-F846)*(Supuestos!$F$9-Supuestos!$D$9)*(Supuestos!$F$9-Supuestos!$E$9))),IF(Supuestos!$C$9="Uniforme",Supuestos!$D$9+F846*(Supuestos!$E$9-Supuestos!$D$9),IF(Supuestos!$C$9="Lognormal",LOGINV(F846,LN(Supuestos!$D$9)-LN(1+Supuestos!$E$9^2/Supuestos!$D$9^2)/2,SQRT(LN(1+Supuestos!$E$9^2/Supuestos!$D$9^2))),Supuestos!$D$9))))))</f>
        <v/>
      </c>
      <c r="N846" s="32">
        <f>MIN(IF(Supuestos!$H$10="",1E+99,Supuestos!$H$10),MAX(IF(Supuestos!$G$10="",-1E+99,Supuestos!$G$10),IF(Supuestos!$C$10="Normal",NORMINV(G846,Supuestos!$D$10,Supuestos!$E$10),IF(Supuestos!$C$10="Triangular",IF(G846&lt;(Supuestos!$E$10-Supuestos!$D$10)/(Supuestos!$F$10-Supuestos!$D$10),Supuestos!$D$10+SQRT(G846*(Supuestos!$F$10-Supuestos!$D$10)*(Supuestos!$E$10-Supuestos!$D$10)),Supuestos!$F$10-SQRT((1-G846)*(Supuestos!$F$10-Supuestos!$D$10)*(Supuestos!$F$10-Supuestos!$E$10))),IF(Supuestos!$C$10="Uniforme",Supuestos!$D$10+G846*(Supuestos!$E$10-Supuestos!$D$10),IF(Supuestos!$C$10="Lognormal",LOGINV(G846,LN(Supuestos!$D$10)-LN(1+Supuestos!$E$10^2/Supuestos!$D$10^2)/2,SQRT(LN(1+Supuestos!$E$10^2/Supuestos!$D$10^2))),Supuestos!$D$10))))))</f>
        <v/>
      </c>
      <c r="O846" s="31">
        <f>MIN(IF(Supuestos!$H$11="",1E+99,Supuestos!$H$11),MAX(IF(Supuestos!$G$11="",-1E+99,Supuestos!$G$11),IF(Supuestos!$C$11="Normal",NORMINV(H846,Supuestos!$D$11,Supuestos!$E$11),IF(Supuestos!$C$11="Triangular",IF(H846&lt;(Supuestos!$E$11-Supuestos!$D$11)/(Supuestos!$F$11-Supuestos!$D$11),Supuestos!$D$11+SQRT(H846*(Supuestos!$F$11-Supuestos!$D$11)*(Supuestos!$E$11-Supuestos!$D$11)),Supuestos!$F$11-SQRT((1-H846)*(Supuestos!$F$11-Supuestos!$D$11)*(Supuestos!$F$11-Supuestos!$E$11))),IF(Supuestos!$C$11="Uniforme",Supuestos!$D$11+H846*(Supuestos!$E$11-Supuestos!$D$11),IF(Supuestos!$C$11="Lognormal",LOGINV(H846,LN(Supuestos!$D$11)-LN(1+Supuestos!$E$11^2/Supuestos!$D$11^2)/2,SQRT(LN(1+Supuestos!$E$11^2/Supuestos!$D$11^2))),Supuestos!$D$11))))))</f>
        <v/>
      </c>
      <c r="P846" s="33">
        <f>-I846</f>
        <v/>
      </c>
      <c r="Q846" s="33">
        <f>$J846*(1+$K846)^(1-1)*(1-$L846)*(1-$M846)</f>
        <v/>
      </c>
      <c r="R846" s="33">
        <f>$J846*(1+$K846)^(2-1)*(1-$L846)*(1-$M846)</f>
        <v/>
      </c>
      <c r="S846" s="33">
        <f>$J846*(1+$K846)^(3-1)*(1-$L846)*(1-$M846)</f>
        <v/>
      </c>
      <c r="T846" s="33">
        <f>$J846*(1+$K846)^(4-1)*(1-$L846)*(1-$M846)</f>
        <v/>
      </c>
      <c r="U846" s="33">
        <f>$J846*(1+$K846)^(5-1)*(1-$L846)*(1-$M846)+$O846</f>
        <v/>
      </c>
      <c r="V846" s="33">
        <f>P846+NPV($N846,Q846:U846)</f>
        <v/>
      </c>
      <c r="W846" s="32">
        <f>IFERROR(IRR(P846:U846,0.1),"")</f>
        <v/>
      </c>
    </row>
    <row r="847">
      <c r="A847" s="14" t="n">
        <v>843</v>
      </c>
      <c r="B847" s="30">
        <f>RAND()*(1-2E-6)+1E-6</f>
        <v/>
      </c>
      <c r="C847" s="30">
        <f>RAND()*(1-2E-6)+1E-6</f>
        <v/>
      </c>
      <c r="D847" s="30">
        <f>RAND()*(1-2E-6)+1E-6</f>
        <v/>
      </c>
      <c r="E847" s="30">
        <f>RAND()*(1-2E-6)+1E-6</f>
        <v/>
      </c>
      <c r="F847" s="30">
        <f>RAND()*(1-2E-6)+1E-6</f>
        <v/>
      </c>
      <c r="G847" s="30">
        <f>RAND()*(1-2E-6)+1E-6</f>
        <v/>
      </c>
      <c r="H847" s="30">
        <f>RAND()*(1-2E-6)+1E-6</f>
        <v/>
      </c>
      <c r="I847" s="31">
        <f>MIN(IF(Supuestos!$H$5="",1E+99,Supuestos!$H$5),MAX(IF(Supuestos!$G$5="",-1E+99,Supuestos!$G$5),IF(Supuestos!$C$5="Normal",NORMINV(B847,Supuestos!$D$5,Supuestos!$E$5),IF(Supuestos!$C$5="Triangular",IF(B847&lt;(Supuestos!$E$5-Supuestos!$D$5)/(Supuestos!$F$5-Supuestos!$D$5),Supuestos!$D$5+SQRT(B847*(Supuestos!$F$5-Supuestos!$D$5)*(Supuestos!$E$5-Supuestos!$D$5)),Supuestos!$F$5-SQRT((1-B847)*(Supuestos!$F$5-Supuestos!$D$5)*(Supuestos!$F$5-Supuestos!$E$5))),IF(Supuestos!$C$5="Uniforme",Supuestos!$D$5+B847*(Supuestos!$E$5-Supuestos!$D$5),IF(Supuestos!$C$5="Lognormal",LOGINV(B847,LN(Supuestos!$D$5)-LN(1+Supuestos!$E$5^2/Supuestos!$D$5^2)/2,SQRT(LN(1+Supuestos!$E$5^2/Supuestos!$D$5^2))),Supuestos!$D$5))))))</f>
        <v/>
      </c>
      <c r="J847" s="31">
        <f>MIN(IF(Supuestos!$H$6="",1E+99,Supuestos!$H$6),MAX(IF(Supuestos!$G$6="",-1E+99,Supuestos!$G$6),IF(Supuestos!$C$6="Normal",NORMINV(C847,Supuestos!$D$6,Supuestos!$E$6),IF(Supuestos!$C$6="Triangular",IF(C847&lt;(Supuestos!$E$6-Supuestos!$D$6)/(Supuestos!$F$6-Supuestos!$D$6),Supuestos!$D$6+SQRT(C847*(Supuestos!$F$6-Supuestos!$D$6)*(Supuestos!$E$6-Supuestos!$D$6)),Supuestos!$F$6-SQRT((1-C847)*(Supuestos!$F$6-Supuestos!$D$6)*(Supuestos!$F$6-Supuestos!$E$6))),IF(Supuestos!$C$6="Uniforme",Supuestos!$D$6+C847*(Supuestos!$E$6-Supuestos!$D$6),IF(Supuestos!$C$6="Lognormal",LOGINV(C847,LN(Supuestos!$D$6)-LN(1+Supuestos!$E$6^2/Supuestos!$D$6^2)/2,SQRT(LN(1+Supuestos!$E$6^2/Supuestos!$D$6^2))),Supuestos!$D$6))))))</f>
        <v/>
      </c>
      <c r="K847" s="32">
        <f>MIN(IF(Supuestos!$H$7="",1E+99,Supuestos!$H$7),MAX(IF(Supuestos!$G$7="",-1E+99,Supuestos!$G$7),IF(Supuestos!$C$7="Normal",NORMINV(D847,Supuestos!$D$7,Supuestos!$E$7),IF(Supuestos!$C$7="Triangular",IF(D847&lt;(Supuestos!$E$7-Supuestos!$D$7)/(Supuestos!$F$7-Supuestos!$D$7),Supuestos!$D$7+SQRT(D847*(Supuestos!$F$7-Supuestos!$D$7)*(Supuestos!$E$7-Supuestos!$D$7)),Supuestos!$F$7-SQRT((1-D847)*(Supuestos!$F$7-Supuestos!$D$7)*(Supuestos!$F$7-Supuestos!$E$7))),IF(Supuestos!$C$7="Uniforme",Supuestos!$D$7+D847*(Supuestos!$E$7-Supuestos!$D$7),IF(Supuestos!$C$7="Lognormal",LOGINV(D847,LN(Supuestos!$D$7)-LN(1+Supuestos!$E$7^2/Supuestos!$D$7^2)/2,SQRT(LN(1+Supuestos!$E$7^2/Supuestos!$D$7^2))),Supuestos!$D$7))))))</f>
        <v/>
      </c>
      <c r="L847" s="32">
        <f>MIN(IF(Supuestos!$H$8="",1E+99,Supuestos!$H$8),MAX(IF(Supuestos!$G$8="",-1E+99,Supuestos!$G$8),IF(Supuestos!$C$8="Normal",NORMINV(E847,Supuestos!$D$8,Supuestos!$E$8),IF(Supuestos!$C$8="Triangular",IF(E847&lt;(Supuestos!$E$8-Supuestos!$D$8)/(Supuestos!$F$8-Supuestos!$D$8),Supuestos!$D$8+SQRT(E847*(Supuestos!$F$8-Supuestos!$D$8)*(Supuestos!$E$8-Supuestos!$D$8)),Supuestos!$F$8-SQRT((1-E847)*(Supuestos!$F$8-Supuestos!$D$8)*(Supuestos!$F$8-Supuestos!$E$8))),IF(Supuestos!$C$8="Uniforme",Supuestos!$D$8+E847*(Supuestos!$E$8-Supuestos!$D$8),IF(Supuestos!$C$8="Lognormal",LOGINV(E847,LN(Supuestos!$D$8)-LN(1+Supuestos!$E$8^2/Supuestos!$D$8^2)/2,SQRT(LN(1+Supuestos!$E$8^2/Supuestos!$D$8^2))),Supuestos!$D$8))))))</f>
        <v/>
      </c>
      <c r="M847" s="32">
        <f>MIN(IF(Supuestos!$H$9="",1E+99,Supuestos!$H$9),MAX(IF(Supuestos!$G$9="",-1E+99,Supuestos!$G$9),IF(Supuestos!$C$9="Normal",NORMINV(F847,Supuestos!$D$9,Supuestos!$E$9),IF(Supuestos!$C$9="Triangular",IF(F847&lt;(Supuestos!$E$9-Supuestos!$D$9)/(Supuestos!$F$9-Supuestos!$D$9),Supuestos!$D$9+SQRT(F847*(Supuestos!$F$9-Supuestos!$D$9)*(Supuestos!$E$9-Supuestos!$D$9)),Supuestos!$F$9-SQRT((1-F847)*(Supuestos!$F$9-Supuestos!$D$9)*(Supuestos!$F$9-Supuestos!$E$9))),IF(Supuestos!$C$9="Uniforme",Supuestos!$D$9+F847*(Supuestos!$E$9-Supuestos!$D$9),IF(Supuestos!$C$9="Lognormal",LOGINV(F847,LN(Supuestos!$D$9)-LN(1+Supuestos!$E$9^2/Supuestos!$D$9^2)/2,SQRT(LN(1+Supuestos!$E$9^2/Supuestos!$D$9^2))),Supuestos!$D$9))))))</f>
        <v/>
      </c>
      <c r="N847" s="32">
        <f>MIN(IF(Supuestos!$H$10="",1E+99,Supuestos!$H$10),MAX(IF(Supuestos!$G$10="",-1E+99,Supuestos!$G$10),IF(Supuestos!$C$10="Normal",NORMINV(G847,Supuestos!$D$10,Supuestos!$E$10),IF(Supuestos!$C$10="Triangular",IF(G847&lt;(Supuestos!$E$10-Supuestos!$D$10)/(Supuestos!$F$10-Supuestos!$D$10),Supuestos!$D$10+SQRT(G847*(Supuestos!$F$10-Supuestos!$D$10)*(Supuestos!$E$10-Supuestos!$D$10)),Supuestos!$F$10-SQRT((1-G847)*(Supuestos!$F$10-Supuestos!$D$10)*(Supuestos!$F$10-Supuestos!$E$10))),IF(Supuestos!$C$10="Uniforme",Supuestos!$D$10+G847*(Supuestos!$E$10-Supuestos!$D$10),IF(Supuestos!$C$10="Lognormal",LOGINV(G847,LN(Supuestos!$D$10)-LN(1+Supuestos!$E$10^2/Supuestos!$D$10^2)/2,SQRT(LN(1+Supuestos!$E$10^2/Supuestos!$D$10^2))),Supuestos!$D$10))))))</f>
        <v/>
      </c>
      <c r="O847" s="31">
        <f>MIN(IF(Supuestos!$H$11="",1E+99,Supuestos!$H$11),MAX(IF(Supuestos!$G$11="",-1E+99,Supuestos!$G$11),IF(Supuestos!$C$11="Normal",NORMINV(H847,Supuestos!$D$11,Supuestos!$E$11),IF(Supuestos!$C$11="Triangular",IF(H847&lt;(Supuestos!$E$11-Supuestos!$D$11)/(Supuestos!$F$11-Supuestos!$D$11),Supuestos!$D$11+SQRT(H847*(Supuestos!$F$11-Supuestos!$D$11)*(Supuestos!$E$11-Supuestos!$D$11)),Supuestos!$F$11-SQRT((1-H847)*(Supuestos!$F$11-Supuestos!$D$11)*(Supuestos!$F$11-Supuestos!$E$11))),IF(Supuestos!$C$11="Uniforme",Supuestos!$D$11+H847*(Supuestos!$E$11-Supuestos!$D$11),IF(Supuestos!$C$11="Lognormal",LOGINV(H847,LN(Supuestos!$D$11)-LN(1+Supuestos!$E$11^2/Supuestos!$D$11^2)/2,SQRT(LN(1+Supuestos!$E$11^2/Supuestos!$D$11^2))),Supuestos!$D$11))))))</f>
        <v/>
      </c>
      <c r="P847" s="33">
        <f>-I847</f>
        <v/>
      </c>
      <c r="Q847" s="33">
        <f>$J847*(1+$K847)^(1-1)*(1-$L847)*(1-$M847)</f>
        <v/>
      </c>
      <c r="R847" s="33">
        <f>$J847*(1+$K847)^(2-1)*(1-$L847)*(1-$M847)</f>
        <v/>
      </c>
      <c r="S847" s="33">
        <f>$J847*(1+$K847)^(3-1)*(1-$L847)*(1-$M847)</f>
        <v/>
      </c>
      <c r="T847" s="33">
        <f>$J847*(1+$K847)^(4-1)*(1-$L847)*(1-$M847)</f>
        <v/>
      </c>
      <c r="U847" s="33">
        <f>$J847*(1+$K847)^(5-1)*(1-$L847)*(1-$M847)+$O847</f>
        <v/>
      </c>
      <c r="V847" s="33">
        <f>P847+NPV($N847,Q847:U847)</f>
        <v/>
      </c>
      <c r="W847" s="32">
        <f>IFERROR(IRR(P847:U847,0.1),"")</f>
        <v/>
      </c>
    </row>
    <row r="848">
      <c r="A848" s="14" t="n">
        <v>844</v>
      </c>
      <c r="B848" s="30">
        <f>RAND()*(1-2E-6)+1E-6</f>
        <v/>
      </c>
      <c r="C848" s="30">
        <f>RAND()*(1-2E-6)+1E-6</f>
        <v/>
      </c>
      <c r="D848" s="30">
        <f>RAND()*(1-2E-6)+1E-6</f>
        <v/>
      </c>
      <c r="E848" s="30">
        <f>RAND()*(1-2E-6)+1E-6</f>
        <v/>
      </c>
      <c r="F848" s="30">
        <f>RAND()*(1-2E-6)+1E-6</f>
        <v/>
      </c>
      <c r="G848" s="30">
        <f>RAND()*(1-2E-6)+1E-6</f>
        <v/>
      </c>
      <c r="H848" s="30">
        <f>RAND()*(1-2E-6)+1E-6</f>
        <v/>
      </c>
      <c r="I848" s="31">
        <f>MIN(IF(Supuestos!$H$5="",1E+99,Supuestos!$H$5),MAX(IF(Supuestos!$G$5="",-1E+99,Supuestos!$G$5),IF(Supuestos!$C$5="Normal",NORMINV(B848,Supuestos!$D$5,Supuestos!$E$5),IF(Supuestos!$C$5="Triangular",IF(B848&lt;(Supuestos!$E$5-Supuestos!$D$5)/(Supuestos!$F$5-Supuestos!$D$5),Supuestos!$D$5+SQRT(B848*(Supuestos!$F$5-Supuestos!$D$5)*(Supuestos!$E$5-Supuestos!$D$5)),Supuestos!$F$5-SQRT((1-B848)*(Supuestos!$F$5-Supuestos!$D$5)*(Supuestos!$F$5-Supuestos!$E$5))),IF(Supuestos!$C$5="Uniforme",Supuestos!$D$5+B848*(Supuestos!$E$5-Supuestos!$D$5),IF(Supuestos!$C$5="Lognormal",LOGINV(B848,LN(Supuestos!$D$5)-LN(1+Supuestos!$E$5^2/Supuestos!$D$5^2)/2,SQRT(LN(1+Supuestos!$E$5^2/Supuestos!$D$5^2))),Supuestos!$D$5))))))</f>
        <v/>
      </c>
      <c r="J848" s="31">
        <f>MIN(IF(Supuestos!$H$6="",1E+99,Supuestos!$H$6),MAX(IF(Supuestos!$G$6="",-1E+99,Supuestos!$G$6),IF(Supuestos!$C$6="Normal",NORMINV(C848,Supuestos!$D$6,Supuestos!$E$6),IF(Supuestos!$C$6="Triangular",IF(C848&lt;(Supuestos!$E$6-Supuestos!$D$6)/(Supuestos!$F$6-Supuestos!$D$6),Supuestos!$D$6+SQRT(C848*(Supuestos!$F$6-Supuestos!$D$6)*(Supuestos!$E$6-Supuestos!$D$6)),Supuestos!$F$6-SQRT((1-C848)*(Supuestos!$F$6-Supuestos!$D$6)*(Supuestos!$F$6-Supuestos!$E$6))),IF(Supuestos!$C$6="Uniforme",Supuestos!$D$6+C848*(Supuestos!$E$6-Supuestos!$D$6),IF(Supuestos!$C$6="Lognormal",LOGINV(C848,LN(Supuestos!$D$6)-LN(1+Supuestos!$E$6^2/Supuestos!$D$6^2)/2,SQRT(LN(1+Supuestos!$E$6^2/Supuestos!$D$6^2))),Supuestos!$D$6))))))</f>
        <v/>
      </c>
      <c r="K848" s="32">
        <f>MIN(IF(Supuestos!$H$7="",1E+99,Supuestos!$H$7),MAX(IF(Supuestos!$G$7="",-1E+99,Supuestos!$G$7),IF(Supuestos!$C$7="Normal",NORMINV(D848,Supuestos!$D$7,Supuestos!$E$7),IF(Supuestos!$C$7="Triangular",IF(D848&lt;(Supuestos!$E$7-Supuestos!$D$7)/(Supuestos!$F$7-Supuestos!$D$7),Supuestos!$D$7+SQRT(D848*(Supuestos!$F$7-Supuestos!$D$7)*(Supuestos!$E$7-Supuestos!$D$7)),Supuestos!$F$7-SQRT((1-D848)*(Supuestos!$F$7-Supuestos!$D$7)*(Supuestos!$F$7-Supuestos!$E$7))),IF(Supuestos!$C$7="Uniforme",Supuestos!$D$7+D848*(Supuestos!$E$7-Supuestos!$D$7),IF(Supuestos!$C$7="Lognormal",LOGINV(D848,LN(Supuestos!$D$7)-LN(1+Supuestos!$E$7^2/Supuestos!$D$7^2)/2,SQRT(LN(1+Supuestos!$E$7^2/Supuestos!$D$7^2))),Supuestos!$D$7))))))</f>
        <v/>
      </c>
      <c r="L848" s="32">
        <f>MIN(IF(Supuestos!$H$8="",1E+99,Supuestos!$H$8),MAX(IF(Supuestos!$G$8="",-1E+99,Supuestos!$G$8),IF(Supuestos!$C$8="Normal",NORMINV(E848,Supuestos!$D$8,Supuestos!$E$8),IF(Supuestos!$C$8="Triangular",IF(E848&lt;(Supuestos!$E$8-Supuestos!$D$8)/(Supuestos!$F$8-Supuestos!$D$8),Supuestos!$D$8+SQRT(E848*(Supuestos!$F$8-Supuestos!$D$8)*(Supuestos!$E$8-Supuestos!$D$8)),Supuestos!$F$8-SQRT((1-E848)*(Supuestos!$F$8-Supuestos!$D$8)*(Supuestos!$F$8-Supuestos!$E$8))),IF(Supuestos!$C$8="Uniforme",Supuestos!$D$8+E848*(Supuestos!$E$8-Supuestos!$D$8),IF(Supuestos!$C$8="Lognormal",LOGINV(E848,LN(Supuestos!$D$8)-LN(1+Supuestos!$E$8^2/Supuestos!$D$8^2)/2,SQRT(LN(1+Supuestos!$E$8^2/Supuestos!$D$8^2))),Supuestos!$D$8))))))</f>
        <v/>
      </c>
      <c r="M848" s="32">
        <f>MIN(IF(Supuestos!$H$9="",1E+99,Supuestos!$H$9),MAX(IF(Supuestos!$G$9="",-1E+99,Supuestos!$G$9),IF(Supuestos!$C$9="Normal",NORMINV(F848,Supuestos!$D$9,Supuestos!$E$9),IF(Supuestos!$C$9="Triangular",IF(F848&lt;(Supuestos!$E$9-Supuestos!$D$9)/(Supuestos!$F$9-Supuestos!$D$9),Supuestos!$D$9+SQRT(F848*(Supuestos!$F$9-Supuestos!$D$9)*(Supuestos!$E$9-Supuestos!$D$9)),Supuestos!$F$9-SQRT((1-F848)*(Supuestos!$F$9-Supuestos!$D$9)*(Supuestos!$F$9-Supuestos!$E$9))),IF(Supuestos!$C$9="Uniforme",Supuestos!$D$9+F848*(Supuestos!$E$9-Supuestos!$D$9),IF(Supuestos!$C$9="Lognormal",LOGINV(F848,LN(Supuestos!$D$9)-LN(1+Supuestos!$E$9^2/Supuestos!$D$9^2)/2,SQRT(LN(1+Supuestos!$E$9^2/Supuestos!$D$9^2))),Supuestos!$D$9))))))</f>
        <v/>
      </c>
      <c r="N848" s="32">
        <f>MIN(IF(Supuestos!$H$10="",1E+99,Supuestos!$H$10),MAX(IF(Supuestos!$G$10="",-1E+99,Supuestos!$G$10),IF(Supuestos!$C$10="Normal",NORMINV(G848,Supuestos!$D$10,Supuestos!$E$10),IF(Supuestos!$C$10="Triangular",IF(G848&lt;(Supuestos!$E$10-Supuestos!$D$10)/(Supuestos!$F$10-Supuestos!$D$10),Supuestos!$D$10+SQRT(G848*(Supuestos!$F$10-Supuestos!$D$10)*(Supuestos!$E$10-Supuestos!$D$10)),Supuestos!$F$10-SQRT((1-G848)*(Supuestos!$F$10-Supuestos!$D$10)*(Supuestos!$F$10-Supuestos!$E$10))),IF(Supuestos!$C$10="Uniforme",Supuestos!$D$10+G848*(Supuestos!$E$10-Supuestos!$D$10),IF(Supuestos!$C$10="Lognormal",LOGINV(G848,LN(Supuestos!$D$10)-LN(1+Supuestos!$E$10^2/Supuestos!$D$10^2)/2,SQRT(LN(1+Supuestos!$E$10^2/Supuestos!$D$10^2))),Supuestos!$D$10))))))</f>
        <v/>
      </c>
      <c r="O848" s="31">
        <f>MIN(IF(Supuestos!$H$11="",1E+99,Supuestos!$H$11),MAX(IF(Supuestos!$G$11="",-1E+99,Supuestos!$G$11),IF(Supuestos!$C$11="Normal",NORMINV(H848,Supuestos!$D$11,Supuestos!$E$11),IF(Supuestos!$C$11="Triangular",IF(H848&lt;(Supuestos!$E$11-Supuestos!$D$11)/(Supuestos!$F$11-Supuestos!$D$11),Supuestos!$D$11+SQRT(H848*(Supuestos!$F$11-Supuestos!$D$11)*(Supuestos!$E$11-Supuestos!$D$11)),Supuestos!$F$11-SQRT((1-H848)*(Supuestos!$F$11-Supuestos!$D$11)*(Supuestos!$F$11-Supuestos!$E$11))),IF(Supuestos!$C$11="Uniforme",Supuestos!$D$11+H848*(Supuestos!$E$11-Supuestos!$D$11),IF(Supuestos!$C$11="Lognormal",LOGINV(H848,LN(Supuestos!$D$11)-LN(1+Supuestos!$E$11^2/Supuestos!$D$11^2)/2,SQRT(LN(1+Supuestos!$E$11^2/Supuestos!$D$11^2))),Supuestos!$D$11))))))</f>
        <v/>
      </c>
      <c r="P848" s="33">
        <f>-I848</f>
        <v/>
      </c>
      <c r="Q848" s="33">
        <f>$J848*(1+$K848)^(1-1)*(1-$L848)*(1-$M848)</f>
        <v/>
      </c>
      <c r="R848" s="33">
        <f>$J848*(1+$K848)^(2-1)*(1-$L848)*(1-$M848)</f>
        <v/>
      </c>
      <c r="S848" s="33">
        <f>$J848*(1+$K848)^(3-1)*(1-$L848)*(1-$M848)</f>
        <v/>
      </c>
      <c r="T848" s="33">
        <f>$J848*(1+$K848)^(4-1)*(1-$L848)*(1-$M848)</f>
        <v/>
      </c>
      <c r="U848" s="33">
        <f>$J848*(1+$K848)^(5-1)*(1-$L848)*(1-$M848)+$O848</f>
        <v/>
      </c>
      <c r="V848" s="33">
        <f>P848+NPV($N848,Q848:U848)</f>
        <v/>
      </c>
      <c r="W848" s="32">
        <f>IFERROR(IRR(P848:U848,0.1),"")</f>
        <v/>
      </c>
    </row>
    <row r="849">
      <c r="A849" s="14" t="n">
        <v>845</v>
      </c>
      <c r="B849" s="30">
        <f>RAND()*(1-2E-6)+1E-6</f>
        <v/>
      </c>
      <c r="C849" s="30">
        <f>RAND()*(1-2E-6)+1E-6</f>
        <v/>
      </c>
      <c r="D849" s="30">
        <f>RAND()*(1-2E-6)+1E-6</f>
        <v/>
      </c>
      <c r="E849" s="30">
        <f>RAND()*(1-2E-6)+1E-6</f>
        <v/>
      </c>
      <c r="F849" s="30">
        <f>RAND()*(1-2E-6)+1E-6</f>
        <v/>
      </c>
      <c r="G849" s="30">
        <f>RAND()*(1-2E-6)+1E-6</f>
        <v/>
      </c>
      <c r="H849" s="30">
        <f>RAND()*(1-2E-6)+1E-6</f>
        <v/>
      </c>
      <c r="I849" s="31">
        <f>MIN(IF(Supuestos!$H$5="",1E+99,Supuestos!$H$5),MAX(IF(Supuestos!$G$5="",-1E+99,Supuestos!$G$5),IF(Supuestos!$C$5="Normal",NORMINV(B849,Supuestos!$D$5,Supuestos!$E$5),IF(Supuestos!$C$5="Triangular",IF(B849&lt;(Supuestos!$E$5-Supuestos!$D$5)/(Supuestos!$F$5-Supuestos!$D$5),Supuestos!$D$5+SQRT(B849*(Supuestos!$F$5-Supuestos!$D$5)*(Supuestos!$E$5-Supuestos!$D$5)),Supuestos!$F$5-SQRT((1-B849)*(Supuestos!$F$5-Supuestos!$D$5)*(Supuestos!$F$5-Supuestos!$E$5))),IF(Supuestos!$C$5="Uniforme",Supuestos!$D$5+B849*(Supuestos!$E$5-Supuestos!$D$5),IF(Supuestos!$C$5="Lognormal",LOGINV(B849,LN(Supuestos!$D$5)-LN(1+Supuestos!$E$5^2/Supuestos!$D$5^2)/2,SQRT(LN(1+Supuestos!$E$5^2/Supuestos!$D$5^2))),Supuestos!$D$5))))))</f>
        <v/>
      </c>
      <c r="J849" s="31">
        <f>MIN(IF(Supuestos!$H$6="",1E+99,Supuestos!$H$6),MAX(IF(Supuestos!$G$6="",-1E+99,Supuestos!$G$6),IF(Supuestos!$C$6="Normal",NORMINV(C849,Supuestos!$D$6,Supuestos!$E$6),IF(Supuestos!$C$6="Triangular",IF(C849&lt;(Supuestos!$E$6-Supuestos!$D$6)/(Supuestos!$F$6-Supuestos!$D$6),Supuestos!$D$6+SQRT(C849*(Supuestos!$F$6-Supuestos!$D$6)*(Supuestos!$E$6-Supuestos!$D$6)),Supuestos!$F$6-SQRT((1-C849)*(Supuestos!$F$6-Supuestos!$D$6)*(Supuestos!$F$6-Supuestos!$E$6))),IF(Supuestos!$C$6="Uniforme",Supuestos!$D$6+C849*(Supuestos!$E$6-Supuestos!$D$6),IF(Supuestos!$C$6="Lognormal",LOGINV(C849,LN(Supuestos!$D$6)-LN(1+Supuestos!$E$6^2/Supuestos!$D$6^2)/2,SQRT(LN(1+Supuestos!$E$6^2/Supuestos!$D$6^2))),Supuestos!$D$6))))))</f>
        <v/>
      </c>
      <c r="K849" s="32">
        <f>MIN(IF(Supuestos!$H$7="",1E+99,Supuestos!$H$7),MAX(IF(Supuestos!$G$7="",-1E+99,Supuestos!$G$7),IF(Supuestos!$C$7="Normal",NORMINV(D849,Supuestos!$D$7,Supuestos!$E$7),IF(Supuestos!$C$7="Triangular",IF(D849&lt;(Supuestos!$E$7-Supuestos!$D$7)/(Supuestos!$F$7-Supuestos!$D$7),Supuestos!$D$7+SQRT(D849*(Supuestos!$F$7-Supuestos!$D$7)*(Supuestos!$E$7-Supuestos!$D$7)),Supuestos!$F$7-SQRT((1-D849)*(Supuestos!$F$7-Supuestos!$D$7)*(Supuestos!$F$7-Supuestos!$E$7))),IF(Supuestos!$C$7="Uniforme",Supuestos!$D$7+D849*(Supuestos!$E$7-Supuestos!$D$7),IF(Supuestos!$C$7="Lognormal",LOGINV(D849,LN(Supuestos!$D$7)-LN(1+Supuestos!$E$7^2/Supuestos!$D$7^2)/2,SQRT(LN(1+Supuestos!$E$7^2/Supuestos!$D$7^2))),Supuestos!$D$7))))))</f>
        <v/>
      </c>
      <c r="L849" s="32">
        <f>MIN(IF(Supuestos!$H$8="",1E+99,Supuestos!$H$8),MAX(IF(Supuestos!$G$8="",-1E+99,Supuestos!$G$8),IF(Supuestos!$C$8="Normal",NORMINV(E849,Supuestos!$D$8,Supuestos!$E$8),IF(Supuestos!$C$8="Triangular",IF(E849&lt;(Supuestos!$E$8-Supuestos!$D$8)/(Supuestos!$F$8-Supuestos!$D$8),Supuestos!$D$8+SQRT(E849*(Supuestos!$F$8-Supuestos!$D$8)*(Supuestos!$E$8-Supuestos!$D$8)),Supuestos!$F$8-SQRT((1-E849)*(Supuestos!$F$8-Supuestos!$D$8)*(Supuestos!$F$8-Supuestos!$E$8))),IF(Supuestos!$C$8="Uniforme",Supuestos!$D$8+E849*(Supuestos!$E$8-Supuestos!$D$8),IF(Supuestos!$C$8="Lognormal",LOGINV(E849,LN(Supuestos!$D$8)-LN(1+Supuestos!$E$8^2/Supuestos!$D$8^2)/2,SQRT(LN(1+Supuestos!$E$8^2/Supuestos!$D$8^2))),Supuestos!$D$8))))))</f>
        <v/>
      </c>
      <c r="M849" s="32">
        <f>MIN(IF(Supuestos!$H$9="",1E+99,Supuestos!$H$9),MAX(IF(Supuestos!$G$9="",-1E+99,Supuestos!$G$9),IF(Supuestos!$C$9="Normal",NORMINV(F849,Supuestos!$D$9,Supuestos!$E$9),IF(Supuestos!$C$9="Triangular",IF(F849&lt;(Supuestos!$E$9-Supuestos!$D$9)/(Supuestos!$F$9-Supuestos!$D$9),Supuestos!$D$9+SQRT(F849*(Supuestos!$F$9-Supuestos!$D$9)*(Supuestos!$E$9-Supuestos!$D$9)),Supuestos!$F$9-SQRT((1-F849)*(Supuestos!$F$9-Supuestos!$D$9)*(Supuestos!$F$9-Supuestos!$E$9))),IF(Supuestos!$C$9="Uniforme",Supuestos!$D$9+F849*(Supuestos!$E$9-Supuestos!$D$9),IF(Supuestos!$C$9="Lognormal",LOGINV(F849,LN(Supuestos!$D$9)-LN(1+Supuestos!$E$9^2/Supuestos!$D$9^2)/2,SQRT(LN(1+Supuestos!$E$9^2/Supuestos!$D$9^2))),Supuestos!$D$9))))))</f>
        <v/>
      </c>
      <c r="N849" s="32">
        <f>MIN(IF(Supuestos!$H$10="",1E+99,Supuestos!$H$10),MAX(IF(Supuestos!$G$10="",-1E+99,Supuestos!$G$10),IF(Supuestos!$C$10="Normal",NORMINV(G849,Supuestos!$D$10,Supuestos!$E$10),IF(Supuestos!$C$10="Triangular",IF(G849&lt;(Supuestos!$E$10-Supuestos!$D$10)/(Supuestos!$F$10-Supuestos!$D$10),Supuestos!$D$10+SQRT(G849*(Supuestos!$F$10-Supuestos!$D$10)*(Supuestos!$E$10-Supuestos!$D$10)),Supuestos!$F$10-SQRT((1-G849)*(Supuestos!$F$10-Supuestos!$D$10)*(Supuestos!$F$10-Supuestos!$E$10))),IF(Supuestos!$C$10="Uniforme",Supuestos!$D$10+G849*(Supuestos!$E$10-Supuestos!$D$10),IF(Supuestos!$C$10="Lognormal",LOGINV(G849,LN(Supuestos!$D$10)-LN(1+Supuestos!$E$10^2/Supuestos!$D$10^2)/2,SQRT(LN(1+Supuestos!$E$10^2/Supuestos!$D$10^2))),Supuestos!$D$10))))))</f>
        <v/>
      </c>
      <c r="O849" s="31">
        <f>MIN(IF(Supuestos!$H$11="",1E+99,Supuestos!$H$11),MAX(IF(Supuestos!$G$11="",-1E+99,Supuestos!$G$11),IF(Supuestos!$C$11="Normal",NORMINV(H849,Supuestos!$D$11,Supuestos!$E$11),IF(Supuestos!$C$11="Triangular",IF(H849&lt;(Supuestos!$E$11-Supuestos!$D$11)/(Supuestos!$F$11-Supuestos!$D$11),Supuestos!$D$11+SQRT(H849*(Supuestos!$F$11-Supuestos!$D$11)*(Supuestos!$E$11-Supuestos!$D$11)),Supuestos!$F$11-SQRT((1-H849)*(Supuestos!$F$11-Supuestos!$D$11)*(Supuestos!$F$11-Supuestos!$E$11))),IF(Supuestos!$C$11="Uniforme",Supuestos!$D$11+H849*(Supuestos!$E$11-Supuestos!$D$11),IF(Supuestos!$C$11="Lognormal",LOGINV(H849,LN(Supuestos!$D$11)-LN(1+Supuestos!$E$11^2/Supuestos!$D$11^2)/2,SQRT(LN(1+Supuestos!$E$11^2/Supuestos!$D$11^2))),Supuestos!$D$11))))))</f>
        <v/>
      </c>
      <c r="P849" s="33">
        <f>-I849</f>
        <v/>
      </c>
      <c r="Q849" s="33">
        <f>$J849*(1+$K849)^(1-1)*(1-$L849)*(1-$M849)</f>
        <v/>
      </c>
      <c r="R849" s="33">
        <f>$J849*(1+$K849)^(2-1)*(1-$L849)*(1-$M849)</f>
        <v/>
      </c>
      <c r="S849" s="33">
        <f>$J849*(1+$K849)^(3-1)*(1-$L849)*(1-$M849)</f>
        <v/>
      </c>
      <c r="T849" s="33">
        <f>$J849*(1+$K849)^(4-1)*(1-$L849)*(1-$M849)</f>
        <v/>
      </c>
      <c r="U849" s="33">
        <f>$J849*(1+$K849)^(5-1)*(1-$L849)*(1-$M849)+$O849</f>
        <v/>
      </c>
      <c r="V849" s="33">
        <f>P849+NPV($N849,Q849:U849)</f>
        <v/>
      </c>
      <c r="W849" s="32">
        <f>IFERROR(IRR(P849:U849,0.1),"")</f>
        <v/>
      </c>
    </row>
    <row r="850">
      <c r="A850" s="14" t="n">
        <v>846</v>
      </c>
      <c r="B850" s="30">
        <f>RAND()*(1-2E-6)+1E-6</f>
        <v/>
      </c>
      <c r="C850" s="30">
        <f>RAND()*(1-2E-6)+1E-6</f>
        <v/>
      </c>
      <c r="D850" s="30">
        <f>RAND()*(1-2E-6)+1E-6</f>
        <v/>
      </c>
      <c r="E850" s="30">
        <f>RAND()*(1-2E-6)+1E-6</f>
        <v/>
      </c>
      <c r="F850" s="30">
        <f>RAND()*(1-2E-6)+1E-6</f>
        <v/>
      </c>
      <c r="G850" s="30">
        <f>RAND()*(1-2E-6)+1E-6</f>
        <v/>
      </c>
      <c r="H850" s="30">
        <f>RAND()*(1-2E-6)+1E-6</f>
        <v/>
      </c>
      <c r="I850" s="31">
        <f>MIN(IF(Supuestos!$H$5="",1E+99,Supuestos!$H$5),MAX(IF(Supuestos!$G$5="",-1E+99,Supuestos!$G$5),IF(Supuestos!$C$5="Normal",NORMINV(B850,Supuestos!$D$5,Supuestos!$E$5),IF(Supuestos!$C$5="Triangular",IF(B850&lt;(Supuestos!$E$5-Supuestos!$D$5)/(Supuestos!$F$5-Supuestos!$D$5),Supuestos!$D$5+SQRT(B850*(Supuestos!$F$5-Supuestos!$D$5)*(Supuestos!$E$5-Supuestos!$D$5)),Supuestos!$F$5-SQRT((1-B850)*(Supuestos!$F$5-Supuestos!$D$5)*(Supuestos!$F$5-Supuestos!$E$5))),IF(Supuestos!$C$5="Uniforme",Supuestos!$D$5+B850*(Supuestos!$E$5-Supuestos!$D$5),IF(Supuestos!$C$5="Lognormal",LOGINV(B850,LN(Supuestos!$D$5)-LN(1+Supuestos!$E$5^2/Supuestos!$D$5^2)/2,SQRT(LN(1+Supuestos!$E$5^2/Supuestos!$D$5^2))),Supuestos!$D$5))))))</f>
        <v/>
      </c>
      <c r="J850" s="31">
        <f>MIN(IF(Supuestos!$H$6="",1E+99,Supuestos!$H$6),MAX(IF(Supuestos!$G$6="",-1E+99,Supuestos!$G$6),IF(Supuestos!$C$6="Normal",NORMINV(C850,Supuestos!$D$6,Supuestos!$E$6),IF(Supuestos!$C$6="Triangular",IF(C850&lt;(Supuestos!$E$6-Supuestos!$D$6)/(Supuestos!$F$6-Supuestos!$D$6),Supuestos!$D$6+SQRT(C850*(Supuestos!$F$6-Supuestos!$D$6)*(Supuestos!$E$6-Supuestos!$D$6)),Supuestos!$F$6-SQRT((1-C850)*(Supuestos!$F$6-Supuestos!$D$6)*(Supuestos!$F$6-Supuestos!$E$6))),IF(Supuestos!$C$6="Uniforme",Supuestos!$D$6+C850*(Supuestos!$E$6-Supuestos!$D$6),IF(Supuestos!$C$6="Lognormal",LOGINV(C850,LN(Supuestos!$D$6)-LN(1+Supuestos!$E$6^2/Supuestos!$D$6^2)/2,SQRT(LN(1+Supuestos!$E$6^2/Supuestos!$D$6^2))),Supuestos!$D$6))))))</f>
        <v/>
      </c>
      <c r="K850" s="32">
        <f>MIN(IF(Supuestos!$H$7="",1E+99,Supuestos!$H$7),MAX(IF(Supuestos!$G$7="",-1E+99,Supuestos!$G$7),IF(Supuestos!$C$7="Normal",NORMINV(D850,Supuestos!$D$7,Supuestos!$E$7),IF(Supuestos!$C$7="Triangular",IF(D850&lt;(Supuestos!$E$7-Supuestos!$D$7)/(Supuestos!$F$7-Supuestos!$D$7),Supuestos!$D$7+SQRT(D850*(Supuestos!$F$7-Supuestos!$D$7)*(Supuestos!$E$7-Supuestos!$D$7)),Supuestos!$F$7-SQRT((1-D850)*(Supuestos!$F$7-Supuestos!$D$7)*(Supuestos!$F$7-Supuestos!$E$7))),IF(Supuestos!$C$7="Uniforme",Supuestos!$D$7+D850*(Supuestos!$E$7-Supuestos!$D$7),IF(Supuestos!$C$7="Lognormal",LOGINV(D850,LN(Supuestos!$D$7)-LN(1+Supuestos!$E$7^2/Supuestos!$D$7^2)/2,SQRT(LN(1+Supuestos!$E$7^2/Supuestos!$D$7^2))),Supuestos!$D$7))))))</f>
        <v/>
      </c>
      <c r="L850" s="32">
        <f>MIN(IF(Supuestos!$H$8="",1E+99,Supuestos!$H$8),MAX(IF(Supuestos!$G$8="",-1E+99,Supuestos!$G$8),IF(Supuestos!$C$8="Normal",NORMINV(E850,Supuestos!$D$8,Supuestos!$E$8),IF(Supuestos!$C$8="Triangular",IF(E850&lt;(Supuestos!$E$8-Supuestos!$D$8)/(Supuestos!$F$8-Supuestos!$D$8),Supuestos!$D$8+SQRT(E850*(Supuestos!$F$8-Supuestos!$D$8)*(Supuestos!$E$8-Supuestos!$D$8)),Supuestos!$F$8-SQRT((1-E850)*(Supuestos!$F$8-Supuestos!$D$8)*(Supuestos!$F$8-Supuestos!$E$8))),IF(Supuestos!$C$8="Uniforme",Supuestos!$D$8+E850*(Supuestos!$E$8-Supuestos!$D$8),IF(Supuestos!$C$8="Lognormal",LOGINV(E850,LN(Supuestos!$D$8)-LN(1+Supuestos!$E$8^2/Supuestos!$D$8^2)/2,SQRT(LN(1+Supuestos!$E$8^2/Supuestos!$D$8^2))),Supuestos!$D$8))))))</f>
        <v/>
      </c>
      <c r="M850" s="32">
        <f>MIN(IF(Supuestos!$H$9="",1E+99,Supuestos!$H$9),MAX(IF(Supuestos!$G$9="",-1E+99,Supuestos!$G$9),IF(Supuestos!$C$9="Normal",NORMINV(F850,Supuestos!$D$9,Supuestos!$E$9),IF(Supuestos!$C$9="Triangular",IF(F850&lt;(Supuestos!$E$9-Supuestos!$D$9)/(Supuestos!$F$9-Supuestos!$D$9),Supuestos!$D$9+SQRT(F850*(Supuestos!$F$9-Supuestos!$D$9)*(Supuestos!$E$9-Supuestos!$D$9)),Supuestos!$F$9-SQRT((1-F850)*(Supuestos!$F$9-Supuestos!$D$9)*(Supuestos!$F$9-Supuestos!$E$9))),IF(Supuestos!$C$9="Uniforme",Supuestos!$D$9+F850*(Supuestos!$E$9-Supuestos!$D$9),IF(Supuestos!$C$9="Lognormal",LOGINV(F850,LN(Supuestos!$D$9)-LN(1+Supuestos!$E$9^2/Supuestos!$D$9^2)/2,SQRT(LN(1+Supuestos!$E$9^2/Supuestos!$D$9^2))),Supuestos!$D$9))))))</f>
        <v/>
      </c>
      <c r="N850" s="32">
        <f>MIN(IF(Supuestos!$H$10="",1E+99,Supuestos!$H$10),MAX(IF(Supuestos!$G$10="",-1E+99,Supuestos!$G$10),IF(Supuestos!$C$10="Normal",NORMINV(G850,Supuestos!$D$10,Supuestos!$E$10),IF(Supuestos!$C$10="Triangular",IF(G850&lt;(Supuestos!$E$10-Supuestos!$D$10)/(Supuestos!$F$10-Supuestos!$D$10),Supuestos!$D$10+SQRT(G850*(Supuestos!$F$10-Supuestos!$D$10)*(Supuestos!$E$10-Supuestos!$D$10)),Supuestos!$F$10-SQRT((1-G850)*(Supuestos!$F$10-Supuestos!$D$10)*(Supuestos!$F$10-Supuestos!$E$10))),IF(Supuestos!$C$10="Uniforme",Supuestos!$D$10+G850*(Supuestos!$E$10-Supuestos!$D$10),IF(Supuestos!$C$10="Lognormal",LOGINV(G850,LN(Supuestos!$D$10)-LN(1+Supuestos!$E$10^2/Supuestos!$D$10^2)/2,SQRT(LN(1+Supuestos!$E$10^2/Supuestos!$D$10^2))),Supuestos!$D$10))))))</f>
        <v/>
      </c>
      <c r="O850" s="31">
        <f>MIN(IF(Supuestos!$H$11="",1E+99,Supuestos!$H$11),MAX(IF(Supuestos!$G$11="",-1E+99,Supuestos!$G$11),IF(Supuestos!$C$11="Normal",NORMINV(H850,Supuestos!$D$11,Supuestos!$E$11),IF(Supuestos!$C$11="Triangular",IF(H850&lt;(Supuestos!$E$11-Supuestos!$D$11)/(Supuestos!$F$11-Supuestos!$D$11),Supuestos!$D$11+SQRT(H850*(Supuestos!$F$11-Supuestos!$D$11)*(Supuestos!$E$11-Supuestos!$D$11)),Supuestos!$F$11-SQRT((1-H850)*(Supuestos!$F$11-Supuestos!$D$11)*(Supuestos!$F$11-Supuestos!$E$11))),IF(Supuestos!$C$11="Uniforme",Supuestos!$D$11+H850*(Supuestos!$E$11-Supuestos!$D$11),IF(Supuestos!$C$11="Lognormal",LOGINV(H850,LN(Supuestos!$D$11)-LN(1+Supuestos!$E$11^2/Supuestos!$D$11^2)/2,SQRT(LN(1+Supuestos!$E$11^2/Supuestos!$D$11^2))),Supuestos!$D$11))))))</f>
        <v/>
      </c>
      <c r="P850" s="33">
        <f>-I850</f>
        <v/>
      </c>
      <c r="Q850" s="33">
        <f>$J850*(1+$K850)^(1-1)*(1-$L850)*(1-$M850)</f>
        <v/>
      </c>
      <c r="R850" s="33">
        <f>$J850*(1+$K850)^(2-1)*(1-$L850)*(1-$M850)</f>
        <v/>
      </c>
      <c r="S850" s="33">
        <f>$J850*(1+$K850)^(3-1)*(1-$L850)*(1-$M850)</f>
        <v/>
      </c>
      <c r="T850" s="33">
        <f>$J850*(1+$K850)^(4-1)*(1-$L850)*(1-$M850)</f>
        <v/>
      </c>
      <c r="U850" s="33">
        <f>$J850*(1+$K850)^(5-1)*(1-$L850)*(1-$M850)+$O850</f>
        <v/>
      </c>
      <c r="V850" s="33">
        <f>P850+NPV($N850,Q850:U850)</f>
        <v/>
      </c>
      <c r="W850" s="32">
        <f>IFERROR(IRR(P850:U850,0.1),"")</f>
        <v/>
      </c>
    </row>
    <row r="851">
      <c r="A851" s="14" t="n">
        <v>847</v>
      </c>
      <c r="B851" s="30">
        <f>RAND()*(1-2E-6)+1E-6</f>
        <v/>
      </c>
      <c r="C851" s="30">
        <f>RAND()*(1-2E-6)+1E-6</f>
        <v/>
      </c>
      <c r="D851" s="30">
        <f>RAND()*(1-2E-6)+1E-6</f>
        <v/>
      </c>
      <c r="E851" s="30">
        <f>RAND()*(1-2E-6)+1E-6</f>
        <v/>
      </c>
      <c r="F851" s="30">
        <f>RAND()*(1-2E-6)+1E-6</f>
        <v/>
      </c>
      <c r="G851" s="30">
        <f>RAND()*(1-2E-6)+1E-6</f>
        <v/>
      </c>
      <c r="H851" s="30">
        <f>RAND()*(1-2E-6)+1E-6</f>
        <v/>
      </c>
      <c r="I851" s="31">
        <f>MIN(IF(Supuestos!$H$5="",1E+99,Supuestos!$H$5),MAX(IF(Supuestos!$G$5="",-1E+99,Supuestos!$G$5),IF(Supuestos!$C$5="Normal",NORMINV(B851,Supuestos!$D$5,Supuestos!$E$5),IF(Supuestos!$C$5="Triangular",IF(B851&lt;(Supuestos!$E$5-Supuestos!$D$5)/(Supuestos!$F$5-Supuestos!$D$5),Supuestos!$D$5+SQRT(B851*(Supuestos!$F$5-Supuestos!$D$5)*(Supuestos!$E$5-Supuestos!$D$5)),Supuestos!$F$5-SQRT((1-B851)*(Supuestos!$F$5-Supuestos!$D$5)*(Supuestos!$F$5-Supuestos!$E$5))),IF(Supuestos!$C$5="Uniforme",Supuestos!$D$5+B851*(Supuestos!$E$5-Supuestos!$D$5),IF(Supuestos!$C$5="Lognormal",LOGINV(B851,LN(Supuestos!$D$5)-LN(1+Supuestos!$E$5^2/Supuestos!$D$5^2)/2,SQRT(LN(1+Supuestos!$E$5^2/Supuestos!$D$5^2))),Supuestos!$D$5))))))</f>
        <v/>
      </c>
      <c r="J851" s="31">
        <f>MIN(IF(Supuestos!$H$6="",1E+99,Supuestos!$H$6),MAX(IF(Supuestos!$G$6="",-1E+99,Supuestos!$G$6),IF(Supuestos!$C$6="Normal",NORMINV(C851,Supuestos!$D$6,Supuestos!$E$6),IF(Supuestos!$C$6="Triangular",IF(C851&lt;(Supuestos!$E$6-Supuestos!$D$6)/(Supuestos!$F$6-Supuestos!$D$6),Supuestos!$D$6+SQRT(C851*(Supuestos!$F$6-Supuestos!$D$6)*(Supuestos!$E$6-Supuestos!$D$6)),Supuestos!$F$6-SQRT((1-C851)*(Supuestos!$F$6-Supuestos!$D$6)*(Supuestos!$F$6-Supuestos!$E$6))),IF(Supuestos!$C$6="Uniforme",Supuestos!$D$6+C851*(Supuestos!$E$6-Supuestos!$D$6),IF(Supuestos!$C$6="Lognormal",LOGINV(C851,LN(Supuestos!$D$6)-LN(1+Supuestos!$E$6^2/Supuestos!$D$6^2)/2,SQRT(LN(1+Supuestos!$E$6^2/Supuestos!$D$6^2))),Supuestos!$D$6))))))</f>
        <v/>
      </c>
      <c r="K851" s="32">
        <f>MIN(IF(Supuestos!$H$7="",1E+99,Supuestos!$H$7),MAX(IF(Supuestos!$G$7="",-1E+99,Supuestos!$G$7),IF(Supuestos!$C$7="Normal",NORMINV(D851,Supuestos!$D$7,Supuestos!$E$7),IF(Supuestos!$C$7="Triangular",IF(D851&lt;(Supuestos!$E$7-Supuestos!$D$7)/(Supuestos!$F$7-Supuestos!$D$7),Supuestos!$D$7+SQRT(D851*(Supuestos!$F$7-Supuestos!$D$7)*(Supuestos!$E$7-Supuestos!$D$7)),Supuestos!$F$7-SQRT((1-D851)*(Supuestos!$F$7-Supuestos!$D$7)*(Supuestos!$F$7-Supuestos!$E$7))),IF(Supuestos!$C$7="Uniforme",Supuestos!$D$7+D851*(Supuestos!$E$7-Supuestos!$D$7),IF(Supuestos!$C$7="Lognormal",LOGINV(D851,LN(Supuestos!$D$7)-LN(1+Supuestos!$E$7^2/Supuestos!$D$7^2)/2,SQRT(LN(1+Supuestos!$E$7^2/Supuestos!$D$7^2))),Supuestos!$D$7))))))</f>
        <v/>
      </c>
      <c r="L851" s="32">
        <f>MIN(IF(Supuestos!$H$8="",1E+99,Supuestos!$H$8),MAX(IF(Supuestos!$G$8="",-1E+99,Supuestos!$G$8),IF(Supuestos!$C$8="Normal",NORMINV(E851,Supuestos!$D$8,Supuestos!$E$8),IF(Supuestos!$C$8="Triangular",IF(E851&lt;(Supuestos!$E$8-Supuestos!$D$8)/(Supuestos!$F$8-Supuestos!$D$8),Supuestos!$D$8+SQRT(E851*(Supuestos!$F$8-Supuestos!$D$8)*(Supuestos!$E$8-Supuestos!$D$8)),Supuestos!$F$8-SQRT((1-E851)*(Supuestos!$F$8-Supuestos!$D$8)*(Supuestos!$F$8-Supuestos!$E$8))),IF(Supuestos!$C$8="Uniforme",Supuestos!$D$8+E851*(Supuestos!$E$8-Supuestos!$D$8),IF(Supuestos!$C$8="Lognormal",LOGINV(E851,LN(Supuestos!$D$8)-LN(1+Supuestos!$E$8^2/Supuestos!$D$8^2)/2,SQRT(LN(1+Supuestos!$E$8^2/Supuestos!$D$8^2))),Supuestos!$D$8))))))</f>
        <v/>
      </c>
      <c r="M851" s="32">
        <f>MIN(IF(Supuestos!$H$9="",1E+99,Supuestos!$H$9),MAX(IF(Supuestos!$G$9="",-1E+99,Supuestos!$G$9),IF(Supuestos!$C$9="Normal",NORMINV(F851,Supuestos!$D$9,Supuestos!$E$9),IF(Supuestos!$C$9="Triangular",IF(F851&lt;(Supuestos!$E$9-Supuestos!$D$9)/(Supuestos!$F$9-Supuestos!$D$9),Supuestos!$D$9+SQRT(F851*(Supuestos!$F$9-Supuestos!$D$9)*(Supuestos!$E$9-Supuestos!$D$9)),Supuestos!$F$9-SQRT((1-F851)*(Supuestos!$F$9-Supuestos!$D$9)*(Supuestos!$F$9-Supuestos!$E$9))),IF(Supuestos!$C$9="Uniforme",Supuestos!$D$9+F851*(Supuestos!$E$9-Supuestos!$D$9),IF(Supuestos!$C$9="Lognormal",LOGINV(F851,LN(Supuestos!$D$9)-LN(1+Supuestos!$E$9^2/Supuestos!$D$9^2)/2,SQRT(LN(1+Supuestos!$E$9^2/Supuestos!$D$9^2))),Supuestos!$D$9))))))</f>
        <v/>
      </c>
      <c r="N851" s="32">
        <f>MIN(IF(Supuestos!$H$10="",1E+99,Supuestos!$H$10),MAX(IF(Supuestos!$G$10="",-1E+99,Supuestos!$G$10),IF(Supuestos!$C$10="Normal",NORMINV(G851,Supuestos!$D$10,Supuestos!$E$10),IF(Supuestos!$C$10="Triangular",IF(G851&lt;(Supuestos!$E$10-Supuestos!$D$10)/(Supuestos!$F$10-Supuestos!$D$10),Supuestos!$D$10+SQRT(G851*(Supuestos!$F$10-Supuestos!$D$10)*(Supuestos!$E$10-Supuestos!$D$10)),Supuestos!$F$10-SQRT((1-G851)*(Supuestos!$F$10-Supuestos!$D$10)*(Supuestos!$F$10-Supuestos!$E$10))),IF(Supuestos!$C$10="Uniforme",Supuestos!$D$10+G851*(Supuestos!$E$10-Supuestos!$D$10),IF(Supuestos!$C$10="Lognormal",LOGINV(G851,LN(Supuestos!$D$10)-LN(1+Supuestos!$E$10^2/Supuestos!$D$10^2)/2,SQRT(LN(1+Supuestos!$E$10^2/Supuestos!$D$10^2))),Supuestos!$D$10))))))</f>
        <v/>
      </c>
      <c r="O851" s="31">
        <f>MIN(IF(Supuestos!$H$11="",1E+99,Supuestos!$H$11),MAX(IF(Supuestos!$G$11="",-1E+99,Supuestos!$G$11),IF(Supuestos!$C$11="Normal",NORMINV(H851,Supuestos!$D$11,Supuestos!$E$11),IF(Supuestos!$C$11="Triangular",IF(H851&lt;(Supuestos!$E$11-Supuestos!$D$11)/(Supuestos!$F$11-Supuestos!$D$11),Supuestos!$D$11+SQRT(H851*(Supuestos!$F$11-Supuestos!$D$11)*(Supuestos!$E$11-Supuestos!$D$11)),Supuestos!$F$11-SQRT((1-H851)*(Supuestos!$F$11-Supuestos!$D$11)*(Supuestos!$F$11-Supuestos!$E$11))),IF(Supuestos!$C$11="Uniforme",Supuestos!$D$11+H851*(Supuestos!$E$11-Supuestos!$D$11),IF(Supuestos!$C$11="Lognormal",LOGINV(H851,LN(Supuestos!$D$11)-LN(1+Supuestos!$E$11^2/Supuestos!$D$11^2)/2,SQRT(LN(1+Supuestos!$E$11^2/Supuestos!$D$11^2))),Supuestos!$D$11))))))</f>
        <v/>
      </c>
      <c r="P851" s="33">
        <f>-I851</f>
        <v/>
      </c>
      <c r="Q851" s="33">
        <f>$J851*(1+$K851)^(1-1)*(1-$L851)*(1-$M851)</f>
        <v/>
      </c>
      <c r="R851" s="33">
        <f>$J851*(1+$K851)^(2-1)*(1-$L851)*(1-$M851)</f>
        <v/>
      </c>
      <c r="S851" s="33">
        <f>$J851*(1+$K851)^(3-1)*(1-$L851)*(1-$M851)</f>
        <v/>
      </c>
      <c r="T851" s="33">
        <f>$J851*(1+$K851)^(4-1)*(1-$L851)*(1-$M851)</f>
        <v/>
      </c>
      <c r="U851" s="33">
        <f>$J851*(1+$K851)^(5-1)*(1-$L851)*(1-$M851)+$O851</f>
        <v/>
      </c>
      <c r="V851" s="33">
        <f>P851+NPV($N851,Q851:U851)</f>
        <v/>
      </c>
      <c r="W851" s="32">
        <f>IFERROR(IRR(P851:U851,0.1),"")</f>
        <v/>
      </c>
    </row>
    <row r="852">
      <c r="A852" s="14" t="n">
        <v>848</v>
      </c>
      <c r="B852" s="30">
        <f>RAND()*(1-2E-6)+1E-6</f>
        <v/>
      </c>
      <c r="C852" s="30">
        <f>RAND()*(1-2E-6)+1E-6</f>
        <v/>
      </c>
      <c r="D852" s="30">
        <f>RAND()*(1-2E-6)+1E-6</f>
        <v/>
      </c>
      <c r="E852" s="30">
        <f>RAND()*(1-2E-6)+1E-6</f>
        <v/>
      </c>
      <c r="F852" s="30">
        <f>RAND()*(1-2E-6)+1E-6</f>
        <v/>
      </c>
      <c r="G852" s="30">
        <f>RAND()*(1-2E-6)+1E-6</f>
        <v/>
      </c>
      <c r="H852" s="30">
        <f>RAND()*(1-2E-6)+1E-6</f>
        <v/>
      </c>
      <c r="I852" s="31">
        <f>MIN(IF(Supuestos!$H$5="",1E+99,Supuestos!$H$5),MAX(IF(Supuestos!$G$5="",-1E+99,Supuestos!$G$5),IF(Supuestos!$C$5="Normal",NORMINV(B852,Supuestos!$D$5,Supuestos!$E$5),IF(Supuestos!$C$5="Triangular",IF(B852&lt;(Supuestos!$E$5-Supuestos!$D$5)/(Supuestos!$F$5-Supuestos!$D$5),Supuestos!$D$5+SQRT(B852*(Supuestos!$F$5-Supuestos!$D$5)*(Supuestos!$E$5-Supuestos!$D$5)),Supuestos!$F$5-SQRT((1-B852)*(Supuestos!$F$5-Supuestos!$D$5)*(Supuestos!$F$5-Supuestos!$E$5))),IF(Supuestos!$C$5="Uniforme",Supuestos!$D$5+B852*(Supuestos!$E$5-Supuestos!$D$5),IF(Supuestos!$C$5="Lognormal",LOGINV(B852,LN(Supuestos!$D$5)-LN(1+Supuestos!$E$5^2/Supuestos!$D$5^2)/2,SQRT(LN(1+Supuestos!$E$5^2/Supuestos!$D$5^2))),Supuestos!$D$5))))))</f>
        <v/>
      </c>
      <c r="J852" s="31">
        <f>MIN(IF(Supuestos!$H$6="",1E+99,Supuestos!$H$6),MAX(IF(Supuestos!$G$6="",-1E+99,Supuestos!$G$6),IF(Supuestos!$C$6="Normal",NORMINV(C852,Supuestos!$D$6,Supuestos!$E$6),IF(Supuestos!$C$6="Triangular",IF(C852&lt;(Supuestos!$E$6-Supuestos!$D$6)/(Supuestos!$F$6-Supuestos!$D$6),Supuestos!$D$6+SQRT(C852*(Supuestos!$F$6-Supuestos!$D$6)*(Supuestos!$E$6-Supuestos!$D$6)),Supuestos!$F$6-SQRT((1-C852)*(Supuestos!$F$6-Supuestos!$D$6)*(Supuestos!$F$6-Supuestos!$E$6))),IF(Supuestos!$C$6="Uniforme",Supuestos!$D$6+C852*(Supuestos!$E$6-Supuestos!$D$6),IF(Supuestos!$C$6="Lognormal",LOGINV(C852,LN(Supuestos!$D$6)-LN(1+Supuestos!$E$6^2/Supuestos!$D$6^2)/2,SQRT(LN(1+Supuestos!$E$6^2/Supuestos!$D$6^2))),Supuestos!$D$6))))))</f>
        <v/>
      </c>
      <c r="K852" s="32">
        <f>MIN(IF(Supuestos!$H$7="",1E+99,Supuestos!$H$7),MAX(IF(Supuestos!$G$7="",-1E+99,Supuestos!$G$7),IF(Supuestos!$C$7="Normal",NORMINV(D852,Supuestos!$D$7,Supuestos!$E$7),IF(Supuestos!$C$7="Triangular",IF(D852&lt;(Supuestos!$E$7-Supuestos!$D$7)/(Supuestos!$F$7-Supuestos!$D$7),Supuestos!$D$7+SQRT(D852*(Supuestos!$F$7-Supuestos!$D$7)*(Supuestos!$E$7-Supuestos!$D$7)),Supuestos!$F$7-SQRT((1-D852)*(Supuestos!$F$7-Supuestos!$D$7)*(Supuestos!$F$7-Supuestos!$E$7))),IF(Supuestos!$C$7="Uniforme",Supuestos!$D$7+D852*(Supuestos!$E$7-Supuestos!$D$7),IF(Supuestos!$C$7="Lognormal",LOGINV(D852,LN(Supuestos!$D$7)-LN(1+Supuestos!$E$7^2/Supuestos!$D$7^2)/2,SQRT(LN(1+Supuestos!$E$7^2/Supuestos!$D$7^2))),Supuestos!$D$7))))))</f>
        <v/>
      </c>
      <c r="L852" s="32">
        <f>MIN(IF(Supuestos!$H$8="",1E+99,Supuestos!$H$8),MAX(IF(Supuestos!$G$8="",-1E+99,Supuestos!$G$8),IF(Supuestos!$C$8="Normal",NORMINV(E852,Supuestos!$D$8,Supuestos!$E$8),IF(Supuestos!$C$8="Triangular",IF(E852&lt;(Supuestos!$E$8-Supuestos!$D$8)/(Supuestos!$F$8-Supuestos!$D$8),Supuestos!$D$8+SQRT(E852*(Supuestos!$F$8-Supuestos!$D$8)*(Supuestos!$E$8-Supuestos!$D$8)),Supuestos!$F$8-SQRT((1-E852)*(Supuestos!$F$8-Supuestos!$D$8)*(Supuestos!$F$8-Supuestos!$E$8))),IF(Supuestos!$C$8="Uniforme",Supuestos!$D$8+E852*(Supuestos!$E$8-Supuestos!$D$8),IF(Supuestos!$C$8="Lognormal",LOGINV(E852,LN(Supuestos!$D$8)-LN(1+Supuestos!$E$8^2/Supuestos!$D$8^2)/2,SQRT(LN(1+Supuestos!$E$8^2/Supuestos!$D$8^2))),Supuestos!$D$8))))))</f>
        <v/>
      </c>
      <c r="M852" s="32">
        <f>MIN(IF(Supuestos!$H$9="",1E+99,Supuestos!$H$9),MAX(IF(Supuestos!$G$9="",-1E+99,Supuestos!$G$9),IF(Supuestos!$C$9="Normal",NORMINV(F852,Supuestos!$D$9,Supuestos!$E$9),IF(Supuestos!$C$9="Triangular",IF(F852&lt;(Supuestos!$E$9-Supuestos!$D$9)/(Supuestos!$F$9-Supuestos!$D$9),Supuestos!$D$9+SQRT(F852*(Supuestos!$F$9-Supuestos!$D$9)*(Supuestos!$E$9-Supuestos!$D$9)),Supuestos!$F$9-SQRT((1-F852)*(Supuestos!$F$9-Supuestos!$D$9)*(Supuestos!$F$9-Supuestos!$E$9))),IF(Supuestos!$C$9="Uniforme",Supuestos!$D$9+F852*(Supuestos!$E$9-Supuestos!$D$9),IF(Supuestos!$C$9="Lognormal",LOGINV(F852,LN(Supuestos!$D$9)-LN(1+Supuestos!$E$9^2/Supuestos!$D$9^2)/2,SQRT(LN(1+Supuestos!$E$9^2/Supuestos!$D$9^2))),Supuestos!$D$9))))))</f>
        <v/>
      </c>
      <c r="N852" s="32">
        <f>MIN(IF(Supuestos!$H$10="",1E+99,Supuestos!$H$10),MAX(IF(Supuestos!$G$10="",-1E+99,Supuestos!$G$10),IF(Supuestos!$C$10="Normal",NORMINV(G852,Supuestos!$D$10,Supuestos!$E$10),IF(Supuestos!$C$10="Triangular",IF(G852&lt;(Supuestos!$E$10-Supuestos!$D$10)/(Supuestos!$F$10-Supuestos!$D$10),Supuestos!$D$10+SQRT(G852*(Supuestos!$F$10-Supuestos!$D$10)*(Supuestos!$E$10-Supuestos!$D$10)),Supuestos!$F$10-SQRT((1-G852)*(Supuestos!$F$10-Supuestos!$D$10)*(Supuestos!$F$10-Supuestos!$E$10))),IF(Supuestos!$C$10="Uniforme",Supuestos!$D$10+G852*(Supuestos!$E$10-Supuestos!$D$10),IF(Supuestos!$C$10="Lognormal",LOGINV(G852,LN(Supuestos!$D$10)-LN(1+Supuestos!$E$10^2/Supuestos!$D$10^2)/2,SQRT(LN(1+Supuestos!$E$10^2/Supuestos!$D$10^2))),Supuestos!$D$10))))))</f>
        <v/>
      </c>
      <c r="O852" s="31">
        <f>MIN(IF(Supuestos!$H$11="",1E+99,Supuestos!$H$11),MAX(IF(Supuestos!$G$11="",-1E+99,Supuestos!$G$11),IF(Supuestos!$C$11="Normal",NORMINV(H852,Supuestos!$D$11,Supuestos!$E$11),IF(Supuestos!$C$11="Triangular",IF(H852&lt;(Supuestos!$E$11-Supuestos!$D$11)/(Supuestos!$F$11-Supuestos!$D$11),Supuestos!$D$11+SQRT(H852*(Supuestos!$F$11-Supuestos!$D$11)*(Supuestos!$E$11-Supuestos!$D$11)),Supuestos!$F$11-SQRT((1-H852)*(Supuestos!$F$11-Supuestos!$D$11)*(Supuestos!$F$11-Supuestos!$E$11))),IF(Supuestos!$C$11="Uniforme",Supuestos!$D$11+H852*(Supuestos!$E$11-Supuestos!$D$11),IF(Supuestos!$C$11="Lognormal",LOGINV(H852,LN(Supuestos!$D$11)-LN(1+Supuestos!$E$11^2/Supuestos!$D$11^2)/2,SQRT(LN(1+Supuestos!$E$11^2/Supuestos!$D$11^2))),Supuestos!$D$11))))))</f>
        <v/>
      </c>
      <c r="P852" s="33">
        <f>-I852</f>
        <v/>
      </c>
      <c r="Q852" s="33">
        <f>$J852*(1+$K852)^(1-1)*(1-$L852)*(1-$M852)</f>
        <v/>
      </c>
      <c r="R852" s="33">
        <f>$J852*(1+$K852)^(2-1)*(1-$L852)*(1-$M852)</f>
        <v/>
      </c>
      <c r="S852" s="33">
        <f>$J852*(1+$K852)^(3-1)*(1-$L852)*(1-$M852)</f>
        <v/>
      </c>
      <c r="T852" s="33">
        <f>$J852*(1+$K852)^(4-1)*(1-$L852)*(1-$M852)</f>
        <v/>
      </c>
      <c r="U852" s="33">
        <f>$J852*(1+$K852)^(5-1)*(1-$L852)*(1-$M852)+$O852</f>
        <v/>
      </c>
      <c r="V852" s="33">
        <f>P852+NPV($N852,Q852:U852)</f>
        <v/>
      </c>
      <c r="W852" s="32">
        <f>IFERROR(IRR(P852:U852,0.1),"")</f>
        <v/>
      </c>
    </row>
    <row r="853">
      <c r="A853" s="14" t="n">
        <v>849</v>
      </c>
      <c r="B853" s="30">
        <f>RAND()*(1-2E-6)+1E-6</f>
        <v/>
      </c>
      <c r="C853" s="30">
        <f>RAND()*(1-2E-6)+1E-6</f>
        <v/>
      </c>
      <c r="D853" s="30">
        <f>RAND()*(1-2E-6)+1E-6</f>
        <v/>
      </c>
      <c r="E853" s="30">
        <f>RAND()*(1-2E-6)+1E-6</f>
        <v/>
      </c>
      <c r="F853" s="30">
        <f>RAND()*(1-2E-6)+1E-6</f>
        <v/>
      </c>
      <c r="G853" s="30">
        <f>RAND()*(1-2E-6)+1E-6</f>
        <v/>
      </c>
      <c r="H853" s="30">
        <f>RAND()*(1-2E-6)+1E-6</f>
        <v/>
      </c>
      <c r="I853" s="31">
        <f>MIN(IF(Supuestos!$H$5="",1E+99,Supuestos!$H$5),MAX(IF(Supuestos!$G$5="",-1E+99,Supuestos!$G$5),IF(Supuestos!$C$5="Normal",NORMINV(B853,Supuestos!$D$5,Supuestos!$E$5),IF(Supuestos!$C$5="Triangular",IF(B853&lt;(Supuestos!$E$5-Supuestos!$D$5)/(Supuestos!$F$5-Supuestos!$D$5),Supuestos!$D$5+SQRT(B853*(Supuestos!$F$5-Supuestos!$D$5)*(Supuestos!$E$5-Supuestos!$D$5)),Supuestos!$F$5-SQRT((1-B853)*(Supuestos!$F$5-Supuestos!$D$5)*(Supuestos!$F$5-Supuestos!$E$5))),IF(Supuestos!$C$5="Uniforme",Supuestos!$D$5+B853*(Supuestos!$E$5-Supuestos!$D$5),IF(Supuestos!$C$5="Lognormal",LOGINV(B853,LN(Supuestos!$D$5)-LN(1+Supuestos!$E$5^2/Supuestos!$D$5^2)/2,SQRT(LN(1+Supuestos!$E$5^2/Supuestos!$D$5^2))),Supuestos!$D$5))))))</f>
        <v/>
      </c>
      <c r="J853" s="31">
        <f>MIN(IF(Supuestos!$H$6="",1E+99,Supuestos!$H$6),MAX(IF(Supuestos!$G$6="",-1E+99,Supuestos!$G$6),IF(Supuestos!$C$6="Normal",NORMINV(C853,Supuestos!$D$6,Supuestos!$E$6),IF(Supuestos!$C$6="Triangular",IF(C853&lt;(Supuestos!$E$6-Supuestos!$D$6)/(Supuestos!$F$6-Supuestos!$D$6),Supuestos!$D$6+SQRT(C853*(Supuestos!$F$6-Supuestos!$D$6)*(Supuestos!$E$6-Supuestos!$D$6)),Supuestos!$F$6-SQRT((1-C853)*(Supuestos!$F$6-Supuestos!$D$6)*(Supuestos!$F$6-Supuestos!$E$6))),IF(Supuestos!$C$6="Uniforme",Supuestos!$D$6+C853*(Supuestos!$E$6-Supuestos!$D$6),IF(Supuestos!$C$6="Lognormal",LOGINV(C853,LN(Supuestos!$D$6)-LN(1+Supuestos!$E$6^2/Supuestos!$D$6^2)/2,SQRT(LN(1+Supuestos!$E$6^2/Supuestos!$D$6^2))),Supuestos!$D$6))))))</f>
        <v/>
      </c>
      <c r="K853" s="32">
        <f>MIN(IF(Supuestos!$H$7="",1E+99,Supuestos!$H$7),MAX(IF(Supuestos!$G$7="",-1E+99,Supuestos!$G$7),IF(Supuestos!$C$7="Normal",NORMINV(D853,Supuestos!$D$7,Supuestos!$E$7),IF(Supuestos!$C$7="Triangular",IF(D853&lt;(Supuestos!$E$7-Supuestos!$D$7)/(Supuestos!$F$7-Supuestos!$D$7),Supuestos!$D$7+SQRT(D853*(Supuestos!$F$7-Supuestos!$D$7)*(Supuestos!$E$7-Supuestos!$D$7)),Supuestos!$F$7-SQRT((1-D853)*(Supuestos!$F$7-Supuestos!$D$7)*(Supuestos!$F$7-Supuestos!$E$7))),IF(Supuestos!$C$7="Uniforme",Supuestos!$D$7+D853*(Supuestos!$E$7-Supuestos!$D$7),IF(Supuestos!$C$7="Lognormal",LOGINV(D853,LN(Supuestos!$D$7)-LN(1+Supuestos!$E$7^2/Supuestos!$D$7^2)/2,SQRT(LN(1+Supuestos!$E$7^2/Supuestos!$D$7^2))),Supuestos!$D$7))))))</f>
        <v/>
      </c>
      <c r="L853" s="32">
        <f>MIN(IF(Supuestos!$H$8="",1E+99,Supuestos!$H$8),MAX(IF(Supuestos!$G$8="",-1E+99,Supuestos!$G$8),IF(Supuestos!$C$8="Normal",NORMINV(E853,Supuestos!$D$8,Supuestos!$E$8),IF(Supuestos!$C$8="Triangular",IF(E853&lt;(Supuestos!$E$8-Supuestos!$D$8)/(Supuestos!$F$8-Supuestos!$D$8),Supuestos!$D$8+SQRT(E853*(Supuestos!$F$8-Supuestos!$D$8)*(Supuestos!$E$8-Supuestos!$D$8)),Supuestos!$F$8-SQRT((1-E853)*(Supuestos!$F$8-Supuestos!$D$8)*(Supuestos!$F$8-Supuestos!$E$8))),IF(Supuestos!$C$8="Uniforme",Supuestos!$D$8+E853*(Supuestos!$E$8-Supuestos!$D$8),IF(Supuestos!$C$8="Lognormal",LOGINV(E853,LN(Supuestos!$D$8)-LN(1+Supuestos!$E$8^2/Supuestos!$D$8^2)/2,SQRT(LN(1+Supuestos!$E$8^2/Supuestos!$D$8^2))),Supuestos!$D$8))))))</f>
        <v/>
      </c>
      <c r="M853" s="32">
        <f>MIN(IF(Supuestos!$H$9="",1E+99,Supuestos!$H$9),MAX(IF(Supuestos!$G$9="",-1E+99,Supuestos!$G$9),IF(Supuestos!$C$9="Normal",NORMINV(F853,Supuestos!$D$9,Supuestos!$E$9),IF(Supuestos!$C$9="Triangular",IF(F853&lt;(Supuestos!$E$9-Supuestos!$D$9)/(Supuestos!$F$9-Supuestos!$D$9),Supuestos!$D$9+SQRT(F853*(Supuestos!$F$9-Supuestos!$D$9)*(Supuestos!$E$9-Supuestos!$D$9)),Supuestos!$F$9-SQRT((1-F853)*(Supuestos!$F$9-Supuestos!$D$9)*(Supuestos!$F$9-Supuestos!$E$9))),IF(Supuestos!$C$9="Uniforme",Supuestos!$D$9+F853*(Supuestos!$E$9-Supuestos!$D$9),IF(Supuestos!$C$9="Lognormal",LOGINV(F853,LN(Supuestos!$D$9)-LN(1+Supuestos!$E$9^2/Supuestos!$D$9^2)/2,SQRT(LN(1+Supuestos!$E$9^2/Supuestos!$D$9^2))),Supuestos!$D$9))))))</f>
        <v/>
      </c>
      <c r="N853" s="32">
        <f>MIN(IF(Supuestos!$H$10="",1E+99,Supuestos!$H$10),MAX(IF(Supuestos!$G$10="",-1E+99,Supuestos!$G$10),IF(Supuestos!$C$10="Normal",NORMINV(G853,Supuestos!$D$10,Supuestos!$E$10),IF(Supuestos!$C$10="Triangular",IF(G853&lt;(Supuestos!$E$10-Supuestos!$D$10)/(Supuestos!$F$10-Supuestos!$D$10),Supuestos!$D$10+SQRT(G853*(Supuestos!$F$10-Supuestos!$D$10)*(Supuestos!$E$10-Supuestos!$D$10)),Supuestos!$F$10-SQRT((1-G853)*(Supuestos!$F$10-Supuestos!$D$10)*(Supuestos!$F$10-Supuestos!$E$10))),IF(Supuestos!$C$10="Uniforme",Supuestos!$D$10+G853*(Supuestos!$E$10-Supuestos!$D$10),IF(Supuestos!$C$10="Lognormal",LOGINV(G853,LN(Supuestos!$D$10)-LN(1+Supuestos!$E$10^2/Supuestos!$D$10^2)/2,SQRT(LN(1+Supuestos!$E$10^2/Supuestos!$D$10^2))),Supuestos!$D$10))))))</f>
        <v/>
      </c>
      <c r="O853" s="31">
        <f>MIN(IF(Supuestos!$H$11="",1E+99,Supuestos!$H$11),MAX(IF(Supuestos!$G$11="",-1E+99,Supuestos!$G$11),IF(Supuestos!$C$11="Normal",NORMINV(H853,Supuestos!$D$11,Supuestos!$E$11),IF(Supuestos!$C$11="Triangular",IF(H853&lt;(Supuestos!$E$11-Supuestos!$D$11)/(Supuestos!$F$11-Supuestos!$D$11),Supuestos!$D$11+SQRT(H853*(Supuestos!$F$11-Supuestos!$D$11)*(Supuestos!$E$11-Supuestos!$D$11)),Supuestos!$F$11-SQRT((1-H853)*(Supuestos!$F$11-Supuestos!$D$11)*(Supuestos!$F$11-Supuestos!$E$11))),IF(Supuestos!$C$11="Uniforme",Supuestos!$D$11+H853*(Supuestos!$E$11-Supuestos!$D$11),IF(Supuestos!$C$11="Lognormal",LOGINV(H853,LN(Supuestos!$D$11)-LN(1+Supuestos!$E$11^2/Supuestos!$D$11^2)/2,SQRT(LN(1+Supuestos!$E$11^2/Supuestos!$D$11^2))),Supuestos!$D$11))))))</f>
        <v/>
      </c>
      <c r="P853" s="33">
        <f>-I853</f>
        <v/>
      </c>
      <c r="Q853" s="33">
        <f>$J853*(1+$K853)^(1-1)*(1-$L853)*(1-$M853)</f>
        <v/>
      </c>
      <c r="R853" s="33">
        <f>$J853*(1+$K853)^(2-1)*(1-$L853)*(1-$M853)</f>
        <v/>
      </c>
      <c r="S853" s="33">
        <f>$J853*(1+$K853)^(3-1)*(1-$L853)*(1-$M853)</f>
        <v/>
      </c>
      <c r="T853" s="33">
        <f>$J853*(1+$K853)^(4-1)*(1-$L853)*(1-$M853)</f>
        <v/>
      </c>
      <c r="U853" s="33">
        <f>$J853*(1+$K853)^(5-1)*(1-$L853)*(1-$M853)+$O853</f>
        <v/>
      </c>
      <c r="V853" s="33">
        <f>P853+NPV($N853,Q853:U853)</f>
        <v/>
      </c>
      <c r="W853" s="32">
        <f>IFERROR(IRR(P853:U853,0.1),"")</f>
        <v/>
      </c>
    </row>
    <row r="854">
      <c r="A854" s="14" t="n">
        <v>850</v>
      </c>
      <c r="B854" s="30">
        <f>RAND()*(1-2E-6)+1E-6</f>
        <v/>
      </c>
      <c r="C854" s="30">
        <f>RAND()*(1-2E-6)+1E-6</f>
        <v/>
      </c>
      <c r="D854" s="30">
        <f>RAND()*(1-2E-6)+1E-6</f>
        <v/>
      </c>
      <c r="E854" s="30">
        <f>RAND()*(1-2E-6)+1E-6</f>
        <v/>
      </c>
      <c r="F854" s="30">
        <f>RAND()*(1-2E-6)+1E-6</f>
        <v/>
      </c>
      <c r="G854" s="30">
        <f>RAND()*(1-2E-6)+1E-6</f>
        <v/>
      </c>
      <c r="H854" s="30">
        <f>RAND()*(1-2E-6)+1E-6</f>
        <v/>
      </c>
      <c r="I854" s="31">
        <f>MIN(IF(Supuestos!$H$5="",1E+99,Supuestos!$H$5),MAX(IF(Supuestos!$G$5="",-1E+99,Supuestos!$G$5),IF(Supuestos!$C$5="Normal",NORMINV(B854,Supuestos!$D$5,Supuestos!$E$5),IF(Supuestos!$C$5="Triangular",IF(B854&lt;(Supuestos!$E$5-Supuestos!$D$5)/(Supuestos!$F$5-Supuestos!$D$5),Supuestos!$D$5+SQRT(B854*(Supuestos!$F$5-Supuestos!$D$5)*(Supuestos!$E$5-Supuestos!$D$5)),Supuestos!$F$5-SQRT((1-B854)*(Supuestos!$F$5-Supuestos!$D$5)*(Supuestos!$F$5-Supuestos!$E$5))),IF(Supuestos!$C$5="Uniforme",Supuestos!$D$5+B854*(Supuestos!$E$5-Supuestos!$D$5),IF(Supuestos!$C$5="Lognormal",LOGINV(B854,LN(Supuestos!$D$5)-LN(1+Supuestos!$E$5^2/Supuestos!$D$5^2)/2,SQRT(LN(1+Supuestos!$E$5^2/Supuestos!$D$5^2))),Supuestos!$D$5))))))</f>
        <v/>
      </c>
      <c r="J854" s="31">
        <f>MIN(IF(Supuestos!$H$6="",1E+99,Supuestos!$H$6),MAX(IF(Supuestos!$G$6="",-1E+99,Supuestos!$G$6),IF(Supuestos!$C$6="Normal",NORMINV(C854,Supuestos!$D$6,Supuestos!$E$6),IF(Supuestos!$C$6="Triangular",IF(C854&lt;(Supuestos!$E$6-Supuestos!$D$6)/(Supuestos!$F$6-Supuestos!$D$6),Supuestos!$D$6+SQRT(C854*(Supuestos!$F$6-Supuestos!$D$6)*(Supuestos!$E$6-Supuestos!$D$6)),Supuestos!$F$6-SQRT((1-C854)*(Supuestos!$F$6-Supuestos!$D$6)*(Supuestos!$F$6-Supuestos!$E$6))),IF(Supuestos!$C$6="Uniforme",Supuestos!$D$6+C854*(Supuestos!$E$6-Supuestos!$D$6),IF(Supuestos!$C$6="Lognormal",LOGINV(C854,LN(Supuestos!$D$6)-LN(1+Supuestos!$E$6^2/Supuestos!$D$6^2)/2,SQRT(LN(1+Supuestos!$E$6^2/Supuestos!$D$6^2))),Supuestos!$D$6))))))</f>
        <v/>
      </c>
      <c r="K854" s="32">
        <f>MIN(IF(Supuestos!$H$7="",1E+99,Supuestos!$H$7),MAX(IF(Supuestos!$G$7="",-1E+99,Supuestos!$G$7),IF(Supuestos!$C$7="Normal",NORMINV(D854,Supuestos!$D$7,Supuestos!$E$7),IF(Supuestos!$C$7="Triangular",IF(D854&lt;(Supuestos!$E$7-Supuestos!$D$7)/(Supuestos!$F$7-Supuestos!$D$7),Supuestos!$D$7+SQRT(D854*(Supuestos!$F$7-Supuestos!$D$7)*(Supuestos!$E$7-Supuestos!$D$7)),Supuestos!$F$7-SQRT((1-D854)*(Supuestos!$F$7-Supuestos!$D$7)*(Supuestos!$F$7-Supuestos!$E$7))),IF(Supuestos!$C$7="Uniforme",Supuestos!$D$7+D854*(Supuestos!$E$7-Supuestos!$D$7),IF(Supuestos!$C$7="Lognormal",LOGINV(D854,LN(Supuestos!$D$7)-LN(1+Supuestos!$E$7^2/Supuestos!$D$7^2)/2,SQRT(LN(1+Supuestos!$E$7^2/Supuestos!$D$7^2))),Supuestos!$D$7))))))</f>
        <v/>
      </c>
      <c r="L854" s="32">
        <f>MIN(IF(Supuestos!$H$8="",1E+99,Supuestos!$H$8),MAX(IF(Supuestos!$G$8="",-1E+99,Supuestos!$G$8),IF(Supuestos!$C$8="Normal",NORMINV(E854,Supuestos!$D$8,Supuestos!$E$8),IF(Supuestos!$C$8="Triangular",IF(E854&lt;(Supuestos!$E$8-Supuestos!$D$8)/(Supuestos!$F$8-Supuestos!$D$8),Supuestos!$D$8+SQRT(E854*(Supuestos!$F$8-Supuestos!$D$8)*(Supuestos!$E$8-Supuestos!$D$8)),Supuestos!$F$8-SQRT((1-E854)*(Supuestos!$F$8-Supuestos!$D$8)*(Supuestos!$F$8-Supuestos!$E$8))),IF(Supuestos!$C$8="Uniforme",Supuestos!$D$8+E854*(Supuestos!$E$8-Supuestos!$D$8),IF(Supuestos!$C$8="Lognormal",LOGINV(E854,LN(Supuestos!$D$8)-LN(1+Supuestos!$E$8^2/Supuestos!$D$8^2)/2,SQRT(LN(1+Supuestos!$E$8^2/Supuestos!$D$8^2))),Supuestos!$D$8))))))</f>
        <v/>
      </c>
      <c r="M854" s="32">
        <f>MIN(IF(Supuestos!$H$9="",1E+99,Supuestos!$H$9),MAX(IF(Supuestos!$G$9="",-1E+99,Supuestos!$G$9),IF(Supuestos!$C$9="Normal",NORMINV(F854,Supuestos!$D$9,Supuestos!$E$9),IF(Supuestos!$C$9="Triangular",IF(F854&lt;(Supuestos!$E$9-Supuestos!$D$9)/(Supuestos!$F$9-Supuestos!$D$9),Supuestos!$D$9+SQRT(F854*(Supuestos!$F$9-Supuestos!$D$9)*(Supuestos!$E$9-Supuestos!$D$9)),Supuestos!$F$9-SQRT((1-F854)*(Supuestos!$F$9-Supuestos!$D$9)*(Supuestos!$F$9-Supuestos!$E$9))),IF(Supuestos!$C$9="Uniforme",Supuestos!$D$9+F854*(Supuestos!$E$9-Supuestos!$D$9),IF(Supuestos!$C$9="Lognormal",LOGINV(F854,LN(Supuestos!$D$9)-LN(1+Supuestos!$E$9^2/Supuestos!$D$9^2)/2,SQRT(LN(1+Supuestos!$E$9^2/Supuestos!$D$9^2))),Supuestos!$D$9))))))</f>
        <v/>
      </c>
      <c r="N854" s="32">
        <f>MIN(IF(Supuestos!$H$10="",1E+99,Supuestos!$H$10),MAX(IF(Supuestos!$G$10="",-1E+99,Supuestos!$G$10),IF(Supuestos!$C$10="Normal",NORMINV(G854,Supuestos!$D$10,Supuestos!$E$10),IF(Supuestos!$C$10="Triangular",IF(G854&lt;(Supuestos!$E$10-Supuestos!$D$10)/(Supuestos!$F$10-Supuestos!$D$10),Supuestos!$D$10+SQRT(G854*(Supuestos!$F$10-Supuestos!$D$10)*(Supuestos!$E$10-Supuestos!$D$10)),Supuestos!$F$10-SQRT((1-G854)*(Supuestos!$F$10-Supuestos!$D$10)*(Supuestos!$F$10-Supuestos!$E$10))),IF(Supuestos!$C$10="Uniforme",Supuestos!$D$10+G854*(Supuestos!$E$10-Supuestos!$D$10),IF(Supuestos!$C$10="Lognormal",LOGINV(G854,LN(Supuestos!$D$10)-LN(1+Supuestos!$E$10^2/Supuestos!$D$10^2)/2,SQRT(LN(1+Supuestos!$E$10^2/Supuestos!$D$10^2))),Supuestos!$D$10))))))</f>
        <v/>
      </c>
      <c r="O854" s="31">
        <f>MIN(IF(Supuestos!$H$11="",1E+99,Supuestos!$H$11),MAX(IF(Supuestos!$G$11="",-1E+99,Supuestos!$G$11),IF(Supuestos!$C$11="Normal",NORMINV(H854,Supuestos!$D$11,Supuestos!$E$11),IF(Supuestos!$C$11="Triangular",IF(H854&lt;(Supuestos!$E$11-Supuestos!$D$11)/(Supuestos!$F$11-Supuestos!$D$11),Supuestos!$D$11+SQRT(H854*(Supuestos!$F$11-Supuestos!$D$11)*(Supuestos!$E$11-Supuestos!$D$11)),Supuestos!$F$11-SQRT((1-H854)*(Supuestos!$F$11-Supuestos!$D$11)*(Supuestos!$F$11-Supuestos!$E$11))),IF(Supuestos!$C$11="Uniforme",Supuestos!$D$11+H854*(Supuestos!$E$11-Supuestos!$D$11),IF(Supuestos!$C$11="Lognormal",LOGINV(H854,LN(Supuestos!$D$11)-LN(1+Supuestos!$E$11^2/Supuestos!$D$11^2)/2,SQRT(LN(1+Supuestos!$E$11^2/Supuestos!$D$11^2))),Supuestos!$D$11))))))</f>
        <v/>
      </c>
      <c r="P854" s="33">
        <f>-I854</f>
        <v/>
      </c>
      <c r="Q854" s="33">
        <f>$J854*(1+$K854)^(1-1)*(1-$L854)*(1-$M854)</f>
        <v/>
      </c>
      <c r="R854" s="33">
        <f>$J854*(1+$K854)^(2-1)*(1-$L854)*(1-$M854)</f>
        <v/>
      </c>
      <c r="S854" s="33">
        <f>$J854*(1+$K854)^(3-1)*(1-$L854)*(1-$M854)</f>
        <v/>
      </c>
      <c r="T854" s="33">
        <f>$J854*(1+$K854)^(4-1)*(1-$L854)*(1-$M854)</f>
        <v/>
      </c>
      <c r="U854" s="33">
        <f>$J854*(1+$K854)^(5-1)*(1-$L854)*(1-$M854)+$O854</f>
        <v/>
      </c>
      <c r="V854" s="33">
        <f>P854+NPV($N854,Q854:U854)</f>
        <v/>
      </c>
      <c r="W854" s="32">
        <f>IFERROR(IRR(P854:U854,0.1),"")</f>
        <v/>
      </c>
    </row>
    <row r="855">
      <c r="A855" s="14" t="n">
        <v>851</v>
      </c>
      <c r="B855" s="30">
        <f>RAND()*(1-2E-6)+1E-6</f>
        <v/>
      </c>
      <c r="C855" s="30">
        <f>RAND()*(1-2E-6)+1E-6</f>
        <v/>
      </c>
      <c r="D855" s="30">
        <f>RAND()*(1-2E-6)+1E-6</f>
        <v/>
      </c>
      <c r="E855" s="30">
        <f>RAND()*(1-2E-6)+1E-6</f>
        <v/>
      </c>
      <c r="F855" s="30">
        <f>RAND()*(1-2E-6)+1E-6</f>
        <v/>
      </c>
      <c r="G855" s="30">
        <f>RAND()*(1-2E-6)+1E-6</f>
        <v/>
      </c>
      <c r="H855" s="30">
        <f>RAND()*(1-2E-6)+1E-6</f>
        <v/>
      </c>
      <c r="I855" s="31">
        <f>MIN(IF(Supuestos!$H$5="",1E+99,Supuestos!$H$5),MAX(IF(Supuestos!$G$5="",-1E+99,Supuestos!$G$5),IF(Supuestos!$C$5="Normal",NORMINV(B855,Supuestos!$D$5,Supuestos!$E$5),IF(Supuestos!$C$5="Triangular",IF(B855&lt;(Supuestos!$E$5-Supuestos!$D$5)/(Supuestos!$F$5-Supuestos!$D$5),Supuestos!$D$5+SQRT(B855*(Supuestos!$F$5-Supuestos!$D$5)*(Supuestos!$E$5-Supuestos!$D$5)),Supuestos!$F$5-SQRT((1-B855)*(Supuestos!$F$5-Supuestos!$D$5)*(Supuestos!$F$5-Supuestos!$E$5))),IF(Supuestos!$C$5="Uniforme",Supuestos!$D$5+B855*(Supuestos!$E$5-Supuestos!$D$5),IF(Supuestos!$C$5="Lognormal",LOGINV(B855,LN(Supuestos!$D$5)-LN(1+Supuestos!$E$5^2/Supuestos!$D$5^2)/2,SQRT(LN(1+Supuestos!$E$5^2/Supuestos!$D$5^2))),Supuestos!$D$5))))))</f>
        <v/>
      </c>
      <c r="J855" s="31">
        <f>MIN(IF(Supuestos!$H$6="",1E+99,Supuestos!$H$6),MAX(IF(Supuestos!$G$6="",-1E+99,Supuestos!$G$6),IF(Supuestos!$C$6="Normal",NORMINV(C855,Supuestos!$D$6,Supuestos!$E$6),IF(Supuestos!$C$6="Triangular",IF(C855&lt;(Supuestos!$E$6-Supuestos!$D$6)/(Supuestos!$F$6-Supuestos!$D$6),Supuestos!$D$6+SQRT(C855*(Supuestos!$F$6-Supuestos!$D$6)*(Supuestos!$E$6-Supuestos!$D$6)),Supuestos!$F$6-SQRT((1-C855)*(Supuestos!$F$6-Supuestos!$D$6)*(Supuestos!$F$6-Supuestos!$E$6))),IF(Supuestos!$C$6="Uniforme",Supuestos!$D$6+C855*(Supuestos!$E$6-Supuestos!$D$6),IF(Supuestos!$C$6="Lognormal",LOGINV(C855,LN(Supuestos!$D$6)-LN(1+Supuestos!$E$6^2/Supuestos!$D$6^2)/2,SQRT(LN(1+Supuestos!$E$6^2/Supuestos!$D$6^2))),Supuestos!$D$6))))))</f>
        <v/>
      </c>
      <c r="K855" s="32">
        <f>MIN(IF(Supuestos!$H$7="",1E+99,Supuestos!$H$7),MAX(IF(Supuestos!$G$7="",-1E+99,Supuestos!$G$7),IF(Supuestos!$C$7="Normal",NORMINV(D855,Supuestos!$D$7,Supuestos!$E$7),IF(Supuestos!$C$7="Triangular",IF(D855&lt;(Supuestos!$E$7-Supuestos!$D$7)/(Supuestos!$F$7-Supuestos!$D$7),Supuestos!$D$7+SQRT(D855*(Supuestos!$F$7-Supuestos!$D$7)*(Supuestos!$E$7-Supuestos!$D$7)),Supuestos!$F$7-SQRT((1-D855)*(Supuestos!$F$7-Supuestos!$D$7)*(Supuestos!$F$7-Supuestos!$E$7))),IF(Supuestos!$C$7="Uniforme",Supuestos!$D$7+D855*(Supuestos!$E$7-Supuestos!$D$7),IF(Supuestos!$C$7="Lognormal",LOGINV(D855,LN(Supuestos!$D$7)-LN(1+Supuestos!$E$7^2/Supuestos!$D$7^2)/2,SQRT(LN(1+Supuestos!$E$7^2/Supuestos!$D$7^2))),Supuestos!$D$7))))))</f>
        <v/>
      </c>
      <c r="L855" s="32">
        <f>MIN(IF(Supuestos!$H$8="",1E+99,Supuestos!$H$8),MAX(IF(Supuestos!$G$8="",-1E+99,Supuestos!$G$8),IF(Supuestos!$C$8="Normal",NORMINV(E855,Supuestos!$D$8,Supuestos!$E$8),IF(Supuestos!$C$8="Triangular",IF(E855&lt;(Supuestos!$E$8-Supuestos!$D$8)/(Supuestos!$F$8-Supuestos!$D$8),Supuestos!$D$8+SQRT(E855*(Supuestos!$F$8-Supuestos!$D$8)*(Supuestos!$E$8-Supuestos!$D$8)),Supuestos!$F$8-SQRT((1-E855)*(Supuestos!$F$8-Supuestos!$D$8)*(Supuestos!$F$8-Supuestos!$E$8))),IF(Supuestos!$C$8="Uniforme",Supuestos!$D$8+E855*(Supuestos!$E$8-Supuestos!$D$8),IF(Supuestos!$C$8="Lognormal",LOGINV(E855,LN(Supuestos!$D$8)-LN(1+Supuestos!$E$8^2/Supuestos!$D$8^2)/2,SQRT(LN(1+Supuestos!$E$8^2/Supuestos!$D$8^2))),Supuestos!$D$8))))))</f>
        <v/>
      </c>
      <c r="M855" s="32">
        <f>MIN(IF(Supuestos!$H$9="",1E+99,Supuestos!$H$9),MAX(IF(Supuestos!$G$9="",-1E+99,Supuestos!$G$9),IF(Supuestos!$C$9="Normal",NORMINV(F855,Supuestos!$D$9,Supuestos!$E$9),IF(Supuestos!$C$9="Triangular",IF(F855&lt;(Supuestos!$E$9-Supuestos!$D$9)/(Supuestos!$F$9-Supuestos!$D$9),Supuestos!$D$9+SQRT(F855*(Supuestos!$F$9-Supuestos!$D$9)*(Supuestos!$E$9-Supuestos!$D$9)),Supuestos!$F$9-SQRT((1-F855)*(Supuestos!$F$9-Supuestos!$D$9)*(Supuestos!$F$9-Supuestos!$E$9))),IF(Supuestos!$C$9="Uniforme",Supuestos!$D$9+F855*(Supuestos!$E$9-Supuestos!$D$9),IF(Supuestos!$C$9="Lognormal",LOGINV(F855,LN(Supuestos!$D$9)-LN(1+Supuestos!$E$9^2/Supuestos!$D$9^2)/2,SQRT(LN(1+Supuestos!$E$9^2/Supuestos!$D$9^2))),Supuestos!$D$9))))))</f>
        <v/>
      </c>
      <c r="N855" s="32">
        <f>MIN(IF(Supuestos!$H$10="",1E+99,Supuestos!$H$10),MAX(IF(Supuestos!$G$10="",-1E+99,Supuestos!$G$10),IF(Supuestos!$C$10="Normal",NORMINV(G855,Supuestos!$D$10,Supuestos!$E$10),IF(Supuestos!$C$10="Triangular",IF(G855&lt;(Supuestos!$E$10-Supuestos!$D$10)/(Supuestos!$F$10-Supuestos!$D$10),Supuestos!$D$10+SQRT(G855*(Supuestos!$F$10-Supuestos!$D$10)*(Supuestos!$E$10-Supuestos!$D$10)),Supuestos!$F$10-SQRT((1-G855)*(Supuestos!$F$10-Supuestos!$D$10)*(Supuestos!$F$10-Supuestos!$E$10))),IF(Supuestos!$C$10="Uniforme",Supuestos!$D$10+G855*(Supuestos!$E$10-Supuestos!$D$10),IF(Supuestos!$C$10="Lognormal",LOGINV(G855,LN(Supuestos!$D$10)-LN(1+Supuestos!$E$10^2/Supuestos!$D$10^2)/2,SQRT(LN(1+Supuestos!$E$10^2/Supuestos!$D$10^2))),Supuestos!$D$10))))))</f>
        <v/>
      </c>
      <c r="O855" s="31">
        <f>MIN(IF(Supuestos!$H$11="",1E+99,Supuestos!$H$11),MAX(IF(Supuestos!$G$11="",-1E+99,Supuestos!$G$11),IF(Supuestos!$C$11="Normal",NORMINV(H855,Supuestos!$D$11,Supuestos!$E$11),IF(Supuestos!$C$11="Triangular",IF(H855&lt;(Supuestos!$E$11-Supuestos!$D$11)/(Supuestos!$F$11-Supuestos!$D$11),Supuestos!$D$11+SQRT(H855*(Supuestos!$F$11-Supuestos!$D$11)*(Supuestos!$E$11-Supuestos!$D$11)),Supuestos!$F$11-SQRT((1-H855)*(Supuestos!$F$11-Supuestos!$D$11)*(Supuestos!$F$11-Supuestos!$E$11))),IF(Supuestos!$C$11="Uniforme",Supuestos!$D$11+H855*(Supuestos!$E$11-Supuestos!$D$11),IF(Supuestos!$C$11="Lognormal",LOGINV(H855,LN(Supuestos!$D$11)-LN(1+Supuestos!$E$11^2/Supuestos!$D$11^2)/2,SQRT(LN(1+Supuestos!$E$11^2/Supuestos!$D$11^2))),Supuestos!$D$11))))))</f>
        <v/>
      </c>
      <c r="P855" s="33">
        <f>-I855</f>
        <v/>
      </c>
      <c r="Q855" s="33">
        <f>$J855*(1+$K855)^(1-1)*(1-$L855)*(1-$M855)</f>
        <v/>
      </c>
      <c r="R855" s="33">
        <f>$J855*(1+$K855)^(2-1)*(1-$L855)*(1-$M855)</f>
        <v/>
      </c>
      <c r="S855" s="33">
        <f>$J855*(1+$K855)^(3-1)*(1-$L855)*(1-$M855)</f>
        <v/>
      </c>
      <c r="T855" s="33">
        <f>$J855*(1+$K855)^(4-1)*(1-$L855)*(1-$M855)</f>
        <v/>
      </c>
      <c r="U855" s="33">
        <f>$J855*(1+$K855)^(5-1)*(1-$L855)*(1-$M855)+$O855</f>
        <v/>
      </c>
      <c r="V855" s="33">
        <f>P855+NPV($N855,Q855:U855)</f>
        <v/>
      </c>
      <c r="W855" s="32">
        <f>IFERROR(IRR(P855:U855,0.1),"")</f>
        <v/>
      </c>
    </row>
    <row r="856">
      <c r="A856" s="14" t="n">
        <v>852</v>
      </c>
      <c r="B856" s="30">
        <f>RAND()*(1-2E-6)+1E-6</f>
        <v/>
      </c>
      <c r="C856" s="30">
        <f>RAND()*(1-2E-6)+1E-6</f>
        <v/>
      </c>
      <c r="D856" s="30">
        <f>RAND()*(1-2E-6)+1E-6</f>
        <v/>
      </c>
      <c r="E856" s="30">
        <f>RAND()*(1-2E-6)+1E-6</f>
        <v/>
      </c>
      <c r="F856" s="30">
        <f>RAND()*(1-2E-6)+1E-6</f>
        <v/>
      </c>
      <c r="G856" s="30">
        <f>RAND()*(1-2E-6)+1E-6</f>
        <v/>
      </c>
      <c r="H856" s="30">
        <f>RAND()*(1-2E-6)+1E-6</f>
        <v/>
      </c>
      <c r="I856" s="31">
        <f>MIN(IF(Supuestos!$H$5="",1E+99,Supuestos!$H$5),MAX(IF(Supuestos!$G$5="",-1E+99,Supuestos!$G$5),IF(Supuestos!$C$5="Normal",NORMINV(B856,Supuestos!$D$5,Supuestos!$E$5),IF(Supuestos!$C$5="Triangular",IF(B856&lt;(Supuestos!$E$5-Supuestos!$D$5)/(Supuestos!$F$5-Supuestos!$D$5),Supuestos!$D$5+SQRT(B856*(Supuestos!$F$5-Supuestos!$D$5)*(Supuestos!$E$5-Supuestos!$D$5)),Supuestos!$F$5-SQRT((1-B856)*(Supuestos!$F$5-Supuestos!$D$5)*(Supuestos!$F$5-Supuestos!$E$5))),IF(Supuestos!$C$5="Uniforme",Supuestos!$D$5+B856*(Supuestos!$E$5-Supuestos!$D$5),IF(Supuestos!$C$5="Lognormal",LOGINV(B856,LN(Supuestos!$D$5)-LN(1+Supuestos!$E$5^2/Supuestos!$D$5^2)/2,SQRT(LN(1+Supuestos!$E$5^2/Supuestos!$D$5^2))),Supuestos!$D$5))))))</f>
        <v/>
      </c>
      <c r="J856" s="31">
        <f>MIN(IF(Supuestos!$H$6="",1E+99,Supuestos!$H$6),MAX(IF(Supuestos!$G$6="",-1E+99,Supuestos!$G$6),IF(Supuestos!$C$6="Normal",NORMINV(C856,Supuestos!$D$6,Supuestos!$E$6),IF(Supuestos!$C$6="Triangular",IF(C856&lt;(Supuestos!$E$6-Supuestos!$D$6)/(Supuestos!$F$6-Supuestos!$D$6),Supuestos!$D$6+SQRT(C856*(Supuestos!$F$6-Supuestos!$D$6)*(Supuestos!$E$6-Supuestos!$D$6)),Supuestos!$F$6-SQRT((1-C856)*(Supuestos!$F$6-Supuestos!$D$6)*(Supuestos!$F$6-Supuestos!$E$6))),IF(Supuestos!$C$6="Uniforme",Supuestos!$D$6+C856*(Supuestos!$E$6-Supuestos!$D$6),IF(Supuestos!$C$6="Lognormal",LOGINV(C856,LN(Supuestos!$D$6)-LN(1+Supuestos!$E$6^2/Supuestos!$D$6^2)/2,SQRT(LN(1+Supuestos!$E$6^2/Supuestos!$D$6^2))),Supuestos!$D$6))))))</f>
        <v/>
      </c>
      <c r="K856" s="32">
        <f>MIN(IF(Supuestos!$H$7="",1E+99,Supuestos!$H$7),MAX(IF(Supuestos!$G$7="",-1E+99,Supuestos!$G$7),IF(Supuestos!$C$7="Normal",NORMINV(D856,Supuestos!$D$7,Supuestos!$E$7),IF(Supuestos!$C$7="Triangular",IF(D856&lt;(Supuestos!$E$7-Supuestos!$D$7)/(Supuestos!$F$7-Supuestos!$D$7),Supuestos!$D$7+SQRT(D856*(Supuestos!$F$7-Supuestos!$D$7)*(Supuestos!$E$7-Supuestos!$D$7)),Supuestos!$F$7-SQRT((1-D856)*(Supuestos!$F$7-Supuestos!$D$7)*(Supuestos!$F$7-Supuestos!$E$7))),IF(Supuestos!$C$7="Uniforme",Supuestos!$D$7+D856*(Supuestos!$E$7-Supuestos!$D$7),IF(Supuestos!$C$7="Lognormal",LOGINV(D856,LN(Supuestos!$D$7)-LN(1+Supuestos!$E$7^2/Supuestos!$D$7^2)/2,SQRT(LN(1+Supuestos!$E$7^2/Supuestos!$D$7^2))),Supuestos!$D$7))))))</f>
        <v/>
      </c>
      <c r="L856" s="32">
        <f>MIN(IF(Supuestos!$H$8="",1E+99,Supuestos!$H$8),MAX(IF(Supuestos!$G$8="",-1E+99,Supuestos!$G$8),IF(Supuestos!$C$8="Normal",NORMINV(E856,Supuestos!$D$8,Supuestos!$E$8),IF(Supuestos!$C$8="Triangular",IF(E856&lt;(Supuestos!$E$8-Supuestos!$D$8)/(Supuestos!$F$8-Supuestos!$D$8),Supuestos!$D$8+SQRT(E856*(Supuestos!$F$8-Supuestos!$D$8)*(Supuestos!$E$8-Supuestos!$D$8)),Supuestos!$F$8-SQRT((1-E856)*(Supuestos!$F$8-Supuestos!$D$8)*(Supuestos!$F$8-Supuestos!$E$8))),IF(Supuestos!$C$8="Uniforme",Supuestos!$D$8+E856*(Supuestos!$E$8-Supuestos!$D$8),IF(Supuestos!$C$8="Lognormal",LOGINV(E856,LN(Supuestos!$D$8)-LN(1+Supuestos!$E$8^2/Supuestos!$D$8^2)/2,SQRT(LN(1+Supuestos!$E$8^2/Supuestos!$D$8^2))),Supuestos!$D$8))))))</f>
        <v/>
      </c>
      <c r="M856" s="32">
        <f>MIN(IF(Supuestos!$H$9="",1E+99,Supuestos!$H$9),MAX(IF(Supuestos!$G$9="",-1E+99,Supuestos!$G$9),IF(Supuestos!$C$9="Normal",NORMINV(F856,Supuestos!$D$9,Supuestos!$E$9),IF(Supuestos!$C$9="Triangular",IF(F856&lt;(Supuestos!$E$9-Supuestos!$D$9)/(Supuestos!$F$9-Supuestos!$D$9),Supuestos!$D$9+SQRT(F856*(Supuestos!$F$9-Supuestos!$D$9)*(Supuestos!$E$9-Supuestos!$D$9)),Supuestos!$F$9-SQRT((1-F856)*(Supuestos!$F$9-Supuestos!$D$9)*(Supuestos!$F$9-Supuestos!$E$9))),IF(Supuestos!$C$9="Uniforme",Supuestos!$D$9+F856*(Supuestos!$E$9-Supuestos!$D$9),IF(Supuestos!$C$9="Lognormal",LOGINV(F856,LN(Supuestos!$D$9)-LN(1+Supuestos!$E$9^2/Supuestos!$D$9^2)/2,SQRT(LN(1+Supuestos!$E$9^2/Supuestos!$D$9^2))),Supuestos!$D$9))))))</f>
        <v/>
      </c>
      <c r="N856" s="32">
        <f>MIN(IF(Supuestos!$H$10="",1E+99,Supuestos!$H$10),MAX(IF(Supuestos!$G$10="",-1E+99,Supuestos!$G$10),IF(Supuestos!$C$10="Normal",NORMINV(G856,Supuestos!$D$10,Supuestos!$E$10),IF(Supuestos!$C$10="Triangular",IF(G856&lt;(Supuestos!$E$10-Supuestos!$D$10)/(Supuestos!$F$10-Supuestos!$D$10),Supuestos!$D$10+SQRT(G856*(Supuestos!$F$10-Supuestos!$D$10)*(Supuestos!$E$10-Supuestos!$D$10)),Supuestos!$F$10-SQRT((1-G856)*(Supuestos!$F$10-Supuestos!$D$10)*(Supuestos!$F$10-Supuestos!$E$10))),IF(Supuestos!$C$10="Uniforme",Supuestos!$D$10+G856*(Supuestos!$E$10-Supuestos!$D$10),IF(Supuestos!$C$10="Lognormal",LOGINV(G856,LN(Supuestos!$D$10)-LN(1+Supuestos!$E$10^2/Supuestos!$D$10^2)/2,SQRT(LN(1+Supuestos!$E$10^2/Supuestos!$D$10^2))),Supuestos!$D$10))))))</f>
        <v/>
      </c>
      <c r="O856" s="31">
        <f>MIN(IF(Supuestos!$H$11="",1E+99,Supuestos!$H$11),MAX(IF(Supuestos!$G$11="",-1E+99,Supuestos!$G$11),IF(Supuestos!$C$11="Normal",NORMINV(H856,Supuestos!$D$11,Supuestos!$E$11),IF(Supuestos!$C$11="Triangular",IF(H856&lt;(Supuestos!$E$11-Supuestos!$D$11)/(Supuestos!$F$11-Supuestos!$D$11),Supuestos!$D$11+SQRT(H856*(Supuestos!$F$11-Supuestos!$D$11)*(Supuestos!$E$11-Supuestos!$D$11)),Supuestos!$F$11-SQRT((1-H856)*(Supuestos!$F$11-Supuestos!$D$11)*(Supuestos!$F$11-Supuestos!$E$11))),IF(Supuestos!$C$11="Uniforme",Supuestos!$D$11+H856*(Supuestos!$E$11-Supuestos!$D$11),IF(Supuestos!$C$11="Lognormal",LOGINV(H856,LN(Supuestos!$D$11)-LN(1+Supuestos!$E$11^2/Supuestos!$D$11^2)/2,SQRT(LN(1+Supuestos!$E$11^2/Supuestos!$D$11^2))),Supuestos!$D$11))))))</f>
        <v/>
      </c>
      <c r="P856" s="33">
        <f>-I856</f>
        <v/>
      </c>
      <c r="Q856" s="33">
        <f>$J856*(1+$K856)^(1-1)*(1-$L856)*(1-$M856)</f>
        <v/>
      </c>
      <c r="R856" s="33">
        <f>$J856*(1+$K856)^(2-1)*(1-$L856)*(1-$M856)</f>
        <v/>
      </c>
      <c r="S856" s="33">
        <f>$J856*(1+$K856)^(3-1)*(1-$L856)*(1-$M856)</f>
        <v/>
      </c>
      <c r="T856" s="33">
        <f>$J856*(1+$K856)^(4-1)*(1-$L856)*(1-$M856)</f>
        <v/>
      </c>
      <c r="U856" s="33">
        <f>$J856*(1+$K856)^(5-1)*(1-$L856)*(1-$M856)+$O856</f>
        <v/>
      </c>
      <c r="V856" s="33">
        <f>P856+NPV($N856,Q856:U856)</f>
        <v/>
      </c>
      <c r="W856" s="32">
        <f>IFERROR(IRR(P856:U856,0.1),"")</f>
        <v/>
      </c>
    </row>
    <row r="857">
      <c r="A857" s="14" t="n">
        <v>853</v>
      </c>
      <c r="B857" s="30">
        <f>RAND()*(1-2E-6)+1E-6</f>
        <v/>
      </c>
      <c r="C857" s="30">
        <f>RAND()*(1-2E-6)+1E-6</f>
        <v/>
      </c>
      <c r="D857" s="30">
        <f>RAND()*(1-2E-6)+1E-6</f>
        <v/>
      </c>
      <c r="E857" s="30">
        <f>RAND()*(1-2E-6)+1E-6</f>
        <v/>
      </c>
      <c r="F857" s="30">
        <f>RAND()*(1-2E-6)+1E-6</f>
        <v/>
      </c>
      <c r="G857" s="30">
        <f>RAND()*(1-2E-6)+1E-6</f>
        <v/>
      </c>
      <c r="H857" s="30">
        <f>RAND()*(1-2E-6)+1E-6</f>
        <v/>
      </c>
      <c r="I857" s="31">
        <f>MIN(IF(Supuestos!$H$5="",1E+99,Supuestos!$H$5),MAX(IF(Supuestos!$G$5="",-1E+99,Supuestos!$G$5),IF(Supuestos!$C$5="Normal",NORMINV(B857,Supuestos!$D$5,Supuestos!$E$5),IF(Supuestos!$C$5="Triangular",IF(B857&lt;(Supuestos!$E$5-Supuestos!$D$5)/(Supuestos!$F$5-Supuestos!$D$5),Supuestos!$D$5+SQRT(B857*(Supuestos!$F$5-Supuestos!$D$5)*(Supuestos!$E$5-Supuestos!$D$5)),Supuestos!$F$5-SQRT((1-B857)*(Supuestos!$F$5-Supuestos!$D$5)*(Supuestos!$F$5-Supuestos!$E$5))),IF(Supuestos!$C$5="Uniforme",Supuestos!$D$5+B857*(Supuestos!$E$5-Supuestos!$D$5),IF(Supuestos!$C$5="Lognormal",LOGINV(B857,LN(Supuestos!$D$5)-LN(1+Supuestos!$E$5^2/Supuestos!$D$5^2)/2,SQRT(LN(1+Supuestos!$E$5^2/Supuestos!$D$5^2))),Supuestos!$D$5))))))</f>
        <v/>
      </c>
      <c r="J857" s="31">
        <f>MIN(IF(Supuestos!$H$6="",1E+99,Supuestos!$H$6),MAX(IF(Supuestos!$G$6="",-1E+99,Supuestos!$G$6),IF(Supuestos!$C$6="Normal",NORMINV(C857,Supuestos!$D$6,Supuestos!$E$6),IF(Supuestos!$C$6="Triangular",IF(C857&lt;(Supuestos!$E$6-Supuestos!$D$6)/(Supuestos!$F$6-Supuestos!$D$6),Supuestos!$D$6+SQRT(C857*(Supuestos!$F$6-Supuestos!$D$6)*(Supuestos!$E$6-Supuestos!$D$6)),Supuestos!$F$6-SQRT((1-C857)*(Supuestos!$F$6-Supuestos!$D$6)*(Supuestos!$F$6-Supuestos!$E$6))),IF(Supuestos!$C$6="Uniforme",Supuestos!$D$6+C857*(Supuestos!$E$6-Supuestos!$D$6),IF(Supuestos!$C$6="Lognormal",LOGINV(C857,LN(Supuestos!$D$6)-LN(1+Supuestos!$E$6^2/Supuestos!$D$6^2)/2,SQRT(LN(1+Supuestos!$E$6^2/Supuestos!$D$6^2))),Supuestos!$D$6))))))</f>
        <v/>
      </c>
      <c r="K857" s="32">
        <f>MIN(IF(Supuestos!$H$7="",1E+99,Supuestos!$H$7),MAX(IF(Supuestos!$G$7="",-1E+99,Supuestos!$G$7),IF(Supuestos!$C$7="Normal",NORMINV(D857,Supuestos!$D$7,Supuestos!$E$7),IF(Supuestos!$C$7="Triangular",IF(D857&lt;(Supuestos!$E$7-Supuestos!$D$7)/(Supuestos!$F$7-Supuestos!$D$7),Supuestos!$D$7+SQRT(D857*(Supuestos!$F$7-Supuestos!$D$7)*(Supuestos!$E$7-Supuestos!$D$7)),Supuestos!$F$7-SQRT((1-D857)*(Supuestos!$F$7-Supuestos!$D$7)*(Supuestos!$F$7-Supuestos!$E$7))),IF(Supuestos!$C$7="Uniforme",Supuestos!$D$7+D857*(Supuestos!$E$7-Supuestos!$D$7),IF(Supuestos!$C$7="Lognormal",LOGINV(D857,LN(Supuestos!$D$7)-LN(1+Supuestos!$E$7^2/Supuestos!$D$7^2)/2,SQRT(LN(1+Supuestos!$E$7^2/Supuestos!$D$7^2))),Supuestos!$D$7))))))</f>
        <v/>
      </c>
      <c r="L857" s="32">
        <f>MIN(IF(Supuestos!$H$8="",1E+99,Supuestos!$H$8),MAX(IF(Supuestos!$G$8="",-1E+99,Supuestos!$G$8),IF(Supuestos!$C$8="Normal",NORMINV(E857,Supuestos!$D$8,Supuestos!$E$8),IF(Supuestos!$C$8="Triangular",IF(E857&lt;(Supuestos!$E$8-Supuestos!$D$8)/(Supuestos!$F$8-Supuestos!$D$8),Supuestos!$D$8+SQRT(E857*(Supuestos!$F$8-Supuestos!$D$8)*(Supuestos!$E$8-Supuestos!$D$8)),Supuestos!$F$8-SQRT((1-E857)*(Supuestos!$F$8-Supuestos!$D$8)*(Supuestos!$F$8-Supuestos!$E$8))),IF(Supuestos!$C$8="Uniforme",Supuestos!$D$8+E857*(Supuestos!$E$8-Supuestos!$D$8),IF(Supuestos!$C$8="Lognormal",LOGINV(E857,LN(Supuestos!$D$8)-LN(1+Supuestos!$E$8^2/Supuestos!$D$8^2)/2,SQRT(LN(1+Supuestos!$E$8^2/Supuestos!$D$8^2))),Supuestos!$D$8))))))</f>
        <v/>
      </c>
      <c r="M857" s="32">
        <f>MIN(IF(Supuestos!$H$9="",1E+99,Supuestos!$H$9),MAX(IF(Supuestos!$G$9="",-1E+99,Supuestos!$G$9),IF(Supuestos!$C$9="Normal",NORMINV(F857,Supuestos!$D$9,Supuestos!$E$9),IF(Supuestos!$C$9="Triangular",IF(F857&lt;(Supuestos!$E$9-Supuestos!$D$9)/(Supuestos!$F$9-Supuestos!$D$9),Supuestos!$D$9+SQRT(F857*(Supuestos!$F$9-Supuestos!$D$9)*(Supuestos!$E$9-Supuestos!$D$9)),Supuestos!$F$9-SQRT((1-F857)*(Supuestos!$F$9-Supuestos!$D$9)*(Supuestos!$F$9-Supuestos!$E$9))),IF(Supuestos!$C$9="Uniforme",Supuestos!$D$9+F857*(Supuestos!$E$9-Supuestos!$D$9),IF(Supuestos!$C$9="Lognormal",LOGINV(F857,LN(Supuestos!$D$9)-LN(1+Supuestos!$E$9^2/Supuestos!$D$9^2)/2,SQRT(LN(1+Supuestos!$E$9^2/Supuestos!$D$9^2))),Supuestos!$D$9))))))</f>
        <v/>
      </c>
      <c r="N857" s="32">
        <f>MIN(IF(Supuestos!$H$10="",1E+99,Supuestos!$H$10),MAX(IF(Supuestos!$G$10="",-1E+99,Supuestos!$G$10),IF(Supuestos!$C$10="Normal",NORMINV(G857,Supuestos!$D$10,Supuestos!$E$10),IF(Supuestos!$C$10="Triangular",IF(G857&lt;(Supuestos!$E$10-Supuestos!$D$10)/(Supuestos!$F$10-Supuestos!$D$10),Supuestos!$D$10+SQRT(G857*(Supuestos!$F$10-Supuestos!$D$10)*(Supuestos!$E$10-Supuestos!$D$10)),Supuestos!$F$10-SQRT((1-G857)*(Supuestos!$F$10-Supuestos!$D$10)*(Supuestos!$F$10-Supuestos!$E$10))),IF(Supuestos!$C$10="Uniforme",Supuestos!$D$10+G857*(Supuestos!$E$10-Supuestos!$D$10),IF(Supuestos!$C$10="Lognormal",LOGINV(G857,LN(Supuestos!$D$10)-LN(1+Supuestos!$E$10^2/Supuestos!$D$10^2)/2,SQRT(LN(1+Supuestos!$E$10^2/Supuestos!$D$10^2))),Supuestos!$D$10))))))</f>
        <v/>
      </c>
      <c r="O857" s="31">
        <f>MIN(IF(Supuestos!$H$11="",1E+99,Supuestos!$H$11),MAX(IF(Supuestos!$G$11="",-1E+99,Supuestos!$G$11),IF(Supuestos!$C$11="Normal",NORMINV(H857,Supuestos!$D$11,Supuestos!$E$11),IF(Supuestos!$C$11="Triangular",IF(H857&lt;(Supuestos!$E$11-Supuestos!$D$11)/(Supuestos!$F$11-Supuestos!$D$11),Supuestos!$D$11+SQRT(H857*(Supuestos!$F$11-Supuestos!$D$11)*(Supuestos!$E$11-Supuestos!$D$11)),Supuestos!$F$11-SQRT((1-H857)*(Supuestos!$F$11-Supuestos!$D$11)*(Supuestos!$F$11-Supuestos!$E$11))),IF(Supuestos!$C$11="Uniforme",Supuestos!$D$11+H857*(Supuestos!$E$11-Supuestos!$D$11),IF(Supuestos!$C$11="Lognormal",LOGINV(H857,LN(Supuestos!$D$11)-LN(1+Supuestos!$E$11^2/Supuestos!$D$11^2)/2,SQRT(LN(1+Supuestos!$E$11^2/Supuestos!$D$11^2))),Supuestos!$D$11))))))</f>
        <v/>
      </c>
      <c r="P857" s="33">
        <f>-I857</f>
        <v/>
      </c>
      <c r="Q857" s="33">
        <f>$J857*(1+$K857)^(1-1)*(1-$L857)*(1-$M857)</f>
        <v/>
      </c>
      <c r="R857" s="33">
        <f>$J857*(1+$K857)^(2-1)*(1-$L857)*(1-$M857)</f>
        <v/>
      </c>
      <c r="S857" s="33">
        <f>$J857*(1+$K857)^(3-1)*(1-$L857)*(1-$M857)</f>
        <v/>
      </c>
      <c r="T857" s="33">
        <f>$J857*(1+$K857)^(4-1)*(1-$L857)*(1-$M857)</f>
        <v/>
      </c>
      <c r="U857" s="33">
        <f>$J857*(1+$K857)^(5-1)*(1-$L857)*(1-$M857)+$O857</f>
        <v/>
      </c>
      <c r="V857" s="33">
        <f>P857+NPV($N857,Q857:U857)</f>
        <v/>
      </c>
      <c r="W857" s="32">
        <f>IFERROR(IRR(P857:U857,0.1),"")</f>
        <v/>
      </c>
    </row>
    <row r="858">
      <c r="A858" s="14" t="n">
        <v>854</v>
      </c>
      <c r="B858" s="30">
        <f>RAND()*(1-2E-6)+1E-6</f>
        <v/>
      </c>
      <c r="C858" s="30">
        <f>RAND()*(1-2E-6)+1E-6</f>
        <v/>
      </c>
      <c r="D858" s="30">
        <f>RAND()*(1-2E-6)+1E-6</f>
        <v/>
      </c>
      <c r="E858" s="30">
        <f>RAND()*(1-2E-6)+1E-6</f>
        <v/>
      </c>
      <c r="F858" s="30">
        <f>RAND()*(1-2E-6)+1E-6</f>
        <v/>
      </c>
      <c r="G858" s="30">
        <f>RAND()*(1-2E-6)+1E-6</f>
        <v/>
      </c>
      <c r="H858" s="30">
        <f>RAND()*(1-2E-6)+1E-6</f>
        <v/>
      </c>
      <c r="I858" s="31">
        <f>MIN(IF(Supuestos!$H$5="",1E+99,Supuestos!$H$5),MAX(IF(Supuestos!$G$5="",-1E+99,Supuestos!$G$5),IF(Supuestos!$C$5="Normal",NORMINV(B858,Supuestos!$D$5,Supuestos!$E$5),IF(Supuestos!$C$5="Triangular",IF(B858&lt;(Supuestos!$E$5-Supuestos!$D$5)/(Supuestos!$F$5-Supuestos!$D$5),Supuestos!$D$5+SQRT(B858*(Supuestos!$F$5-Supuestos!$D$5)*(Supuestos!$E$5-Supuestos!$D$5)),Supuestos!$F$5-SQRT((1-B858)*(Supuestos!$F$5-Supuestos!$D$5)*(Supuestos!$F$5-Supuestos!$E$5))),IF(Supuestos!$C$5="Uniforme",Supuestos!$D$5+B858*(Supuestos!$E$5-Supuestos!$D$5),IF(Supuestos!$C$5="Lognormal",LOGINV(B858,LN(Supuestos!$D$5)-LN(1+Supuestos!$E$5^2/Supuestos!$D$5^2)/2,SQRT(LN(1+Supuestos!$E$5^2/Supuestos!$D$5^2))),Supuestos!$D$5))))))</f>
        <v/>
      </c>
      <c r="J858" s="31">
        <f>MIN(IF(Supuestos!$H$6="",1E+99,Supuestos!$H$6),MAX(IF(Supuestos!$G$6="",-1E+99,Supuestos!$G$6),IF(Supuestos!$C$6="Normal",NORMINV(C858,Supuestos!$D$6,Supuestos!$E$6),IF(Supuestos!$C$6="Triangular",IF(C858&lt;(Supuestos!$E$6-Supuestos!$D$6)/(Supuestos!$F$6-Supuestos!$D$6),Supuestos!$D$6+SQRT(C858*(Supuestos!$F$6-Supuestos!$D$6)*(Supuestos!$E$6-Supuestos!$D$6)),Supuestos!$F$6-SQRT((1-C858)*(Supuestos!$F$6-Supuestos!$D$6)*(Supuestos!$F$6-Supuestos!$E$6))),IF(Supuestos!$C$6="Uniforme",Supuestos!$D$6+C858*(Supuestos!$E$6-Supuestos!$D$6),IF(Supuestos!$C$6="Lognormal",LOGINV(C858,LN(Supuestos!$D$6)-LN(1+Supuestos!$E$6^2/Supuestos!$D$6^2)/2,SQRT(LN(1+Supuestos!$E$6^2/Supuestos!$D$6^2))),Supuestos!$D$6))))))</f>
        <v/>
      </c>
      <c r="K858" s="32">
        <f>MIN(IF(Supuestos!$H$7="",1E+99,Supuestos!$H$7),MAX(IF(Supuestos!$G$7="",-1E+99,Supuestos!$G$7),IF(Supuestos!$C$7="Normal",NORMINV(D858,Supuestos!$D$7,Supuestos!$E$7),IF(Supuestos!$C$7="Triangular",IF(D858&lt;(Supuestos!$E$7-Supuestos!$D$7)/(Supuestos!$F$7-Supuestos!$D$7),Supuestos!$D$7+SQRT(D858*(Supuestos!$F$7-Supuestos!$D$7)*(Supuestos!$E$7-Supuestos!$D$7)),Supuestos!$F$7-SQRT((1-D858)*(Supuestos!$F$7-Supuestos!$D$7)*(Supuestos!$F$7-Supuestos!$E$7))),IF(Supuestos!$C$7="Uniforme",Supuestos!$D$7+D858*(Supuestos!$E$7-Supuestos!$D$7),IF(Supuestos!$C$7="Lognormal",LOGINV(D858,LN(Supuestos!$D$7)-LN(1+Supuestos!$E$7^2/Supuestos!$D$7^2)/2,SQRT(LN(1+Supuestos!$E$7^2/Supuestos!$D$7^2))),Supuestos!$D$7))))))</f>
        <v/>
      </c>
      <c r="L858" s="32">
        <f>MIN(IF(Supuestos!$H$8="",1E+99,Supuestos!$H$8),MAX(IF(Supuestos!$G$8="",-1E+99,Supuestos!$G$8),IF(Supuestos!$C$8="Normal",NORMINV(E858,Supuestos!$D$8,Supuestos!$E$8),IF(Supuestos!$C$8="Triangular",IF(E858&lt;(Supuestos!$E$8-Supuestos!$D$8)/(Supuestos!$F$8-Supuestos!$D$8),Supuestos!$D$8+SQRT(E858*(Supuestos!$F$8-Supuestos!$D$8)*(Supuestos!$E$8-Supuestos!$D$8)),Supuestos!$F$8-SQRT((1-E858)*(Supuestos!$F$8-Supuestos!$D$8)*(Supuestos!$F$8-Supuestos!$E$8))),IF(Supuestos!$C$8="Uniforme",Supuestos!$D$8+E858*(Supuestos!$E$8-Supuestos!$D$8),IF(Supuestos!$C$8="Lognormal",LOGINV(E858,LN(Supuestos!$D$8)-LN(1+Supuestos!$E$8^2/Supuestos!$D$8^2)/2,SQRT(LN(1+Supuestos!$E$8^2/Supuestos!$D$8^2))),Supuestos!$D$8))))))</f>
        <v/>
      </c>
      <c r="M858" s="32">
        <f>MIN(IF(Supuestos!$H$9="",1E+99,Supuestos!$H$9),MAX(IF(Supuestos!$G$9="",-1E+99,Supuestos!$G$9),IF(Supuestos!$C$9="Normal",NORMINV(F858,Supuestos!$D$9,Supuestos!$E$9),IF(Supuestos!$C$9="Triangular",IF(F858&lt;(Supuestos!$E$9-Supuestos!$D$9)/(Supuestos!$F$9-Supuestos!$D$9),Supuestos!$D$9+SQRT(F858*(Supuestos!$F$9-Supuestos!$D$9)*(Supuestos!$E$9-Supuestos!$D$9)),Supuestos!$F$9-SQRT((1-F858)*(Supuestos!$F$9-Supuestos!$D$9)*(Supuestos!$F$9-Supuestos!$E$9))),IF(Supuestos!$C$9="Uniforme",Supuestos!$D$9+F858*(Supuestos!$E$9-Supuestos!$D$9),IF(Supuestos!$C$9="Lognormal",LOGINV(F858,LN(Supuestos!$D$9)-LN(1+Supuestos!$E$9^2/Supuestos!$D$9^2)/2,SQRT(LN(1+Supuestos!$E$9^2/Supuestos!$D$9^2))),Supuestos!$D$9))))))</f>
        <v/>
      </c>
      <c r="N858" s="32">
        <f>MIN(IF(Supuestos!$H$10="",1E+99,Supuestos!$H$10),MAX(IF(Supuestos!$G$10="",-1E+99,Supuestos!$G$10),IF(Supuestos!$C$10="Normal",NORMINV(G858,Supuestos!$D$10,Supuestos!$E$10),IF(Supuestos!$C$10="Triangular",IF(G858&lt;(Supuestos!$E$10-Supuestos!$D$10)/(Supuestos!$F$10-Supuestos!$D$10),Supuestos!$D$10+SQRT(G858*(Supuestos!$F$10-Supuestos!$D$10)*(Supuestos!$E$10-Supuestos!$D$10)),Supuestos!$F$10-SQRT((1-G858)*(Supuestos!$F$10-Supuestos!$D$10)*(Supuestos!$F$10-Supuestos!$E$10))),IF(Supuestos!$C$10="Uniforme",Supuestos!$D$10+G858*(Supuestos!$E$10-Supuestos!$D$10),IF(Supuestos!$C$10="Lognormal",LOGINV(G858,LN(Supuestos!$D$10)-LN(1+Supuestos!$E$10^2/Supuestos!$D$10^2)/2,SQRT(LN(1+Supuestos!$E$10^2/Supuestos!$D$10^2))),Supuestos!$D$10))))))</f>
        <v/>
      </c>
      <c r="O858" s="31">
        <f>MIN(IF(Supuestos!$H$11="",1E+99,Supuestos!$H$11),MAX(IF(Supuestos!$G$11="",-1E+99,Supuestos!$G$11),IF(Supuestos!$C$11="Normal",NORMINV(H858,Supuestos!$D$11,Supuestos!$E$11),IF(Supuestos!$C$11="Triangular",IF(H858&lt;(Supuestos!$E$11-Supuestos!$D$11)/(Supuestos!$F$11-Supuestos!$D$11),Supuestos!$D$11+SQRT(H858*(Supuestos!$F$11-Supuestos!$D$11)*(Supuestos!$E$11-Supuestos!$D$11)),Supuestos!$F$11-SQRT((1-H858)*(Supuestos!$F$11-Supuestos!$D$11)*(Supuestos!$F$11-Supuestos!$E$11))),IF(Supuestos!$C$11="Uniforme",Supuestos!$D$11+H858*(Supuestos!$E$11-Supuestos!$D$11),IF(Supuestos!$C$11="Lognormal",LOGINV(H858,LN(Supuestos!$D$11)-LN(1+Supuestos!$E$11^2/Supuestos!$D$11^2)/2,SQRT(LN(1+Supuestos!$E$11^2/Supuestos!$D$11^2))),Supuestos!$D$11))))))</f>
        <v/>
      </c>
      <c r="P858" s="33">
        <f>-I858</f>
        <v/>
      </c>
      <c r="Q858" s="33">
        <f>$J858*(1+$K858)^(1-1)*(1-$L858)*(1-$M858)</f>
        <v/>
      </c>
      <c r="R858" s="33">
        <f>$J858*(1+$K858)^(2-1)*(1-$L858)*(1-$M858)</f>
        <v/>
      </c>
      <c r="S858" s="33">
        <f>$J858*(1+$K858)^(3-1)*(1-$L858)*(1-$M858)</f>
        <v/>
      </c>
      <c r="T858" s="33">
        <f>$J858*(1+$K858)^(4-1)*(1-$L858)*(1-$M858)</f>
        <v/>
      </c>
      <c r="U858" s="33">
        <f>$J858*(1+$K858)^(5-1)*(1-$L858)*(1-$M858)+$O858</f>
        <v/>
      </c>
      <c r="V858" s="33">
        <f>P858+NPV($N858,Q858:U858)</f>
        <v/>
      </c>
      <c r="W858" s="32">
        <f>IFERROR(IRR(P858:U858,0.1),"")</f>
        <v/>
      </c>
    </row>
    <row r="859">
      <c r="A859" s="14" t="n">
        <v>855</v>
      </c>
      <c r="B859" s="30">
        <f>RAND()*(1-2E-6)+1E-6</f>
        <v/>
      </c>
      <c r="C859" s="30">
        <f>RAND()*(1-2E-6)+1E-6</f>
        <v/>
      </c>
      <c r="D859" s="30">
        <f>RAND()*(1-2E-6)+1E-6</f>
        <v/>
      </c>
      <c r="E859" s="30">
        <f>RAND()*(1-2E-6)+1E-6</f>
        <v/>
      </c>
      <c r="F859" s="30">
        <f>RAND()*(1-2E-6)+1E-6</f>
        <v/>
      </c>
      <c r="G859" s="30">
        <f>RAND()*(1-2E-6)+1E-6</f>
        <v/>
      </c>
      <c r="H859" s="30">
        <f>RAND()*(1-2E-6)+1E-6</f>
        <v/>
      </c>
      <c r="I859" s="31">
        <f>MIN(IF(Supuestos!$H$5="",1E+99,Supuestos!$H$5),MAX(IF(Supuestos!$G$5="",-1E+99,Supuestos!$G$5),IF(Supuestos!$C$5="Normal",NORMINV(B859,Supuestos!$D$5,Supuestos!$E$5),IF(Supuestos!$C$5="Triangular",IF(B859&lt;(Supuestos!$E$5-Supuestos!$D$5)/(Supuestos!$F$5-Supuestos!$D$5),Supuestos!$D$5+SQRT(B859*(Supuestos!$F$5-Supuestos!$D$5)*(Supuestos!$E$5-Supuestos!$D$5)),Supuestos!$F$5-SQRT((1-B859)*(Supuestos!$F$5-Supuestos!$D$5)*(Supuestos!$F$5-Supuestos!$E$5))),IF(Supuestos!$C$5="Uniforme",Supuestos!$D$5+B859*(Supuestos!$E$5-Supuestos!$D$5),IF(Supuestos!$C$5="Lognormal",LOGINV(B859,LN(Supuestos!$D$5)-LN(1+Supuestos!$E$5^2/Supuestos!$D$5^2)/2,SQRT(LN(1+Supuestos!$E$5^2/Supuestos!$D$5^2))),Supuestos!$D$5))))))</f>
        <v/>
      </c>
      <c r="J859" s="31">
        <f>MIN(IF(Supuestos!$H$6="",1E+99,Supuestos!$H$6),MAX(IF(Supuestos!$G$6="",-1E+99,Supuestos!$G$6),IF(Supuestos!$C$6="Normal",NORMINV(C859,Supuestos!$D$6,Supuestos!$E$6),IF(Supuestos!$C$6="Triangular",IF(C859&lt;(Supuestos!$E$6-Supuestos!$D$6)/(Supuestos!$F$6-Supuestos!$D$6),Supuestos!$D$6+SQRT(C859*(Supuestos!$F$6-Supuestos!$D$6)*(Supuestos!$E$6-Supuestos!$D$6)),Supuestos!$F$6-SQRT((1-C859)*(Supuestos!$F$6-Supuestos!$D$6)*(Supuestos!$F$6-Supuestos!$E$6))),IF(Supuestos!$C$6="Uniforme",Supuestos!$D$6+C859*(Supuestos!$E$6-Supuestos!$D$6),IF(Supuestos!$C$6="Lognormal",LOGINV(C859,LN(Supuestos!$D$6)-LN(1+Supuestos!$E$6^2/Supuestos!$D$6^2)/2,SQRT(LN(1+Supuestos!$E$6^2/Supuestos!$D$6^2))),Supuestos!$D$6))))))</f>
        <v/>
      </c>
      <c r="K859" s="32">
        <f>MIN(IF(Supuestos!$H$7="",1E+99,Supuestos!$H$7),MAX(IF(Supuestos!$G$7="",-1E+99,Supuestos!$G$7),IF(Supuestos!$C$7="Normal",NORMINV(D859,Supuestos!$D$7,Supuestos!$E$7),IF(Supuestos!$C$7="Triangular",IF(D859&lt;(Supuestos!$E$7-Supuestos!$D$7)/(Supuestos!$F$7-Supuestos!$D$7),Supuestos!$D$7+SQRT(D859*(Supuestos!$F$7-Supuestos!$D$7)*(Supuestos!$E$7-Supuestos!$D$7)),Supuestos!$F$7-SQRT((1-D859)*(Supuestos!$F$7-Supuestos!$D$7)*(Supuestos!$F$7-Supuestos!$E$7))),IF(Supuestos!$C$7="Uniforme",Supuestos!$D$7+D859*(Supuestos!$E$7-Supuestos!$D$7),IF(Supuestos!$C$7="Lognormal",LOGINV(D859,LN(Supuestos!$D$7)-LN(1+Supuestos!$E$7^2/Supuestos!$D$7^2)/2,SQRT(LN(1+Supuestos!$E$7^2/Supuestos!$D$7^2))),Supuestos!$D$7))))))</f>
        <v/>
      </c>
      <c r="L859" s="32">
        <f>MIN(IF(Supuestos!$H$8="",1E+99,Supuestos!$H$8),MAX(IF(Supuestos!$G$8="",-1E+99,Supuestos!$G$8),IF(Supuestos!$C$8="Normal",NORMINV(E859,Supuestos!$D$8,Supuestos!$E$8),IF(Supuestos!$C$8="Triangular",IF(E859&lt;(Supuestos!$E$8-Supuestos!$D$8)/(Supuestos!$F$8-Supuestos!$D$8),Supuestos!$D$8+SQRT(E859*(Supuestos!$F$8-Supuestos!$D$8)*(Supuestos!$E$8-Supuestos!$D$8)),Supuestos!$F$8-SQRT((1-E859)*(Supuestos!$F$8-Supuestos!$D$8)*(Supuestos!$F$8-Supuestos!$E$8))),IF(Supuestos!$C$8="Uniforme",Supuestos!$D$8+E859*(Supuestos!$E$8-Supuestos!$D$8),IF(Supuestos!$C$8="Lognormal",LOGINV(E859,LN(Supuestos!$D$8)-LN(1+Supuestos!$E$8^2/Supuestos!$D$8^2)/2,SQRT(LN(1+Supuestos!$E$8^2/Supuestos!$D$8^2))),Supuestos!$D$8))))))</f>
        <v/>
      </c>
      <c r="M859" s="32">
        <f>MIN(IF(Supuestos!$H$9="",1E+99,Supuestos!$H$9),MAX(IF(Supuestos!$G$9="",-1E+99,Supuestos!$G$9),IF(Supuestos!$C$9="Normal",NORMINV(F859,Supuestos!$D$9,Supuestos!$E$9),IF(Supuestos!$C$9="Triangular",IF(F859&lt;(Supuestos!$E$9-Supuestos!$D$9)/(Supuestos!$F$9-Supuestos!$D$9),Supuestos!$D$9+SQRT(F859*(Supuestos!$F$9-Supuestos!$D$9)*(Supuestos!$E$9-Supuestos!$D$9)),Supuestos!$F$9-SQRT((1-F859)*(Supuestos!$F$9-Supuestos!$D$9)*(Supuestos!$F$9-Supuestos!$E$9))),IF(Supuestos!$C$9="Uniforme",Supuestos!$D$9+F859*(Supuestos!$E$9-Supuestos!$D$9),IF(Supuestos!$C$9="Lognormal",LOGINV(F859,LN(Supuestos!$D$9)-LN(1+Supuestos!$E$9^2/Supuestos!$D$9^2)/2,SQRT(LN(1+Supuestos!$E$9^2/Supuestos!$D$9^2))),Supuestos!$D$9))))))</f>
        <v/>
      </c>
      <c r="N859" s="32">
        <f>MIN(IF(Supuestos!$H$10="",1E+99,Supuestos!$H$10),MAX(IF(Supuestos!$G$10="",-1E+99,Supuestos!$G$10),IF(Supuestos!$C$10="Normal",NORMINV(G859,Supuestos!$D$10,Supuestos!$E$10),IF(Supuestos!$C$10="Triangular",IF(G859&lt;(Supuestos!$E$10-Supuestos!$D$10)/(Supuestos!$F$10-Supuestos!$D$10),Supuestos!$D$10+SQRT(G859*(Supuestos!$F$10-Supuestos!$D$10)*(Supuestos!$E$10-Supuestos!$D$10)),Supuestos!$F$10-SQRT((1-G859)*(Supuestos!$F$10-Supuestos!$D$10)*(Supuestos!$F$10-Supuestos!$E$10))),IF(Supuestos!$C$10="Uniforme",Supuestos!$D$10+G859*(Supuestos!$E$10-Supuestos!$D$10),IF(Supuestos!$C$10="Lognormal",LOGINV(G859,LN(Supuestos!$D$10)-LN(1+Supuestos!$E$10^2/Supuestos!$D$10^2)/2,SQRT(LN(1+Supuestos!$E$10^2/Supuestos!$D$10^2))),Supuestos!$D$10))))))</f>
        <v/>
      </c>
      <c r="O859" s="31">
        <f>MIN(IF(Supuestos!$H$11="",1E+99,Supuestos!$H$11),MAX(IF(Supuestos!$G$11="",-1E+99,Supuestos!$G$11),IF(Supuestos!$C$11="Normal",NORMINV(H859,Supuestos!$D$11,Supuestos!$E$11),IF(Supuestos!$C$11="Triangular",IF(H859&lt;(Supuestos!$E$11-Supuestos!$D$11)/(Supuestos!$F$11-Supuestos!$D$11),Supuestos!$D$11+SQRT(H859*(Supuestos!$F$11-Supuestos!$D$11)*(Supuestos!$E$11-Supuestos!$D$11)),Supuestos!$F$11-SQRT((1-H859)*(Supuestos!$F$11-Supuestos!$D$11)*(Supuestos!$F$11-Supuestos!$E$11))),IF(Supuestos!$C$11="Uniforme",Supuestos!$D$11+H859*(Supuestos!$E$11-Supuestos!$D$11),IF(Supuestos!$C$11="Lognormal",LOGINV(H859,LN(Supuestos!$D$11)-LN(1+Supuestos!$E$11^2/Supuestos!$D$11^2)/2,SQRT(LN(1+Supuestos!$E$11^2/Supuestos!$D$11^2))),Supuestos!$D$11))))))</f>
        <v/>
      </c>
      <c r="P859" s="33">
        <f>-I859</f>
        <v/>
      </c>
      <c r="Q859" s="33">
        <f>$J859*(1+$K859)^(1-1)*(1-$L859)*(1-$M859)</f>
        <v/>
      </c>
      <c r="R859" s="33">
        <f>$J859*(1+$K859)^(2-1)*(1-$L859)*(1-$M859)</f>
        <v/>
      </c>
      <c r="S859" s="33">
        <f>$J859*(1+$K859)^(3-1)*(1-$L859)*(1-$M859)</f>
        <v/>
      </c>
      <c r="T859" s="33">
        <f>$J859*(1+$K859)^(4-1)*(1-$L859)*(1-$M859)</f>
        <v/>
      </c>
      <c r="U859" s="33">
        <f>$J859*(1+$K859)^(5-1)*(1-$L859)*(1-$M859)+$O859</f>
        <v/>
      </c>
      <c r="V859" s="33">
        <f>P859+NPV($N859,Q859:U859)</f>
        <v/>
      </c>
      <c r="W859" s="32">
        <f>IFERROR(IRR(P859:U859,0.1),"")</f>
        <v/>
      </c>
    </row>
    <row r="860">
      <c r="A860" s="14" t="n">
        <v>856</v>
      </c>
      <c r="B860" s="30">
        <f>RAND()*(1-2E-6)+1E-6</f>
        <v/>
      </c>
      <c r="C860" s="30">
        <f>RAND()*(1-2E-6)+1E-6</f>
        <v/>
      </c>
      <c r="D860" s="30">
        <f>RAND()*(1-2E-6)+1E-6</f>
        <v/>
      </c>
      <c r="E860" s="30">
        <f>RAND()*(1-2E-6)+1E-6</f>
        <v/>
      </c>
      <c r="F860" s="30">
        <f>RAND()*(1-2E-6)+1E-6</f>
        <v/>
      </c>
      <c r="G860" s="30">
        <f>RAND()*(1-2E-6)+1E-6</f>
        <v/>
      </c>
      <c r="H860" s="30">
        <f>RAND()*(1-2E-6)+1E-6</f>
        <v/>
      </c>
      <c r="I860" s="31">
        <f>MIN(IF(Supuestos!$H$5="",1E+99,Supuestos!$H$5),MAX(IF(Supuestos!$G$5="",-1E+99,Supuestos!$G$5),IF(Supuestos!$C$5="Normal",NORMINV(B860,Supuestos!$D$5,Supuestos!$E$5),IF(Supuestos!$C$5="Triangular",IF(B860&lt;(Supuestos!$E$5-Supuestos!$D$5)/(Supuestos!$F$5-Supuestos!$D$5),Supuestos!$D$5+SQRT(B860*(Supuestos!$F$5-Supuestos!$D$5)*(Supuestos!$E$5-Supuestos!$D$5)),Supuestos!$F$5-SQRT((1-B860)*(Supuestos!$F$5-Supuestos!$D$5)*(Supuestos!$F$5-Supuestos!$E$5))),IF(Supuestos!$C$5="Uniforme",Supuestos!$D$5+B860*(Supuestos!$E$5-Supuestos!$D$5),IF(Supuestos!$C$5="Lognormal",LOGINV(B860,LN(Supuestos!$D$5)-LN(1+Supuestos!$E$5^2/Supuestos!$D$5^2)/2,SQRT(LN(1+Supuestos!$E$5^2/Supuestos!$D$5^2))),Supuestos!$D$5))))))</f>
        <v/>
      </c>
      <c r="J860" s="31">
        <f>MIN(IF(Supuestos!$H$6="",1E+99,Supuestos!$H$6),MAX(IF(Supuestos!$G$6="",-1E+99,Supuestos!$G$6),IF(Supuestos!$C$6="Normal",NORMINV(C860,Supuestos!$D$6,Supuestos!$E$6),IF(Supuestos!$C$6="Triangular",IF(C860&lt;(Supuestos!$E$6-Supuestos!$D$6)/(Supuestos!$F$6-Supuestos!$D$6),Supuestos!$D$6+SQRT(C860*(Supuestos!$F$6-Supuestos!$D$6)*(Supuestos!$E$6-Supuestos!$D$6)),Supuestos!$F$6-SQRT((1-C860)*(Supuestos!$F$6-Supuestos!$D$6)*(Supuestos!$F$6-Supuestos!$E$6))),IF(Supuestos!$C$6="Uniforme",Supuestos!$D$6+C860*(Supuestos!$E$6-Supuestos!$D$6),IF(Supuestos!$C$6="Lognormal",LOGINV(C860,LN(Supuestos!$D$6)-LN(1+Supuestos!$E$6^2/Supuestos!$D$6^2)/2,SQRT(LN(1+Supuestos!$E$6^2/Supuestos!$D$6^2))),Supuestos!$D$6))))))</f>
        <v/>
      </c>
      <c r="K860" s="32">
        <f>MIN(IF(Supuestos!$H$7="",1E+99,Supuestos!$H$7),MAX(IF(Supuestos!$G$7="",-1E+99,Supuestos!$G$7),IF(Supuestos!$C$7="Normal",NORMINV(D860,Supuestos!$D$7,Supuestos!$E$7),IF(Supuestos!$C$7="Triangular",IF(D860&lt;(Supuestos!$E$7-Supuestos!$D$7)/(Supuestos!$F$7-Supuestos!$D$7),Supuestos!$D$7+SQRT(D860*(Supuestos!$F$7-Supuestos!$D$7)*(Supuestos!$E$7-Supuestos!$D$7)),Supuestos!$F$7-SQRT((1-D860)*(Supuestos!$F$7-Supuestos!$D$7)*(Supuestos!$F$7-Supuestos!$E$7))),IF(Supuestos!$C$7="Uniforme",Supuestos!$D$7+D860*(Supuestos!$E$7-Supuestos!$D$7),IF(Supuestos!$C$7="Lognormal",LOGINV(D860,LN(Supuestos!$D$7)-LN(1+Supuestos!$E$7^2/Supuestos!$D$7^2)/2,SQRT(LN(1+Supuestos!$E$7^2/Supuestos!$D$7^2))),Supuestos!$D$7))))))</f>
        <v/>
      </c>
      <c r="L860" s="32">
        <f>MIN(IF(Supuestos!$H$8="",1E+99,Supuestos!$H$8),MAX(IF(Supuestos!$G$8="",-1E+99,Supuestos!$G$8),IF(Supuestos!$C$8="Normal",NORMINV(E860,Supuestos!$D$8,Supuestos!$E$8),IF(Supuestos!$C$8="Triangular",IF(E860&lt;(Supuestos!$E$8-Supuestos!$D$8)/(Supuestos!$F$8-Supuestos!$D$8),Supuestos!$D$8+SQRT(E860*(Supuestos!$F$8-Supuestos!$D$8)*(Supuestos!$E$8-Supuestos!$D$8)),Supuestos!$F$8-SQRT((1-E860)*(Supuestos!$F$8-Supuestos!$D$8)*(Supuestos!$F$8-Supuestos!$E$8))),IF(Supuestos!$C$8="Uniforme",Supuestos!$D$8+E860*(Supuestos!$E$8-Supuestos!$D$8),IF(Supuestos!$C$8="Lognormal",LOGINV(E860,LN(Supuestos!$D$8)-LN(1+Supuestos!$E$8^2/Supuestos!$D$8^2)/2,SQRT(LN(1+Supuestos!$E$8^2/Supuestos!$D$8^2))),Supuestos!$D$8))))))</f>
        <v/>
      </c>
      <c r="M860" s="32">
        <f>MIN(IF(Supuestos!$H$9="",1E+99,Supuestos!$H$9),MAX(IF(Supuestos!$G$9="",-1E+99,Supuestos!$G$9),IF(Supuestos!$C$9="Normal",NORMINV(F860,Supuestos!$D$9,Supuestos!$E$9),IF(Supuestos!$C$9="Triangular",IF(F860&lt;(Supuestos!$E$9-Supuestos!$D$9)/(Supuestos!$F$9-Supuestos!$D$9),Supuestos!$D$9+SQRT(F860*(Supuestos!$F$9-Supuestos!$D$9)*(Supuestos!$E$9-Supuestos!$D$9)),Supuestos!$F$9-SQRT((1-F860)*(Supuestos!$F$9-Supuestos!$D$9)*(Supuestos!$F$9-Supuestos!$E$9))),IF(Supuestos!$C$9="Uniforme",Supuestos!$D$9+F860*(Supuestos!$E$9-Supuestos!$D$9),IF(Supuestos!$C$9="Lognormal",LOGINV(F860,LN(Supuestos!$D$9)-LN(1+Supuestos!$E$9^2/Supuestos!$D$9^2)/2,SQRT(LN(1+Supuestos!$E$9^2/Supuestos!$D$9^2))),Supuestos!$D$9))))))</f>
        <v/>
      </c>
      <c r="N860" s="32">
        <f>MIN(IF(Supuestos!$H$10="",1E+99,Supuestos!$H$10),MAX(IF(Supuestos!$G$10="",-1E+99,Supuestos!$G$10),IF(Supuestos!$C$10="Normal",NORMINV(G860,Supuestos!$D$10,Supuestos!$E$10),IF(Supuestos!$C$10="Triangular",IF(G860&lt;(Supuestos!$E$10-Supuestos!$D$10)/(Supuestos!$F$10-Supuestos!$D$10),Supuestos!$D$10+SQRT(G860*(Supuestos!$F$10-Supuestos!$D$10)*(Supuestos!$E$10-Supuestos!$D$10)),Supuestos!$F$10-SQRT((1-G860)*(Supuestos!$F$10-Supuestos!$D$10)*(Supuestos!$F$10-Supuestos!$E$10))),IF(Supuestos!$C$10="Uniforme",Supuestos!$D$10+G860*(Supuestos!$E$10-Supuestos!$D$10),IF(Supuestos!$C$10="Lognormal",LOGINV(G860,LN(Supuestos!$D$10)-LN(1+Supuestos!$E$10^2/Supuestos!$D$10^2)/2,SQRT(LN(1+Supuestos!$E$10^2/Supuestos!$D$10^2))),Supuestos!$D$10))))))</f>
        <v/>
      </c>
      <c r="O860" s="31">
        <f>MIN(IF(Supuestos!$H$11="",1E+99,Supuestos!$H$11),MAX(IF(Supuestos!$G$11="",-1E+99,Supuestos!$G$11),IF(Supuestos!$C$11="Normal",NORMINV(H860,Supuestos!$D$11,Supuestos!$E$11),IF(Supuestos!$C$11="Triangular",IF(H860&lt;(Supuestos!$E$11-Supuestos!$D$11)/(Supuestos!$F$11-Supuestos!$D$11),Supuestos!$D$11+SQRT(H860*(Supuestos!$F$11-Supuestos!$D$11)*(Supuestos!$E$11-Supuestos!$D$11)),Supuestos!$F$11-SQRT((1-H860)*(Supuestos!$F$11-Supuestos!$D$11)*(Supuestos!$F$11-Supuestos!$E$11))),IF(Supuestos!$C$11="Uniforme",Supuestos!$D$11+H860*(Supuestos!$E$11-Supuestos!$D$11),IF(Supuestos!$C$11="Lognormal",LOGINV(H860,LN(Supuestos!$D$11)-LN(1+Supuestos!$E$11^2/Supuestos!$D$11^2)/2,SQRT(LN(1+Supuestos!$E$11^2/Supuestos!$D$11^2))),Supuestos!$D$11))))))</f>
        <v/>
      </c>
      <c r="P860" s="33">
        <f>-I860</f>
        <v/>
      </c>
      <c r="Q860" s="33">
        <f>$J860*(1+$K860)^(1-1)*(1-$L860)*(1-$M860)</f>
        <v/>
      </c>
      <c r="R860" s="33">
        <f>$J860*(1+$K860)^(2-1)*(1-$L860)*(1-$M860)</f>
        <v/>
      </c>
      <c r="S860" s="33">
        <f>$J860*(1+$K860)^(3-1)*(1-$L860)*(1-$M860)</f>
        <v/>
      </c>
      <c r="T860" s="33">
        <f>$J860*(1+$K860)^(4-1)*(1-$L860)*(1-$M860)</f>
        <v/>
      </c>
      <c r="U860" s="33">
        <f>$J860*(1+$K860)^(5-1)*(1-$L860)*(1-$M860)+$O860</f>
        <v/>
      </c>
      <c r="V860" s="33">
        <f>P860+NPV($N860,Q860:U860)</f>
        <v/>
      </c>
      <c r="W860" s="32">
        <f>IFERROR(IRR(P860:U860,0.1),"")</f>
        <v/>
      </c>
    </row>
    <row r="861">
      <c r="A861" s="14" t="n">
        <v>857</v>
      </c>
      <c r="B861" s="30">
        <f>RAND()*(1-2E-6)+1E-6</f>
        <v/>
      </c>
      <c r="C861" s="30">
        <f>RAND()*(1-2E-6)+1E-6</f>
        <v/>
      </c>
      <c r="D861" s="30">
        <f>RAND()*(1-2E-6)+1E-6</f>
        <v/>
      </c>
      <c r="E861" s="30">
        <f>RAND()*(1-2E-6)+1E-6</f>
        <v/>
      </c>
      <c r="F861" s="30">
        <f>RAND()*(1-2E-6)+1E-6</f>
        <v/>
      </c>
      <c r="G861" s="30">
        <f>RAND()*(1-2E-6)+1E-6</f>
        <v/>
      </c>
      <c r="H861" s="30">
        <f>RAND()*(1-2E-6)+1E-6</f>
        <v/>
      </c>
      <c r="I861" s="31">
        <f>MIN(IF(Supuestos!$H$5="",1E+99,Supuestos!$H$5),MAX(IF(Supuestos!$G$5="",-1E+99,Supuestos!$G$5),IF(Supuestos!$C$5="Normal",NORMINV(B861,Supuestos!$D$5,Supuestos!$E$5),IF(Supuestos!$C$5="Triangular",IF(B861&lt;(Supuestos!$E$5-Supuestos!$D$5)/(Supuestos!$F$5-Supuestos!$D$5),Supuestos!$D$5+SQRT(B861*(Supuestos!$F$5-Supuestos!$D$5)*(Supuestos!$E$5-Supuestos!$D$5)),Supuestos!$F$5-SQRT((1-B861)*(Supuestos!$F$5-Supuestos!$D$5)*(Supuestos!$F$5-Supuestos!$E$5))),IF(Supuestos!$C$5="Uniforme",Supuestos!$D$5+B861*(Supuestos!$E$5-Supuestos!$D$5),IF(Supuestos!$C$5="Lognormal",LOGINV(B861,LN(Supuestos!$D$5)-LN(1+Supuestos!$E$5^2/Supuestos!$D$5^2)/2,SQRT(LN(1+Supuestos!$E$5^2/Supuestos!$D$5^2))),Supuestos!$D$5))))))</f>
        <v/>
      </c>
      <c r="J861" s="31">
        <f>MIN(IF(Supuestos!$H$6="",1E+99,Supuestos!$H$6),MAX(IF(Supuestos!$G$6="",-1E+99,Supuestos!$G$6),IF(Supuestos!$C$6="Normal",NORMINV(C861,Supuestos!$D$6,Supuestos!$E$6),IF(Supuestos!$C$6="Triangular",IF(C861&lt;(Supuestos!$E$6-Supuestos!$D$6)/(Supuestos!$F$6-Supuestos!$D$6),Supuestos!$D$6+SQRT(C861*(Supuestos!$F$6-Supuestos!$D$6)*(Supuestos!$E$6-Supuestos!$D$6)),Supuestos!$F$6-SQRT((1-C861)*(Supuestos!$F$6-Supuestos!$D$6)*(Supuestos!$F$6-Supuestos!$E$6))),IF(Supuestos!$C$6="Uniforme",Supuestos!$D$6+C861*(Supuestos!$E$6-Supuestos!$D$6),IF(Supuestos!$C$6="Lognormal",LOGINV(C861,LN(Supuestos!$D$6)-LN(1+Supuestos!$E$6^2/Supuestos!$D$6^2)/2,SQRT(LN(1+Supuestos!$E$6^2/Supuestos!$D$6^2))),Supuestos!$D$6))))))</f>
        <v/>
      </c>
      <c r="K861" s="32">
        <f>MIN(IF(Supuestos!$H$7="",1E+99,Supuestos!$H$7),MAX(IF(Supuestos!$G$7="",-1E+99,Supuestos!$G$7),IF(Supuestos!$C$7="Normal",NORMINV(D861,Supuestos!$D$7,Supuestos!$E$7),IF(Supuestos!$C$7="Triangular",IF(D861&lt;(Supuestos!$E$7-Supuestos!$D$7)/(Supuestos!$F$7-Supuestos!$D$7),Supuestos!$D$7+SQRT(D861*(Supuestos!$F$7-Supuestos!$D$7)*(Supuestos!$E$7-Supuestos!$D$7)),Supuestos!$F$7-SQRT((1-D861)*(Supuestos!$F$7-Supuestos!$D$7)*(Supuestos!$F$7-Supuestos!$E$7))),IF(Supuestos!$C$7="Uniforme",Supuestos!$D$7+D861*(Supuestos!$E$7-Supuestos!$D$7),IF(Supuestos!$C$7="Lognormal",LOGINV(D861,LN(Supuestos!$D$7)-LN(1+Supuestos!$E$7^2/Supuestos!$D$7^2)/2,SQRT(LN(1+Supuestos!$E$7^2/Supuestos!$D$7^2))),Supuestos!$D$7))))))</f>
        <v/>
      </c>
      <c r="L861" s="32">
        <f>MIN(IF(Supuestos!$H$8="",1E+99,Supuestos!$H$8),MAX(IF(Supuestos!$G$8="",-1E+99,Supuestos!$G$8),IF(Supuestos!$C$8="Normal",NORMINV(E861,Supuestos!$D$8,Supuestos!$E$8),IF(Supuestos!$C$8="Triangular",IF(E861&lt;(Supuestos!$E$8-Supuestos!$D$8)/(Supuestos!$F$8-Supuestos!$D$8),Supuestos!$D$8+SQRT(E861*(Supuestos!$F$8-Supuestos!$D$8)*(Supuestos!$E$8-Supuestos!$D$8)),Supuestos!$F$8-SQRT((1-E861)*(Supuestos!$F$8-Supuestos!$D$8)*(Supuestos!$F$8-Supuestos!$E$8))),IF(Supuestos!$C$8="Uniforme",Supuestos!$D$8+E861*(Supuestos!$E$8-Supuestos!$D$8),IF(Supuestos!$C$8="Lognormal",LOGINV(E861,LN(Supuestos!$D$8)-LN(1+Supuestos!$E$8^2/Supuestos!$D$8^2)/2,SQRT(LN(1+Supuestos!$E$8^2/Supuestos!$D$8^2))),Supuestos!$D$8))))))</f>
        <v/>
      </c>
      <c r="M861" s="32">
        <f>MIN(IF(Supuestos!$H$9="",1E+99,Supuestos!$H$9),MAX(IF(Supuestos!$G$9="",-1E+99,Supuestos!$G$9),IF(Supuestos!$C$9="Normal",NORMINV(F861,Supuestos!$D$9,Supuestos!$E$9),IF(Supuestos!$C$9="Triangular",IF(F861&lt;(Supuestos!$E$9-Supuestos!$D$9)/(Supuestos!$F$9-Supuestos!$D$9),Supuestos!$D$9+SQRT(F861*(Supuestos!$F$9-Supuestos!$D$9)*(Supuestos!$E$9-Supuestos!$D$9)),Supuestos!$F$9-SQRT((1-F861)*(Supuestos!$F$9-Supuestos!$D$9)*(Supuestos!$F$9-Supuestos!$E$9))),IF(Supuestos!$C$9="Uniforme",Supuestos!$D$9+F861*(Supuestos!$E$9-Supuestos!$D$9),IF(Supuestos!$C$9="Lognormal",LOGINV(F861,LN(Supuestos!$D$9)-LN(1+Supuestos!$E$9^2/Supuestos!$D$9^2)/2,SQRT(LN(1+Supuestos!$E$9^2/Supuestos!$D$9^2))),Supuestos!$D$9))))))</f>
        <v/>
      </c>
      <c r="N861" s="32">
        <f>MIN(IF(Supuestos!$H$10="",1E+99,Supuestos!$H$10),MAX(IF(Supuestos!$G$10="",-1E+99,Supuestos!$G$10),IF(Supuestos!$C$10="Normal",NORMINV(G861,Supuestos!$D$10,Supuestos!$E$10),IF(Supuestos!$C$10="Triangular",IF(G861&lt;(Supuestos!$E$10-Supuestos!$D$10)/(Supuestos!$F$10-Supuestos!$D$10),Supuestos!$D$10+SQRT(G861*(Supuestos!$F$10-Supuestos!$D$10)*(Supuestos!$E$10-Supuestos!$D$10)),Supuestos!$F$10-SQRT((1-G861)*(Supuestos!$F$10-Supuestos!$D$10)*(Supuestos!$F$10-Supuestos!$E$10))),IF(Supuestos!$C$10="Uniforme",Supuestos!$D$10+G861*(Supuestos!$E$10-Supuestos!$D$10),IF(Supuestos!$C$10="Lognormal",LOGINV(G861,LN(Supuestos!$D$10)-LN(1+Supuestos!$E$10^2/Supuestos!$D$10^2)/2,SQRT(LN(1+Supuestos!$E$10^2/Supuestos!$D$10^2))),Supuestos!$D$10))))))</f>
        <v/>
      </c>
      <c r="O861" s="31">
        <f>MIN(IF(Supuestos!$H$11="",1E+99,Supuestos!$H$11),MAX(IF(Supuestos!$G$11="",-1E+99,Supuestos!$G$11),IF(Supuestos!$C$11="Normal",NORMINV(H861,Supuestos!$D$11,Supuestos!$E$11),IF(Supuestos!$C$11="Triangular",IF(H861&lt;(Supuestos!$E$11-Supuestos!$D$11)/(Supuestos!$F$11-Supuestos!$D$11),Supuestos!$D$11+SQRT(H861*(Supuestos!$F$11-Supuestos!$D$11)*(Supuestos!$E$11-Supuestos!$D$11)),Supuestos!$F$11-SQRT((1-H861)*(Supuestos!$F$11-Supuestos!$D$11)*(Supuestos!$F$11-Supuestos!$E$11))),IF(Supuestos!$C$11="Uniforme",Supuestos!$D$11+H861*(Supuestos!$E$11-Supuestos!$D$11),IF(Supuestos!$C$11="Lognormal",LOGINV(H861,LN(Supuestos!$D$11)-LN(1+Supuestos!$E$11^2/Supuestos!$D$11^2)/2,SQRT(LN(1+Supuestos!$E$11^2/Supuestos!$D$11^2))),Supuestos!$D$11))))))</f>
        <v/>
      </c>
      <c r="P861" s="33">
        <f>-I861</f>
        <v/>
      </c>
      <c r="Q861" s="33">
        <f>$J861*(1+$K861)^(1-1)*(1-$L861)*(1-$M861)</f>
        <v/>
      </c>
      <c r="R861" s="33">
        <f>$J861*(1+$K861)^(2-1)*(1-$L861)*(1-$M861)</f>
        <v/>
      </c>
      <c r="S861" s="33">
        <f>$J861*(1+$K861)^(3-1)*(1-$L861)*(1-$M861)</f>
        <v/>
      </c>
      <c r="T861" s="33">
        <f>$J861*(1+$K861)^(4-1)*(1-$L861)*(1-$M861)</f>
        <v/>
      </c>
      <c r="U861" s="33">
        <f>$J861*(1+$K861)^(5-1)*(1-$L861)*(1-$M861)+$O861</f>
        <v/>
      </c>
      <c r="V861" s="33">
        <f>P861+NPV($N861,Q861:U861)</f>
        <v/>
      </c>
      <c r="W861" s="32">
        <f>IFERROR(IRR(P861:U861,0.1),"")</f>
        <v/>
      </c>
    </row>
    <row r="862">
      <c r="A862" s="14" t="n">
        <v>858</v>
      </c>
      <c r="B862" s="30">
        <f>RAND()*(1-2E-6)+1E-6</f>
        <v/>
      </c>
      <c r="C862" s="30">
        <f>RAND()*(1-2E-6)+1E-6</f>
        <v/>
      </c>
      <c r="D862" s="30">
        <f>RAND()*(1-2E-6)+1E-6</f>
        <v/>
      </c>
      <c r="E862" s="30">
        <f>RAND()*(1-2E-6)+1E-6</f>
        <v/>
      </c>
      <c r="F862" s="30">
        <f>RAND()*(1-2E-6)+1E-6</f>
        <v/>
      </c>
      <c r="G862" s="30">
        <f>RAND()*(1-2E-6)+1E-6</f>
        <v/>
      </c>
      <c r="H862" s="30">
        <f>RAND()*(1-2E-6)+1E-6</f>
        <v/>
      </c>
      <c r="I862" s="31">
        <f>MIN(IF(Supuestos!$H$5="",1E+99,Supuestos!$H$5),MAX(IF(Supuestos!$G$5="",-1E+99,Supuestos!$G$5),IF(Supuestos!$C$5="Normal",NORMINV(B862,Supuestos!$D$5,Supuestos!$E$5),IF(Supuestos!$C$5="Triangular",IF(B862&lt;(Supuestos!$E$5-Supuestos!$D$5)/(Supuestos!$F$5-Supuestos!$D$5),Supuestos!$D$5+SQRT(B862*(Supuestos!$F$5-Supuestos!$D$5)*(Supuestos!$E$5-Supuestos!$D$5)),Supuestos!$F$5-SQRT((1-B862)*(Supuestos!$F$5-Supuestos!$D$5)*(Supuestos!$F$5-Supuestos!$E$5))),IF(Supuestos!$C$5="Uniforme",Supuestos!$D$5+B862*(Supuestos!$E$5-Supuestos!$D$5),IF(Supuestos!$C$5="Lognormal",LOGINV(B862,LN(Supuestos!$D$5)-LN(1+Supuestos!$E$5^2/Supuestos!$D$5^2)/2,SQRT(LN(1+Supuestos!$E$5^2/Supuestos!$D$5^2))),Supuestos!$D$5))))))</f>
        <v/>
      </c>
      <c r="J862" s="31">
        <f>MIN(IF(Supuestos!$H$6="",1E+99,Supuestos!$H$6),MAX(IF(Supuestos!$G$6="",-1E+99,Supuestos!$G$6),IF(Supuestos!$C$6="Normal",NORMINV(C862,Supuestos!$D$6,Supuestos!$E$6),IF(Supuestos!$C$6="Triangular",IF(C862&lt;(Supuestos!$E$6-Supuestos!$D$6)/(Supuestos!$F$6-Supuestos!$D$6),Supuestos!$D$6+SQRT(C862*(Supuestos!$F$6-Supuestos!$D$6)*(Supuestos!$E$6-Supuestos!$D$6)),Supuestos!$F$6-SQRT((1-C862)*(Supuestos!$F$6-Supuestos!$D$6)*(Supuestos!$F$6-Supuestos!$E$6))),IF(Supuestos!$C$6="Uniforme",Supuestos!$D$6+C862*(Supuestos!$E$6-Supuestos!$D$6),IF(Supuestos!$C$6="Lognormal",LOGINV(C862,LN(Supuestos!$D$6)-LN(1+Supuestos!$E$6^2/Supuestos!$D$6^2)/2,SQRT(LN(1+Supuestos!$E$6^2/Supuestos!$D$6^2))),Supuestos!$D$6))))))</f>
        <v/>
      </c>
      <c r="K862" s="32">
        <f>MIN(IF(Supuestos!$H$7="",1E+99,Supuestos!$H$7),MAX(IF(Supuestos!$G$7="",-1E+99,Supuestos!$G$7),IF(Supuestos!$C$7="Normal",NORMINV(D862,Supuestos!$D$7,Supuestos!$E$7),IF(Supuestos!$C$7="Triangular",IF(D862&lt;(Supuestos!$E$7-Supuestos!$D$7)/(Supuestos!$F$7-Supuestos!$D$7),Supuestos!$D$7+SQRT(D862*(Supuestos!$F$7-Supuestos!$D$7)*(Supuestos!$E$7-Supuestos!$D$7)),Supuestos!$F$7-SQRT((1-D862)*(Supuestos!$F$7-Supuestos!$D$7)*(Supuestos!$F$7-Supuestos!$E$7))),IF(Supuestos!$C$7="Uniforme",Supuestos!$D$7+D862*(Supuestos!$E$7-Supuestos!$D$7),IF(Supuestos!$C$7="Lognormal",LOGINV(D862,LN(Supuestos!$D$7)-LN(1+Supuestos!$E$7^2/Supuestos!$D$7^2)/2,SQRT(LN(1+Supuestos!$E$7^2/Supuestos!$D$7^2))),Supuestos!$D$7))))))</f>
        <v/>
      </c>
      <c r="L862" s="32">
        <f>MIN(IF(Supuestos!$H$8="",1E+99,Supuestos!$H$8),MAX(IF(Supuestos!$G$8="",-1E+99,Supuestos!$G$8),IF(Supuestos!$C$8="Normal",NORMINV(E862,Supuestos!$D$8,Supuestos!$E$8),IF(Supuestos!$C$8="Triangular",IF(E862&lt;(Supuestos!$E$8-Supuestos!$D$8)/(Supuestos!$F$8-Supuestos!$D$8),Supuestos!$D$8+SQRT(E862*(Supuestos!$F$8-Supuestos!$D$8)*(Supuestos!$E$8-Supuestos!$D$8)),Supuestos!$F$8-SQRT((1-E862)*(Supuestos!$F$8-Supuestos!$D$8)*(Supuestos!$F$8-Supuestos!$E$8))),IF(Supuestos!$C$8="Uniforme",Supuestos!$D$8+E862*(Supuestos!$E$8-Supuestos!$D$8),IF(Supuestos!$C$8="Lognormal",LOGINV(E862,LN(Supuestos!$D$8)-LN(1+Supuestos!$E$8^2/Supuestos!$D$8^2)/2,SQRT(LN(1+Supuestos!$E$8^2/Supuestos!$D$8^2))),Supuestos!$D$8))))))</f>
        <v/>
      </c>
      <c r="M862" s="32">
        <f>MIN(IF(Supuestos!$H$9="",1E+99,Supuestos!$H$9),MAX(IF(Supuestos!$G$9="",-1E+99,Supuestos!$G$9),IF(Supuestos!$C$9="Normal",NORMINV(F862,Supuestos!$D$9,Supuestos!$E$9),IF(Supuestos!$C$9="Triangular",IF(F862&lt;(Supuestos!$E$9-Supuestos!$D$9)/(Supuestos!$F$9-Supuestos!$D$9),Supuestos!$D$9+SQRT(F862*(Supuestos!$F$9-Supuestos!$D$9)*(Supuestos!$E$9-Supuestos!$D$9)),Supuestos!$F$9-SQRT((1-F862)*(Supuestos!$F$9-Supuestos!$D$9)*(Supuestos!$F$9-Supuestos!$E$9))),IF(Supuestos!$C$9="Uniforme",Supuestos!$D$9+F862*(Supuestos!$E$9-Supuestos!$D$9),IF(Supuestos!$C$9="Lognormal",LOGINV(F862,LN(Supuestos!$D$9)-LN(1+Supuestos!$E$9^2/Supuestos!$D$9^2)/2,SQRT(LN(1+Supuestos!$E$9^2/Supuestos!$D$9^2))),Supuestos!$D$9))))))</f>
        <v/>
      </c>
      <c r="N862" s="32">
        <f>MIN(IF(Supuestos!$H$10="",1E+99,Supuestos!$H$10),MAX(IF(Supuestos!$G$10="",-1E+99,Supuestos!$G$10),IF(Supuestos!$C$10="Normal",NORMINV(G862,Supuestos!$D$10,Supuestos!$E$10),IF(Supuestos!$C$10="Triangular",IF(G862&lt;(Supuestos!$E$10-Supuestos!$D$10)/(Supuestos!$F$10-Supuestos!$D$10),Supuestos!$D$10+SQRT(G862*(Supuestos!$F$10-Supuestos!$D$10)*(Supuestos!$E$10-Supuestos!$D$10)),Supuestos!$F$10-SQRT((1-G862)*(Supuestos!$F$10-Supuestos!$D$10)*(Supuestos!$F$10-Supuestos!$E$10))),IF(Supuestos!$C$10="Uniforme",Supuestos!$D$10+G862*(Supuestos!$E$10-Supuestos!$D$10),IF(Supuestos!$C$10="Lognormal",LOGINV(G862,LN(Supuestos!$D$10)-LN(1+Supuestos!$E$10^2/Supuestos!$D$10^2)/2,SQRT(LN(1+Supuestos!$E$10^2/Supuestos!$D$10^2))),Supuestos!$D$10))))))</f>
        <v/>
      </c>
      <c r="O862" s="31">
        <f>MIN(IF(Supuestos!$H$11="",1E+99,Supuestos!$H$11),MAX(IF(Supuestos!$G$11="",-1E+99,Supuestos!$G$11),IF(Supuestos!$C$11="Normal",NORMINV(H862,Supuestos!$D$11,Supuestos!$E$11),IF(Supuestos!$C$11="Triangular",IF(H862&lt;(Supuestos!$E$11-Supuestos!$D$11)/(Supuestos!$F$11-Supuestos!$D$11),Supuestos!$D$11+SQRT(H862*(Supuestos!$F$11-Supuestos!$D$11)*(Supuestos!$E$11-Supuestos!$D$11)),Supuestos!$F$11-SQRT((1-H862)*(Supuestos!$F$11-Supuestos!$D$11)*(Supuestos!$F$11-Supuestos!$E$11))),IF(Supuestos!$C$11="Uniforme",Supuestos!$D$11+H862*(Supuestos!$E$11-Supuestos!$D$11),IF(Supuestos!$C$11="Lognormal",LOGINV(H862,LN(Supuestos!$D$11)-LN(1+Supuestos!$E$11^2/Supuestos!$D$11^2)/2,SQRT(LN(1+Supuestos!$E$11^2/Supuestos!$D$11^2))),Supuestos!$D$11))))))</f>
        <v/>
      </c>
      <c r="P862" s="33">
        <f>-I862</f>
        <v/>
      </c>
      <c r="Q862" s="33">
        <f>$J862*(1+$K862)^(1-1)*(1-$L862)*(1-$M862)</f>
        <v/>
      </c>
      <c r="R862" s="33">
        <f>$J862*(1+$K862)^(2-1)*(1-$L862)*(1-$M862)</f>
        <v/>
      </c>
      <c r="S862" s="33">
        <f>$J862*(1+$K862)^(3-1)*(1-$L862)*(1-$M862)</f>
        <v/>
      </c>
      <c r="T862" s="33">
        <f>$J862*(1+$K862)^(4-1)*(1-$L862)*(1-$M862)</f>
        <v/>
      </c>
      <c r="U862" s="33">
        <f>$J862*(1+$K862)^(5-1)*(1-$L862)*(1-$M862)+$O862</f>
        <v/>
      </c>
      <c r="V862" s="33">
        <f>P862+NPV($N862,Q862:U862)</f>
        <v/>
      </c>
      <c r="W862" s="32">
        <f>IFERROR(IRR(P862:U862,0.1),"")</f>
        <v/>
      </c>
    </row>
    <row r="863">
      <c r="A863" s="14" t="n">
        <v>859</v>
      </c>
      <c r="B863" s="30">
        <f>RAND()*(1-2E-6)+1E-6</f>
        <v/>
      </c>
      <c r="C863" s="30">
        <f>RAND()*(1-2E-6)+1E-6</f>
        <v/>
      </c>
      <c r="D863" s="30">
        <f>RAND()*(1-2E-6)+1E-6</f>
        <v/>
      </c>
      <c r="E863" s="30">
        <f>RAND()*(1-2E-6)+1E-6</f>
        <v/>
      </c>
      <c r="F863" s="30">
        <f>RAND()*(1-2E-6)+1E-6</f>
        <v/>
      </c>
      <c r="G863" s="30">
        <f>RAND()*(1-2E-6)+1E-6</f>
        <v/>
      </c>
      <c r="H863" s="30">
        <f>RAND()*(1-2E-6)+1E-6</f>
        <v/>
      </c>
      <c r="I863" s="31">
        <f>MIN(IF(Supuestos!$H$5="",1E+99,Supuestos!$H$5),MAX(IF(Supuestos!$G$5="",-1E+99,Supuestos!$G$5),IF(Supuestos!$C$5="Normal",NORMINV(B863,Supuestos!$D$5,Supuestos!$E$5),IF(Supuestos!$C$5="Triangular",IF(B863&lt;(Supuestos!$E$5-Supuestos!$D$5)/(Supuestos!$F$5-Supuestos!$D$5),Supuestos!$D$5+SQRT(B863*(Supuestos!$F$5-Supuestos!$D$5)*(Supuestos!$E$5-Supuestos!$D$5)),Supuestos!$F$5-SQRT((1-B863)*(Supuestos!$F$5-Supuestos!$D$5)*(Supuestos!$F$5-Supuestos!$E$5))),IF(Supuestos!$C$5="Uniforme",Supuestos!$D$5+B863*(Supuestos!$E$5-Supuestos!$D$5),IF(Supuestos!$C$5="Lognormal",LOGINV(B863,LN(Supuestos!$D$5)-LN(1+Supuestos!$E$5^2/Supuestos!$D$5^2)/2,SQRT(LN(1+Supuestos!$E$5^2/Supuestos!$D$5^2))),Supuestos!$D$5))))))</f>
        <v/>
      </c>
      <c r="J863" s="31">
        <f>MIN(IF(Supuestos!$H$6="",1E+99,Supuestos!$H$6),MAX(IF(Supuestos!$G$6="",-1E+99,Supuestos!$G$6),IF(Supuestos!$C$6="Normal",NORMINV(C863,Supuestos!$D$6,Supuestos!$E$6),IF(Supuestos!$C$6="Triangular",IF(C863&lt;(Supuestos!$E$6-Supuestos!$D$6)/(Supuestos!$F$6-Supuestos!$D$6),Supuestos!$D$6+SQRT(C863*(Supuestos!$F$6-Supuestos!$D$6)*(Supuestos!$E$6-Supuestos!$D$6)),Supuestos!$F$6-SQRT((1-C863)*(Supuestos!$F$6-Supuestos!$D$6)*(Supuestos!$F$6-Supuestos!$E$6))),IF(Supuestos!$C$6="Uniforme",Supuestos!$D$6+C863*(Supuestos!$E$6-Supuestos!$D$6),IF(Supuestos!$C$6="Lognormal",LOGINV(C863,LN(Supuestos!$D$6)-LN(1+Supuestos!$E$6^2/Supuestos!$D$6^2)/2,SQRT(LN(1+Supuestos!$E$6^2/Supuestos!$D$6^2))),Supuestos!$D$6))))))</f>
        <v/>
      </c>
      <c r="K863" s="32">
        <f>MIN(IF(Supuestos!$H$7="",1E+99,Supuestos!$H$7),MAX(IF(Supuestos!$G$7="",-1E+99,Supuestos!$G$7),IF(Supuestos!$C$7="Normal",NORMINV(D863,Supuestos!$D$7,Supuestos!$E$7),IF(Supuestos!$C$7="Triangular",IF(D863&lt;(Supuestos!$E$7-Supuestos!$D$7)/(Supuestos!$F$7-Supuestos!$D$7),Supuestos!$D$7+SQRT(D863*(Supuestos!$F$7-Supuestos!$D$7)*(Supuestos!$E$7-Supuestos!$D$7)),Supuestos!$F$7-SQRT((1-D863)*(Supuestos!$F$7-Supuestos!$D$7)*(Supuestos!$F$7-Supuestos!$E$7))),IF(Supuestos!$C$7="Uniforme",Supuestos!$D$7+D863*(Supuestos!$E$7-Supuestos!$D$7),IF(Supuestos!$C$7="Lognormal",LOGINV(D863,LN(Supuestos!$D$7)-LN(1+Supuestos!$E$7^2/Supuestos!$D$7^2)/2,SQRT(LN(1+Supuestos!$E$7^2/Supuestos!$D$7^2))),Supuestos!$D$7))))))</f>
        <v/>
      </c>
      <c r="L863" s="32">
        <f>MIN(IF(Supuestos!$H$8="",1E+99,Supuestos!$H$8),MAX(IF(Supuestos!$G$8="",-1E+99,Supuestos!$G$8),IF(Supuestos!$C$8="Normal",NORMINV(E863,Supuestos!$D$8,Supuestos!$E$8),IF(Supuestos!$C$8="Triangular",IF(E863&lt;(Supuestos!$E$8-Supuestos!$D$8)/(Supuestos!$F$8-Supuestos!$D$8),Supuestos!$D$8+SQRT(E863*(Supuestos!$F$8-Supuestos!$D$8)*(Supuestos!$E$8-Supuestos!$D$8)),Supuestos!$F$8-SQRT((1-E863)*(Supuestos!$F$8-Supuestos!$D$8)*(Supuestos!$F$8-Supuestos!$E$8))),IF(Supuestos!$C$8="Uniforme",Supuestos!$D$8+E863*(Supuestos!$E$8-Supuestos!$D$8),IF(Supuestos!$C$8="Lognormal",LOGINV(E863,LN(Supuestos!$D$8)-LN(1+Supuestos!$E$8^2/Supuestos!$D$8^2)/2,SQRT(LN(1+Supuestos!$E$8^2/Supuestos!$D$8^2))),Supuestos!$D$8))))))</f>
        <v/>
      </c>
      <c r="M863" s="32">
        <f>MIN(IF(Supuestos!$H$9="",1E+99,Supuestos!$H$9),MAX(IF(Supuestos!$G$9="",-1E+99,Supuestos!$G$9),IF(Supuestos!$C$9="Normal",NORMINV(F863,Supuestos!$D$9,Supuestos!$E$9),IF(Supuestos!$C$9="Triangular",IF(F863&lt;(Supuestos!$E$9-Supuestos!$D$9)/(Supuestos!$F$9-Supuestos!$D$9),Supuestos!$D$9+SQRT(F863*(Supuestos!$F$9-Supuestos!$D$9)*(Supuestos!$E$9-Supuestos!$D$9)),Supuestos!$F$9-SQRT((1-F863)*(Supuestos!$F$9-Supuestos!$D$9)*(Supuestos!$F$9-Supuestos!$E$9))),IF(Supuestos!$C$9="Uniforme",Supuestos!$D$9+F863*(Supuestos!$E$9-Supuestos!$D$9),IF(Supuestos!$C$9="Lognormal",LOGINV(F863,LN(Supuestos!$D$9)-LN(1+Supuestos!$E$9^2/Supuestos!$D$9^2)/2,SQRT(LN(1+Supuestos!$E$9^2/Supuestos!$D$9^2))),Supuestos!$D$9))))))</f>
        <v/>
      </c>
      <c r="N863" s="32">
        <f>MIN(IF(Supuestos!$H$10="",1E+99,Supuestos!$H$10),MAX(IF(Supuestos!$G$10="",-1E+99,Supuestos!$G$10),IF(Supuestos!$C$10="Normal",NORMINV(G863,Supuestos!$D$10,Supuestos!$E$10),IF(Supuestos!$C$10="Triangular",IF(G863&lt;(Supuestos!$E$10-Supuestos!$D$10)/(Supuestos!$F$10-Supuestos!$D$10),Supuestos!$D$10+SQRT(G863*(Supuestos!$F$10-Supuestos!$D$10)*(Supuestos!$E$10-Supuestos!$D$10)),Supuestos!$F$10-SQRT((1-G863)*(Supuestos!$F$10-Supuestos!$D$10)*(Supuestos!$F$10-Supuestos!$E$10))),IF(Supuestos!$C$10="Uniforme",Supuestos!$D$10+G863*(Supuestos!$E$10-Supuestos!$D$10),IF(Supuestos!$C$10="Lognormal",LOGINV(G863,LN(Supuestos!$D$10)-LN(1+Supuestos!$E$10^2/Supuestos!$D$10^2)/2,SQRT(LN(1+Supuestos!$E$10^2/Supuestos!$D$10^2))),Supuestos!$D$10))))))</f>
        <v/>
      </c>
      <c r="O863" s="31">
        <f>MIN(IF(Supuestos!$H$11="",1E+99,Supuestos!$H$11),MAX(IF(Supuestos!$G$11="",-1E+99,Supuestos!$G$11),IF(Supuestos!$C$11="Normal",NORMINV(H863,Supuestos!$D$11,Supuestos!$E$11),IF(Supuestos!$C$11="Triangular",IF(H863&lt;(Supuestos!$E$11-Supuestos!$D$11)/(Supuestos!$F$11-Supuestos!$D$11),Supuestos!$D$11+SQRT(H863*(Supuestos!$F$11-Supuestos!$D$11)*(Supuestos!$E$11-Supuestos!$D$11)),Supuestos!$F$11-SQRT((1-H863)*(Supuestos!$F$11-Supuestos!$D$11)*(Supuestos!$F$11-Supuestos!$E$11))),IF(Supuestos!$C$11="Uniforme",Supuestos!$D$11+H863*(Supuestos!$E$11-Supuestos!$D$11),IF(Supuestos!$C$11="Lognormal",LOGINV(H863,LN(Supuestos!$D$11)-LN(1+Supuestos!$E$11^2/Supuestos!$D$11^2)/2,SQRT(LN(1+Supuestos!$E$11^2/Supuestos!$D$11^2))),Supuestos!$D$11))))))</f>
        <v/>
      </c>
      <c r="P863" s="33">
        <f>-I863</f>
        <v/>
      </c>
      <c r="Q863" s="33">
        <f>$J863*(1+$K863)^(1-1)*(1-$L863)*(1-$M863)</f>
        <v/>
      </c>
      <c r="R863" s="33">
        <f>$J863*(1+$K863)^(2-1)*(1-$L863)*(1-$M863)</f>
        <v/>
      </c>
      <c r="S863" s="33">
        <f>$J863*(1+$K863)^(3-1)*(1-$L863)*(1-$M863)</f>
        <v/>
      </c>
      <c r="T863" s="33">
        <f>$J863*(1+$K863)^(4-1)*(1-$L863)*(1-$M863)</f>
        <v/>
      </c>
      <c r="U863" s="33">
        <f>$J863*(1+$K863)^(5-1)*(1-$L863)*(1-$M863)+$O863</f>
        <v/>
      </c>
      <c r="V863" s="33">
        <f>P863+NPV($N863,Q863:U863)</f>
        <v/>
      </c>
      <c r="W863" s="32">
        <f>IFERROR(IRR(P863:U863,0.1),"")</f>
        <v/>
      </c>
    </row>
    <row r="864">
      <c r="A864" s="14" t="n">
        <v>860</v>
      </c>
      <c r="B864" s="30">
        <f>RAND()*(1-2E-6)+1E-6</f>
        <v/>
      </c>
      <c r="C864" s="30">
        <f>RAND()*(1-2E-6)+1E-6</f>
        <v/>
      </c>
      <c r="D864" s="30">
        <f>RAND()*(1-2E-6)+1E-6</f>
        <v/>
      </c>
      <c r="E864" s="30">
        <f>RAND()*(1-2E-6)+1E-6</f>
        <v/>
      </c>
      <c r="F864" s="30">
        <f>RAND()*(1-2E-6)+1E-6</f>
        <v/>
      </c>
      <c r="G864" s="30">
        <f>RAND()*(1-2E-6)+1E-6</f>
        <v/>
      </c>
      <c r="H864" s="30">
        <f>RAND()*(1-2E-6)+1E-6</f>
        <v/>
      </c>
      <c r="I864" s="31">
        <f>MIN(IF(Supuestos!$H$5="",1E+99,Supuestos!$H$5),MAX(IF(Supuestos!$G$5="",-1E+99,Supuestos!$G$5),IF(Supuestos!$C$5="Normal",NORMINV(B864,Supuestos!$D$5,Supuestos!$E$5),IF(Supuestos!$C$5="Triangular",IF(B864&lt;(Supuestos!$E$5-Supuestos!$D$5)/(Supuestos!$F$5-Supuestos!$D$5),Supuestos!$D$5+SQRT(B864*(Supuestos!$F$5-Supuestos!$D$5)*(Supuestos!$E$5-Supuestos!$D$5)),Supuestos!$F$5-SQRT((1-B864)*(Supuestos!$F$5-Supuestos!$D$5)*(Supuestos!$F$5-Supuestos!$E$5))),IF(Supuestos!$C$5="Uniforme",Supuestos!$D$5+B864*(Supuestos!$E$5-Supuestos!$D$5),IF(Supuestos!$C$5="Lognormal",LOGINV(B864,LN(Supuestos!$D$5)-LN(1+Supuestos!$E$5^2/Supuestos!$D$5^2)/2,SQRT(LN(1+Supuestos!$E$5^2/Supuestos!$D$5^2))),Supuestos!$D$5))))))</f>
        <v/>
      </c>
      <c r="J864" s="31">
        <f>MIN(IF(Supuestos!$H$6="",1E+99,Supuestos!$H$6),MAX(IF(Supuestos!$G$6="",-1E+99,Supuestos!$G$6),IF(Supuestos!$C$6="Normal",NORMINV(C864,Supuestos!$D$6,Supuestos!$E$6),IF(Supuestos!$C$6="Triangular",IF(C864&lt;(Supuestos!$E$6-Supuestos!$D$6)/(Supuestos!$F$6-Supuestos!$D$6),Supuestos!$D$6+SQRT(C864*(Supuestos!$F$6-Supuestos!$D$6)*(Supuestos!$E$6-Supuestos!$D$6)),Supuestos!$F$6-SQRT((1-C864)*(Supuestos!$F$6-Supuestos!$D$6)*(Supuestos!$F$6-Supuestos!$E$6))),IF(Supuestos!$C$6="Uniforme",Supuestos!$D$6+C864*(Supuestos!$E$6-Supuestos!$D$6),IF(Supuestos!$C$6="Lognormal",LOGINV(C864,LN(Supuestos!$D$6)-LN(1+Supuestos!$E$6^2/Supuestos!$D$6^2)/2,SQRT(LN(1+Supuestos!$E$6^2/Supuestos!$D$6^2))),Supuestos!$D$6))))))</f>
        <v/>
      </c>
      <c r="K864" s="32">
        <f>MIN(IF(Supuestos!$H$7="",1E+99,Supuestos!$H$7),MAX(IF(Supuestos!$G$7="",-1E+99,Supuestos!$G$7),IF(Supuestos!$C$7="Normal",NORMINV(D864,Supuestos!$D$7,Supuestos!$E$7),IF(Supuestos!$C$7="Triangular",IF(D864&lt;(Supuestos!$E$7-Supuestos!$D$7)/(Supuestos!$F$7-Supuestos!$D$7),Supuestos!$D$7+SQRT(D864*(Supuestos!$F$7-Supuestos!$D$7)*(Supuestos!$E$7-Supuestos!$D$7)),Supuestos!$F$7-SQRT((1-D864)*(Supuestos!$F$7-Supuestos!$D$7)*(Supuestos!$F$7-Supuestos!$E$7))),IF(Supuestos!$C$7="Uniforme",Supuestos!$D$7+D864*(Supuestos!$E$7-Supuestos!$D$7),IF(Supuestos!$C$7="Lognormal",LOGINV(D864,LN(Supuestos!$D$7)-LN(1+Supuestos!$E$7^2/Supuestos!$D$7^2)/2,SQRT(LN(1+Supuestos!$E$7^2/Supuestos!$D$7^2))),Supuestos!$D$7))))))</f>
        <v/>
      </c>
      <c r="L864" s="32">
        <f>MIN(IF(Supuestos!$H$8="",1E+99,Supuestos!$H$8),MAX(IF(Supuestos!$G$8="",-1E+99,Supuestos!$G$8),IF(Supuestos!$C$8="Normal",NORMINV(E864,Supuestos!$D$8,Supuestos!$E$8),IF(Supuestos!$C$8="Triangular",IF(E864&lt;(Supuestos!$E$8-Supuestos!$D$8)/(Supuestos!$F$8-Supuestos!$D$8),Supuestos!$D$8+SQRT(E864*(Supuestos!$F$8-Supuestos!$D$8)*(Supuestos!$E$8-Supuestos!$D$8)),Supuestos!$F$8-SQRT((1-E864)*(Supuestos!$F$8-Supuestos!$D$8)*(Supuestos!$F$8-Supuestos!$E$8))),IF(Supuestos!$C$8="Uniforme",Supuestos!$D$8+E864*(Supuestos!$E$8-Supuestos!$D$8),IF(Supuestos!$C$8="Lognormal",LOGINV(E864,LN(Supuestos!$D$8)-LN(1+Supuestos!$E$8^2/Supuestos!$D$8^2)/2,SQRT(LN(1+Supuestos!$E$8^2/Supuestos!$D$8^2))),Supuestos!$D$8))))))</f>
        <v/>
      </c>
      <c r="M864" s="32">
        <f>MIN(IF(Supuestos!$H$9="",1E+99,Supuestos!$H$9),MAX(IF(Supuestos!$G$9="",-1E+99,Supuestos!$G$9),IF(Supuestos!$C$9="Normal",NORMINV(F864,Supuestos!$D$9,Supuestos!$E$9),IF(Supuestos!$C$9="Triangular",IF(F864&lt;(Supuestos!$E$9-Supuestos!$D$9)/(Supuestos!$F$9-Supuestos!$D$9),Supuestos!$D$9+SQRT(F864*(Supuestos!$F$9-Supuestos!$D$9)*(Supuestos!$E$9-Supuestos!$D$9)),Supuestos!$F$9-SQRT((1-F864)*(Supuestos!$F$9-Supuestos!$D$9)*(Supuestos!$F$9-Supuestos!$E$9))),IF(Supuestos!$C$9="Uniforme",Supuestos!$D$9+F864*(Supuestos!$E$9-Supuestos!$D$9),IF(Supuestos!$C$9="Lognormal",LOGINV(F864,LN(Supuestos!$D$9)-LN(1+Supuestos!$E$9^2/Supuestos!$D$9^2)/2,SQRT(LN(1+Supuestos!$E$9^2/Supuestos!$D$9^2))),Supuestos!$D$9))))))</f>
        <v/>
      </c>
      <c r="N864" s="32">
        <f>MIN(IF(Supuestos!$H$10="",1E+99,Supuestos!$H$10),MAX(IF(Supuestos!$G$10="",-1E+99,Supuestos!$G$10),IF(Supuestos!$C$10="Normal",NORMINV(G864,Supuestos!$D$10,Supuestos!$E$10),IF(Supuestos!$C$10="Triangular",IF(G864&lt;(Supuestos!$E$10-Supuestos!$D$10)/(Supuestos!$F$10-Supuestos!$D$10),Supuestos!$D$10+SQRT(G864*(Supuestos!$F$10-Supuestos!$D$10)*(Supuestos!$E$10-Supuestos!$D$10)),Supuestos!$F$10-SQRT((1-G864)*(Supuestos!$F$10-Supuestos!$D$10)*(Supuestos!$F$10-Supuestos!$E$10))),IF(Supuestos!$C$10="Uniforme",Supuestos!$D$10+G864*(Supuestos!$E$10-Supuestos!$D$10),IF(Supuestos!$C$10="Lognormal",LOGINV(G864,LN(Supuestos!$D$10)-LN(1+Supuestos!$E$10^2/Supuestos!$D$10^2)/2,SQRT(LN(1+Supuestos!$E$10^2/Supuestos!$D$10^2))),Supuestos!$D$10))))))</f>
        <v/>
      </c>
      <c r="O864" s="31">
        <f>MIN(IF(Supuestos!$H$11="",1E+99,Supuestos!$H$11),MAX(IF(Supuestos!$G$11="",-1E+99,Supuestos!$G$11),IF(Supuestos!$C$11="Normal",NORMINV(H864,Supuestos!$D$11,Supuestos!$E$11),IF(Supuestos!$C$11="Triangular",IF(H864&lt;(Supuestos!$E$11-Supuestos!$D$11)/(Supuestos!$F$11-Supuestos!$D$11),Supuestos!$D$11+SQRT(H864*(Supuestos!$F$11-Supuestos!$D$11)*(Supuestos!$E$11-Supuestos!$D$11)),Supuestos!$F$11-SQRT((1-H864)*(Supuestos!$F$11-Supuestos!$D$11)*(Supuestos!$F$11-Supuestos!$E$11))),IF(Supuestos!$C$11="Uniforme",Supuestos!$D$11+H864*(Supuestos!$E$11-Supuestos!$D$11),IF(Supuestos!$C$11="Lognormal",LOGINV(H864,LN(Supuestos!$D$11)-LN(1+Supuestos!$E$11^2/Supuestos!$D$11^2)/2,SQRT(LN(1+Supuestos!$E$11^2/Supuestos!$D$11^2))),Supuestos!$D$11))))))</f>
        <v/>
      </c>
      <c r="P864" s="33">
        <f>-I864</f>
        <v/>
      </c>
      <c r="Q864" s="33">
        <f>$J864*(1+$K864)^(1-1)*(1-$L864)*(1-$M864)</f>
        <v/>
      </c>
      <c r="R864" s="33">
        <f>$J864*(1+$K864)^(2-1)*(1-$L864)*(1-$M864)</f>
        <v/>
      </c>
      <c r="S864" s="33">
        <f>$J864*(1+$K864)^(3-1)*(1-$L864)*(1-$M864)</f>
        <v/>
      </c>
      <c r="T864" s="33">
        <f>$J864*(1+$K864)^(4-1)*(1-$L864)*(1-$M864)</f>
        <v/>
      </c>
      <c r="U864" s="33">
        <f>$J864*(1+$K864)^(5-1)*(1-$L864)*(1-$M864)+$O864</f>
        <v/>
      </c>
      <c r="V864" s="33">
        <f>P864+NPV($N864,Q864:U864)</f>
        <v/>
      </c>
      <c r="W864" s="32">
        <f>IFERROR(IRR(P864:U864,0.1),"")</f>
        <v/>
      </c>
    </row>
    <row r="865">
      <c r="A865" s="14" t="n">
        <v>861</v>
      </c>
      <c r="B865" s="30">
        <f>RAND()*(1-2E-6)+1E-6</f>
        <v/>
      </c>
      <c r="C865" s="30">
        <f>RAND()*(1-2E-6)+1E-6</f>
        <v/>
      </c>
      <c r="D865" s="30">
        <f>RAND()*(1-2E-6)+1E-6</f>
        <v/>
      </c>
      <c r="E865" s="30">
        <f>RAND()*(1-2E-6)+1E-6</f>
        <v/>
      </c>
      <c r="F865" s="30">
        <f>RAND()*(1-2E-6)+1E-6</f>
        <v/>
      </c>
      <c r="G865" s="30">
        <f>RAND()*(1-2E-6)+1E-6</f>
        <v/>
      </c>
      <c r="H865" s="30">
        <f>RAND()*(1-2E-6)+1E-6</f>
        <v/>
      </c>
      <c r="I865" s="31">
        <f>MIN(IF(Supuestos!$H$5="",1E+99,Supuestos!$H$5),MAX(IF(Supuestos!$G$5="",-1E+99,Supuestos!$G$5),IF(Supuestos!$C$5="Normal",NORMINV(B865,Supuestos!$D$5,Supuestos!$E$5),IF(Supuestos!$C$5="Triangular",IF(B865&lt;(Supuestos!$E$5-Supuestos!$D$5)/(Supuestos!$F$5-Supuestos!$D$5),Supuestos!$D$5+SQRT(B865*(Supuestos!$F$5-Supuestos!$D$5)*(Supuestos!$E$5-Supuestos!$D$5)),Supuestos!$F$5-SQRT((1-B865)*(Supuestos!$F$5-Supuestos!$D$5)*(Supuestos!$F$5-Supuestos!$E$5))),IF(Supuestos!$C$5="Uniforme",Supuestos!$D$5+B865*(Supuestos!$E$5-Supuestos!$D$5),IF(Supuestos!$C$5="Lognormal",LOGINV(B865,LN(Supuestos!$D$5)-LN(1+Supuestos!$E$5^2/Supuestos!$D$5^2)/2,SQRT(LN(1+Supuestos!$E$5^2/Supuestos!$D$5^2))),Supuestos!$D$5))))))</f>
        <v/>
      </c>
      <c r="J865" s="31">
        <f>MIN(IF(Supuestos!$H$6="",1E+99,Supuestos!$H$6),MAX(IF(Supuestos!$G$6="",-1E+99,Supuestos!$G$6),IF(Supuestos!$C$6="Normal",NORMINV(C865,Supuestos!$D$6,Supuestos!$E$6),IF(Supuestos!$C$6="Triangular",IF(C865&lt;(Supuestos!$E$6-Supuestos!$D$6)/(Supuestos!$F$6-Supuestos!$D$6),Supuestos!$D$6+SQRT(C865*(Supuestos!$F$6-Supuestos!$D$6)*(Supuestos!$E$6-Supuestos!$D$6)),Supuestos!$F$6-SQRT((1-C865)*(Supuestos!$F$6-Supuestos!$D$6)*(Supuestos!$F$6-Supuestos!$E$6))),IF(Supuestos!$C$6="Uniforme",Supuestos!$D$6+C865*(Supuestos!$E$6-Supuestos!$D$6),IF(Supuestos!$C$6="Lognormal",LOGINV(C865,LN(Supuestos!$D$6)-LN(1+Supuestos!$E$6^2/Supuestos!$D$6^2)/2,SQRT(LN(1+Supuestos!$E$6^2/Supuestos!$D$6^2))),Supuestos!$D$6))))))</f>
        <v/>
      </c>
      <c r="K865" s="32">
        <f>MIN(IF(Supuestos!$H$7="",1E+99,Supuestos!$H$7),MAX(IF(Supuestos!$G$7="",-1E+99,Supuestos!$G$7),IF(Supuestos!$C$7="Normal",NORMINV(D865,Supuestos!$D$7,Supuestos!$E$7),IF(Supuestos!$C$7="Triangular",IF(D865&lt;(Supuestos!$E$7-Supuestos!$D$7)/(Supuestos!$F$7-Supuestos!$D$7),Supuestos!$D$7+SQRT(D865*(Supuestos!$F$7-Supuestos!$D$7)*(Supuestos!$E$7-Supuestos!$D$7)),Supuestos!$F$7-SQRT((1-D865)*(Supuestos!$F$7-Supuestos!$D$7)*(Supuestos!$F$7-Supuestos!$E$7))),IF(Supuestos!$C$7="Uniforme",Supuestos!$D$7+D865*(Supuestos!$E$7-Supuestos!$D$7),IF(Supuestos!$C$7="Lognormal",LOGINV(D865,LN(Supuestos!$D$7)-LN(1+Supuestos!$E$7^2/Supuestos!$D$7^2)/2,SQRT(LN(1+Supuestos!$E$7^2/Supuestos!$D$7^2))),Supuestos!$D$7))))))</f>
        <v/>
      </c>
      <c r="L865" s="32">
        <f>MIN(IF(Supuestos!$H$8="",1E+99,Supuestos!$H$8),MAX(IF(Supuestos!$G$8="",-1E+99,Supuestos!$G$8),IF(Supuestos!$C$8="Normal",NORMINV(E865,Supuestos!$D$8,Supuestos!$E$8),IF(Supuestos!$C$8="Triangular",IF(E865&lt;(Supuestos!$E$8-Supuestos!$D$8)/(Supuestos!$F$8-Supuestos!$D$8),Supuestos!$D$8+SQRT(E865*(Supuestos!$F$8-Supuestos!$D$8)*(Supuestos!$E$8-Supuestos!$D$8)),Supuestos!$F$8-SQRT((1-E865)*(Supuestos!$F$8-Supuestos!$D$8)*(Supuestos!$F$8-Supuestos!$E$8))),IF(Supuestos!$C$8="Uniforme",Supuestos!$D$8+E865*(Supuestos!$E$8-Supuestos!$D$8),IF(Supuestos!$C$8="Lognormal",LOGINV(E865,LN(Supuestos!$D$8)-LN(1+Supuestos!$E$8^2/Supuestos!$D$8^2)/2,SQRT(LN(1+Supuestos!$E$8^2/Supuestos!$D$8^2))),Supuestos!$D$8))))))</f>
        <v/>
      </c>
      <c r="M865" s="32">
        <f>MIN(IF(Supuestos!$H$9="",1E+99,Supuestos!$H$9),MAX(IF(Supuestos!$G$9="",-1E+99,Supuestos!$G$9),IF(Supuestos!$C$9="Normal",NORMINV(F865,Supuestos!$D$9,Supuestos!$E$9),IF(Supuestos!$C$9="Triangular",IF(F865&lt;(Supuestos!$E$9-Supuestos!$D$9)/(Supuestos!$F$9-Supuestos!$D$9),Supuestos!$D$9+SQRT(F865*(Supuestos!$F$9-Supuestos!$D$9)*(Supuestos!$E$9-Supuestos!$D$9)),Supuestos!$F$9-SQRT((1-F865)*(Supuestos!$F$9-Supuestos!$D$9)*(Supuestos!$F$9-Supuestos!$E$9))),IF(Supuestos!$C$9="Uniforme",Supuestos!$D$9+F865*(Supuestos!$E$9-Supuestos!$D$9),IF(Supuestos!$C$9="Lognormal",LOGINV(F865,LN(Supuestos!$D$9)-LN(1+Supuestos!$E$9^2/Supuestos!$D$9^2)/2,SQRT(LN(1+Supuestos!$E$9^2/Supuestos!$D$9^2))),Supuestos!$D$9))))))</f>
        <v/>
      </c>
      <c r="N865" s="32">
        <f>MIN(IF(Supuestos!$H$10="",1E+99,Supuestos!$H$10),MAX(IF(Supuestos!$G$10="",-1E+99,Supuestos!$G$10),IF(Supuestos!$C$10="Normal",NORMINV(G865,Supuestos!$D$10,Supuestos!$E$10),IF(Supuestos!$C$10="Triangular",IF(G865&lt;(Supuestos!$E$10-Supuestos!$D$10)/(Supuestos!$F$10-Supuestos!$D$10),Supuestos!$D$10+SQRT(G865*(Supuestos!$F$10-Supuestos!$D$10)*(Supuestos!$E$10-Supuestos!$D$10)),Supuestos!$F$10-SQRT((1-G865)*(Supuestos!$F$10-Supuestos!$D$10)*(Supuestos!$F$10-Supuestos!$E$10))),IF(Supuestos!$C$10="Uniforme",Supuestos!$D$10+G865*(Supuestos!$E$10-Supuestos!$D$10),IF(Supuestos!$C$10="Lognormal",LOGINV(G865,LN(Supuestos!$D$10)-LN(1+Supuestos!$E$10^2/Supuestos!$D$10^2)/2,SQRT(LN(1+Supuestos!$E$10^2/Supuestos!$D$10^2))),Supuestos!$D$10))))))</f>
        <v/>
      </c>
      <c r="O865" s="31">
        <f>MIN(IF(Supuestos!$H$11="",1E+99,Supuestos!$H$11),MAX(IF(Supuestos!$G$11="",-1E+99,Supuestos!$G$11),IF(Supuestos!$C$11="Normal",NORMINV(H865,Supuestos!$D$11,Supuestos!$E$11),IF(Supuestos!$C$11="Triangular",IF(H865&lt;(Supuestos!$E$11-Supuestos!$D$11)/(Supuestos!$F$11-Supuestos!$D$11),Supuestos!$D$11+SQRT(H865*(Supuestos!$F$11-Supuestos!$D$11)*(Supuestos!$E$11-Supuestos!$D$11)),Supuestos!$F$11-SQRT((1-H865)*(Supuestos!$F$11-Supuestos!$D$11)*(Supuestos!$F$11-Supuestos!$E$11))),IF(Supuestos!$C$11="Uniforme",Supuestos!$D$11+H865*(Supuestos!$E$11-Supuestos!$D$11),IF(Supuestos!$C$11="Lognormal",LOGINV(H865,LN(Supuestos!$D$11)-LN(1+Supuestos!$E$11^2/Supuestos!$D$11^2)/2,SQRT(LN(1+Supuestos!$E$11^2/Supuestos!$D$11^2))),Supuestos!$D$11))))))</f>
        <v/>
      </c>
      <c r="P865" s="33">
        <f>-I865</f>
        <v/>
      </c>
      <c r="Q865" s="33">
        <f>$J865*(1+$K865)^(1-1)*(1-$L865)*(1-$M865)</f>
        <v/>
      </c>
      <c r="R865" s="33">
        <f>$J865*(1+$K865)^(2-1)*(1-$L865)*(1-$M865)</f>
        <v/>
      </c>
      <c r="S865" s="33">
        <f>$J865*(1+$K865)^(3-1)*(1-$L865)*(1-$M865)</f>
        <v/>
      </c>
      <c r="T865" s="33">
        <f>$J865*(1+$K865)^(4-1)*(1-$L865)*(1-$M865)</f>
        <v/>
      </c>
      <c r="U865" s="33">
        <f>$J865*(1+$K865)^(5-1)*(1-$L865)*(1-$M865)+$O865</f>
        <v/>
      </c>
      <c r="V865" s="33">
        <f>P865+NPV($N865,Q865:U865)</f>
        <v/>
      </c>
      <c r="W865" s="32">
        <f>IFERROR(IRR(P865:U865,0.1),"")</f>
        <v/>
      </c>
    </row>
    <row r="866">
      <c r="A866" s="14" t="n">
        <v>862</v>
      </c>
      <c r="B866" s="30">
        <f>RAND()*(1-2E-6)+1E-6</f>
        <v/>
      </c>
      <c r="C866" s="30">
        <f>RAND()*(1-2E-6)+1E-6</f>
        <v/>
      </c>
      <c r="D866" s="30">
        <f>RAND()*(1-2E-6)+1E-6</f>
        <v/>
      </c>
      <c r="E866" s="30">
        <f>RAND()*(1-2E-6)+1E-6</f>
        <v/>
      </c>
      <c r="F866" s="30">
        <f>RAND()*(1-2E-6)+1E-6</f>
        <v/>
      </c>
      <c r="G866" s="30">
        <f>RAND()*(1-2E-6)+1E-6</f>
        <v/>
      </c>
      <c r="H866" s="30">
        <f>RAND()*(1-2E-6)+1E-6</f>
        <v/>
      </c>
      <c r="I866" s="31">
        <f>MIN(IF(Supuestos!$H$5="",1E+99,Supuestos!$H$5),MAX(IF(Supuestos!$G$5="",-1E+99,Supuestos!$G$5),IF(Supuestos!$C$5="Normal",NORMINV(B866,Supuestos!$D$5,Supuestos!$E$5),IF(Supuestos!$C$5="Triangular",IF(B866&lt;(Supuestos!$E$5-Supuestos!$D$5)/(Supuestos!$F$5-Supuestos!$D$5),Supuestos!$D$5+SQRT(B866*(Supuestos!$F$5-Supuestos!$D$5)*(Supuestos!$E$5-Supuestos!$D$5)),Supuestos!$F$5-SQRT((1-B866)*(Supuestos!$F$5-Supuestos!$D$5)*(Supuestos!$F$5-Supuestos!$E$5))),IF(Supuestos!$C$5="Uniforme",Supuestos!$D$5+B866*(Supuestos!$E$5-Supuestos!$D$5),IF(Supuestos!$C$5="Lognormal",LOGINV(B866,LN(Supuestos!$D$5)-LN(1+Supuestos!$E$5^2/Supuestos!$D$5^2)/2,SQRT(LN(1+Supuestos!$E$5^2/Supuestos!$D$5^2))),Supuestos!$D$5))))))</f>
        <v/>
      </c>
      <c r="J866" s="31">
        <f>MIN(IF(Supuestos!$H$6="",1E+99,Supuestos!$H$6),MAX(IF(Supuestos!$G$6="",-1E+99,Supuestos!$G$6),IF(Supuestos!$C$6="Normal",NORMINV(C866,Supuestos!$D$6,Supuestos!$E$6),IF(Supuestos!$C$6="Triangular",IF(C866&lt;(Supuestos!$E$6-Supuestos!$D$6)/(Supuestos!$F$6-Supuestos!$D$6),Supuestos!$D$6+SQRT(C866*(Supuestos!$F$6-Supuestos!$D$6)*(Supuestos!$E$6-Supuestos!$D$6)),Supuestos!$F$6-SQRT((1-C866)*(Supuestos!$F$6-Supuestos!$D$6)*(Supuestos!$F$6-Supuestos!$E$6))),IF(Supuestos!$C$6="Uniforme",Supuestos!$D$6+C866*(Supuestos!$E$6-Supuestos!$D$6),IF(Supuestos!$C$6="Lognormal",LOGINV(C866,LN(Supuestos!$D$6)-LN(1+Supuestos!$E$6^2/Supuestos!$D$6^2)/2,SQRT(LN(1+Supuestos!$E$6^2/Supuestos!$D$6^2))),Supuestos!$D$6))))))</f>
        <v/>
      </c>
      <c r="K866" s="32">
        <f>MIN(IF(Supuestos!$H$7="",1E+99,Supuestos!$H$7),MAX(IF(Supuestos!$G$7="",-1E+99,Supuestos!$G$7),IF(Supuestos!$C$7="Normal",NORMINV(D866,Supuestos!$D$7,Supuestos!$E$7),IF(Supuestos!$C$7="Triangular",IF(D866&lt;(Supuestos!$E$7-Supuestos!$D$7)/(Supuestos!$F$7-Supuestos!$D$7),Supuestos!$D$7+SQRT(D866*(Supuestos!$F$7-Supuestos!$D$7)*(Supuestos!$E$7-Supuestos!$D$7)),Supuestos!$F$7-SQRT((1-D866)*(Supuestos!$F$7-Supuestos!$D$7)*(Supuestos!$F$7-Supuestos!$E$7))),IF(Supuestos!$C$7="Uniforme",Supuestos!$D$7+D866*(Supuestos!$E$7-Supuestos!$D$7),IF(Supuestos!$C$7="Lognormal",LOGINV(D866,LN(Supuestos!$D$7)-LN(1+Supuestos!$E$7^2/Supuestos!$D$7^2)/2,SQRT(LN(1+Supuestos!$E$7^2/Supuestos!$D$7^2))),Supuestos!$D$7))))))</f>
        <v/>
      </c>
      <c r="L866" s="32">
        <f>MIN(IF(Supuestos!$H$8="",1E+99,Supuestos!$H$8),MAX(IF(Supuestos!$G$8="",-1E+99,Supuestos!$G$8),IF(Supuestos!$C$8="Normal",NORMINV(E866,Supuestos!$D$8,Supuestos!$E$8),IF(Supuestos!$C$8="Triangular",IF(E866&lt;(Supuestos!$E$8-Supuestos!$D$8)/(Supuestos!$F$8-Supuestos!$D$8),Supuestos!$D$8+SQRT(E866*(Supuestos!$F$8-Supuestos!$D$8)*(Supuestos!$E$8-Supuestos!$D$8)),Supuestos!$F$8-SQRT((1-E866)*(Supuestos!$F$8-Supuestos!$D$8)*(Supuestos!$F$8-Supuestos!$E$8))),IF(Supuestos!$C$8="Uniforme",Supuestos!$D$8+E866*(Supuestos!$E$8-Supuestos!$D$8),IF(Supuestos!$C$8="Lognormal",LOGINV(E866,LN(Supuestos!$D$8)-LN(1+Supuestos!$E$8^2/Supuestos!$D$8^2)/2,SQRT(LN(1+Supuestos!$E$8^2/Supuestos!$D$8^2))),Supuestos!$D$8))))))</f>
        <v/>
      </c>
      <c r="M866" s="32">
        <f>MIN(IF(Supuestos!$H$9="",1E+99,Supuestos!$H$9),MAX(IF(Supuestos!$G$9="",-1E+99,Supuestos!$G$9),IF(Supuestos!$C$9="Normal",NORMINV(F866,Supuestos!$D$9,Supuestos!$E$9),IF(Supuestos!$C$9="Triangular",IF(F866&lt;(Supuestos!$E$9-Supuestos!$D$9)/(Supuestos!$F$9-Supuestos!$D$9),Supuestos!$D$9+SQRT(F866*(Supuestos!$F$9-Supuestos!$D$9)*(Supuestos!$E$9-Supuestos!$D$9)),Supuestos!$F$9-SQRT((1-F866)*(Supuestos!$F$9-Supuestos!$D$9)*(Supuestos!$F$9-Supuestos!$E$9))),IF(Supuestos!$C$9="Uniforme",Supuestos!$D$9+F866*(Supuestos!$E$9-Supuestos!$D$9),IF(Supuestos!$C$9="Lognormal",LOGINV(F866,LN(Supuestos!$D$9)-LN(1+Supuestos!$E$9^2/Supuestos!$D$9^2)/2,SQRT(LN(1+Supuestos!$E$9^2/Supuestos!$D$9^2))),Supuestos!$D$9))))))</f>
        <v/>
      </c>
      <c r="N866" s="32">
        <f>MIN(IF(Supuestos!$H$10="",1E+99,Supuestos!$H$10),MAX(IF(Supuestos!$G$10="",-1E+99,Supuestos!$G$10),IF(Supuestos!$C$10="Normal",NORMINV(G866,Supuestos!$D$10,Supuestos!$E$10),IF(Supuestos!$C$10="Triangular",IF(G866&lt;(Supuestos!$E$10-Supuestos!$D$10)/(Supuestos!$F$10-Supuestos!$D$10),Supuestos!$D$10+SQRT(G866*(Supuestos!$F$10-Supuestos!$D$10)*(Supuestos!$E$10-Supuestos!$D$10)),Supuestos!$F$10-SQRT((1-G866)*(Supuestos!$F$10-Supuestos!$D$10)*(Supuestos!$F$10-Supuestos!$E$10))),IF(Supuestos!$C$10="Uniforme",Supuestos!$D$10+G866*(Supuestos!$E$10-Supuestos!$D$10),IF(Supuestos!$C$10="Lognormal",LOGINV(G866,LN(Supuestos!$D$10)-LN(1+Supuestos!$E$10^2/Supuestos!$D$10^2)/2,SQRT(LN(1+Supuestos!$E$10^2/Supuestos!$D$10^2))),Supuestos!$D$10))))))</f>
        <v/>
      </c>
      <c r="O866" s="31">
        <f>MIN(IF(Supuestos!$H$11="",1E+99,Supuestos!$H$11),MAX(IF(Supuestos!$G$11="",-1E+99,Supuestos!$G$11),IF(Supuestos!$C$11="Normal",NORMINV(H866,Supuestos!$D$11,Supuestos!$E$11),IF(Supuestos!$C$11="Triangular",IF(H866&lt;(Supuestos!$E$11-Supuestos!$D$11)/(Supuestos!$F$11-Supuestos!$D$11),Supuestos!$D$11+SQRT(H866*(Supuestos!$F$11-Supuestos!$D$11)*(Supuestos!$E$11-Supuestos!$D$11)),Supuestos!$F$11-SQRT((1-H866)*(Supuestos!$F$11-Supuestos!$D$11)*(Supuestos!$F$11-Supuestos!$E$11))),IF(Supuestos!$C$11="Uniforme",Supuestos!$D$11+H866*(Supuestos!$E$11-Supuestos!$D$11),IF(Supuestos!$C$11="Lognormal",LOGINV(H866,LN(Supuestos!$D$11)-LN(1+Supuestos!$E$11^2/Supuestos!$D$11^2)/2,SQRT(LN(1+Supuestos!$E$11^2/Supuestos!$D$11^2))),Supuestos!$D$11))))))</f>
        <v/>
      </c>
      <c r="P866" s="33">
        <f>-I866</f>
        <v/>
      </c>
      <c r="Q866" s="33">
        <f>$J866*(1+$K866)^(1-1)*(1-$L866)*(1-$M866)</f>
        <v/>
      </c>
      <c r="R866" s="33">
        <f>$J866*(1+$K866)^(2-1)*(1-$L866)*(1-$M866)</f>
        <v/>
      </c>
      <c r="S866" s="33">
        <f>$J866*(1+$K866)^(3-1)*(1-$L866)*(1-$M866)</f>
        <v/>
      </c>
      <c r="T866" s="33">
        <f>$J866*(1+$K866)^(4-1)*(1-$L866)*(1-$M866)</f>
        <v/>
      </c>
      <c r="U866" s="33">
        <f>$J866*(1+$K866)^(5-1)*(1-$L866)*(1-$M866)+$O866</f>
        <v/>
      </c>
      <c r="V866" s="33">
        <f>P866+NPV($N866,Q866:U866)</f>
        <v/>
      </c>
      <c r="W866" s="32">
        <f>IFERROR(IRR(P866:U866,0.1),"")</f>
        <v/>
      </c>
    </row>
    <row r="867">
      <c r="A867" s="14" t="n">
        <v>863</v>
      </c>
      <c r="B867" s="30">
        <f>RAND()*(1-2E-6)+1E-6</f>
        <v/>
      </c>
      <c r="C867" s="30">
        <f>RAND()*(1-2E-6)+1E-6</f>
        <v/>
      </c>
      <c r="D867" s="30">
        <f>RAND()*(1-2E-6)+1E-6</f>
        <v/>
      </c>
      <c r="E867" s="30">
        <f>RAND()*(1-2E-6)+1E-6</f>
        <v/>
      </c>
      <c r="F867" s="30">
        <f>RAND()*(1-2E-6)+1E-6</f>
        <v/>
      </c>
      <c r="G867" s="30">
        <f>RAND()*(1-2E-6)+1E-6</f>
        <v/>
      </c>
      <c r="H867" s="30">
        <f>RAND()*(1-2E-6)+1E-6</f>
        <v/>
      </c>
      <c r="I867" s="31">
        <f>MIN(IF(Supuestos!$H$5="",1E+99,Supuestos!$H$5),MAX(IF(Supuestos!$G$5="",-1E+99,Supuestos!$G$5),IF(Supuestos!$C$5="Normal",NORMINV(B867,Supuestos!$D$5,Supuestos!$E$5),IF(Supuestos!$C$5="Triangular",IF(B867&lt;(Supuestos!$E$5-Supuestos!$D$5)/(Supuestos!$F$5-Supuestos!$D$5),Supuestos!$D$5+SQRT(B867*(Supuestos!$F$5-Supuestos!$D$5)*(Supuestos!$E$5-Supuestos!$D$5)),Supuestos!$F$5-SQRT((1-B867)*(Supuestos!$F$5-Supuestos!$D$5)*(Supuestos!$F$5-Supuestos!$E$5))),IF(Supuestos!$C$5="Uniforme",Supuestos!$D$5+B867*(Supuestos!$E$5-Supuestos!$D$5),IF(Supuestos!$C$5="Lognormal",LOGINV(B867,LN(Supuestos!$D$5)-LN(1+Supuestos!$E$5^2/Supuestos!$D$5^2)/2,SQRT(LN(1+Supuestos!$E$5^2/Supuestos!$D$5^2))),Supuestos!$D$5))))))</f>
        <v/>
      </c>
      <c r="J867" s="31">
        <f>MIN(IF(Supuestos!$H$6="",1E+99,Supuestos!$H$6),MAX(IF(Supuestos!$G$6="",-1E+99,Supuestos!$G$6),IF(Supuestos!$C$6="Normal",NORMINV(C867,Supuestos!$D$6,Supuestos!$E$6),IF(Supuestos!$C$6="Triangular",IF(C867&lt;(Supuestos!$E$6-Supuestos!$D$6)/(Supuestos!$F$6-Supuestos!$D$6),Supuestos!$D$6+SQRT(C867*(Supuestos!$F$6-Supuestos!$D$6)*(Supuestos!$E$6-Supuestos!$D$6)),Supuestos!$F$6-SQRT((1-C867)*(Supuestos!$F$6-Supuestos!$D$6)*(Supuestos!$F$6-Supuestos!$E$6))),IF(Supuestos!$C$6="Uniforme",Supuestos!$D$6+C867*(Supuestos!$E$6-Supuestos!$D$6),IF(Supuestos!$C$6="Lognormal",LOGINV(C867,LN(Supuestos!$D$6)-LN(1+Supuestos!$E$6^2/Supuestos!$D$6^2)/2,SQRT(LN(1+Supuestos!$E$6^2/Supuestos!$D$6^2))),Supuestos!$D$6))))))</f>
        <v/>
      </c>
      <c r="K867" s="32">
        <f>MIN(IF(Supuestos!$H$7="",1E+99,Supuestos!$H$7),MAX(IF(Supuestos!$G$7="",-1E+99,Supuestos!$G$7),IF(Supuestos!$C$7="Normal",NORMINV(D867,Supuestos!$D$7,Supuestos!$E$7),IF(Supuestos!$C$7="Triangular",IF(D867&lt;(Supuestos!$E$7-Supuestos!$D$7)/(Supuestos!$F$7-Supuestos!$D$7),Supuestos!$D$7+SQRT(D867*(Supuestos!$F$7-Supuestos!$D$7)*(Supuestos!$E$7-Supuestos!$D$7)),Supuestos!$F$7-SQRT((1-D867)*(Supuestos!$F$7-Supuestos!$D$7)*(Supuestos!$F$7-Supuestos!$E$7))),IF(Supuestos!$C$7="Uniforme",Supuestos!$D$7+D867*(Supuestos!$E$7-Supuestos!$D$7),IF(Supuestos!$C$7="Lognormal",LOGINV(D867,LN(Supuestos!$D$7)-LN(1+Supuestos!$E$7^2/Supuestos!$D$7^2)/2,SQRT(LN(1+Supuestos!$E$7^2/Supuestos!$D$7^2))),Supuestos!$D$7))))))</f>
        <v/>
      </c>
      <c r="L867" s="32">
        <f>MIN(IF(Supuestos!$H$8="",1E+99,Supuestos!$H$8),MAX(IF(Supuestos!$G$8="",-1E+99,Supuestos!$G$8),IF(Supuestos!$C$8="Normal",NORMINV(E867,Supuestos!$D$8,Supuestos!$E$8),IF(Supuestos!$C$8="Triangular",IF(E867&lt;(Supuestos!$E$8-Supuestos!$D$8)/(Supuestos!$F$8-Supuestos!$D$8),Supuestos!$D$8+SQRT(E867*(Supuestos!$F$8-Supuestos!$D$8)*(Supuestos!$E$8-Supuestos!$D$8)),Supuestos!$F$8-SQRT((1-E867)*(Supuestos!$F$8-Supuestos!$D$8)*(Supuestos!$F$8-Supuestos!$E$8))),IF(Supuestos!$C$8="Uniforme",Supuestos!$D$8+E867*(Supuestos!$E$8-Supuestos!$D$8),IF(Supuestos!$C$8="Lognormal",LOGINV(E867,LN(Supuestos!$D$8)-LN(1+Supuestos!$E$8^2/Supuestos!$D$8^2)/2,SQRT(LN(1+Supuestos!$E$8^2/Supuestos!$D$8^2))),Supuestos!$D$8))))))</f>
        <v/>
      </c>
      <c r="M867" s="32">
        <f>MIN(IF(Supuestos!$H$9="",1E+99,Supuestos!$H$9),MAX(IF(Supuestos!$G$9="",-1E+99,Supuestos!$G$9),IF(Supuestos!$C$9="Normal",NORMINV(F867,Supuestos!$D$9,Supuestos!$E$9),IF(Supuestos!$C$9="Triangular",IF(F867&lt;(Supuestos!$E$9-Supuestos!$D$9)/(Supuestos!$F$9-Supuestos!$D$9),Supuestos!$D$9+SQRT(F867*(Supuestos!$F$9-Supuestos!$D$9)*(Supuestos!$E$9-Supuestos!$D$9)),Supuestos!$F$9-SQRT((1-F867)*(Supuestos!$F$9-Supuestos!$D$9)*(Supuestos!$F$9-Supuestos!$E$9))),IF(Supuestos!$C$9="Uniforme",Supuestos!$D$9+F867*(Supuestos!$E$9-Supuestos!$D$9),IF(Supuestos!$C$9="Lognormal",LOGINV(F867,LN(Supuestos!$D$9)-LN(1+Supuestos!$E$9^2/Supuestos!$D$9^2)/2,SQRT(LN(1+Supuestos!$E$9^2/Supuestos!$D$9^2))),Supuestos!$D$9))))))</f>
        <v/>
      </c>
      <c r="N867" s="32">
        <f>MIN(IF(Supuestos!$H$10="",1E+99,Supuestos!$H$10),MAX(IF(Supuestos!$G$10="",-1E+99,Supuestos!$G$10),IF(Supuestos!$C$10="Normal",NORMINV(G867,Supuestos!$D$10,Supuestos!$E$10),IF(Supuestos!$C$10="Triangular",IF(G867&lt;(Supuestos!$E$10-Supuestos!$D$10)/(Supuestos!$F$10-Supuestos!$D$10),Supuestos!$D$10+SQRT(G867*(Supuestos!$F$10-Supuestos!$D$10)*(Supuestos!$E$10-Supuestos!$D$10)),Supuestos!$F$10-SQRT((1-G867)*(Supuestos!$F$10-Supuestos!$D$10)*(Supuestos!$F$10-Supuestos!$E$10))),IF(Supuestos!$C$10="Uniforme",Supuestos!$D$10+G867*(Supuestos!$E$10-Supuestos!$D$10),IF(Supuestos!$C$10="Lognormal",LOGINV(G867,LN(Supuestos!$D$10)-LN(1+Supuestos!$E$10^2/Supuestos!$D$10^2)/2,SQRT(LN(1+Supuestos!$E$10^2/Supuestos!$D$10^2))),Supuestos!$D$10))))))</f>
        <v/>
      </c>
      <c r="O867" s="31">
        <f>MIN(IF(Supuestos!$H$11="",1E+99,Supuestos!$H$11),MAX(IF(Supuestos!$G$11="",-1E+99,Supuestos!$G$11),IF(Supuestos!$C$11="Normal",NORMINV(H867,Supuestos!$D$11,Supuestos!$E$11),IF(Supuestos!$C$11="Triangular",IF(H867&lt;(Supuestos!$E$11-Supuestos!$D$11)/(Supuestos!$F$11-Supuestos!$D$11),Supuestos!$D$11+SQRT(H867*(Supuestos!$F$11-Supuestos!$D$11)*(Supuestos!$E$11-Supuestos!$D$11)),Supuestos!$F$11-SQRT((1-H867)*(Supuestos!$F$11-Supuestos!$D$11)*(Supuestos!$F$11-Supuestos!$E$11))),IF(Supuestos!$C$11="Uniforme",Supuestos!$D$11+H867*(Supuestos!$E$11-Supuestos!$D$11),IF(Supuestos!$C$11="Lognormal",LOGINV(H867,LN(Supuestos!$D$11)-LN(1+Supuestos!$E$11^2/Supuestos!$D$11^2)/2,SQRT(LN(1+Supuestos!$E$11^2/Supuestos!$D$11^2))),Supuestos!$D$11))))))</f>
        <v/>
      </c>
      <c r="P867" s="33">
        <f>-I867</f>
        <v/>
      </c>
      <c r="Q867" s="33">
        <f>$J867*(1+$K867)^(1-1)*(1-$L867)*(1-$M867)</f>
        <v/>
      </c>
      <c r="R867" s="33">
        <f>$J867*(1+$K867)^(2-1)*(1-$L867)*(1-$M867)</f>
        <v/>
      </c>
      <c r="S867" s="33">
        <f>$J867*(1+$K867)^(3-1)*(1-$L867)*(1-$M867)</f>
        <v/>
      </c>
      <c r="T867" s="33">
        <f>$J867*(1+$K867)^(4-1)*(1-$L867)*(1-$M867)</f>
        <v/>
      </c>
      <c r="U867" s="33">
        <f>$J867*(1+$K867)^(5-1)*(1-$L867)*(1-$M867)+$O867</f>
        <v/>
      </c>
      <c r="V867" s="33">
        <f>P867+NPV($N867,Q867:U867)</f>
        <v/>
      </c>
      <c r="W867" s="32">
        <f>IFERROR(IRR(P867:U867,0.1),"")</f>
        <v/>
      </c>
    </row>
    <row r="868">
      <c r="A868" s="14" t="n">
        <v>864</v>
      </c>
      <c r="B868" s="30">
        <f>RAND()*(1-2E-6)+1E-6</f>
        <v/>
      </c>
      <c r="C868" s="30">
        <f>RAND()*(1-2E-6)+1E-6</f>
        <v/>
      </c>
      <c r="D868" s="30">
        <f>RAND()*(1-2E-6)+1E-6</f>
        <v/>
      </c>
      <c r="E868" s="30">
        <f>RAND()*(1-2E-6)+1E-6</f>
        <v/>
      </c>
      <c r="F868" s="30">
        <f>RAND()*(1-2E-6)+1E-6</f>
        <v/>
      </c>
      <c r="G868" s="30">
        <f>RAND()*(1-2E-6)+1E-6</f>
        <v/>
      </c>
      <c r="H868" s="30">
        <f>RAND()*(1-2E-6)+1E-6</f>
        <v/>
      </c>
      <c r="I868" s="31">
        <f>MIN(IF(Supuestos!$H$5="",1E+99,Supuestos!$H$5),MAX(IF(Supuestos!$G$5="",-1E+99,Supuestos!$G$5),IF(Supuestos!$C$5="Normal",NORMINV(B868,Supuestos!$D$5,Supuestos!$E$5),IF(Supuestos!$C$5="Triangular",IF(B868&lt;(Supuestos!$E$5-Supuestos!$D$5)/(Supuestos!$F$5-Supuestos!$D$5),Supuestos!$D$5+SQRT(B868*(Supuestos!$F$5-Supuestos!$D$5)*(Supuestos!$E$5-Supuestos!$D$5)),Supuestos!$F$5-SQRT((1-B868)*(Supuestos!$F$5-Supuestos!$D$5)*(Supuestos!$F$5-Supuestos!$E$5))),IF(Supuestos!$C$5="Uniforme",Supuestos!$D$5+B868*(Supuestos!$E$5-Supuestos!$D$5),IF(Supuestos!$C$5="Lognormal",LOGINV(B868,LN(Supuestos!$D$5)-LN(1+Supuestos!$E$5^2/Supuestos!$D$5^2)/2,SQRT(LN(1+Supuestos!$E$5^2/Supuestos!$D$5^2))),Supuestos!$D$5))))))</f>
        <v/>
      </c>
      <c r="J868" s="31">
        <f>MIN(IF(Supuestos!$H$6="",1E+99,Supuestos!$H$6),MAX(IF(Supuestos!$G$6="",-1E+99,Supuestos!$G$6),IF(Supuestos!$C$6="Normal",NORMINV(C868,Supuestos!$D$6,Supuestos!$E$6),IF(Supuestos!$C$6="Triangular",IF(C868&lt;(Supuestos!$E$6-Supuestos!$D$6)/(Supuestos!$F$6-Supuestos!$D$6),Supuestos!$D$6+SQRT(C868*(Supuestos!$F$6-Supuestos!$D$6)*(Supuestos!$E$6-Supuestos!$D$6)),Supuestos!$F$6-SQRT((1-C868)*(Supuestos!$F$6-Supuestos!$D$6)*(Supuestos!$F$6-Supuestos!$E$6))),IF(Supuestos!$C$6="Uniforme",Supuestos!$D$6+C868*(Supuestos!$E$6-Supuestos!$D$6),IF(Supuestos!$C$6="Lognormal",LOGINV(C868,LN(Supuestos!$D$6)-LN(1+Supuestos!$E$6^2/Supuestos!$D$6^2)/2,SQRT(LN(1+Supuestos!$E$6^2/Supuestos!$D$6^2))),Supuestos!$D$6))))))</f>
        <v/>
      </c>
      <c r="K868" s="32">
        <f>MIN(IF(Supuestos!$H$7="",1E+99,Supuestos!$H$7),MAX(IF(Supuestos!$G$7="",-1E+99,Supuestos!$G$7),IF(Supuestos!$C$7="Normal",NORMINV(D868,Supuestos!$D$7,Supuestos!$E$7),IF(Supuestos!$C$7="Triangular",IF(D868&lt;(Supuestos!$E$7-Supuestos!$D$7)/(Supuestos!$F$7-Supuestos!$D$7),Supuestos!$D$7+SQRT(D868*(Supuestos!$F$7-Supuestos!$D$7)*(Supuestos!$E$7-Supuestos!$D$7)),Supuestos!$F$7-SQRT((1-D868)*(Supuestos!$F$7-Supuestos!$D$7)*(Supuestos!$F$7-Supuestos!$E$7))),IF(Supuestos!$C$7="Uniforme",Supuestos!$D$7+D868*(Supuestos!$E$7-Supuestos!$D$7),IF(Supuestos!$C$7="Lognormal",LOGINV(D868,LN(Supuestos!$D$7)-LN(1+Supuestos!$E$7^2/Supuestos!$D$7^2)/2,SQRT(LN(1+Supuestos!$E$7^2/Supuestos!$D$7^2))),Supuestos!$D$7))))))</f>
        <v/>
      </c>
      <c r="L868" s="32">
        <f>MIN(IF(Supuestos!$H$8="",1E+99,Supuestos!$H$8),MAX(IF(Supuestos!$G$8="",-1E+99,Supuestos!$G$8),IF(Supuestos!$C$8="Normal",NORMINV(E868,Supuestos!$D$8,Supuestos!$E$8),IF(Supuestos!$C$8="Triangular",IF(E868&lt;(Supuestos!$E$8-Supuestos!$D$8)/(Supuestos!$F$8-Supuestos!$D$8),Supuestos!$D$8+SQRT(E868*(Supuestos!$F$8-Supuestos!$D$8)*(Supuestos!$E$8-Supuestos!$D$8)),Supuestos!$F$8-SQRT((1-E868)*(Supuestos!$F$8-Supuestos!$D$8)*(Supuestos!$F$8-Supuestos!$E$8))),IF(Supuestos!$C$8="Uniforme",Supuestos!$D$8+E868*(Supuestos!$E$8-Supuestos!$D$8),IF(Supuestos!$C$8="Lognormal",LOGINV(E868,LN(Supuestos!$D$8)-LN(1+Supuestos!$E$8^2/Supuestos!$D$8^2)/2,SQRT(LN(1+Supuestos!$E$8^2/Supuestos!$D$8^2))),Supuestos!$D$8))))))</f>
        <v/>
      </c>
      <c r="M868" s="32">
        <f>MIN(IF(Supuestos!$H$9="",1E+99,Supuestos!$H$9),MAX(IF(Supuestos!$G$9="",-1E+99,Supuestos!$G$9),IF(Supuestos!$C$9="Normal",NORMINV(F868,Supuestos!$D$9,Supuestos!$E$9),IF(Supuestos!$C$9="Triangular",IF(F868&lt;(Supuestos!$E$9-Supuestos!$D$9)/(Supuestos!$F$9-Supuestos!$D$9),Supuestos!$D$9+SQRT(F868*(Supuestos!$F$9-Supuestos!$D$9)*(Supuestos!$E$9-Supuestos!$D$9)),Supuestos!$F$9-SQRT((1-F868)*(Supuestos!$F$9-Supuestos!$D$9)*(Supuestos!$F$9-Supuestos!$E$9))),IF(Supuestos!$C$9="Uniforme",Supuestos!$D$9+F868*(Supuestos!$E$9-Supuestos!$D$9),IF(Supuestos!$C$9="Lognormal",LOGINV(F868,LN(Supuestos!$D$9)-LN(1+Supuestos!$E$9^2/Supuestos!$D$9^2)/2,SQRT(LN(1+Supuestos!$E$9^2/Supuestos!$D$9^2))),Supuestos!$D$9))))))</f>
        <v/>
      </c>
      <c r="N868" s="32">
        <f>MIN(IF(Supuestos!$H$10="",1E+99,Supuestos!$H$10),MAX(IF(Supuestos!$G$10="",-1E+99,Supuestos!$G$10),IF(Supuestos!$C$10="Normal",NORMINV(G868,Supuestos!$D$10,Supuestos!$E$10),IF(Supuestos!$C$10="Triangular",IF(G868&lt;(Supuestos!$E$10-Supuestos!$D$10)/(Supuestos!$F$10-Supuestos!$D$10),Supuestos!$D$10+SQRT(G868*(Supuestos!$F$10-Supuestos!$D$10)*(Supuestos!$E$10-Supuestos!$D$10)),Supuestos!$F$10-SQRT((1-G868)*(Supuestos!$F$10-Supuestos!$D$10)*(Supuestos!$F$10-Supuestos!$E$10))),IF(Supuestos!$C$10="Uniforme",Supuestos!$D$10+G868*(Supuestos!$E$10-Supuestos!$D$10),IF(Supuestos!$C$10="Lognormal",LOGINV(G868,LN(Supuestos!$D$10)-LN(1+Supuestos!$E$10^2/Supuestos!$D$10^2)/2,SQRT(LN(1+Supuestos!$E$10^2/Supuestos!$D$10^2))),Supuestos!$D$10))))))</f>
        <v/>
      </c>
      <c r="O868" s="31">
        <f>MIN(IF(Supuestos!$H$11="",1E+99,Supuestos!$H$11),MAX(IF(Supuestos!$G$11="",-1E+99,Supuestos!$G$11),IF(Supuestos!$C$11="Normal",NORMINV(H868,Supuestos!$D$11,Supuestos!$E$11),IF(Supuestos!$C$11="Triangular",IF(H868&lt;(Supuestos!$E$11-Supuestos!$D$11)/(Supuestos!$F$11-Supuestos!$D$11),Supuestos!$D$11+SQRT(H868*(Supuestos!$F$11-Supuestos!$D$11)*(Supuestos!$E$11-Supuestos!$D$11)),Supuestos!$F$11-SQRT((1-H868)*(Supuestos!$F$11-Supuestos!$D$11)*(Supuestos!$F$11-Supuestos!$E$11))),IF(Supuestos!$C$11="Uniforme",Supuestos!$D$11+H868*(Supuestos!$E$11-Supuestos!$D$11),IF(Supuestos!$C$11="Lognormal",LOGINV(H868,LN(Supuestos!$D$11)-LN(1+Supuestos!$E$11^2/Supuestos!$D$11^2)/2,SQRT(LN(1+Supuestos!$E$11^2/Supuestos!$D$11^2))),Supuestos!$D$11))))))</f>
        <v/>
      </c>
      <c r="P868" s="33">
        <f>-I868</f>
        <v/>
      </c>
      <c r="Q868" s="33">
        <f>$J868*(1+$K868)^(1-1)*(1-$L868)*(1-$M868)</f>
        <v/>
      </c>
      <c r="R868" s="33">
        <f>$J868*(1+$K868)^(2-1)*(1-$L868)*(1-$M868)</f>
        <v/>
      </c>
      <c r="S868" s="33">
        <f>$J868*(1+$K868)^(3-1)*(1-$L868)*(1-$M868)</f>
        <v/>
      </c>
      <c r="T868" s="33">
        <f>$J868*(1+$K868)^(4-1)*(1-$L868)*(1-$M868)</f>
        <v/>
      </c>
      <c r="U868" s="33">
        <f>$J868*(1+$K868)^(5-1)*(1-$L868)*(1-$M868)+$O868</f>
        <v/>
      </c>
      <c r="V868" s="33">
        <f>P868+NPV($N868,Q868:U868)</f>
        <v/>
      </c>
      <c r="W868" s="32">
        <f>IFERROR(IRR(P868:U868,0.1),"")</f>
        <v/>
      </c>
    </row>
    <row r="869">
      <c r="A869" s="14" t="n">
        <v>865</v>
      </c>
      <c r="B869" s="30">
        <f>RAND()*(1-2E-6)+1E-6</f>
        <v/>
      </c>
      <c r="C869" s="30">
        <f>RAND()*(1-2E-6)+1E-6</f>
        <v/>
      </c>
      <c r="D869" s="30">
        <f>RAND()*(1-2E-6)+1E-6</f>
        <v/>
      </c>
      <c r="E869" s="30">
        <f>RAND()*(1-2E-6)+1E-6</f>
        <v/>
      </c>
      <c r="F869" s="30">
        <f>RAND()*(1-2E-6)+1E-6</f>
        <v/>
      </c>
      <c r="G869" s="30">
        <f>RAND()*(1-2E-6)+1E-6</f>
        <v/>
      </c>
      <c r="H869" s="30">
        <f>RAND()*(1-2E-6)+1E-6</f>
        <v/>
      </c>
      <c r="I869" s="31">
        <f>MIN(IF(Supuestos!$H$5="",1E+99,Supuestos!$H$5),MAX(IF(Supuestos!$G$5="",-1E+99,Supuestos!$G$5),IF(Supuestos!$C$5="Normal",NORMINV(B869,Supuestos!$D$5,Supuestos!$E$5),IF(Supuestos!$C$5="Triangular",IF(B869&lt;(Supuestos!$E$5-Supuestos!$D$5)/(Supuestos!$F$5-Supuestos!$D$5),Supuestos!$D$5+SQRT(B869*(Supuestos!$F$5-Supuestos!$D$5)*(Supuestos!$E$5-Supuestos!$D$5)),Supuestos!$F$5-SQRT((1-B869)*(Supuestos!$F$5-Supuestos!$D$5)*(Supuestos!$F$5-Supuestos!$E$5))),IF(Supuestos!$C$5="Uniforme",Supuestos!$D$5+B869*(Supuestos!$E$5-Supuestos!$D$5),IF(Supuestos!$C$5="Lognormal",LOGINV(B869,LN(Supuestos!$D$5)-LN(1+Supuestos!$E$5^2/Supuestos!$D$5^2)/2,SQRT(LN(1+Supuestos!$E$5^2/Supuestos!$D$5^2))),Supuestos!$D$5))))))</f>
        <v/>
      </c>
      <c r="J869" s="31">
        <f>MIN(IF(Supuestos!$H$6="",1E+99,Supuestos!$H$6),MAX(IF(Supuestos!$G$6="",-1E+99,Supuestos!$G$6),IF(Supuestos!$C$6="Normal",NORMINV(C869,Supuestos!$D$6,Supuestos!$E$6),IF(Supuestos!$C$6="Triangular",IF(C869&lt;(Supuestos!$E$6-Supuestos!$D$6)/(Supuestos!$F$6-Supuestos!$D$6),Supuestos!$D$6+SQRT(C869*(Supuestos!$F$6-Supuestos!$D$6)*(Supuestos!$E$6-Supuestos!$D$6)),Supuestos!$F$6-SQRT((1-C869)*(Supuestos!$F$6-Supuestos!$D$6)*(Supuestos!$F$6-Supuestos!$E$6))),IF(Supuestos!$C$6="Uniforme",Supuestos!$D$6+C869*(Supuestos!$E$6-Supuestos!$D$6),IF(Supuestos!$C$6="Lognormal",LOGINV(C869,LN(Supuestos!$D$6)-LN(1+Supuestos!$E$6^2/Supuestos!$D$6^2)/2,SQRT(LN(1+Supuestos!$E$6^2/Supuestos!$D$6^2))),Supuestos!$D$6))))))</f>
        <v/>
      </c>
      <c r="K869" s="32">
        <f>MIN(IF(Supuestos!$H$7="",1E+99,Supuestos!$H$7),MAX(IF(Supuestos!$G$7="",-1E+99,Supuestos!$G$7),IF(Supuestos!$C$7="Normal",NORMINV(D869,Supuestos!$D$7,Supuestos!$E$7),IF(Supuestos!$C$7="Triangular",IF(D869&lt;(Supuestos!$E$7-Supuestos!$D$7)/(Supuestos!$F$7-Supuestos!$D$7),Supuestos!$D$7+SQRT(D869*(Supuestos!$F$7-Supuestos!$D$7)*(Supuestos!$E$7-Supuestos!$D$7)),Supuestos!$F$7-SQRT((1-D869)*(Supuestos!$F$7-Supuestos!$D$7)*(Supuestos!$F$7-Supuestos!$E$7))),IF(Supuestos!$C$7="Uniforme",Supuestos!$D$7+D869*(Supuestos!$E$7-Supuestos!$D$7),IF(Supuestos!$C$7="Lognormal",LOGINV(D869,LN(Supuestos!$D$7)-LN(1+Supuestos!$E$7^2/Supuestos!$D$7^2)/2,SQRT(LN(1+Supuestos!$E$7^2/Supuestos!$D$7^2))),Supuestos!$D$7))))))</f>
        <v/>
      </c>
      <c r="L869" s="32">
        <f>MIN(IF(Supuestos!$H$8="",1E+99,Supuestos!$H$8),MAX(IF(Supuestos!$G$8="",-1E+99,Supuestos!$G$8),IF(Supuestos!$C$8="Normal",NORMINV(E869,Supuestos!$D$8,Supuestos!$E$8),IF(Supuestos!$C$8="Triangular",IF(E869&lt;(Supuestos!$E$8-Supuestos!$D$8)/(Supuestos!$F$8-Supuestos!$D$8),Supuestos!$D$8+SQRT(E869*(Supuestos!$F$8-Supuestos!$D$8)*(Supuestos!$E$8-Supuestos!$D$8)),Supuestos!$F$8-SQRT((1-E869)*(Supuestos!$F$8-Supuestos!$D$8)*(Supuestos!$F$8-Supuestos!$E$8))),IF(Supuestos!$C$8="Uniforme",Supuestos!$D$8+E869*(Supuestos!$E$8-Supuestos!$D$8),IF(Supuestos!$C$8="Lognormal",LOGINV(E869,LN(Supuestos!$D$8)-LN(1+Supuestos!$E$8^2/Supuestos!$D$8^2)/2,SQRT(LN(1+Supuestos!$E$8^2/Supuestos!$D$8^2))),Supuestos!$D$8))))))</f>
        <v/>
      </c>
      <c r="M869" s="32">
        <f>MIN(IF(Supuestos!$H$9="",1E+99,Supuestos!$H$9),MAX(IF(Supuestos!$G$9="",-1E+99,Supuestos!$G$9),IF(Supuestos!$C$9="Normal",NORMINV(F869,Supuestos!$D$9,Supuestos!$E$9),IF(Supuestos!$C$9="Triangular",IF(F869&lt;(Supuestos!$E$9-Supuestos!$D$9)/(Supuestos!$F$9-Supuestos!$D$9),Supuestos!$D$9+SQRT(F869*(Supuestos!$F$9-Supuestos!$D$9)*(Supuestos!$E$9-Supuestos!$D$9)),Supuestos!$F$9-SQRT((1-F869)*(Supuestos!$F$9-Supuestos!$D$9)*(Supuestos!$F$9-Supuestos!$E$9))),IF(Supuestos!$C$9="Uniforme",Supuestos!$D$9+F869*(Supuestos!$E$9-Supuestos!$D$9),IF(Supuestos!$C$9="Lognormal",LOGINV(F869,LN(Supuestos!$D$9)-LN(1+Supuestos!$E$9^2/Supuestos!$D$9^2)/2,SQRT(LN(1+Supuestos!$E$9^2/Supuestos!$D$9^2))),Supuestos!$D$9))))))</f>
        <v/>
      </c>
      <c r="N869" s="32">
        <f>MIN(IF(Supuestos!$H$10="",1E+99,Supuestos!$H$10),MAX(IF(Supuestos!$G$10="",-1E+99,Supuestos!$G$10),IF(Supuestos!$C$10="Normal",NORMINV(G869,Supuestos!$D$10,Supuestos!$E$10),IF(Supuestos!$C$10="Triangular",IF(G869&lt;(Supuestos!$E$10-Supuestos!$D$10)/(Supuestos!$F$10-Supuestos!$D$10),Supuestos!$D$10+SQRT(G869*(Supuestos!$F$10-Supuestos!$D$10)*(Supuestos!$E$10-Supuestos!$D$10)),Supuestos!$F$10-SQRT((1-G869)*(Supuestos!$F$10-Supuestos!$D$10)*(Supuestos!$F$10-Supuestos!$E$10))),IF(Supuestos!$C$10="Uniforme",Supuestos!$D$10+G869*(Supuestos!$E$10-Supuestos!$D$10),IF(Supuestos!$C$10="Lognormal",LOGINV(G869,LN(Supuestos!$D$10)-LN(1+Supuestos!$E$10^2/Supuestos!$D$10^2)/2,SQRT(LN(1+Supuestos!$E$10^2/Supuestos!$D$10^2))),Supuestos!$D$10))))))</f>
        <v/>
      </c>
      <c r="O869" s="31">
        <f>MIN(IF(Supuestos!$H$11="",1E+99,Supuestos!$H$11),MAX(IF(Supuestos!$G$11="",-1E+99,Supuestos!$G$11),IF(Supuestos!$C$11="Normal",NORMINV(H869,Supuestos!$D$11,Supuestos!$E$11),IF(Supuestos!$C$11="Triangular",IF(H869&lt;(Supuestos!$E$11-Supuestos!$D$11)/(Supuestos!$F$11-Supuestos!$D$11),Supuestos!$D$11+SQRT(H869*(Supuestos!$F$11-Supuestos!$D$11)*(Supuestos!$E$11-Supuestos!$D$11)),Supuestos!$F$11-SQRT((1-H869)*(Supuestos!$F$11-Supuestos!$D$11)*(Supuestos!$F$11-Supuestos!$E$11))),IF(Supuestos!$C$11="Uniforme",Supuestos!$D$11+H869*(Supuestos!$E$11-Supuestos!$D$11),IF(Supuestos!$C$11="Lognormal",LOGINV(H869,LN(Supuestos!$D$11)-LN(1+Supuestos!$E$11^2/Supuestos!$D$11^2)/2,SQRT(LN(1+Supuestos!$E$11^2/Supuestos!$D$11^2))),Supuestos!$D$11))))))</f>
        <v/>
      </c>
      <c r="P869" s="33">
        <f>-I869</f>
        <v/>
      </c>
      <c r="Q869" s="33">
        <f>$J869*(1+$K869)^(1-1)*(1-$L869)*(1-$M869)</f>
        <v/>
      </c>
      <c r="R869" s="33">
        <f>$J869*(1+$K869)^(2-1)*(1-$L869)*(1-$M869)</f>
        <v/>
      </c>
      <c r="S869" s="33">
        <f>$J869*(1+$K869)^(3-1)*(1-$L869)*(1-$M869)</f>
        <v/>
      </c>
      <c r="T869" s="33">
        <f>$J869*(1+$K869)^(4-1)*(1-$L869)*(1-$M869)</f>
        <v/>
      </c>
      <c r="U869" s="33">
        <f>$J869*(1+$K869)^(5-1)*(1-$L869)*(1-$M869)+$O869</f>
        <v/>
      </c>
      <c r="V869" s="33">
        <f>P869+NPV($N869,Q869:U869)</f>
        <v/>
      </c>
      <c r="W869" s="32">
        <f>IFERROR(IRR(P869:U869,0.1),"")</f>
        <v/>
      </c>
    </row>
    <row r="870">
      <c r="A870" s="14" t="n">
        <v>866</v>
      </c>
      <c r="B870" s="30">
        <f>RAND()*(1-2E-6)+1E-6</f>
        <v/>
      </c>
      <c r="C870" s="30">
        <f>RAND()*(1-2E-6)+1E-6</f>
        <v/>
      </c>
      <c r="D870" s="30">
        <f>RAND()*(1-2E-6)+1E-6</f>
        <v/>
      </c>
      <c r="E870" s="30">
        <f>RAND()*(1-2E-6)+1E-6</f>
        <v/>
      </c>
      <c r="F870" s="30">
        <f>RAND()*(1-2E-6)+1E-6</f>
        <v/>
      </c>
      <c r="G870" s="30">
        <f>RAND()*(1-2E-6)+1E-6</f>
        <v/>
      </c>
      <c r="H870" s="30">
        <f>RAND()*(1-2E-6)+1E-6</f>
        <v/>
      </c>
      <c r="I870" s="31">
        <f>MIN(IF(Supuestos!$H$5="",1E+99,Supuestos!$H$5),MAX(IF(Supuestos!$G$5="",-1E+99,Supuestos!$G$5),IF(Supuestos!$C$5="Normal",NORMINV(B870,Supuestos!$D$5,Supuestos!$E$5),IF(Supuestos!$C$5="Triangular",IF(B870&lt;(Supuestos!$E$5-Supuestos!$D$5)/(Supuestos!$F$5-Supuestos!$D$5),Supuestos!$D$5+SQRT(B870*(Supuestos!$F$5-Supuestos!$D$5)*(Supuestos!$E$5-Supuestos!$D$5)),Supuestos!$F$5-SQRT((1-B870)*(Supuestos!$F$5-Supuestos!$D$5)*(Supuestos!$F$5-Supuestos!$E$5))),IF(Supuestos!$C$5="Uniforme",Supuestos!$D$5+B870*(Supuestos!$E$5-Supuestos!$D$5),IF(Supuestos!$C$5="Lognormal",LOGINV(B870,LN(Supuestos!$D$5)-LN(1+Supuestos!$E$5^2/Supuestos!$D$5^2)/2,SQRT(LN(1+Supuestos!$E$5^2/Supuestos!$D$5^2))),Supuestos!$D$5))))))</f>
        <v/>
      </c>
      <c r="J870" s="31">
        <f>MIN(IF(Supuestos!$H$6="",1E+99,Supuestos!$H$6),MAX(IF(Supuestos!$G$6="",-1E+99,Supuestos!$G$6),IF(Supuestos!$C$6="Normal",NORMINV(C870,Supuestos!$D$6,Supuestos!$E$6),IF(Supuestos!$C$6="Triangular",IF(C870&lt;(Supuestos!$E$6-Supuestos!$D$6)/(Supuestos!$F$6-Supuestos!$D$6),Supuestos!$D$6+SQRT(C870*(Supuestos!$F$6-Supuestos!$D$6)*(Supuestos!$E$6-Supuestos!$D$6)),Supuestos!$F$6-SQRT((1-C870)*(Supuestos!$F$6-Supuestos!$D$6)*(Supuestos!$F$6-Supuestos!$E$6))),IF(Supuestos!$C$6="Uniforme",Supuestos!$D$6+C870*(Supuestos!$E$6-Supuestos!$D$6),IF(Supuestos!$C$6="Lognormal",LOGINV(C870,LN(Supuestos!$D$6)-LN(1+Supuestos!$E$6^2/Supuestos!$D$6^2)/2,SQRT(LN(1+Supuestos!$E$6^2/Supuestos!$D$6^2))),Supuestos!$D$6))))))</f>
        <v/>
      </c>
      <c r="K870" s="32">
        <f>MIN(IF(Supuestos!$H$7="",1E+99,Supuestos!$H$7),MAX(IF(Supuestos!$G$7="",-1E+99,Supuestos!$G$7),IF(Supuestos!$C$7="Normal",NORMINV(D870,Supuestos!$D$7,Supuestos!$E$7),IF(Supuestos!$C$7="Triangular",IF(D870&lt;(Supuestos!$E$7-Supuestos!$D$7)/(Supuestos!$F$7-Supuestos!$D$7),Supuestos!$D$7+SQRT(D870*(Supuestos!$F$7-Supuestos!$D$7)*(Supuestos!$E$7-Supuestos!$D$7)),Supuestos!$F$7-SQRT((1-D870)*(Supuestos!$F$7-Supuestos!$D$7)*(Supuestos!$F$7-Supuestos!$E$7))),IF(Supuestos!$C$7="Uniforme",Supuestos!$D$7+D870*(Supuestos!$E$7-Supuestos!$D$7),IF(Supuestos!$C$7="Lognormal",LOGINV(D870,LN(Supuestos!$D$7)-LN(1+Supuestos!$E$7^2/Supuestos!$D$7^2)/2,SQRT(LN(1+Supuestos!$E$7^2/Supuestos!$D$7^2))),Supuestos!$D$7))))))</f>
        <v/>
      </c>
      <c r="L870" s="32">
        <f>MIN(IF(Supuestos!$H$8="",1E+99,Supuestos!$H$8),MAX(IF(Supuestos!$G$8="",-1E+99,Supuestos!$G$8),IF(Supuestos!$C$8="Normal",NORMINV(E870,Supuestos!$D$8,Supuestos!$E$8),IF(Supuestos!$C$8="Triangular",IF(E870&lt;(Supuestos!$E$8-Supuestos!$D$8)/(Supuestos!$F$8-Supuestos!$D$8),Supuestos!$D$8+SQRT(E870*(Supuestos!$F$8-Supuestos!$D$8)*(Supuestos!$E$8-Supuestos!$D$8)),Supuestos!$F$8-SQRT((1-E870)*(Supuestos!$F$8-Supuestos!$D$8)*(Supuestos!$F$8-Supuestos!$E$8))),IF(Supuestos!$C$8="Uniforme",Supuestos!$D$8+E870*(Supuestos!$E$8-Supuestos!$D$8),IF(Supuestos!$C$8="Lognormal",LOGINV(E870,LN(Supuestos!$D$8)-LN(1+Supuestos!$E$8^2/Supuestos!$D$8^2)/2,SQRT(LN(1+Supuestos!$E$8^2/Supuestos!$D$8^2))),Supuestos!$D$8))))))</f>
        <v/>
      </c>
      <c r="M870" s="32">
        <f>MIN(IF(Supuestos!$H$9="",1E+99,Supuestos!$H$9),MAX(IF(Supuestos!$G$9="",-1E+99,Supuestos!$G$9),IF(Supuestos!$C$9="Normal",NORMINV(F870,Supuestos!$D$9,Supuestos!$E$9),IF(Supuestos!$C$9="Triangular",IF(F870&lt;(Supuestos!$E$9-Supuestos!$D$9)/(Supuestos!$F$9-Supuestos!$D$9),Supuestos!$D$9+SQRT(F870*(Supuestos!$F$9-Supuestos!$D$9)*(Supuestos!$E$9-Supuestos!$D$9)),Supuestos!$F$9-SQRT((1-F870)*(Supuestos!$F$9-Supuestos!$D$9)*(Supuestos!$F$9-Supuestos!$E$9))),IF(Supuestos!$C$9="Uniforme",Supuestos!$D$9+F870*(Supuestos!$E$9-Supuestos!$D$9),IF(Supuestos!$C$9="Lognormal",LOGINV(F870,LN(Supuestos!$D$9)-LN(1+Supuestos!$E$9^2/Supuestos!$D$9^2)/2,SQRT(LN(1+Supuestos!$E$9^2/Supuestos!$D$9^2))),Supuestos!$D$9))))))</f>
        <v/>
      </c>
      <c r="N870" s="32">
        <f>MIN(IF(Supuestos!$H$10="",1E+99,Supuestos!$H$10),MAX(IF(Supuestos!$G$10="",-1E+99,Supuestos!$G$10),IF(Supuestos!$C$10="Normal",NORMINV(G870,Supuestos!$D$10,Supuestos!$E$10),IF(Supuestos!$C$10="Triangular",IF(G870&lt;(Supuestos!$E$10-Supuestos!$D$10)/(Supuestos!$F$10-Supuestos!$D$10),Supuestos!$D$10+SQRT(G870*(Supuestos!$F$10-Supuestos!$D$10)*(Supuestos!$E$10-Supuestos!$D$10)),Supuestos!$F$10-SQRT((1-G870)*(Supuestos!$F$10-Supuestos!$D$10)*(Supuestos!$F$10-Supuestos!$E$10))),IF(Supuestos!$C$10="Uniforme",Supuestos!$D$10+G870*(Supuestos!$E$10-Supuestos!$D$10),IF(Supuestos!$C$10="Lognormal",LOGINV(G870,LN(Supuestos!$D$10)-LN(1+Supuestos!$E$10^2/Supuestos!$D$10^2)/2,SQRT(LN(1+Supuestos!$E$10^2/Supuestos!$D$10^2))),Supuestos!$D$10))))))</f>
        <v/>
      </c>
      <c r="O870" s="31">
        <f>MIN(IF(Supuestos!$H$11="",1E+99,Supuestos!$H$11),MAX(IF(Supuestos!$G$11="",-1E+99,Supuestos!$G$11),IF(Supuestos!$C$11="Normal",NORMINV(H870,Supuestos!$D$11,Supuestos!$E$11),IF(Supuestos!$C$11="Triangular",IF(H870&lt;(Supuestos!$E$11-Supuestos!$D$11)/(Supuestos!$F$11-Supuestos!$D$11),Supuestos!$D$11+SQRT(H870*(Supuestos!$F$11-Supuestos!$D$11)*(Supuestos!$E$11-Supuestos!$D$11)),Supuestos!$F$11-SQRT((1-H870)*(Supuestos!$F$11-Supuestos!$D$11)*(Supuestos!$F$11-Supuestos!$E$11))),IF(Supuestos!$C$11="Uniforme",Supuestos!$D$11+H870*(Supuestos!$E$11-Supuestos!$D$11),IF(Supuestos!$C$11="Lognormal",LOGINV(H870,LN(Supuestos!$D$11)-LN(1+Supuestos!$E$11^2/Supuestos!$D$11^2)/2,SQRT(LN(1+Supuestos!$E$11^2/Supuestos!$D$11^2))),Supuestos!$D$11))))))</f>
        <v/>
      </c>
      <c r="P870" s="33">
        <f>-I870</f>
        <v/>
      </c>
      <c r="Q870" s="33">
        <f>$J870*(1+$K870)^(1-1)*(1-$L870)*(1-$M870)</f>
        <v/>
      </c>
      <c r="R870" s="33">
        <f>$J870*(1+$K870)^(2-1)*(1-$L870)*(1-$M870)</f>
        <v/>
      </c>
      <c r="S870" s="33">
        <f>$J870*(1+$K870)^(3-1)*(1-$L870)*(1-$M870)</f>
        <v/>
      </c>
      <c r="T870" s="33">
        <f>$J870*(1+$K870)^(4-1)*(1-$L870)*(1-$M870)</f>
        <v/>
      </c>
      <c r="U870" s="33">
        <f>$J870*(1+$K870)^(5-1)*(1-$L870)*(1-$M870)+$O870</f>
        <v/>
      </c>
      <c r="V870" s="33">
        <f>P870+NPV($N870,Q870:U870)</f>
        <v/>
      </c>
      <c r="W870" s="32">
        <f>IFERROR(IRR(P870:U870,0.1),"")</f>
        <v/>
      </c>
    </row>
    <row r="871">
      <c r="A871" s="14" t="n">
        <v>867</v>
      </c>
      <c r="B871" s="30">
        <f>RAND()*(1-2E-6)+1E-6</f>
        <v/>
      </c>
      <c r="C871" s="30">
        <f>RAND()*(1-2E-6)+1E-6</f>
        <v/>
      </c>
      <c r="D871" s="30">
        <f>RAND()*(1-2E-6)+1E-6</f>
        <v/>
      </c>
      <c r="E871" s="30">
        <f>RAND()*(1-2E-6)+1E-6</f>
        <v/>
      </c>
      <c r="F871" s="30">
        <f>RAND()*(1-2E-6)+1E-6</f>
        <v/>
      </c>
      <c r="G871" s="30">
        <f>RAND()*(1-2E-6)+1E-6</f>
        <v/>
      </c>
      <c r="H871" s="30">
        <f>RAND()*(1-2E-6)+1E-6</f>
        <v/>
      </c>
      <c r="I871" s="31">
        <f>MIN(IF(Supuestos!$H$5="",1E+99,Supuestos!$H$5),MAX(IF(Supuestos!$G$5="",-1E+99,Supuestos!$G$5),IF(Supuestos!$C$5="Normal",NORMINV(B871,Supuestos!$D$5,Supuestos!$E$5),IF(Supuestos!$C$5="Triangular",IF(B871&lt;(Supuestos!$E$5-Supuestos!$D$5)/(Supuestos!$F$5-Supuestos!$D$5),Supuestos!$D$5+SQRT(B871*(Supuestos!$F$5-Supuestos!$D$5)*(Supuestos!$E$5-Supuestos!$D$5)),Supuestos!$F$5-SQRT((1-B871)*(Supuestos!$F$5-Supuestos!$D$5)*(Supuestos!$F$5-Supuestos!$E$5))),IF(Supuestos!$C$5="Uniforme",Supuestos!$D$5+B871*(Supuestos!$E$5-Supuestos!$D$5),IF(Supuestos!$C$5="Lognormal",LOGINV(B871,LN(Supuestos!$D$5)-LN(1+Supuestos!$E$5^2/Supuestos!$D$5^2)/2,SQRT(LN(1+Supuestos!$E$5^2/Supuestos!$D$5^2))),Supuestos!$D$5))))))</f>
        <v/>
      </c>
      <c r="J871" s="31">
        <f>MIN(IF(Supuestos!$H$6="",1E+99,Supuestos!$H$6),MAX(IF(Supuestos!$G$6="",-1E+99,Supuestos!$G$6),IF(Supuestos!$C$6="Normal",NORMINV(C871,Supuestos!$D$6,Supuestos!$E$6),IF(Supuestos!$C$6="Triangular",IF(C871&lt;(Supuestos!$E$6-Supuestos!$D$6)/(Supuestos!$F$6-Supuestos!$D$6),Supuestos!$D$6+SQRT(C871*(Supuestos!$F$6-Supuestos!$D$6)*(Supuestos!$E$6-Supuestos!$D$6)),Supuestos!$F$6-SQRT((1-C871)*(Supuestos!$F$6-Supuestos!$D$6)*(Supuestos!$F$6-Supuestos!$E$6))),IF(Supuestos!$C$6="Uniforme",Supuestos!$D$6+C871*(Supuestos!$E$6-Supuestos!$D$6),IF(Supuestos!$C$6="Lognormal",LOGINV(C871,LN(Supuestos!$D$6)-LN(1+Supuestos!$E$6^2/Supuestos!$D$6^2)/2,SQRT(LN(1+Supuestos!$E$6^2/Supuestos!$D$6^2))),Supuestos!$D$6))))))</f>
        <v/>
      </c>
      <c r="K871" s="32">
        <f>MIN(IF(Supuestos!$H$7="",1E+99,Supuestos!$H$7),MAX(IF(Supuestos!$G$7="",-1E+99,Supuestos!$G$7),IF(Supuestos!$C$7="Normal",NORMINV(D871,Supuestos!$D$7,Supuestos!$E$7),IF(Supuestos!$C$7="Triangular",IF(D871&lt;(Supuestos!$E$7-Supuestos!$D$7)/(Supuestos!$F$7-Supuestos!$D$7),Supuestos!$D$7+SQRT(D871*(Supuestos!$F$7-Supuestos!$D$7)*(Supuestos!$E$7-Supuestos!$D$7)),Supuestos!$F$7-SQRT((1-D871)*(Supuestos!$F$7-Supuestos!$D$7)*(Supuestos!$F$7-Supuestos!$E$7))),IF(Supuestos!$C$7="Uniforme",Supuestos!$D$7+D871*(Supuestos!$E$7-Supuestos!$D$7),IF(Supuestos!$C$7="Lognormal",LOGINV(D871,LN(Supuestos!$D$7)-LN(1+Supuestos!$E$7^2/Supuestos!$D$7^2)/2,SQRT(LN(1+Supuestos!$E$7^2/Supuestos!$D$7^2))),Supuestos!$D$7))))))</f>
        <v/>
      </c>
      <c r="L871" s="32">
        <f>MIN(IF(Supuestos!$H$8="",1E+99,Supuestos!$H$8),MAX(IF(Supuestos!$G$8="",-1E+99,Supuestos!$G$8),IF(Supuestos!$C$8="Normal",NORMINV(E871,Supuestos!$D$8,Supuestos!$E$8),IF(Supuestos!$C$8="Triangular",IF(E871&lt;(Supuestos!$E$8-Supuestos!$D$8)/(Supuestos!$F$8-Supuestos!$D$8),Supuestos!$D$8+SQRT(E871*(Supuestos!$F$8-Supuestos!$D$8)*(Supuestos!$E$8-Supuestos!$D$8)),Supuestos!$F$8-SQRT((1-E871)*(Supuestos!$F$8-Supuestos!$D$8)*(Supuestos!$F$8-Supuestos!$E$8))),IF(Supuestos!$C$8="Uniforme",Supuestos!$D$8+E871*(Supuestos!$E$8-Supuestos!$D$8),IF(Supuestos!$C$8="Lognormal",LOGINV(E871,LN(Supuestos!$D$8)-LN(1+Supuestos!$E$8^2/Supuestos!$D$8^2)/2,SQRT(LN(1+Supuestos!$E$8^2/Supuestos!$D$8^2))),Supuestos!$D$8))))))</f>
        <v/>
      </c>
      <c r="M871" s="32">
        <f>MIN(IF(Supuestos!$H$9="",1E+99,Supuestos!$H$9),MAX(IF(Supuestos!$G$9="",-1E+99,Supuestos!$G$9),IF(Supuestos!$C$9="Normal",NORMINV(F871,Supuestos!$D$9,Supuestos!$E$9),IF(Supuestos!$C$9="Triangular",IF(F871&lt;(Supuestos!$E$9-Supuestos!$D$9)/(Supuestos!$F$9-Supuestos!$D$9),Supuestos!$D$9+SQRT(F871*(Supuestos!$F$9-Supuestos!$D$9)*(Supuestos!$E$9-Supuestos!$D$9)),Supuestos!$F$9-SQRT((1-F871)*(Supuestos!$F$9-Supuestos!$D$9)*(Supuestos!$F$9-Supuestos!$E$9))),IF(Supuestos!$C$9="Uniforme",Supuestos!$D$9+F871*(Supuestos!$E$9-Supuestos!$D$9),IF(Supuestos!$C$9="Lognormal",LOGINV(F871,LN(Supuestos!$D$9)-LN(1+Supuestos!$E$9^2/Supuestos!$D$9^2)/2,SQRT(LN(1+Supuestos!$E$9^2/Supuestos!$D$9^2))),Supuestos!$D$9))))))</f>
        <v/>
      </c>
      <c r="N871" s="32">
        <f>MIN(IF(Supuestos!$H$10="",1E+99,Supuestos!$H$10),MAX(IF(Supuestos!$G$10="",-1E+99,Supuestos!$G$10),IF(Supuestos!$C$10="Normal",NORMINV(G871,Supuestos!$D$10,Supuestos!$E$10),IF(Supuestos!$C$10="Triangular",IF(G871&lt;(Supuestos!$E$10-Supuestos!$D$10)/(Supuestos!$F$10-Supuestos!$D$10),Supuestos!$D$10+SQRT(G871*(Supuestos!$F$10-Supuestos!$D$10)*(Supuestos!$E$10-Supuestos!$D$10)),Supuestos!$F$10-SQRT((1-G871)*(Supuestos!$F$10-Supuestos!$D$10)*(Supuestos!$F$10-Supuestos!$E$10))),IF(Supuestos!$C$10="Uniforme",Supuestos!$D$10+G871*(Supuestos!$E$10-Supuestos!$D$10),IF(Supuestos!$C$10="Lognormal",LOGINV(G871,LN(Supuestos!$D$10)-LN(1+Supuestos!$E$10^2/Supuestos!$D$10^2)/2,SQRT(LN(1+Supuestos!$E$10^2/Supuestos!$D$10^2))),Supuestos!$D$10))))))</f>
        <v/>
      </c>
      <c r="O871" s="31">
        <f>MIN(IF(Supuestos!$H$11="",1E+99,Supuestos!$H$11),MAX(IF(Supuestos!$G$11="",-1E+99,Supuestos!$G$11),IF(Supuestos!$C$11="Normal",NORMINV(H871,Supuestos!$D$11,Supuestos!$E$11),IF(Supuestos!$C$11="Triangular",IF(H871&lt;(Supuestos!$E$11-Supuestos!$D$11)/(Supuestos!$F$11-Supuestos!$D$11),Supuestos!$D$11+SQRT(H871*(Supuestos!$F$11-Supuestos!$D$11)*(Supuestos!$E$11-Supuestos!$D$11)),Supuestos!$F$11-SQRT((1-H871)*(Supuestos!$F$11-Supuestos!$D$11)*(Supuestos!$F$11-Supuestos!$E$11))),IF(Supuestos!$C$11="Uniforme",Supuestos!$D$11+H871*(Supuestos!$E$11-Supuestos!$D$11),IF(Supuestos!$C$11="Lognormal",LOGINV(H871,LN(Supuestos!$D$11)-LN(1+Supuestos!$E$11^2/Supuestos!$D$11^2)/2,SQRT(LN(1+Supuestos!$E$11^2/Supuestos!$D$11^2))),Supuestos!$D$11))))))</f>
        <v/>
      </c>
      <c r="P871" s="33">
        <f>-I871</f>
        <v/>
      </c>
      <c r="Q871" s="33">
        <f>$J871*(1+$K871)^(1-1)*(1-$L871)*(1-$M871)</f>
        <v/>
      </c>
      <c r="R871" s="33">
        <f>$J871*(1+$K871)^(2-1)*(1-$L871)*(1-$M871)</f>
        <v/>
      </c>
      <c r="S871" s="33">
        <f>$J871*(1+$K871)^(3-1)*(1-$L871)*(1-$M871)</f>
        <v/>
      </c>
      <c r="T871" s="33">
        <f>$J871*(1+$K871)^(4-1)*(1-$L871)*(1-$M871)</f>
        <v/>
      </c>
      <c r="U871" s="33">
        <f>$J871*(1+$K871)^(5-1)*(1-$L871)*(1-$M871)+$O871</f>
        <v/>
      </c>
      <c r="V871" s="33">
        <f>P871+NPV($N871,Q871:U871)</f>
        <v/>
      </c>
      <c r="W871" s="32">
        <f>IFERROR(IRR(P871:U871,0.1),"")</f>
        <v/>
      </c>
    </row>
    <row r="872">
      <c r="A872" s="14" t="n">
        <v>868</v>
      </c>
      <c r="B872" s="30">
        <f>RAND()*(1-2E-6)+1E-6</f>
        <v/>
      </c>
      <c r="C872" s="30">
        <f>RAND()*(1-2E-6)+1E-6</f>
        <v/>
      </c>
      <c r="D872" s="30">
        <f>RAND()*(1-2E-6)+1E-6</f>
        <v/>
      </c>
      <c r="E872" s="30">
        <f>RAND()*(1-2E-6)+1E-6</f>
        <v/>
      </c>
      <c r="F872" s="30">
        <f>RAND()*(1-2E-6)+1E-6</f>
        <v/>
      </c>
      <c r="G872" s="30">
        <f>RAND()*(1-2E-6)+1E-6</f>
        <v/>
      </c>
      <c r="H872" s="30">
        <f>RAND()*(1-2E-6)+1E-6</f>
        <v/>
      </c>
      <c r="I872" s="31">
        <f>MIN(IF(Supuestos!$H$5="",1E+99,Supuestos!$H$5),MAX(IF(Supuestos!$G$5="",-1E+99,Supuestos!$G$5),IF(Supuestos!$C$5="Normal",NORMINV(B872,Supuestos!$D$5,Supuestos!$E$5),IF(Supuestos!$C$5="Triangular",IF(B872&lt;(Supuestos!$E$5-Supuestos!$D$5)/(Supuestos!$F$5-Supuestos!$D$5),Supuestos!$D$5+SQRT(B872*(Supuestos!$F$5-Supuestos!$D$5)*(Supuestos!$E$5-Supuestos!$D$5)),Supuestos!$F$5-SQRT((1-B872)*(Supuestos!$F$5-Supuestos!$D$5)*(Supuestos!$F$5-Supuestos!$E$5))),IF(Supuestos!$C$5="Uniforme",Supuestos!$D$5+B872*(Supuestos!$E$5-Supuestos!$D$5),IF(Supuestos!$C$5="Lognormal",LOGINV(B872,LN(Supuestos!$D$5)-LN(1+Supuestos!$E$5^2/Supuestos!$D$5^2)/2,SQRT(LN(1+Supuestos!$E$5^2/Supuestos!$D$5^2))),Supuestos!$D$5))))))</f>
        <v/>
      </c>
      <c r="J872" s="31">
        <f>MIN(IF(Supuestos!$H$6="",1E+99,Supuestos!$H$6),MAX(IF(Supuestos!$G$6="",-1E+99,Supuestos!$G$6),IF(Supuestos!$C$6="Normal",NORMINV(C872,Supuestos!$D$6,Supuestos!$E$6),IF(Supuestos!$C$6="Triangular",IF(C872&lt;(Supuestos!$E$6-Supuestos!$D$6)/(Supuestos!$F$6-Supuestos!$D$6),Supuestos!$D$6+SQRT(C872*(Supuestos!$F$6-Supuestos!$D$6)*(Supuestos!$E$6-Supuestos!$D$6)),Supuestos!$F$6-SQRT((1-C872)*(Supuestos!$F$6-Supuestos!$D$6)*(Supuestos!$F$6-Supuestos!$E$6))),IF(Supuestos!$C$6="Uniforme",Supuestos!$D$6+C872*(Supuestos!$E$6-Supuestos!$D$6),IF(Supuestos!$C$6="Lognormal",LOGINV(C872,LN(Supuestos!$D$6)-LN(1+Supuestos!$E$6^2/Supuestos!$D$6^2)/2,SQRT(LN(1+Supuestos!$E$6^2/Supuestos!$D$6^2))),Supuestos!$D$6))))))</f>
        <v/>
      </c>
      <c r="K872" s="32">
        <f>MIN(IF(Supuestos!$H$7="",1E+99,Supuestos!$H$7),MAX(IF(Supuestos!$G$7="",-1E+99,Supuestos!$G$7),IF(Supuestos!$C$7="Normal",NORMINV(D872,Supuestos!$D$7,Supuestos!$E$7),IF(Supuestos!$C$7="Triangular",IF(D872&lt;(Supuestos!$E$7-Supuestos!$D$7)/(Supuestos!$F$7-Supuestos!$D$7),Supuestos!$D$7+SQRT(D872*(Supuestos!$F$7-Supuestos!$D$7)*(Supuestos!$E$7-Supuestos!$D$7)),Supuestos!$F$7-SQRT((1-D872)*(Supuestos!$F$7-Supuestos!$D$7)*(Supuestos!$F$7-Supuestos!$E$7))),IF(Supuestos!$C$7="Uniforme",Supuestos!$D$7+D872*(Supuestos!$E$7-Supuestos!$D$7),IF(Supuestos!$C$7="Lognormal",LOGINV(D872,LN(Supuestos!$D$7)-LN(1+Supuestos!$E$7^2/Supuestos!$D$7^2)/2,SQRT(LN(1+Supuestos!$E$7^2/Supuestos!$D$7^2))),Supuestos!$D$7))))))</f>
        <v/>
      </c>
      <c r="L872" s="32">
        <f>MIN(IF(Supuestos!$H$8="",1E+99,Supuestos!$H$8),MAX(IF(Supuestos!$G$8="",-1E+99,Supuestos!$G$8),IF(Supuestos!$C$8="Normal",NORMINV(E872,Supuestos!$D$8,Supuestos!$E$8),IF(Supuestos!$C$8="Triangular",IF(E872&lt;(Supuestos!$E$8-Supuestos!$D$8)/(Supuestos!$F$8-Supuestos!$D$8),Supuestos!$D$8+SQRT(E872*(Supuestos!$F$8-Supuestos!$D$8)*(Supuestos!$E$8-Supuestos!$D$8)),Supuestos!$F$8-SQRT((1-E872)*(Supuestos!$F$8-Supuestos!$D$8)*(Supuestos!$F$8-Supuestos!$E$8))),IF(Supuestos!$C$8="Uniforme",Supuestos!$D$8+E872*(Supuestos!$E$8-Supuestos!$D$8),IF(Supuestos!$C$8="Lognormal",LOGINV(E872,LN(Supuestos!$D$8)-LN(1+Supuestos!$E$8^2/Supuestos!$D$8^2)/2,SQRT(LN(1+Supuestos!$E$8^2/Supuestos!$D$8^2))),Supuestos!$D$8))))))</f>
        <v/>
      </c>
      <c r="M872" s="32">
        <f>MIN(IF(Supuestos!$H$9="",1E+99,Supuestos!$H$9),MAX(IF(Supuestos!$G$9="",-1E+99,Supuestos!$G$9),IF(Supuestos!$C$9="Normal",NORMINV(F872,Supuestos!$D$9,Supuestos!$E$9),IF(Supuestos!$C$9="Triangular",IF(F872&lt;(Supuestos!$E$9-Supuestos!$D$9)/(Supuestos!$F$9-Supuestos!$D$9),Supuestos!$D$9+SQRT(F872*(Supuestos!$F$9-Supuestos!$D$9)*(Supuestos!$E$9-Supuestos!$D$9)),Supuestos!$F$9-SQRT((1-F872)*(Supuestos!$F$9-Supuestos!$D$9)*(Supuestos!$F$9-Supuestos!$E$9))),IF(Supuestos!$C$9="Uniforme",Supuestos!$D$9+F872*(Supuestos!$E$9-Supuestos!$D$9),IF(Supuestos!$C$9="Lognormal",LOGINV(F872,LN(Supuestos!$D$9)-LN(1+Supuestos!$E$9^2/Supuestos!$D$9^2)/2,SQRT(LN(1+Supuestos!$E$9^2/Supuestos!$D$9^2))),Supuestos!$D$9))))))</f>
        <v/>
      </c>
      <c r="N872" s="32">
        <f>MIN(IF(Supuestos!$H$10="",1E+99,Supuestos!$H$10),MAX(IF(Supuestos!$G$10="",-1E+99,Supuestos!$G$10),IF(Supuestos!$C$10="Normal",NORMINV(G872,Supuestos!$D$10,Supuestos!$E$10),IF(Supuestos!$C$10="Triangular",IF(G872&lt;(Supuestos!$E$10-Supuestos!$D$10)/(Supuestos!$F$10-Supuestos!$D$10),Supuestos!$D$10+SQRT(G872*(Supuestos!$F$10-Supuestos!$D$10)*(Supuestos!$E$10-Supuestos!$D$10)),Supuestos!$F$10-SQRT((1-G872)*(Supuestos!$F$10-Supuestos!$D$10)*(Supuestos!$F$10-Supuestos!$E$10))),IF(Supuestos!$C$10="Uniforme",Supuestos!$D$10+G872*(Supuestos!$E$10-Supuestos!$D$10),IF(Supuestos!$C$10="Lognormal",LOGINV(G872,LN(Supuestos!$D$10)-LN(1+Supuestos!$E$10^2/Supuestos!$D$10^2)/2,SQRT(LN(1+Supuestos!$E$10^2/Supuestos!$D$10^2))),Supuestos!$D$10))))))</f>
        <v/>
      </c>
      <c r="O872" s="31">
        <f>MIN(IF(Supuestos!$H$11="",1E+99,Supuestos!$H$11),MAX(IF(Supuestos!$G$11="",-1E+99,Supuestos!$G$11),IF(Supuestos!$C$11="Normal",NORMINV(H872,Supuestos!$D$11,Supuestos!$E$11),IF(Supuestos!$C$11="Triangular",IF(H872&lt;(Supuestos!$E$11-Supuestos!$D$11)/(Supuestos!$F$11-Supuestos!$D$11),Supuestos!$D$11+SQRT(H872*(Supuestos!$F$11-Supuestos!$D$11)*(Supuestos!$E$11-Supuestos!$D$11)),Supuestos!$F$11-SQRT((1-H872)*(Supuestos!$F$11-Supuestos!$D$11)*(Supuestos!$F$11-Supuestos!$E$11))),IF(Supuestos!$C$11="Uniforme",Supuestos!$D$11+H872*(Supuestos!$E$11-Supuestos!$D$11),IF(Supuestos!$C$11="Lognormal",LOGINV(H872,LN(Supuestos!$D$11)-LN(1+Supuestos!$E$11^2/Supuestos!$D$11^2)/2,SQRT(LN(1+Supuestos!$E$11^2/Supuestos!$D$11^2))),Supuestos!$D$11))))))</f>
        <v/>
      </c>
      <c r="P872" s="33">
        <f>-I872</f>
        <v/>
      </c>
      <c r="Q872" s="33">
        <f>$J872*(1+$K872)^(1-1)*(1-$L872)*(1-$M872)</f>
        <v/>
      </c>
      <c r="R872" s="33">
        <f>$J872*(1+$K872)^(2-1)*(1-$L872)*(1-$M872)</f>
        <v/>
      </c>
      <c r="S872" s="33">
        <f>$J872*(1+$K872)^(3-1)*(1-$L872)*(1-$M872)</f>
        <v/>
      </c>
      <c r="T872" s="33">
        <f>$J872*(1+$K872)^(4-1)*(1-$L872)*(1-$M872)</f>
        <v/>
      </c>
      <c r="U872" s="33">
        <f>$J872*(1+$K872)^(5-1)*(1-$L872)*(1-$M872)+$O872</f>
        <v/>
      </c>
      <c r="V872" s="33">
        <f>P872+NPV($N872,Q872:U872)</f>
        <v/>
      </c>
      <c r="W872" s="32">
        <f>IFERROR(IRR(P872:U872,0.1),"")</f>
        <v/>
      </c>
    </row>
    <row r="873">
      <c r="A873" s="14" t="n">
        <v>869</v>
      </c>
      <c r="B873" s="30">
        <f>RAND()*(1-2E-6)+1E-6</f>
        <v/>
      </c>
      <c r="C873" s="30">
        <f>RAND()*(1-2E-6)+1E-6</f>
        <v/>
      </c>
      <c r="D873" s="30">
        <f>RAND()*(1-2E-6)+1E-6</f>
        <v/>
      </c>
      <c r="E873" s="30">
        <f>RAND()*(1-2E-6)+1E-6</f>
        <v/>
      </c>
      <c r="F873" s="30">
        <f>RAND()*(1-2E-6)+1E-6</f>
        <v/>
      </c>
      <c r="G873" s="30">
        <f>RAND()*(1-2E-6)+1E-6</f>
        <v/>
      </c>
      <c r="H873" s="30">
        <f>RAND()*(1-2E-6)+1E-6</f>
        <v/>
      </c>
      <c r="I873" s="31">
        <f>MIN(IF(Supuestos!$H$5="",1E+99,Supuestos!$H$5),MAX(IF(Supuestos!$G$5="",-1E+99,Supuestos!$G$5),IF(Supuestos!$C$5="Normal",NORMINV(B873,Supuestos!$D$5,Supuestos!$E$5),IF(Supuestos!$C$5="Triangular",IF(B873&lt;(Supuestos!$E$5-Supuestos!$D$5)/(Supuestos!$F$5-Supuestos!$D$5),Supuestos!$D$5+SQRT(B873*(Supuestos!$F$5-Supuestos!$D$5)*(Supuestos!$E$5-Supuestos!$D$5)),Supuestos!$F$5-SQRT((1-B873)*(Supuestos!$F$5-Supuestos!$D$5)*(Supuestos!$F$5-Supuestos!$E$5))),IF(Supuestos!$C$5="Uniforme",Supuestos!$D$5+B873*(Supuestos!$E$5-Supuestos!$D$5),IF(Supuestos!$C$5="Lognormal",LOGINV(B873,LN(Supuestos!$D$5)-LN(1+Supuestos!$E$5^2/Supuestos!$D$5^2)/2,SQRT(LN(1+Supuestos!$E$5^2/Supuestos!$D$5^2))),Supuestos!$D$5))))))</f>
        <v/>
      </c>
      <c r="J873" s="31">
        <f>MIN(IF(Supuestos!$H$6="",1E+99,Supuestos!$H$6),MAX(IF(Supuestos!$G$6="",-1E+99,Supuestos!$G$6),IF(Supuestos!$C$6="Normal",NORMINV(C873,Supuestos!$D$6,Supuestos!$E$6),IF(Supuestos!$C$6="Triangular",IF(C873&lt;(Supuestos!$E$6-Supuestos!$D$6)/(Supuestos!$F$6-Supuestos!$D$6),Supuestos!$D$6+SQRT(C873*(Supuestos!$F$6-Supuestos!$D$6)*(Supuestos!$E$6-Supuestos!$D$6)),Supuestos!$F$6-SQRT((1-C873)*(Supuestos!$F$6-Supuestos!$D$6)*(Supuestos!$F$6-Supuestos!$E$6))),IF(Supuestos!$C$6="Uniforme",Supuestos!$D$6+C873*(Supuestos!$E$6-Supuestos!$D$6),IF(Supuestos!$C$6="Lognormal",LOGINV(C873,LN(Supuestos!$D$6)-LN(1+Supuestos!$E$6^2/Supuestos!$D$6^2)/2,SQRT(LN(1+Supuestos!$E$6^2/Supuestos!$D$6^2))),Supuestos!$D$6))))))</f>
        <v/>
      </c>
      <c r="K873" s="32">
        <f>MIN(IF(Supuestos!$H$7="",1E+99,Supuestos!$H$7),MAX(IF(Supuestos!$G$7="",-1E+99,Supuestos!$G$7),IF(Supuestos!$C$7="Normal",NORMINV(D873,Supuestos!$D$7,Supuestos!$E$7),IF(Supuestos!$C$7="Triangular",IF(D873&lt;(Supuestos!$E$7-Supuestos!$D$7)/(Supuestos!$F$7-Supuestos!$D$7),Supuestos!$D$7+SQRT(D873*(Supuestos!$F$7-Supuestos!$D$7)*(Supuestos!$E$7-Supuestos!$D$7)),Supuestos!$F$7-SQRT((1-D873)*(Supuestos!$F$7-Supuestos!$D$7)*(Supuestos!$F$7-Supuestos!$E$7))),IF(Supuestos!$C$7="Uniforme",Supuestos!$D$7+D873*(Supuestos!$E$7-Supuestos!$D$7),IF(Supuestos!$C$7="Lognormal",LOGINV(D873,LN(Supuestos!$D$7)-LN(1+Supuestos!$E$7^2/Supuestos!$D$7^2)/2,SQRT(LN(1+Supuestos!$E$7^2/Supuestos!$D$7^2))),Supuestos!$D$7))))))</f>
        <v/>
      </c>
      <c r="L873" s="32">
        <f>MIN(IF(Supuestos!$H$8="",1E+99,Supuestos!$H$8),MAX(IF(Supuestos!$G$8="",-1E+99,Supuestos!$G$8),IF(Supuestos!$C$8="Normal",NORMINV(E873,Supuestos!$D$8,Supuestos!$E$8),IF(Supuestos!$C$8="Triangular",IF(E873&lt;(Supuestos!$E$8-Supuestos!$D$8)/(Supuestos!$F$8-Supuestos!$D$8),Supuestos!$D$8+SQRT(E873*(Supuestos!$F$8-Supuestos!$D$8)*(Supuestos!$E$8-Supuestos!$D$8)),Supuestos!$F$8-SQRT((1-E873)*(Supuestos!$F$8-Supuestos!$D$8)*(Supuestos!$F$8-Supuestos!$E$8))),IF(Supuestos!$C$8="Uniforme",Supuestos!$D$8+E873*(Supuestos!$E$8-Supuestos!$D$8),IF(Supuestos!$C$8="Lognormal",LOGINV(E873,LN(Supuestos!$D$8)-LN(1+Supuestos!$E$8^2/Supuestos!$D$8^2)/2,SQRT(LN(1+Supuestos!$E$8^2/Supuestos!$D$8^2))),Supuestos!$D$8))))))</f>
        <v/>
      </c>
      <c r="M873" s="32">
        <f>MIN(IF(Supuestos!$H$9="",1E+99,Supuestos!$H$9),MAX(IF(Supuestos!$G$9="",-1E+99,Supuestos!$G$9),IF(Supuestos!$C$9="Normal",NORMINV(F873,Supuestos!$D$9,Supuestos!$E$9),IF(Supuestos!$C$9="Triangular",IF(F873&lt;(Supuestos!$E$9-Supuestos!$D$9)/(Supuestos!$F$9-Supuestos!$D$9),Supuestos!$D$9+SQRT(F873*(Supuestos!$F$9-Supuestos!$D$9)*(Supuestos!$E$9-Supuestos!$D$9)),Supuestos!$F$9-SQRT((1-F873)*(Supuestos!$F$9-Supuestos!$D$9)*(Supuestos!$F$9-Supuestos!$E$9))),IF(Supuestos!$C$9="Uniforme",Supuestos!$D$9+F873*(Supuestos!$E$9-Supuestos!$D$9),IF(Supuestos!$C$9="Lognormal",LOGINV(F873,LN(Supuestos!$D$9)-LN(1+Supuestos!$E$9^2/Supuestos!$D$9^2)/2,SQRT(LN(1+Supuestos!$E$9^2/Supuestos!$D$9^2))),Supuestos!$D$9))))))</f>
        <v/>
      </c>
      <c r="N873" s="32">
        <f>MIN(IF(Supuestos!$H$10="",1E+99,Supuestos!$H$10),MAX(IF(Supuestos!$G$10="",-1E+99,Supuestos!$G$10),IF(Supuestos!$C$10="Normal",NORMINV(G873,Supuestos!$D$10,Supuestos!$E$10),IF(Supuestos!$C$10="Triangular",IF(G873&lt;(Supuestos!$E$10-Supuestos!$D$10)/(Supuestos!$F$10-Supuestos!$D$10),Supuestos!$D$10+SQRT(G873*(Supuestos!$F$10-Supuestos!$D$10)*(Supuestos!$E$10-Supuestos!$D$10)),Supuestos!$F$10-SQRT((1-G873)*(Supuestos!$F$10-Supuestos!$D$10)*(Supuestos!$F$10-Supuestos!$E$10))),IF(Supuestos!$C$10="Uniforme",Supuestos!$D$10+G873*(Supuestos!$E$10-Supuestos!$D$10),IF(Supuestos!$C$10="Lognormal",LOGINV(G873,LN(Supuestos!$D$10)-LN(1+Supuestos!$E$10^2/Supuestos!$D$10^2)/2,SQRT(LN(1+Supuestos!$E$10^2/Supuestos!$D$10^2))),Supuestos!$D$10))))))</f>
        <v/>
      </c>
      <c r="O873" s="31">
        <f>MIN(IF(Supuestos!$H$11="",1E+99,Supuestos!$H$11),MAX(IF(Supuestos!$G$11="",-1E+99,Supuestos!$G$11),IF(Supuestos!$C$11="Normal",NORMINV(H873,Supuestos!$D$11,Supuestos!$E$11),IF(Supuestos!$C$11="Triangular",IF(H873&lt;(Supuestos!$E$11-Supuestos!$D$11)/(Supuestos!$F$11-Supuestos!$D$11),Supuestos!$D$11+SQRT(H873*(Supuestos!$F$11-Supuestos!$D$11)*(Supuestos!$E$11-Supuestos!$D$11)),Supuestos!$F$11-SQRT((1-H873)*(Supuestos!$F$11-Supuestos!$D$11)*(Supuestos!$F$11-Supuestos!$E$11))),IF(Supuestos!$C$11="Uniforme",Supuestos!$D$11+H873*(Supuestos!$E$11-Supuestos!$D$11),IF(Supuestos!$C$11="Lognormal",LOGINV(H873,LN(Supuestos!$D$11)-LN(1+Supuestos!$E$11^2/Supuestos!$D$11^2)/2,SQRT(LN(1+Supuestos!$E$11^2/Supuestos!$D$11^2))),Supuestos!$D$11))))))</f>
        <v/>
      </c>
      <c r="P873" s="33">
        <f>-I873</f>
        <v/>
      </c>
      <c r="Q873" s="33">
        <f>$J873*(1+$K873)^(1-1)*(1-$L873)*(1-$M873)</f>
        <v/>
      </c>
      <c r="R873" s="33">
        <f>$J873*(1+$K873)^(2-1)*(1-$L873)*(1-$M873)</f>
        <v/>
      </c>
      <c r="S873" s="33">
        <f>$J873*(1+$K873)^(3-1)*(1-$L873)*(1-$M873)</f>
        <v/>
      </c>
      <c r="T873" s="33">
        <f>$J873*(1+$K873)^(4-1)*(1-$L873)*(1-$M873)</f>
        <v/>
      </c>
      <c r="U873" s="33">
        <f>$J873*(1+$K873)^(5-1)*(1-$L873)*(1-$M873)+$O873</f>
        <v/>
      </c>
      <c r="V873" s="33">
        <f>P873+NPV($N873,Q873:U873)</f>
        <v/>
      </c>
      <c r="W873" s="32">
        <f>IFERROR(IRR(P873:U873,0.1),"")</f>
        <v/>
      </c>
    </row>
    <row r="874">
      <c r="A874" s="14" t="n">
        <v>870</v>
      </c>
      <c r="B874" s="30">
        <f>RAND()*(1-2E-6)+1E-6</f>
        <v/>
      </c>
      <c r="C874" s="30">
        <f>RAND()*(1-2E-6)+1E-6</f>
        <v/>
      </c>
      <c r="D874" s="30">
        <f>RAND()*(1-2E-6)+1E-6</f>
        <v/>
      </c>
      <c r="E874" s="30">
        <f>RAND()*(1-2E-6)+1E-6</f>
        <v/>
      </c>
      <c r="F874" s="30">
        <f>RAND()*(1-2E-6)+1E-6</f>
        <v/>
      </c>
      <c r="G874" s="30">
        <f>RAND()*(1-2E-6)+1E-6</f>
        <v/>
      </c>
      <c r="H874" s="30">
        <f>RAND()*(1-2E-6)+1E-6</f>
        <v/>
      </c>
      <c r="I874" s="31">
        <f>MIN(IF(Supuestos!$H$5="",1E+99,Supuestos!$H$5),MAX(IF(Supuestos!$G$5="",-1E+99,Supuestos!$G$5),IF(Supuestos!$C$5="Normal",NORMINV(B874,Supuestos!$D$5,Supuestos!$E$5),IF(Supuestos!$C$5="Triangular",IF(B874&lt;(Supuestos!$E$5-Supuestos!$D$5)/(Supuestos!$F$5-Supuestos!$D$5),Supuestos!$D$5+SQRT(B874*(Supuestos!$F$5-Supuestos!$D$5)*(Supuestos!$E$5-Supuestos!$D$5)),Supuestos!$F$5-SQRT((1-B874)*(Supuestos!$F$5-Supuestos!$D$5)*(Supuestos!$F$5-Supuestos!$E$5))),IF(Supuestos!$C$5="Uniforme",Supuestos!$D$5+B874*(Supuestos!$E$5-Supuestos!$D$5),IF(Supuestos!$C$5="Lognormal",LOGINV(B874,LN(Supuestos!$D$5)-LN(1+Supuestos!$E$5^2/Supuestos!$D$5^2)/2,SQRT(LN(1+Supuestos!$E$5^2/Supuestos!$D$5^2))),Supuestos!$D$5))))))</f>
        <v/>
      </c>
      <c r="J874" s="31">
        <f>MIN(IF(Supuestos!$H$6="",1E+99,Supuestos!$H$6),MAX(IF(Supuestos!$G$6="",-1E+99,Supuestos!$G$6),IF(Supuestos!$C$6="Normal",NORMINV(C874,Supuestos!$D$6,Supuestos!$E$6),IF(Supuestos!$C$6="Triangular",IF(C874&lt;(Supuestos!$E$6-Supuestos!$D$6)/(Supuestos!$F$6-Supuestos!$D$6),Supuestos!$D$6+SQRT(C874*(Supuestos!$F$6-Supuestos!$D$6)*(Supuestos!$E$6-Supuestos!$D$6)),Supuestos!$F$6-SQRT((1-C874)*(Supuestos!$F$6-Supuestos!$D$6)*(Supuestos!$F$6-Supuestos!$E$6))),IF(Supuestos!$C$6="Uniforme",Supuestos!$D$6+C874*(Supuestos!$E$6-Supuestos!$D$6),IF(Supuestos!$C$6="Lognormal",LOGINV(C874,LN(Supuestos!$D$6)-LN(1+Supuestos!$E$6^2/Supuestos!$D$6^2)/2,SQRT(LN(1+Supuestos!$E$6^2/Supuestos!$D$6^2))),Supuestos!$D$6))))))</f>
        <v/>
      </c>
      <c r="K874" s="32">
        <f>MIN(IF(Supuestos!$H$7="",1E+99,Supuestos!$H$7),MAX(IF(Supuestos!$G$7="",-1E+99,Supuestos!$G$7),IF(Supuestos!$C$7="Normal",NORMINV(D874,Supuestos!$D$7,Supuestos!$E$7),IF(Supuestos!$C$7="Triangular",IF(D874&lt;(Supuestos!$E$7-Supuestos!$D$7)/(Supuestos!$F$7-Supuestos!$D$7),Supuestos!$D$7+SQRT(D874*(Supuestos!$F$7-Supuestos!$D$7)*(Supuestos!$E$7-Supuestos!$D$7)),Supuestos!$F$7-SQRT((1-D874)*(Supuestos!$F$7-Supuestos!$D$7)*(Supuestos!$F$7-Supuestos!$E$7))),IF(Supuestos!$C$7="Uniforme",Supuestos!$D$7+D874*(Supuestos!$E$7-Supuestos!$D$7),IF(Supuestos!$C$7="Lognormal",LOGINV(D874,LN(Supuestos!$D$7)-LN(1+Supuestos!$E$7^2/Supuestos!$D$7^2)/2,SQRT(LN(1+Supuestos!$E$7^2/Supuestos!$D$7^2))),Supuestos!$D$7))))))</f>
        <v/>
      </c>
      <c r="L874" s="32">
        <f>MIN(IF(Supuestos!$H$8="",1E+99,Supuestos!$H$8),MAX(IF(Supuestos!$G$8="",-1E+99,Supuestos!$G$8),IF(Supuestos!$C$8="Normal",NORMINV(E874,Supuestos!$D$8,Supuestos!$E$8),IF(Supuestos!$C$8="Triangular",IF(E874&lt;(Supuestos!$E$8-Supuestos!$D$8)/(Supuestos!$F$8-Supuestos!$D$8),Supuestos!$D$8+SQRT(E874*(Supuestos!$F$8-Supuestos!$D$8)*(Supuestos!$E$8-Supuestos!$D$8)),Supuestos!$F$8-SQRT((1-E874)*(Supuestos!$F$8-Supuestos!$D$8)*(Supuestos!$F$8-Supuestos!$E$8))),IF(Supuestos!$C$8="Uniforme",Supuestos!$D$8+E874*(Supuestos!$E$8-Supuestos!$D$8),IF(Supuestos!$C$8="Lognormal",LOGINV(E874,LN(Supuestos!$D$8)-LN(1+Supuestos!$E$8^2/Supuestos!$D$8^2)/2,SQRT(LN(1+Supuestos!$E$8^2/Supuestos!$D$8^2))),Supuestos!$D$8))))))</f>
        <v/>
      </c>
      <c r="M874" s="32">
        <f>MIN(IF(Supuestos!$H$9="",1E+99,Supuestos!$H$9),MAX(IF(Supuestos!$G$9="",-1E+99,Supuestos!$G$9),IF(Supuestos!$C$9="Normal",NORMINV(F874,Supuestos!$D$9,Supuestos!$E$9),IF(Supuestos!$C$9="Triangular",IF(F874&lt;(Supuestos!$E$9-Supuestos!$D$9)/(Supuestos!$F$9-Supuestos!$D$9),Supuestos!$D$9+SQRT(F874*(Supuestos!$F$9-Supuestos!$D$9)*(Supuestos!$E$9-Supuestos!$D$9)),Supuestos!$F$9-SQRT((1-F874)*(Supuestos!$F$9-Supuestos!$D$9)*(Supuestos!$F$9-Supuestos!$E$9))),IF(Supuestos!$C$9="Uniforme",Supuestos!$D$9+F874*(Supuestos!$E$9-Supuestos!$D$9),IF(Supuestos!$C$9="Lognormal",LOGINV(F874,LN(Supuestos!$D$9)-LN(1+Supuestos!$E$9^2/Supuestos!$D$9^2)/2,SQRT(LN(1+Supuestos!$E$9^2/Supuestos!$D$9^2))),Supuestos!$D$9))))))</f>
        <v/>
      </c>
      <c r="N874" s="32">
        <f>MIN(IF(Supuestos!$H$10="",1E+99,Supuestos!$H$10),MAX(IF(Supuestos!$G$10="",-1E+99,Supuestos!$G$10),IF(Supuestos!$C$10="Normal",NORMINV(G874,Supuestos!$D$10,Supuestos!$E$10),IF(Supuestos!$C$10="Triangular",IF(G874&lt;(Supuestos!$E$10-Supuestos!$D$10)/(Supuestos!$F$10-Supuestos!$D$10),Supuestos!$D$10+SQRT(G874*(Supuestos!$F$10-Supuestos!$D$10)*(Supuestos!$E$10-Supuestos!$D$10)),Supuestos!$F$10-SQRT((1-G874)*(Supuestos!$F$10-Supuestos!$D$10)*(Supuestos!$F$10-Supuestos!$E$10))),IF(Supuestos!$C$10="Uniforme",Supuestos!$D$10+G874*(Supuestos!$E$10-Supuestos!$D$10),IF(Supuestos!$C$10="Lognormal",LOGINV(G874,LN(Supuestos!$D$10)-LN(1+Supuestos!$E$10^2/Supuestos!$D$10^2)/2,SQRT(LN(1+Supuestos!$E$10^2/Supuestos!$D$10^2))),Supuestos!$D$10))))))</f>
        <v/>
      </c>
      <c r="O874" s="31">
        <f>MIN(IF(Supuestos!$H$11="",1E+99,Supuestos!$H$11),MAX(IF(Supuestos!$G$11="",-1E+99,Supuestos!$G$11),IF(Supuestos!$C$11="Normal",NORMINV(H874,Supuestos!$D$11,Supuestos!$E$11),IF(Supuestos!$C$11="Triangular",IF(H874&lt;(Supuestos!$E$11-Supuestos!$D$11)/(Supuestos!$F$11-Supuestos!$D$11),Supuestos!$D$11+SQRT(H874*(Supuestos!$F$11-Supuestos!$D$11)*(Supuestos!$E$11-Supuestos!$D$11)),Supuestos!$F$11-SQRT((1-H874)*(Supuestos!$F$11-Supuestos!$D$11)*(Supuestos!$F$11-Supuestos!$E$11))),IF(Supuestos!$C$11="Uniforme",Supuestos!$D$11+H874*(Supuestos!$E$11-Supuestos!$D$11),IF(Supuestos!$C$11="Lognormal",LOGINV(H874,LN(Supuestos!$D$11)-LN(1+Supuestos!$E$11^2/Supuestos!$D$11^2)/2,SQRT(LN(1+Supuestos!$E$11^2/Supuestos!$D$11^2))),Supuestos!$D$11))))))</f>
        <v/>
      </c>
      <c r="P874" s="33">
        <f>-I874</f>
        <v/>
      </c>
      <c r="Q874" s="33">
        <f>$J874*(1+$K874)^(1-1)*(1-$L874)*(1-$M874)</f>
        <v/>
      </c>
      <c r="R874" s="33">
        <f>$J874*(1+$K874)^(2-1)*(1-$L874)*(1-$M874)</f>
        <v/>
      </c>
      <c r="S874" s="33">
        <f>$J874*(1+$K874)^(3-1)*(1-$L874)*(1-$M874)</f>
        <v/>
      </c>
      <c r="T874" s="33">
        <f>$J874*(1+$K874)^(4-1)*(1-$L874)*(1-$M874)</f>
        <v/>
      </c>
      <c r="U874" s="33">
        <f>$J874*(1+$K874)^(5-1)*(1-$L874)*(1-$M874)+$O874</f>
        <v/>
      </c>
      <c r="V874" s="33">
        <f>P874+NPV($N874,Q874:U874)</f>
        <v/>
      </c>
      <c r="W874" s="32">
        <f>IFERROR(IRR(P874:U874,0.1),"")</f>
        <v/>
      </c>
    </row>
    <row r="875">
      <c r="A875" s="14" t="n">
        <v>871</v>
      </c>
      <c r="B875" s="30">
        <f>RAND()*(1-2E-6)+1E-6</f>
        <v/>
      </c>
      <c r="C875" s="30">
        <f>RAND()*(1-2E-6)+1E-6</f>
        <v/>
      </c>
      <c r="D875" s="30">
        <f>RAND()*(1-2E-6)+1E-6</f>
        <v/>
      </c>
      <c r="E875" s="30">
        <f>RAND()*(1-2E-6)+1E-6</f>
        <v/>
      </c>
      <c r="F875" s="30">
        <f>RAND()*(1-2E-6)+1E-6</f>
        <v/>
      </c>
      <c r="G875" s="30">
        <f>RAND()*(1-2E-6)+1E-6</f>
        <v/>
      </c>
      <c r="H875" s="30">
        <f>RAND()*(1-2E-6)+1E-6</f>
        <v/>
      </c>
      <c r="I875" s="31">
        <f>MIN(IF(Supuestos!$H$5="",1E+99,Supuestos!$H$5),MAX(IF(Supuestos!$G$5="",-1E+99,Supuestos!$G$5),IF(Supuestos!$C$5="Normal",NORMINV(B875,Supuestos!$D$5,Supuestos!$E$5),IF(Supuestos!$C$5="Triangular",IF(B875&lt;(Supuestos!$E$5-Supuestos!$D$5)/(Supuestos!$F$5-Supuestos!$D$5),Supuestos!$D$5+SQRT(B875*(Supuestos!$F$5-Supuestos!$D$5)*(Supuestos!$E$5-Supuestos!$D$5)),Supuestos!$F$5-SQRT((1-B875)*(Supuestos!$F$5-Supuestos!$D$5)*(Supuestos!$F$5-Supuestos!$E$5))),IF(Supuestos!$C$5="Uniforme",Supuestos!$D$5+B875*(Supuestos!$E$5-Supuestos!$D$5),IF(Supuestos!$C$5="Lognormal",LOGINV(B875,LN(Supuestos!$D$5)-LN(1+Supuestos!$E$5^2/Supuestos!$D$5^2)/2,SQRT(LN(1+Supuestos!$E$5^2/Supuestos!$D$5^2))),Supuestos!$D$5))))))</f>
        <v/>
      </c>
      <c r="J875" s="31">
        <f>MIN(IF(Supuestos!$H$6="",1E+99,Supuestos!$H$6),MAX(IF(Supuestos!$G$6="",-1E+99,Supuestos!$G$6),IF(Supuestos!$C$6="Normal",NORMINV(C875,Supuestos!$D$6,Supuestos!$E$6),IF(Supuestos!$C$6="Triangular",IF(C875&lt;(Supuestos!$E$6-Supuestos!$D$6)/(Supuestos!$F$6-Supuestos!$D$6),Supuestos!$D$6+SQRT(C875*(Supuestos!$F$6-Supuestos!$D$6)*(Supuestos!$E$6-Supuestos!$D$6)),Supuestos!$F$6-SQRT((1-C875)*(Supuestos!$F$6-Supuestos!$D$6)*(Supuestos!$F$6-Supuestos!$E$6))),IF(Supuestos!$C$6="Uniforme",Supuestos!$D$6+C875*(Supuestos!$E$6-Supuestos!$D$6),IF(Supuestos!$C$6="Lognormal",LOGINV(C875,LN(Supuestos!$D$6)-LN(1+Supuestos!$E$6^2/Supuestos!$D$6^2)/2,SQRT(LN(1+Supuestos!$E$6^2/Supuestos!$D$6^2))),Supuestos!$D$6))))))</f>
        <v/>
      </c>
      <c r="K875" s="32">
        <f>MIN(IF(Supuestos!$H$7="",1E+99,Supuestos!$H$7),MAX(IF(Supuestos!$G$7="",-1E+99,Supuestos!$G$7),IF(Supuestos!$C$7="Normal",NORMINV(D875,Supuestos!$D$7,Supuestos!$E$7),IF(Supuestos!$C$7="Triangular",IF(D875&lt;(Supuestos!$E$7-Supuestos!$D$7)/(Supuestos!$F$7-Supuestos!$D$7),Supuestos!$D$7+SQRT(D875*(Supuestos!$F$7-Supuestos!$D$7)*(Supuestos!$E$7-Supuestos!$D$7)),Supuestos!$F$7-SQRT((1-D875)*(Supuestos!$F$7-Supuestos!$D$7)*(Supuestos!$F$7-Supuestos!$E$7))),IF(Supuestos!$C$7="Uniforme",Supuestos!$D$7+D875*(Supuestos!$E$7-Supuestos!$D$7),IF(Supuestos!$C$7="Lognormal",LOGINV(D875,LN(Supuestos!$D$7)-LN(1+Supuestos!$E$7^2/Supuestos!$D$7^2)/2,SQRT(LN(1+Supuestos!$E$7^2/Supuestos!$D$7^2))),Supuestos!$D$7))))))</f>
        <v/>
      </c>
      <c r="L875" s="32">
        <f>MIN(IF(Supuestos!$H$8="",1E+99,Supuestos!$H$8),MAX(IF(Supuestos!$G$8="",-1E+99,Supuestos!$G$8),IF(Supuestos!$C$8="Normal",NORMINV(E875,Supuestos!$D$8,Supuestos!$E$8),IF(Supuestos!$C$8="Triangular",IF(E875&lt;(Supuestos!$E$8-Supuestos!$D$8)/(Supuestos!$F$8-Supuestos!$D$8),Supuestos!$D$8+SQRT(E875*(Supuestos!$F$8-Supuestos!$D$8)*(Supuestos!$E$8-Supuestos!$D$8)),Supuestos!$F$8-SQRT((1-E875)*(Supuestos!$F$8-Supuestos!$D$8)*(Supuestos!$F$8-Supuestos!$E$8))),IF(Supuestos!$C$8="Uniforme",Supuestos!$D$8+E875*(Supuestos!$E$8-Supuestos!$D$8),IF(Supuestos!$C$8="Lognormal",LOGINV(E875,LN(Supuestos!$D$8)-LN(1+Supuestos!$E$8^2/Supuestos!$D$8^2)/2,SQRT(LN(1+Supuestos!$E$8^2/Supuestos!$D$8^2))),Supuestos!$D$8))))))</f>
        <v/>
      </c>
      <c r="M875" s="32">
        <f>MIN(IF(Supuestos!$H$9="",1E+99,Supuestos!$H$9),MAX(IF(Supuestos!$G$9="",-1E+99,Supuestos!$G$9),IF(Supuestos!$C$9="Normal",NORMINV(F875,Supuestos!$D$9,Supuestos!$E$9),IF(Supuestos!$C$9="Triangular",IF(F875&lt;(Supuestos!$E$9-Supuestos!$D$9)/(Supuestos!$F$9-Supuestos!$D$9),Supuestos!$D$9+SQRT(F875*(Supuestos!$F$9-Supuestos!$D$9)*(Supuestos!$E$9-Supuestos!$D$9)),Supuestos!$F$9-SQRT((1-F875)*(Supuestos!$F$9-Supuestos!$D$9)*(Supuestos!$F$9-Supuestos!$E$9))),IF(Supuestos!$C$9="Uniforme",Supuestos!$D$9+F875*(Supuestos!$E$9-Supuestos!$D$9),IF(Supuestos!$C$9="Lognormal",LOGINV(F875,LN(Supuestos!$D$9)-LN(1+Supuestos!$E$9^2/Supuestos!$D$9^2)/2,SQRT(LN(1+Supuestos!$E$9^2/Supuestos!$D$9^2))),Supuestos!$D$9))))))</f>
        <v/>
      </c>
      <c r="N875" s="32">
        <f>MIN(IF(Supuestos!$H$10="",1E+99,Supuestos!$H$10),MAX(IF(Supuestos!$G$10="",-1E+99,Supuestos!$G$10),IF(Supuestos!$C$10="Normal",NORMINV(G875,Supuestos!$D$10,Supuestos!$E$10),IF(Supuestos!$C$10="Triangular",IF(G875&lt;(Supuestos!$E$10-Supuestos!$D$10)/(Supuestos!$F$10-Supuestos!$D$10),Supuestos!$D$10+SQRT(G875*(Supuestos!$F$10-Supuestos!$D$10)*(Supuestos!$E$10-Supuestos!$D$10)),Supuestos!$F$10-SQRT((1-G875)*(Supuestos!$F$10-Supuestos!$D$10)*(Supuestos!$F$10-Supuestos!$E$10))),IF(Supuestos!$C$10="Uniforme",Supuestos!$D$10+G875*(Supuestos!$E$10-Supuestos!$D$10),IF(Supuestos!$C$10="Lognormal",LOGINV(G875,LN(Supuestos!$D$10)-LN(1+Supuestos!$E$10^2/Supuestos!$D$10^2)/2,SQRT(LN(1+Supuestos!$E$10^2/Supuestos!$D$10^2))),Supuestos!$D$10))))))</f>
        <v/>
      </c>
      <c r="O875" s="31">
        <f>MIN(IF(Supuestos!$H$11="",1E+99,Supuestos!$H$11),MAX(IF(Supuestos!$G$11="",-1E+99,Supuestos!$G$11),IF(Supuestos!$C$11="Normal",NORMINV(H875,Supuestos!$D$11,Supuestos!$E$11),IF(Supuestos!$C$11="Triangular",IF(H875&lt;(Supuestos!$E$11-Supuestos!$D$11)/(Supuestos!$F$11-Supuestos!$D$11),Supuestos!$D$11+SQRT(H875*(Supuestos!$F$11-Supuestos!$D$11)*(Supuestos!$E$11-Supuestos!$D$11)),Supuestos!$F$11-SQRT((1-H875)*(Supuestos!$F$11-Supuestos!$D$11)*(Supuestos!$F$11-Supuestos!$E$11))),IF(Supuestos!$C$11="Uniforme",Supuestos!$D$11+H875*(Supuestos!$E$11-Supuestos!$D$11),IF(Supuestos!$C$11="Lognormal",LOGINV(H875,LN(Supuestos!$D$11)-LN(1+Supuestos!$E$11^2/Supuestos!$D$11^2)/2,SQRT(LN(1+Supuestos!$E$11^2/Supuestos!$D$11^2))),Supuestos!$D$11))))))</f>
        <v/>
      </c>
      <c r="P875" s="33">
        <f>-I875</f>
        <v/>
      </c>
      <c r="Q875" s="33">
        <f>$J875*(1+$K875)^(1-1)*(1-$L875)*(1-$M875)</f>
        <v/>
      </c>
      <c r="R875" s="33">
        <f>$J875*(1+$K875)^(2-1)*(1-$L875)*(1-$M875)</f>
        <v/>
      </c>
      <c r="S875" s="33">
        <f>$J875*(1+$K875)^(3-1)*(1-$L875)*(1-$M875)</f>
        <v/>
      </c>
      <c r="T875" s="33">
        <f>$J875*(1+$K875)^(4-1)*(1-$L875)*(1-$M875)</f>
        <v/>
      </c>
      <c r="U875" s="33">
        <f>$J875*(1+$K875)^(5-1)*(1-$L875)*(1-$M875)+$O875</f>
        <v/>
      </c>
      <c r="V875" s="33">
        <f>P875+NPV($N875,Q875:U875)</f>
        <v/>
      </c>
      <c r="W875" s="32">
        <f>IFERROR(IRR(P875:U875,0.1),"")</f>
        <v/>
      </c>
    </row>
    <row r="876">
      <c r="A876" s="14" t="n">
        <v>872</v>
      </c>
      <c r="B876" s="30">
        <f>RAND()*(1-2E-6)+1E-6</f>
        <v/>
      </c>
      <c r="C876" s="30">
        <f>RAND()*(1-2E-6)+1E-6</f>
        <v/>
      </c>
      <c r="D876" s="30">
        <f>RAND()*(1-2E-6)+1E-6</f>
        <v/>
      </c>
      <c r="E876" s="30">
        <f>RAND()*(1-2E-6)+1E-6</f>
        <v/>
      </c>
      <c r="F876" s="30">
        <f>RAND()*(1-2E-6)+1E-6</f>
        <v/>
      </c>
      <c r="G876" s="30">
        <f>RAND()*(1-2E-6)+1E-6</f>
        <v/>
      </c>
      <c r="H876" s="30">
        <f>RAND()*(1-2E-6)+1E-6</f>
        <v/>
      </c>
      <c r="I876" s="31">
        <f>MIN(IF(Supuestos!$H$5="",1E+99,Supuestos!$H$5),MAX(IF(Supuestos!$G$5="",-1E+99,Supuestos!$G$5),IF(Supuestos!$C$5="Normal",NORMINV(B876,Supuestos!$D$5,Supuestos!$E$5),IF(Supuestos!$C$5="Triangular",IF(B876&lt;(Supuestos!$E$5-Supuestos!$D$5)/(Supuestos!$F$5-Supuestos!$D$5),Supuestos!$D$5+SQRT(B876*(Supuestos!$F$5-Supuestos!$D$5)*(Supuestos!$E$5-Supuestos!$D$5)),Supuestos!$F$5-SQRT((1-B876)*(Supuestos!$F$5-Supuestos!$D$5)*(Supuestos!$F$5-Supuestos!$E$5))),IF(Supuestos!$C$5="Uniforme",Supuestos!$D$5+B876*(Supuestos!$E$5-Supuestos!$D$5),IF(Supuestos!$C$5="Lognormal",LOGINV(B876,LN(Supuestos!$D$5)-LN(1+Supuestos!$E$5^2/Supuestos!$D$5^2)/2,SQRT(LN(1+Supuestos!$E$5^2/Supuestos!$D$5^2))),Supuestos!$D$5))))))</f>
        <v/>
      </c>
      <c r="J876" s="31">
        <f>MIN(IF(Supuestos!$H$6="",1E+99,Supuestos!$H$6),MAX(IF(Supuestos!$G$6="",-1E+99,Supuestos!$G$6),IF(Supuestos!$C$6="Normal",NORMINV(C876,Supuestos!$D$6,Supuestos!$E$6),IF(Supuestos!$C$6="Triangular",IF(C876&lt;(Supuestos!$E$6-Supuestos!$D$6)/(Supuestos!$F$6-Supuestos!$D$6),Supuestos!$D$6+SQRT(C876*(Supuestos!$F$6-Supuestos!$D$6)*(Supuestos!$E$6-Supuestos!$D$6)),Supuestos!$F$6-SQRT((1-C876)*(Supuestos!$F$6-Supuestos!$D$6)*(Supuestos!$F$6-Supuestos!$E$6))),IF(Supuestos!$C$6="Uniforme",Supuestos!$D$6+C876*(Supuestos!$E$6-Supuestos!$D$6),IF(Supuestos!$C$6="Lognormal",LOGINV(C876,LN(Supuestos!$D$6)-LN(1+Supuestos!$E$6^2/Supuestos!$D$6^2)/2,SQRT(LN(1+Supuestos!$E$6^2/Supuestos!$D$6^2))),Supuestos!$D$6))))))</f>
        <v/>
      </c>
      <c r="K876" s="32">
        <f>MIN(IF(Supuestos!$H$7="",1E+99,Supuestos!$H$7),MAX(IF(Supuestos!$G$7="",-1E+99,Supuestos!$G$7),IF(Supuestos!$C$7="Normal",NORMINV(D876,Supuestos!$D$7,Supuestos!$E$7),IF(Supuestos!$C$7="Triangular",IF(D876&lt;(Supuestos!$E$7-Supuestos!$D$7)/(Supuestos!$F$7-Supuestos!$D$7),Supuestos!$D$7+SQRT(D876*(Supuestos!$F$7-Supuestos!$D$7)*(Supuestos!$E$7-Supuestos!$D$7)),Supuestos!$F$7-SQRT((1-D876)*(Supuestos!$F$7-Supuestos!$D$7)*(Supuestos!$F$7-Supuestos!$E$7))),IF(Supuestos!$C$7="Uniforme",Supuestos!$D$7+D876*(Supuestos!$E$7-Supuestos!$D$7),IF(Supuestos!$C$7="Lognormal",LOGINV(D876,LN(Supuestos!$D$7)-LN(1+Supuestos!$E$7^2/Supuestos!$D$7^2)/2,SQRT(LN(1+Supuestos!$E$7^2/Supuestos!$D$7^2))),Supuestos!$D$7))))))</f>
        <v/>
      </c>
      <c r="L876" s="32">
        <f>MIN(IF(Supuestos!$H$8="",1E+99,Supuestos!$H$8),MAX(IF(Supuestos!$G$8="",-1E+99,Supuestos!$G$8),IF(Supuestos!$C$8="Normal",NORMINV(E876,Supuestos!$D$8,Supuestos!$E$8),IF(Supuestos!$C$8="Triangular",IF(E876&lt;(Supuestos!$E$8-Supuestos!$D$8)/(Supuestos!$F$8-Supuestos!$D$8),Supuestos!$D$8+SQRT(E876*(Supuestos!$F$8-Supuestos!$D$8)*(Supuestos!$E$8-Supuestos!$D$8)),Supuestos!$F$8-SQRT((1-E876)*(Supuestos!$F$8-Supuestos!$D$8)*(Supuestos!$F$8-Supuestos!$E$8))),IF(Supuestos!$C$8="Uniforme",Supuestos!$D$8+E876*(Supuestos!$E$8-Supuestos!$D$8),IF(Supuestos!$C$8="Lognormal",LOGINV(E876,LN(Supuestos!$D$8)-LN(1+Supuestos!$E$8^2/Supuestos!$D$8^2)/2,SQRT(LN(1+Supuestos!$E$8^2/Supuestos!$D$8^2))),Supuestos!$D$8))))))</f>
        <v/>
      </c>
      <c r="M876" s="32">
        <f>MIN(IF(Supuestos!$H$9="",1E+99,Supuestos!$H$9),MAX(IF(Supuestos!$G$9="",-1E+99,Supuestos!$G$9),IF(Supuestos!$C$9="Normal",NORMINV(F876,Supuestos!$D$9,Supuestos!$E$9),IF(Supuestos!$C$9="Triangular",IF(F876&lt;(Supuestos!$E$9-Supuestos!$D$9)/(Supuestos!$F$9-Supuestos!$D$9),Supuestos!$D$9+SQRT(F876*(Supuestos!$F$9-Supuestos!$D$9)*(Supuestos!$E$9-Supuestos!$D$9)),Supuestos!$F$9-SQRT((1-F876)*(Supuestos!$F$9-Supuestos!$D$9)*(Supuestos!$F$9-Supuestos!$E$9))),IF(Supuestos!$C$9="Uniforme",Supuestos!$D$9+F876*(Supuestos!$E$9-Supuestos!$D$9),IF(Supuestos!$C$9="Lognormal",LOGINV(F876,LN(Supuestos!$D$9)-LN(1+Supuestos!$E$9^2/Supuestos!$D$9^2)/2,SQRT(LN(1+Supuestos!$E$9^2/Supuestos!$D$9^2))),Supuestos!$D$9))))))</f>
        <v/>
      </c>
      <c r="N876" s="32">
        <f>MIN(IF(Supuestos!$H$10="",1E+99,Supuestos!$H$10),MAX(IF(Supuestos!$G$10="",-1E+99,Supuestos!$G$10),IF(Supuestos!$C$10="Normal",NORMINV(G876,Supuestos!$D$10,Supuestos!$E$10),IF(Supuestos!$C$10="Triangular",IF(G876&lt;(Supuestos!$E$10-Supuestos!$D$10)/(Supuestos!$F$10-Supuestos!$D$10),Supuestos!$D$10+SQRT(G876*(Supuestos!$F$10-Supuestos!$D$10)*(Supuestos!$E$10-Supuestos!$D$10)),Supuestos!$F$10-SQRT((1-G876)*(Supuestos!$F$10-Supuestos!$D$10)*(Supuestos!$F$10-Supuestos!$E$10))),IF(Supuestos!$C$10="Uniforme",Supuestos!$D$10+G876*(Supuestos!$E$10-Supuestos!$D$10),IF(Supuestos!$C$10="Lognormal",LOGINV(G876,LN(Supuestos!$D$10)-LN(1+Supuestos!$E$10^2/Supuestos!$D$10^2)/2,SQRT(LN(1+Supuestos!$E$10^2/Supuestos!$D$10^2))),Supuestos!$D$10))))))</f>
        <v/>
      </c>
      <c r="O876" s="31">
        <f>MIN(IF(Supuestos!$H$11="",1E+99,Supuestos!$H$11),MAX(IF(Supuestos!$G$11="",-1E+99,Supuestos!$G$11),IF(Supuestos!$C$11="Normal",NORMINV(H876,Supuestos!$D$11,Supuestos!$E$11),IF(Supuestos!$C$11="Triangular",IF(H876&lt;(Supuestos!$E$11-Supuestos!$D$11)/(Supuestos!$F$11-Supuestos!$D$11),Supuestos!$D$11+SQRT(H876*(Supuestos!$F$11-Supuestos!$D$11)*(Supuestos!$E$11-Supuestos!$D$11)),Supuestos!$F$11-SQRT((1-H876)*(Supuestos!$F$11-Supuestos!$D$11)*(Supuestos!$F$11-Supuestos!$E$11))),IF(Supuestos!$C$11="Uniforme",Supuestos!$D$11+H876*(Supuestos!$E$11-Supuestos!$D$11),IF(Supuestos!$C$11="Lognormal",LOGINV(H876,LN(Supuestos!$D$11)-LN(1+Supuestos!$E$11^2/Supuestos!$D$11^2)/2,SQRT(LN(1+Supuestos!$E$11^2/Supuestos!$D$11^2))),Supuestos!$D$11))))))</f>
        <v/>
      </c>
      <c r="P876" s="33">
        <f>-I876</f>
        <v/>
      </c>
      <c r="Q876" s="33">
        <f>$J876*(1+$K876)^(1-1)*(1-$L876)*(1-$M876)</f>
        <v/>
      </c>
      <c r="R876" s="33">
        <f>$J876*(1+$K876)^(2-1)*(1-$L876)*(1-$M876)</f>
        <v/>
      </c>
      <c r="S876" s="33">
        <f>$J876*(1+$K876)^(3-1)*(1-$L876)*(1-$M876)</f>
        <v/>
      </c>
      <c r="T876" s="33">
        <f>$J876*(1+$K876)^(4-1)*(1-$L876)*(1-$M876)</f>
        <v/>
      </c>
      <c r="U876" s="33">
        <f>$J876*(1+$K876)^(5-1)*(1-$L876)*(1-$M876)+$O876</f>
        <v/>
      </c>
      <c r="V876" s="33">
        <f>P876+NPV($N876,Q876:U876)</f>
        <v/>
      </c>
      <c r="W876" s="32">
        <f>IFERROR(IRR(P876:U876,0.1),"")</f>
        <v/>
      </c>
    </row>
    <row r="877">
      <c r="A877" s="14" t="n">
        <v>873</v>
      </c>
      <c r="B877" s="30">
        <f>RAND()*(1-2E-6)+1E-6</f>
        <v/>
      </c>
      <c r="C877" s="30">
        <f>RAND()*(1-2E-6)+1E-6</f>
        <v/>
      </c>
      <c r="D877" s="30">
        <f>RAND()*(1-2E-6)+1E-6</f>
        <v/>
      </c>
      <c r="E877" s="30">
        <f>RAND()*(1-2E-6)+1E-6</f>
        <v/>
      </c>
      <c r="F877" s="30">
        <f>RAND()*(1-2E-6)+1E-6</f>
        <v/>
      </c>
      <c r="G877" s="30">
        <f>RAND()*(1-2E-6)+1E-6</f>
        <v/>
      </c>
      <c r="H877" s="30">
        <f>RAND()*(1-2E-6)+1E-6</f>
        <v/>
      </c>
      <c r="I877" s="31">
        <f>MIN(IF(Supuestos!$H$5="",1E+99,Supuestos!$H$5),MAX(IF(Supuestos!$G$5="",-1E+99,Supuestos!$G$5),IF(Supuestos!$C$5="Normal",NORMINV(B877,Supuestos!$D$5,Supuestos!$E$5),IF(Supuestos!$C$5="Triangular",IF(B877&lt;(Supuestos!$E$5-Supuestos!$D$5)/(Supuestos!$F$5-Supuestos!$D$5),Supuestos!$D$5+SQRT(B877*(Supuestos!$F$5-Supuestos!$D$5)*(Supuestos!$E$5-Supuestos!$D$5)),Supuestos!$F$5-SQRT((1-B877)*(Supuestos!$F$5-Supuestos!$D$5)*(Supuestos!$F$5-Supuestos!$E$5))),IF(Supuestos!$C$5="Uniforme",Supuestos!$D$5+B877*(Supuestos!$E$5-Supuestos!$D$5),IF(Supuestos!$C$5="Lognormal",LOGINV(B877,LN(Supuestos!$D$5)-LN(1+Supuestos!$E$5^2/Supuestos!$D$5^2)/2,SQRT(LN(1+Supuestos!$E$5^2/Supuestos!$D$5^2))),Supuestos!$D$5))))))</f>
        <v/>
      </c>
      <c r="J877" s="31">
        <f>MIN(IF(Supuestos!$H$6="",1E+99,Supuestos!$H$6),MAX(IF(Supuestos!$G$6="",-1E+99,Supuestos!$G$6),IF(Supuestos!$C$6="Normal",NORMINV(C877,Supuestos!$D$6,Supuestos!$E$6),IF(Supuestos!$C$6="Triangular",IF(C877&lt;(Supuestos!$E$6-Supuestos!$D$6)/(Supuestos!$F$6-Supuestos!$D$6),Supuestos!$D$6+SQRT(C877*(Supuestos!$F$6-Supuestos!$D$6)*(Supuestos!$E$6-Supuestos!$D$6)),Supuestos!$F$6-SQRT((1-C877)*(Supuestos!$F$6-Supuestos!$D$6)*(Supuestos!$F$6-Supuestos!$E$6))),IF(Supuestos!$C$6="Uniforme",Supuestos!$D$6+C877*(Supuestos!$E$6-Supuestos!$D$6),IF(Supuestos!$C$6="Lognormal",LOGINV(C877,LN(Supuestos!$D$6)-LN(1+Supuestos!$E$6^2/Supuestos!$D$6^2)/2,SQRT(LN(1+Supuestos!$E$6^2/Supuestos!$D$6^2))),Supuestos!$D$6))))))</f>
        <v/>
      </c>
      <c r="K877" s="32">
        <f>MIN(IF(Supuestos!$H$7="",1E+99,Supuestos!$H$7),MAX(IF(Supuestos!$G$7="",-1E+99,Supuestos!$G$7),IF(Supuestos!$C$7="Normal",NORMINV(D877,Supuestos!$D$7,Supuestos!$E$7),IF(Supuestos!$C$7="Triangular",IF(D877&lt;(Supuestos!$E$7-Supuestos!$D$7)/(Supuestos!$F$7-Supuestos!$D$7),Supuestos!$D$7+SQRT(D877*(Supuestos!$F$7-Supuestos!$D$7)*(Supuestos!$E$7-Supuestos!$D$7)),Supuestos!$F$7-SQRT((1-D877)*(Supuestos!$F$7-Supuestos!$D$7)*(Supuestos!$F$7-Supuestos!$E$7))),IF(Supuestos!$C$7="Uniforme",Supuestos!$D$7+D877*(Supuestos!$E$7-Supuestos!$D$7),IF(Supuestos!$C$7="Lognormal",LOGINV(D877,LN(Supuestos!$D$7)-LN(1+Supuestos!$E$7^2/Supuestos!$D$7^2)/2,SQRT(LN(1+Supuestos!$E$7^2/Supuestos!$D$7^2))),Supuestos!$D$7))))))</f>
        <v/>
      </c>
      <c r="L877" s="32">
        <f>MIN(IF(Supuestos!$H$8="",1E+99,Supuestos!$H$8),MAX(IF(Supuestos!$G$8="",-1E+99,Supuestos!$G$8),IF(Supuestos!$C$8="Normal",NORMINV(E877,Supuestos!$D$8,Supuestos!$E$8),IF(Supuestos!$C$8="Triangular",IF(E877&lt;(Supuestos!$E$8-Supuestos!$D$8)/(Supuestos!$F$8-Supuestos!$D$8),Supuestos!$D$8+SQRT(E877*(Supuestos!$F$8-Supuestos!$D$8)*(Supuestos!$E$8-Supuestos!$D$8)),Supuestos!$F$8-SQRT((1-E877)*(Supuestos!$F$8-Supuestos!$D$8)*(Supuestos!$F$8-Supuestos!$E$8))),IF(Supuestos!$C$8="Uniforme",Supuestos!$D$8+E877*(Supuestos!$E$8-Supuestos!$D$8),IF(Supuestos!$C$8="Lognormal",LOGINV(E877,LN(Supuestos!$D$8)-LN(1+Supuestos!$E$8^2/Supuestos!$D$8^2)/2,SQRT(LN(1+Supuestos!$E$8^2/Supuestos!$D$8^2))),Supuestos!$D$8))))))</f>
        <v/>
      </c>
      <c r="M877" s="32">
        <f>MIN(IF(Supuestos!$H$9="",1E+99,Supuestos!$H$9),MAX(IF(Supuestos!$G$9="",-1E+99,Supuestos!$G$9),IF(Supuestos!$C$9="Normal",NORMINV(F877,Supuestos!$D$9,Supuestos!$E$9),IF(Supuestos!$C$9="Triangular",IF(F877&lt;(Supuestos!$E$9-Supuestos!$D$9)/(Supuestos!$F$9-Supuestos!$D$9),Supuestos!$D$9+SQRT(F877*(Supuestos!$F$9-Supuestos!$D$9)*(Supuestos!$E$9-Supuestos!$D$9)),Supuestos!$F$9-SQRT((1-F877)*(Supuestos!$F$9-Supuestos!$D$9)*(Supuestos!$F$9-Supuestos!$E$9))),IF(Supuestos!$C$9="Uniforme",Supuestos!$D$9+F877*(Supuestos!$E$9-Supuestos!$D$9),IF(Supuestos!$C$9="Lognormal",LOGINV(F877,LN(Supuestos!$D$9)-LN(1+Supuestos!$E$9^2/Supuestos!$D$9^2)/2,SQRT(LN(1+Supuestos!$E$9^2/Supuestos!$D$9^2))),Supuestos!$D$9))))))</f>
        <v/>
      </c>
      <c r="N877" s="32">
        <f>MIN(IF(Supuestos!$H$10="",1E+99,Supuestos!$H$10),MAX(IF(Supuestos!$G$10="",-1E+99,Supuestos!$G$10),IF(Supuestos!$C$10="Normal",NORMINV(G877,Supuestos!$D$10,Supuestos!$E$10),IF(Supuestos!$C$10="Triangular",IF(G877&lt;(Supuestos!$E$10-Supuestos!$D$10)/(Supuestos!$F$10-Supuestos!$D$10),Supuestos!$D$10+SQRT(G877*(Supuestos!$F$10-Supuestos!$D$10)*(Supuestos!$E$10-Supuestos!$D$10)),Supuestos!$F$10-SQRT((1-G877)*(Supuestos!$F$10-Supuestos!$D$10)*(Supuestos!$F$10-Supuestos!$E$10))),IF(Supuestos!$C$10="Uniforme",Supuestos!$D$10+G877*(Supuestos!$E$10-Supuestos!$D$10),IF(Supuestos!$C$10="Lognormal",LOGINV(G877,LN(Supuestos!$D$10)-LN(1+Supuestos!$E$10^2/Supuestos!$D$10^2)/2,SQRT(LN(1+Supuestos!$E$10^2/Supuestos!$D$10^2))),Supuestos!$D$10))))))</f>
        <v/>
      </c>
      <c r="O877" s="31">
        <f>MIN(IF(Supuestos!$H$11="",1E+99,Supuestos!$H$11),MAX(IF(Supuestos!$G$11="",-1E+99,Supuestos!$G$11),IF(Supuestos!$C$11="Normal",NORMINV(H877,Supuestos!$D$11,Supuestos!$E$11),IF(Supuestos!$C$11="Triangular",IF(H877&lt;(Supuestos!$E$11-Supuestos!$D$11)/(Supuestos!$F$11-Supuestos!$D$11),Supuestos!$D$11+SQRT(H877*(Supuestos!$F$11-Supuestos!$D$11)*(Supuestos!$E$11-Supuestos!$D$11)),Supuestos!$F$11-SQRT((1-H877)*(Supuestos!$F$11-Supuestos!$D$11)*(Supuestos!$F$11-Supuestos!$E$11))),IF(Supuestos!$C$11="Uniforme",Supuestos!$D$11+H877*(Supuestos!$E$11-Supuestos!$D$11),IF(Supuestos!$C$11="Lognormal",LOGINV(H877,LN(Supuestos!$D$11)-LN(1+Supuestos!$E$11^2/Supuestos!$D$11^2)/2,SQRT(LN(1+Supuestos!$E$11^2/Supuestos!$D$11^2))),Supuestos!$D$11))))))</f>
        <v/>
      </c>
      <c r="P877" s="33">
        <f>-I877</f>
        <v/>
      </c>
      <c r="Q877" s="33">
        <f>$J877*(1+$K877)^(1-1)*(1-$L877)*(1-$M877)</f>
        <v/>
      </c>
      <c r="R877" s="33">
        <f>$J877*(1+$K877)^(2-1)*(1-$L877)*(1-$M877)</f>
        <v/>
      </c>
      <c r="S877" s="33">
        <f>$J877*(1+$K877)^(3-1)*(1-$L877)*(1-$M877)</f>
        <v/>
      </c>
      <c r="T877" s="33">
        <f>$J877*(1+$K877)^(4-1)*(1-$L877)*(1-$M877)</f>
        <v/>
      </c>
      <c r="U877" s="33">
        <f>$J877*(1+$K877)^(5-1)*(1-$L877)*(1-$M877)+$O877</f>
        <v/>
      </c>
      <c r="V877" s="33">
        <f>P877+NPV($N877,Q877:U877)</f>
        <v/>
      </c>
      <c r="W877" s="32">
        <f>IFERROR(IRR(P877:U877,0.1),"")</f>
        <v/>
      </c>
    </row>
    <row r="878">
      <c r="A878" s="14" t="n">
        <v>874</v>
      </c>
      <c r="B878" s="30">
        <f>RAND()*(1-2E-6)+1E-6</f>
        <v/>
      </c>
      <c r="C878" s="30">
        <f>RAND()*(1-2E-6)+1E-6</f>
        <v/>
      </c>
      <c r="D878" s="30">
        <f>RAND()*(1-2E-6)+1E-6</f>
        <v/>
      </c>
      <c r="E878" s="30">
        <f>RAND()*(1-2E-6)+1E-6</f>
        <v/>
      </c>
      <c r="F878" s="30">
        <f>RAND()*(1-2E-6)+1E-6</f>
        <v/>
      </c>
      <c r="G878" s="30">
        <f>RAND()*(1-2E-6)+1E-6</f>
        <v/>
      </c>
      <c r="H878" s="30">
        <f>RAND()*(1-2E-6)+1E-6</f>
        <v/>
      </c>
      <c r="I878" s="31">
        <f>MIN(IF(Supuestos!$H$5="",1E+99,Supuestos!$H$5),MAX(IF(Supuestos!$G$5="",-1E+99,Supuestos!$G$5),IF(Supuestos!$C$5="Normal",NORMINV(B878,Supuestos!$D$5,Supuestos!$E$5),IF(Supuestos!$C$5="Triangular",IF(B878&lt;(Supuestos!$E$5-Supuestos!$D$5)/(Supuestos!$F$5-Supuestos!$D$5),Supuestos!$D$5+SQRT(B878*(Supuestos!$F$5-Supuestos!$D$5)*(Supuestos!$E$5-Supuestos!$D$5)),Supuestos!$F$5-SQRT((1-B878)*(Supuestos!$F$5-Supuestos!$D$5)*(Supuestos!$F$5-Supuestos!$E$5))),IF(Supuestos!$C$5="Uniforme",Supuestos!$D$5+B878*(Supuestos!$E$5-Supuestos!$D$5),IF(Supuestos!$C$5="Lognormal",LOGINV(B878,LN(Supuestos!$D$5)-LN(1+Supuestos!$E$5^2/Supuestos!$D$5^2)/2,SQRT(LN(1+Supuestos!$E$5^2/Supuestos!$D$5^2))),Supuestos!$D$5))))))</f>
        <v/>
      </c>
      <c r="J878" s="31">
        <f>MIN(IF(Supuestos!$H$6="",1E+99,Supuestos!$H$6),MAX(IF(Supuestos!$G$6="",-1E+99,Supuestos!$G$6),IF(Supuestos!$C$6="Normal",NORMINV(C878,Supuestos!$D$6,Supuestos!$E$6),IF(Supuestos!$C$6="Triangular",IF(C878&lt;(Supuestos!$E$6-Supuestos!$D$6)/(Supuestos!$F$6-Supuestos!$D$6),Supuestos!$D$6+SQRT(C878*(Supuestos!$F$6-Supuestos!$D$6)*(Supuestos!$E$6-Supuestos!$D$6)),Supuestos!$F$6-SQRT((1-C878)*(Supuestos!$F$6-Supuestos!$D$6)*(Supuestos!$F$6-Supuestos!$E$6))),IF(Supuestos!$C$6="Uniforme",Supuestos!$D$6+C878*(Supuestos!$E$6-Supuestos!$D$6),IF(Supuestos!$C$6="Lognormal",LOGINV(C878,LN(Supuestos!$D$6)-LN(1+Supuestos!$E$6^2/Supuestos!$D$6^2)/2,SQRT(LN(1+Supuestos!$E$6^2/Supuestos!$D$6^2))),Supuestos!$D$6))))))</f>
        <v/>
      </c>
      <c r="K878" s="32">
        <f>MIN(IF(Supuestos!$H$7="",1E+99,Supuestos!$H$7),MAX(IF(Supuestos!$G$7="",-1E+99,Supuestos!$G$7),IF(Supuestos!$C$7="Normal",NORMINV(D878,Supuestos!$D$7,Supuestos!$E$7),IF(Supuestos!$C$7="Triangular",IF(D878&lt;(Supuestos!$E$7-Supuestos!$D$7)/(Supuestos!$F$7-Supuestos!$D$7),Supuestos!$D$7+SQRT(D878*(Supuestos!$F$7-Supuestos!$D$7)*(Supuestos!$E$7-Supuestos!$D$7)),Supuestos!$F$7-SQRT((1-D878)*(Supuestos!$F$7-Supuestos!$D$7)*(Supuestos!$F$7-Supuestos!$E$7))),IF(Supuestos!$C$7="Uniforme",Supuestos!$D$7+D878*(Supuestos!$E$7-Supuestos!$D$7),IF(Supuestos!$C$7="Lognormal",LOGINV(D878,LN(Supuestos!$D$7)-LN(1+Supuestos!$E$7^2/Supuestos!$D$7^2)/2,SQRT(LN(1+Supuestos!$E$7^2/Supuestos!$D$7^2))),Supuestos!$D$7))))))</f>
        <v/>
      </c>
      <c r="L878" s="32">
        <f>MIN(IF(Supuestos!$H$8="",1E+99,Supuestos!$H$8),MAX(IF(Supuestos!$G$8="",-1E+99,Supuestos!$G$8),IF(Supuestos!$C$8="Normal",NORMINV(E878,Supuestos!$D$8,Supuestos!$E$8),IF(Supuestos!$C$8="Triangular",IF(E878&lt;(Supuestos!$E$8-Supuestos!$D$8)/(Supuestos!$F$8-Supuestos!$D$8),Supuestos!$D$8+SQRT(E878*(Supuestos!$F$8-Supuestos!$D$8)*(Supuestos!$E$8-Supuestos!$D$8)),Supuestos!$F$8-SQRT((1-E878)*(Supuestos!$F$8-Supuestos!$D$8)*(Supuestos!$F$8-Supuestos!$E$8))),IF(Supuestos!$C$8="Uniforme",Supuestos!$D$8+E878*(Supuestos!$E$8-Supuestos!$D$8),IF(Supuestos!$C$8="Lognormal",LOGINV(E878,LN(Supuestos!$D$8)-LN(1+Supuestos!$E$8^2/Supuestos!$D$8^2)/2,SQRT(LN(1+Supuestos!$E$8^2/Supuestos!$D$8^2))),Supuestos!$D$8))))))</f>
        <v/>
      </c>
      <c r="M878" s="32">
        <f>MIN(IF(Supuestos!$H$9="",1E+99,Supuestos!$H$9),MAX(IF(Supuestos!$G$9="",-1E+99,Supuestos!$G$9),IF(Supuestos!$C$9="Normal",NORMINV(F878,Supuestos!$D$9,Supuestos!$E$9),IF(Supuestos!$C$9="Triangular",IF(F878&lt;(Supuestos!$E$9-Supuestos!$D$9)/(Supuestos!$F$9-Supuestos!$D$9),Supuestos!$D$9+SQRT(F878*(Supuestos!$F$9-Supuestos!$D$9)*(Supuestos!$E$9-Supuestos!$D$9)),Supuestos!$F$9-SQRT((1-F878)*(Supuestos!$F$9-Supuestos!$D$9)*(Supuestos!$F$9-Supuestos!$E$9))),IF(Supuestos!$C$9="Uniforme",Supuestos!$D$9+F878*(Supuestos!$E$9-Supuestos!$D$9),IF(Supuestos!$C$9="Lognormal",LOGINV(F878,LN(Supuestos!$D$9)-LN(1+Supuestos!$E$9^2/Supuestos!$D$9^2)/2,SQRT(LN(1+Supuestos!$E$9^2/Supuestos!$D$9^2))),Supuestos!$D$9))))))</f>
        <v/>
      </c>
      <c r="N878" s="32">
        <f>MIN(IF(Supuestos!$H$10="",1E+99,Supuestos!$H$10),MAX(IF(Supuestos!$G$10="",-1E+99,Supuestos!$G$10),IF(Supuestos!$C$10="Normal",NORMINV(G878,Supuestos!$D$10,Supuestos!$E$10),IF(Supuestos!$C$10="Triangular",IF(G878&lt;(Supuestos!$E$10-Supuestos!$D$10)/(Supuestos!$F$10-Supuestos!$D$10),Supuestos!$D$10+SQRT(G878*(Supuestos!$F$10-Supuestos!$D$10)*(Supuestos!$E$10-Supuestos!$D$10)),Supuestos!$F$10-SQRT((1-G878)*(Supuestos!$F$10-Supuestos!$D$10)*(Supuestos!$F$10-Supuestos!$E$10))),IF(Supuestos!$C$10="Uniforme",Supuestos!$D$10+G878*(Supuestos!$E$10-Supuestos!$D$10),IF(Supuestos!$C$10="Lognormal",LOGINV(G878,LN(Supuestos!$D$10)-LN(1+Supuestos!$E$10^2/Supuestos!$D$10^2)/2,SQRT(LN(1+Supuestos!$E$10^2/Supuestos!$D$10^2))),Supuestos!$D$10))))))</f>
        <v/>
      </c>
      <c r="O878" s="31">
        <f>MIN(IF(Supuestos!$H$11="",1E+99,Supuestos!$H$11),MAX(IF(Supuestos!$G$11="",-1E+99,Supuestos!$G$11),IF(Supuestos!$C$11="Normal",NORMINV(H878,Supuestos!$D$11,Supuestos!$E$11),IF(Supuestos!$C$11="Triangular",IF(H878&lt;(Supuestos!$E$11-Supuestos!$D$11)/(Supuestos!$F$11-Supuestos!$D$11),Supuestos!$D$11+SQRT(H878*(Supuestos!$F$11-Supuestos!$D$11)*(Supuestos!$E$11-Supuestos!$D$11)),Supuestos!$F$11-SQRT((1-H878)*(Supuestos!$F$11-Supuestos!$D$11)*(Supuestos!$F$11-Supuestos!$E$11))),IF(Supuestos!$C$11="Uniforme",Supuestos!$D$11+H878*(Supuestos!$E$11-Supuestos!$D$11),IF(Supuestos!$C$11="Lognormal",LOGINV(H878,LN(Supuestos!$D$11)-LN(1+Supuestos!$E$11^2/Supuestos!$D$11^2)/2,SQRT(LN(1+Supuestos!$E$11^2/Supuestos!$D$11^2))),Supuestos!$D$11))))))</f>
        <v/>
      </c>
      <c r="P878" s="33">
        <f>-I878</f>
        <v/>
      </c>
      <c r="Q878" s="33">
        <f>$J878*(1+$K878)^(1-1)*(1-$L878)*(1-$M878)</f>
        <v/>
      </c>
      <c r="R878" s="33">
        <f>$J878*(1+$K878)^(2-1)*(1-$L878)*(1-$M878)</f>
        <v/>
      </c>
      <c r="S878" s="33">
        <f>$J878*(1+$K878)^(3-1)*(1-$L878)*(1-$M878)</f>
        <v/>
      </c>
      <c r="T878" s="33">
        <f>$J878*(1+$K878)^(4-1)*(1-$L878)*(1-$M878)</f>
        <v/>
      </c>
      <c r="U878" s="33">
        <f>$J878*(1+$K878)^(5-1)*(1-$L878)*(1-$M878)+$O878</f>
        <v/>
      </c>
      <c r="V878" s="33">
        <f>P878+NPV($N878,Q878:U878)</f>
        <v/>
      </c>
      <c r="W878" s="32">
        <f>IFERROR(IRR(P878:U878,0.1),"")</f>
        <v/>
      </c>
    </row>
    <row r="879">
      <c r="A879" s="14" t="n">
        <v>875</v>
      </c>
      <c r="B879" s="30">
        <f>RAND()*(1-2E-6)+1E-6</f>
        <v/>
      </c>
      <c r="C879" s="30">
        <f>RAND()*(1-2E-6)+1E-6</f>
        <v/>
      </c>
      <c r="D879" s="30">
        <f>RAND()*(1-2E-6)+1E-6</f>
        <v/>
      </c>
      <c r="E879" s="30">
        <f>RAND()*(1-2E-6)+1E-6</f>
        <v/>
      </c>
      <c r="F879" s="30">
        <f>RAND()*(1-2E-6)+1E-6</f>
        <v/>
      </c>
      <c r="G879" s="30">
        <f>RAND()*(1-2E-6)+1E-6</f>
        <v/>
      </c>
      <c r="H879" s="30">
        <f>RAND()*(1-2E-6)+1E-6</f>
        <v/>
      </c>
      <c r="I879" s="31">
        <f>MIN(IF(Supuestos!$H$5="",1E+99,Supuestos!$H$5),MAX(IF(Supuestos!$G$5="",-1E+99,Supuestos!$G$5),IF(Supuestos!$C$5="Normal",NORMINV(B879,Supuestos!$D$5,Supuestos!$E$5),IF(Supuestos!$C$5="Triangular",IF(B879&lt;(Supuestos!$E$5-Supuestos!$D$5)/(Supuestos!$F$5-Supuestos!$D$5),Supuestos!$D$5+SQRT(B879*(Supuestos!$F$5-Supuestos!$D$5)*(Supuestos!$E$5-Supuestos!$D$5)),Supuestos!$F$5-SQRT((1-B879)*(Supuestos!$F$5-Supuestos!$D$5)*(Supuestos!$F$5-Supuestos!$E$5))),IF(Supuestos!$C$5="Uniforme",Supuestos!$D$5+B879*(Supuestos!$E$5-Supuestos!$D$5),IF(Supuestos!$C$5="Lognormal",LOGINV(B879,LN(Supuestos!$D$5)-LN(1+Supuestos!$E$5^2/Supuestos!$D$5^2)/2,SQRT(LN(1+Supuestos!$E$5^2/Supuestos!$D$5^2))),Supuestos!$D$5))))))</f>
        <v/>
      </c>
      <c r="J879" s="31">
        <f>MIN(IF(Supuestos!$H$6="",1E+99,Supuestos!$H$6),MAX(IF(Supuestos!$G$6="",-1E+99,Supuestos!$G$6),IF(Supuestos!$C$6="Normal",NORMINV(C879,Supuestos!$D$6,Supuestos!$E$6),IF(Supuestos!$C$6="Triangular",IF(C879&lt;(Supuestos!$E$6-Supuestos!$D$6)/(Supuestos!$F$6-Supuestos!$D$6),Supuestos!$D$6+SQRT(C879*(Supuestos!$F$6-Supuestos!$D$6)*(Supuestos!$E$6-Supuestos!$D$6)),Supuestos!$F$6-SQRT((1-C879)*(Supuestos!$F$6-Supuestos!$D$6)*(Supuestos!$F$6-Supuestos!$E$6))),IF(Supuestos!$C$6="Uniforme",Supuestos!$D$6+C879*(Supuestos!$E$6-Supuestos!$D$6),IF(Supuestos!$C$6="Lognormal",LOGINV(C879,LN(Supuestos!$D$6)-LN(1+Supuestos!$E$6^2/Supuestos!$D$6^2)/2,SQRT(LN(1+Supuestos!$E$6^2/Supuestos!$D$6^2))),Supuestos!$D$6))))))</f>
        <v/>
      </c>
      <c r="K879" s="32">
        <f>MIN(IF(Supuestos!$H$7="",1E+99,Supuestos!$H$7),MAX(IF(Supuestos!$G$7="",-1E+99,Supuestos!$G$7),IF(Supuestos!$C$7="Normal",NORMINV(D879,Supuestos!$D$7,Supuestos!$E$7),IF(Supuestos!$C$7="Triangular",IF(D879&lt;(Supuestos!$E$7-Supuestos!$D$7)/(Supuestos!$F$7-Supuestos!$D$7),Supuestos!$D$7+SQRT(D879*(Supuestos!$F$7-Supuestos!$D$7)*(Supuestos!$E$7-Supuestos!$D$7)),Supuestos!$F$7-SQRT((1-D879)*(Supuestos!$F$7-Supuestos!$D$7)*(Supuestos!$F$7-Supuestos!$E$7))),IF(Supuestos!$C$7="Uniforme",Supuestos!$D$7+D879*(Supuestos!$E$7-Supuestos!$D$7),IF(Supuestos!$C$7="Lognormal",LOGINV(D879,LN(Supuestos!$D$7)-LN(1+Supuestos!$E$7^2/Supuestos!$D$7^2)/2,SQRT(LN(1+Supuestos!$E$7^2/Supuestos!$D$7^2))),Supuestos!$D$7))))))</f>
        <v/>
      </c>
      <c r="L879" s="32">
        <f>MIN(IF(Supuestos!$H$8="",1E+99,Supuestos!$H$8),MAX(IF(Supuestos!$G$8="",-1E+99,Supuestos!$G$8),IF(Supuestos!$C$8="Normal",NORMINV(E879,Supuestos!$D$8,Supuestos!$E$8),IF(Supuestos!$C$8="Triangular",IF(E879&lt;(Supuestos!$E$8-Supuestos!$D$8)/(Supuestos!$F$8-Supuestos!$D$8),Supuestos!$D$8+SQRT(E879*(Supuestos!$F$8-Supuestos!$D$8)*(Supuestos!$E$8-Supuestos!$D$8)),Supuestos!$F$8-SQRT((1-E879)*(Supuestos!$F$8-Supuestos!$D$8)*(Supuestos!$F$8-Supuestos!$E$8))),IF(Supuestos!$C$8="Uniforme",Supuestos!$D$8+E879*(Supuestos!$E$8-Supuestos!$D$8),IF(Supuestos!$C$8="Lognormal",LOGINV(E879,LN(Supuestos!$D$8)-LN(1+Supuestos!$E$8^2/Supuestos!$D$8^2)/2,SQRT(LN(1+Supuestos!$E$8^2/Supuestos!$D$8^2))),Supuestos!$D$8))))))</f>
        <v/>
      </c>
      <c r="M879" s="32">
        <f>MIN(IF(Supuestos!$H$9="",1E+99,Supuestos!$H$9),MAX(IF(Supuestos!$G$9="",-1E+99,Supuestos!$G$9),IF(Supuestos!$C$9="Normal",NORMINV(F879,Supuestos!$D$9,Supuestos!$E$9),IF(Supuestos!$C$9="Triangular",IF(F879&lt;(Supuestos!$E$9-Supuestos!$D$9)/(Supuestos!$F$9-Supuestos!$D$9),Supuestos!$D$9+SQRT(F879*(Supuestos!$F$9-Supuestos!$D$9)*(Supuestos!$E$9-Supuestos!$D$9)),Supuestos!$F$9-SQRT((1-F879)*(Supuestos!$F$9-Supuestos!$D$9)*(Supuestos!$F$9-Supuestos!$E$9))),IF(Supuestos!$C$9="Uniforme",Supuestos!$D$9+F879*(Supuestos!$E$9-Supuestos!$D$9),IF(Supuestos!$C$9="Lognormal",LOGINV(F879,LN(Supuestos!$D$9)-LN(1+Supuestos!$E$9^2/Supuestos!$D$9^2)/2,SQRT(LN(1+Supuestos!$E$9^2/Supuestos!$D$9^2))),Supuestos!$D$9))))))</f>
        <v/>
      </c>
      <c r="N879" s="32">
        <f>MIN(IF(Supuestos!$H$10="",1E+99,Supuestos!$H$10),MAX(IF(Supuestos!$G$10="",-1E+99,Supuestos!$G$10),IF(Supuestos!$C$10="Normal",NORMINV(G879,Supuestos!$D$10,Supuestos!$E$10),IF(Supuestos!$C$10="Triangular",IF(G879&lt;(Supuestos!$E$10-Supuestos!$D$10)/(Supuestos!$F$10-Supuestos!$D$10),Supuestos!$D$10+SQRT(G879*(Supuestos!$F$10-Supuestos!$D$10)*(Supuestos!$E$10-Supuestos!$D$10)),Supuestos!$F$10-SQRT((1-G879)*(Supuestos!$F$10-Supuestos!$D$10)*(Supuestos!$F$10-Supuestos!$E$10))),IF(Supuestos!$C$10="Uniforme",Supuestos!$D$10+G879*(Supuestos!$E$10-Supuestos!$D$10),IF(Supuestos!$C$10="Lognormal",LOGINV(G879,LN(Supuestos!$D$10)-LN(1+Supuestos!$E$10^2/Supuestos!$D$10^2)/2,SQRT(LN(1+Supuestos!$E$10^2/Supuestos!$D$10^2))),Supuestos!$D$10))))))</f>
        <v/>
      </c>
      <c r="O879" s="31">
        <f>MIN(IF(Supuestos!$H$11="",1E+99,Supuestos!$H$11),MAX(IF(Supuestos!$G$11="",-1E+99,Supuestos!$G$11),IF(Supuestos!$C$11="Normal",NORMINV(H879,Supuestos!$D$11,Supuestos!$E$11),IF(Supuestos!$C$11="Triangular",IF(H879&lt;(Supuestos!$E$11-Supuestos!$D$11)/(Supuestos!$F$11-Supuestos!$D$11),Supuestos!$D$11+SQRT(H879*(Supuestos!$F$11-Supuestos!$D$11)*(Supuestos!$E$11-Supuestos!$D$11)),Supuestos!$F$11-SQRT((1-H879)*(Supuestos!$F$11-Supuestos!$D$11)*(Supuestos!$F$11-Supuestos!$E$11))),IF(Supuestos!$C$11="Uniforme",Supuestos!$D$11+H879*(Supuestos!$E$11-Supuestos!$D$11),IF(Supuestos!$C$11="Lognormal",LOGINV(H879,LN(Supuestos!$D$11)-LN(1+Supuestos!$E$11^2/Supuestos!$D$11^2)/2,SQRT(LN(1+Supuestos!$E$11^2/Supuestos!$D$11^2))),Supuestos!$D$11))))))</f>
        <v/>
      </c>
      <c r="P879" s="33">
        <f>-I879</f>
        <v/>
      </c>
      <c r="Q879" s="33">
        <f>$J879*(1+$K879)^(1-1)*(1-$L879)*(1-$M879)</f>
        <v/>
      </c>
      <c r="R879" s="33">
        <f>$J879*(1+$K879)^(2-1)*(1-$L879)*(1-$M879)</f>
        <v/>
      </c>
      <c r="S879" s="33">
        <f>$J879*(1+$K879)^(3-1)*(1-$L879)*(1-$M879)</f>
        <v/>
      </c>
      <c r="T879" s="33">
        <f>$J879*(1+$K879)^(4-1)*(1-$L879)*(1-$M879)</f>
        <v/>
      </c>
      <c r="U879" s="33">
        <f>$J879*(1+$K879)^(5-1)*(1-$L879)*(1-$M879)+$O879</f>
        <v/>
      </c>
      <c r="V879" s="33">
        <f>P879+NPV($N879,Q879:U879)</f>
        <v/>
      </c>
      <c r="W879" s="32">
        <f>IFERROR(IRR(P879:U879,0.1),"")</f>
        <v/>
      </c>
    </row>
    <row r="880">
      <c r="A880" s="14" t="n">
        <v>876</v>
      </c>
      <c r="B880" s="30">
        <f>RAND()*(1-2E-6)+1E-6</f>
        <v/>
      </c>
      <c r="C880" s="30">
        <f>RAND()*(1-2E-6)+1E-6</f>
        <v/>
      </c>
      <c r="D880" s="30">
        <f>RAND()*(1-2E-6)+1E-6</f>
        <v/>
      </c>
      <c r="E880" s="30">
        <f>RAND()*(1-2E-6)+1E-6</f>
        <v/>
      </c>
      <c r="F880" s="30">
        <f>RAND()*(1-2E-6)+1E-6</f>
        <v/>
      </c>
      <c r="G880" s="30">
        <f>RAND()*(1-2E-6)+1E-6</f>
        <v/>
      </c>
      <c r="H880" s="30">
        <f>RAND()*(1-2E-6)+1E-6</f>
        <v/>
      </c>
      <c r="I880" s="31">
        <f>MIN(IF(Supuestos!$H$5="",1E+99,Supuestos!$H$5),MAX(IF(Supuestos!$G$5="",-1E+99,Supuestos!$G$5),IF(Supuestos!$C$5="Normal",NORMINV(B880,Supuestos!$D$5,Supuestos!$E$5),IF(Supuestos!$C$5="Triangular",IF(B880&lt;(Supuestos!$E$5-Supuestos!$D$5)/(Supuestos!$F$5-Supuestos!$D$5),Supuestos!$D$5+SQRT(B880*(Supuestos!$F$5-Supuestos!$D$5)*(Supuestos!$E$5-Supuestos!$D$5)),Supuestos!$F$5-SQRT((1-B880)*(Supuestos!$F$5-Supuestos!$D$5)*(Supuestos!$F$5-Supuestos!$E$5))),IF(Supuestos!$C$5="Uniforme",Supuestos!$D$5+B880*(Supuestos!$E$5-Supuestos!$D$5),IF(Supuestos!$C$5="Lognormal",LOGINV(B880,LN(Supuestos!$D$5)-LN(1+Supuestos!$E$5^2/Supuestos!$D$5^2)/2,SQRT(LN(1+Supuestos!$E$5^2/Supuestos!$D$5^2))),Supuestos!$D$5))))))</f>
        <v/>
      </c>
      <c r="J880" s="31">
        <f>MIN(IF(Supuestos!$H$6="",1E+99,Supuestos!$H$6),MAX(IF(Supuestos!$G$6="",-1E+99,Supuestos!$G$6),IF(Supuestos!$C$6="Normal",NORMINV(C880,Supuestos!$D$6,Supuestos!$E$6),IF(Supuestos!$C$6="Triangular",IF(C880&lt;(Supuestos!$E$6-Supuestos!$D$6)/(Supuestos!$F$6-Supuestos!$D$6),Supuestos!$D$6+SQRT(C880*(Supuestos!$F$6-Supuestos!$D$6)*(Supuestos!$E$6-Supuestos!$D$6)),Supuestos!$F$6-SQRT((1-C880)*(Supuestos!$F$6-Supuestos!$D$6)*(Supuestos!$F$6-Supuestos!$E$6))),IF(Supuestos!$C$6="Uniforme",Supuestos!$D$6+C880*(Supuestos!$E$6-Supuestos!$D$6),IF(Supuestos!$C$6="Lognormal",LOGINV(C880,LN(Supuestos!$D$6)-LN(1+Supuestos!$E$6^2/Supuestos!$D$6^2)/2,SQRT(LN(1+Supuestos!$E$6^2/Supuestos!$D$6^2))),Supuestos!$D$6))))))</f>
        <v/>
      </c>
      <c r="K880" s="32">
        <f>MIN(IF(Supuestos!$H$7="",1E+99,Supuestos!$H$7),MAX(IF(Supuestos!$G$7="",-1E+99,Supuestos!$G$7),IF(Supuestos!$C$7="Normal",NORMINV(D880,Supuestos!$D$7,Supuestos!$E$7),IF(Supuestos!$C$7="Triangular",IF(D880&lt;(Supuestos!$E$7-Supuestos!$D$7)/(Supuestos!$F$7-Supuestos!$D$7),Supuestos!$D$7+SQRT(D880*(Supuestos!$F$7-Supuestos!$D$7)*(Supuestos!$E$7-Supuestos!$D$7)),Supuestos!$F$7-SQRT((1-D880)*(Supuestos!$F$7-Supuestos!$D$7)*(Supuestos!$F$7-Supuestos!$E$7))),IF(Supuestos!$C$7="Uniforme",Supuestos!$D$7+D880*(Supuestos!$E$7-Supuestos!$D$7),IF(Supuestos!$C$7="Lognormal",LOGINV(D880,LN(Supuestos!$D$7)-LN(1+Supuestos!$E$7^2/Supuestos!$D$7^2)/2,SQRT(LN(1+Supuestos!$E$7^2/Supuestos!$D$7^2))),Supuestos!$D$7))))))</f>
        <v/>
      </c>
      <c r="L880" s="32">
        <f>MIN(IF(Supuestos!$H$8="",1E+99,Supuestos!$H$8),MAX(IF(Supuestos!$G$8="",-1E+99,Supuestos!$G$8),IF(Supuestos!$C$8="Normal",NORMINV(E880,Supuestos!$D$8,Supuestos!$E$8),IF(Supuestos!$C$8="Triangular",IF(E880&lt;(Supuestos!$E$8-Supuestos!$D$8)/(Supuestos!$F$8-Supuestos!$D$8),Supuestos!$D$8+SQRT(E880*(Supuestos!$F$8-Supuestos!$D$8)*(Supuestos!$E$8-Supuestos!$D$8)),Supuestos!$F$8-SQRT((1-E880)*(Supuestos!$F$8-Supuestos!$D$8)*(Supuestos!$F$8-Supuestos!$E$8))),IF(Supuestos!$C$8="Uniforme",Supuestos!$D$8+E880*(Supuestos!$E$8-Supuestos!$D$8),IF(Supuestos!$C$8="Lognormal",LOGINV(E880,LN(Supuestos!$D$8)-LN(1+Supuestos!$E$8^2/Supuestos!$D$8^2)/2,SQRT(LN(1+Supuestos!$E$8^2/Supuestos!$D$8^2))),Supuestos!$D$8))))))</f>
        <v/>
      </c>
      <c r="M880" s="32">
        <f>MIN(IF(Supuestos!$H$9="",1E+99,Supuestos!$H$9),MAX(IF(Supuestos!$G$9="",-1E+99,Supuestos!$G$9),IF(Supuestos!$C$9="Normal",NORMINV(F880,Supuestos!$D$9,Supuestos!$E$9),IF(Supuestos!$C$9="Triangular",IF(F880&lt;(Supuestos!$E$9-Supuestos!$D$9)/(Supuestos!$F$9-Supuestos!$D$9),Supuestos!$D$9+SQRT(F880*(Supuestos!$F$9-Supuestos!$D$9)*(Supuestos!$E$9-Supuestos!$D$9)),Supuestos!$F$9-SQRT((1-F880)*(Supuestos!$F$9-Supuestos!$D$9)*(Supuestos!$F$9-Supuestos!$E$9))),IF(Supuestos!$C$9="Uniforme",Supuestos!$D$9+F880*(Supuestos!$E$9-Supuestos!$D$9),IF(Supuestos!$C$9="Lognormal",LOGINV(F880,LN(Supuestos!$D$9)-LN(1+Supuestos!$E$9^2/Supuestos!$D$9^2)/2,SQRT(LN(1+Supuestos!$E$9^2/Supuestos!$D$9^2))),Supuestos!$D$9))))))</f>
        <v/>
      </c>
      <c r="N880" s="32">
        <f>MIN(IF(Supuestos!$H$10="",1E+99,Supuestos!$H$10),MAX(IF(Supuestos!$G$10="",-1E+99,Supuestos!$G$10),IF(Supuestos!$C$10="Normal",NORMINV(G880,Supuestos!$D$10,Supuestos!$E$10),IF(Supuestos!$C$10="Triangular",IF(G880&lt;(Supuestos!$E$10-Supuestos!$D$10)/(Supuestos!$F$10-Supuestos!$D$10),Supuestos!$D$10+SQRT(G880*(Supuestos!$F$10-Supuestos!$D$10)*(Supuestos!$E$10-Supuestos!$D$10)),Supuestos!$F$10-SQRT((1-G880)*(Supuestos!$F$10-Supuestos!$D$10)*(Supuestos!$F$10-Supuestos!$E$10))),IF(Supuestos!$C$10="Uniforme",Supuestos!$D$10+G880*(Supuestos!$E$10-Supuestos!$D$10),IF(Supuestos!$C$10="Lognormal",LOGINV(G880,LN(Supuestos!$D$10)-LN(1+Supuestos!$E$10^2/Supuestos!$D$10^2)/2,SQRT(LN(1+Supuestos!$E$10^2/Supuestos!$D$10^2))),Supuestos!$D$10))))))</f>
        <v/>
      </c>
      <c r="O880" s="31">
        <f>MIN(IF(Supuestos!$H$11="",1E+99,Supuestos!$H$11),MAX(IF(Supuestos!$G$11="",-1E+99,Supuestos!$G$11),IF(Supuestos!$C$11="Normal",NORMINV(H880,Supuestos!$D$11,Supuestos!$E$11),IF(Supuestos!$C$11="Triangular",IF(H880&lt;(Supuestos!$E$11-Supuestos!$D$11)/(Supuestos!$F$11-Supuestos!$D$11),Supuestos!$D$11+SQRT(H880*(Supuestos!$F$11-Supuestos!$D$11)*(Supuestos!$E$11-Supuestos!$D$11)),Supuestos!$F$11-SQRT((1-H880)*(Supuestos!$F$11-Supuestos!$D$11)*(Supuestos!$F$11-Supuestos!$E$11))),IF(Supuestos!$C$11="Uniforme",Supuestos!$D$11+H880*(Supuestos!$E$11-Supuestos!$D$11),IF(Supuestos!$C$11="Lognormal",LOGINV(H880,LN(Supuestos!$D$11)-LN(1+Supuestos!$E$11^2/Supuestos!$D$11^2)/2,SQRT(LN(1+Supuestos!$E$11^2/Supuestos!$D$11^2))),Supuestos!$D$11))))))</f>
        <v/>
      </c>
      <c r="P880" s="33">
        <f>-I880</f>
        <v/>
      </c>
      <c r="Q880" s="33">
        <f>$J880*(1+$K880)^(1-1)*(1-$L880)*(1-$M880)</f>
        <v/>
      </c>
      <c r="R880" s="33">
        <f>$J880*(1+$K880)^(2-1)*(1-$L880)*(1-$M880)</f>
        <v/>
      </c>
      <c r="S880" s="33">
        <f>$J880*(1+$K880)^(3-1)*(1-$L880)*(1-$M880)</f>
        <v/>
      </c>
      <c r="T880" s="33">
        <f>$J880*(1+$K880)^(4-1)*(1-$L880)*(1-$M880)</f>
        <v/>
      </c>
      <c r="U880" s="33">
        <f>$J880*(1+$K880)^(5-1)*(1-$L880)*(1-$M880)+$O880</f>
        <v/>
      </c>
      <c r="V880" s="33">
        <f>P880+NPV($N880,Q880:U880)</f>
        <v/>
      </c>
      <c r="W880" s="32">
        <f>IFERROR(IRR(P880:U880,0.1),"")</f>
        <v/>
      </c>
    </row>
    <row r="881">
      <c r="A881" s="14" t="n">
        <v>877</v>
      </c>
      <c r="B881" s="30">
        <f>RAND()*(1-2E-6)+1E-6</f>
        <v/>
      </c>
      <c r="C881" s="30">
        <f>RAND()*(1-2E-6)+1E-6</f>
        <v/>
      </c>
      <c r="D881" s="30">
        <f>RAND()*(1-2E-6)+1E-6</f>
        <v/>
      </c>
      <c r="E881" s="30">
        <f>RAND()*(1-2E-6)+1E-6</f>
        <v/>
      </c>
      <c r="F881" s="30">
        <f>RAND()*(1-2E-6)+1E-6</f>
        <v/>
      </c>
      <c r="G881" s="30">
        <f>RAND()*(1-2E-6)+1E-6</f>
        <v/>
      </c>
      <c r="H881" s="30">
        <f>RAND()*(1-2E-6)+1E-6</f>
        <v/>
      </c>
      <c r="I881" s="31">
        <f>MIN(IF(Supuestos!$H$5="",1E+99,Supuestos!$H$5),MAX(IF(Supuestos!$G$5="",-1E+99,Supuestos!$G$5),IF(Supuestos!$C$5="Normal",NORMINV(B881,Supuestos!$D$5,Supuestos!$E$5),IF(Supuestos!$C$5="Triangular",IF(B881&lt;(Supuestos!$E$5-Supuestos!$D$5)/(Supuestos!$F$5-Supuestos!$D$5),Supuestos!$D$5+SQRT(B881*(Supuestos!$F$5-Supuestos!$D$5)*(Supuestos!$E$5-Supuestos!$D$5)),Supuestos!$F$5-SQRT((1-B881)*(Supuestos!$F$5-Supuestos!$D$5)*(Supuestos!$F$5-Supuestos!$E$5))),IF(Supuestos!$C$5="Uniforme",Supuestos!$D$5+B881*(Supuestos!$E$5-Supuestos!$D$5),IF(Supuestos!$C$5="Lognormal",LOGINV(B881,LN(Supuestos!$D$5)-LN(1+Supuestos!$E$5^2/Supuestos!$D$5^2)/2,SQRT(LN(1+Supuestos!$E$5^2/Supuestos!$D$5^2))),Supuestos!$D$5))))))</f>
        <v/>
      </c>
      <c r="J881" s="31">
        <f>MIN(IF(Supuestos!$H$6="",1E+99,Supuestos!$H$6),MAX(IF(Supuestos!$G$6="",-1E+99,Supuestos!$G$6),IF(Supuestos!$C$6="Normal",NORMINV(C881,Supuestos!$D$6,Supuestos!$E$6),IF(Supuestos!$C$6="Triangular",IF(C881&lt;(Supuestos!$E$6-Supuestos!$D$6)/(Supuestos!$F$6-Supuestos!$D$6),Supuestos!$D$6+SQRT(C881*(Supuestos!$F$6-Supuestos!$D$6)*(Supuestos!$E$6-Supuestos!$D$6)),Supuestos!$F$6-SQRT((1-C881)*(Supuestos!$F$6-Supuestos!$D$6)*(Supuestos!$F$6-Supuestos!$E$6))),IF(Supuestos!$C$6="Uniforme",Supuestos!$D$6+C881*(Supuestos!$E$6-Supuestos!$D$6),IF(Supuestos!$C$6="Lognormal",LOGINV(C881,LN(Supuestos!$D$6)-LN(1+Supuestos!$E$6^2/Supuestos!$D$6^2)/2,SQRT(LN(1+Supuestos!$E$6^2/Supuestos!$D$6^2))),Supuestos!$D$6))))))</f>
        <v/>
      </c>
      <c r="K881" s="32">
        <f>MIN(IF(Supuestos!$H$7="",1E+99,Supuestos!$H$7),MAX(IF(Supuestos!$G$7="",-1E+99,Supuestos!$G$7),IF(Supuestos!$C$7="Normal",NORMINV(D881,Supuestos!$D$7,Supuestos!$E$7),IF(Supuestos!$C$7="Triangular",IF(D881&lt;(Supuestos!$E$7-Supuestos!$D$7)/(Supuestos!$F$7-Supuestos!$D$7),Supuestos!$D$7+SQRT(D881*(Supuestos!$F$7-Supuestos!$D$7)*(Supuestos!$E$7-Supuestos!$D$7)),Supuestos!$F$7-SQRT((1-D881)*(Supuestos!$F$7-Supuestos!$D$7)*(Supuestos!$F$7-Supuestos!$E$7))),IF(Supuestos!$C$7="Uniforme",Supuestos!$D$7+D881*(Supuestos!$E$7-Supuestos!$D$7),IF(Supuestos!$C$7="Lognormal",LOGINV(D881,LN(Supuestos!$D$7)-LN(1+Supuestos!$E$7^2/Supuestos!$D$7^2)/2,SQRT(LN(1+Supuestos!$E$7^2/Supuestos!$D$7^2))),Supuestos!$D$7))))))</f>
        <v/>
      </c>
      <c r="L881" s="32">
        <f>MIN(IF(Supuestos!$H$8="",1E+99,Supuestos!$H$8),MAX(IF(Supuestos!$G$8="",-1E+99,Supuestos!$G$8),IF(Supuestos!$C$8="Normal",NORMINV(E881,Supuestos!$D$8,Supuestos!$E$8),IF(Supuestos!$C$8="Triangular",IF(E881&lt;(Supuestos!$E$8-Supuestos!$D$8)/(Supuestos!$F$8-Supuestos!$D$8),Supuestos!$D$8+SQRT(E881*(Supuestos!$F$8-Supuestos!$D$8)*(Supuestos!$E$8-Supuestos!$D$8)),Supuestos!$F$8-SQRT((1-E881)*(Supuestos!$F$8-Supuestos!$D$8)*(Supuestos!$F$8-Supuestos!$E$8))),IF(Supuestos!$C$8="Uniforme",Supuestos!$D$8+E881*(Supuestos!$E$8-Supuestos!$D$8),IF(Supuestos!$C$8="Lognormal",LOGINV(E881,LN(Supuestos!$D$8)-LN(1+Supuestos!$E$8^2/Supuestos!$D$8^2)/2,SQRT(LN(1+Supuestos!$E$8^2/Supuestos!$D$8^2))),Supuestos!$D$8))))))</f>
        <v/>
      </c>
      <c r="M881" s="32">
        <f>MIN(IF(Supuestos!$H$9="",1E+99,Supuestos!$H$9),MAX(IF(Supuestos!$G$9="",-1E+99,Supuestos!$G$9),IF(Supuestos!$C$9="Normal",NORMINV(F881,Supuestos!$D$9,Supuestos!$E$9),IF(Supuestos!$C$9="Triangular",IF(F881&lt;(Supuestos!$E$9-Supuestos!$D$9)/(Supuestos!$F$9-Supuestos!$D$9),Supuestos!$D$9+SQRT(F881*(Supuestos!$F$9-Supuestos!$D$9)*(Supuestos!$E$9-Supuestos!$D$9)),Supuestos!$F$9-SQRT((1-F881)*(Supuestos!$F$9-Supuestos!$D$9)*(Supuestos!$F$9-Supuestos!$E$9))),IF(Supuestos!$C$9="Uniforme",Supuestos!$D$9+F881*(Supuestos!$E$9-Supuestos!$D$9),IF(Supuestos!$C$9="Lognormal",LOGINV(F881,LN(Supuestos!$D$9)-LN(1+Supuestos!$E$9^2/Supuestos!$D$9^2)/2,SQRT(LN(1+Supuestos!$E$9^2/Supuestos!$D$9^2))),Supuestos!$D$9))))))</f>
        <v/>
      </c>
      <c r="N881" s="32">
        <f>MIN(IF(Supuestos!$H$10="",1E+99,Supuestos!$H$10),MAX(IF(Supuestos!$G$10="",-1E+99,Supuestos!$G$10),IF(Supuestos!$C$10="Normal",NORMINV(G881,Supuestos!$D$10,Supuestos!$E$10),IF(Supuestos!$C$10="Triangular",IF(G881&lt;(Supuestos!$E$10-Supuestos!$D$10)/(Supuestos!$F$10-Supuestos!$D$10),Supuestos!$D$10+SQRT(G881*(Supuestos!$F$10-Supuestos!$D$10)*(Supuestos!$E$10-Supuestos!$D$10)),Supuestos!$F$10-SQRT((1-G881)*(Supuestos!$F$10-Supuestos!$D$10)*(Supuestos!$F$10-Supuestos!$E$10))),IF(Supuestos!$C$10="Uniforme",Supuestos!$D$10+G881*(Supuestos!$E$10-Supuestos!$D$10),IF(Supuestos!$C$10="Lognormal",LOGINV(G881,LN(Supuestos!$D$10)-LN(1+Supuestos!$E$10^2/Supuestos!$D$10^2)/2,SQRT(LN(1+Supuestos!$E$10^2/Supuestos!$D$10^2))),Supuestos!$D$10))))))</f>
        <v/>
      </c>
      <c r="O881" s="31">
        <f>MIN(IF(Supuestos!$H$11="",1E+99,Supuestos!$H$11),MAX(IF(Supuestos!$G$11="",-1E+99,Supuestos!$G$11),IF(Supuestos!$C$11="Normal",NORMINV(H881,Supuestos!$D$11,Supuestos!$E$11),IF(Supuestos!$C$11="Triangular",IF(H881&lt;(Supuestos!$E$11-Supuestos!$D$11)/(Supuestos!$F$11-Supuestos!$D$11),Supuestos!$D$11+SQRT(H881*(Supuestos!$F$11-Supuestos!$D$11)*(Supuestos!$E$11-Supuestos!$D$11)),Supuestos!$F$11-SQRT((1-H881)*(Supuestos!$F$11-Supuestos!$D$11)*(Supuestos!$F$11-Supuestos!$E$11))),IF(Supuestos!$C$11="Uniforme",Supuestos!$D$11+H881*(Supuestos!$E$11-Supuestos!$D$11),IF(Supuestos!$C$11="Lognormal",LOGINV(H881,LN(Supuestos!$D$11)-LN(1+Supuestos!$E$11^2/Supuestos!$D$11^2)/2,SQRT(LN(1+Supuestos!$E$11^2/Supuestos!$D$11^2))),Supuestos!$D$11))))))</f>
        <v/>
      </c>
      <c r="P881" s="33">
        <f>-I881</f>
        <v/>
      </c>
      <c r="Q881" s="33">
        <f>$J881*(1+$K881)^(1-1)*(1-$L881)*(1-$M881)</f>
        <v/>
      </c>
      <c r="R881" s="33">
        <f>$J881*(1+$K881)^(2-1)*(1-$L881)*(1-$M881)</f>
        <v/>
      </c>
      <c r="S881" s="33">
        <f>$J881*(1+$K881)^(3-1)*(1-$L881)*(1-$M881)</f>
        <v/>
      </c>
      <c r="T881" s="33">
        <f>$J881*(1+$K881)^(4-1)*(1-$L881)*(1-$M881)</f>
        <v/>
      </c>
      <c r="U881" s="33">
        <f>$J881*(1+$K881)^(5-1)*(1-$L881)*(1-$M881)+$O881</f>
        <v/>
      </c>
      <c r="V881" s="33">
        <f>P881+NPV($N881,Q881:U881)</f>
        <v/>
      </c>
      <c r="W881" s="32">
        <f>IFERROR(IRR(P881:U881,0.1),"")</f>
        <v/>
      </c>
    </row>
    <row r="882">
      <c r="A882" s="14" t="n">
        <v>878</v>
      </c>
      <c r="B882" s="30">
        <f>RAND()*(1-2E-6)+1E-6</f>
        <v/>
      </c>
      <c r="C882" s="30">
        <f>RAND()*(1-2E-6)+1E-6</f>
        <v/>
      </c>
      <c r="D882" s="30">
        <f>RAND()*(1-2E-6)+1E-6</f>
        <v/>
      </c>
      <c r="E882" s="30">
        <f>RAND()*(1-2E-6)+1E-6</f>
        <v/>
      </c>
      <c r="F882" s="30">
        <f>RAND()*(1-2E-6)+1E-6</f>
        <v/>
      </c>
      <c r="G882" s="30">
        <f>RAND()*(1-2E-6)+1E-6</f>
        <v/>
      </c>
      <c r="H882" s="30">
        <f>RAND()*(1-2E-6)+1E-6</f>
        <v/>
      </c>
      <c r="I882" s="31">
        <f>MIN(IF(Supuestos!$H$5="",1E+99,Supuestos!$H$5),MAX(IF(Supuestos!$G$5="",-1E+99,Supuestos!$G$5),IF(Supuestos!$C$5="Normal",NORMINV(B882,Supuestos!$D$5,Supuestos!$E$5),IF(Supuestos!$C$5="Triangular",IF(B882&lt;(Supuestos!$E$5-Supuestos!$D$5)/(Supuestos!$F$5-Supuestos!$D$5),Supuestos!$D$5+SQRT(B882*(Supuestos!$F$5-Supuestos!$D$5)*(Supuestos!$E$5-Supuestos!$D$5)),Supuestos!$F$5-SQRT((1-B882)*(Supuestos!$F$5-Supuestos!$D$5)*(Supuestos!$F$5-Supuestos!$E$5))),IF(Supuestos!$C$5="Uniforme",Supuestos!$D$5+B882*(Supuestos!$E$5-Supuestos!$D$5),IF(Supuestos!$C$5="Lognormal",LOGINV(B882,LN(Supuestos!$D$5)-LN(1+Supuestos!$E$5^2/Supuestos!$D$5^2)/2,SQRT(LN(1+Supuestos!$E$5^2/Supuestos!$D$5^2))),Supuestos!$D$5))))))</f>
        <v/>
      </c>
      <c r="J882" s="31">
        <f>MIN(IF(Supuestos!$H$6="",1E+99,Supuestos!$H$6),MAX(IF(Supuestos!$G$6="",-1E+99,Supuestos!$G$6),IF(Supuestos!$C$6="Normal",NORMINV(C882,Supuestos!$D$6,Supuestos!$E$6),IF(Supuestos!$C$6="Triangular",IF(C882&lt;(Supuestos!$E$6-Supuestos!$D$6)/(Supuestos!$F$6-Supuestos!$D$6),Supuestos!$D$6+SQRT(C882*(Supuestos!$F$6-Supuestos!$D$6)*(Supuestos!$E$6-Supuestos!$D$6)),Supuestos!$F$6-SQRT((1-C882)*(Supuestos!$F$6-Supuestos!$D$6)*(Supuestos!$F$6-Supuestos!$E$6))),IF(Supuestos!$C$6="Uniforme",Supuestos!$D$6+C882*(Supuestos!$E$6-Supuestos!$D$6),IF(Supuestos!$C$6="Lognormal",LOGINV(C882,LN(Supuestos!$D$6)-LN(1+Supuestos!$E$6^2/Supuestos!$D$6^2)/2,SQRT(LN(1+Supuestos!$E$6^2/Supuestos!$D$6^2))),Supuestos!$D$6))))))</f>
        <v/>
      </c>
      <c r="K882" s="32">
        <f>MIN(IF(Supuestos!$H$7="",1E+99,Supuestos!$H$7),MAX(IF(Supuestos!$G$7="",-1E+99,Supuestos!$G$7),IF(Supuestos!$C$7="Normal",NORMINV(D882,Supuestos!$D$7,Supuestos!$E$7),IF(Supuestos!$C$7="Triangular",IF(D882&lt;(Supuestos!$E$7-Supuestos!$D$7)/(Supuestos!$F$7-Supuestos!$D$7),Supuestos!$D$7+SQRT(D882*(Supuestos!$F$7-Supuestos!$D$7)*(Supuestos!$E$7-Supuestos!$D$7)),Supuestos!$F$7-SQRT((1-D882)*(Supuestos!$F$7-Supuestos!$D$7)*(Supuestos!$F$7-Supuestos!$E$7))),IF(Supuestos!$C$7="Uniforme",Supuestos!$D$7+D882*(Supuestos!$E$7-Supuestos!$D$7),IF(Supuestos!$C$7="Lognormal",LOGINV(D882,LN(Supuestos!$D$7)-LN(1+Supuestos!$E$7^2/Supuestos!$D$7^2)/2,SQRT(LN(1+Supuestos!$E$7^2/Supuestos!$D$7^2))),Supuestos!$D$7))))))</f>
        <v/>
      </c>
      <c r="L882" s="32">
        <f>MIN(IF(Supuestos!$H$8="",1E+99,Supuestos!$H$8),MAX(IF(Supuestos!$G$8="",-1E+99,Supuestos!$G$8),IF(Supuestos!$C$8="Normal",NORMINV(E882,Supuestos!$D$8,Supuestos!$E$8),IF(Supuestos!$C$8="Triangular",IF(E882&lt;(Supuestos!$E$8-Supuestos!$D$8)/(Supuestos!$F$8-Supuestos!$D$8),Supuestos!$D$8+SQRT(E882*(Supuestos!$F$8-Supuestos!$D$8)*(Supuestos!$E$8-Supuestos!$D$8)),Supuestos!$F$8-SQRT((1-E882)*(Supuestos!$F$8-Supuestos!$D$8)*(Supuestos!$F$8-Supuestos!$E$8))),IF(Supuestos!$C$8="Uniforme",Supuestos!$D$8+E882*(Supuestos!$E$8-Supuestos!$D$8),IF(Supuestos!$C$8="Lognormal",LOGINV(E882,LN(Supuestos!$D$8)-LN(1+Supuestos!$E$8^2/Supuestos!$D$8^2)/2,SQRT(LN(1+Supuestos!$E$8^2/Supuestos!$D$8^2))),Supuestos!$D$8))))))</f>
        <v/>
      </c>
      <c r="M882" s="32">
        <f>MIN(IF(Supuestos!$H$9="",1E+99,Supuestos!$H$9),MAX(IF(Supuestos!$G$9="",-1E+99,Supuestos!$G$9),IF(Supuestos!$C$9="Normal",NORMINV(F882,Supuestos!$D$9,Supuestos!$E$9),IF(Supuestos!$C$9="Triangular",IF(F882&lt;(Supuestos!$E$9-Supuestos!$D$9)/(Supuestos!$F$9-Supuestos!$D$9),Supuestos!$D$9+SQRT(F882*(Supuestos!$F$9-Supuestos!$D$9)*(Supuestos!$E$9-Supuestos!$D$9)),Supuestos!$F$9-SQRT((1-F882)*(Supuestos!$F$9-Supuestos!$D$9)*(Supuestos!$F$9-Supuestos!$E$9))),IF(Supuestos!$C$9="Uniforme",Supuestos!$D$9+F882*(Supuestos!$E$9-Supuestos!$D$9),IF(Supuestos!$C$9="Lognormal",LOGINV(F882,LN(Supuestos!$D$9)-LN(1+Supuestos!$E$9^2/Supuestos!$D$9^2)/2,SQRT(LN(1+Supuestos!$E$9^2/Supuestos!$D$9^2))),Supuestos!$D$9))))))</f>
        <v/>
      </c>
      <c r="N882" s="32">
        <f>MIN(IF(Supuestos!$H$10="",1E+99,Supuestos!$H$10),MAX(IF(Supuestos!$G$10="",-1E+99,Supuestos!$G$10),IF(Supuestos!$C$10="Normal",NORMINV(G882,Supuestos!$D$10,Supuestos!$E$10),IF(Supuestos!$C$10="Triangular",IF(G882&lt;(Supuestos!$E$10-Supuestos!$D$10)/(Supuestos!$F$10-Supuestos!$D$10),Supuestos!$D$10+SQRT(G882*(Supuestos!$F$10-Supuestos!$D$10)*(Supuestos!$E$10-Supuestos!$D$10)),Supuestos!$F$10-SQRT((1-G882)*(Supuestos!$F$10-Supuestos!$D$10)*(Supuestos!$F$10-Supuestos!$E$10))),IF(Supuestos!$C$10="Uniforme",Supuestos!$D$10+G882*(Supuestos!$E$10-Supuestos!$D$10),IF(Supuestos!$C$10="Lognormal",LOGINV(G882,LN(Supuestos!$D$10)-LN(1+Supuestos!$E$10^2/Supuestos!$D$10^2)/2,SQRT(LN(1+Supuestos!$E$10^2/Supuestos!$D$10^2))),Supuestos!$D$10))))))</f>
        <v/>
      </c>
      <c r="O882" s="31">
        <f>MIN(IF(Supuestos!$H$11="",1E+99,Supuestos!$H$11),MAX(IF(Supuestos!$G$11="",-1E+99,Supuestos!$G$11),IF(Supuestos!$C$11="Normal",NORMINV(H882,Supuestos!$D$11,Supuestos!$E$11),IF(Supuestos!$C$11="Triangular",IF(H882&lt;(Supuestos!$E$11-Supuestos!$D$11)/(Supuestos!$F$11-Supuestos!$D$11),Supuestos!$D$11+SQRT(H882*(Supuestos!$F$11-Supuestos!$D$11)*(Supuestos!$E$11-Supuestos!$D$11)),Supuestos!$F$11-SQRT((1-H882)*(Supuestos!$F$11-Supuestos!$D$11)*(Supuestos!$F$11-Supuestos!$E$11))),IF(Supuestos!$C$11="Uniforme",Supuestos!$D$11+H882*(Supuestos!$E$11-Supuestos!$D$11),IF(Supuestos!$C$11="Lognormal",LOGINV(H882,LN(Supuestos!$D$11)-LN(1+Supuestos!$E$11^2/Supuestos!$D$11^2)/2,SQRT(LN(1+Supuestos!$E$11^2/Supuestos!$D$11^2))),Supuestos!$D$11))))))</f>
        <v/>
      </c>
      <c r="P882" s="33">
        <f>-I882</f>
        <v/>
      </c>
      <c r="Q882" s="33">
        <f>$J882*(1+$K882)^(1-1)*(1-$L882)*(1-$M882)</f>
        <v/>
      </c>
      <c r="R882" s="33">
        <f>$J882*(1+$K882)^(2-1)*(1-$L882)*(1-$M882)</f>
        <v/>
      </c>
      <c r="S882" s="33">
        <f>$J882*(1+$K882)^(3-1)*(1-$L882)*(1-$M882)</f>
        <v/>
      </c>
      <c r="T882" s="33">
        <f>$J882*(1+$K882)^(4-1)*(1-$L882)*(1-$M882)</f>
        <v/>
      </c>
      <c r="U882" s="33">
        <f>$J882*(1+$K882)^(5-1)*(1-$L882)*(1-$M882)+$O882</f>
        <v/>
      </c>
      <c r="V882" s="33">
        <f>P882+NPV($N882,Q882:U882)</f>
        <v/>
      </c>
      <c r="W882" s="32">
        <f>IFERROR(IRR(P882:U882,0.1),"")</f>
        <v/>
      </c>
    </row>
    <row r="883">
      <c r="A883" s="14" t="n">
        <v>879</v>
      </c>
      <c r="B883" s="30">
        <f>RAND()*(1-2E-6)+1E-6</f>
        <v/>
      </c>
      <c r="C883" s="30">
        <f>RAND()*(1-2E-6)+1E-6</f>
        <v/>
      </c>
      <c r="D883" s="30">
        <f>RAND()*(1-2E-6)+1E-6</f>
        <v/>
      </c>
      <c r="E883" s="30">
        <f>RAND()*(1-2E-6)+1E-6</f>
        <v/>
      </c>
      <c r="F883" s="30">
        <f>RAND()*(1-2E-6)+1E-6</f>
        <v/>
      </c>
      <c r="G883" s="30">
        <f>RAND()*(1-2E-6)+1E-6</f>
        <v/>
      </c>
      <c r="H883" s="30">
        <f>RAND()*(1-2E-6)+1E-6</f>
        <v/>
      </c>
      <c r="I883" s="31">
        <f>MIN(IF(Supuestos!$H$5="",1E+99,Supuestos!$H$5),MAX(IF(Supuestos!$G$5="",-1E+99,Supuestos!$G$5),IF(Supuestos!$C$5="Normal",NORMINV(B883,Supuestos!$D$5,Supuestos!$E$5),IF(Supuestos!$C$5="Triangular",IF(B883&lt;(Supuestos!$E$5-Supuestos!$D$5)/(Supuestos!$F$5-Supuestos!$D$5),Supuestos!$D$5+SQRT(B883*(Supuestos!$F$5-Supuestos!$D$5)*(Supuestos!$E$5-Supuestos!$D$5)),Supuestos!$F$5-SQRT((1-B883)*(Supuestos!$F$5-Supuestos!$D$5)*(Supuestos!$F$5-Supuestos!$E$5))),IF(Supuestos!$C$5="Uniforme",Supuestos!$D$5+B883*(Supuestos!$E$5-Supuestos!$D$5),IF(Supuestos!$C$5="Lognormal",LOGINV(B883,LN(Supuestos!$D$5)-LN(1+Supuestos!$E$5^2/Supuestos!$D$5^2)/2,SQRT(LN(1+Supuestos!$E$5^2/Supuestos!$D$5^2))),Supuestos!$D$5))))))</f>
        <v/>
      </c>
      <c r="J883" s="31">
        <f>MIN(IF(Supuestos!$H$6="",1E+99,Supuestos!$H$6),MAX(IF(Supuestos!$G$6="",-1E+99,Supuestos!$G$6),IF(Supuestos!$C$6="Normal",NORMINV(C883,Supuestos!$D$6,Supuestos!$E$6),IF(Supuestos!$C$6="Triangular",IF(C883&lt;(Supuestos!$E$6-Supuestos!$D$6)/(Supuestos!$F$6-Supuestos!$D$6),Supuestos!$D$6+SQRT(C883*(Supuestos!$F$6-Supuestos!$D$6)*(Supuestos!$E$6-Supuestos!$D$6)),Supuestos!$F$6-SQRT((1-C883)*(Supuestos!$F$6-Supuestos!$D$6)*(Supuestos!$F$6-Supuestos!$E$6))),IF(Supuestos!$C$6="Uniforme",Supuestos!$D$6+C883*(Supuestos!$E$6-Supuestos!$D$6),IF(Supuestos!$C$6="Lognormal",LOGINV(C883,LN(Supuestos!$D$6)-LN(1+Supuestos!$E$6^2/Supuestos!$D$6^2)/2,SQRT(LN(1+Supuestos!$E$6^2/Supuestos!$D$6^2))),Supuestos!$D$6))))))</f>
        <v/>
      </c>
      <c r="K883" s="32">
        <f>MIN(IF(Supuestos!$H$7="",1E+99,Supuestos!$H$7),MAX(IF(Supuestos!$G$7="",-1E+99,Supuestos!$G$7),IF(Supuestos!$C$7="Normal",NORMINV(D883,Supuestos!$D$7,Supuestos!$E$7),IF(Supuestos!$C$7="Triangular",IF(D883&lt;(Supuestos!$E$7-Supuestos!$D$7)/(Supuestos!$F$7-Supuestos!$D$7),Supuestos!$D$7+SQRT(D883*(Supuestos!$F$7-Supuestos!$D$7)*(Supuestos!$E$7-Supuestos!$D$7)),Supuestos!$F$7-SQRT((1-D883)*(Supuestos!$F$7-Supuestos!$D$7)*(Supuestos!$F$7-Supuestos!$E$7))),IF(Supuestos!$C$7="Uniforme",Supuestos!$D$7+D883*(Supuestos!$E$7-Supuestos!$D$7),IF(Supuestos!$C$7="Lognormal",LOGINV(D883,LN(Supuestos!$D$7)-LN(1+Supuestos!$E$7^2/Supuestos!$D$7^2)/2,SQRT(LN(1+Supuestos!$E$7^2/Supuestos!$D$7^2))),Supuestos!$D$7))))))</f>
        <v/>
      </c>
      <c r="L883" s="32">
        <f>MIN(IF(Supuestos!$H$8="",1E+99,Supuestos!$H$8),MAX(IF(Supuestos!$G$8="",-1E+99,Supuestos!$G$8),IF(Supuestos!$C$8="Normal",NORMINV(E883,Supuestos!$D$8,Supuestos!$E$8),IF(Supuestos!$C$8="Triangular",IF(E883&lt;(Supuestos!$E$8-Supuestos!$D$8)/(Supuestos!$F$8-Supuestos!$D$8),Supuestos!$D$8+SQRT(E883*(Supuestos!$F$8-Supuestos!$D$8)*(Supuestos!$E$8-Supuestos!$D$8)),Supuestos!$F$8-SQRT((1-E883)*(Supuestos!$F$8-Supuestos!$D$8)*(Supuestos!$F$8-Supuestos!$E$8))),IF(Supuestos!$C$8="Uniforme",Supuestos!$D$8+E883*(Supuestos!$E$8-Supuestos!$D$8),IF(Supuestos!$C$8="Lognormal",LOGINV(E883,LN(Supuestos!$D$8)-LN(1+Supuestos!$E$8^2/Supuestos!$D$8^2)/2,SQRT(LN(1+Supuestos!$E$8^2/Supuestos!$D$8^2))),Supuestos!$D$8))))))</f>
        <v/>
      </c>
      <c r="M883" s="32">
        <f>MIN(IF(Supuestos!$H$9="",1E+99,Supuestos!$H$9),MAX(IF(Supuestos!$G$9="",-1E+99,Supuestos!$G$9),IF(Supuestos!$C$9="Normal",NORMINV(F883,Supuestos!$D$9,Supuestos!$E$9),IF(Supuestos!$C$9="Triangular",IF(F883&lt;(Supuestos!$E$9-Supuestos!$D$9)/(Supuestos!$F$9-Supuestos!$D$9),Supuestos!$D$9+SQRT(F883*(Supuestos!$F$9-Supuestos!$D$9)*(Supuestos!$E$9-Supuestos!$D$9)),Supuestos!$F$9-SQRT((1-F883)*(Supuestos!$F$9-Supuestos!$D$9)*(Supuestos!$F$9-Supuestos!$E$9))),IF(Supuestos!$C$9="Uniforme",Supuestos!$D$9+F883*(Supuestos!$E$9-Supuestos!$D$9),IF(Supuestos!$C$9="Lognormal",LOGINV(F883,LN(Supuestos!$D$9)-LN(1+Supuestos!$E$9^2/Supuestos!$D$9^2)/2,SQRT(LN(1+Supuestos!$E$9^2/Supuestos!$D$9^2))),Supuestos!$D$9))))))</f>
        <v/>
      </c>
      <c r="N883" s="32">
        <f>MIN(IF(Supuestos!$H$10="",1E+99,Supuestos!$H$10),MAX(IF(Supuestos!$G$10="",-1E+99,Supuestos!$G$10),IF(Supuestos!$C$10="Normal",NORMINV(G883,Supuestos!$D$10,Supuestos!$E$10),IF(Supuestos!$C$10="Triangular",IF(G883&lt;(Supuestos!$E$10-Supuestos!$D$10)/(Supuestos!$F$10-Supuestos!$D$10),Supuestos!$D$10+SQRT(G883*(Supuestos!$F$10-Supuestos!$D$10)*(Supuestos!$E$10-Supuestos!$D$10)),Supuestos!$F$10-SQRT((1-G883)*(Supuestos!$F$10-Supuestos!$D$10)*(Supuestos!$F$10-Supuestos!$E$10))),IF(Supuestos!$C$10="Uniforme",Supuestos!$D$10+G883*(Supuestos!$E$10-Supuestos!$D$10),IF(Supuestos!$C$10="Lognormal",LOGINV(G883,LN(Supuestos!$D$10)-LN(1+Supuestos!$E$10^2/Supuestos!$D$10^2)/2,SQRT(LN(1+Supuestos!$E$10^2/Supuestos!$D$10^2))),Supuestos!$D$10))))))</f>
        <v/>
      </c>
      <c r="O883" s="31">
        <f>MIN(IF(Supuestos!$H$11="",1E+99,Supuestos!$H$11),MAX(IF(Supuestos!$G$11="",-1E+99,Supuestos!$G$11),IF(Supuestos!$C$11="Normal",NORMINV(H883,Supuestos!$D$11,Supuestos!$E$11),IF(Supuestos!$C$11="Triangular",IF(H883&lt;(Supuestos!$E$11-Supuestos!$D$11)/(Supuestos!$F$11-Supuestos!$D$11),Supuestos!$D$11+SQRT(H883*(Supuestos!$F$11-Supuestos!$D$11)*(Supuestos!$E$11-Supuestos!$D$11)),Supuestos!$F$11-SQRT((1-H883)*(Supuestos!$F$11-Supuestos!$D$11)*(Supuestos!$F$11-Supuestos!$E$11))),IF(Supuestos!$C$11="Uniforme",Supuestos!$D$11+H883*(Supuestos!$E$11-Supuestos!$D$11),IF(Supuestos!$C$11="Lognormal",LOGINV(H883,LN(Supuestos!$D$11)-LN(1+Supuestos!$E$11^2/Supuestos!$D$11^2)/2,SQRT(LN(1+Supuestos!$E$11^2/Supuestos!$D$11^2))),Supuestos!$D$11))))))</f>
        <v/>
      </c>
      <c r="P883" s="33">
        <f>-I883</f>
        <v/>
      </c>
      <c r="Q883" s="33">
        <f>$J883*(1+$K883)^(1-1)*(1-$L883)*(1-$M883)</f>
        <v/>
      </c>
      <c r="R883" s="33">
        <f>$J883*(1+$K883)^(2-1)*(1-$L883)*(1-$M883)</f>
        <v/>
      </c>
      <c r="S883" s="33">
        <f>$J883*(1+$K883)^(3-1)*(1-$L883)*(1-$M883)</f>
        <v/>
      </c>
      <c r="T883" s="33">
        <f>$J883*(1+$K883)^(4-1)*(1-$L883)*(1-$M883)</f>
        <v/>
      </c>
      <c r="U883" s="33">
        <f>$J883*(1+$K883)^(5-1)*(1-$L883)*(1-$M883)+$O883</f>
        <v/>
      </c>
      <c r="V883" s="33">
        <f>P883+NPV($N883,Q883:U883)</f>
        <v/>
      </c>
      <c r="W883" s="32">
        <f>IFERROR(IRR(P883:U883,0.1),"")</f>
        <v/>
      </c>
    </row>
    <row r="884">
      <c r="A884" s="14" t="n">
        <v>880</v>
      </c>
      <c r="B884" s="30">
        <f>RAND()*(1-2E-6)+1E-6</f>
        <v/>
      </c>
      <c r="C884" s="30">
        <f>RAND()*(1-2E-6)+1E-6</f>
        <v/>
      </c>
      <c r="D884" s="30">
        <f>RAND()*(1-2E-6)+1E-6</f>
        <v/>
      </c>
      <c r="E884" s="30">
        <f>RAND()*(1-2E-6)+1E-6</f>
        <v/>
      </c>
      <c r="F884" s="30">
        <f>RAND()*(1-2E-6)+1E-6</f>
        <v/>
      </c>
      <c r="G884" s="30">
        <f>RAND()*(1-2E-6)+1E-6</f>
        <v/>
      </c>
      <c r="H884" s="30">
        <f>RAND()*(1-2E-6)+1E-6</f>
        <v/>
      </c>
      <c r="I884" s="31">
        <f>MIN(IF(Supuestos!$H$5="",1E+99,Supuestos!$H$5),MAX(IF(Supuestos!$G$5="",-1E+99,Supuestos!$G$5),IF(Supuestos!$C$5="Normal",NORMINV(B884,Supuestos!$D$5,Supuestos!$E$5),IF(Supuestos!$C$5="Triangular",IF(B884&lt;(Supuestos!$E$5-Supuestos!$D$5)/(Supuestos!$F$5-Supuestos!$D$5),Supuestos!$D$5+SQRT(B884*(Supuestos!$F$5-Supuestos!$D$5)*(Supuestos!$E$5-Supuestos!$D$5)),Supuestos!$F$5-SQRT((1-B884)*(Supuestos!$F$5-Supuestos!$D$5)*(Supuestos!$F$5-Supuestos!$E$5))),IF(Supuestos!$C$5="Uniforme",Supuestos!$D$5+B884*(Supuestos!$E$5-Supuestos!$D$5),IF(Supuestos!$C$5="Lognormal",LOGINV(B884,LN(Supuestos!$D$5)-LN(1+Supuestos!$E$5^2/Supuestos!$D$5^2)/2,SQRT(LN(1+Supuestos!$E$5^2/Supuestos!$D$5^2))),Supuestos!$D$5))))))</f>
        <v/>
      </c>
      <c r="J884" s="31">
        <f>MIN(IF(Supuestos!$H$6="",1E+99,Supuestos!$H$6),MAX(IF(Supuestos!$G$6="",-1E+99,Supuestos!$G$6),IF(Supuestos!$C$6="Normal",NORMINV(C884,Supuestos!$D$6,Supuestos!$E$6),IF(Supuestos!$C$6="Triangular",IF(C884&lt;(Supuestos!$E$6-Supuestos!$D$6)/(Supuestos!$F$6-Supuestos!$D$6),Supuestos!$D$6+SQRT(C884*(Supuestos!$F$6-Supuestos!$D$6)*(Supuestos!$E$6-Supuestos!$D$6)),Supuestos!$F$6-SQRT((1-C884)*(Supuestos!$F$6-Supuestos!$D$6)*(Supuestos!$F$6-Supuestos!$E$6))),IF(Supuestos!$C$6="Uniforme",Supuestos!$D$6+C884*(Supuestos!$E$6-Supuestos!$D$6),IF(Supuestos!$C$6="Lognormal",LOGINV(C884,LN(Supuestos!$D$6)-LN(1+Supuestos!$E$6^2/Supuestos!$D$6^2)/2,SQRT(LN(1+Supuestos!$E$6^2/Supuestos!$D$6^2))),Supuestos!$D$6))))))</f>
        <v/>
      </c>
      <c r="K884" s="32">
        <f>MIN(IF(Supuestos!$H$7="",1E+99,Supuestos!$H$7),MAX(IF(Supuestos!$G$7="",-1E+99,Supuestos!$G$7),IF(Supuestos!$C$7="Normal",NORMINV(D884,Supuestos!$D$7,Supuestos!$E$7),IF(Supuestos!$C$7="Triangular",IF(D884&lt;(Supuestos!$E$7-Supuestos!$D$7)/(Supuestos!$F$7-Supuestos!$D$7),Supuestos!$D$7+SQRT(D884*(Supuestos!$F$7-Supuestos!$D$7)*(Supuestos!$E$7-Supuestos!$D$7)),Supuestos!$F$7-SQRT((1-D884)*(Supuestos!$F$7-Supuestos!$D$7)*(Supuestos!$F$7-Supuestos!$E$7))),IF(Supuestos!$C$7="Uniforme",Supuestos!$D$7+D884*(Supuestos!$E$7-Supuestos!$D$7),IF(Supuestos!$C$7="Lognormal",LOGINV(D884,LN(Supuestos!$D$7)-LN(1+Supuestos!$E$7^2/Supuestos!$D$7^2)/2,SQRT(LN(1+Supuestos!$E$7^2/Supuestos!$D$7^2))),Supuestos!$D$7))))))</f>
        <v/>
      </c>
      <c r="L884" s="32">
        <f>MIN(IF(Supuestos!$H$8="",1E+99,Supuestos!$H$8),MAX(IF(Supuestos!$G$8="",-1E+99,Supuestos!$G$8),IF(Supuestos!$C$8="Normal",NORMINV(E884,Supuestos!$D$8,Supuestos!$E$8),IF(Supuestos!$C$8="Triangular",IF(E884&lt;(Supuestos!$E$8-Supuestos!$D$8)/(Supuestos!$F$8-Supuestos!$D$8),Supuestos!$D$8+SQRT(E884*(Supuestos!$F$8-Supuestos!$D$8)*(Supuestos!$E$8-Supuestos!$D$8)),Supuestos!$F$8-SQRT((1-E884)*(Supuestos!$F$8-Supuestos!$D$8)*(Supuestos!$F$8-Supuestos!$E$8))),IF(Supuestos!$C$8="Uniforme",Supuestos!$D$8+E884*(Supuestos!$E$8-Supuestos!$D$8),IF(Supuestos!$C$8="Lognormal",LOGINV(E884,LN(Supuestos!$D$8)-LN(1+Supuestos!$E$8^2/Supuestos!$D$8^2)/2,SQRT(LN(1+Supuestos!$E$8^2/Supuestos!$D$8^2))),Supuestos!$D$8))))))</f>
        <v/>
      </c>
      <c r="M884" s="32">
        <f>MIN(IF(Supuestos!$H$9="",1E+99,Supuestos!$H$9),MAX(IF(Supuestos!$G$9="",-1E+99,Supuestos!$G$9),IF(Supuestos!$C$9="Normal",NORMINV(F884,Supuestos!$D$9,Supuestos!$E$9),IF(Supuestos!$C$9="Triangular",IF(F884&lt;(Supuestos!$E$9-Supuestos!$D$9)/(Supuestos!$F$9-Supuestos!$D$9),Supuestos!$D$9+SQRT(F884*(Supuestos!$F$9-Supuestos!$D$9)*(Supuestos!$E$9-Supuestos!$D$9)),Supuestos!$F$9-SQRT((1-F884)*(Supuestos!$F$9-Supuestos!$D$9)*(Supuestos!$F$9-Supuestos!$E$9))),IF(Supuestos!$C$9="Uniforme",Supuestos!$D$9+F884*(Supuestos!$E$9-Supuestos!$D$9),IF(Supuestos!$C$9="Lognormal",LOGINV(F884,LN(Supuestos!$D$9)-LN(1+Supuestos!$E$9^2/Supuestos!$D$9^2)/2,SQRT(LN(1+Supuestos!$E$9^2/Supuestos!$D$9^2))),Supuestos!$D$9))))))</f>
        <v/>
      </c>
      <c r="N884" s="32">
        <f>MIN(IF(Supuestos!$H$10="",1E+99,Supuestos!$H$10),MAX(IF(Supuestos!$G$10="",-1E+99,Supuestos!$G$10),IF(Supuestos!$C$10="Normal",NORMINV(G884,Supuestos!$D$10,Supuestos!$E$10),IF(Supuestos!$C$10="Triangular",IF(G884&lt;(Supuestos!$E$10-Supuestos!$D$10)/(Supuestos!$F$10-Supuestos!$D$10),Supuestos!$D$10+SQRT(G884*(Supuestos!$F$10-Supuestos!$D$10)*(Supuestos!$E$10-Supuestos!$D$10)),Supuestos!$F$10-SQRT((1-G884)*(Supuestos!$F$10-Supuestos!$D$10)*(Supuestos!$F$10-Supuestos!$E$10))),IF(Supuestos!$C$10="Uniforme",Supuestos!$D$10+G884*(Supuestos!$E$10-Supuestos!$D$10),IF(Supuestos!$C$10="Lognormal",LOGINV(G884,LN(Supuestos!$D$10)-LN(1+Supuestos!$E$10^2/Supuestos!$D$10^2)/2,SQRT(LN(1+Supuestos!$E$10^2/Supuestos!$D$10^2))),Supuestos!$D$10))))))</f>
        <v/>
      </c>
      <c r="O884" s="31">
        <f>MIN(IF(Supuestos!$H$11="",1E+99,Supuestos!$H$11),MAX(IF(Supuestos!$G$11="",-1E+99,Supuestos!$G$11),IF(Supuestos!$C$11="Normal",NORMINV(H884,Supuestos!$D$11,Supuestos!$E$11),IF(Supuestos!$C$11="Triangular",IF(H884&lt;(Supuestos!$E$11-Supuestos!$D$11)/(Supuestos!$F$11-Supuestos!$D$11),Supuestos!$D$11+SQRT(H884*(Supuestos!$F$11-Supuestos!$D$11)*(Supuestos!$E$11-Supuestos!$D$11)),Supuestos!$F$11-SQRT((1-H884)*(Supuestos!$F$11-Supuestos!$D$11)*(Supuestos!$F$11-Supuestos!$E$11))),IF(Supuestos!$C$11="Uniforme",Supuestos!$D$11+H884*(Supuestos!$E$11-Supuestos!$D$11),IF(Supuestos!$C$11="Lognormal",LOGINV(H884,LN(Supuestos!$D$11)-LN(1+Supuestos!$E$11^2/Supuestos!$D$11^2)/2,SQRT(LN(1+Supuestos!$E$11^2/Supuestos!$D$11^2))),Supuestos!$D$11))))))</f>
        <v/>
      </c>
      <c r="P884" s="33">
        <f>-I884</f>
        <v/>
      </c>
      <c r="Q884" s="33">
        <f>$J884*(1+$K884)^(1-1)*(1-$L884)*(1-$M884)</f>
        <v/>
      </c>
      <c r="R884" s="33">
        <f>$J884*(1+$K884)^(2-1)*(1-$L884)*(1-$M884)</f>
        <v/>
      </c>
      <c r="S884" s="33">
        <f>$J884*(1+$K884)^(3-1)*(1-$L884)*(1-$M884)</f>
        <v/>
      </c>
      <c r="T884" s="33">
        <f>$J884*(1+$K884)^(4-1)*(1-$L884)*(1-$M884)</f>
        <v/>
      </c>
      <c r="U884" s="33">
        <f>$J884*(1+$K884)^(5-1)*(1-$L884)*(1-$M884)+$O884</f>
        <v/>
      </c>
      <c r="V884" s="33">
        <f>P884+NPV($N884,Q884:U884)</f>
        <v/>
      </c>
      <c r="W884" s="32">
        <f>IFERROR(IRR(P884:U884,0.1),"")</f>
        <v/>
      </c>
    </row>
    <row r="885">
      <c r="A885" s="14" t="n">
        <v>881</v>
      </c>
      <c r="B885" s="30">
        <f>RAND()*(1-2E-6)+1E-6</f>
        <v/>
      </c>
      <c r="C885" s="30">
        <f>RAND()*(1-2E-6)+1E-6</f>
        <v/>
      </c>
      <c r="D885" s="30">
        <f>RAND()*(1-2E-6)+1E-6</f>
        <v/>
      </c>
      <c r="E885" s="30">
        <f>RAND()*(1-2E-6)+1E-6</f>
        <v/>
      </c>
      <c r="F885" s="30">
        <f>RAND()*(1-2E-6)+1E-6</f>
        <v/>
      </c>
      <c r="G885" s="30">
        <f>RAND()*(1-2E-6)+1E-6</f>
        <v/>
      </c>
      <c r="H885" s="30">
        <f>RAND()*(1-2E-6)+1E-6</f>
        <v/>
      </c>
      <c r="I885" s="31">
        <f>MIN(IF(Supuestos!$H$5="",1E+99,Supuestos!$H$5),MAX(IF(Supuestos!$G$5="",-1E+99,Supuestos!$G$5),IF(Supuestos!$C$5="Normal",NORMINV(B885,Supuestos!$D$5,Supuestos!$E$5),IF(Supuestos!$C$5="Triangular",IF(B885&lt;(Supuestos!$E$5-Supuestos!$D$5)/(Supuestos!$F$5-Supuestos!$D$5),Supuestos!$D$5+SQRT(B885*(Supuestos!$F$5-Supuestos!$D$5)*(Supuestos!$E$5-Supuestos!$D$5)),Supuestos!$F$5-SQRT((1-B885)*(Supuestos!$F$5-Supuestos!$D$5)*(Supuestos!$F$5-Supuestos!$E$5))),IF(Supuestos!$C$5="Uniforme",Supuestos!$D$5+B885*(Supuestos!$E$5-Supuestos!$D$5),IF(Supuestos!$C$5="Lognormal",LOGINV(B885,LN(Supuestos!$D$5)-LN(1+Supuestos!$E$5^2/Supuestos!$D$5^2)/2,SQRT(LN(1+Supuestos!$E$5^2/Supuestos!$D$5^2))),Supuestos!$D$5))))))</f>
        <v/>
      </c>
      <c r="J885" s="31">
        <f>MIN(IF(Supuestos!$H$6="",1E+99,Supuestos!$H$6),MAX(IF(Supuestos!$G$6="",-1E+99,Supuestos!$G$6),IF(Supuestos!$C$6="Normal",NORMINV(C885,Supuestos!$D$6,Supuestos!$E$6),IF(Supuestos!$C$6="Triangular",IF(C885&lt;(Supuestos!$E$6-Supuestos!$D$6)/(Supuestos!$F$6-Supuestos!$D$6),Supuestos!$D$6+SQRT(C885*(Supuestos!$F$6-Supuestos!$D$6)*(Supuestos!$E$6-Supuestos!$D$6)),Supuestos!$F$6-SQRT((1-C885)*(Supuestos!$F$6-Supuestos!$D$6)*(Supuestos!$F$6-Supuestos!$E$6))),IF(Supuestos!$C$6="Uniforme",Supuestos!$D$6+C885*(Supuestos!$E$6-Supuestos!$D$6),IF(Supuestos!$C$6="Lognormal",LOGINV(C885,LN(Supuestos!$D$6)-LN(1+Supuestos!$E$6^2/Supuestos!$D$6^2)/2,SQRT(LN(1+Supuestos!$E$6^2/Supuestos!$D$6^2))),Supuestos!$D$6))))))</f>
        <v/>
      </c>
      <c r="K885" s="32">
        <f>MIN(IF(Supuestos!$H$7="",1E+99,Supuestos!$H$7),MAX(IF(Supuestos!$G$7="",-1E+99,Supuestos!$G$7),IF(Supuestos!$C$7="Normal",NORMINV(D885,Supuestos!$D$7,Supuestos!$E$7),IF(Supuestos!$C$7="Triangular",IF(D885&lt;(Supuestos!$E$7-Supuestos!$D$7)/(Supuestos!$F$7-Supuestos!$D$7),Supuestos!$D$7+SQRT(D885*(Supuestos!$F$7-Supuestos!$D$7)*(Supuestos!$E$7-Supuestos!$D$7)),Supuestos!$F$7-SQRT((1-D885)*(Supuestos!$F$7-Supuestos!$D$7)*(Supuestos!$F$7-Supuestos!$E$7))),IF(Supuestos!$C$7="Uniforme",Supuestos!$D$7+D885*(Supuestos!$E$7-Supuestos!$D$7),IF(Supuestos!$C$7="Lognormal",LOGINV(D885,LN(Supuestos!$D$7)-LN(1+Supuestos!$E$7^2/Supuestos!$D$7^2)/2,SQRT(LN(1+Supuestos!$E$7^2/Supuestos!$D$7^2))),Supuestos!$D$7))))))</f>
        <v/>
      </c>
      <c r="L885" s="32">
        <f>MIN(IF(Supuestos!$H$8="",1E+99,Supuestos!$H$8),MAX(IF(Supuestos!$G$8="",-1E+99,Supuestos!$G$8),IF(Supuestos!$C$8="Normal",NORMINV(E885,Supuestos!$D$8,Supuestos!$E$8),IF(Supuestos!$C$8="Triangular",IF(E885&lt;(Supuestos!$E$8-Supuestos!$D$8)/(Supuestos!$F$8-Supuestos!$D$8),Supuestos!$D$8+SQRT(E885*(Supuestos!$F$8-Supuestos!$D$8)*(Supuestos!$E$8-Supuestos!$D$8)),Supuestos!$F$8-SQRT((1-E885)*(Supuestos!$F$8-Supuestos!$D$8)*(Supuestos!$F$8-Supuestos!$E$8))),IF(Supuestos!$C$8="Uniforme",Supuestos!$D$8+E885*(Supuestos!$E$8-Supuestos!$D$8),IF(Supuestos!$C$8="Lognormal",LOGINV(E885,LN(Supuestos!$D$8)-LN(1+Supuestos!$E$8^2/Supuestos!$D$8^2)/2,SQRT(LN(1+Supuestos!$E$8^2/Supuestos!$D$8^2))),Supuestos!$D$8))))))</f>
        <v/>
      </c>
      <c r="M885" s="32">
        <f>MIN(IF(Supuestos!$H$9="",1E+99,Supuestos!$H$9),MAX(IF(Supuestos!$G$9="",-1E+99,Supuestos!$G$9),IF(Supuestos!$C$9="Normal",NORMINV(F885,Supuestos!$D$9,Supuestos!$E$9),IF(Supuestos!$C$9="Triangular",IF(F885&lt;(Supuestos!$E$9-Supuestos!$D$9)/(Supuestos!$F$9-Supuestos!$D$9),Supuestos!$D$9+SQRT(F885*(Supuestos!$F$9-Supuestos!$D$9)*(Supuestos!$E$9-Supuestos!$D$9)),Supuestos!$F$9-SQRT((1-F885)*(Supuestos!$F$9-Supuestos!$D$9)*(Supuestos!$F$9-Supuestos!$E$9))),IF(Supuestos!$C$9="Uniforme",Supuestos!$D$9+F885*(Supuestos!$E$9-Supuestos!$D$9),IF(Supuestos!$C$9="Lognormal",LOGINV(F885,LN(Supuestos!$D$9)-LN(1+Supuestos!$E$9^2/Supuestos!$D$9^2)/2,SQRT(LN(1+Supuestos!$E$9^2/Supuestos!$D$9^2))),Supuestos!$D$9))))))</f>
        <v/>
      </c>
      <c r="N885" s="32">
        <f>MIN(IF(Supuestos!$H$10="",1E+99,Supuestos!$H$10),MAX(IF(Supuestos!$G$10="",-1E+99,Supuestos!$G$10),IF(Supuestos!$C$10="Normal",NORMINV(G885,Supuestos!$D$10,Supuestos!$E$10),IF(Supuestos!$C$10="Triangular",IF(G885&lt;(Supuestos!$E$10-Supuestos!$D$10)/(Supuestos!$F$10-Supuestos!$D$10),Supuestos!$D$10+SQRT(G885*(Supuestos!$F$10-Supuestos!$D$10)*(Supuestos!$E$10-Supuestos!$D$10)),Supuestos!$F$10-SQRT((1-G885)*(Supuestos!$F$10-Supuestos!$D$10)*(Supuestos!$F$10-Supuestos!$E$10))),IF(Supuestos!$C$10="Uniforme",Supuestos!$D$10+G885*(Supuestos!$E$10-Supuestos!$D$10),IF(Supuestos!$C$10="Lognormal",LOGINV(G885,LN(Supuestos!$D$10)-LN(1+Supuestos!$E$10^2/Supuestos!$D$10^2)/2,SQRT(LN(1+Supuestos!$E$10^2/Supuestos!$D$10^2))),Supuestos!$D$10))))))</f>
        <v/>
      </c>
      <c r="O885" s="31">
        <f>MIN(IF(Supuestos!$H$11="",1E+99,Supuestos!$H$11),MAX(IF(Supuestos!$G$11="",-1E+99,Supuestos!$G$11),IF(Supuestos!$C$11="Normal",NORMINV(H885,Supuestos!$D$11,Supuestos!$E$11),IF(Supuestos!$C$11="Triangular",IF(H885&lt;(Supuestos!$E$11-Supuestos!$D$11)/(Supuestos!$F$11-Supuestos!$D$11),Supuestos!$D$11+SQRT(H885*(Supuestos!$F$11-Supuestos!$D$11)*(Supuestos!$E$11-Supuestos!$D$11)),Supuestos!$F$11-SQRT((1-H885)*(Supuestos!$F$11-Supuestos!$D$11)*(Supuestos!$F$11-Supuestos!$E$11))),IF(Supuestos!$C$11="Uniforme",Supuestos!$D$11+H885*(Supuestos!$E$11-Supuestos!$D$11),IF(Supuestos!$C$11="Lognormal",LOGINV(H885,LN(Supuestos!$D$11)-LN(1+Supuestos!$E$11^2/Supuestos!$D$11^2)/2,SQRT(LN(1+Supuestos!$E$11^2/Supuestos!$D$11^2))),Supuestos!$D$11))))))</f>
        <v/>
      </c>
      <c r="P885" s="33">
        <f>-I885</f>
        <v/>
      </c>
      <c r="Q885" s="33">
        <f>$J885*(1+$K885)^(1-1)*(1-$L885)*(1-$M885)</f>
        <v/>
      </c>
      <c r="R885" s="33">
        <f>$J885*(1+$K885)^(2-1)*(1-$L885)*(1-$M885)</f>
        <v/>
      </c>
      <c r="S885" s="33">
        <f>$J885*(1+$K885)^(3-1)*(1-$L885)*(1-$M885)</f>
        <v/>
      </c>
      <c r="T885" s="33">
        <f>$J885*(1+$K885)^(4-1)*(1-$L885)*(1-$M885)</f>
        <v/>
      </c>
      <c r="U885" s="33">
        <f>$J885*(1+$K885)^(5-1)*(1-$L885)*(1-$M885)+$O885</f>
        <v/>
      </c>
      <c r="V885" s="33">
        <f>P885+NPV($N885,Q885:U885)</f>
        <v/>
      </c>
      <c r="W885" s="32">
        <f>IFERROR(IRR(P885:U885,0.1),"")</f>
        <v/>
      </c>
    </row>
    <row r="886">
      <c r="A886" s="14" t="n">
        <v>882</v>
      </c>
      <c r="B886" s="30">
        <f>RAND()*(1-2E-6)+1E-6</f>
        <v/>
      </c>
      <c r="C886" s="30">
        <f>RAND()*(1-2E-6)+1E-6</f>
        <v/>
      </c>
      <c r="D886" s="30">
        <f>RAND()*(1-2E-6)+1E-6</f>
        <v/>
      </c>
      <c r="E886" s="30">
        <f>RAND()*(1-2E-6)+1E-6</f>
        <v/>
      </c>
      <c r="F886" s="30">
        <f>RAND()*(1-2E-6)+1E-6</f>
        <v/>
      </c>
      <c r="G886" s="30">
        <f>RAND()*(1-2E-6)+1E-6</f>
        <v/>
      </c>
      <c r="H886" s="30">
        <f>RAND()*(1-2E-6)+1E-6</f>
        <v/>
      </c>
      <c r="I886" s="31">
        <f>MIN(IF(Supuestos!$H$5="",1E+99,Supuestos!$H$5),MAX(IF(Supuestos!$G$5="",-1E+99,Supuestos!$G$5),IF(Supuestos!$C$5="Normal",NORMINV(B886,Supuestos!$D$5,Supuestos!$E$5),IF(Supuestos!$C$5="Triangular",IF(B886&lt;(Supuestos!$E$5-Supuestos!$D$5)/(Supuestos!$F$5-Supuestos!$D$5),Supuestos!$D$5+SQRT(B886*(Supuestos!$F$5-Supuestos!$D$5)*(Supuestos!$E$5-Supuestos!$D$5)),Supuestos!$F$5-SQRT((1-B886)*(Supuestos!$F$5-Supuestos!$D$5)*(Supuestos!$F$5-Supuestos!$E$5))),IF(Supuestos!$C$5="Uniforme",Supuestos!$D$5+B886*(Supuestos!$E$5-Supuestos!$D$5),IF(Supuestos!$C$5="Lognormal",LOGINV(B886,LN(Supuestos!$D$5)-LN(1+Supuestos!$E$5^2/Supuestos!$D$5^2)/2,SQRT(LN(1+Supuestos!$E$5^2/Supuestos!$D$5^2))),Supuestos!$D$5))))))</f>
        <v/>
      </c>
      <c r="J886" s="31">
        <f>MIN(IF(Supuestos!$H$6="",1E+99,Supuestos!$H$6),MAX(IF(Supuestos!$G$6="",-1E+99,Supuestos!$G$6),IF(Supuestos!$C$6="Normal",NORMINV(C886,Supuestos!$D$6,Supuestos!$E$6),IF(Supuestos!$C$6="Triangular",IF(C886&lt;(Supuestos!$E$6-Supuestos!$D$6)/(Supuestos!$F$6-Supuestos!$D$6),Supuestos!$D$6+SQRT(C886*(Supuestos!$F$6-Supuestos!$D$6)*(Supuestos!$E$6-Supuestos!$D$6)),Supuestos!$F$6-SQRT((1-C886)*(Supuestos!$F$6-Supuestos!$D$6)*(Supuestos!$F$6-Supuestos!$E$6))),IF(Supuestos!$C$6="Uniforme",Supuestos!$D$6+C886*(Supuestos!$E$6-Supuestos!$D$6),IF(Supuestos!$C$6="Lognormal",LOGINV(C886,LN(Supuestos!$D$6)-LN(1+Supuestos!$E$6^2/Supuestos!$D$6^2)/2,SQRT(LN(1+Supuestos!$E$6^2/Supuestos!$D$6^2))),Supuestos!$D$6))))))</f>
        <v/>
      </c>
      <c r="K886" s="32">
        <f>MIN(IF(Supuestos!$H$7="",1E+99,Supuestos!$H$7),MAX(IF(Supuestos!$G$7="",-1E+99,Supuestos!$G$7),IF(Supuestos!$C$7="Normal",NORMINV(D886,Supuestos!$D$7,Supuestos!$E$7),IF(Supuestos!$C$7="Triangular",IF(D886&lt;(Supuestos!$E$7-Supuestos!$D$7)/(Supuestos!$F$7-Supuestos!$D$7),Supuestos!$D$7+SQRT(D886*(Supuestos!$F$7-Supuestos!$D$7)*(Supuestos!$E$7-Supuestos!$D$7)),Supuestos!$F$7-SQRT((1-D886)*(Supuestos!$F$7-Supuestos!$D$7)*(Supuestos!$F$7-Supuestos!$E$7))),IF(Supuestos!$C$7="Uniforme",Supuestos!$D$7+D886*(Supuestos!$E$7-Supuestos!$D$7),IF(Supuestos!$C$7="Lognormal",LOGINV(D886,LN(Supuestos!$D$7)-LN(1+Supuestos!$E$7^2/Supuestos!$D$7^2)/2,SQRT(LN(1+Supuestos!$E$7^2/Supuestos!$D$7^2))),Supuestos!$D$7))))))</f>
        <v/>
      </c>
      <c r="L886" s="32">
        <f>MIN(IF(Supuestos!$H$8="",1E+99,Supuestos!$H$8),MAX(IF(Supuestos!$G$8="",-1E+99,Supuestos!$G$8),IF(Supuestos!$C$8="Normal",NORMINV(E886,Supuestos!$D$8,Supuestos!$E$8),IF(Supuestos!$C$8="Triangular",IF(E886&lt;(Supuestos!$E$8-Supuestos!$D$8)/(Supuestos!$F$8-Supuestos!$D$8),Supuestos!$D$8+SQRT(E886*(Supuestos!$F$8-Supuestos!$D$8)*(Supuestos!$E$8-Supuestos!$D$8)),Supuestos!$F$8-SQRT((1-E886)*(Supuestos!$F$8-Supuestos!$D$8)*(Supuestos!$F$8-Supuestos!$E$8))),IF(Supuestos!$C$8="Uniforme",Supuestos!$D$8+E886*(Supuestos!$E$8-Supuestos!$D$8),IF(Supuestos!$C$8="Lognormal",LOGINV(E886,LN(Supuestos!$D$8)-LN(1+Supuestos!$E$8^2/Supuestos!$D$8^2)/2,SQRT(LN(1+Supuestos!$E$8^2/Supuestos!$D$8^2))),Supuestos!$D$8))))))</f>
        <v/>
      </c>
      <c r="M886" s="32">
        <f>MIN(IF(Supuestos!$H$9="",1E+99,Supuestos!$H$9),MAX(IF(Supuestos!$G$9="",-1E+99,Supuestos!$G$9),IF(Supuestos!$C$9="Normal",NORMINV(F886,Supuestos!$D$9,Supuestos!$E$9),IF(Supuestos!$C$9="Triangular",IF(F886&lt;(Supuestos!$E$9-Supuestos!$D$9)/(Supuestos!$F$9-Supuestos!$D$9),Supuestos!$D$9+SQRT(F886*(Supuestos!$F$9-Supuestos!$D$9)*(Supuestos!$E$9-Supuestos!$D$9)),Supuestos!$F$9-SQRT((1-F886)*(Supuestos!$F$9-Supuestos!$D$9)*(Supuestos!$F$9-Supuestos!$E$9))),IF(Supuestos!$C$9="Uniforme",Supuestos!$D$9+F886*(Supuestos!$E$9-Supuestos!$D$9),IF(Supuestos!$C$9="Lognormal",LOGINV(F886,LN(Supuestos!$D$9)-LN(1+Supuestos!$E$9^2/Supuestos!$D$9^2)/2,SQRT(LN(1+Supuestos!$E$9^2/Supuestos!$D$9^2))),Supuestos!$D$9))))))</f>
        <v/>
      </c>
      <c r="N886" s="32">
        <f>MIN(IF(Supuestos!$H$10="",1E+99,Supuestos!$H$10),MAX(IF(Supuestos!$G$10="",-1E+99,Supuestos!$G$10),IF(Supuestos!$C$10="Normal",NORMINV(G886,Supuestos!$D$10,Supuestos!$E$10),IF(Supuestos!$C$10="Triangular",IF(G886&lt;(Supuestos!$E$10-Supuestos!$D$10)/(Supuestos!$F$10-Supuestos!$D$10),Supuestos!$D$10+SQRT(G886*(Supuestos!$F$10-Supuestos!$D$10)*(Supuestos!$E$10-Supuestos!$D$10)),Supuestos!$F$10-SQRT((1-G886)*(Supuestos!$F$10-Supuestos!$D$10)*(Supuestos!$F$10-Supuestos!$E$10))),IF(Supuestos!$C$10="Uniforme",Supuestos!$D$10+G886*(Supuestos!$E$10-Supuestos!$D$10),IF(Supuestos!$C$10="Lognormal",LOGINV(G886,LN(Supuestos!$D$10)-LN(1+Supuestos!$E$10^2/Supuestos!$D$10^2)/2,SQRT(LN(1+Supuestos!$E$10^2/Supuestos!$D$10^2))),Supuestos!$D$10))))))</f>
        <v/>
      </c>
      <c r="O886" s="31">
        <f>MIN(IF(Supuestos!$H$11="",1E+99,Supuestos!$H$11),MAX(IF(Supuestos!$G$11="",-1E+99,Supuestos!$G$11),IF(Supuestos!$C$11="Normal",NORMINV(H886,Supuestos!$D$11,Supuestos!$E$11),IF(Supuestos!$C$11="Triangular",IF(H886&lt;(Supuestos!$E$11-Supuestos!$D$11)/(Supuestos!$F$11-Supuestos!$D$11),Supuestos!$D$11+SQRT(H886*(Supuestos!$F$11-Supuestos!$D$11)*(Supuestos!$E$11-Supuestos!$D$11)),Supuestos!$F$11-SQRT((1-H886)*(Supuestos!$F$11-Supuestos!$D$11)*(Supuestos!$F$11-Supuestos!$E$11))),IF(Supuestos!$C$11="Uniforme",Supuestos!$D$11+H886*(Supuestos!$E$11-Supuestos!$D$11),IF(Supuestos!$C$11="Lognormal",LOGINV(H886,LN(Supuestos!$D$11)-LN(1+Supuestos!$E$11^2/Supuestos!$D$11^2)/2,SQRT(LN(1+Supuestos!$E$11^2/Supuestos!$D$11^2))),Supuestos!$D$11))))))</f>
        <v/>
      </c>
      <c r="P886" s="33">
        <f>-I886</f>
        <v/>
      </c>
      <c r="Q886" s="33">
        <f>$J886*(1+$K886)^(1-1)*(1-$L886)*(1-$M886)</f>
        <v/>
      </c>
      <c r="R886" s="33">
        <f>$J886*(1+$K886)^(2-1)*(1-$L886)*(1-$M886)</f>
        <v/>
      </c>
      <c r="S886" s="33">
        <f>$J886*(1+$K886)^(3-1)*(1-$L886)*(1-$M886)</f>
        <v/>
      </c>
      <c r="T886" s="33">
        <f>$J886*(1+$K886)^(4-1)*(1-$L886)*(1-$M886)</f>
        <v/>
      </c>
      <c r="U886" s="33">
        <f>$J886*(1+$K886)^(5-1)*(1-$L886)*(1-$M886)+$O886</f>
        <v/>
      </c>
      <c r="V886" s="33">
        <f>P886+NPV($N886,Q886:U886)</f>
        <v/>
      </c>
      <c r="W886" s="32">
        <f>IFERROR(IRR(P886:U886,0.1),"")</f>
        <v/>
      </c>
    </row>
    <row r="887">
      <c r="A887" s="14" t="n">
        <v>883</v>
      </c>
      <c r="B887" s="30">
        <f>RAND()*(1-2E-6)+1E-6</f>
        <v/>
      </c>
      <c r="C887" s="30">
        <f>RAND()*(1-2E-6)+1E-6</f>
        <v/>
      </c>
      <c r="D887" s="30">
        <f>RAND()*(1-2E-6)+1E-6</f>
        <v/>
      </c>
      <c r="E887" s="30">
        <f>RAND()*(1-2E-6)+1E-6</f>
        <v/>
      </c>
      <c r="F887" s="30">
        <f>RAND()*(1-2E-6)+1E-6</f>
        <v/>
      </c>
      <c r="G887" s="30">
        <f>RAND()*(1-2E-6)+1E-6</f>
        <v/>
      </c>
      <c r="H887" s="30">
        <f>RAND()*(1-2E-6)+1E-6</f>
        <v/>
      </c>
      <c r="I887" s="31">
        <f>MIN(IF(Supuestos!$H$5="",1E+99,Supuestos!$H$5),MAX(IF(Supuestos!$G$5="",-1E+99,Supuestos!$G$5),IF(Supuestos!$C$5="Normal",NORMINV(B887,Supuestos!$D$5,Supuestos!$E$5),IF(Supuestos!$C$5="Triangular",IF(B887&lt;(Supuestos!$E$5-Supuestos!$D$5)/(Supuestos!$F$5-Supuestos!$D$5),Supuestos!$D$5+SQRT(B887*(Supuestos!$F$5-Supuestos!$D$5)*(Supuestos!$E$5-Supuestos!$D$5)),Supuestos!$F$5-SQRT((1-B887)*(Supuestos!$F$5-Supuestos!$D$5)*(Supuestos!$F$5-Supuestos!$E$5))),IF(Supuestos!$C$5="Uniforme",Supuestos!$D$5+B887*(Supuestos!$E$5-Supuestos!$D$5),IF(Supuestos!$C$5="Lognormal",LOGINV(B887,LN(Supuestos!$D$5)-LN(1+Supuestos!$E$5^2/Supuestos!$D$5^2)/2,SQRT(LN(1+Supuestos!$E$5^2/Supuestos!$D$5^2))),Supuestos!$D$5))))))</f>
        <v/>
      </c>
      <c r="J887" s="31">
        <f>MIN(IF(Supuestos!$H$6="",1E+99,Supuestos!$H$6),MAX(IF(Supuestos!$G$6="",-1E+99,Supuestos!$G$6),IF(Supuestos!$C$6="Normal",NORMINV(C887,Supuestos!$D$6,Supuestos!$E$6),IF(Supuestos!$C$6="Triangular",IF(C887&lt;(Supuestos!$E$6-Supuestos!$D$6)/(Supuestos!$F$6-Supuestos!$D$6),Supuestos!$D$6+SQRT(C887*(Supuestos!$F$6-Supuestos!$D$6)*(Supuestos!$E$6-Supuestos!$D$6)),Supuestos!$F$6-SQRT((1-C887)*(Supuestos!$F$6-Supuestos!$D$6)*(Supuestos!$F$6-Supuestos!$E$6))),IF(Supuestos!$C$6="Uniforme",Supuestos!$D$6+C887*(Supuestos!$E$6-Supuestos!$D$6),IF(Supuestos!$C$6="Lognormal",LOGINV(C887,LN(Supuestos!$D$6)-LN(1+Supuestos!$E$6^2/Supuestos!$D$6^2)/2,SQRT(LN(1+Supuestos!$E$6^2/Supuestos!$D$6^2))),Supuestos!$D$6))))))</f>
        <v/>
      </c>
      <c r="K887" s="32">
        <f>MIN(IF(Supuestos!$H$7="",1E+99,Supuestos!$H$7),MAX(IF(Supuestos!$G$7="",-1E+99,Supuestos!$G$7),IF(Supuestos!$C$7="Normal",NORMINV(D887,Supuestos!$D$7,Supuestos!$E$7),IF(Supuestos!$C$7="Triangular",IF(D887&lt;(Supuestos!$E$7-Supuestos!$D$7)/(Supuestos!$F$7-Supuestos!$D$7),Supuestos!$D$7+SQRT(D887*(Supuestos!$F$7-Supuestos!$D$7)*(Supuestos!$E$7-Supuestos!$D$7)),Supuestos!$F$7-SQRT((1-D887)*(Supuestos!$F$7-Supuestos!$D$7)*(Supuestos!$F$7-Supuestos!$E$7))),IF(Supuestos!$C$7="Uniforme",Supuestos!$D$7+D887*(Supuestos!$E$7-Supuestos!$D$7),IF(Supuestos!$C$7="Lognormal",LOGINV(D887,LN(Supuestos!$D$7)-LN(1+Supuestos!$E$7^2/Supuestos!$D$7^2)/2,SQRT(LN(1+Supuestos!$E$7^2/Supuestos!$D$7^2))),Supuestos!$D$7))))))</f>
        <v/>
      </c>
      <c r="L887" s="32">
        <f>MIN(IF(Supuestos!$H$8="",1E+99,Supuestos!$H$8),MAX(IF(Supuestos!$G$8="",-1E+99,Supuestos!$G$8),IF(Supuestos!$C$8="Normal",NORMINV(E887,Supuestos!$D$8,Supuestos!$E$8),IF(Supuestos!$C$8="Triangular",IF(E887&lt;(Supuestos!$E$8-Supuestos!$D$8)/(Supuestos!$F$8-Supuestos!$D$8),Supuestos!$D$8+SQRT(E887*(Supuestos!$F$8-Supuestos!$D$8)*(Supuestos!$E$8-Supuestos!$D$8)),Supuestos!$F$8-SQRT((1-E887)*(Supuestos!$F$8-Supuestos!$D$8)*(Supuestos!$F$8-Supuestos!$E$8))),IF(Supuestos!$C$8="Uniforme",Supuestos!$D$8+E887*(Supuestos!$E$8-Supuestos!$D$8),IF(Supuestos!$C$8="Lognormal",LOGINV(E887,LN(Supuestos!$D$8)-LN(1+Supuestos!$E$8^2/Supuestos!$D$8^2)/2,SQRT(LN(1+Supuestos!$E$8^2/Supuestos!$D$8^2))),Supuestos!$D$8))))))</f>
        <v/>
      </c>
      <c r="M887" s="32">
        <f>MIN(IF(Supuestos!$H$9="",1E+99,Supuestos!$H$9),MAX(IF(Supuestos!$G$9="",-1E+99,Supuestos!$G$9),IF(Supuestos!$C$9="Normal",NORMINV(F887,Supuestos!$D$9,Supuestos!$E$9),IF(Supuestos!$C$9="Triangular",IF(F887&lt;(Supuestos!$E$9-Supuestos!$D$9)/(Supuestos!$F$9-Supuestos!$D$9),Supuestos!$D$9+SQRT(F887*(Supuestos!$F$9-Supuestos!$D$9)*(Supuestos!$E$9-Supuestos!$D$9)),Supuestos!$F$9-SQRT((1-F887)*(Supuestos!$F$9-Supuestos!$D$9)*(Supuestos!$F$9-Supuestos!$E$9))),IF(Supuestos!$C$9="Uniforme",Supuestos!$D$9+F887*(Supuestos!$E$9-Supuestos!$D$9),IF(Supuestos!$C$9="Lognormal",LOGINV(F887,LN(Supuestos!$D$9)-LN(1+Supuestos!$E$9^2/Supuestos!$D$9^2)/2,SQRT(LN(1+Supuestos!$E$9^2/Supuestos!$D$9^2))),Supuestos!$D$9))))))</f>
        <v/>
      </c>
      <c r="N887" s="32">
        <f>MIN(IF(Supuestos!$H$10="",1E+99,Supuestos!$H$10),MAX(IF(Supuestos!$G$10="",-1E+99,Supuestos!$G$10),IF(Supuestos!$C$10="Normal",NORMINV(G887,Supuestos!$D$10,Supuestos!$E$10),IF(Supuestos!$C$10="Triangular",IF(G887&lt;(Supuestos!$E$10-Supuestos!$D$10)/(Supuestos!$F$10-Supuestos!$D$10),Supuestos!$D$10+SQRT(G887*(Supuestos!$F$10-Supuestos!$D$10)*(Supuestos!$E$10-Supuestos!$D$10)),Supuestos!$F$10-SQRT((1-G887)*(Supuestos!$F$10-Supuestos!$D$10)*(Supuestos!$F$10-Supuestos!$E$10))),IF(Supuestos!$C$10="Uniforme",Supuestos!$D$10+G887*(Supuestos!$E$10-Supuestos!$D$10),IF(Supuestos!$C$10="Lognormal",LOGINV(G887,LN(Supuestos!$D$10)-LN(1+Supuestos!$E$10^2/Supuestos!$D$10^2)/2,SQRT(LN(1+Supuestos!$E$10^2/Supuestos!$D$10^2))),Supuestos!$D$10))))))</f>
        <v/>
      </c>
      <c r="O887" s="31">
        <f>MIN(IF(Supuestos!$H$11="",1E+99,Supuestos!$H$11),MAX(IF(Supuestos!$G$11="",-1E+99,Supuestos!$G$11),IF(Supuestos!$C$11="Normal",NORMINV(H887,Supuestos!$D$11,Supuestos!$E$11),IF(Supuestos!$C$11="Triangular",IF(H887&lt;(Supuestos!$E$11-Supuestos!$D$11)/(Supuestos!$F$11-Supuestos!$D$11),Supuestos!$D$11+SQRT(H887*(Supuestos!$F$11-Supuestos!$D$11)*(Supuestos!$E$11-Supuestos!$D$11)),Supuestos!$F$11-SQRT((1-H887)*(Supuestos!$F$11-Supuestos!$D$11)*(Supuestos!$F$11-Supuestos!$E$11))),IF(Supuestos!$C$11="Uniforme",Supuestos!$D$11+H887*(Supuestos!$E$11-Supuestos!$D$11),IF(Supuestos!$C$11="Lognormal",LOGINV(H887,LN(Supuestos!$D$11)-LN(1+Supuestos!$E$11^2/Supuestos!$D$11^2)/2,SQRT(LN(1+Supuestos!$E$11^2/Supuestos!$D$11^2))),Supuestos!$D$11))))))</f>
        <v/>
      </c>
      <c r="P887" s="33">
        <f>-I887</f>
        <v/>
      </c>
      <c r="Q887" s="33">
        <f>$J887*(1+$K887)^(1-1)*(1-$L887)*(1-$M887)</f>
        <v/>
      </c>
      <c r="R887" s="33">
        <f>$J887*(1+$K887)^(2-1)*(1-$L887)*(1-$M887)</f>
        <v/>
      </c>
      <c r="S887" s="33">
        <f>$J887*(1+$K887)^(3-1)*(1-$L887)*(1-$M887)</f>
        <v/>
      </c>
      <c r="T887" s="33">
        <f>$J887*(1+$K887)^(4-1)*(1-$L887)*(1-$M887)</f>
        <v/>
      </c>
      <c r="U887" s="33">
        <f>$J887*(1+$K887)^(5-1)*(1-$L887)*(1-$M887)+$O887</f>
        <v/>
      </c>
      <c r="V887" s="33">
        <f>P887+NPV($N887,Q887:U887)</f>
        <v/>
      </c>
      <c r="W887" s="32">
        <f>IFERROR(IRR(P887:U887,0.1),"")</f>
        <v/>
      </c>
    </row>
    <row r="888">
      <c r="A888" s="14" t="n">
        <v>884</v>
      </c>
      <c r="B888" s="30">
        <f>RAND()*(1-2E-6)+1E-6</f>
        <v/>
      </c>
      <c r="C888" s="30">
        <f>RAND()*(1-2E-6)+1E-6</f>
        <v/>
      </c>
      <c r="D888" s="30">
        <f>RAND()*(1-2E-6)+1E-6</f>
        <v/>
      </c>
      <c r="E888" s="30">
        <f>RAND()*(1-2E-6)+1E-6</f>
        <v/>
      </c>
      <c r="F888" s="30">
        <f>RAND()*(1-2E-6)+1E-6</f>
        <v/>
      </c>
      <c r="G888" s="30">
        <f>RAND()*(1-2E-6)+1E-6</f>
        <v/>
      </c>
      <c r="H888" s="30">
        <f>RAND()*(1-2E-6)+1E-6</f>
        <v/>
      </c>
      <c r="I888" s="31">
        <f>MIN(IF(Supuestos!$H$5="",1E+99,Supuestos!$H$5),MAX(IF(Supuestos!$G$5="",-1E+99,Supuestos!$G$5),IF(Supuestos!$C$5="Normal",NORMINV(B888,Supuestos!$D$5,Supuestos!$E$5),IF(Supuestos!$C$5="Triangular",IF(B888&lt;(Supuestos!$E$5-Supuestos!$D$5)/(Supuestos!$F$5-Supuestos!$D$5),Supuestos!$D$5+SQRT(B888*(Supuestos!$F$5-Supuestos!$D$5)*(Supuestos!$E$5-Supuestos!$D$5)),Supuestos!$F$5-SQRT((1-B888)*(Supuestos!$F$5-Supuestos!$D$5)*(Supuestos!$F$5-Supuestos!$E$5))),IF(Supuestos!$C$5="Uniforme",Supuestos!$D$5+B888*(Supuestos!$E$5-Supuestos!$D$5),IF(Supuestos!$C$5="Lognormal",LOGINV(B888,LN(Supuestos!$D$5)-LN(1+Supuestos!$E$5^2/Supuestos!$D$5^2)/2,SQRT(LN(1+Supuestos!$E$5^2/Supuestos!$D$5^2))),Supuestos!$D$5))))))</f>
        <v/>
      </c>
      <c r="J888" s="31">
        <f>MIN(IF(Supuestos!$H$6="",1E+99,Supuestos!$H$6),MAX(IF(Supuestos!$G$6="",-1E+99,Supuestos!$G$6),IF(Supuestos!$C$6="Normal",NORMINV(C888,Supuestos!$D$6,Supuestos!$E$6),IF(Supuestos!$C$6="Triangular",IF(C888&lt;(Supuestos!$E$6-Supuestos!$D$6)/(Supuestos!$F$6-Supuestos!$D$6),Supuestos!$D$6+SQRT(C888*(Supuestos!$F$6-Supuestos!$D$6)*(Supuestos!$E$6-Supuestos!$D$6)),Supuestos!$F$6-SQRT((1-C888)*(Supuestos!$F$6-Supuestos!$D$6)*(Supuestos!$F$6-Supuestos!$E$6))),IF(Supuestos!$C$6="Uniforme",Supuestos!$D$6+C888*(Supuestos!$E$6-Supuestos!$D$6),IF(Supuestos!$C$6="Lognormal",LOGINV(C888,LN(Supuestos!$D$6)-LN(1+Supuestos!$E$6^2/Supuestos!$D$6^2)/2,SQRT(LN(1+Supuestos!$E$6^2/Supuestos!$D$6^2))),Supuestos!$D$6))))))</f>
        <v/>
      </c>
      <c r="K888" s="32">
        <f>MIN(IF(Supuestos!$H$7="",1E+99,Supuestos!$H$7),MAX(IF(Supuestos!$G$7="",-1E+99,Supuestos!$G$7),IF(Supuestos!$C$7="Normal",NORMINV(D888,Supuestos!$D$7,Supuestos!$E$7),IF(Supuestos!$C$7="Triangular",IF(D888&lt;(Supuestos!$E$7-Supuestos!$D$7)/(Supuestos!$F$7-Supuestos!$D$7),Supuestos!$D$7+SQRT(D888*(Supuestos!$F$7-Supuestos!$D$7)*(Supuestos!$E$7-Supuestos!$D$7)),Supuestos!$F$7-SQRT((1-D888)*(Supuestos!$F$7-Supuestos!$D$7)*(Supuestos!$F$7-Supuestos!$E$7))),IF(Supuestos!$C$7="Uniforme",Supuestos!$D$7+D888*(Supuestos!$E$7-Supuestos!$D$7),IF(Supuestos!$C$7="Lognormal",LOGINV(D888,LN(Supuestos!$D$7)-LN(1+Supuestos!$E$7^2/Supuestos!$D$7^2)/2,SQRT(LN(1+Supuestos!$E$7^2/Supuestos!$D$7^2))),Supuestos!$D$7))))))</f>
        <v/>
      </c>
      <c r="L888" s="32">
        <f>MIN(IF(Supuestos!$H$8="",1E+99,Supuestos!$H$8),MAX(IF(Supuestos!$G$8="",-1E+99,Supuestos!$G$8),IF(Supuestos!$C$8="Normal",NORMINV(E888,Supuestos!$D$8,Supuestos!$E$8),IF(Supuestos!$C$8="Triangular",IF(E888&lt;(Supuestos!$E$8-Supuestos!$D$8)/(Supuestos!$F$8-Supuestos!$D$8),Supuestos!$D$8+SQRT(E888*(Supuestos!$F$8-Supuestos!$D$8)*(Supuestos!$E$8-Supuestos!$D$8)),Supuestos!$F$8-SQRT((1-E888)*(Supuestos!$F$8-Supuestos!$D$8)*(Supuestos!$F$8-Supuestos!$E$8))),IF(Supuestos!$C$8="Uniforme",Supuestos!$D$8+E888*(Supuestos!$E$8-Supuestos!$D$8),IF(Supuestos!$C$8="Lognormal",LOGINV(E888,LN(Supuestos!$D$8)-LN(1+Supuestos!$E$8^2/Supuestos!$D$8^2)/2,SQRT(LN(1+Supuestos!$E$8^2/Supuestos!$D$8^2))),Supuestos!$D$8))))))</f>
        <v/>
      </c>
      <c r="M888" s="32">
        <f>MIN(IF(Supuestos!$H$9="",1E+99,Supuestos!$H$9),MAX(IF(Supuestos!$G$9="",-1E+99,Supuestos!$G$9),IF(Supuestos!$C$9="Normal",NORMINV(F888,Supuestos!$D$9,Supuestos!$E$9),IF(Supuestos!$C$9="Triangular",IF(F888&lt;(Supuestos!$E$9-Supuestos!$D$9)/(Supuestos!$F$9-Supuestos!$D$9),Supuestos!$D$9+SQRT(F888*(Supuestos!$F$9-Supuestos!$D$9)*(Supuestos!$E$9-Supuestos!$D$9)),Supuestos!$F$9-SQRT((1-F888)*(Supuestos!$F$9-Supuestos!$D$9)*(Supuestos!$F$9-Supuestos!$E$9))),IF(Supuestos!$C$9="Uniforme",Supuestos!$D$9+F888*(Supuestos!$E$9-Supuestos!$D$9),IF(Supuestos!$C$9="Lognormal",LOGINV(F888,LN(Supuestos!$D$9)-LN(1+Supuestos!$E$9^2/Supuestos!$D$9^2)/2,SQRT(LN(1+Supuestos!$E$9^2/Supuestos!$D$9^2))),Supuestos!$D$9))))))</f>
        <v/>
      </c>
      <c r="N888" s="32">
        <f>MIN(IF(Supuestos!$H$10="",1E+99,Supuestos!$H$10),MAX(IF(Supuestos!$G$10="",-1E+99,Supuestos!$G$10),IF(Supuestos!$C$10="Normal",NORMINV(G888,Supuestos!$D$10,Supuestos!$E$10),IF(Supuestos!$C$10="Triangular",IF(G888&lt;(Supuestos!$E$10-Supuestos!$D$10)/(Supuestos!$F$10-Supuestos!$D$10),Supuestos!$D$10+SQRT(G888*(Supuestos!$F$10-Supuestos!$D$10)*(Supuestos!$E$10-Supuestos!$D$10)),Supuestos!$F$10-SQRT((1-G888)*(Supuestos!$F$10-Supuestos!$D$10)*(Supuestos!$F$10-Supuestos!$E$10))),IF(Supuestos!$C$10="Uniforme",Supuestos!$D$10+G888*(Supuestos!$E$10-Supuestos!$D$10),IF(Supuestos!$C$10="Lognormal",LOGINV(G888,LN(Supuestos!$D$10)-LN(1+Supuestos!$E$10^2/Supuestos!$D$10^2)/2,SQRT(LN(1+Supuestos!$E$10^2/Supuestos!$D$10^2))),Supuestos!$D$10))))))</f>
        <v/>
      </c>
      <c r="O888" s="31">
        <f>MIN(IF(Supuestos!$H$11="",1E+99,Supuestos!$H$11),MAX(IF(Supuestos!$G$11="",-1E+99,Supuestos!$G$11),IF(Supuestos!$C$11="Normal",NORMINV(H888,Supuestos!$D$11,Supuestos!$E$11),IF(Supuestos!$C$11="Triangular",IF(H888&lt;(Supuestos!$E$11-Supuestos!$D$11)/(Supuestos!$F$11-Supuestos!$D$11),Supuestos!$D$11+SQRT(H888*(Supuestos!$F$11-Supuestos!$D$11)*(Supuestos!$E$11-Supuestos!$D$11)),Supuestos!$F$11-SQRT((1-H888)*(Supuestos!$F$11-Supuestos!$D$11)*(Supuestos!$F$11-Supuestos!$E$11))),IF(Supuestos!$C$11="Uniforme",Supuestos!$D$11+H888*(Supuestos!$E$11-Supuestos!$D$11),IF(Supuestos!$C$11="Lognormal",LOGINV(H888,LN(Supuestos!$D$11)-LN(1+Supuestos!$E$11^2/Supuestos!$D$11^2)/2,SQRT(LN(1+Supuestos!$E$11^2/Supuestos!$D$11^2))),Supuestos!$D$11))))))</f>
        <v/>
      </c>
      <c r="P888" s="33">
        <f>-I888</f>
        <v/>
      </c>
      <c r="Q888" s="33">
        <f>$J888*(1+$K888)^(1-1)*(1-$L888)*(1-$M888)</f>
        <v/>
      </c>
      <c r="R888" s="33">
        <f>$J888*(1+$K888)^(2-1)*(1-$L888)*(1-$M888)</f>
        <v/>
      </c>
      <c r="S888" s="33">
        <f>$J888*(1+$K888)^(3-1)*(1-$L888)*(1-$M888)</f>
        <v/>
      </c>
      <c r="T888" s="33">
        <f>$J888*(1+$K888)^(4-1)*(1-$L888)*(1-$M888)</f>
        <v/>
      </c>
      <c r="U888" s="33">
        <f>$J888*(1+$K888)^(5-1)*(1-$L888)*(1-$M888)+$O888</f>
        <v/>
      </c>
      <c r="V888" s="33">
        <f>P888+NPV($N888,Q888:U888)</f>
        <v/>
      </c>
      <c r="W888" s="32">
        <f>IFERROR(IRR(P888:U888,0.1),"")</f>
        <v/>
      </c>
    </row>
    <row r="889">
      <c r="A889" s="14" t="n">
        <v>885</v>
      </c>
      <c r="B889" s="30">
        <f>RAND()*(1-2E-6)+1E-6</f>
        <v/>
      </c>
      <c r="C889" s="30">
        <f>RAND()*(1-2E-6)+1E-6</f>
        <v/>
      </c>
      <c r="D889" s="30">
        <f>RAND()*(1-2E-6)+1E-6</f>
        <v/>
      </c>
      <c r="E889" s="30">
        <f>RAND()*(1-2E-6)+1E-6</f>
        <v/>
      </c>
      <c r="F889" s="30">
        <f>RAND()*(1-2E-6)+1E-6</f>
        <v/>
      </c>
      <c r="G889" s="30">
        <f>RAND()*(1-2E-6)+1E-6</f>
        <v/>
      </c>
      <c r="H889" s="30">
        <f>RAND()*(1-2E-6)+1E-6</f>
        <v/>
      </c>
      <c r="I889" s="31">
        <f>MIN(IF(Supuestos!$H$5="",1E+99,Supuestos!$H$5),MAX(IF(Supuestos!$G$5="",-1E+99,Supuestos!$G$5),IF(Supuestos!$C$5="Normal",NORMINV(B889,Supuestos!$D$5,Supuestos!$E$5),IF(Supuestos!$C$5="Triangular",IF(B889&lt;(Supuestos!$E$5-Supuestos!$D$5)/(Supuestos!$F$5-Supuestos!$D$5),Supuestos!$D$5+SQRT(B889*(Supuestos!$F$5-Supuestos!$D$5)*(Supuestos!$E$5-Supuestos!$D$5)),Supuestos!$F$5-SQRT((1-B889)*(Supuestos!$F$5-Supuestos!$D$5)*(Supuestos!$F$5-Supuestos!$E$5))),IF(Supuestos!$C$5="Uniforme",Supuestos!$D$5+B889*(Supuestos!$E$5-Supuestos!$D$5),IF(Supuestos!$C$5="Lognormal",LOGINV(B889,LN(Supuestos!$D$5)-LN(1+Supuestos!$E$5^2/Supuestos!$D$5^2)/2,SQRT(LN(1+Supuestos!$E$5^2/Supuestos!$D$5^2))),Supuestos!$D$5))))))</f>
        <v/>
      </c>
      <c r="J889" s="31">
        <f>MIN(IF(Supuestos!$H$6="",1E+99,Supuestos!$H$6),MAX(IF(Supuestos!$G$6="",-1E+99,Supuestos!$G$6),IF(Supuestos!$C$6="Normal",NORMINV(C889,Supuestos!$D$6,Supuestos!$E$6),IF(Supuestos!$C$6="Triangular",IF(C889&lt;(Supuestos!$E$6-Supuestos!$D$6)/(Supuestos!$F$6-Supuestos!$D$6),Supuestos!$D$6+SQRT(C889*(Supuestos!$F$6-Supuestos!$D$6)*(Supuestos!$E$6-Supuestos!$D$6)),Supuestos!$F$6-SQRT((1-C889)*(Supuestos!$F$6-Supuestos!$D$6)*(Supuestos!$F$6-Supuestos!$E$6))),IF(Supuestos!$C$6="Uniforme",Supuestos!$D$6+C889*(Supuestos!$E$6-Supuestos!$D$6),IF(Supuestos!$C$6="Lognormal",LOGINV(C889,LN(Supuestos!$D$6)-LN(1+Supuestos!$E$6^2/Supuestos!$D$6^2)/2,SQRT(LN(1+Supuestos!$E$6^2/Supuestos!$D$6^2))),Supuestos!$D$6))))))</f>
        <v/>
      </c>
      <c r="K889" s="32">
        <f>MIN(IF(Supuestos!$H$7="",1E+99,Supuestos!$H$7),MAX(IF(Supuestos!$G$7="",-1E+99,Supuestos!$G$7),IF(Supuestos!$C$7="Normal",NORMINV(D889,Supuestos!$D$7,Supuestos!$E$7),IF(Supuestos!$C$7="Triangular",IF(D889&lt;(Supuestos!$E$7-Supuestos!$D$7)/(Supuestos!$F$7-Supuestos!$D$7),Supuestos!$D$7+SQRT(D889*(Supuestos!$F$7-Supuestos!$D$7)*(Supuestos!$E$7-Supuestos!$D$7)),Supuestos!$F$7-SQRT((1-D889)*(Supuestos!$F$7-Supuestos!$D$7)*(Supuestos!$F$7-Supuestos!$E$7))),IF(Supuestos!$C$7="Uniforme",Supuestos!$D$7+D889*(Supuestos!$E$7-Supuestos!$D$7),IF(Supuestos!$C$7="Lognormal",LOGINV(D889,LN(Supuestos!$D$7)-LN(1+Supuestos!$E$7^2/Supuestos!$D$7^2)/2,SQRT(LN(1+Supuestos!$E$7^2/Supuestos!$D$7^2))),Supuestos!$D$7))))))</f>
        <v/>
      </c>
      <c r="L889" s="32">
        <f>MIN(IF(Supuestos!$H$8="",1E+99,Supuestos!$H$8),MAX(IF(Supuestos!$G$8="",-1E+99,Supuestos!$G$8),IF(Supuestos!$C$8="Normal",NORMINV(E889,Supuestos!$D$8,Supuestos!$E$8),IF(Supuestos!$C$8="Triangular",IF(E889&lt;(Supuestos!$E$8-Supuestos!$D$8)/(Supuestos!$F$8-Supuestos!$D$8),Supuestos!$D$8+SQRT(E889*(Supuestos!$F$8-Supuestos!$D$8)*(Supuestos!$E$8-Supuestos!$D$8)),Supuestos!$F$8-SQRT((1-E889)*(Supuestos!$F$8-Supuestos!$D$8)*(Supuestos!$F$8-Supuestos!$E$8))),IF(Supuestos!$C$8="Uniforme",Supuestos!$D$8+E889*(Supuestos!$E$8-Supuestos!$D$8),IF(Supuestos!$C$8="Lognormal",LOGINV(E889,LN(Supuestos!$D$8)-LN(1+Supuestos!$E$8^2/Supuestos!$D$8^2)/2,SQRT(LN(1+Supuestos!$E$8^2/Supuestos!$D$8^2))),Supuestos!$D$8))))))</f>
        <v/>
      </c>
      <c r="M889" s="32">
        <f>MIN(IF(Supuestos!$H$9="",1E+99,Supuestos!$H$9),MAX(IF(Supuestos!$G$9="",-1E+99,Supuestos!$G$9),IF(Supuestos!$C$9="Normal",NORMINV(F889,Supuestos!$D$9,Supuestos!$E$9),IF(Supuestos!$C$9="Triangular",IF(F889&lt;(Supuestos!$E$9-Supuestos!$D$9)/(Supuestos!$F$9-Supuestos!$D$9),Supuestos!$D$9+SQRT(F889*(Supuestos!$F$9-Supuestos!$D$9)*(Supuestos!$E$9-Supuestos!$D$9)),Supuestos!$F$9-SQRT((1-F889)*(Supuestos!$F$9-Supuestos!$D$9)*(Supuestos!$F$9-Supuestos!$E$9))),IF(Supuestos!$C$9="Uniforme",Supuestos!$D$9+F889*(Supuestos!$E$9-Supuestos!$D$9),IF(Supuestos!$C$9="Lognormal",LOGINV(F889,LN(Supuestos!$D$9)-LN(1+Supuestos!$E$9^2/Supuestos!$D$9^2)/2,SQRT(LN(1+Supuestos!$E$9^2/Supuestos!$D$9^2))),Supuestos!$D$9))))))</f>
        <v/>
      </c>
      <c r="N889" s="32">
        <f>MIN(IF(Supuestos!$H$10="",1E+99,Supuestos!$H$10),MAX(IF(Supuestos!$G$10="",-1E+99,Supuestos!$G$10),IF(Supuestos!$C$10="Normal",NORMINV(G889,Supuestos!$D$10,Supuestos!$E$10),IF(Supuestos!$C$10="Triangular",IF(G889&lt;(Supuestos!$E$10-Supuestos!$D$10)/(Supuestos!$F$10-Supuestos!$D$10),Supuestos!$D$10+SQRT(G889*(Supuestos!$F$10-Supuestos!$D$10)*(Supuestos!$E$10-Supuestos!$D$10)),Supuestos!$F$10-SQRT((1-G889)*(Supuestos!$F$10-Supuestos!$D$10)*(Supuestos!$F$10-Supuestos!$E$10))),IF(Supuestos!$C$10="Uniforme",Supuestos!$D$10+G889*(Supuestos!$E$10-Supuestos!$D$10),IF(Supuestos!$C$10="Lognormal",LOGINV(G889,LN(Supuestos!$D$10)-LN(1+Supuestos!$E$10^2/Supuestos!$D$10^2)/2,SQRT(LN(1+Supuestos!$E$10^2/Supuestos!$D$10^2))),Supuestos!$D$10))))))</f>
        <v/>
      </c>
      <c r="O889" s="31">
        <f>MIN(IF(Supuestos!$H$11="",1E+99,Supuestos!$H$11),MAX(IF(Supuestos!$G$11="",-1E+99,Supuestos!$G$11),IF(Supuestos!$C$11="Normal",NORMINV(H889,Supuestos!$D$11,Supuestos!$E$11),IF(Supuestos!$C$11="Triangular",IF(H889&lt;(Supuestos!$E$11-Supuestos!$D$11)/(Supuestos!$F$11-Supuestos!$D$11),Supuestos!$D$11+SQRT(H889*(Supuestos!$F$11-Supuestos!$D$11)*(Supuestos!$E$11-Supuestos!$D$11)),Supuestos!$F$11-SQRT((1-H889)*(Supuestos!$F$11-Supuestos!$D$11)*(Supuestos!$F$11-Supuestos!$E$11))),IF(Supuestos!$C$11="Uniforme",Supuestos!$D$11+H889*(Supuestos!$E$11-Supuestos!$D$11),IF(Supuestos!$C$11="Lognormal",LOGINV(H889,LN(Supuestos!$D$11)-LN(1+Supuestos!$E$11^2/Supuestos!$D$11^2)/2,SQRT(LN(1+Supuestos!$E$11^2/Supuestos!$D$11^2))),Supuestos!$D$11))))))</f>
        <v/>
      </c>
      <c r="P889" s="33">
        <f>-I889</f>
        <v/>
      </c>
      <c r="Q889" s="33">
        <f>$J889*(1+$K889)^(1-1)*(1-$L889)*(1-$M889)</f>
        <v/>
      </c>
      <c r="R889" s="33">
        <f>$J889*(1+$K889)^(2-1)*(1-$L889)*(1-$M889)</f>
        <v/>
      </c>
      <c r="S889" s="33">
        <f>$J889*(1+$K889)^(3-1)*(1-$L889)*(1-$M889)</f>
        <v/>
      </c>
      <c r="T889" s="33">
        <f>$J889*(1+$K889)^(4-1)*(1-$L889)*(1-$M889)</f>
        <v/>
      </c>
      <c r="U889" s="33">
        <f>$J889*(1+$K889)^(5-1)*(1-$L889)*(1-$M889)+$O889</f>
        <v/>
      </c>
      <c r="V889" s="33">
        <f>P889+NPV($N889,Q889:U889)</f>
        <v/>
      </c>
      <c r="W889" s="32">
        <f>IFERROR(IRR(P889:U889,0.1),"")</f>
        <v/>
      </c>
    </row>
    <row r="890">
      <c r="A890" s="14" t="n">
        <v>886</v>
      </c>
      <c r="B890" s="30">
        <f>RAND()*(1-2E-6)+1E-6</f>
        <v/>
      </c>
      <c r="C890" s="30">
        <f>RAND()*(1-2E-6)+1E-6</f>
        <v/>
      </c>
      <c r="D890" s="30">
        <f>RAND()*(1-2E-6)+1E-6</f>
        <v/>
      </c>
      <c r="E890" s="30">
        <f>RAND()*(1-2E-6)+1E-6</f>
        <v/>
      </c>
      <c r="F890" s="30">
        <f>RAND()*(1-2E-6)+1E-6</f>
        <v/>
      </c>
      <c r="G890" s="30">
        <f>RAND()*(1-2E-6)+1E-6</f>
        <v/>
      </c>
      <c r="H890" s="30">
        <f>RAND()*(1-2E-6)+1E-6</f>
        <v/>
      </c>
      <c r="I890" s="31">
        <f>MIN(IF(Supuestos!$H$5="",1E+99,Supuestos!$H$5),MAX(IF(Supuestos!$G$5="",-1E+99,Supuestos!$G$5),IF(Supuestos!$C$5="Normal",NORMINV(B890,Supuestos!$D$5,Supuestos!$E$5),IF(Supuestos!$C$5="Triangular",IF(B890&lt;(Supuestos!$E$5-Supuestos!$D$5)/(Supuestos!$F$5-Supuestos!$D$5),Supuestos!$D$5+SQRT(B890*(Supuestos!$F$5-Supuestos!$D$5)*(Supuestos!$E$5-Supuestos!$D$5)),Supuestos!$F$5-SQRT((1-B890)*(Supuestos!$F$5-Supuestos!$D$5)*(Supuestos!$F$5-Supuestos!$E$5))),IF(Supuestos!$C$5="Uniforme",Supuestos!$D$5+B890*(Supuestos!$E$5-Supuestos!$D$5),IF(Supuestos!$C$5="Lognormal",LOGINV(B890,LN(Supuestos!$D$5)-LN(1+Supuestos!$E$5^2/Supuestos!$D$5^2)/2,SQRT(LN(1+Supuestos!$E$5^2/Supuestos!$D$5^2))),Supuestos!$D$5))))))</f>
        <v/>
      </c>
      <c r="J890" s="31">
        <f>MIN(IF(Supuestos!$H$6="",1E+99,Supuestos!$H$6),MAX(IF(Supuestos!$G$6="",-1E+99,Supuestos!$G$6),IF(Supuestos!$C$6="Normal",NORMINV(C890,Supuestos!$D$6,Supuestos!$E$6),IF(Supuestos!$C$6="Triangular",IF(C890&lt;(Supuestos!$E$6-Supuestos!$D$6)/(Supuestos!$F$6-Supuestos!$D$6),Supuestos!$D$6+SQRT(C890*(Supuestos!$F$6-Supuestos!$D$6)*(Supuestos!$E$6-Supuestos!$D$6)),Supuestos!$F$6-SQRT((1-C890)*(Supuestos!$F$6-Supuestos!$D$6)*(Supuestos!$F$6-Supuestos!$E$6))),IF(Supuestos!$C$6="Uniforme",Supuestos!$D$6+C890*(Supuestos!$E$6-Supuestos!$D$6),IF(Supuestos!$C$6="Lognormal",LOGINV(C890,LN(Supuestos!$D$6)-LN(1+Supuestos!$E$6^2/Supuestos!$D$6^2)/2,SQRT(LN(1+Supuestos!$E$6^2/Supuestos!$D$6^2))),Supuestos!$D$6))))))</f>
        <v/>
      </c>
      <c r="K890" s="32">
        <f>MIN(IF(Supuestos!$H$7="",1E+99,Supuestos!$H$7),MAX(IF(Supuestos!$G$7="",-1E+99,Supuestos!$G$7),IF(Supuestos!$C$7="Normal",NORMINV(D890,Supuestos!$D$7,Supuestos!$E$7),IF(Supuestos!$C$7="Triangular",IF(D890&lt;(Supuestos!$E$7-Supuestos!$D$7)/(Supuestos!$F$7-Supuestos!$D$7),Supuestos!$D$7+SQRT(D890*(Supuestos!$F$7-Supuestos!$D$7)*(Supuestos!$E$7-Supuestos!$D$7)),Supuestos!$F$7-SQRT((1-D890)*(Supuestos!$F$7-Supuestos!$D$7)*(Supuestos!$F$7-Supuestos!$E$7))),IF(Supuestos!$C$7="Uniforme",Supuestos!$D$7+D890*(Supuestos!$E$7-Supuestos!$D$7),IF(Supuestos!$C$7="Lognormal",LOGINV(D890,LN(Supuestos!$D$7)-LN(1+Supuestos!$E$7^2/Supuestos!$D$7^2)/2,SQRT(LN(1+Supuestos!$E$7^2/Supuestos!$D$7^2))),Supuestos!$D$7))))))</f>
        <v/>
      </c>
      <c r="L890" s="32">
        <f>MIN(IF(Supuestos!$H$8="",1E+99,Supuestos!$H$8),MAX(IF(Supuestos!$G$8="",-1E+99,Supuestos!$G$8),IF(Supuestos!$C$8="Normal",NORMINV(E890,Supuestos!$D$8,Supuestos!$E$8),IF(Supuestos!$C$8="Triangular",IF(E890&lt;(Supuestos!$E$8-Supuestos!$D$8)/(Supuestos!$F$8-Supuestos!$D$8),Supuestos!$D$8+SQRT(E890*(Supuestos!$F$8-Supuestos!$D$8)*(Supuestos!$E$8-Supuestos!$D$8)),Supuestos!$F$8-SQRT((1-E890)*(Supuestos!$F$8-Supuestos!$D$8)*(Supuestos!$F$8-Supuestos!$E$8))),IF(Supuestos!$C$8="Uniforme",Supuestos!$D$8+E890*(Supuestos!$E$8-Supuestos!$D$8),IF(Supuestos!$C$8="Lognormal",LOGINV(E890,LN(Supuestos!$D$8)-LN(1+Supuestos!$E$8^2/Supuestos!$D$8^2)/2,SQRT(LN(1+Supuestos!$E$8^2/Supuestos!$D$8^2))),Supuestos!$D$8))))))</f>
        <v/>
      </c>
      <c r="M890" s="32">
        <f>MIN(IF(Supuestos!$H$9="",1E+99,Supuestos!$H$9),MAX(IF(Supuestos!$G$9="",-1E+99,Supuestos!$G$9),IF(Supuestos!$C$9="Normal",NORMINV(F890,Supuestos!$D$9,Supuestos!$E$9),IF(Supuestos!$C$9="Triangular",IF(F890&lt;(Supuestos!$E$9-Supuestos!$D$9)/(Supuestos!$F$9-Supuestos!$D$9),Supuestos!$D$9+SQRT(F890*(Supuestos!$F$9-Supuestos!$D$9)*(Supuestos!$E$9-Supuestos!$D$9)),Supuestos!$F$9-SQRT((1-F890)*(Supuestos!$F$9-Supuestos!$D$9)*(Supuestos!$F$9-Supuestos!$E$9))),IF(Supuestos!$C$9="Uniforme",Supuestos!$D$9+F890*(Supuestos!$E$9-Supuestos!$D$9),IF(Supuestos!$C$9="Lognormal",LOGINV(F890,LN(Supuestos!$D$9)-LN(1+Supuestos!$E$9^2/Supuestos!$D$9^2)/2,SQRT(LN(1+Supuestos!$E$9^2/Supuestos!$D$9^2))),Supuestos!$D$9))))))</f>
        <v/>
      </c>
      <c r="N890" s="32">
        <f>MIN(IF(Supuestos!$H$10="",1E+99,Supuestos!$H$10),MAX(IF(Supuestos!$G$10="",-1E+99,Supuestos!$G$10),IF(Supuestos!$C$10="Normal",NORMINV(G890,Supuestos!$D$10,Supuestos!$E$10),IF(Supuestos!$C$10="Triangular",IF(G890&lt;(Supuestos!$E$10-Supuestos!$D$10)/(Supuestos!$F$10-Supuestos!$D$10),Supuestos!$D$10+SQRT(G890*(Supuestos!$F$10-Supuestos!$D$10)*(Supuestos!$E$10-Supuestos!$D$10)),Supuestos!$F$10-SQRT((1-G890)*(Supuestos!$F$10-Supuestos!$D$10)*(Supuestos!$F$10-Supuestos!$E$10))),IF(Supuestos!$C$10="Uniforme",Supuestos!$D$10+G890*(Supuestos!$E$10-Supuestos!$D$10),IF(Supuestos!$C$10="Lognormal",LOGINV(G890,LN(Supuestos!$D$10)-LN(1+Supuestos!$E$10^2/Supuestos!$D$10^2)/2,SQRT(LN(1+Supuestos!$E$10^2/Supuestos!$D$10^2))),Supuestos!$D$10))))))</f>
        <v/>
      </c>
      <c r="O890" s="31">
        <f>MIN(IF(Supuestos!$H$11="",1E+99,Supuestos!$H$11),MAX(IF(Supuestos!$G$11="",-1E+99,Supuestos!$G$11),IF(Supuestos!$C$11="Normal",NORMINV(H890,Supuestos!$D$11,Supuestos!$E$11),IF(Supuestos!$C$11="Triangular",IF(H890&lt;(Supuestos!$E$11-Supuestos!$D$11)/(Supuestos!$F$11-Supuestos!$D$11),Supuestos!$D$11+SQRT(H890*(Supuestos!$F$11-Supuestos!$D$11)*(Supuestos!$E$11-Supuestos!$D$11)),Supuestos!$F$11-SQRT((1-H890)*(Supuestos!$F$11-Supuestos!$D$11)*(Supuestos!$F$11-Supuestos!$E$11))),IF(Supuestos!$C$11="Uniforme",Supuestos!$D$11+H890*(Supuestos!$E$11-Supuestos!$D$11),IF(Supuestos!$C$11="Lognormal",LOGINV(H890,LN(Supuestos!$D$11)-LN(1+Supuestos!$E$11^2/Supuestos!$D$11^2)/2,SQRT(LN(1+Supuestos!$E$11^2/Supuestos!$D$11^2))),Supuestos!$D$11))))))</f>
        <v/>
      </c>
      <c r="P890" s="33">
        <f>-I890</f>
        <v/>
      </c>
      <c r="Q890" s="33">
        <f>$J890*(1+$K890)^(1-1)*(1-$L890)*(1-$M890)</f>
        <v/>
      </c>
      <c r="R890" s="33">
        <f>$J890*(1+$K890)^(2-1)*(1-$L890)*(1-$M890)</f>
        <v/>
      </c>
      <c r="S890" s="33">
        <f>$J890*(1+$K890)^(3-1)*(1-$L890)*(1-$M890)</f>
        <v/>
      </c>
      <c r="T890" s="33">
        <f>$J890*(1+$K890)^(4-1)*(1-$L890)*(1-$M890)</f>
        <v/>
      </c>
      <c r="U890" s="33">
        <f>$J890*(1+$K890)^(5-1)*(1-$L890)*(1-$M890)+$O890</f>
        <v/>
      </c>
      <c r="V890" s="33">
        <f>P890+NPV($N890,Q890:U890)</f>
        <v/>
      </c>
      <c r="W890" s="32">
        <f>IFERROR(IRR(P890:U890,0.1),"")</f>
        <v/>
      </c>
    </row>
    <row r="891">
      <c r="A891" s="14" t="n">
        <v>887</v>
      </c>
      <c r="B891" s="30">
        <f>RAND()*(1-2E-6)+1E-6</f>
        <v/>
      </c>
      <c r="C891" s="30">
        <f>RAND()*(1-2E-6)+1E-6</f>
        <v/>
      </c>
      <c r="D891" s="30">
        <f>RAND()*(1-2E-6)+1E-6</f>
        <v/>
      </c>
      <c r="E891" s="30">
        <f>RAND()*(1-2E-6)+1E-6</f>
        <v/>
      </c>
      <c r="F891" s="30">
        <f>RAND()*(1-2E-6)+1E-6</f>
        <v/>
      </c>
      <c r="G891" s="30">
        <f>RAND()*(1-2E-6)+1E-6</f>
        <v/>
      </c>
      <c r="H891" s="30">
        <f>RAND()*(1-2E-6)+1E-6</f>
        <v/>
      </c>
      <c r="I891" s="31">
        <f>MIN(IF(Supuestos!$H$5="",1E+99,Supuestos!$H$5),MAX(IF(Supuestos!$G$5="",-1E+99,Supuestos!$G$5),IF(Supuestos!$C$5="Normal",NORMINV(B891,Supuestos!$D$5,Supuestos!$E$5),IF(Supuestos!$C$5="Triangular",IF(B891&lt;(Supuestos!$E$5-Supuestos!$D$5)/(Supuestos!$F$5-Supuestos!$D$5),Supuestos!$D$5+SQRT(B891*(Supuestos!$F$5-Supuestos!$D$5)*(Supuestos!$E$5-Supuestos!$D$5)),Supuestos!$F$5-SQRT((1-B891)*(Supuestos!$F$5-Supuestos!$D$5)*(Supuestos!$F$5-Supuestos!$E$5))),IF(Supuestos!$C$5="Uniforme",Supuestos!$D$5+B891*(Supuestos!$E$5-Supuestos!$D$5),IF(Supuestos!$C$5="Lognormal",LOGINV(B891,LN(Supuestos!$D$5)-LN(1+Supuestos!$E$5^2/Supuestos!$D$5^2)/2,SQRT(LN(1+Supuestos!$E$5^2/Supuestos!$D$5^2))),Supuestos!$D$5))))))</f>
        <v/>
      </c>
      <c r="J891" s="31">
        <f>MIN(IF(Supuestos!$H$6="",1E+99,Supuestos!$H$6),MAX(IF(Supuestos!$G$6="",-1E+99,Supuestos!$G$6),IF(Supuestos!$C$6="Normal",NORMINV(C891,Supuestos!$D$6,Supuestos!$E$6),IF(Supuestos!$C$6="Triangular",IF(C891&lt;(Supuestos!$E$6-Supuestos!$D$6)/(Supuestos!$F$6-Supuestos!$D$6),Supuestos!$D$6+SQRT(C891*(Supuestos!$F$6-Supuestos!$D$6)*(Supuestos!$E$6-Supuestos!$D$6)),Supuestos!$F$6-SQRT((1-C891)*(Supuestos!$F$6-Supuestos!$D$6)*(Supuestos!$F$6-Supuestos!$E$6))),IF(Supuestos!$C$6="Uniforme",Supuestos!$D$6+C891*(Supuestos!$E$6-Supuestos!$D$6),IF(Supuestos!$C$6="Lognormal",LOGINV(C891,LN(Supuestos!$D$6)-LN(1+Supuestos!$E$6^2/Supuestos!$D$6^2)/2,SQRT(LN(1+Supuestos!$E$6^2/Supuestos!$D$6^2))),Supuestos!$D$6))))))</f>
        <v/>
      </c>
      <c r="K891" s="32">
        <f>MIN(IF(Supuestos!$H$7="",1E+99,Supuestos!$H$7),MAX(IF(Supuestos!$G$7="",-1E+99,Supuestos!$G$7),IF(Supuestos!$C$7="Normal",NORMINV(D891,Supuestos!$D$7,Supuestos!$E$7),IF(Supuestos!$C$7="Triangular",IF(D891&lt;(Supuestos!$E$7-Supuestos!$D$7)/(Supuestos!$F$7-Supuestos!$D$7),Supuestos!$D$7+SQRT(D891*(Supuestos!$F$7-Supuestos!$D$7)*(Supuestos!$E$7-Supuestos!$D$7)),Supuestos!$F$7-SQRT((1-D891)*(Supuestos!$F$7-Supuestos!$D$7)*(Supuestos!$F$7-Supuestos!$E$7))),IF(Supuestos!$C$7="Uniforme",Supuestos!$D$7+D891*(Supuestos!$E$7-Supuestos!$D$7),IF(Supuestos!$C$7="Lognormal",LOGINV(D891,LN(Supuestos!$D$7)-LN(1+Supuestos!$E$7^2/Supuestos!$D$7^2)/2,SQRT(LN(1+Supuestos!$E$7^2/Supuestos!$D$7^2))),Supuestos!$D$7))))))</f>
        <v/>
      </c>
      <c r="L891" s="32">
        <f>MIN(IF(Supuestos!$H$8="",1E+99,Supuestos!$H$8),MAX(IF(Supuestos!$G$8="",-1E+99,Supuestos!$G$8),IF(Supuestos!$C$8="Normal",NORMINV(E891,Supuestos!$D$8,Supuestos!$E$8),IF(Supuestos!$C$8="Triangular",IF(E891&lt;(Supuestos!$E$8-Supuestos!$D$8)/(Supuestos!$F$8-Supuestos!$D$8),Supuestos!$D$8+SQRT(E891*(Supuestos!$F$8-Supuestos!$D$8)*(Supuestos!$E$8-Supuestos!$D$8)),Supuestos!$F$8-SQRT((1-E891)*(Supuestos!$F$8-Supuestos!$D$8)*(Supuestos!$F$8-Supuestos!$E$8))),IF(Supuestos!$C$8="Uniforme",Supuestos!$D$8+E891*(Supuestos!$E$8-Supuestos!$D$8),IF(Supuestos!$C$8="Lognormal",LOGINV(E891,LN(Supuestos!$D$8)-LN(1+Supuestos!$E$8^2/Supuestos!$D$8^2)/2,SQRT(LN(1+Supuestos!$E$8^2/Supuestos!$D$8^2))),Supuestos!$D$8))))))</f>
        <v/>
      </c>
      <c r="M891" s="32">
        <f>MIN(IF(Supuestos!$H$9="",1E+99,Supuestos!$H$9),MAX(IF(Supuestos!$G$9="",-1E+99,Supuestos!$G$9),IF(Supuestos!$C$9="Normal",NORMINV(F891,Supuestos!$D$9,Supuestos!$E$9),IF(Supuestos!$C$9="Triangular",IF(F891&lt;(Supuestos!$E$9-Supuestos!$D$9)/(Supuestos!$F$9-Supuestos!$D$9),Supuestos!$D$9+SQRT(F891*(Supuestos!$F$9-Supuestos!$D$9)*(Supuestos!$E$9-Supuestos!$D$9)),Supuestos!$F$9-SQRT((1-F891)*(Supuestos!$F$9-Supuestos!$D$9)*(Supuestos!$F$9-Supuestos!$E$9))),IF(Supuestos!$C$9="Uniforme",Supuestos!$D$9+F891*(Supuestos!$E$9-Supuestos!$D$9),IF(Supuestos!$C$9="Lognormal",LOGINV(F891,LN(Supuestos!$D$9)-LN(1+Supuestos!$E$9^2/Supuestos!$D$9^2)/2,SQRT(LN(1+Supuestos!$E$9^2/Supuestos!$D$9^2))),Supuestos!$D$9))))))</f>
        <v/>
      </c>
      <c r="N891" s="32">
        <f>MIN(IF(Supuestos!$H$10="",1E+99,Supuestos!$H$10),MAX(IF(Supuestos!$G$10="",-1E+99,Supuestos!$G$10),IF(Supuestos!$C$10="Normal",NORMINV(G891,Supuestos!$D$10,Supuestos!$E$10),IF(Supuestos!$C$10="Triangular",IF(G891&lt;(Supuestos!$E$10-Supuestos!$D$10)/(Supuestos!$F$10-Supuestos!$D$10),Supuestos!$D$10+SQRT(G891*(Supuestos!$F$10-Supuestos!$D$10)*(Supuestos!$E$10-Supuestos!$D$10)),Supuestos!$F$10-SQRT((1-G891)*(Supuestos!$F$10-Supuestos!$D$10)*(Supuestos!$F$10-Supuestos!$E$10))),IF(Supuestos!$C$10="Uniforme",Supuestos!$D$10+G891*(Supuestos!$E$10-Supuestos!$D$10),IF(Supuestos!$C$10="Lognormal",LOGINV(G891,LN(Supuestos!$D$10)-LN(1+Supuestos!$E$10^2/Supuestos!$D$10^2)/2,SQRT(LN(1+Supuestos!$E$10^2/Supuestos!$D$10^2))),Supuestos!$D$10))))))</f>
        <v/>
      </c>
      <c r="O891" s="31">
        <f>MIN(IF(Supuestos!$H$11="",1E+99,Supuestos!$H$11),MAX(IF(Supuestos!$G$11="",-1E+99,Supuestos!$G$11),IF(Supuestos!$C$11="Normal",NORMINV(H891,Supuestos!$D$11,Supuestos!$E$11),IF(Supuestos!$C$11="Triangular",IF(H891&lt;(Supuestos!$E$11-Supuestos!$D$11)/(Supuestos!$F$11-Supuestos!$D$11),Supuestos!$D$11+SQRT(H891*(Supuestos!$F$11-Supuestos!$D$11)*(Supuestos!$E$11-Supuestos!$D$11)),Supuestos!$F$11-SQRT((1-H891)*(Supuestos!$F$11-Supuestos!$D$11)*(Supuestos!$F$11-Supuestos!$E$11))),IF(Supuestos!$C$11="Uniforme",Supuestos!$D$11+H891*(Supuestos!$E$11-Supuestos!$D$11),IF(Supuestos!$C$11="Lognormal",LOGINV(H891,LN(Supuestos!$D$11)-LN(1+Supuestos!$E$11^2/Supuestos!$D$11^2)/2,SQRT(LN(1+Supuestos!$E$11^2/Supuestos!$D$11^2))),Supuestos!$D$11))))))</f>
        <v/>
      </c>
      <c r="P891" s="33">
        <f>-I891</f>
        <v/>
      </c>
      <c r="Q891" s="33">
        <f>$J891*(1+$K891)^(1-1)*(1-$L891)*(1-$M891)</f>
        <v/>
      </c>
      <c r="R891" s="33">
        <f>$J891*(1+$K891)^(2-1)*(1-$L891)*(1-$M891)</f>
        <v/>
      </c>
      <c r="S891" s="33">
        <f>$J891*(1+$K891)^(3-1)*(1-$L891)*(1-$M891)</f>
        <v/>
      </c>
      <c r="T891" s="33">
        <f>$J891*(1+$K891)^(4-1)*(1-$L891)*(1-$M891)</f>
        <v/>
      </c>
      <c r="U891" s="33">
        <f>$J891*(1+$K891)^(5-1)*(1-$L891)*(1-$M891)+$O891</f>
        <v/>
      </c>
      <c r="V891" s="33">
        <f>P891+NPV($N891,Q891:U891)</f>
        <v/>
      </c>
      <c r="W891" s="32">
        <f>IFERROR(IRR(P891:U891,0.1),"")</f>
        <v/>
      </c>
    </row>
    <row r="892">
      <c r="A892" s="14" t="n">
        <v>888</v>
      </c>
      <c r="B892" s="30">
        <f>RAND()*(1-2E-6)+1E-6</f>
        <v/>
      </c>
      <c r="C892" s="30">
        <f>RAND()*(1-2E-6)+1E-6</f>
        <v/>
      </c>
      <c r="D892" s="30">
        <f>RAND()*(1-2E-6)+1E-6</f>
        <v/>
      </c>
      <c r="E892" s="30">
        <f>RAND()*(1-2E-6)+1E-6</f>
        <v/>
      </c>
      <c r="F892" s="30">
        <f>RAND()*(1-2E-6)+1E-6</f>
        <v/>
      </c>
      <c r="G892" s="30">
        <f>RAND()*(1-2E-6)+1E-6</f>
        <v/>
      </c>
      <c r="H892" s="30">
        <f>RAND()*(1-2E-6)+1E-6</f>
        <v/>
      </c>
      <c r="I892" s="31">
        <f>MIN(IF(Supuestos!$H$5="",1E+99,Supuestos!$H$5),MAX(IF(Supuestos!$G$5="",-1E+99,Supuestos!$G$5),IF(Supuestos!$C$5="Normal",NORMINV(B892,Supuestos!$D$5,Supuestos!$E$5),IF(Supuestos!$C$5="Triangular",IF(B892&lt;(Supuestos!$E$5-Supuestos!$D$5)/(Supuestos!$F$5-Supuestos!$D$5),Supuestos!$D$5+SQRT(B892*(Supuestos!$F$5-Supuestos!$D$5)*(Supuestos!$E$5-Supuestos!$D$5)),Supuestos!$F$5-SQRT((1-B892)*(Supuestos!$F$5-Supuestos!$D$5)*(Supuestos!$F$5-Supuestos!$E$5))),IF(Supuestos!$C$5="Uniforme",Supuestos!$D$5+B892*(Supuestos!$E$5-Supuestos!$D$5),IF(Supuestos!$C$5="Lognormal",LOGINV(B892,LN(Supuestos!$D$5)-LN(1+Supuestos!$E$5^2/Supuestos!$D$5^2)/2,SQRT(LN(1+Supuestos!$E$5^2/Supuestos!$D$5^2))),Supuestos!$D$5))))))</f>
        <v/>
      </c>
      <c r="J892" s="31">
        <f>MIN(IF(Supuestos!$H$6="",1E+99,Supuestos!$H$6),MAX(IF(Supuestos!$G$6="",-1E+99,Supuestos!$G$6),IF(Supuestos!$C$6="Normal",NORMINV(C892,Supuestos!$D$6,Supuestos!$E$6),IF(Supuestos!$C$6="Triangular",IF(C892&lt;(Supuestos!$E$6-Supuestos!$D$6)/(Supuestos!$F$6-Supuestos!$D$6),Supuestos!$D$6+SQRT(C892*(Supuestos!$F$6-Supuestos!$D$6)*(Supuestos!$E$6-Supuestos!$D$6)),Supuestos!$F$6-SQRT((1-C892)*(Supuestos!$F$6-Supuestos!$D$6)*(Supuestos!$F$6-Supuestos!$E$6))),IF(Supuestos!$C$6="Uniforme",Supuestos!$D$6+C892*(Supuestos!$E$6-Supuestos!$D$6),IF(Supuestos!$C$6="Lognormal",LOGINV(C892,LN(Supuestos!$D$6)-LN(1+Supuestos!$E$6^2/Supuestos!$D$6^2)/2,SQRT(LN(1+Supuestos!$E$6^2/Supuestos!$D$6^2))),Supuestos!$D$6))))))</f>
        <v/>
      </c>
      <c r="K892" s="32">
        <f>MIN(IF(Supuestos!$H$7="",1E+99,Supuestos!$H$7),MAX(IF(Supuestos!$G$7="",-1E+99,Supuestos!$G$7),IF(Supuestos!$C$7="Normal",NORMINV(D892,Supuestos!$D$7,Supuestos!$E$7),IF(Supuestos!$C$7="Triangular",IF(D892&lt;(Supuestos!$E$7-Supuestos!$D$7)/(Supuestos!$F$7-Supuestos!$D$7),Supuestos!$D$7+SQRT(D892*(Supuestos!$F$7-Supuestos!$D$7)*(Supuestos!$E$7-Supuestos!$D$7)),Supuestos!$F$7-SQRT((1-D892)*(Supuestos!$F$7-Supuestos!$D$7)*(Supuestos!$F$7-Supuestos!$E$7))),IF(Supuestos!$C$7="Uniforme",Supuestos!$D$7+D892*(Supuestos!$E$7-Supuestos!$D$7),IF(Supuestos!$C$7="Lognormal",LOGINV(D892,LN(Supuestos!$D$7)-LN(1+Supuestos!$E$7^2/Supuestos!$D$7^2)/2,SQRT(LN(1+Supuestos!$E$7^2/Supuestos!$D$7^2))),Supuestos!$D$7))))))</f>
        <v/>
      </c>
      <c r="L892" s="32">
        <f>MIN(IF(Supuestos!$H$8="",1E+99,Supuestos!$H$8),MAX(IF(Supuestos!$G$8="",-1E+99,Supuestos!$G$8),IF(Supuestos!$C$8="Normal",NORMINV(E892,Supuestos!$D$8,Supuestos!$E$8),IF(Supuestos!$C$8="Triangular",IF(E892&lt;(Supuestos!$E$8-Supuestos!$D$8)/(Supuestos!$F$8-Supuestos!$D$8),Supuestos!$D$8+SQRT(E892*(Supuestos!$F$8-Supuestos!$D$8)*(Supuestos!$E$8-Supuestos!$D$8)),Supuestos!$F$8-SQRT((1-E892)*(Supuestos!$F$8-Supuestos!$D$8)*(Supuestos!$F$8-Supuestos!$E$8))),IF(Supuestos!$C$8="Uniforme",Supuestos!$D$8+E892*(Supuestos!$E$8-Supuestos!$D$8),IF(Supuestos!$C$8="Lognormal",LOGINV(E892,LN(Supuestos!$D$8)-LN(1+Supuestos!$E$8^2/Supuestos!$D$8^2)/2,SQRT(LN(1+Supuestos!$E$8^2/Supuestos!$D$8^2))),Supuestos!$D$8))))))</f>
        <v/>
      </c>
      <c r="M892" s="32">
        <f>MIN(IF(Supuestos!$H$9="",1E+99,Supuestos!$H$9),MAX(IF(Supuestos!$G$9="",-1E+99,Supuestos!$G$9),IF(Supuestos!$C$9="Normal",NORMINV(F892,Supuestos!$D$9,Supuestos!$E$9),IF(Supuestos!$C$9="Triangular",IF(F892&lt;(Supuestos!$E$9-Supuestos!$D$9)/(Supuestos!$F$9-Supuestos!$D$9),Supuestos!$D$9+SQRT(F892*(Supuestos!$F$9-Supuestos!$D$9)*(Supuestos!$E$9-Supuestos!$D$9)),Supuestos!$F$9-SQRT((1-F892)*(Supuestos!$F$9-Supuestos!$D$9)*(Supuestos!$F$9-Supuestos!$E$9))),IF(Supuestos!$C$9="Uniforme",Supuestos!$D$9+F892*(Supuestos!$E$9-Supuestos!$D$9),IF(Supuestos!$C$9="Lognormal",LOGINV(F892,LN(Supuestos!$D$9)-LN(1+Supuestos!$E$9^2/Supuestos!$D$9^2)/2,SQRT(LN(1+Supuestos!$E$9^2/Supuestos!$D$9^2))),Supuestos!$D$9))))))</f>
        <v/>
      </c>
      <c r="N892" s="32">
        <f>MIN(IF(Supuestos!$H$10="",1E+99,Supuestos!$H$10),MAX(IF(Supuestos!$G$10="",-1E+99,Supuestos!$G$10),IF(Supuestos!$C$10="Normal",NORMINV(G892,Supuestos!$D$10,Supuestos!$E$10),IF(Supuestos!$C$10="Triangular",IF(G892&lt;(Supuestos!$E$10-Supuestos!$D$10)/(Supuestos!$F$10-Supuestos!$D$10),Supuestos!$D$10+SQRT(G892*(Supuestos!$F$10-Supuestos!$D$10)*(Supuestos!$E$10-Supuestos!$D$10)),Supuestos!$F$10-SQRT((1-G892)*(Supuestos!$F$10-Supuestos!$D$10)*(Supuestos!$F$10-Supuestos!$E$10))),IF(Supuestos!$C$10="Uniforme",Supuestos!$D$10+G892*(Supuestos!$E$10-Supuestos!$D$10),IF(Supuestos!$C$10="Lognormal",LOGINV(G892,LN(Supuestos!$D$10)-LN(1+Supuestos!$E$10^2/Supuestos!$D$10^2)/2,SQRT(LN(1+Supuestos!$E$10^2/Supuestos!$D$10^2))),Supuestos!$D$10))))))</f>
        <v/>
      </c>
      <c r="O892" s="31">
        <f>MIN(IF(Supuestos!$H$11="",1E+99,Supuestos!$H$11),MAX(IF(Supuestos!$G$11="",-1E+99,Supuestos!$G$11),IF(Supuestos!$C$11="Normal",NORMINV(H892,Supuestos!$D$11,Supuestos!$E$11),IF(Supuestos!$C$11="Triangular",IF(H892&lt;(Supuestos!$E$11-Supuestos!$D$11)/(Supuestos!$F$11-Supuestos!$D$11),Supuestos!$D$11+SQRT(H892*(Supuestos!$F$11-Supuestos!$D$11)*(Supuestos!$E$11-Supuestos!$D$11)),Supuestos!$F$11-SQRT((1-H892)*(Supuestos!$F$11-Supuestos!$D$11)*(Supuestos!$F$11-Supuestos!$E$11))),IF(Supuestos!$C$11="Uniforme",Supuestos!$D$11+H892*(Supuestos!$E$11-Supuestos!$D$11),IF(Supuestos!$C$11="Lognormal",LOGINV(H892,LN(Supuestos!$D$11)-LN(1+Supuestos!$E$11^2/Supuestos!$D$11^2)/2,SQRT(LN(1+Supuestos!$E$11^2/Supuestos!$D$11^2))),Supuestos!$D$11))))))</f>
        <v/>
      </c>
      <c r="P892" s="33">
        <f>-I892</f>
        <v/>
      </c>
      <c r="Q892" s="33">
        <f>$J892*(1+$K892)^(1-1)*(1-$L892)*(1-$M892)</f>
        <v/>
      </c>
      <c r="R892" s="33">
        <f>$J892*(1+$K892)^(2-1)*(1-$L892)*(1-$M892)</f>
        <v/>
      </c>
      <c r="S892" s="33">
        <f>$J892*(1+$K892)^(3-1)*(1-$L892)*(1-$M892)</f>
        <v/>
      </c>
      <c r="T892" s="33">
        <f>$J892*(1+$K892)^(4-1)*(1-$L892)*(1-$M892)</f>
        <v/>
      </c>
      <c r="U892" s="33">
        <f>$J892*(1+$K892)^(5-1)*(1-$L892)*(1-$M892)+$O892</f>
        <v/>
      </c>
      <c r="V892" s="33">
        <f>P892+NPV($N892,Q892:U892)</f>
        <v/>
      </c>
      <c r="W892" s="32">
        <f>IFERROR(IRR(P892:U892,0.1),"")</f>
        <v/>
      </c>
    </row>
    <row r="893">
      <c r="A893" s="14" t="n">
        <v>889</v>
      </c>
      <c r="B893" s="30">
        <f>RAND()*(1-2E-6)+1E-6</f>
        <v/>
      </c>
      <c r="C893" s="30">
        <f>RAND()*(1-2E-6)+1E-6</f>
        <v/>
      </c>
      <c r="D893" s="30">
        <f>RAND()*(1-2E-6)+1E-6</f>
        <v/>
      </c>
      <c r="E893" s="30">
        <f>RAND()*(1-2E-6)+1E-6</f>
        <v/>
      </c>
      <c r="F893" s="30">
        <f>RAND()*(1-2E-6)+1E-6</f>
        <v/>
      </c>
      <c r="G893" s="30">
        <f>RAND()*(1-2E-6)+1E-6</f>
        <v/>
      </c>
      <c r="H893" s="30">
        <f>RAND()*(1-2E-6)+1E-6</f>
        <v/>
      </c>
      <c r="I893" s="31">
        <f>MIN(IF(Supuestos!$H$5="",1E+99,Supuestos!$H$5),MAX(IF(Supuestos!$G$5="",-1E+99,Supuestos!$G$5),IF(Supuestos!$C$5="Normal",NORMINV(B893,Supuestos!$D$5,Supuestos!$E$5),IF(Supuestos!$C$5="Triangular",IF(B893&lt;(Supuestos!$E$5-Supuestos!$D$5)/(Supuestos!$F$5-Supuestos!$D$5),Supuestos!$D$5+SQRT(B893*(Supuestos!$F$5-Supuestos!$D$5)*(Supuestos!$E$5-Supuestos!$D$5)),Supuestos!$F$5-SQRT((1-B893)*(Supuestos!$F$5-Supuestos!$D$5)*(Supuestos!$F$5-Supuestos!$E$5))),IF(Supuestos!$C$5="Uniforme",Supuestos!$D$5+B893*(Supuestos!$E$5-Supuestos!$D$5),IF(Supuestos!$C$5="Lognormal",LOGINV(B893,LN(Supuestos!$D$5)-LN(1+Supuestos!$E$5^2/Supuestos!$D$5^2)/2,SQRT(LN(1+Supuestos!$E$5^2/Supuestos!$D$5^2))),Supuestos!$D$5))))))</f>
        <v/>
      </c>
      <c r="J893" s="31">
        <f>MIN(IF(Supuestos!$H$6="",1E+99,Supuestos!$H$6),MAX(IF(Supuestos!$G$6="",-1E+99,Supuestos!$G$6),IF(Supuestos!$C$6="Normal",NORMINV(C893,Supuestos!$D$6,Supuestos!$E$6),IF(Supuestos!$C$6="Triangular",IF(C893&lt;(Supuestos!$E$6-Supuestos!$D$6)/(Supuestos!$F$6-Supuestos!$D$6),Supuestos!$D$6+SQRT(C893*(Supuestos!$F$6-Supuestos!$D$6)*(Supuestos!$E$6-Supuestos!$D$6)),Supuestos!$F$6-SQRT((1-C893)*(Supuestos!$F$6-Supuestos!$D$6)*(Supuestos!$F$6-Supuestos!$E$6))),IF(Supuestos!$C$6="Uniforme",Supuestos!$D$6+C893*(Supuestos!$E$6-Supuestos!$D$6),IF(Supuestos!$C$6="Lognormal",LOGINV(C893,LN(Supuestos!$D$6)-LN(1+Supuestos!$E$6^2/Supuestos!$D$6^2)/2,SQRT(LN(1+Supuestos!$E$6^2/Supuestos!$D$6^2))),Supuestos!$D$6))))))</f>
        <v/>
      </c>
      <c r="K893" s="32">
        <f>MIN(IF(Supuestos!$H$7="",1E+99,Supuestos!$H$7),MAX(IF(Supuestos!$G$7="",-1E+99,Supuestos!$G$7),IF(Supuestos!$C$7="Normal",NORMINV(D893,Supuestos!$D$7,Supuestos!$E$7),IF(Supuestos!$C$7="Triangular",IF(D893&lt;(Supuestos!$E$7-Supuestos!$D$7)/(Supuestos!$F$7-Supuestos!$D$7),Supuestos!$D$7+SQRT(D893*(Supuestos!$F$7-Supuestos!$D$7)*(Supuestos!$E$7-Supuestos!$D$7)),Supuestos!$F$7-SQRT((1-D893)*(Supuestos!$F$7-Supuestos!$D$7)*(Supuestos!$F$7-Supuestos!$E$7))),IF(Supuestos!$C$7="Uniforme",Supuestos!$D$7+D893*(Supuestos!$E$7-Supuestos!$D$7),IF(Supuestos!$C$7="Lognormal",LOGINV(D893,LN(Supuestos!$D$7)-LN(1+Supuestos!$E$7^2/Supuestos!$D$7^2)/2,SQRT(LN(1+Supuestos!$E$7^2/Supuestos!$D$7^2))),Supuestos!$D$7))))))</f>
        <v/>
      </c>
      <c r="L893" s="32">
        <f>MIN(IF(Supuestos!$H$8="",1E+99,Supuestos!$H$8),MAX(IF(Supuestos!$G$8="",-1E+99,Supuestos!$G$8),IF(Supuestos!$C$8="Normal",NORMINV(E893,Supuestos!$D$8,Supuestos!$E$8),IF(Supuestos!$C$8="Triangular",IF(E893&lt;(Supuestos!$E$8-Supuestos!$D$8)/(Supuestos!$F$8-Supuestos!$D$8),Supuestos!$D$8+SQRT(E893*(Supuestos!$F$8-Supuestos!$D$8)*(Supuestos!$E$8-Supuestos!$D$8)),Supuestos!$F$8-SQRT((1-E893)*(Supuestos!$F$8-Supuestos!$D$8)*(Supuestos!$F$8-Supuestos!$E$8))),IF(Supuestos!$C$8="Uniforme",Supuestos!$D$8+E893*(Supuestos!$E$8-Supuestos!$D$8),IF(Supuestos!$C$8="Lognormal",LOGINV(E893,LN(Supuestos!$D$8)-LN(1+Supuestos!$E$8^2/Supuestos!$D$8^2)/2,SQRT(LN(1+Supuestos!$E$8^2/Supuestos!$D$8^2))),Supuestos!$D$8))))))</f>
        <v/>
      </c>
      <c r="M893" s="32">
        <f>MIN(IF(Supuestos!$H$9="",1E+99,Supuestos!$H$9),MAX(IF(Supuestos!$G$9="",-1E+99,Supuestos!$G$9),IF(Supuestos!$C$9="Normal",NORMINV(F893,Supuestos!$D$9,Supuestos!$E$9),IF(Supuestos!$C$9="Triangular",IF(F893&lt;(Supuestos!$E$9-Supuestos!$D$9)/(Supuestos!$F$9-Supuestos!$D$9),Supuestos!$D$9+SQRT(F893*(Supuestos!$F$9-Supuestos!$D$9)*(Supuestos!$E$9-Supuestos!$D$9)),Supuestos!$F$9-SQRT((1-F893)*(Supuestos!$F$9-Supuestos!$D$9)*(Supuestos!$F$9-Supuestos!$E$9))),IF(Supuestos!$C$9="Uniforme",Supuestos!$D$9+F893*(Supuestos!$E$9-Supuestos!$D$9),IF(Supuestos!$C$9="Lognormal",LOGINV(F893,LN(Supuestos!$D$9)-LN(1+Supuestos!$E$9^2/Supuestos!$D$9^2)/2,SQRT(LN(1+Supuestos!$E$9^2/Supuestos!$D$9^2))),Supuestos!$D$9))))))</f>
        <v/>
      </c>
      <c r="N893" s="32">
        <f>MIN(IF(Supuestos!$H$10="",1E+99,Supuestos!$H$10),MAX(IF(Supuestos!$G$10="",-1E+99,Supuestos!$G$10),IF(Supuestos!$C$10="Normal",NORMINV(G893,Supuestos!$D$10,Supuestos!$E$10),IF(Supuestos!$C$10="Triangular",IF(G893&lt;(Supuestos!$E$10-Supuestos!$D$10)/(Supuestos!$F$10-Supuestos!$D$10),Supuestos!$D$10+SQRT(G893*(Supuestos!$F$10-Supuestos!$D$10)*(Supuestos!$E$10-Supuestos!$D$10)),Supuestos!$F$10-SQRT((1-G893)*(Supuestos!$F$10-Supuestos!$D$10)*(Supuestos!$F$10-Supuestos!$E$10))),IF(Supuestos!$C$10="Uniforme",Supuestos!$D$10+G893*(Supuestos!$E$10-Supuestos!$D$10),IF(Supuestos!$C$10="Lognormal",LOGINV(G893,LN(Supuestos!$D$10)-LN(1+Supuestos!$E$10^2/Supuestos!$D$10^2)/2,SQRT(LN(1+Supuestos!$E$10^2/Supuestos!$D$10^2))),Supuestos!$D$10))))))</f>
        <v/>
      </c>
      <c r="O893" s="31">
        <f>MIN(IF(Supuestos!$H$11="",1E+99,Supuestos!$H$11),MAX(IF(Supuestos!$G$11="",-1E+99,Supuestos!$G$11),IF(Supuestos!$C$11="Normal",NORMINV(H893,Supuestos!$D$11,Supuestos!$E$11),IF(Supuestos!$C$11="Triangular",IF(H893&lt;(Supuestos!$E$11-Supuestos!$D$11)/(Supuestos!$F$11-Supuestos!$D$11),Supuestos!$D$11+SQRT(H893*(Supuestos!$F$11-Supuestos!$D$11)*(Supuestos!$E$11-Supuestos!$D$11)),Supuestos!$F$11-SQRT((1-H893)*(Supuestos!$F$11-Supuestos!$D$11)*(Supuestos!$F$11-Supuestos!$E$11))),IF(Supuestos!$C$11="Uniforme",Supuestos!$D$11+H893*(Supuestos!$E$11-Supuestos!$D$11),IF(Supuestos!$C$11="Lognormal",LOGINV(H893,LN(Supuestos!$D$11)-LN(1+Supuestos!$E$11^2/Supuestos!$D$11^2)/2,SQRT(LN(1+Supuestos!$E$11^2/Supuestos!$D$11^2))),Supuestos!$D$11))))))</f>
        <v/>
      </c>
      <c r="P893" s="33">
        <f>-I893</f>
        <v/>
      </c>
      <c r="Q893" s="33">
        <f>$J893*(1+$K893)^(1-1)*(1-$L893)*(1-$M893)</f>
        <v/>
      </c>
      <c r="R893" s="33">
        <f>$J893*(1+$K893)^(2-1)*(1-$L893)*(1-$M893)</f>
        <v/>
      </c>
      <c r="S893" s="33">
        <f>$J893*(1+$K893)^(3-1)*(1-$L893)*(1-$M893)</f>
        <v/>
      </c>
      <c r="T893" s="33">
        <f>$J893*(1+$K893)^(4-1)*(1-$L893)*(1-$M893)</f>
        <v/>
      </c>
      <c r="U893" s="33">
        <f>$J893*(1+$K893)^(5-1)*(1-$L893)*(1-$M893)+$O893</f>
        <v/>
      </c>
      <c r="V893" s="33">
        <f>P893+NPV($N893,Q893:U893)</f>
        <v/>
      </c>
      <c r="W893" s="32">
        <f>IFERROR(IRR(P893:U893,0.1),"")</f>
        <v/>
      </c>
    </row>
    <row r="894">
      <c r="A894" s="14" t="n">
        <v>890</v>
      </c>
      <c r="B894" s="30">
        <f>RAND()*(1-2E-6)+1E-6</f>
        <v/>
      </c>
      <c r="C894" s="30">
        <f>RAND()*(1-2E-6)+1E-6</f>
        <v/>
      </c>
      <c r="D894" s="30">
        <f>RAND()*(1-2E-6)+1E-6</f>
        <v/>
      </c>
      <c r="E894" s="30">
        <f>RAND()*(1-2E-6)+1E-6</f>
        <v/>
      </c>
      <c r="F894" s="30">
        <f>RAND()*(1-2E-6)+1E-6</f>
        <v/>
      </c>
      <c r="G894" s="30">
        <f>RAND()*(1-2E-6)+1E-6</f>
        <v/>
      </c>
      <c r="H894" s="30">
        <f>RAND()*(1-2E-6)+1E-6</f>
        <v/>
      </c>
      <c r="I894" s="31">
        <f>MIN(IF(Supuestos!$H$5="",1E+99,Supuestos!$H$5),MAX(IF(Supuestos!$G$5="",-1E+99,Supuestos!$G$5),IF(Supuestos!$C$5="Normal",NORMINV(B894,Supuestos!$D$5,Supuestos!$E$5),IF(Supuestos!$C$5="Triangular",IF(B894&lt;(Supuestos!$E$5-Supuestos!$D$5)/(Supuestos!$F$5-Supuestos!$D$5),Supuestos!$D$5+SQRT(B894*(Supuestos!$F$5-Supuestos!$D$5)*(Supuestos!$E$5-Supuestos!$D$5)),Supuestos!$F$5-SQRT((1-B894)*(Supuestos!$F$5-Supuestos!$D$5)*(Supuestos!$F$5-Supuestos!$E$5))),IF(Supuestos!$C$5="Uniforme",Supuestos!$D$5+B894*(Supuestos!$E$5-Supuestos!$D$5),IF(Supuestos!$C$5="Lognormal",LOGINV(B894,LN(Supuestos!$D$5)-LN(1+Supuestos!$E$5^2/Supuestos!$D$5^2)/2,SQRT(LN(1+Supuestos!$E$5^2/Supuestos!$D$5^2))),Supuestos!$D$5))))))</f>
        <v/>
      </c>
      <c r="J894" s="31">
        <f>MIN(IF(Supuestos!$H$6="",1E+99,Supuestos!$H$6),MAX(IF(Supuestos!$G$6="",-1E+99,Supuestos!$G$6),IF(Supuestos!$C$6="Normal",NORMINV(C894,Supuestos!$D$6,Supuestos!$E$6),IF(Supuestos!$C$6="Triangular",IF(C894&lt;(Supuestos!$E$6-Supuestos!$D$6)/(Supuestos!$F$6-Supuestos!$D$6),Supuestos!$D$6+SQRT(C894*(Supuestos!$F$6-Supuestos!$D$6)*(Supuestos!$E$6-Supuestos!$D$6)),Supuestos!$F$6-SQRT((1-C894)*(Supuestos!$F$6-Supuestos!$D$6)*(Supuestos!$F$6-Supuestos!$E$6))),IF(Supuestos!$C$6="Uniforme",Supuestos!$D$6+C894*(Supuestos!$E$6-Supuestos!$D$6),IF(Supuestos!$C$6="Lognormal",LOGINV(C894,LN(Supuestos!$D$6)-LN(1+Supuestos!$E$6^2/Supuestos!$D$6^2)/2,SQRT(LN(1+Supuestos!$E$6^2/Supuestos!$D$6^2))),Supuestos!$D$6))))))</f>
        <v/>
      </c>
      <c r="K894" s="32">
        <f>MIN(IF(Supuestos!$H$7="",1E+99,Supuestos!$H$7),MAX(IF(Supuestos!$G$7="",-1E+99,Supuestos!$G$7),IF(Supuestos!$C$7="Normal",NORMINV(D894,Supuestos!$D$7,Supuestos!$E$7),IF(Supuestos!$C$7="Triangular",IF(D894&lt;(Supuestos!$E$7-Supuestos!$D$7)/(Supuestos!$F$7-Supuestos!$D$7),Supuestos!$D$7+SQRT(D894*(Supuestos!$F$7-Supuestos!$D$7)*(Supuestos!$E$7-Supuestos!$D$7)),Supuestos!$F$7-SQRT((1-D894)*(Supuestos!$F$7-Supuestos!$D$7)*(Supuestos!$F$7-Supuestos!$E$7))),IF(Supuestos!$C$7="Uniforme",Supuestos!$D$7+D894*(Supuestos!$E$7-Supuestos!$D$7),IF(Supuestos!$C$7="Lognormal",LOGINV(D894,LN(Supuestos!$D$7)-LN(1+Supuestos!$E$7^2/Supuestos!$D$7^2)/2,SQRT(LN(1+Supuestos!$E$7^2/Supuestos!$D$7^2))),Supuestos!$D$7))))))</f>
        <v/>
      </c>
      <c r="L894" s="32">
        <f>MIN(IF(Supuestos!$H$8="",1E+99,Supuestos!$H$8),MAX(IF(Supuestos!$G$8="",-1E+99,Supuestos!$G$8),IF(Supuestos!$C$8="Normal",NORMINV(E894,Supuestos!$D$8,Supuestos!$E$8),IF(Supuestos!$C$8="Triangular",IF(E894&lt;(Supuestos!$E$8-Supuestos!$D$8)/(Supuestos!$F$8-Supuestos!$D$8),Supuestos!$D$8+SQRT(E894*(Supuestos!$F$8-Supuestos!$D$8)*(Supuestos!$E$8-Supuestos!$D$8)),Supuestos!$F$8-SQRT((1-E894)*(Supuestos!$F$8-Supuestos!$D$8)*(Supuestos!$F$8-Supuestos!$E$8))),IF(Supuestos!$C$8="Uniforme",Supuestos!$D$8+E894*(Supuestos!$E$8-Supuestos!$D$8),IF(Supuestos!$C$8="Lognormal",LOGINV(E894,LN(Supuestos!$D$8)-LN(1+Supuestos!$E$8^2/Supuestos!$D$8^2)/2,SQRT(LN(1+Supuestos!$E$8^2/Supuestos!$D$8^2))),Supuestos!$D$8))))))</f>
        <v/>
      </c>
      <c r="M894" s="32">
        <f>MIN(IF(Supuestos!$H$9="",1E+99,Supuestos!$H$9),MAX(IF(Supuestos!$G$9="",-1E+99,Supuestos!$G$9),IF(Supuestos!$C$9="Normal",NORMINV(F894,Supuestos!$D$9,Supuestos!$E$9),IF(Supuestos!$C$9="Triangular",IF(F894&lt;(Supuestos!$E$9-Supuestos!$D$9)/(Supuestos!$F$9-Supuestos!$D$9),Supuestos!$D$9+SQRT(F894*(Supuestos!$F$9-Supuestos!$D$9)*(Supuestos!$E$9-Supuestos!$D$9)),Supuestos!$F$9-SQRT((1-F894)*(Supuestos!$F$9-Supuestos!$D$9)*(Supuestos!$F$9-Supuestos!$E$9))),IF(Supuestos!$C$9="Uniforme",Supuestos!$D$9+F894*(Supuestos!$E$9-Supuestos!$D$9),IF(Supuestos!$C$9="Lognormal",LOGINV(F894,LN(Supuestos!$D$9)-LN(1+Supuestos!$E$9^2/Supuestos!$D$9^2)/2,SQRT(LN(1+Supuestos!$E$9^2/Supuestos!$D$9^2))),Supuestos!$D$9))))))</f>
        <v/>
      </c>
      <c r="N894" s="32">
        <f>MIN(IF(Supuestos!$H$10="",1E+99,Supuestos!$H$10),MAX(IF(Supuestos!$G$10="",-1E+99,Supuestos!$G$10),IF(Supuestos!$C$10="Normal",NORMINV(G894,Supuestos!$D$10,Supuestos!$E$10),IF(Supuestos!$C$10="Triangular",IF(G894&lt;(Supuestos!$E$10-Supuestos!$D$10)/(Supuestos!$F$10-Supuestos!$D$10),Supuestos!$D$10+SQRT(G894*(Supuestos!$F$10-Supuestos!$D$10)*(Supuestos!$E$10-Supuestos!$D$10)),Supuestos!$F$10-SQRT((1-G894)*(Supuestos!$F$10-Supuestos!$D$10)*(Supuestos!$F$10-Supuestos!$E$10))),IF(Supuestos!$C$10="Uniforme",Supuestos!$D$10+G894*(Supuestos!$E$10-Supuestos!$D$10),IF(Supuestos!$C$10="Lognormal",LOGINV(G894,LN(Supuestos!$D$10)-LN(1+Supuestos!$E$10^2/Supuestos!$D$10^2)/2,SQRT(LN(1+Supuestos!$E$10^2/Supuestos!$D$10^2))),Supuestos!$D$10))))))</f>
        <v/>
      </c>
      <c r="O894" s="31">
        <f>MIN(IF(Supuestos!$H$11="",1E+99,Supuestos!$H$11),MAX(IF(Supuestos!$G$11="",-1E+99,Supuestos!$G$11),IF(Supuestos!$C$11="Normal",NORMINV(H894,Supuestos!$D$11,Supuestos!$E$11),IF(Supuestos!$C$11="Triangular",IF(H894&lt;(Supuestos!$E$11-Supuestos!$D$11)/(Supuestos!$F$11-Supuestos!$D$11),Supuestos!$D$11+SQRT(H894*(Supuestos!$F$11-Supuestos!$D$11)*(Supuestos!$E$11-Supuestos!$D$11)),Supuestos!$F$11-SQRT((1-H894)*(Supuestos!$F$11-Supuestos!$D$11)*(Supuestos!$F$11-Supuestos!$E$11))),IF(Supuestos!$C$11="Uniforme",Supuestos!$D$11+H894*(Supuestos!$E$11-Supuestos!$D$11),IF(Supuestos!$C$11="Lognormal",LOGINV(H894,LN(Supuestos!$D$11)-LN(1+Supuestos!$E$11^2/Supuestos!$D$11^2)/2,SQRT(LN(1+Supuestos!$E$11^2/Supuestos!$D$11^2))),Supuestos!$D$11))))))</f>
        <v/>
      </c>
      <c r="P894" s="33">
        <f>-I894</f>
        <v/>
      </c>
      <c r="Q894" s="33">
        <f>$J894*(1+$K894)^(1-1)*(1-$L894)*(1-$M894)</f>
        <v/>
      </c>
      <c r="R894" s="33">
        <f>$J894*(1+$K894)^(2-1)*(1-$L894)*(1-$M894)</f>
        <v/>
      </c>
      <c r="S894" s="33">
        <f>$J894*(1+$K894)^(3-1)*(1-$L894)*(1-$M894)</f>
        <v/>
      </c>
      <c r="T894" s="33">
        <f>$J894*(1+$K894)^(4-1)*(1-$L894)*(1-$M894)</f>
        <v/>
      </c>
      <c r="U894" s="33">
        <f>$J894*(1+$K894)^(5-1)*(1-$L894)*(1-$M894)+$O894</f>
        <v/>
      </c>
      <c r="V894" s="33">
        <f>P894+NPV($N894,Q894:U894)</f>
        <v/>
      </c>
      <c r="W894" s="32">
        <f>IFERROR(IRR(P894:U894,0.1),"")</f>
        <v/>
      </c>
    </row>
    <row r="895">
      <c r="A895" s="14" t="n">
        <v>891</v>
      </c>
      <c r="B895" s="30">
        <f>RAND()*(1-2E-6)+1E-6</f>
        <v/>
      </c>
      <c r="C895" s="30">
        <f>RAND()*(1-2E-6)+1E-6</f>
        <v/>
      </c>
      <c r="D895" s="30">
        <f>RAND()*(1-2E-6)+1E-6</f>
        <v/>
      </c>
      <c r="E895" s="30">
        <f>RAND()*(1-2E-6)+1E-6</f>
        <v/>
      </c>
      <c r="F895" s="30">
        <f>RAND()*(1-2E-6)+1E-6</f>
        <v/>
      </c>
      <c r="G895" s="30">
        <f>RAND()*(1-2E-6)+1E-6</f>
        <v/>
      </c>
      <c r="H895" s="30">
        <f>RAND()*(1-2E-6)+1E-6</f>
        <v/>
      </c>
      <c r="I895" s="31">
        <f>MIN(IF(Supuestos!$H$5="",1E+99,Supuestos!$H$5),MAX(IF(Supuestos!$G$5="",-1E+99,Supuestos!$G$5),IF(Supuestos!$C$5="Normal",NORMINV(B895,Supuestos!$D$5,Supuestos!$E$5),IF(Supuestos!$C$5="Triangular",IF(B895&lt;(Supuestos!$E$5-Supuestos!$D$5)/(Supuestos!$F$5-Supuestos!$D$5),Supuestos!$D$5+SQRT(B895*(Supuestos!$F$5-Supuestos!$D$5)*(Supuestos!$E$5-Supuestos!$D$5)),Supuestos!$F$5-SQRT((1-B895)*(Supuestos!$F$5-Supuestos!$D$5)*(Supuestos!$F$5-Supuestos!$E$5))),IF(Supuestos!$C$5="Uniforme",Supuestos!$D$5+B895*(Supuestos!$E$5-Supuestos!$D$5),IF(Supuestos!$C$5="Lognormal",LOGINV(B895,LN(Supuestos!$D$5)-LN(1+Supuestos!$E$5^2/Supuestos!$D$5^2)/2,SQRT(LN(1+Supuestos!$E$5^2/Supuestos!$D$5^2))),Supuestos!$D$5))))))</f>
        <v/>
      </c>
      <c r="J895" s="31">
        <f>MIN(IF(Supuestos!$H$6="",1E+99,Supuestos!$H$6),MAX(IF(Supuestos!$G$6="",-1E+99,Supuestos!$G$6),IF(Supuestos!$C$6="Normal",NORMINV(C895,Supuestos!$D$6,Supuestos!$E$6),IF(Supuestos!$C$6="Triangular",IF(C895&lt;(Supuestos!$E$6-Supuestos!$D$6)/(Supuestos!$F$6-Supuestos!$D$6),Supuestos!$D$6+SQRT(C895*(Supuestos!$F$6-Supuestos!$D$6)*(Supuestos!$E$6-Supuestos!$D$6)),Supuestos!$F$6-SQRT((1-C895)*(Supuestos!$F$6-Supuestos!$D$6)*(Supuestos!$F$6-Supuestos!$E$6))),IF(Supuestos!$C$6="Uniforme",Supuestos!$D$6+C895*(Supuestos!$E$6-Supuestos!$D$6),IF(Supuestos!$C$6="Lognormal",LOGINV(C895,LN(Supuestos!$D$6)-LN(1+Supuestos!$E$6^2/Supuestos!$D$6^2)/2,SQRT(LN(1+Supuestos!$E$6^2/Supuestos!$D$6^2))),Supuestos!$D$6))))))</f>
        <v/>
      </c>
      <c r="K895" s="32">
        <f>MIN(IF(Supuestos!$H$7="",1E+99,Supuestos!$H$7),MAX(IF(Supuestos!$G$7="",-1E+99,Supuestos!$G$7),IF(Supuestos!$C$7="Normal",NORMINV(D895,Supuestos!$D$7,Supuestos!$E$7),IF(Supuestos!$C$7="Triangular",IF(D895&lt;(Supuestos!$E$7-Supuestos!$D$7)/(Supuestos!$F$7-Supuestos!$D$7),Supuestos!$D$7+SQRT(D895*(Supuestos!$F$7-Supuestos!$D$7)*(Supuestos!$E$7-Supuestos!$D$7)),Supuestos!$F$7-SQRT((1-D895)*(Supuestos!$F$7-Supuestos!$D$7)*(Supuestos!$F$7-Supuestos!$E$7))),IF(Supuestos!$C$7="Uniforme",Supuestos!$D$7+D895*(Supuestos!$E$7-Supuestos!$D$7),IF(Supuestos!$C$7="Lognormal",LOGINV(D895,LN(Supuestos!$D$7)-LN(1+Supuestos!$E$7^2/Supuestos!$D$7^2)/2,SQRT(LN(1+Supuestos!$E$7^2/Supuestos!$D$7^2))),Supuestos!$D$7))))))</f>
        <v/>
      </c>
      <c r="L895" s="32">
        <f>MIN(IF(Supuestos!$H$8="",1E+99,Supuestos!$H$8),MAX(IF(Supuestos!$G$8="",-1E+99,Supuestos!$G$8),IF(Supuestos!$C$8="Normal",NORMINV(E895,Supuestos!$D$8,Supuestos!$E$8),IF(Supuestos!$C$8="Triangular",IF(E895&lt;(Supuestos!$E$8-Supuestos!$D$8)/(Supuestos!$F$8-Supuestos!$D$8),Supuestos!$D$8+SQRT(E895*(Supuestos!$F$8-Supuestos!$D$8)*(Supuestos!$E$8-Supuestos!$D$8)),Supuestos!$F$8-SQRT((1-E895)*(Supuestos!$F$8-Supuestos!$D$8)*(Supuestos!$F$8-Supuestos!$E$8))),IF(Supuestos!$C$8="Uniforme",Supuestos!$D$8+E895*(Supuestos!$E$8-Supuestos!$D$8),IF(Supuestos!$C$8="Lognormal",LOGINV(E895,LN(Supuestos!$D$8)-LN(1+Supuestos!$E$8^2/Supuestos!$D$8^2)/2,SQRT(LN(1+Supuestos!$E$8^2/Supuestos!$D$8^2))),Supuestos!$D$8))))))</f>
        <v/>
      </c>
      <c r="M895" s="32">
        <f>MIN(IF(Supuestos!$H$9="",1E+99,Supuestos!$H$9),MAX(IF(Supuestos!$G$9="",-1E+99,Supuestos!$G$9),IF(Supuestos!$C$9="Normal",NORMINV(F895,Supuestos!$D$9,Supuestos!$E$9),IF(Supuestos!$C$9="Triangular",IF(F895&lt;(Supuestos!$E$9-Supuestos!$D$9)/(Supuestos!$F$9-Supuestos!$D$9),Supuestos!$D$9+SQRT(F895*(Supuestos!$F$9-Supuestos!$D$9)*(Supuestos!$E$9-Supuestos!$D$9)),Supuestos!$F$9-SQRT((1-F895)*(Supuestos!$F$9-Supuestos!$D$9)*(Supuestos!$F$9-Supuestos!$E$9))),IF(Supuestos!$C$9="Uniforme",Supuestos!$D$9+F895*(Supuestos!$E$9-Supuestos!$D$9),IF(Supuestos!$C$9="Lognormal",LOGINV(F895,LN(Supuestos!$D$9)-LN(1+Supuestos!$E$9^2/Supuestos!$D$9^2)/2,SQRT(LN(1+Supuestos!$E$9^2/Supuestos!$D$9^2))),Supuestos!$D$9))))))</f>
        <v/>
      </c>
      <c r="N895" s="32">
        <f>MIN(IF(Supuestos!$H$10="",1E+99,Supuestos!$H$10),MAX(IF(Supuestos!$G$10="",-1E+99,Supuestos!$G$10),IF(Supuestos!$C$10="Normal",NORMINV(G895,Supuestos!$D$10,Supuestos!$E$10),IF(Supuestos!$C$10="Triangular",IF(G895&lt;(Supuestos!$E$10-Supuestos!$D$10)/(Supuestos!$F$10-Supuestos!$D$10),Supuestos!$D$10+SQRT(G895*(Supuestos!$F$10-Supuestos!$D$10)*(Supuestos!$E$10-Supuestos!$D$10)),Supuestos!$F$10-SQRT((1-G895)*(Supuestos!$F$10-Supuestos!$D$10)*(Supuestos!$F$10-Supuestos!$E$10))),IF(Supuestos!$C$10="Uniforme",Supuestos!$D$10+G895*(Supuestos!$E$10-Supuestos!$D$10),IF(Supuestos!$C$10="Lognormal",LOGINV(G895,LN(Supuestos!$D$10)-LN(1+Supuestos!$E$10^2/Supuestos!$D$10^2)/2,SQRT(LN(1+Supuestos!$E$10^2/Supuestos!$D$10^2))),Supuestos!$D$10))))))</f>
        <v/>
      </c>
      <c r="O895" s="31">
        <f>MIN(IF(Supuestos!$H$11="",1E+99,Supuestos!$H$11),MAX(IF(Supuestos!$G$11="",-1E+99,Supuestos!$G$11),IF(Supuestos!$C$11="Normal",NORMINV(H895,Supuestos!$D$11,Supuestos!$E$11),IF(Supuestos!$C$11="Triangular",IF(H895&lt;(Supuestos!$E$11-Supuestos!$D$11)/(Supuestos!$F$11-Supuestos!$D$11),Supuestos!$D$11+SQRT(H895*(Supuestos!$F$11-Supuestos!$D$11)*(Supuestos!$E$11-Supuestos!$D$11)),Supuestos!$F$11-SQRT((1-H895)*(Supuestos!$F$11-Supuestos!$D$11)*(Supuestos!$F$11-Supuestos!$E$11))),IF(Supuestos!$C$11="Uniforme",Supuestos!$D$11+H895*(Supuestos!$E$11-Supuestos!$D$11),IF(Supuestos!$C$11="Lognormal",LOGINV(H895,LN(Supuestos!$D$11)-LN(1+Supuestos!$E$11^2/Supuestos!$D$11^2)/2,SQRT(LN(1+Supuestos!$E$11^2/Supuestos!$D$11^2))),Supuestos!$D$11))))))</f>
        <v/>
      </c>
      <c r="P895" s="33">
        <f>-I895</f>
        <v/>
      </c>
      <c r="Q895" s="33">
        <f>$J895*(1+$K895)^(1-1)*(1-$L895)*(1-$M895)</f>
        <v/>
      </c>
      <c r="R895" s="33">
        <f>$J895*(1+$K895)^(2-1)*(1-$L895)*(1-$M895)</f>
        <v/>
      </c>
      <c r="S895" s="33">
        <f>$J895*(1+$K895)^(3-1)*(1-$L895)*(1-$M895)</f>
        <v/>
      </c>
      <c r="T895" s="33">
        <f>$J895*(1+$K895)^(4-1)*(1-$L895)*(1-$M895)</f>
        <v/>
      </c>
      <c r="U895" s="33">
        <f>$J895*(1+$K895)^(5-1)*(1-$L895)*(1-$M895)+$O895</f>
        <v/>
      </c>
      <c r="V895" s="33">
        <f>P895+NPV($N895,Q895:U895)</f>
        <v/>
      </c>
      <c r="W895" s="32">
        <f>IFERROR(IRR(P895:U895,0.1),"")</f>
        <v/>
      </c>
    </row>
    <row r="896">
      <c r="A896" s="14" t="n">
        <v>892</v>
      </c>
      <c r="B896" s="30">
        <f>RAND()*(1-2E-6)+1E-6</f>
        <v/>
      </c>
      <c r="C896" s="30">
        <f>RAND()*(1-2E-6)+1E-6</f>
        <v/>
      </c>
      <c r="D896" s="30">
        <f>RAND()*(1-2E-6)+1E-6</f>
        <v/>
      </c>
      <c r="E896" s="30">
        <f>RAND()*(1-2E-6)+1E-6</f>
        <v/>
      </c>
      <c r="F896" s="30">
        <f>RAND()*(1-2E-6)+1E-6</f>
        <v/>
      </c>
      <c r="G896" s="30">
        <f>RAND()*(1-2E-6)+1E-6</f>
        <v/>
      </c>
      <c r="H896" s="30">
        <f>RAND()*(1-2E-6)+1E-6</f>
        <v/>
      </c>
      <c r="I896" s="31">
        <f>MIN(IF(Supuestos!$H$5="",1E+99,Supuestos!$H$5),MAX(IF(Supuestos!$G$5="",-1E+99,Supuestos!$G$5),IF(Supuestos!$C$5="Normal",NORMINV(B896,Supuestos!$D$5,Supuestos!$E$5),IF(Supuestos!$C$5="Triangular",IF(B896&lt;(Supuestos!$E$5-Supuestos!$D$5)/(Supuestos!$F$5-Supuestos!$D$5),Supuestos!$D$5+SQRT(B896*(Supuestos!$F$5-Supuestos!$D$5)*(Supuestos!$E$5-Supuestos!$D$5)),Supuestos!$F$5-SQRT((1-B896)*(Supuestos!$F$5-Supuestos!$D$5)*(Supuestos!$F$5-Supuestos!$E$5))),IF(Supuestos!$C$5="Uniforme",Supuestos!$D$5+B896*(Supuestos!$E$5-Supuestos!$D$5),IF(Supuestos!$C$5="Lognormal",LOGINV(B896,LN(Supuestos!$D$5)-LN(1+Supuestos!$E$5^2/Supuestos!$D$5^2)/2,SQRT(LN(1+Supuestos!$E$5^2/Supuestos!$D$5^2))),Supuestos!$D$5))))))</f>
        <v/>
      </c>
      <c r="J896" s="31">
        <f>MIN(IF(Supuestos!$H$6="",1E+99,Supuestos!$H$6),MAX(IF(Supuestos!$G$6="",-1E+99,Supuestos!$G$6),IF(Supuestos!$C$6="Normal",NORMINV(C896,Supuestos!$D$6,Supuestos!$E$6),IF(Supuestos!$C$6="Triangular",IF(C896&lt;(Supuestos!$E$6-Supuestos!$D$6)/(Supuestos!$F$6-Supuestos!$D$6),Supuestos!$D$6+SQRT(C896*(Supuestos!$F$6-Supuestos!$D$6)*(Supuestos!$E$6-Supuestos!$D$6)),Supuestos!$F$6-SQRT((1-C896)*(Supuestos!$F$6-Supuestos!$D$6)*(Supuestos!$F$6-Supuestos!$E$6))),IF(Supuestos!$C$6="Uniforme",Supuestos!$D$6+C896*(Supuestos!$E$6-Supuestos!$D$6),IF(Supuestos!$C$6="Lognormal",LOGINV(C896,LN(Supuestos!$D$6)-LN(1+Supuestos!$E$6^2/Supuestos!$D$6^2)/2,SQRT(LN(1+Supuestos!$E$6^2/Supuestos!$D$6^2))),Supuestos!$D$6))))))</f>
        <v/>
      </c>
      <c r="K896" s="32">
        <f>MIN(IF(Supuestos!$H$7="",1E+99,Supuestos!$H$7),MAX(IF(Supuestos!$G$7="",-1E+99,Supuestos!$G$7),IF(Supuestos!$C$7="Normal",NORMINV(D896,Supuestos!$D$7,Supuestos!$E$7),IF(Supuestos!$C$7="Triangular",IF(D896&lt;(Supuestos!$E$7-Supuestos!$D$7)/(Supuestos!$F$7-Supuestos!$D$7),Supuestos!$D$7+SQRT(D896*(Supuestos!$F$7-Supuestos!$D$7)*(Supuestos!$E$7-Supuestos!$D$7)),Supuestos!$F$7-SQRT((1-D896)*(Supuestos!$F$7-Supuestos!$D$7)*(Supuestos!$F$7-Supuestos!$E$7))),IF(Supuestos!$C$7="Uniforme",Supuestos!$D$7+D896*(Supuestos!$E$7-Supuestos!$D$7),IF(Supuestos!$C$7="Lognormal",LOGINV(D896,LN(Supuestos!$D$7)-LN(1+Supuestos!$E$7^2/Supuestos!$D$7^2)/2,SQRT(LN(1+Supuestos!$E$7^2/Supuestos!$D$7^2))),Supuestos!$D$7))))))</f>
        <v/>
      </c>
      <c r="L896" s="32">
        <f>MIN(IF(Supuestos!$H$8="",1E+99,Supuestos!$H$8),MAX(IF(Supuestos!$G$8="",-1E+99,Supuestos!$G$8),IF(Supuestos!$C$8="Normal",NORMINV(E896,Supuestos!$D$8,Supuestos!$E$8),IF(Supuestos!$C$8="Triangular",IF(E896&lt;(Supuestos!$E$8-Supuestos!$D$8)/(Supuestos!$F$8-Supuestos!$D$8),Supuestos!$D$8+SQRT(E896*(Supuestos!$F$8-Supuestos!$D$8)*(Supuestos!$E$8-Supuestos!$D$8)),Supuestos!$F$8-SQRT((1-E896)*(Supuestos!$F$8-Supuestos!$D$8)*(Supuestos!$F$8-Supuestos!$E$8))),IF(Supuestos!$C$8="Uniforme",Supuestos!$D$8+E896*(Supuestos!$E$8-Supuestos!$D$8),IF(Supuestos!$C$8="Lognormal",LOGINV(E896,LN(Supuestos!$D$8)-LN(1+Supuestos!$E$8^2/Supuestos!$D$8^2)/2,SQRT(LN(1+Supuestos!$E$8^2/Supuestos!$D$8^2))),Supuestos!$D$8))))))</f>
        <v/>
      </c>
      <c r="M896" s="32">
        <f>MIN(IF(Supuestos!$H$9="",1E+99,Supuestos!$H$9),MAX(IF(Supuestos!$G$9="",-1E+99,Supuestos!$G$9),IF(Supuestos!$C$9="Normal",NORMINV(F896,Supuestos!$D$9,Supuestos!$E$9),IF(Supuestos!$C$9="Triangular",IF(F896&lt;(Supuestos!$E$9-Supuestos!$D$9)/(Supuestos!$F$9-Supuestos!$D$9),Supuestos!$D$9+SQRT(F896*(Supuestos!$F$9-Supuestos!$D$9)*(Supuestos!$E$9-Supuestos!$D$9)),Supuestos!$F$9-SQRT((1-F896)*(Supuestos!$F$9-Supuestos!$D$9)*(Supuestos!$F$9-Supuestos!$E$9))),IF(Supuestos!$C$9="Uniforme",Supuestos!$D$9+F896*(Supuestos!$E$9-Supuestos!$D$9),IF(Supuestos!$C$9="Lognormal",LOGINV(F896,LN(Supuestos!$D$9)-LN(1+Supuestos!$E$9^2/Supuestos!$D$9^2)/2,SQRT(LN(1+Supuestos!$E$9^2/Supuestos!$D$9^2))),Supuestos!$D$9))))))</f>
        <v/>
      </c>
      <c r="N896" s="32">
        <f>MIN(IF(Supuestos!$H$10="",1E+99,Supuestos!$H$10),MAX(IF(Supuestos!$G$10="",-1E+99,Supuestos!$G$10),IF(Supuestos!$C$10="Normal",NORMINV(G896,Supuestos!$D$10,Supuestos!$E$10),IF(Supuestos!$C$10="Triangular",IF(G896&lt;(Supuestos!$E$10-Supuestos!$D$10)/(Supuestos!$F$10-Supuestos!$D$10),Supuestos!$D$10+SQRT(G896*(Supuestos!$F$10-Supuestos!$D$10)*(Supuestos!$E$10-Supuestos!$D$10)),Supuestos!$F$10-SQRT((1-G896)*(Supuestos!$F$10-Supuestos!$D$10)*(Supuestos!$F$10-Supuestos!$E$10))),IF(Supuestos!$C$10="Uniforme",Supuestos!$D$10+G896*(Supuestos!$E$10-Supuestos!$D$10),IF(Supuestos!$C$10="Lognormal",LOGINV(G896,LN(Supuestos!$D$10)-LN(1+Supuestos!$E$10^2/Supuestos!$D$10^2)/2,SQRT(LN(1+Supuestos!$E$10^2/Supuestos!$D$10^2))),Supuestos!$D$10))))))</f>
        <v/>
      </c>
      <c r="O896" s="31">
        <f>MIN(IF(Supuestos!$H$11="",1E+99,Supuestos!$H$11),MAX(IF(Supuestos!$G$11="",-1E+99,Supuestos!$G$11),IF(Supuestos!$C$11="Normal",NORMINV(H896,Supuestos!$D$11,Supuestos!$E$11),IF(Supuestos!$C$11="Triangular",IF(H896&lt;(Supuestos!$E$11-Supuestos!$D$11)/(Supuestos!$F$11-Supuestos!$D$11),Supuestos!$D$11+SQRT(H896*(Supuestos!$F$11-Supuestos!$D$11)*(Supuestos!$E$11-Supuestos!$D$11)),Supuestos!$F$11-SQRT((1-H896)*(Supuestos!$F$11-Supuestos!$D$11)*(Supuestos!$F$11-Supuestos!$E$11))),IF(Supuestos!$C$11="Uniforme",Supuestos!$D$11+H896*(Supuestos!$E$11-Supuestos!$D$11),IF(Supuestos!$C$11="Lognormal",LOGINV(H896,LN(Supuestos!$D$11)-LN(1+Supuestos!$E$11^2/Supuestos!$D$11^2)/2,SQRT(LN(1+Supuestos!$E$11^2/Supuestos!$D$11^2))),Supuestos!$D$11))))))</f>
        <v/>
      </c>
      <c r="P896" s="33">
        <f>-I896</f>
        <v/>
      </c>
      <c r="Q896" s="33">
        <f>$J896*(1+$K896)^(1-1)*(1-$L896)*(1-$M896)</f>
        <v/>
      </c>
      <c r="R896" s="33">
        <f>$J896*(1+$K896)^(2-1)*(1-$L896)*(1-$M896)</f>
        <v/>
      </c>
      <c r="S896" s="33">
        <f>$J896*(1+$K896)^(3-1)*(1-$L896)*(1-$M896)</f>
        <v/>
      </c>
      <c r="T896" s="33">
        <f>$J896*(1+$K896)^(4-1)*(1-$L896)*(1-$M896)</f>
        <v/>
      </c>
      <c r="U896" s="33">
        <f>$J896*(1+$K896)^(5-1)*(1-$L896)*(1-$M896)+$O896</f>
        <v/>
      </c>
      <c r="V896" s="33">
        <f>P896+NPV($N896,Q896:U896)</f>
        <v/>
      </c>
      <c r="W896" s="32">
        <f>IFERROR(IRR(P896:U896,0.1),"")</f>
        <v/>
      </c>
    </row>
    <row r="897">
      <c r="A897" s="14" t="n">
        <v>893</v>
      </c>
      <c r="B897" s="30">
        <f>RAND()*(1-2E-6)+1E-6</f>
        <v/>
      </c>
      <c r="C897" s="30">
        <f>RAND()*(1-2E-6)+1E-6</f>
        <v/>
      </c>
      <c r="D897" s="30">
        <f>RAND()*(1-2E-6)+1E-6</f>
        <v/>
      </c>
      <c r="E897" s="30">
        <f>RAND()*(1-2E-6)+1E-6</f>
        <v/>
      </c>
      <c r="F897" s="30">
        <f>RAND()*(1-2E-6)+1E-6</f>
        <v/>
      </c>
      <c r="G897" s="30">
        <f>RAND()*(1-2E-6)+1E-6</f>
        <v/>
      </c>
      <c r="H897" s="30">
        <f>RAND()*(1-2E-6)+1E-6</f>
        <v/>
      </c>
      <c r="I897" s="31">
        <f>MIN(IF(Supuestos!$H$5="",1E+99,Supuestos!$H$5),MAX(IF(Supuestos!$G$5="",-1E+99,Supuestos!$G$5),IF(Supuestos!$C$5="Normal",NORMINV(B897,Supuestos!$D$5,Supuestos!$E$5),IF(Supuestos!$C$5="Triangular",IF(B897&lt;(Supuestos!$E$5-Supuestos!$D$5)/(Supuestos!$F$5-Supuestos!$D$5),Supuestos!$D$5+SQRT(B897*(Supuestos!$F$5-Supuestos!$D$5)*(Supuestos!$E$5-Supuestos!$D$5)),Supuestos!$F$5-SQRT((1-B897)*(Supuestos!$F$5-Supuestos!$D$5)*(Supuestos!$F$5-Supuestos!$E$5))),IF(Supuestos!$C$5="Uniforme",Supuestos!$D$5+B897*(Supuestos!$E$5-Supuestos!$D$5),IF(Supuestos!$C$5="Lognormal",LOGINV(B897,LN(Supuestos!$D$5)-LN(1+Supuestos!$E$5^2/Supuestos!$D$5^2)/2,SQRT(LN(1+Supuestos!$E$5^2/Supuestos!$D$5^2))),Supuestos!$D$5))))))</f>
        <v/>
      </c>
      <c r="J897" s="31">
        <f>MIN(IF(Supuestos!$H$6="",1E+99,Supuestos!$H$6),MAX(IF(Supuestos!$G$6="",-1E+99,Supuestos!$G$6),IF(Supuestos!$C$6="Normal",NORMINV(C897,Supuestos!$D$6,Supuestos!$E$6),IF(Supuestos!$C$6="Triangular",IF(C897&lt;(Supuestos!$E$6-Supuestos!$D$6)/(Supuestos!$F$6-Supuestos!$D$6),Supuestos!$D$6+SQRT(C897*(Supuestos!$F$6-Supuestos!$D$6)*(Supuestos!$E$6-Supuestos!$D$6)),Supuestos!$F$6-SQRT((1-C897)*(Supuestos!$F$6-Supuestos!$D$6)*(Supuestos!$F$6-Supuestos!$E$6))),IF(Supuestos!$C$6="Uniforme",Supuestos!$D$6+C897*(Supuestos!$E$6-Supuestos!$D$6),IF(Supuestos!$C$6="Lognormal",LOGINV(C897,LN(Supuestos!$D$6)-LN(1+Supuestos!$E$6^2/Supuestos!$D$6^2)/2,SQRT(LN(1+Supuestos!$E$6^2/Supuestos!$D$6^2))),Supuestos!$D$6))))))</f>
        <v/>
      </c>
      <c r="K897" s="32">
        <f>MIN(IF(Supuestos!$H$7="",1E+99,Supuestos!$H$7),MAX(IF(Supuestos!$G$7="",-1E+99,Supuestos!$G$7),IF(Supuestos!$C$7="Normal",NORMINV(D897,Supuestos!$D$7,Supuestos!$E$7),IF(Supuestos!$C$7="Triangular",IF(D897&lt;(Supuestos!$E$7-Supuestos!$D$7)/(Supuestos!$F$7-Supuestos!$D$7),Supuestos!$D$7+SQRT(D897*(Supuestos!$F$7-Supuestos!$D$7)*(Supuestos!$E$7-Supuestos!$D$7)),Supuestos!$F$7-SQRT((1-D897)*(Supuestos!$F$7-Supuestos!$D$7)*(Supuestos!$F$7-Supuestos!$E$7))),IF(Supuestos!$C$7="Uniforme",Supuestos!$D$7+D897*(Supuestos!$E$7-Supuestos!$D$7),IF(Supuestos!$C$7="Lognormal",LOGINV(D897,LN(Supuestos!$D$7)-LN(1+Supuestos!$E$7^2/Supuestos!$D$7^2)/2,SQRT(LN(1+Supuestos!$E$7^2/Supuestos!$D$7^2))),Supuestos!$D$7))))))</f>
        <v/>
      </c>
      <c r="L897" s="32">
        <f>MIN(IF(Supuestos!$H$8="",1E+99,Supuestos!$H$8),MAX(IF(Supuestos!$G$8="",-1E+99,Supuestos!$G$8),IF(Supuestos!$C$8="Normal",NORMINV(E897,Supuestos!$D$8,Supuestos!$E$8),IF(Supuestos!$C$8="Triangular",IF(E897&lt;(Supuestos!$E$8-Supuestos!$D$8)/(Supuestos!$F$8-Supuestos!$D$8),Supuestos!$D$8+SQRT(E897*(Supuestos!$F$8-Supuestos!$D$8)*(Supuestos!$E$8-Supuestos!$D$8)),Supuestos!$F$8-SQRT((1-E897)*(Supuestos!$F$8-Supuestos!$D$8)*(Supuestos!$F$8-Supuestos!$E$8))),IF(Supuestos!$C$8="Uniforme",Supuestos!$D$8+E897*(Supuestos!$E$8-Supuestos!$D$8),IF(Supuestos!$C$8="Lognormal",LOGINV(E897,LN(Supuestos!$D$8)-LN(1+Supuestos!$E$8^2/Supuestos!$D$8^2)/2,SQRT(LN(1+Supuestos!$E$8^2/Supuestos!$D$8^2))),Supuestos!$D$8))))))</f>
        <v/>
      </c>
      <c r="M897" s="32">
        <f>MIN(IF(Supuestos!$H$9="",1E+99,Supuestos!$H$9),MAX(IF(Supuestos!$G$9="",-1E+99,Supuestos!$G$9),IF(Supuestos!$C$9="Normal",NORMINV(F897,Supuestos!$D$9,Supuestos!$E$9),IF(Supuestos!$C$9="Triangular",IF(F897&lt;(Supuestos!$E$9-Supuestos!$D$9)/(Supuestos!$F$9-Supuestos!$D$9),Supuestos!$D$9+SQRT(F897*(Supuestos!$F$9-Supuestos!$D$9)*(Supuestos!$E$9-Supuestos!$D$9)),Supuestos!$F$9-SQRT((1-F897)*(Supuestos!$F$9-Supuestos!$D$9)*(Supuestos!$F$9-Supuestos!$E$9))),IF(Supuestos!$C$9="Uniforme",Supuestos!$D$9+F897*(Supuestos!$E$9-Supuestos!$D$9),IF(Supuestos!$C$9="Lognormal",LOGINV(F897,LN(Supuestos!$D$9)-LN(1+Supuestos!$E$9^2/Supuestos!$D$9^2)/2,SQRT(LN(1+Supuestos!$E$9^2/Supuestos!$D$9^2))),Supuestos!$D$9))))))</f>
        <v/>
      </c>
      <c r="N897" s="32">
        <f>MIN(IF(Supuestos!$H$10="",1E+99,Supuestos!$H$10),MAX(IF(Supuestos!$G$10="",-1E+99,Supuestos!$G$10),IF(Supuestos!$C$10="Normal",NORMINV(G897,Supuestos!$D$10,Supuestos!$E$10),IF(Supuestos!$C$10="Triangular",IF(G897&lt;(Supuestos!$E$10-Supuestos!$D$10)/(Supuestos!$F$10-Supuestos!$D$10),Supuestos!$D$10+SQRT(G897*(Supuestos!$F$10-Supuestos!$D$10)*(Supuestos!$E$10-Supuestos!$D$10)),Supuestos!$F$10-SQRT((1-G897)*(Supuestos!$F$10-Supuestos!$D$10)*(Supuestos!$F$10-Supuestos!$E$10))),IF(Supuestos!$C$10="Uniforme",Supuestos!$D$10+G897*(Supuestos!$E$10-Supuestos!$D$10),IF(Supuestos!$C$10="Lognormal",LOGINV(G897,LN(Supuestos!$D$10)-LN(1+Supuestos!$E$10^2/Supuestos!$D$10^2)/2,SQRT(LN(1+Supuestos!$E$10^2/Supuestos!$D$10^2))),Supuestos!$D$10))))))</f>
        <v/>
      </c>
      <c r="O897" s="31">
        <f>MIN(IF(Supuestos!$H$11="",1E+99,Supuestos!$H$11),MAX(IF(Supuestos!$G$11="",-1E+99,Supuestos!$G$11),IF(Supuestos!$C$11="Normal",NORMINV(H897,Supuestos!$D$11,Supuestos!$E$11),IF(Supuestos!$C$11="Triangular",IF(H897&lt;(Supuestos!$E$11-Supuestos!$D$11)/(Supuestos!$F$11-Supuestos!$D$11),Supuestos!$D$11+SQRT(H897*(Supuestos!$F$11-Supuestos!$D$11)*(Supuestos!$E$11-Supuestos!$D$11)),Supuestos!$F$11-SQRT((1-H897)*(Supuestos!$F$11-Supuestos!$D$11)*(Supuestos!$F$11-Supuestos!$E$11))),IF(Supuestos!$C$11="Uniforme",Supuestos!$D$11+H897*(Supuestos!$E$11-Supuestos!$D$11),IF(Supuestos!$C$11="Lognormal",LOGINV(H897,LN(Supuestos!$D$11)-LN(1+Supuestos!$E$11^2/Supuestos!$D$11^2)/2,SQRT(LN(1+Supuestos!$E$11^2/Supuestos!$D$11^2))),Supuestos!$D$11))))))</f>
        <v/>
      </c>
      <c r="P897" s="33">
        <f>-I897</f>
        <v/>
      </c>
      <c r="Q897" s="33">
        <f>$J897*(1+$K897)^(1-1)*(1-$L897)*(1-$M897)</f>
        <v/>
      </c>
      <c r="R897" s="33">
        <f>$J897*(1+$K897)^(2-1)*(1-$L897)*(1-$M897)</f>
        <v/>
      </c>
      <c r="S897" s="33">
        <f>$J897*(1+$K897)^(3-1)*(1-$L897)*(1-$M897)</f>
        <v/>
      </c>
      <c r="T897" s="33">
        <f>$J897*(1+$K897)^(4-1)*(1-$L897)*(1-$M897)</f>
        <v/>
      </c>
      <c r="U897" s="33">
        <f>$J897*(1+$K897)^(5-1)*(1-$L897)*(1-$M897)+$O897</f>
        <v/>
      </c>
      <c r="V897" s="33">
        <f>P897+NPV($N897,Q897:U897)</f>
        <v/>
      </c>
      <c r="W897" s="32">
        <f>IFERROR(IRR(P897:U897,0.1),"")</f>
        <v/>
      </c>
    </row>
    <row r="898">
      <c r="A898" s="14" t="n">
        <v>894</v>
      </c>
      <c r="B898" s="30">
        <f>RAND()*(1-2E-6)+1E-6</f>
        <v/>
      </c>
      <c r="C898" s="30">
        <f>RAND()*(1-2E-6)+1E-6</f>
        <v/>
      </c>
      <c r="D898" s="30">
        <f>RAND()*(1-2E-6)+1E-6</f>
        <v/>
      </c>
      <c r="E898" s="30">
        <f>RAND()*(1-2E-6)+1E-6</f>
        <v/>
      </c>
      <c r="F898" s="30">
        <f>RAND()*(1-2E-6)+1E-6</f>
        <v/>
      </c>
      <c r="G898" s="30">
        <f>RAND()*(1-2E-6)+1E-6</f>
        <v/>
      </c>
      <c r="H898" s="30">
        <f>RAND()*(1-2E-6)+1E-6</f>
        <v/>
      </c>
      <c r="I898" s="31">
        <f>MIN(IF(Supuestos!$H$5="",1E+99,Supuestos!$H$5),MAX(IF(Supuestos!$G$5="",-1E+99,Supuestos!$G$5),IF(Supuestos!$C$5="Normal",NORMINV(B898,Supuestos!$D$5,Supuestos!$E$5),IF(Supuestos!$C$5="Triangular",IF(B898&lt;(Supuestos!$E$5-Supuestos!$D$5)/(Supuestos!$F$5-Supuestos!$D$5),Supuestos!$D$5+SQRT(B898*(Supuestos!$F$5-Supuestos!$D$5)*(Supuestos!$E$5-Supuestos!$D$5)),Supuestos!$F$5-SQRT((1-B898)*(Supuestos!$F$5-Supuestos!$D$5)*(Supuestos!$F$5-Supuestos!$E$5))),IF(Supuestos!$C$5="Uniforme",Supuestos!$D$5+B898*(Supuestos!$E$5-Supuestos!$D$5),IF(Supuestos!$C$5="Lognormal",LOGINV(B898,LN(Supuestos!$D$5)-LN(1+Supuestos!$E$5^2/Supuestos!$D$5^2)/2,SQRT(LN(1+Supuestos!$E$5^2/Supuestos!$D$5^2))),Supuestos!$D$5))))))</f>
        <v/>
      </c>
      <c r="J898" s="31">
        <f>MIN(IF(Supuestos!$H$6="",1E+99,Supuestos!$H$6),MAX(IF(Supuestos!$G$6="",-1E+99,Supuestos!$G$6),IF(Supuestos!$C$6="Normal",NORMINV(C898,Supuestos!$D$6,Supuestos!$E$6),IF(Supuestos!$C$6="Triangular",IF(C898&lt;(Supuestos!$E$6-Supuestos!$D$6)/(Supuestos!$F$6-Supuestos!$D$6),Supuestos!$D$6+SQRT(C898*(Supuestos!$F$6-Supuestos!$D$6)*(Supuestos!$E$6-Supuestos!$D$6)),Supuestos!$F$6-SQRT((1-C898)*(Supuestos!$F$6-Supuestos!$D$6)*(Supuestos!$F$6-Supuestos!$E$6))),IF(Supuestos!$C$6="Uniforme",Supuestos!$D$6+C898*(Supuestos!$E$6-Supuestos!$D$6),IF(Supuestos!$C$6="Lognormal",LOGINV(C898,LN(Supuestos!$D$6)-LN(1+Supuestos!$E$6^2/Supuestos!$D$6^2)/2,SQRT(LN(1+Supuestos!$E$6^2/Supuestos!$D$6^2))),Supuestos!$D$6))))))</f>
        <v/>
      </c>
      <c r="K898" s="32">
        <f>MIN(IF(Supuestos!$H$7="",1E+99,Supuestos!$H$7),MAX(IF(Supuestos!$G$7="",-1E+99,Supuestos!$G$7),IF(Supuestos!$C$7="Normal",NORMINV(D898,Supuestos!$D$7,Supuestos!$E$7),IF(Supuestos!$C$7="Triangular",IF(D898&lt;(Supuestos!$E$7-Supuestos!$D$7)/(Supuestos!$F$7-Supuestos!$D$7),Supuestos!$D$7+SQRT(D898*(Supuestos!$F$7-Supuestos!$D$7)*(Supuestos!$E$7-Supuestos!$D$7)),Supuestos!$F$7-SQRT((1-D898)*(Supuestos!$F$7-Supuestos!$D$7)*(Supuestos!$F$7-Supuestos!$E$7))),IF(Supuestos!$C$7="Uniforme",Supuestos!$D$7+D898*(Supuestos!$E$7-Supuestos!$D$7),IF(Supuestos!$C$7="Lognormal",LOGINV(D898,LN(Supuestos!$D$7)-LN(1+Supuestos!$E$7^2/Supuestos!$D$7^2)/2,SQRT(LN(1+Supuestos!$E$7^2/Supuestos!$D$7^2))),Supuestos!$D$7))))))</f>
        <v/>
      </c>
      <c r="L898" s="32">
        <f>MIN(IF(Supuestos!$H$8="",1E+99,Supuestos!$H$8),MAX(IF(Supuestos!$G$8="",-1E+99,Supuestos!$G$8),IF(Supuestos!$C$8="Normal",NORMINV(E898,Supuestos!$D$8,Supuestos!$E$8),IF(Supuestos!$C$8="Triangular",IF(E898&lt;(Supuestos!$E$8-Supuestos!$D$8)/(Supuestos!$F$8-Supuestos!$D$8),Supuestos!$D$8+SQRT(E898*(Supuestos!$F$8-Supuestos!$D$8)*(Supuestos!$E$8-Supuestos!$D$8)),Supuestos!$F$8-SQRT((1-E898)*(Supuestos!$F$8-Supuestos!$D$8)*(Supuestos!$F$8-Supuestos!$E$8))),IF(Supuestos!$C$8="Uniforme",Supuestos!$D$8+E898*(Supuestos!$E$8-Supuestos!$D$8),IF(Supuestos!$C$8="Lognormal",LOGINV(E898,LN(Supuestos!$D$8)-LN(1+Supuestos!$E$8^2/Supuestos!$D$8^2)/2,SQRT(LN(1+Supuestos!$E$8^2/Supuestos!$D$8^2))),Supuestos!$D$8))))))</f>
        <v/>
      </c>
      <c r="M898" s="32">
        <f>MIN(IF(Supuestos!$H$9="",1E+99,Supuestos!$H$9),MAX(IF(Supuestos!$G$9="",-1E+99,Supuestos!$G$9),IF(Supuestos!$C$9="Normal",NORMINV(F898,Supuestos!$D$9,Supuestos!$E$9),IF(Supuestos!$C$9="Triangular",IF(F898&lt;(Supuestos!$E$9-Supuestos!$D$9)/(Supuestos!$F$9-Supuestos!$D$9),Supuestos!$D$9+SQRT(F898*(Supuestos!$F$9-Supuestos!$D$9)*(Supuestos!$E$9-Supuestos!$D$9)),Supuestos!$F$9-SQRT((1-F898)*(Supuestos!$F$9-Supuestos!$D$9)*(Supuestos!$F$9-Supuestos!$E$9))),IF(Supuestos!$C$9="Uniforme",Supuestos!$D$9+F898*(Supuestos!$E$9-Supuestos!$D$9),IF(Supuestos!$C$9="Lognormal",LOGINV(F898,LN(Supuestos!$D$9)-LN(1+Supuestos!$E$9^2/Supuestos!$D$9^2)/2,SQRT(LN(1+Supuestos!$E$9^2/Supuestos!$D$9^2))),Supuestos!$D$9))))))</f>
        <v/>
      </c>
      <c r="N898" s="32">
        <f>MIN(IF(Supuestos!$H$10="",1E+99,Supuestos!$H$10),MAX(IF(Supuestos!$G$10="",-1E+99,Supuestos!$G$10),IF(Supuestos!$C$10="Normal",NORMINV(G898,Supuestos!$D$10,Supuestos!$E$10),IF(Supuestos!$C$10="Triangular",IF(G898&lt;(Supuestos!$E$10-Supuestos!$D$10)/(Supuestos!$F$10-Supuestos!$D$10),Supuestos!$D$10+SQRT(G898*(Supuestos!$F$10-Supuestos!$D$10)*(Supuestos!$E$10-Supuestos!$D$10)),Supuestos!$F$10-SQRT((1-G898)*(Supuestos!$F$10-Supuestos!$D$10)*(Supuestos!$F$10-Supuestos!$E$10))),IF(Supuestos!$C$10="Uniforme",Supuestos!$D$10+G898*(Supuestos!$E$10-Supuestos!$D$10),IF(Supuestos!$C$10="Lognormal",LOGINV(G898,LN(Supuestos!$D$10)-LN(1+Supuestos!$E$10^2/Supuestos!$D$10^2)/2,SQRT(LN(1+Supuestos!$E$10^2/Supuestos!$D$10^2))),Supuestos!$D$10))))))</f>
        <v/>
      </c>
      <c r="O898" s="31">
        <f>MIN(IF(Supuestos!$H$11="",1E+99,Supuestos!$H$11),MAX(IF(Supuestos!$G$11="",-1E+99,Supuestos!$G$11),IF(Supuestos!$C$11="Normal",NORMINV(H898,Supuestos!$D$11,Supuestos!$E$11),IF(Supuestos!$C$11="Triangular",IF(H898&lt;(Supuestos!$E$11-Supuestos!$D$11)/(Supuestos!$F$11-Supuestos!$D$11),Supuestos!$D$11+SQRT(H898*(Supuestos!$F$11-Supuestos!$D$11)*(Supuestos!$E$11-Supuestos!$D$11)),Supuestos!$F$11-SQRT((1-H898)*(Supuestos!$F$11-Supuestos!$D$11)*(Supuestos!$F$11-Supuestos!$E$11))),IF(Supuestos!$C$11="Uniforme",Supuestos!$D$11+H898*(Supuestos!$E$11-Supuestos!$D$11),IF(Supuestos!$C$11="Lognormal",LOGINV(H898,LN(Supuestos!$D$11)-LN(1+Supuestos!$E$11^2/Supuestos!$D$11^2)/2,SQRT(LN(1+Supuestos!$E$11^2/Supuestos!$D$11^2))),Supuestos!$D$11))))))</f>
        <v/>
      </c>
      <c r="P898" s="33">
        <f>-I898</f>
        <v/>
      </c>
      <c r="Q898" s="33">
        <f>$J898*(1+$K898)^(1-1)*(1-$L898)*(1-$M898)</f>
        <v/>
      </c>
      <c r="R898" s="33">
        <f>$J898*(1+$K898)^(2-1)*(1-$L898)*(1-$M898)</f>
        <v/>
      </c>
      <c r="S898" s="33">
        <f>$J898*(1+$K898)^(3-1)*(1-$L898)*(1-$M898)</f>
        <v/>
      </c>
      <c r="T898" s="33">
        <f>$J898*(1+$K898)^(4-1)*(1-$L898)*(1-$M898)</f>
        <v/>
      </c>
      <c r="U898" s="33">
        <f>$J898*(1+$K898)^(5-1)*(1-$L898)*(1-$M898)+$O898</f>
        <v/>
      </c>
      <c r="V898" s="33">
        <f>P898+NPV($N898,Q898:U898)</f>
        <v/>
      </c>
      <c r="W898" s="32">
        <f>IFERROR(IRR(P898:U898,0.1),"")</f>
        <v/>
      </c>
    </row>
    <row r="899">
      <c r="A899" s="14" t="n">
        <v>895</v>
      </c>
      <c r="B899" s="30">
        <f>RAND()*(1-2E-6)+1E-6</f>
        <v/>
      </c>
      <c r="C899" s="30">
        <f>RAND()*(1-2E-6)+1E-6</f>
        <v/>
      </c>
      <c r="D899" s="30">
        <f>RAND()*(1-2E-6)+1E-6</f>
        <v/>
      </c>
      <c r="E899" s="30">
        <f>RAND()*(1-2E-6)+1E-6</f>
        <v/>
      </c>
      <c r="F899" s="30">
        <f>RAND()*(1-2E-6)+1E-6</f>
        <v/>
      </c>
      <c r="G899" s="30">
        <f>RAND()*(1-2E-6)+1E-6</f>
        <v/>
      </c>
      <c r="H899" s="30">
        <f>RAND()*(1-2E-6)+1E-6</f>
        <v/>
      </c>
      <c r="I899" s="31">
        <f>MIN(IF(Supuestos!$H$5="",1E+99,Supuestos!$H$5),MAX(IF(Supuestos!$G$5="",-1E+99,Supuestos!$G$5),IF(Supuestos!$C$5="Normal",NORMINV(B899,Supuestos!$D$5,Supuestos!$E$5),IF(Supuestos!$C$5="Triangular",IF(B899&lt;(Supuestos!$E$5-Supuestos!$D$5)/(Supuestos!$F$5-Supuestos!$D$5),Supuestos!$D$5+SQRT(B899*(Supuestos!$F$5-Supuestos!$D$5)*(Supuestos!$E$5-Supuestos!$D$5)),Supuestos!$F$5-SQRT((1-B899)*(Supuestos!$F$5-Supuestos!$D$5)*(Supuestos!$F$5-Supuestos!$E$5))),IF(Supuestos!$C$5="Uniforme",Supuestos!$D$5+B899*(Supuestos!$E$5-Supuestos!$D$5),IF(Supuestos!$C$5="Lognormal",LOGINV(B899,LN(Supuestos!$D$5)-LN(1+Supuestos!$E$5^2/Supuestos!$D$5^2)/2,SQRT(LN(1+Supuestos!$E$5^2/Supuestos!$D$5^2))),Supuestos!$D$5))))))</f>
        <v/>
      </c>
      <c r="J899" s="31">
        <f>MIN(IF(Supuestos!$H$6="",1E+99,Supuestos!$H$6),MAX(IF(Supuestos!$G$6="",-1E+99,Supuestos!$G$6),IF(Supuestos!$C$6="Normal",NORMINV(C899,Supuestos!$D$6,Supuestos!$E$6),IF(Supuestos!$C$6="Triangular",IF(C899&lt;(Supuestos!$E$6-Supuestos!$D$6)/(Supuestos!$F$6-Supuestos!$D$6),Supuestos!$D$6+SQRT(C899*(Supuestos!$F$6-Supuestos!$D$6)*(Supuestos!$E$6-Supuestos!$D$6)),Supuestos!$F$6-SQRT((1-C899)*(Supuestos!$F$6-Supuestos!$D$6)*(Supuestos!$F$6-Supuestos!$E$6))),IF(Supuestos!$C$6="Uniforme",Supuestos!$D$6+C899*(Supuestos!$E$6-Supuestos!$D$6),IF(Supuestos!$C$6="Lognormal",LOGINV(C899,LN(Supuestos!$D$6)-LN(1+Supuestos!$E$6^2/Supuestos!$D$6^2)/2,SQRT(LN(1+Supuestos!$E$6^2/Supuestos!$D$6^2))),Supuestos!$D$6))))))</f>
        <v/>
      </c>
      <c r="K899" s="32">
        <f>MIN(IF(Supuestos!$H$7="",1E+99,Supuestos!$H$7),MAX(IF(Supuestos!$G$7="",-1E+99,Supuestos!$G$7),IF(Supuestos!$C$7="Normal",NORMINV(D899,Supuestos!$D$7,Supuestos!$E$7),IF(Supuestos!$C$7="Triangular",IF(D899&lt;(Supuestos!$E$7-Supuestos!$D$7)/(Supuestos!$F$7-Supuestos!$D$7),Supuestos!$D$7+SQRT(D899*(Supuestos!$F$7-Supuestos!$D$7)*(Supuestos!$E$7-Supuestos!$D$7)),Supuestos!$F$7-SQRT((1-D899)*(Supuestos!$F$7-Supuestos!$D$7)*(Supuestos!$F$7-Supuestos!$E$7))),IF(Supuestos!$C$7="Uniforme",Supuestos!$D$7+D899*(Supuestos!$E$7-Supuestos!$D$7),IF(Supuestos!$C$7="Lognormal",LOGINV(D899,LN(Supuestos!$D$7)-LN(1+Supuestos!$E$7^2/Supuestos!$D$7^2)/2,SQRT(LN(1+Supuestos!$E$7^2/Supuestos!$D$7^2))),Supuestos!$D$7))))))</f>
        <v/>
      </c>
      <c r="L899" s="32">
        <f>MIN(IF(Supuestos!$H$8="",1E+99,Supuestos!$H$8),MAX(IF(Supuestos!$G$8="",-1E+99,Supuestos!$G$8),IF(Supuestos!$C$8="Normal",NORMINV(E899,Supuestos!$D$8,Supuestos!$E$8),IF(Supuestos!$C$8="Triangular",IF(E899&lt;(Supuestos!$E$8-Supuestos!$D$8)/(Supuestos!$F$8-Supuestos!$D$8),Supuestos!$D$8+SQRT(E899*(Supuestos!$F$8-Supuestos!$D$8)*(Supuestos!$E$8-Supuestos!$D$8)),Supuestos!$F$8-SQRT((1-E899)*(Supuestos!$F$8-Supuestos!$D$8)*(Supuestos!$F$8-Supuestos!$E$8))),IF(Supuestos!$C$8="Uniforme",Supuestos!$D$8+E899*(Supuestos!$E$8-Supuestos!$D$8),IF(Supuestos!$C$8="Lognormal",LOGINV(E899,LN(Supuestos!$D$8)-LN(1+Supuestos!$E$8^2/Supuestos!$D$8^2)/2,SQRT(LN(1+Supuestos!$E$8^2/Supuestos!$D$8^2))),Supuestos!$D$8))))))</f>
        <v/>
      </c>
      <c r="M899" s="32">
        <f>MIN(IF(Supuestos!$H$9="",1E+99,Supuestos!$H$9),MAX(IF(Supuestos!$G$9="",-1E+99,Supuestos!$G$9),IF(Supuestos!$C$9="Normal",NORMINV(F899,Supuestos!$D$9,Supuestos!$E$9),IF(Supuestos!$C$9="Triangular",IF(F899&lt;(Supuestos!$E$9-Supuestos!$D$9)/(Supuestos!$F$9-Supuestos!$D$9),Supuestos!$D$9+SQRT(F899*(Supuestos!$F$9-Supuestos!$D$9)*(Supuestos!$E$9-Supuestos!$D$9)),Supuestos!$F$9-SQRT((1-F899)*(Supuestos!$F$9-Supuestos!$D$9)*(Supuestos!$F$9-Supuestos!$E$9))),IF(Supuestos!$C$9="Uniforme",Supuestos!$D$9+F899*(Supuestos!$E$9-Supuestos!$D$9),IF(Supuestos!$C$9="Lognormal",LOGINV(F899,LN(Supuestos!$D$9)-LN(1+Supuestos!$E$9^2/Supuestos!$D$9^2)/2,SQRT(LN(1+Supuestos!$E$9^2/Supuestos!$D$9^2))),Supuestos!$D$9))))))</f>
        <v/>
      </c>
      <c r="N899" s="32">
        <f>MIN(IF(Supuestos!$H$10="",1E+99,Supuestos!$H$10),MAX(IF(Supuestos!$G$10="",-1E+99,Supuestos!$G$10),IF(Supuestos!$C$10="Normal",NORMINV(G899,Supuestos!$D$10,Supuestos!$E$10),IF(Supuestos!$C$10="Triangular",IF(G899&lt;(Supuestos!$E$10-Supuestos!$D$10)/(Supuestos!$F$10-Supuestos!$D$10),Supuestos!$D$10+SQRT(G899*(Supuestos!$F$10-Supuestos!$D$10)*(Supuestos!$E$10-Supuestos!$D$10)),Supuestos!$F$10-SQRT((1-G899)*(Supuestos!$F$10-Supuestos!$D$10)*(Supuestos!$F$10-Supuestos!$E$10))),IF(Supuestos!$C$10="Uniforme",Supuestos!$D$10+G899*(Supuestos!$E$10-Supuestos!$D$10),IF(Supuestos!$C$10="Lognormal",LOGINV(G899,LN(Supuestos!$D$10)-LN(1+Supuestos!$E$10^2/Supuestos!$D$10^2)/2,SQRT(LN(1+Supuestos!$E$10^2/Supuestos!$D$10^2))),Supuestos!$D$10))))))</f>
        <v/>
      </c>
      <c r="O899" s="31">
        <f>MIN(IF(Supuestos!$H$11="",1E+99,Supuestos!$H$11),MAX(IF(Supuestos!$G$11="",-1E+99,Supuestos!$G$11),IF(Supuestos!$C$11="Normal",NORMINV(H899,Supuestos!$D$11,Supuestos!$E$11),IF(Supuestos!$C$11="Triangular",IF(H899&lt;(Supuestos!$E$11-Supuestos!$D$11)/(Supuestos!$F$11-Supuestos!$D$11),Supuestos!$D$11+SQRT(H899*(Supuestos!$F$11-Supuestos!$D$11)*(Supuestos!$E$11-Supuestos!$D$11)),Supuestos!$F$11-SQRT((1-H899)*(Supuestos!$F$11-Supuestos!$D$11)*(Supuestos!$F$11-Supuestos!$E$11))),IF(Supuestos!$C$11="Uniforme",Supuestos!$D$11+H899*(Supuestos!$E$11-Supuestos!$D$11),IF(Supuestos!$C$11="Lognormal",LOGINV(H899,LN(Supuestos!$D$11)-LN(1+Supuestos!$E$11^2/Supuestos!$D$11^2)/2,SQRT(LN(1+Supuestos!$E$11^2/Supuestos!$D$11^2))),Supuestos!$D$11))))))</f>
        <v/>
      </c>
      <c r="P899" s="33">
        <f>-I899</f>
        <v/>
      </c>
      <c r="Q899" s="33">
        <f>$J899*(1+$K899)^(1-1)*(1-$L899)*(1-$M899)</f>
        <v/>
      </c>
      <c r="R899" s="33">
        <f>$J899*(1+$K899)^(2-1)*(1-$L899)*(1-$M899)</f>
        <v/>
      </c>
      <c r="S899" s="33">
        <f>$J899*(1+$K899)^(3-1)*(1-$L899)*(1-$M899)</f>
        <v/>
      </c>
      <c r="T899" s="33">
        <f>$J899*(1+$K899)^(4-1)*(1-$L899)*(1-$M899)</f>
        <v/>
      </c>
      <c r="U899" s="33">
        <f>$J899*(1+$K899)^(5-1)*(1-$L899)*(1-$M899)+$O899</f>
        <v/>
      </c>
      <c r="V899" s="33">
        <f>P899+NPV($N899,Q899:U899)</f>
        <v/>
      </c>
      <c r="W899" s="32">
        <f>IFERROR(IRR(P899:U899,0.1),"")</f>
        <v/>
      </c>
    </row>
    <row r="900">
      <c r="A900" s="14" t="n">
        <v>896</v>
      </c>
      <c r="B900" s="30">
        <f>RAND()*(1-2E-6)+1E-6</f>
        <v/>
      </c>
      <c r="C900" s="30">
        <f>RAND()*(1-2E-6)+1E-6</f>
        <v/>
      </c>
      <c r="D900" s="30">
        <f>RAND()*(1-2E-6)+1E-6</f>
        <v/>
      </c>
      <c r="E900" s="30">
        <f>RAND()*(1-2E-6)+1E-6</f>
        <v/>
      </c>
      <c r="F900" s="30">
        <f>RAND()*(1-2E-6)+1E-6</f>
        <v/>
      </c>
      <c r="G900" s="30">
        <f>RAND()*(1-2E-6)+1E-6</f>
        <v/>
      </c>
      <c r="H900" s="30">
        <f>RAND()*(1-2E-6)+1E-6</f>
        <v/>
      </c>
      <c r="I900" s="31">
        <f>MIN(IF(Supuestos!$H$5="",1E+99,Supuestos!$H$5),MAX(IF(Supuestos!$G$5="",-1E+99,Supuestos!$G$5),IF(Supuestos!$C$5="Normal",NORMINV(B900,Supuestos!$D$5,Supuestos!$E$5),IF(Supuestos!$C$5="Triangular",IF(B900&lt;(Supuestos!$E$5-Supuestos!$D$5)/(Supuestos!$F$5-Supuestos!$D$5),Supuestos!$D$5+SQRT(B900*(Supuestos!$F$5-Supuestos!$D$5)*(Supuestos!$E$5-Supuestos!$D$5)),Supuestos!$F$5-SQRT((1-B900)*(Supuestos!$F$5-Supuestos!$D$5)*(Supuestos!$F$5-Supuestos!$E$5))),IF(Supuestos!$C$5="Uniforme",Supuestos!$D$5+B900*(Supuestos!$E$5-Supuestos!$D$5),IF(Supuestos!$C$5="Lognormal",LOGINV(B900,LN(Supuestos!$D$5)-LN(1+Supuestos!$E$5^2/Supuestos!$D$5^2)/2,SQRT(LN(1+Supuestos!$E$5^2/Supuestos!$D$5^2))),Supuestos!$D$5))))))</f>
        <v/>
      </c>
      <c r="J900" s="31">
        <f>MIN(IF(Supuestos!$H$6="",1E+99,Supuestos!$H$6),MAX(IF(Supuestos!$G$6="",-1E+99,Supuestos!$G$6),IF(Supuestos!$C$6="Normal",NORMINV(C900,Supuestos!$D$6,Supuestos!$E$6),IF(Supuestos!$C$6="Triangular",IF(C900&lt;(Supuestos!$E$6-Supuestos!$D$6)/(Supuestos!$F$6-Supuestos!$D$6),Supuestos!$D$6+SQRT(C900*(Supuestos!$F$6-Supuestos!$D$6)*(Supuestos!$E$6-Supuestos!$D$6)),Supuestos!$F$6-SQRT((1-C900)*(Supuestos!$F$6-Supuestos!$D$6)*(Supuestos!$F$6-Supuestos!$E$6))),IF(Supuestos!$C$6="Uniforme",Supuestos!$D$6+C900*(Supuestos!$E$6-Supuestos!$D$6),IF(Supuestos!$C$6="Lognormal",LOGINV(C900,LN(Supuestos!$D$6)-LN(1+Supuestos!$E$6^2/Supuestos!$D$6^2)/2,SQRT(LN(1+Supuestos!$E$6^2/Supuestos!$D$6^2))),Supuestos!$D$6))))))</f>
        <v/>
      </c>
      <c r="K900" s="32">
        <f>MIN(IF(Supuestos!$H$7="",1E+99,Supuestos!$H$7),MAX(IF(Supuestos!$G$7="",-1E+99,Supuestos!$G$7),IF(Supuestos!$C$7="Normal",NORMINV(D900,Supuestos!$D$7,Supuestos!$E$7),IF(Supuestos!$C$7="Triangular",IF(D900&lt;(Supuestos!$E$7-Supuestos!$D$7)/(Supuestos!$F$7-Supuestos!$D$7),Supuestos!$D$7+SQRT(D900*(Supuestos!$F$7-Supuestos!$D$7)*(Supuestos!$E$7-Supuestos!$D$7)),Supuestos!$F$7-SQRT((1-D900)*(Supuestos!$F$7-Supuestos!$D$7)*(Supuestos!$F$7-Supuestos!$E$7))),IF(Supuestos!$C$7="Uniforme",Supuestos!$D$7+D900*(Supuestos!$E$7-Supuestos!$D$7),IF(Supuestos!$C$7="Lognormal",LOGINV(D900,LN(Supuestos!$D$7)-LN(1+Supuestos!$E$7^2/Supuestos!$D$7^2)/2,SQRT(LN(1+Supuestos!$E$7^2/Supuestos!$D$7^2))),Supuestos!$D$7))))))</f>
        <v/>
      </c>
      <c r="L900" s="32">
        <f>MIN(IF(Supuestos!$H$8="",1E+99,Supuestos!$H$8),MAX(IF(Supuestos!$G$8="",-1E+99,Supuestos!$G$8),IF(Supuestos!$C$8="Normal",NORMINV(E900,Supuestos!$D$8,Supuestos!$E$8),IF(Supuestos!$C$8="Triangular",IF(E900&lt;(Supuestos!$E$8-Supuestos!$D$8)/(Supuestos!$F$8-Supuestos!$D$8),Supuestos!$D$8+SQRT(E900*(Supuestos!$F$8-Supuestos!$D$8)*(Supuestos!$E$8-Supuestos!$D$8)),Supuestos!$F$8-SQRT((1-E900)*(Supuestos!$F$8-Supuestos!$D$8)*(Supuestos!$F$8-Supuestos!$E$8))),IF(Supuestos!$C$8="Uniforme",Supuestos!$D$8+E900*(Supuestos!$E$8-Supuestos!$D$8),IF(Supuestos!$C$8="Lognormal",LOGINV(E900,LN(Supuestos!$D$8)-LN(1+Supuestos!$E$8^2/Supuestos!$D$8^2)/2,SQRT(LN(1+Supuestos!$E$8^2/Supuestos!$D$8^2))),Supuestos!$D$8))))))</f>
        <v/>
      </c>
      <c r="M900" s="32">
        <f>MIN(IF(Supuestos!$H$9="",1E+99,Supuestos!$H$9),MAX(IF(Supuestos!$G$9="",-1E+99,Supuestos!$G$9),IF(Supuestos!$C$9="Normal",NORMINV(F900,Supuestos!$D$9,Supuestos!$E$9),IF(Supuestos!$C$9="Triangular",IF(F900&lt;(Supuestos!$E$9-Supuestos!$D$9)/(Supuestos!$F$9-Supuestos!$D$9),Supuestos!$D$9+SQRT(F900*(Supuestos!$F$9-Supuestos!$D$9)*(Supuestos!$E$9-Supuestos!$D$9)),Supuestos!$F$9-SQRT((1-F900)*(Supuestos!$F$9-Supuestos!$D$9)*(Supuestos!$F$9-Supuestos!$E$9))),IF(Supuestos!$C$9="Uniforme",Supuestos!$D$9+F900*(Supuestos!$E$9-Supuestos!$D$9),IF(Supuestos!$C$9="Lognormal",LOGINV(F900,LN(Supuestos!$D$9)-LN(1+Supuestos!$E$9^2/Supuestos!$D$9^2)/2,SQRT(LN(1+Supuestos!$E$9^2/Supuestos!$D$9^2))),Supuestos!$D$9))))))</f>
        <v/>
      </c>
      <c r="N900" s="32">
        <f>MIN(IF(Supuestos!$H$10="",1E+99,Supuestos!$H$10),MAX(IF(Supuestos!$G$10="",-1E+99,Supuestos!$G$10),IF(Supuestos!$C$10="Normal",NORMINV(G900,Supuestos!$D$10,Supuestos!$E$10),IF(Supuestos!$C$10="Triangular",IF(G900&lt;(Supuestos!$E$10-Supuestos!$D$10)/(Supuestos!$F$10-Supuestos!$D$10),Supuestos!$D$10+SQRT(G900*(Supuestos!$F$10-Supuestos!$D$10)*(Supuestos!$E$10-Supuestos!$D$10)),Supuestos!$F$10-SQRT((1-G900)*(Supuestos!$F$10-Supuestos!$D$10)*(Supuestos!$F$10-Supuestos!$E$10))),IF(Supuestos!$C$10="Uniforme",Supuestos!$D$10+G900*(Supuestos!$E$10-Supuestos!$D$10),IF(Supuestos!$C$10="Lognormal",LOGINV(G900,LN(Supuestos!$D$10)-LN(1+Supuestos!$E$10^2/Supuestos!$D$10^2)/2,SQRT(LN(1+Supuestos!$E$10^2/Supuestos!$D$10^2))),Supuestos!$D$10))))))</f>
        <v/>
      </c>
      <c r="O900" s="31">
        <f>MIN(IF(Supuestos!$H$11="",1E+99,Supuestos!$H$11),MAX(IF(Supuestos!$G$11="",-1E+99,Supuestos!$G$11),IF(Supuestos!$C$11="Normal",NORMINV(H900,Supuestos!$D$11,Supuestos!$E$11),IF(Supuestos!$C$11="Triangular",IF(H900&lt;(Supuestos!$E$11-Supuestos!$D$11)/(Supuestos!$F$11-Supuestos!$D$11),Supuestos!$D$11+SQRT(H900*(Supuestos!$F$11-Supuestos!$D$11)*(Supuestos!$E$11-Supuestos!$D$11)),Supuestos!$F$11-SQRT((1-H900)*(Supuestos!$F$11-Supuestos!$D$11)*(Supuestos!$F$11-Supuestos!$E$11))),IF(Supuestos!$C$11="Uniforme",Supuestos!$D$11+H900*(Supuestos!$E$11-Supuestos!$D$11),IF(Supuestos!$C$11="Lognormal",LOGINV(H900,LN(Supuestos!$D$11)-LN(1+Supuestos!$E$11^2/Supuestos!$D$11^2)/2,SQRT(LN(1+Supuestos!$E$11^2/Supuestos!$D$11^2))),Supuestos!$D$11))))))</f>
        <v/>
      </c>
      <c r="P900" s="33">
        <f>-I900</f>
        <v/>
      </c>
      <c r="Q900" s="33">
        <f>$J900*(1+$K900)^(1-1)*(1-$L900)*(1-$M900)</f>
        <v/>
      </c>
      <c r="R900" s="33">
        <f>$J900*(1+$K900)^(2-1)*(1-$L900)*(1-$M900)</f>
        <v/>
      </c>
      <c r="S900" s="33">
        <f>$J900*(1+$K900)^(3-1)*(1-$L900)*(1-$M900)</f>
        <v/>
      </c>
      <c r="T900" s="33">
        <f>$J900*(1+$K900)^(4-1)*(1-$L900)*(1-$M900)</f>
        <v/>
      </c>
      <c r="U900" s="33">
        <f>$J900*(1+$K900)^(5-1)*(1-$L900)*(1-$M900)+$O900</f>
        <v/>
      </c>
      <c r="V900" s="33">
        <f>P900+NPV($N900,Q900:U900)</f>
        <v/>
      </c>
      <c r="W900" s="32">
        <f>IFERROR(IRR(P900:U900,0.1),"")</f>
        <v/>
      </c>
    </row>
    <row r="901">
      <c r="A901" s="14" t="n">
        <v>897</v>
      </c>
      <c r="B901" s="30">
        <f>RAND()*(1-2E-6)+1E-6</f>
        <v/>
      </c>
      <c r="C901" s="30">
        <f>RAND()*(1-2E-6)+1E-6</f>
        <v/>
      </c>
      <c r="D901" s="30">
        <f>RAND()*(1-2E-6)+1E-6</f>
        <v/>
      </c>
      <c r="E901" s="30">
        <f>RAND()*(1-2E-6)+1E-6</f>
        <v/>
      </c>
      <c r="F901" s="30">
        <f>RAND()*(1-2E-6)+1E-6</f>
        <v/>
      </c>
      <c r="G901" s="30">
        <f>RAND()*(1-2E-6)+1E-6</f>
        <v/>
      </c>
      <c r="H901" s="30">
        <f>RAND()*(1-2E-6)+1E-6</f>
        <v/>
      </c>
      <c r="I901" s="31">
        <f>MIN(IF(Supuestos!$H$5="",1E+99,Supuestos!$H$5),MAX(IF(Supuestos!$G$5="",-1E+99,Supuestos!$G$5),IF(Supuestos!$C$5="Normal",NORMINV(B901,Supuestos!$D$5,Supuestos!$E$5),IF(Supuestos!$C$5="Triangular",IF(B901&lt;(Supuestos!$E$5-Supuestos!$D$5)/(Supuestos!$F$5-Supuestos!$D$5),Supuestos!$D$5+SQRT(B901*(Supuestos!$F$5-Supuestos!$D$5)*(Supuestos!$E$5-Supuestos!$D$5)),Supuestos!$F$5-SQRT((1-B901)*(Supuestos!$F$5-Supuestos!$D$5)*(Supuestos!$F$5-Supuestos!$E$5))),IF(Supuestos!$C$5="Uniforme",Supuestos!$D$5+B901*(Supuestos!$E$5-Supuestos!$D$5),IF(Supuestos!$C$5="Lognormal",LOGINV(B901,LN(Supuestos!$D$5)-LN(1+Supuestos!$E$5^2/Supuestos!$D$5^2)/2,SQRT(LN(1+Supuestos!$E$5^2/Supuestos!$D$5^2))),Supuestos!$D$5))))))</f>
        <v/>
      </c>
      <c r="J901" s="31">
        <f>MIN(IF(Supuestos!$H$6="",1E+99,Supuestos!$H$6),MAX(IF(Supuestos!$G$6="",-1E+99,Supuestos!$G$6),IF(Supuestos!$C$6="Normal",NORMINV(C901,Supuestos!$D$6,Supuestos!$E$6),IF(Supuestos!$C$6="Triangular",IF(C901&lt;(Supuestos!$E$6-Supuestos!$D$6)/(Supuestos!$F$6-Supuestos!$D$6),Supuestos!$D$6+SQRT(C901*(Supuestos!$F$6-Supuestos!$D$6)*(Supuestos!$E$6-Supuestos!$D$6)),Supuestos!$F$6-SQRT((1-C901)*(Supuestos!$F$6-Supuestos!$D$6)*(Supuestos!$F$6-Supuestos!$E$6))),IF(Supuestos!$C$6="Uniforme",Supuestos!$D$6+C901*(Supuestos!$E$6-Supuestos!$D$6),IF(Supuestos!$C$6="Lognormal",LOGINV(C901,LN(Supuestos!$D$6)-LN(1+Supuestos!$E$6^2/Supuestos!$D$6^2)/2,SQRT(LN(1+Supuestos!$E$6^2/Supuestos!$D$6^2))),Supuestos!$D$6))))))</f>
        <v/>
      </c>
      <c r="K901" s="32">
        <f>MIN(IF(Supuestos!$H$7="",1E+99,Supuestos!$H$7),MAX(IF(Supuestos!$G$7="",-1E+99,Supuestos!$G$7),IF(Supuestos!$C$7="Normal",NORMINV(D901,Supuestos!$D$7,Supuestos!$E$7),IF(Supuestos!$C$7="Triangular",IF(D901&lt;(Supuestos!$E$7-Supuestos!$D$7)/(Supuestos!$F$7-Supuestos!$D$7),Supuestos!$D$7+SQRT(D901*(Supuestos!$F$7-Supuestos!$D$7)*(Supuestos!$E$7-Supuestos!$D$7)),Supuestos!$F$7-SQRT((1-D901)*(Supuestos!$F$7-Supuestos!$D$7)*(Supuestos!$F$7-Supuestos!$E$7))),IF(Supuestos!$C$7="Uniforme",Supuestos!$D$7+D901*(Supuestos!$E$7-Supuestos!$D$7),IF(Supuestos!$C$7="Lognormal",LOGINV(D901,LN(Supuestos!$D$7)-LN(1+Supuestos!$E$7^2/Supuestos!$D$7^2)/2,SQRT(LN(1+Supuestos!$E$7^2/Supuestos!$D$7^2))),Supuestos!$D$7))))))</f>
        <v/>
      </c>
      <c r="L901" s="32">
        <f>MIN(IF(Supuestos!$H$8="",1E+99,Supuestos!$H$8),MAX(IF(Supuestos!$G$8="",-1E+99,Supuestos!$G$8),IF(Supuestos!$C$8="Normal",NORMINV(E901,Supuestos!$D$8,Supuestos!$E$8),IF(Supuestos!$C$8="Triangular",IF(E901&lt;(Supuestos!$E$8-Supuestos!$D$8)/(Supuestos!$F$8-Supuestos!$D$8),Supuestos!$D$8+SQRT(E901*(Supuestos!$F$8-Supuestos!$D$8)*(Supuestos!$E$8-Supuestos!$D$8)),Supuestos!$F$8-SQRT((1-E901)*(Supuestos!$F$8-Supuestos!$D$8)*(Supuestos!$F$8-Supuestos!$E$8))),IF(Supuestos!$C$8="Uniforme",Supuestos!$D$8+E901*(Supuestos!$E$8-Supuestos!$D$8),IF(Supuestos!$C$8="Lognormal",LOGINV(E901,LN(Supuestos!$D$8)-LN(1+Supuestos!$E$8^2/Supuestos!$D$8^2)/2,SQRT(LN(1+Supuestos!$E$8^2/Supuestos!$D$8^2))),Supuestos!$D$8))))))</f>
        <v/>
      </c>
      <c r="M901" s="32">
        <f>MIN(IF(Supuestos!$H$9="",1E+99,Supuestos!$H$9),MAX(IF(Supuestos!$G$9="",-1E+99,Supuestos!$G$9),IF(Supuestos!$C$9="Normal",NORMINV(F901,Supuestos!$D$9,Supuestos!$E$9),IF(Supuestos!$C$9="Triangular",IF(F901&lt;(Supuestos!$E$9-Supuestos!$D$9)/(Supuestos!$F$9-Supuestos!$D$9),Supuestos!$D$9+SQRT(F901*(Supuestos!$F$9-Supuestos!$D$9)*(Supuestos!$E$9-Supuestos!$D$9)),Supuestos!$F$9-SQRT((1-F901)*(Supuestos!$F$9-Supuestos!$D$9)*(Supuestos!$F$9-Supuestos!$E$9))),IF(Supuestos!$C$9="Uniforme",Supuestos!$D$9+F901*(Supuestos!$E$9-Supuestos!$D$9),IF(Supuestos!$C$9="Lognormal",LOGINV(F901,LN(Supuestos!$D$9)-LN(1+Supuestos!$E$9^2/Supuestos!$D$9^2)/2,SQRT(LN(1+Supuestos!$E$9^2/Supuestos!$D$9^2))),Supuestos!$D$9))))))</f>
        <v/>
      </c>
      <c r="N901" s="32">
        <f>MIN(IF(Supuestos!$H$10="",1E+99,Supuestos!$H$10),MAX(IF(Supuestos!$G$10="",-1E+99,Supuestos!$G$10),IF(Supuestos!$C$10="Normal",NORMINV(G901,Supuestos!$D$10,Supuestos!$E$10),IF(Supuestos!$C$10="Triangular",IF(G901&lt;(Supuestos!$E$10-Supuestos!$D$10)/(Supuestos!$F$10-Supuestos!$D$10),Supuestos!$D$10+SQRT(G901*(Supuestos!$F$10-Supuestos!$D$10)*(Supuestos!$E$10-Supuestos!$D$10)),Supuestos!$F$10-SQRT((1-G901)*(Supuestos!$F$10-Supuestos!$D$10)*(Supuestos!$F$10-Supuestos!$E$10))),IF(Supuestos!$C$10="Uniforme",Supuestos!$D$10+G901*(Supuestos!$E$10-Supuestos!$D$10),IF(Supuestos!$C$10="Lognormal",LOGINV(G901,LN(Supuestos!$D$10)-LN(1+Supuestos!$E$10^2/Supuestos!$D$10^2)/2,SQRT(LN(1+Supuestos!$E$10^2/Supuestos!$D$10^2))),Supuestos!$D$10))))))</f>
        <v/>
      </c>
      <c r="O901" s="31">
        <f>MIN(IF(Supuestos!$H$11="",1E+99,Supuestos!$H$11),MAX(IF(Supuestos!$G$11="",-1E+99,Supuestos!$G$11),IF(Supuestos!$C$11="Normal",NORMINV(H901,Supuestos!$D$11,Supuestos!$E$11),IF(Supuestos!$C$11="Triangular",IF(H901&lt;(Supuestos!$E$11-Supuestos!$D$11)/(Supuestos!$F$11-Supuestos!$D$11),Supuestos!$D$11+SQRT(H901*(Supuestos!$F$11-Supuestos!$D$11)*(Supuestos!$E$11-Supuestos!$D$11)),Supuestos!$F$11-SQRT((1-H901)*(Supuestos!$F$11-Supuestos!$D$11)*(Supuestos!$F$11-Supuestos!$E$11))),IF(Supuestos!$C$11="Uniforme",Supuestos!$D$11+H901*(Supuestos!$E$11-Supuestos!$D$11),IF(Supuestos!$C$11="Lognormal",LOGINV(H901,LN(Supuestos!$D$11)-LN(1+Supuestos!$E$11^2/Supuestos!$D$11^2)/2,SQRT(LN(1+Supuestos!$E$11^2/Supuestos!$D$11^2))),Supuestos!$D$11))))))</f>
        <v/>
      </c>
      <c r="P901" s="33">
        <f>-I901</f>
        <v/>
      </c>
      <c r="Q901" s="33">
        <f>$J901*(1+$K901)^(1-1)*(1-$L901)*(1-$M901)</f>
        <v/>
      </c>
      <c r="R901" s="33">
        <f>$J901*(1+$K901)^(2-1)*(1-$L901)*(1-$M901)</f>
        <v/>
      </c>
      <c r="S901" s="33">
        <f>$J901*(1+$K901)^(3-1)*(1-$L901)*(1-$M901)</f>
        <v/>
      </c>
      <c r="T901" s="33">
        <f>$J901*(1+$K901)^(4-1)*(1-$L901)*(1-$M901)</f>
        <v/>
      </c>
      <c r="U901" s="33">
        <f>$J901*(1+$K901)^(5-1)*(1-$L901)*(1-$M901)+$O901</f>
        <v/>
      </c>
      <c r="V901" s="33">
        <f>P901+NPV($N901,Q901:U901)</f>
        <v/>
      </c>
      <c r="W901" s="32">
        <f>IFERROR(IRR(P901:U901,0.1),"")</f>
        <v/>
      </c>
    </row>
    <row r="902">
      <c r="A902" s="14" t="n">
        <v>898</v>
      </c>
      <c r="B902" s="30">
        <f>RAND()*(1-2E-6)+1E-6</f>
        <v/>
      </c>
      <c r="C902" s="30">
        <f>RAND()*(1-2E-6)+1E-6</f>
        <v/>
      </c>
      <c r="D902" s="30">
        <f>RAND()*(1-2E-6)+1E-6</f>
        <v/>
      </c>
      <c r="E902" s="30">
        <f>RAND()*(1-2E-6)+1E-6</f>
        <v/>
      </c>
      <c r="F902" s="30">
        <f>RAND()*(1-2E-6)+1E-6</f>
        <v/>
      </c>
      <c r="G902" s="30">
        <f>RAND()*(1-2E-6)+1E-6</f>
        <v/>
      </c>
      <c r="H902" s="30">
        <f>RAND()*(1-2E-6)+1E-6</f>
        <v/>
      </c>
      <c r="I902" s="31">
        <f>MIN(IF(Supuestos!$H$5="",1E+99,Supuestos!$H$5),MAX(IF(Supuestos!$G$5="",-1E+99,Supuestos!$G$5),IF(Supuestos!$C$5="Normal",NORMINV(B902,Supuestos!$D$5,Supuestos!$E$5),IF(Supuestos!$C$5="Triangular",IF(B902&lt;(Supuestos!$E$5-Supuestos!$D$5)/(Supuestos!$F$5-Supuestos!$D$5),Supuestos!$D$5+SQRT(B902*(Supuestos!$F$5-Supuestos!$D$5)*(Supuestos!$E$5-Supuestos!$D$5)),Supuestos!$F$5-SQRT((1-B902)*(Supuestos!$F$5-Supuestos!$D$5)*(Supuestos!$F$5-Supuestos!$E$5))),IF(Supuestos!$C$5="Uniforme",Supuestos!$D$5+B902*(Supuestos!$E$5-Supuestos!$D$5),IF(Supuestos!$C$5="Lognormal",LOGINV(B902,LN(Supuestos!$D$5)-LN(1+Supuestos!$E$5^2/Supuestos!$D$5^2)/2,SQRT(LN(1+Supuestos!$E$5^2/Supuestos!$D$5^2))),Supuestos!$D$5))))))</f>
        <v/>
      </c>
      <c r="J902" s="31">
        <f>MIN(IF(Supuestos!$H$6="",1E+99,Supuestos!$H$6),MAX(IF(Supuestos!$G$6="",-1E+99,Supuestos!$G$6),IF(Supuestos!$C$6="Normal",NORMINV(C902,Supuestos!$D$6,Supuestos!$E$6),IF(Supuestos!$C$6="Triangular",IF(C902&lt;(Supuestos!$E$6-Supuestos!$D$6)/(Supuestos!$F$6-Supuestos!$D$6),Supuestos!$D$6+SQRT(C902*(Supuestos!$F$6-Supuestos!$D$6)*(Supuestos!$E$6-Supuestos!$D$6)),Supuestos!$F$6-SQRT((1-C902)*(Supuestos!$F$6-Supuestos!$D$6)*(Supuestos!$F$6-Supuestos!$E$6))),IF(Supuestos!$C$6="Uniforme",Supuestos!$D$6+C902*(Supuestos!$E$6-Supuestos!$D$6),IF(Supuestos!$C$6="Lognormal",LOGINV(C902,LN(Supuestos!$D$6)-LN(1+Supuestos!$E$6^2/Supuestos!$D$6^2)/2,SQRT(LN(1+Supuestos!$E$6^2/Supuestos!$D$6^2))),Supuestos!$D$6))))))</f>
        <v/>
      </c>
      <c r="K902" s="32">
        <f>MIN(IF(Supuestos!$H$7="",1E+99,Supuestos!$H$7),MAX(IF(Supuestos!$G$7="",-1E+99,Supuestos!$G$7),IF(Supuestos!$C$7="Normal",NORMINV(D902,Supuestos!$D$7,Supuestos!$E$7),IF(Supuestos!$C$7="Triangular",IF(D902&lt;(Supuestos!$E$7-Supuestos!$D$7)/(Supuestos!$F$7-Supuestos!$D$7),Supuestos!$D$7+SQRT(D902*(Supuestos!$F$7-Supuestos!$D$7)*(Supuestos!$E$7-Supuestos!$D$7)),Supuestos!$F$7-SQRT((1-D902)*(Supuestos!$F$7-Supuestos!$D$7)*(Supuestos!$F$7-Supuestos!$E$7))),IF(Supuestos!$C$7="Uniforme",Supuestos!$D$7+D902*(Supuestos!$E$7-Supuestos!$D$7),IF(Supuestos!$C$7="Lognormal",LOGINV(D902,LN(Supuestos!$D$7)-LN(1+Supuestos!$E$7^2/Supuestos!$D$7^2)/2,SQRT(LN(1+Supuestos!$E$7^2/Supuestos!$D$7^2))),Supuestos!$D$7))))))</f>
        <v/>
      </c>
      <c r="L902" s="32">
        <f>MIN(IF(Supuestos!$H$8="",1E+99,Supuestos!$H$8),MAX(IF(Supuestos!$G$8="",-1E+99,Supuestos!$G$8),IF(Supuestos!$C$8="Normal",NORMINV(E902,Supuestos!$D$8,Supuestos!$E$8),IF(Supuestos!$C$8="Triangular",IF(E902&lt;(Supuestos!$E$8-Supuestos!$D$8)/(Supuestos!$F$8-Supuestos!$D$8),Supuestos!$D$8+SQRT(E902*(Supuestos!$F$8-Supuestos!$D$8)*(Supuestos!$E$8-Supuestos!$D$8)),Supuestos!$F$8-SQRT((1-E902)*(Supuestos!$F$8-Supuestos!$D$8)*(Supuestos!$F$8-Supuestos!$E$8))),IF(Supuestos!$C$8="Uniforme",Supuestos!$D$8+E902*(Supuestos!$E$8-Supuestos!$D$8),IF(Supuestos!$C$8="Lognormal",LOGINV(E902,LN(Supuestos!$D$8)-LN(1+Supuestos!$E$8^2/Supuestos!$D$8^2)/2,SQRT(LN(1+Supuestos!$E$8^2/Supuestos!$D$8^2))),Supuestos!$D$8))))))</f>
        <v/>
      </c>
      <c r="M902" s="32">
        <f>MIN(IF(Supuestos!$H$9="",1E+99,Supuestos!$H$9),MAX(IF(Supuestos!$G$9="",-1E+99,Supuestos!$G$9),IF(Supuestos!$C$9="Normal",NORMINV(F902,Supuestos!$D$9,Supuestos!$E$9),IF(Supuestos!$C$9="Triangular",IF(F902&lt;(Supuestos!$E$9-Supuestos!$D$9)/(Supuestos!$F$9-Supuestos!$D$9),Supuestos!$D$9+SQRT(F902*(Supuestos!$F$9-Supuestos!$D$9)*(Supuestos!$E$9-Supuestos!$D$9)),Supuestos!$F$9-SQRT((1-F902)*(Supuestos!$F$9-Supuestos!$D$9)*(Supuestos!$F$9-Supuestos!$E$9))),IF(Supuestos!$C$9="Uniforme",Supuestos!$D$9+F902*(Supuestos!$E$9-Supuestos!$D$9),IF(Supuestos!$C$9="Lognormal",LOGINV(F902,LN(Supuestos!$D$9)-LN(1+Supuestos!$E$9^2/Supuestos!$D$9^2)/2,SQRT(LN(1+Supuestos!$E$9^2/Supuestos!$D$9^2))),Supuestos!$D$9))))))</f>
        <v/>
      </c>
      <c r="N902" s="32">
        <f>MIN(IF(Supuestos!$H$10="",1E+99,Supuestos!$H$10),MAX(IF(Supuestos!$G$10="",-1E+99,Supuestos!$G$10),IF(Supuestos!$C$10="Normal",NORMINV(G902,Supuestos!$D$10,Supuestos!$E$10),IF(Supuestos!$C$10="Triangular",IF(G902&lt;(Supuestos!$E$10-Supuestos!$D$10)/(Supuestos!$F$10-Supuestos!$D$10),Supuestos!$D$10+SQRT(G902*(Supuestos!$F$10-Supuestos!$D$10)*(Supuestos!$E$10-Supuestos!$D$10)),Supuestos!$F$10-SQRT((1-G902)*(Supuestos!$F$10-Supuestos!$D$10)*(Supuestos!$F$10-Supuestos!$E$10))),IF(Supuestos!$C$10="Uniforme",Supuestos!$D$10+G902*(Supuestos!$E$10-Supuestos!$D$10),IF(Supuestos!$C$10="Lognormal",LOGINV(G902,LN(Supuestos!$D$10)-LN(1+Supuestos!$E$10^2/Supuestos!$D$10^2)/2,SQRT(LN(1+Supuestos!$E$10^2/Supuestos!$D$10^2))),Supuestos!$D$10))))))</f>
        <v/>
      </c>
      <c r="O902" s="31">
        <f>MIN(IF(Supuestos!$H$11="",1E+99,Supuestos!$H$11),MAX(IF(Supuestos!$G$11="",-1E+99,Supuestos!$G$11),IF(Supuestos!$C$11="Normal",NORMINV(H902,Supuestos!$D$11,Supuestos!$E$11),IF(Supuestos!$C$11="Triangular",IF(H902&lt;(Supuestos!$E$11-Supuestos!$D$11)/(Supuestos!$F$11-Supuestos!$D$11),Supuestos!$D$11+SQRT(H902*(Supuestos!$F$11-Supuestos!$D$11)*(Supuestos!$E$11-Supuestos!$D$11)),Supuestos!$F$11-SQRT((1-H902)*(Supuestos!$F$11-Supuestos!$D$11)*(Supuestos!$F$11-Supuestos!$E$11))),IF(Supuestos!$C$11="Uniforme",Supuestos!$D$11+H902*(Supuestos!$E$11-Supuestos!$D$11),IF(Supuestos!$C$11="Lognormal",LOGINV(H902,LN(Supuestos!$D$11)-LN(1+Supuestos!$E$11^2/Supuestos!$D$11^2)/2,SQRT(LN(1+Supuestos!$E$11^2/Supuestos!$D$11^2))),Supuestos!$D$11))))))</f>
        <v/>
      </c>
      <c r="P902" s="33">
        <f>-I902</f>
        <v/>
      </c>
      <c r="Q902" s="33">
        <f>$J902*(1+$K902)^(1-1)*(1-$L902)*(1-$M902)</f>
        <v/>
      </c>
      <c r="R902" s="33">
        <f>$J902*(1+$K902)^(2-1)*(1-$L902)*(1-$M902)</f>
        <v/>
      </c>
      <c r="S902" s="33">
        <f>$J902*(1+$K902)^(3-1)*(1-$L902)*(1-$M902)</f>
        <v/>
      </c>
      <c r="T902" s="33">
        <f>$J902*(1+$K902)^(4-1)*(1-$L902)*(1-$M902)</f>
        <v/>
      </c>
      <c r="U902" s="33">
        <f>$J902*(1+$K902)^(5-1)*(1-$L902)*(1-$M902)+$O902</f>
        <v/>
      </c>
      <c r="V902" s="33">
        <f>P902+NPV($N902,Q902:U902)</f>
        <v/>
      </c>
      <c r="W902" s="32">
        <f>IFERROR(IRR(P902:U902,0.1),"")</f>
        <v/>
      </c>
    </row>
    <row r="903">
      <c r="A903" s="14" t="n">
        <v>899</v>
      </c>
      <c r="B903" s="30">
        <f>RAND()*(1-2E-6)+1E-6</f>
        <v/>
      </c>
      <c r="C903" s="30">
        <f>RAND()*(1-2E-6)+1E-6</f>
        <v/>
      </c>
      <c r="D903" s="30">
        <f>RAND()*(1-2E-6)+1E-6</f>
        <v/>
      </c>
      <c r="E903" s="30">
        <f>RAND()*(1-2E-6)+1E-6</f>
        <v/>
      </c>
      <c r="F903" s="30">
        <f>RAND()*(1-2E-6)+1E-6</f>
        <v/>
      </c>
      <c r="G903" s="30">
        <f>RAND()*(1-2E-6)+1E-6</f>
        <v/>
      </c>
      <c r="H903" s="30">
        <f>RAND()*(1-2E-6)+1E-6</f>
        <v/>
      </c>
      <c r="I903" s="31">
        <f>MIN(IF(Supuestos!$H$5="",1E+99,Supuestos!$H$5),MAX(IF(Supuestos!$G$5="",-1E+99,Supuestos!$G$5),IF(Supuestos!$C$5="Normal",NORMINV(B903,Supuestos!$D$5,Supuestos!$E$5),IF(Supuestos!$C$5="Triangular",IF(B903&lt;(Supuestos!$E$5-Supuestos!$D$5)/(Supuestos!$F$5-Supuestos!$D$5),Supuestos!$D$5+SQRT(B903*(Supuestos!$F$5-Supuestos!$D$5)*(Supuestos!$E$5-Supuestos!$D$5)),Supuestos!$F$5-SQRT((1-B903)*(Supuestos!$F$5-Supuestos!$D$5)*(Supuestos!$F$5-Supuestos!$E$5))),IF(Supuestos!$C$5="Uniforme",Supuestos!$D$5+B903*(Supuestos!$E$5-Supuestos!$D$5),IF(Supuestos!$C$5="Lognormal",LOGINV(B903,LN(Supuestos!$D$5)-LN(1+Supuestos!$E$5^2/Supuestos!$D$5^2)/2,SQRT(LN(1+Supuestos!$E$5^2/Supuestos!$D$5^2))),Supuestos!$D$5))))))</f>
        <v/>
      </c>
      <c r="J903" s="31">
        <f>MIN(IF(Supuestos!$H$6="",1E+99,Supuestos!$H$6),MAX(IF(Supuestos!$G$6="",-1E+99,Supuestos!$G$6),IF(Supuestos!$C$6="Normal",NORMINV(C903,Supuestos!$D$6,Supuestos!$E$6),IF(Supuestos!$C$6="Triangular",IF(C903&lt;(Supuestos!$E$6-Supuestos!$D$6)/(Supuestos!$F$6-Supuestos!$D$6),Supuestos!$D$6+SQRT(C903*(Supuestos!$F$6-Supuestos!$D$6)*(Supuestos!$E$6-Supuestos!$D$6)),Supuestos!$F$6-SQRT((1-C903)*(Supuestos!$F$6-Supuestos!$D$6)*(Supuestos!$F$6-Supuestos!$E$6))),IF(Supuestos!$C$6="Uniforme",Supuestos!$D$6+C903*(Supuestos!$E$6-Supuestos!$D$6),IF(Supuestos!$C$6="Lognormal",LOGINV(C903,LN(Supuestos!$D$6)-LN(1+Supuestos!$E$6^2/Supuestos!$D$6^2)/2,SQRT(LN(1+Supuestos!$E$6^2/Supuestos!$D$6^2))),Supuestos!$D$6))))))</f>
        <v/>
      </c>
      <c r="K903" s="32">
        <f>MIN(IF(Supuestos!$H$7="",1E+99,Supuestos!$H$7),MAX(IF(Supuestos!$G$7="",-1E+99,Supuestos!$G$7),IF(Supuestos!$C$7="Normal",NORMINV(D903,Supuestos!$D$7,Supuestos!$E$7),IF(Supuestos!$C$7="Triangular",IF(D903&lt;(Supuestos!$E$7-Supuestos!$D$7)/(Supuestos!$F$7-Supuestos!$D$7),Supuestos!$D$7+SQRT(D903*(Supuestos!$F$7-Supuestos!$D$7)*(Supuestos!$E$7-Supuestos!$D$7)),Supuestos!$F$7-SQRT((1-D903)*(Supuestos!$F$7-Supuestos!$D$7)*(Supuestos!$F$7-Supuestos!$E$7))),IF(Supuestos!$C$7="Uniforme",Supuestos!$D$7+D903*(Supuestos!$E$7-Supuestos!$D$7),IF(Supuestos!$C$7="Lognormal",LOGINV(D903,LN(Supuestos!$D$7)-LN(1+Supuestos!$E$7^2/Supuestos!$D$7^2)/2,SQRT(LN(1+Supuestos!$E$7^2/Supuestos!$D$7^2))),Supuestos!$D$7))))))</f>
        <v/>
      </c>
      <c r="L903" s="32">
        <f>MIN(IF(Supuestos!$H$8="",1E+99,Supuestos!$H$8),MAX(IF(Supuestos!$G$8="",-1E+99,Supuestos!$G$8),IF(Supuestos!$C$8="Normal",NORMINV(E903,Supuestos!$D$8,Supuestos!$E$8),IF(Supuestos!$C$8="Triangular",IF(E903&lt;(Supuestos!$E$8-Supuestos!$D$8)/(Supuestos!$F$8-Supuestos!$D$8),Supuestos!$D$8+SQRT(E903*(Supuestos!$F$8-Supuestos!$D$8)*(Supuestos!$E$8-Supuestos!$D$8)),Supuestos!$F$8-SQRT((1-E903)*(Supuestos!$F$8-Supuestos!$D$8)*(Supuestos!$F$8-Supuestos!$E$8))),IF(Supuestos!$C$8="Uniforme",Supuestos!$D$8+E903*(Supuestos!$E$8-Supuestos!$D$8),IF(Supuestos!$C$8="Lognormal",LOGINV(E903,LN(Supuestos!$D$8)-LN(1+Supuestos!$E$8^2/Supuestos!$D$8^2)/2,SQRT(LN(1+Supuestos!$E$8^2/Supuestos!$D$8^2))),Supuestos!$D$8))))))</f>
        <v/>
      </c>
      <c r="M903" s="32">
        <f>MIN(IF(Supuestos!$H$9="",1E+99,Supuestos!$H$9),MAX(IF(Supuestos!$G$9="",-1E+99,Supuestos!$G$9),IF(Supuestos!$C$9="Normal",NORMINV(F903,Supuestos!$D$9,Supuestos!$E$9),IF(Supuestos!$C$9="Triangular",IF(F903&lt;(Supuestos!$E$9-Supuestos!$D$9)/(Supuestos!$F$9-Supuestos!$D$9),Supuestos!$D$9+SQRT(F903*(Supuestos!$F$9-Supuestos!$D$9)*(Supuestos!$E$9-Supuestos!$D$9)),Supuestos!$F$9-SQRT((1-F903)*(Supuestos!$F$9-Supuestos!$D$9)*(Supuestos!$F$9-Supuestos!$E$9))),IF(Supuestos!$C$9="Uniforme",Supuestos!$D$9+F903*(Supuestos!$E$9-Supuestos!$D$9),IF(Supuestos!$C$9="Lognormal",LOGINV(F903,LN(Supuestos!$D$9)-LN(1+Supuestos!$E$9^2/Supuestos!$D$9^2)/2,SQRT(LN(1+Supuestos!$E$9^2/Supuestos!$D$9^2))),Supuestos!$D$9))))))</f>
        <v/>
      </c>
      <c r="N903" s="32">
        <f>MIN(IF(Supuestos!$H$10="",1E+99,Supuestos!$H$10),MAX(IF(Supuestos!$G$10="",-1E+99,Supuestos!$G$10),IF(Supuestos!$C$10="Normal",NORMINV(G903,Supuestos!$D$10,Supuestos!$E$10),IF(Supuestos!$C$10="Triangular",IF(G903&lt;(Supuestos!$E$10-Supuestos!$D$10)/(Supuestos!$F$10-Supuestos!$D$10),Supuestos!$D$10+SQRT(G903*(Supuestos!$F$10-Supuestos!$D$10)*(Supuestos!$E$10-Supuestos!$D$10)),Supuestos!$F$10-SQRT((1-G903)*(Supuestos!$F$10-Supuestos!$D$10)*(Supuestos!$F$10-Supuestos!$E$10))),IF(Supuestos!$C$10="Uniforme",Supuestos!$D$10+G903*(Supuestos!$E$10-Supuestos!$D$10),IF(Supuestos!$C$10="Lognormal",LOGINV(G903,LN(Supuestos!$D$10)-LN(1+Supuestos!$E$10^2/Supuestos!$D$10^2)/2,SQRT(LN(1+Supuestos!$E$10^2/Supuestos!$D$10^2))),Supuestos!$D$10))))))</f>
        <v/>
      </c>
      <c r="O903" s="31">
        <f>MIN(IF(Supuestos!$H$11="",1E+99,Supuestos!$H$11),MAX(IF(Supuestos!$G$11="",-1E+99,Supuestos!$G$11),IF(Supuestos!$C$11="Normal",NORMINV(H903,Supuestos!$D$11,Supuestos!$E$11),IF(Supuestos!$C$11="Triangular",IF(H903&lt;(Supuestos!$E$11-Supuestos!$D$11)/(Supuestos!$F$11-Supuestos!$D$11),Supuestos!$D$11+SQRT(H903*(Supuestos!$F$11-Supuestos!$D$11)*(Supuestos!$E$11-Supuestos!$D$11)),Supuestos!$F$11-SQRT((1-H903)*(Supuestos!$F$11-Supuestos!$D$11)*(Supuestos!$F$11-Supuestos!$E$11))),IF(Supuestos!$C$11="Uniforme",Supuestos!$D$11+H903*(Supuestos!$E$11-Supuestos!$D$11),IF(Supuestos!$C$11="Lognormal",LOGINV(H903,LN(Supuestos!$D$11)-LN(1+Supuestos!$E$11^2/Supuestos!$D$11^2)/2,SQRT(LN(1+Supuestos!$E$11^2/Supuestos!$D$11^2))),Supuestos!$D$11))))))</f>
        <v/>
      </c>
      <c r="P903" s="33">
        <f>-I903</f>
        <v/>
      </c>
      <c r="Q903" s="33">
        <f>$J903*(1+$K903)^(1-1)*(1-$L903)*(1-$M903)</f>
        <v/>
      </c>
      <c r="R903" s="33">
        <f>$J903*(1+$K903)^(2-1)*(1-$L903)*(1-$M903)</f>
        <v/>
      </c>
      <c r="S903" s="33">
        <f>$J903*(1+$K903)^(3-1)*(1-$L903)*(1-$M903)</f>
        <v/>
      </c>
      <c r="T903" s="33">
        <f>$J903*(1+$K903)^(4-1)*(1-$L903)*(1-$M903)</f>
        <v/>
      </c>
      <c r="U903" s="33">
        <f>$J903*(1+$K903)^(5-1)*(1-$L903)*(1-$M903)+$O903</f>
        <v/>
      </c>
      <c r="V903" s="33">
        <f>P903+NPV($N903,Q903:U903)</f>
        <v/>
      </c>
      <c r="W903" s="32">
        <f>IFERROR(IRR(P903:U903,0.1),"")</f>
        <v/>
      </c>
    </row>
    <row r="904">
      <c r="A904" s="14" t="n">
        <v>900</v>
      </c>
      <c r="B904" s="30">
        <f>RAND()*(1-2E-6)+1E-6</f>
        <v/>
      </c>
      <c r="C904" s="30">
        <f>RAND()*(1-2E-6)+1E-6</f>
        <v/>
      </c>
      <c r="D904" s="30">
        <f>RAND()*(1-2E-6)+1E-6</f>
        <v/>
      </c>
      <c r="E904" s="30">
        <f>RAND()*(1-2E-6)+1E-6</f>
        <v/>
      </c>
      <c r="F904" s="30">
        <f>RAND()*(1-2E-6)+1E-6</f>
        <v/>
      </c>
      <c r="G904" s="30">
        <f>RAND()*(1-2E-6)+1E-6</f>
        <v/>
      </c>
      <c r="H904" s="30">
        <f>RAND()*(1-2E-6)+1E-6</f>
        <v/>
      </c>
      <c r="I904" s="31">
        <f>MIN(IF(Supuestos!$H$5="",1E+99,Supuestos!$H$5),MAX(IF(Supuestos!$G$5="",-1E+99,Supuestos!$G$5),IF(Supuestos!$C$5="Normal",NORMINV(B904,Supuestos!$D$5,Supuestos!$E$5),IF(Supuestos!$C$5="Triangular",IF(B904&lt;(Supuestos!$E$5-Supuestos!$D$5)/(Supuestos!$F$5-Supuestos!$D$5),Supuestos!$D$5+SQRT(B904*(Supuestos!$F$5-Supuestos!$D$5)*(Supuestos!$E$5-Supuestos!$D$5)),Supuestos!$F$5-SQRT((1-B904)*(Supuestos!$F$5-Supuestos!$D$5)*(Supuestos!$F$5-Supuestos!$E$5))),IF(Supuestos!$C$5="Uniforme",Supuestos!$D$5+B904*(Supuestos!$E$5-Supuestos!$D$5),IF(Supuestos!$C$5="Lognormal",LOGINV(B904,LN(Supuestos!$D$5)-LN(1+Supuestos!$E$5^2/Supuestos!$D$5^2)/2,SQRT(LN(1+Supuestos!$E$5^2/Supuestos!$D$5^2))),Supuestos!$D$5))))))</f>
        <v/>
      </c>
      <c r="J904" s="31">
        <f>MIN(IF(Supuestos!$H$6="",1E+99,Supuestos!$H$6),MAX(IF(Supuestos!$G$6="",-1E+99,Supuestos!$G$6),IF(Supuestos!$C$6="Normal",NORMINV(C904,Supuestos!$D$6,Supuestos!$E$6),IF(Supuestos!$C$6="Triangular",IF(C904&lt;(Supuestos!$E$6-Supuestos!$D$6)/(Supuestos!$F$6-Supuestos!$D$6),Supuestos!$D$6+SQRT(C904*(Supuestos!$F$6-Supuestos!$D$6)*(Supuestos!$E$6-Supuestos!$D$6)),Supuestos!$F$6-SQRT((1-C904)*(Supuestos!$F$6-Supuestos!$D$6)*(Supuestos!$F$6-Supuestos!$E$6))),IF(Supuestos!$C$6="Uniforme",Supuestos!$D$6+C904*(Supuestos!$E$6-Supuestos!$D$6),IF(Supuestos!$C$6="Lognormal",LOGINV(C904,LN(Supuestos!$D$6)-LN(1+Supuestos!$E$6^2/Supuestos!$D$6^2)/2,SQRT(LN(1+Supuestos!$E$6^2/Supuestos!$D$6^2))),Supuestos!$D$6))))))</f>
        <v/>
      </c>
      <c r="K904" s="32">
        <f>MIN(IF(Supuestos!$H$7="",1E+99,Supuestos!$H$7),MAX(IF(Supuestos!$G$7="",-1E+99,Supuestos!$G$7),IF(Supuestos!$C$7="Normal",NORMINV(D904,Supuestos!$D$7,Supuestos!$E$7),IF(Supuestos!$C$7="Triangular",IF(D904&lt;(Supuestos!$E$7-Supuestos!$D$7)/(Supuestos!$F$7-Supuestos!$D$7),Supuestos!$D$7+SQRT(D904*(Supuestos!$F$7-Supuestos!$D$7)*(Supuestos!$E$7-Supuestos!$D$7)),Supuestos!$F$7-SQRT((1-D904)*(Supuestos!$F$7-Supuestos!$D$7)*(Supuestos!$F$7-Supuestos!$E$7))),IF(Supuestos!$C$7="Uniforme",Supuestos!$D$7+D904*(Supuestos!$E$7-Supuestos!$D$7),IF(Supuestos!$C$7="Lognormal",LOGINV(D904,LN(Supuestos!$D$7)-LN(1+Supuestos!$E$7^2/Supuestos!$D$7^2)/2,SQRT(LN(1+Supuestos!$E$7^2/Supuestos!$D$7^2))),Supuestos!$D$7))))))</f>
        <v/>
      </c>
      <c r="L904" s="32">
        <f>MIN(IF(Supuestos!$H$8="",1E+99,Supuestos!$H$8),MAX(IF(Supuestos!$G$8="",-1E+99,Supuestos!$G$8),IF(Supuestos!$C$8="Normal",NORMINV(E904,Supuestos!$D$8,Supuestos!$E$8),IF(Supuestos!$C$8="Triangular",IF(E904&lt;(Supuestos!$E$8-Supuestos!$D$8)/(Supuestos!$F$8-Supuestos!$D$8),Supuestos!$D$8+SQRT(E904*(Supuestos!$F$8-Supuestos!$D$8)*(Supuestos!$E$8-Supuestos!$D$8)),Supuestos!$F$8-SQRT((1-E904)*(Supuestos!$F$8-Supuestos!$D$8)*(Supuestos!$F$8-Supuestos!$E$8))),IF(Supuestos!$C$8="Uniforme",Supuestos!$D$8+E904*(Supuestos!$E$8-Supuestos!$D$8),IF(Supuestos!$C$8="Lognormal",LOGINV(E904,LN(Supuestos!$D$8)-LN(1+Supuestos!$E$8^2/Supuestos!$D$8^2)/2,SQRT(LN(1+Supuestos!$E$8^2/Supuestos!$D$8^2))),Supuestos!$D$8))))))</f>
        <v/>
      </c>
      <c r="M904" s="32">
        <f>MIN(IF(Supuestos!$H$9="",1E+99,Supuestos!$H$9),MAX(IF(Supuestos!$G$9="",-1E+99,Supuestos!$G$9),IF(Supuestos!$C$9="Normal",NORMINV(F904,Supuestos!$D$9,Supuestos!$E$9),IF(Supuestos!$C$9="Triangular",IF(F904&lt;(Supuestos!$E$9-Supuestos!$D$9)/(Supuestos!$F$9-Supuestos!$D$9),Supuestos!$D$9+SQRT(F904*(Supuestos!$F$9-Supuestos!$D$9)*(Supuestos!$E$9-Supuestos!$D$9)),Supuestos!$F$9-SQRT((1-F904)*(Supuestos!$F$9-Supuestos!$D$9)*(Supuestos!$F$9-Supuestos!$E$9))),IF(Supuestos!$C$9="Uniforme",Supuestos!$D$9+F904*(Supuestos!$E$9-Supuestos!$D$9),IF(Supuestos!$C$9="Lognormal",LOGINV(F904,LN(Supuestos!$D$9)-LN(1+Supuestos!$E$9^2/Supuestos!$D$9^2)/2,SQRT(LN(1+Supuestos!$E$9^2/Supuestos!$D$9^2))),Supuestos!$D$9))))))</f>
        <v/>
      </c>
      <c r="N904" s="32">
        <f>MIN(IF(Supuestos!$H$10="",1E+99,Supuestos!$H$10),MAX(IF(Supuestos!$G$10="",-1E+99,Supuestos!$G$10),IF(Supuestos!$C$10="Normal",NORMINV(G904,Supuestos!$D$10,Supuestos!$E$10),IF(Supuestos!$C$10="Triangular",IF(G904&lt;(Supuestos!$E$10-Supuestos!$D$10)/(Supuestos!$F$10-Supuestos!$D$10),Supuestos!$D$10+SQRT(G904*(Supuestos!$F$10-Supuestos!$D$10)*(Supuestos!$E$10-Supuestos!$D$10)),Supuestos!$F$10-SQRT((1-G904)*(Supuestos!$F$10-Supuestos!$D$10)*(Supuestos!$F$10-Supuestos!$E$10))),IF(Supuestos!$C$10="Uniforme",Supuestos!$D$10+G904*(Supuestos!$E$10-Supuestos!$D$10),IF(Supuestos!$C$10="Lognormal",LOGINV(G904,LN(Supuestos!$D$10)-LN(1+Supuestos!$E$10^2/Supuestos!$D$10^2)/2,SQRT(LN(1+Supuestos!$E$10^2/Supuestos!$D$10^2))),Supuestos!$D$10))))))</f>
        <v/>
      </c>
      <c r="O904" s="31">
        <f>MIN(IF(Supuestos!$H$11="",1E+99,Supuestos!$H$11),MAX(IF(Supuestos!$G$11="",-1E+99,Supuestos!$G$11),IF(Supuestos!$C$11="Normal",NORMINV(H904,Supuestos!$D$11,Supuestos!$E$11),IF(Supuestos!$C$11="Triangular",IF(H904&lt;(Supuestos!$E$11-Supuestos!$D$11)/(Supuestos!$F$11-Supuestos!$D$11),Supuestos!$D$11+SQRT(H904*(Supuestos!$F$11-Supuestos!$D$11)*(Supuestos!$E$11-Supuestos!$D$11)),Supuestos!$F$11-SQRT((1-H904)*(Supuestos!$F$11-Supuestos!$D$11)*(Supuestos!$F$11-Supuestos!$E$11))),IF(Supuestos!$C$11="Uniforme",Supuestos!$D$11+H904*(Supuestos!$E$11-Supuestos!$D$11),IF(Supuestos!$C$11="Lognormal",LOGINV(H904,LN(Supuestos!$D$11)-LN(1+Supuestos!$E$11^2/Supuestos!$D$11^2)/2,SQRT(LN(1+Supuestos!$E$11^2/Supuestos!$D$11^2))),Supuestos!$D$11))))))</f>
        <v/>
      </c>
      <c r="P904" s="33">
        <f>-I904</f>
        <v/>
      </c>
      <c r="Q904" s="33">
        <f>$J904*(1+$K904)^(1-1)*(1-$L904)*(1-$M904)</f>
        <v/>
      </c>
      <c r="R904" s="33">
        <f>$J904*(1+$K904)^(2-1)*(1-$L904)*(1-$M904)</f>
        <v/>
      </c>
      <c r="S904" s="33">
        <f>$J904*(1+$K904)^(3-1)*(1-$L904)*(1-$M904)</f>
        <v/>
      </c>
      <c r="T904" s="33">
        <f>$J904*(1+$K904)^(4-1)*(1-$L904)*(1-$M904)</f>
        <v/>
      </c>
      <c r="U904" s="33">
        <f>$J904*(1+$K904)^(5-1)*(1-$L904)*(1-$M904)+$O904</f>
        <v/>
      </c>
      <c r="V904" s="33">
        <f>P904+NPV($N904,Q904:U904)</f>
        <v/>
      </c>
      <c r="W904" s="32">
        <f>IFERROR(IRR(P904:U904,0.1),"")</f>
        <v/>
      </c>
    </row>
    <row r="905">
      <c r="A905" s="14" t="n">
        <v>901</v>
      </c>
      <c r="B905" s="30">
        <f>RAND()*(1-2E-6)+1E-6</f>
        <v/>
      </c>
      <c r="C905" s="30">
        <f>RAND()*(1-2E-6)+1E-6</f>
        <v/>
      </c>
      <c r="D905" s="30">
        <f>RAND()*(1-2E-6)+1E-6</f>
        <v/>
      </c>
      <c r="E905" s="30">
        <f>RAND()*(1-2E-6)+1E-6</f>
        <v/>
      </c>
      <c r="F905" s="30">
        <f>RAND()*(1-2E-6)+1E-6</f>
        <v/>
      </c>
      <c r="G905" s="30">
        <f>RAND()*(1-2E-6)+1E-6</f>
        <v/>
      </c>
      <c r="H905" s="30">
        <f>RAND()*(1-2E-6)+1E-6</f>
        <v/>
      </c>
      <c r="I905" s="31">
        <f>MIN(IF(Supuestos!$H$5="",1E+99,Supuestos!$H$5),MAX(IF(Supuestos!$G$5="",-1E+99,Supuestos!$G$5),IF(Supuestos!$C$5="Normal",NORMINV(B905,Supuestos!$D$5,Supuestos!$E$5),IF(Supuestos!$C$5="Triangular",IF(B905&lt;(Supuestos!$E$5-Supuestos!$D$5)/(Supuestos!$F$5-Supuestos!$D$5),Supuestos!$D$5+SQRT(B905*(Supuestos!$F$5-Supuestos!$D$5)*(Supuestos!$E$5-Supuestos!$D$5)),Supuestos!$F$5-SQRT((1-B905)*(Supuestos!$F$5-Supuestos!$D$5)*(Supuestos!$F$5-Supuestos!$E$5))),IF(Supuestos!$C$5="Uniforme",Supuestos!$D$5+B905*(Supuestos!$E$5-Supuestos!$D$5),IF(Supuestos!$C$5="Lognormal",LOGINV(B905,LN(Supuestos!$D$5)-LN(1+Supuestos!$E$5^2/Supuestos!$D$5^2)/2,SQRT(LN(1+Supuestos!$E$5^2/Supuestos!$D$5^2))),Supuestos!$D$5))))))</f>
        <v/>
      </c>
      <c r="J905" s="31">
        <f>MIN(IF(Supuestos!$H$6="",1E+99,Supuestos!$H$6),MAX(IF(Supuestos!$G$6="",-1E+99,Supuestos!$G$6),IF(Supuestos!$C$6="Normal",NORMINV(C905,Supuestos!$D$6,Supuestos!$E$6),IF(Supuestos!$C$6="Triangular",IF(C905&lt;(Supuestos!$E$6-Supuestos!$D$6)/(Supuestos!$F$6-Supuestos!$D$6),Supuestos!$D$6+SQRT(C905*(Supuestos!$F$6-Supuestos!$D$6)*(Supuestos!$E$6-Supuestos!$D$6)),Supuestos!$F$6-SQRT((1-C905)*(Supuestos!$F$6-Supuestos!$D$6)*(Supuestos!$F$6-Supuestos!$E$6))),IF(Supuestos!$C$6="Uniforme",Supuestos!$D$6+C905*(Supuestos!$E$6-Supuestos!$D$6),IF(Supuestos!$C$6="Lognormal",LOGINV(C905,LN(Supuestos!$D$6)-LN(1+Supuestos!$E$6^2/Supuestos!$D$6^2)/2,SQRT(LN(1+Supuestos!$E$6^2/Supuestos!$D$6^2))),Supuestos!$D$6))))))</f>
        <v/>
      </c>
      <c r="K905" s="32">
        <f>MIN(IF(Supuestos!$H$7="",1E+99,Supuestos!$H$7),MAX(IF(Supuestos!$G$7="",-1E+99,Supuestos!$G$7),IF(Supuestos!$C$7="Normal",NORMINV(D905,Supuestos!$D$7,Supuestos!$E$7),IF(Supuestos!$C$7="Triangular",IF(D905&lt;(Supuestos!$E$7-Supuestos!$D$7)/(Supuestos!$F$7-Supuestos!$D$7),Supuestos!$D$7+SQRT(D905*(Supuestos!$F$7-Supuestos!$D$7)*(Supuestos!$E$7-Supuestos!$D$7)),Supuestos!$F$7-SQRT((1-D905)*(Supuestos!$F$7-Supuestos!$D$7)*(Supuestos!$F$7-Supuestos!$E$7))),IF(Supuestos!$C$7="Uniforme",Supuestos!$D$7+D905*(Supuestos!$E$7-Supuestos!$D$7),IF(Supuestos!$C$7="Lognormal",LOGINV(D905,LN(Supuestos!$D$7)-LN(1+Supuestos!$E$7^2/Supuestos!$D$7^2)/2,SQRT(LN(1+Supuestos!$E$7^2/Supuestos!$D$7^2))),Supuestos!$D$7))))))</f>
        <v/>
      </c>
      <c r="L905" s="32">
        <f>MIN(IF(Supuestos!$H$8="",1E+99,Supuestos!$H$8),MAX(IF(Supuestos!$G$8="",-1E+99,Supuestos!$G$8),IF(Supuestos!$C$8="Normal",NORMINV(E905,Supuestos!$D$8,Supuestos!$E$8),IF(Supuestos!$C$8="Triangular",IF(E905&lt;(Supuestos!$E$8-Supuestos!$D$8)/(Supuestos!$F$8-Supuestos!$D$8),Supuestos!$D$8+SQRT(E905*(Supuestos!$F$8-Supuestos!$D$8)*(Supuestos!$E$8-Supuestos!$D$8)),Supuestos!$F$8-SQRT((1-E905)*(Supuestos!$F$8-Supuestos!$D$8)*(Supuestos!$F$8-Supuestos!$E$8))),IF(Supuestos!$C$8="Uniforme",Supuestos!$D$8+E905*(Supuestos!$E$8-Supuestos!$D$8),IF(Supuestos!$C$8="Lognormal",LOGINV(E905,LN(Supuestos!$D$8)-LN(1+Supuestos!$E$8^2/Supuestos!$D$8^2)/2,SQRT(LN(1+Supuestos!$E$8^2/Supuestos!$D$8^2))),Supuestos!$D$8))))))</f>
        <v/>
      </c>
      <c r="M905" s="32">
        <f>MIN(IF(Supuestos!$H$9="",1E+99,Supuestos!$H$9),MAX(IF(Supuestos!$G$9="",-1E+99,Supuestos!$G$9),IF(Supuestos!$C$9="Normal",NORMINV(F905,Supuestos!$D$9,Supuestos!$E$9),IF(Supuestos!$C$9="Triangular",IF(F905&lt;(Supuestos!$E$9-Supuestos!$D$9)/(Supuestos!$F$9-Supuestos!$D$9),Supuestos!$D$9+SQRT(F905*(Supuestos!$F$9-Supuestos!$D$9)*(Supuestos!$E$9-Supuestos!$D$9)),Supuestos!$F$9-SQRT((1-F905)*(Supuestos!$F$9-Supuestos!$D$9)*(Supuestos!$F$9-Supuestos!$E$9))),IF(Supuestos!$C$9="Uniforme",Supuestos!$D$9+F905*(Supuestos!$E$9-Supuestos!$D$9),IF(Supuestos!$C$9="Lognormal",LOGINV(F905,LN(Supuestos!$D$9)-LN(1+Supuestos!$E$9^2/Supuestos!$D$9^2)/2,SQRT(LN(1+Supuestos!$E$9^2/Supuestos!$D$9^2))),Supuestos!$D$9))))))</f>
        <v/>
      </c>
      <c r="N905" s="32">
        <f>MIN(IF(Supuestos!$H$10="",1E+99,Supuestos!$H$10),MAX(IF(Supuestos!$G$10="",-1E+99,Supuestos!$G$10),IF(Supuestos!$C$10="Normal",NORMINV(G905,Supuestos!$D$10,Supuestos!$E$10),IF(Supuestos!$C$10="Triangular",IF(G905&lt;(Supuestos!$E$10-Supuestos!$D$10)/(Supuestos!$F$10-Supuestos!$D$10),Supuestos!$D$10+SQRT(G905*(Supuestos!$F$10-Supuestos!$D$10)*(Supuestos!$E$10-Supuestos!$D$10)),Supuestos!$F$10-SQRT((1-G905)*(Supuestos!$F$10-Supuestos!$D$10)*(Supuestos!$F$10-Supuestos!$E$10))),IF(Supuestos!$C$10="Uniforme",Supuestos!$D$10+G905*(Supuestos!$E$10-Supuestos!$D$10),IF(Supuestos!$C$10="Lognormal",LOGINV(G905,LN(Supuestos!$D$10)-LN(1+Supuestos!$E$10^2/Supuestos!$D$10^2)/2,SQRT(LN(1+Supuestos!$E$10^2/Supuestos!$D$10^2))),Supuestos!$D$10))))))</f>
        <v/>
      </c>
      <c r="O905" s="31">
        <f>MIN(IF(Supuestos!$H$11="",1E+99,Supuestos!$H$11),MAX(IF(Supuestos!$G$11="",-1E+99,Supuestos!$G$11),IF(Supuestos!$C$11="Normal",NORMINV(H905,Supuestos!$D$11,Supuestos!$E$11),IF(Supuestos!$C$11="Triangular",IF(H905&lt;(Supuestos!$E$11-Supuestos!$D$11)/(Supuestos!$F$11-Supuestos!$D$11),Supuestos!$D$11+SQRT(H905*(Supuestos!$F$11-Supuestos!$D$11)*(Supuestos!$E$11-Supuestos!$D$11)),Supuestos!$F$11-SQRT((1-H905)*(Supuestos!$F$11-Supuestos!$D$11)*(Supuestos!$F$11-Supuestos!$E$11))),IF(Supuestos!$C$11="Uniforme",Supuestos!$D$11+H905*(Supuestos!$E$11-Supuestos!$D$11),IF(Supuestos!$C$11="Lognormal",LOGINV(H905,LN(Supuestos!$D$11)-LN(1+Supuestos!$E$11^2/Supuestos!$D$11^2)/2,SQRT(LN(1+Supuestos!$E$11^2/Supuestos!$D$11^2))),Supuestos!$D$11))))))</f>
        <v/>
      </c>
      <c r="P905" s="33">
        <f>-I905</f>
        <v/>
      </c>
      <c r="Q905" s="33">
        <f>$J905*(1+$K905)^(1-1)*(1-$L905)*(1-$M905)</f>
        <v/>
      </c>
      <c r="R905" s="33">
        <f>$J905*(1+$K905)^(2-1)*(1-$L905)*(1-$M905)</f>
        <v/>
      </c>
      <c r="S905" s="33">
        <f>$J905*(1+$K905)^(3-1)*(1-$L905)*(1-$M905)</f>
        <v/>
      </c>
      <c r="T905" s="33">
        <f>$J905*(1+$K905)^(4-1)*(1-$L905)*(1-$M905)</f>
        <v/>
      </c>
      <c r="U905" s="33">
        <f>$J905*(1+$K905)^(5-1)*(1-$L905)*(1-$M905)+$O905</f>
        <v/>
      </c>
      <c r="V905" s="33">
        <f>P905+NPV($N905,Q905:U905)</f>
        <v/>
      </c>
      <c r="W905" s="32">
        <f>IFERROR(IRR(P905:U905,0.1),"")</f>
        <v/>
      </c>
    </row>
    <row r="906">
      <c r="A906" s="14" t="n">
        <v>902</v>
      </c>
      <c r="B906" s="30">
        <f>RAND()*(1-2E-6)+1E-6</f>
        <v/>
      </c>
      <c r="C906" s="30">
        <f>RAND()*(1-2E-6)+1E-6</f>
        <v/>
      </c>
      <c r="D906" s="30">
        <f>RAND()*(1-2E-6)+1E-6</f>
        <v/>
      </c>
      <c r="E906" s="30">
        <f>RAND()*(1-2E-6)+1E-6</f>
        <v/>
      </c>
      <c r="F906" s="30">
        <f>RAND()*(1-2E-6)+1E-6</f>
        <v/>
      </c>
      <c r="G906" s="30">
        <f>RAND()*(1-2E-6)+1E-6</f>
        <v/>
      </c>
      <c r="H906" s="30">
        <f>RAND()*(1-2E-6)+1E-6</f>
        <v/>
      </c>
      <c r="I906" s="31">
        <f>MIN(IF(Supuestos!$H$5="",1E+99,Supuestos!$H$5),MAX(IF(Supuestos!$G$5="",-1E+99,Supuestos!$G$5),IF(Supuestos!$C$5="Normal",NORMINV(B906,Supuestos!$D$5,Supuestos!$E$5),IF(Supuestos!$C$5="Triangular",IF(B906&lt;(Supuestos!$E$5-Supuestos!$D$5)/(Supuestos!$F$5-Supuestos!$D$5),Supuestos!$D$5+SQRT(B906*(Supuestos!$F$5-Supuestos!$D$5)*(Supuestos!$E$5-Supuestos!$D$5)),Supuestos!$F$5-SQRT((1-B906)*(Supuestos!$F$5-Supuestos!$D$5)*(Supuestos!$F$5-Supuestos!$E$5))),IF(Supuestos!$C$5="Uniforme",Supuestos!$D$5+B906*(Supuestos!$E$5-Supuestos!$D$5),IF(Supuestos!$C$5="Lognormal",LOGINV(B906,LN(Supuestos!$D$5)-LN(1+Supuestos!$E$5^2/Supuestos!$D$5^2)/2,SQRT(LN(1+Supuestos!$E$5^2/Supuestos!$D$5^2))),Supuestos!$D$5))))))</f>
        <v/>
      </c>
      <c r="J906" s="31">
        <f>MIN(IF(Supuestos!$H$6="",1E+99,Supuestos!$H$6),MAX(IF(Supuestos!$G$6="",-1E+99,Supuestos!$G$6),IF(Supuestos!$C$6="Normal",NORMINV(C906,Supuestos!$D$6,Supuestos!$E$6),IF(Supuestos!$C$6="Triangular",IF(C906&lt;(Supuestos!$E$6-Supuestos!$D$6)/(Supuestos!$F$6-Supuestos!$D$6),Supuestos!$D$6+SQRT(C906*(Supuestos!$F$6-Supuestos!$D$6)*(Supuestos!$E$6-Supuestos!$D$6)),Supuestos!$F$6-SQRT((1-C906)*(Supuestos!$F$6-Supuestos!$D$6)*(Supuestos!$F$6-Supuestos!$E$6))),IF(Supuestos!$C$6="Uniforme",Supuestos!$D$6+C906*(Supuestos!$E$6-Supuestos!$D$6),IF(Supuestos!$C$6="Lognormal",LOGINV(C906,LN(Supuestos!$D$6)-LN(1+Supuestos!$E$6^2/Supuestos!$D$6^2)/2,SQRT(LN(1+Supuestos!$E$6^2/Supuestos!$D$6^2))),Supuestos!$D$6))))))</f>
        <v/>
      </c>
      <c r="K906" s="32">
        <f>MIN(IF(Supuestos!$H$7="",1E+99,Supuestos!$H$7),MAX(IF(Supuestos!$G$7="",-1E+99,Supuestos!$G$7),IF(Supuestos!$C$7="Normal",NORMINV(D906,Supuestos!$D$7,Supuestos!$E$7),IF(Supuestos!$C$7="Triangular",IF(D906&lt;(Supuestos!$E$7-Supuestos!$D$7)/(Supuestos!$F$7-Supuestos!$D$7),Supuestos!$D$7+SQRT(D906*(Supuestos!$F$7-Supuestos!$D$7)*(Supuestos!$E$7-Supuestos!$D$7)),Supuestos!$F$7-SQRT((1-D906)*(Supuestos!$F$7-Supuestos!$D$7)*(Supuestos!$F$7-Supuestos!$E$7))),IF(Supuestos!$C$7="Uniforme",Supuestos!$D$7+D906*(Supuestos!$E$7-Supuestos!$D$7),IF(Supuestos!$C$7="Lognormal",LOGINV(D906,LN(Supuestos!$D$7)-LN(1+Supuestos!$E$7^2/Supuestos!$D$7^2)/2,SQRT(LN(1+Supuestos!$E$7^2/Supuestos!$D$7^2))),Supuestos!$D$7))))))</f>
        <v/>
      </c>
      <c r="L906" s="32">
        <f>MIN(IF(Supuestos!$H$8="",1E+99,Supuestos!$H$8),MAX(IF(Supuestos!$G$8="",-1E+99,Supuestos!$G$8),IF(Supuestos!$C$8="Normal",NORMINV(E906,Supuestos!$D$8,Supuestos!$E$8),IF(Supuestos!$C$8="Triangular",IF(E906&lt;(Supuestos!$E$8-Supuestos!$D$8)/(Supuestos!$F$8-Supuestos!$D$8),Supuestos!$D$8+SQRT(E906*(Supuestos!$F$8-Supuestos!$D$8)*(Supuestos!$E$8-Supuestos!$D$8)),Supuestos!$F$8-SQRT((1-E906)*(Supuestos!$F$8-Supuestos!$D$8)*(Supuestos!$F$8-Supuestos!$E$8))),IF(Supuestos!$C$8="Uniforme",Supuestos!$D$8+E906*(Supuestos!$E$8-Supuestos!$D$8),IF(Supuestos!$C$8="Lognormal",LOGINV(E906,LN(Supuestos!$D$8)-LN(1+Supuestos!$E$8^2/Supuestos!$D$8^2)/2,SQRT(LN(1+Supuestos!$E$8^2/Supuestos!$D$8^2))),Supuestos!$D$8))))))</f>
        <v/>
      </c>
      <c r="M906" s="32">
        <f>MIN(IF(Supuestos!$H$9="",1E+99,Supuestos!$H$9),MAX(IF(Supuestos!$G$9="",-1E+99,Supuestos!$G$9),IF(Supuestos!$C$9="Normal",NORMINV(F906,Supuestos!$D$9,Supuestos!$E$9),IF(Supuestos!$C$9="Triangular",IF(F906&lt;(Supuestos!$E$9-Supuestos!$D$9)/(Supuestos!$F$9-Supuestos!$D$9),Supuestos!$D$9+SQRT(F906*(Supuestos!$F$9-Supuestos!$D$9)*(Supuestos!$E$9-Supuestos!$D$9)),Supuestos!$F$9-SQRT((1-F906)*(Supuestos!$F$9-Supuestos!$D$9)*(Supuestos!$F$9-Supuestos!$E$9))),IF(Supuestos!$C$9="Uniforme",Supuestos!$D$9+F906*(Supuestos!$E$9-Supuestos!$D$9),IF(Supuestos!$C$9="Lognormal",LOGINV(F906,LN(Supuestos!$D$9)-LN(1+Supuestos!$E$9^2/Supuestos!$D$9^2)/2,SQRT(LN(1+Supuestos!$E$9^2/Supuestos!$D$9^2))),Supuestos!$D$9))))))</f>
        <v/>
      </c>
      <c r="N906" s="32">
        <f>MIN(IF(Supuestos!$H$10="",1E+99,Supuestos!$H$10),MAX(IF(Supuestos!$G$10="",-1E+99,Supuestos!$G$10),IF(Supuestos!$C$10="Normal",NORMINV(G906,Supuestos!$D$10,Supuestos!$E$10),IF(Supuestos!$C$10="Triangular",IF(G906&lt;(Supuestos!$E$10-Supuestos!$D$10)/(Supuestos!$F$10-Supuestos!$D$10),Supuestos!$D$10+SQRT(G906*(Supuestos!$F$10-Supuestos!$D$10)*(Supuestos!$E$10-Supuestos!$D$10)),Supuestos!$F$10-SQRT((1-G906)*(Supuestos!$F$10-Supuestos!$D$10)*(Supuestos!$F$10-Supuestos!$E$10))),IF(Supuestos!$C$10="Uniforme",Supuestos!$D$10+G906*(Supuestos!$E$10-Supuestos!$D$10),IF(Supuestos!$C$10="Lognormal",LOGINV(G906,LN(Supuestos!$D$10)-LN(1+Supuestos!$E$10^2/Supuestos!$D$10^2)/2,SQRT(LN(1+Supuestos!$E$10^2/Supuestos!$D$10^2))),Supuestos!$D$10))))))</f>
        <v/>
      </c>
      <c r="O906" s="31">
        <f>MIN(IF(Supuestos!$H$11="",1E+99,Supuestos!$H$11),MAX(IF(Supuestos!$G$11="",-1E+99,Supuestos!$G$11),IF(Supuestos!$C$11="Normal",NORMINV(H906,Supuestos!$D$11,Supuestos!$E$11),IF(Supuestos!$C$11="Triangular",IF(H906&lt;(Supuestos!$E$11-Supuestos!$D$11)/(Supuestos!$F$11-Supuestos!$D$11),Supuestos!$D$11+SQRT(H906*(Supuestos!$F$11-Supuestos!$D$11)*(Supuestos!$E$11-Supuestos!$D$11)),Supuestos!$F$11-SQRT((1-H906)*(Supuestos!$F$11-Supuestos!$D$11)*(Supuestos!$F$11-Supuestos!$E$11))),IF(Supuestos!$C$11="Uniforme",Supuestos!$D$11+H906*(Supuestos!$E$11-Supuestos!$D$11),IF(Supuestos!$C$11="Lognormal",LOGINV(H906,LN(Supuestos!$D$11)-LN(1+Supuestos!$E$11^2/Supuestos!$D$11^2)/2,SQRT(LN(1+Supuestos!$E$11^2/Supuestos!$D$11^2))),Supuestos!$D$11))))))</f>
        <v/>
      </c>
      <c r="P906" s="33">
        <f>-I906</f>
        <v/>
      </c>
      <c r="Q906" s="33">
        <f>$J906*(1+$K906)^(1-1)*(1-$L906)*(1-$M906)</f>
        <v/>
      </c>
      <c r="R906" s="33">
        <f>$J906*(1+$K906)^(2-1)*(1-$L906)*(1-$M906)</f>
        <v/>
      </c>
      <c r="S906" s="33">
        <f>$J906*(1+$K906)^(3-1)*(1-$L906)*(1-$M906)</f>
        <v/>
      </c>
      <c r="T906" s="33">
        <f>$J906*(1+$K906)^(4-1)*(1-$L906)*(1-$M906)</f>
        <v/>
      </c>
      <c r="U906" s="33">
        <f>$J906*(1+$K906)^(5-1)*(1-$L906)*(1-$M906)+$O906</f>
        <v/>
      </c>
      <c r="V906" s="33">
        <f>P906+NPV($N906,Q906:U906)</f>
        <v/>
      </c>
      <c r="W906" s="32">
        <f>IFERROR(IRR(P906:U906,0.1),"")</f>
        <v/>
      </c>
    </row>
    <row r="907">
      <c r="A907" s="14" t="n">
        <v>903</v>
      </c>
      <c r="B907" s="30">
        <f>RAND()*(1-2E-6)+1E-6</f>
        <v/>
      </c>
      <c r="C907" s="30">
        <f>RAND()*(1-2E-6)+1E-6</f>
        <v/>
      </c>
      <c r="D907" s="30">
        <f>RAND()*(1-2E-6)+1E-6</f>
        <v/>
      </c>
      <c r="E907" s="30">
        <f>RAND()*(1-2E-6)+1E-6</f>
        <v/>
      </c>
      <c r="F907" s="30">
        <f>RAND()*(1-2E-6)+1E-6</f>
        <v/>
      </c>
      <c r="G907" s="30">
        <f>RAND()*(1-2E-6)+1E-6</f>
        <v/>
      </c>
      <c r="H907" s="30">
        <f>RAND()*(1-2E-6)+1E-6</f>
        <v/>
      </c>
      <c r="I907" s="31">
        <f>MIN(IF(Supuestos!$H$5="",1E+99,Supuestos!$H$5),MAX(IF(Supuestos!$G$5="",-1E+99,Supuestos!$G$5),IF(Supuestos!$C$5="Normal",NORMINV(B907,Supuestos!$D$5,Supuestos!$E$5),IF(Supuestos!$C$5="Triangular",IF(B907&lt;(Supuestos!$E$5-Supuestos!$D$5)/(Supuestos!$F$5-Supuestos!$D$5),Supuestos!$D$5+SQRT(B907*(Supuestos!$F$5-Supuestos!$D$5)*(Supuestos!$E$5-Supuestos!$D$5)),Supuestos!$F$5-SQRT((1-B907)*(Supuestos!$F$5-Supuestos!$D$5)*(Supuestos!$F$5-Supuestos!$E$5))),IF(Supuestos!$C$5="Uniforme",Supuestos!$D$5+B907*(Supuestos!$E$5-Supuestos!$D$5),IF(Supuestos!$C$5="Lognormal",LOGINV(B907,LN(Supuestos!$D$5)-LN(1+Supuestos!$E$5^2/Supuestos!$D$5^2)/2,SQRT(LN(1+Supuestos!$E$5^2/Supuestos!$D$5^2))),Supuestos!$D$5))))))</f>
        <v/>
      </c>
      <c r="J907" s="31">
        <f>MIN(IF(Supuestos!$H$6="",1E+99,Supuestos!$H$6),MAX(IF(Supuestos!$G$6="",-1E+99,Supuestos!$G$6),IF(Supuestos!$C$6="Normal",NORMINV(C907,Supuestos!$D$6,Supuestos!$E$6),IF(Supuestos!$C$6="Triangular",IF(C907&lt;(Supuestos!$E$6-Supuestos!$D$6)/(Supuestos!$F$6-Supuestos!$D$6),Supuestos!$D$6+SQRT(C907*(Supuestos!$F$6-Supuestos!$D$6)*(Supuestos!$E$6-Supuestos!$D$6)),Supuestos!$F$6-SQRT((1-C907)*(Supuestos!$F$6-Supuestos!$D$6)*(Supuestos!$F$6-Supuestos!$E$6))),IF(Supuestos!$C$6="Uniforme",Supuestos!$D$6+C907*(Supuestos!$E$6-Supuestos!$D$6),IF(Supuestos!$C$6="Lognormal",LOGINV(C907,LN(Supuestos!$D$6)-LN(1+Supuestos!$E$6^2/Supuestos!$D$6^2)/2,SQRT(LN(1+Supuestos!$E$6^2/Supuestos!$D$6^2))),Supuestos!$D$6))))))</f>
        <v/>
      </c>
      <c r="K907" s="32">
        <f>MIN(IF(Supuestos!$H$7="",1E+99,Supuestos!$H$7),MAX(IF(Supuestos!$G$7="",-1E+99,Supuestos!$G$7),IF(Supuestos!$C$7="Normal",NORMINV(D907,Supuestos!$D$7,Supuestos!$E$7),IF(Supuestos!$C$7="Triangular",IF(D907&lt;(Supuestos!$E$7-Supuestos!$D$7)/(Supuestos!$F$7-Supuestos!$D$7),Supuestos!$D$7+SQRT(D907*(Supuestos!$F$7-Supuestos!$D$7)*(Supuestos!$E$7-Supuestos!$D$7)),Supuestos!$F$7-SQRT((1-D907)*(Supuestos!$F$7-Supuestos!$D$7)*(Supuestos!$F$7-Supuestos!$E$7))),IF(Supuestos!$C$7="Uniforme",Supuestos!$D$7+D907*(Supuestos!$E$7-Supuestos!$D$7),IF(Supuestos!$C$7="Lognormal",LOGINV(D907,LN(Supuestos!$D$7)-LN(1+Supuestos!$E$7^2/Supuestos!$D$7^2)/2,SQRT(LN(1+Supuestos!$E$7^2/Supuestos!$D$7^2))),Supuestos!$D$7))))))</f>
        <v/>
      </c>
      <c r="L907" s="32">
        <f>MIN(IF(Supuestos!$H$8="",1E+99,Supuestos!$H$8),MAX(IF(Supuestos!$G$8="",-1E+99,Supuestos!$G$8),IF(Supuestos!$C$8="Normal",NORMINV(E907,Supuestos!$D$8,Supuestos!$E$8),IF(Supuestos!$C$8="Triangular",IF(E907&lt;(Supuestos!$E$8-Supuestos!$D$8)/(Supuestos!$F$8-Supuestos!$D$8),Supuestos!$D$8+SQRT(E907*(Supuestos!$F$8-Supuestos!$D$8)*(Supuestos!$E$8-Supuestos!$D$8)),Supuestos!$F$8-SQRT((1-E907)*(Supuestos!$F$8-Supuestos!$D$8)*(Supuestos!$F$8-Supuestos!$E$8))),IF(Supuestos!$C$8="Uniforme",Supuestos!$D$8+E907*(Supuestos!$E$8-Supuestos!$D$8),IF(Supuestos!$C$8="Lognormal",LOGINV(E907,LN(Supuestos!$D$8)-LN(1+Supuestos!$E$8^2/Supuestos!$D$8^2)/2,SQRT(LN(1+Supuestos!$E$8^2/Supuestos!$D$8^2))),Supuestos!$D$8))))))</f>
        <v/>
      </c>
      <c r="M907" s="32">
        <f>MIN(IF(Supuestos!$H$9="",1E+99,Supuestos!$H$9),MAX(IF(Supuestos!$G$9="",-1E+99,Supuestos!$G$9),IF(Supuestos!$C$9="Normal",NORMINV(F907,Supuestos!$D$9,Supuestos!$E$9),IF(Supuestos!$C$9="Triangular",IF(F907&lt;(Supuestos!$E$9-Supuestos!$D$9)/(Supuestos!$F$9-Supuestos!$D$9),Supuestos!$D$9+SQRT(F907*(Supuestos!$F$9-Supuestos!$D$9)*(Supuestos!$E$9-Supuestos!$D$9)),Supuestos!$F$9-SQRT((1-F907)*(Supuestos!$F$9-Supuestos!$D$9)*(Supuestos!$F$9-Supuestos!$E$9))),IF(Supuestos!$C$9="Uniforme",Supuestos!$D$9+F907*(Supuestos!$E$9-Supuestos!$D$9),IF(Supuestos!$C$9="Lognormal",LOGINV(F907,LN(Supuestos!$D$9)-LN(1+Supuestos!$E$9^2/Supuestos!$D$9^2)/2,SQRT(LN(1+Supuestos!$E$9^2/Supuestos!$D$9^2))),Supuestos!$D$9))))))</f>
        <v/>
      </c>
      <c r="N907" s="32">
        <f>MIN(IF(Supuestos!$H$10="",1E+99,Supuestos!$H$10),MAX(IF(Supuestos!$G$10="",-1E+99,Supuestos!$G$10),IF(Supuestos!$C$10="Normal",NORMINV(G907,Supuestos!$D$10,Supuestos!$E$10),IF(Supuestos!$C$10="Triangular",IF(G907&lt;(Supuestos!$E$10-Supuestos!$D$10)/(Supuestos!$F$10-Supuestos!$D$10),Supuestos!$D$10+SQRT(G907*(Supuestos!$F$10-Supuestos!$D$10)*(Supuestos!$E$10-Supuestos!$D$10)),Supuestos!$F$10-SQRT((1-G907)*(Supuestos!$F$10-Supuestos!$D$10)*(Supuestos!$F$10-Supuestos!$E$10))),IF(Supuestos!$C$10="Uniforme",Supuestos!$D$10+G907*(Supuestos!$E$10-Supuestos!$D$10),IF(Supuestos!$C$10="Lognormal",LOGINV(G907,LN(Supuestos!$D$10)-LN(1+Supuestos!$E$10^2/Supuestos!$D$10^2)/2,SQRT(LN(1+Supuestos!$E$10^2/Supuestos!$D$10^2))),Supuestos!$D$10))))))</f>
        <v/>
      </c>
      <c r="O907" s="31">
        <f>MIN(IF(Supuestos!$H$11="",1E+99,Supuestos!$H$11),MAX(IF(Supuestos!$G$11="",-1E+99,Supuestos!$G$11),IF(Supuestos!$C$11="Normal",NORMINV(H907,Supuestos!$D$11,Supuestos!$E$11),IF(Supuestos!$C$11="Triangular",IF(H907&lt;(Supuestos!$E$11-Supuestos!$D$11)/(Supuestos!$F$11-Supuestos!$D$11),Supuestos!$D$11+SQRT(H907*(Supuestos!$F$11-Supuestos!$D$11)*(Supuestos!$E$11-Supuestos!$D$11)),Supuestos!$F$11-SQRT((1-H907)*(Supuestos!$F$11-Supuestos!$D$11)*(Supuestos!$F$11-Supuestos!$E$11))),IF(Supuestos!$C$11="Uniforme",Supuestos!$D$11+H907*(Supuestos!$E$11-Supuestos!$D$11),IF(Supuestos!$C$11="Lognormal",LOGINV(H907,LN(Supuestos!$D$11)-LN(1+Supuestos!$E$11^2/Supuestos!$D$11^2)/2,SQRT(LN(1+Supuestos!$E$11^2/Supuestos!$D$11^2))),Supuestos!$D$11))))))</f>
        <v/>
      </c>
      <c r="P907" s="33">
        <f>-I907</f>
        <v/>
      </c>
      <c r="Q907" s="33">
        <f>$J907*(1+$K907)^(1-1)*(1-$L907)*(1-$M907)</f>
        <v/>
      </c>
      <c r="R907" s="33">
        <f>$J907*(1+$K907)^(2-1)*(1-$L907)*(1-$M907)</f>
        <v/>
      </c>
      <c r="S907" s="33">
        <f>$J907*(1+$K907)^(3-1)*(1-$L907)*(1-$M907)</f>
        <v/>
      </c>
      <c r="T907" s="33">
        <f>$J907*(1+$K907)^(4-1)*(1-$L907)*(1-$M907)</f>
        <v/>
      </c>
      <c r="U907" s="33">
        <f>$J907*(1+$K907)^(5-1)*(1-$L907)*(1-$M907)+$O907</f>
        <v/>
      </c>
      <c r="V907" s="33">
        <f>P907+NPV($N907,Q907:U907)</f>
        <v/>
      </c>
      <c r="W907" s="32">
        <f>IFERROR(IRR(P907:U907,0.1),"")</f>
        <v/>
      </c>
    </row>
    <row r="908">
      <c r="A908" s="14" t="n">
        <v>904</v>
      </c>
      <c r="B908" s="30">
        <f>RAND()*(1-2E-6)+1E-6</f>
        <v/>
      </c>
      <c r="C908" s="30">
        <f>RAND()*(1-2E-6)+1E-6</f>
        <v/>
      </c>
      <c r="D908" s="30">
        <f>RAND()*(1-2E-6)+1E-6</f>
        <v/>
      </c>
      <c r="E908" s="30">
        <f>RAND()*(1-2E-6)+1E-6</f>
        <v/>
      </c>
      <c r="F908" s="30">
        <f>RAND()*(1-2E-6)+1E-6</f>
        <v/>
      </c>
      <c r="G908" s="30">
        <f>RAND()*(1-2E-6)+1E-6</f>
        <v/>
      </c>
      <c r="H908" s="30">
        <f>RAND()*(1-2E-6)+1E-6</f>
        <v/>
      </c>
      <c r="I908" s="31">
        <f>MIN(IF(Supuestos!$H$5="",1E+99,Supuestos!$H$5),MAX(IF(Supuestos!$G$5="",-1E+99,Supuestos!$G$5),IF(Supuestos!$C$5="Normal",NORMINV(B908,Supuestos!$D$5,Supuestos!$E$5),IF(Supuestos!$C$5="Triangular",IF(B908&lt;(Supuestos!$E$5-Supuestos!$D$5)/(Supuestos!$F$5-Supuestos!$D$5),Supuestos!$D$5+SQRT(B908*(Supuestos!$F$5-Supuestos!$D$5)*(Supuestos!$E$5-Supuestos!$D$5)),Supuestos!$F$5-SQRT((1-B908)*(Supuestos!$F$5-Supuestos!$D$5)*(Supuestos!$F$5-Supuestos!$E$5))),IF(Supuestos!$C$5="Uniforme",Supuestos!$D$5+B908*(Supuestos!$E$5-Supuestos!$D$5),IF(Supuestos!$C$5="Lognormal",LOGINV(B908,LN(Supuestos!$D$5)-LN(1+Supuestos!$E$5^2/Supuestos!$D$5^2)/2,SQRT(LN(1+Supuestos!$E$5^2/Supuestos!$D$5^2))),Supuestos!$D$5))))))</f>
        <v/>
      </c>
      <c r="J908" s="31">
        <f>MIN(IF(Supuestos!$H$6="",1E+99,Supuestos!$H$6),MAX(IF(Supuestos!$G$6="",-1E+99,Supuestos!$G$6),IF(Supuestos!$C$6="Normal",NORMINV(C908,Supuestos!$D$6,Supuestos!$E$6),IF(Supuestos!$C$6="Triangular",IF(C908&lt;(Supuestos!$E$6-Supuestos!$D$6)/(Supuestos!$F$6-Supuestos!$D$6),Supuestos!$D$6+SQRT(C908*(Supuestos!$F$6-Supuestos!$D$6)*(Supuestos!$E$6-Supuestos!$D$6)),Supuestos!$F$6-SQRT((1-C908)*(Supuestos!$F$6-Supuestos!$D$6)*(Supuestos!$F$6-Supuestos!$E$6))),IF(Supuestos!$C$6="Uniforme",Supuestos!$D$6+C908*(Supuestos!$E$6-Supuestos!$D$6),IF(Supuestos!$C$6="Lognormal",LOGINV(C908,LN(Supuestos!$D$6)-LN(1+Supuestos!$E$6^2/Supuestos!$D$6^2)/2,SQRT(LN(1+Supuestos!$E$6^2/Supuestos!$D$6^2))),Supuestos!$D$6))))))</f>
        <v/>
      </c>
      <c r="K908" s="32">
        <f>MIN(IF(Supuestos!$H$7="",1E+99,Supuestos!$H$7),MAX(IF(Supuestos!$G$7="",-1E+99,Supuestos!$G$7),IF(Supuestos!$C$7="Normal",NORMINV(D908,Supuestos!$D$7,Supuestos!$E$7),IF(Supuestos!$C$7="Triangular",IF(D908&lt;(Supuestos!$E$7-Supuestos!$D$7)/(Supuestos!$F$7-Supuestos!$D$7),Supuestos!$D$7+SQRT(D908*(Supuestos!$F$7-Supuestos!$D$7)*(Supuestos!$E$7-Supuestos!$D$7)),Supuestos!$F$7-SQRT((1-D908)*(Supuestos!$F$7-Supuestos!$D$7)*(Supuestos!$F$7-Supuestos!$E$7))),IF(Supuestos!$C$7="Uniforme",Supuestos!$D$7+D908*(Supuestos!$E$7-Supuestos!$D$7),IF(Supuestos!$C$7="Lognormal",LOGINV(D908,LN(Supuestos!$D$7)-LN(1+Supuestos!$E$7^2/Supuestos!$D$7^2)/2,SQRT(LN(1+Supuestos!$E$7^2/Supuestos!$D$7^2))),Supuestos!$D$7))))))</f>
        <v/>
      </c>
      <c r="L908" s="32">
        <f>MIN(IF(Supuestos!$H$8="",1E+99,Supuestos!$H$8),MAX(IF(Supuestos!$G$8="",-1E+99,Supuestos!$G$8),IF(Supuestos!$C$8="Normal",NORMINV(E908,Supuestos!$D$8,Supuestos!$E$8),IF(Supuestos!$C$8="Triangular",IF(E908&lt;(Supuestos!$E$8-Supuestos!$D$8)/(Supuestos!$F$8-Supuestos!$D$8),Supuestos!$D$8+SQRT(E908*(Supuestos!$F$8-Supuestos!$D$8)*(Supuestos!$E$8-Supuestos!$D$8)),Supuestos!$F$8-SQRT((1-E908)*(Supuestos!$F$8-Supuestos!$D$8)*(Supuestos!$F$8-Supuestos!$E$8))),IF(Supuestos!$C$8="Uniforme",Supuestos!$D$8+E908*(Supuestos!$E$8-Supuestos!$D$8),IF(Supuestos!$C$8="Lognormal",LOGINV(E908,LN(Supuestos!$D$8)-LN(1+Supuestos!$E$8^2/Supuestos!$D$8^2)/2,SQRT(LN(1+Supuestos!$E$8^2/Supuestos!$D$8^2))),Supuestos!$D$8))))))</f>
        <v/>
      </c>
      <c r="M908" s="32">
        <f>MIN(IF(Supuestos!$H$9="",1E+99,Supuestos!$H$9),MAX(IF(Supuestos!$G$9="",-1E+99,Supuestos!$G$9),IF(Supuestos!$C$9="Normal",NORMINV(F908,Supuestos!$D$9,Supuestos!$E$9),IF(Supuestos!$C$9="Triangular",IF(F908&lt;(Supuestos!$E$9-Supuestos!$D$9)/(Supuestos!$F$9-Supuestos!$D$9),Supuestos!$D$9+SQRT(F908*(Supuestos!$F$9-Supuestos!$D$9)*(Supuestos!$E$9-Supuestos!$D$9)),Supuestos!$F$9-SQRT((1-F908)*(Supuestos!$F$9-Supuestos!$D$9)*(Supuestos!$F$9-Supuestos!$E$9))),IF(Supuestos!$C$9="Uniforme",Supuestos!$D$9+F908*(Supuestos!$E$9-Supuestos!$D$9),IF(Supuestos!$C$9="Lognormal",LOGINV(F908,LN(Supuestos!$D$9)-LN(1+Supuestos!$E$9^2/Supuestos!$D$9^2)/2,SQRT(LN(1+Supuestos!$E$9^2/Supuestos!$D$9^2))),Supuestos!$D$9))))))</f>
        <v/>
      </c>
      <c r="N908" s="32">
        <f>MIN(IF(Supuestos!$H$10="",1E+99,Supuestos!$H$10),MAX(IF(Supuestos!$G$10="",-1E+99,Supuestos!$G$10),IF(Supuestos!$C$10="Normal",NORMINV(G908,Supuestos!$D$10,Supuestos!$E$10),IF(Supuestos!$C$10="Triangular",IF(G908&lt;(Supuestos!$E$10-Supuestos!$D$10)/(Supuestos!$F$10-Supuestos!$D$10),Supuestos!$D$10+SQRT(G908*(Supuestos!$F$10-Supuestos!$D$10)*(Supuestos!$E$10-Supuestos!$D$10)),Supuestos!$F$10-SQRT((1-G908)*(Supuestos!$F$10-Supuestos!$D$10)*(Supuestos!$F$10-Supuestos!$E$10))),IF(Supuestos!$C$10="Uniforme",Supuestos!$D$10+G908*(Supuestos!$E$10-Supuestos!$D$10),IF(Supuestos!$C$10="Lognormal",LOGINV(G908,LN(Supuestos!$D$10)-LN(1+Supuestos!$E$10^2/Supuestos!$D$10^2)/2,SQRT(LN(1+Supuestos!$E$10^2/Supuestos!$D$10^2))),Supuestos!$D$10))))))</f>
        <v/>
      </c>
      <c r="O908" s="31">
        <f>MIN(IF(Supuestos!$H$11="",1E+99,Supuestos!$H$11),MAX(IF(Supuestos!$G$11="",-1E+99,Supuestos!$G$11),IF(Supuestos!$C$11="Normal",NORMINV(H908,Supuestos!$D$11,Supuestos!$E$11),IF(Supuestos!$C$11="Triangular",IF(H908&lt;(Supuestos!$E$11-Supuestos!$D$11)/(Supuestos!$F$11-Supuestos!$D$11),Supuestos!$D$11+SQRT(H908*(Supuestos!$F$11-Supuestos!$D$11)*(Supuestos!$E$11-Supuestos!$D$11)),Supuestos!$F$11-SQRT((1-H908)*(Supuestos!$F$11-Supuestos!$D$11)*(Supuestos!$F$11-Supuestos!$E$11))),IF(Supuestos!$C$11="Uniforme",Supuestos!$D$11+H908*(Supuestos!$E$11-Supuestos!$D$11),IF(Supuestos!$C$11="Lognormal",LOGINV(H908,LN(Supuestos!$D$11)-LN(1+Supuestos!$E$11^2/Supuestos!$D$11^2)/2,SQRT(LN(1+Supuestos!$E$11^2/Supuestos!$D$11^2))),Supuestos!$D$11))))))</f>
        <v/>
      </c>
      <c r="P908" s="33">
        <f>-I908</f>
        <v/>
      </c>
      <c r="Q908" s="33">
        <f>$J908*(1+$K908)^(1-1)*(1-$L908)*(1-$M908)</f>
        <v/>
      </c>
      <c r="R908" s="33">
        <f>$J908*(1+$K908)^(2-1)*(1-$L908)*(1-$M908)</f>
        <v/>
      </c>
      <c r="S908" s="33">
        <f>$J908*(1+$K908)^(3-1)*(1-$L908)*(1-$M908)</f>
        <v/>
      </c>
      <c r="T908" s="33">
        <f>$J908*(1+$K908)^(4-1)*(1-$L908)*(1-$M908)</f>
        <v/>
      </c>
      <c r="U908" s="33">
        <f>$J908*(1+$K908)^(5-1)*(1-$L908)*(1-$M908)+$O908</f>
        <v/>
      </c>
      <c r="V908" s="33">
        <f>P908+NPV($N908,Q908:U908)</f>
        <v/>
      </c>
      <c r="W908" s="32">
        <f>IFERROR(IRR(P908:U908,0.1),"")</f>
        <v/>
      </c>
    </row>
    <row r="909">
      <c r="A909" s="14" t="n">
        <v>905</v>
      </c>
      <c r="B909" s="30">
        <f>RAND()*(1-2E-6)+1E-6</f>
        <v/>
      </c>
      <c r="C909" s="30">
        <f>RAND()*(1-2E-6)+1E-6</f>
        <v/>
      </c>
      <c r="D909" s="30">
        <f>RAND()*(1-2E-6)+1E-6</f>
        <v/>
      </c>
      <c r="E909" s="30">
        <f>RAND()*(1-2E-6)+1E-6</f>
        <v/>
      </c>
      <c r="F909" s="30">
        <f>RAND()*(1-2E-6)+1E-6</f>
        <v/>
      </c>
      <c r="G909" s="30">
        <f>RAND()*(1-2E-6)+1E-6</f>
        <v/>
      </c>
      <c r="H909" s="30">
        <f>RAND()*(1-2E-6)+1E-6</f>
        <v/>
      </c>
      <c r="I909" s="31">
        <f>MIN(IF(Supuestos!$H$5="",1E+99,Supuestos!$H$5),MAX(IF(Supuestos!$G$5="",-1E+99,Supuestos!$G$5),IF(Supuestos!$C$5="Normal",NORMINV(B909,Supuestos!$D$5,Supuestos!$E$5),IF(Supuestos!$C$5="Triangular",IF(B909&lt;(Supuestos!$E$5-Supuestos!$D$5)/(Supuestos!$F$5-Supuestos!$D$5),Supuestos!$D$5+SQRT(B909*(Supuestos!$F$5-Supuestos!$D$5)*(Supuestos!$E$5-Supuestos!$D$5)),Supuestos!$F$5-SQRT((1-B909)*(Supuestos!$F$5-Supuestos!$D$5)*(Supuestos!$F$5-Supuestos!$E$5))),IF(Supuestos!$C$5="Uniforme",Supuestos!$D$5+B909*(Supuestos!$E$5-Supuestos!$D$5),IF(Supuestos!$C$5="Lognormal",LOGINV(B909,LN(Supuestos!$D$5)-LN(1+Supuestos!$E$5^2/Supuestos!$D$5^2)/2,SQRT(LN(1+Supuestos!$E$5^2/Supuestos!$D$5^2))),Supuestos!$D$5))))))</f>
        <v/>
      </c>
      <c r="J909" s="31">
        <f>MIN(IF(Supuestos!$H$6="",1E+99,Supuestos!$H$6),MAX(IF(Supuestos!$G$6="",-1E+99,Supuestos!$G$6),IF(Supuestos!$C$6="Normal",NORMINV(C909,Supuestos!$D$6,Supuestos!$E$6),IF(Supuestos!$C$6="Triangular",IF(C909&lt;(Supuestos!$E$6-Supuestos!$D$6)/(Supuestos!$F$6-Supuestos!$D$6),Supuestos!$D$6+SQRT(C909*(Supuestos!$F$6-Supuestos!$D$6)*(Supuestos!$E$6-Supuestos!$D$6)),Supuestos!$F$6-SQRT((1-C909)*(Supuestos!$F$6-Supuestos!$D$6)*(Supuestos!$F$6-Supuestos!$E$6))),IF(Supuestos!$C$6="Uniforme",Supuestos!$D$6+C909*(Supuestos!$E$6-Supuestos!$D$6),IF(Supuestos!$C$6="Lognormal",LOGINV(C909,LN(Supuestos!$D$6)-LN(1+Supuestos!$E$6^2/Supuestos!$D$6^2)/2,SQRT(LN(1+Supuestos!$E$6^2/Supuestos!$D$6^2))),Supuestos!$D$6))))))</f>
        <v/>
      </c>
      <c r="K909" s="32">
        <f>MIN(IF(Supuestos!$H$7="",1E+99,Supuestos!$H$7),MAX(IF(Supuestos!$G$7="",-1E+99,Supuestos!$G$7),IF(Supuestos!$C$7="Normal",NORMINV(D909,Supuestos!$D$7,Supuestos!$E$7),IF(Supuestos!$C$7="Triangular",IF(D909&lt;(Supuestos!$E$7-Supuestos!$D$7)/(Supuestos!$F$7-Supuestos!$D$7),Supuestos!$D$7+SQRT(D909*(Supuestos!$F$7-Supuestos!$D$7)*(Supuestos!$E$7-Supuestos!$D$7)),Supuestos!$F$7-SQRT((1-D909)*(Supuestos!$F$7-Supuestos!$D$7)*(Supuestos!$F$7-Supuestos!$E$7))),IF(Supuestos!$C$7="Uniforme",Supuestos!$D$7+D909*(Supuestos!$E$7-Supuestos!$D$7),IF(Supuestos!$C$7="Lognormal",LOGINV(D909,LN(Supuestos!$D$7)-LN(1+Supuestos!$E$7^2/Supuestos!$D$7^2)/2,SQRT(LN(1+Supuestos!$E$7^2/Supuestos!$D$7^2))),Supuestos!$D$7))))))</f>
        <v/>
      </c>
      <c r="L909" s="32">
        <f>MIN(IF(Supuestos!$H$8="",1E+99,Supuestos!$H$8),MAX(IF(Supuestos!$G$8="",-1E+99,Supuestos!$G$8),IF(Supuestos!$C$8="Normal",NORMINV(E909,Supuestos!$D$8,Supuestos!$E$8),IF(Supuestos!$C$8="Triangular",IF(E909&lt;(Supuestos!$E$8-Supuestos!$D$8)/(Supuestos!$F$8-Supuestos!$D$8),Supuestos!$D$8+SQRT(E909*(Supuestos!$F$8-Supuestos!$D$8)*(Supuestos!$E$8-Supuestos!$D$8)),Supuestos!$F$8-SQRT((1-E909)*(Supuestos!$F$8-Supuestos!$D$8)*(Supuestos!$F$8-Supuestos!$E$8))),IF(Supuestos!$C$8="Uniforme",Supuestos!$D$8+E909*(Supuestos!$E$8-Supuestos!$D$8),IF(Supuestos!$C$8="Lognormal",LOGINV(E909,LN(Supuestos!$D$8)-LN(1+Supuestos!$E$8^2/Supuestos!$D$8^2)/2,SQRT(LN(1+Supuestos!$E$8^2/Supuestos!$D$8^2))),Supuestos!$D$8))))))</f>
        <v/>
      </c>
      <c r="M909" s="32">
        <f>MIN(IF(Supuestos!$H$9="",1E+99,Supuestos!$H$9),MAX(IF(Supuestos!$G$9="",-1E+99,Supuestos!$G$9),IF(Supuestos!$C$9="Normal",NORMINV(F909,Supuestos!$D$9,Supuestos!$E$9),IF(Supuestos!$C$9="Triangular",IF(F909&lt;(Supuestos!$E$9-Supuestos!$D$9)/(Supuestos!$F$9-Supuestos!$D$9),Supuestos!$D$9+SQRT(F909*(Supuestos!$F$9-Supuestos!$D$9)*(Supuestos!$E$9-Supuestos!$D$9)),Supuestos!$F$9-SQRT((1-F909)*(Supuestos!$F$9-Supuestos!$D$9)*(Supuestos!$F$9-Supuestos!$E$9))),IF(Supuestos!$C$9="Uniforme",Supuestos!$D$9+F909*(Supuestos!$E$9-Supuestos!$D$9),IF(Supuestos!$C$9="Lognormal",LOGINV(F909,LN(Supuestos!$D$9)-LN(1+Supuestos!$E$9^2/Supuestos!$D$9^2)/2,SQRT(LN(1+Supuestos!$E$9^2/Supuestos!$D$9^2))),Supuestos!$D$9))))))</f>
        <v/>
      </c>
      <c r="N909" s="32">
        <f>MIN(IF(Supuestos!$H$10="",1E+99,Supuestos!$H$10),MAX(IF(Supuestos!$G$10="",-1E+99,Supuestos!$G$10),IF(Supuestos!$C$10="Normal",NORMINV(G909,Supuestos!$D$10,Supuestos!$E$10),IF(Supuestos!$C$10="Triangular",IF(G909&lt;(Supuestos!$E$10-Supuestos!$D$10)/(Supuestos!$F$10-Supuestos!$D$10),Supuestos!$D$10+SQRT(G909*(Supuestos!$F$10-Supuestos!$D$10)*(Supuestos!$E$10-Supuestos!$D$10)),Supuestos!$F$10-SQRT((1-G909)*(Supuestos!$F$10-Supuestos!$D$10)*(Supuestos!$F$10-Supuestos!$E$10))),IF(Supuestos!$C$10="Uniforme",Supuestos!$D$10+G909*(Supuestos!$E$10-Supuestos!$D$10),IF(Supuestos!$C$10="Lognormal",LOGINV(G909,LN(Supuestos!$D$10)-LN(1+Supuestos!$E$10^2/Supuestos!$D$10^2)/2,SQRT(LN(1+Supuestos!$E$10^2/Supuestos!$D$10^2))),Supuestos!$D$10))))))</f>
        <v/>
      </c>
      <c r="O909" s="31">
        <f>MIN(IF(Supuestos!$H$11="",1E+99,Supuestos!$H$11),MAX(IF(Supuestos!$G$11="",-1E+99,Supuestos!$G$11),IF(Supuestos!$C$11="Normal",NORMINV(H909,Supuestos!$D$11,Supuestos!$E$11),IF(Supuestos!$C$11="Triangular",IF(H909&lt;(Supuestos!$E$11-Supuestos!$D$11)/(Supuestos!$F$11-Supuestos!$D$11),Supuestos!$D$11+SQRT(H909*(Supuestos!$F$11-Supuestos!$D$11)*(Supuestos!$E$11-Supuestos!$D$11)),Supuestos!$F$11-SQRT((1-H909)*(Supuestos!$F$11-Supuestos!$D$11)*(Supuestos!$F$11-Supuestos!$E$11))),IF(Supuestos!$C$11="Uniforme",Supuestos!$D$11+H909*(Supuestos!$E$11-Supuestos!$D$11),IF(Supuestos!$C$11="Lognormal",LOGINV(H909,LN(Supuestos!$D$11)-LN(1+Supuestos!$E$11^2/Supuestos!$D$11^2)/2,SQRT(LN(1+Supuestos!$E$11^2/Supuestos!$D$11^2))),Supuestos!$D$11))))))</f>
        <v/>
      </c>
      <c r="P909" s="33">
        <f>-I909</f>
        <v/>
      </c>
      <c r="Q909" s="33">
        <f>$J909*(1+$K909)^(1-1)*(1-$L909)*(1-$M909)</f>
        <v/>
      </c>
      <c r="R909" s="33">
        <f>$J909*(1+$K909)^(2-1)*(1-$L909)*(1-$M909)</f>
        <v/>
      </c>
      <c r="S909" s="33">
        <f>$J909*(1+$K909)^(3-1)*(1-$L909)*(1-$M909)</f>
        <v/>
      </c>
      <c r="T909" s="33">
        <f>$J909*(1+$K909)^(4-1)*(1-$L909)*(1-$M909)</f>
        <v/>
      </c>
      <c r="U909" s="33">
        <f>$J909*(1+$K909)^(5-1)*(1-$L909)*(1-$M909)+$O909</f>
        <v/>
      </c>
      <c r="V909" s="33">
        <f>P909+NPV($N909,Q909:U909)</f>
        <v/>
      </c>
      <c r="W909" s="32">
        <f>IFERROR(IRR(P909:U909,0.1),"")</f>
        <v/>
      </c>
    </row>
    <row r="910">
      <c r="A910" s="14" t="n">
        <v>906</v>
      </c>
      <c r="B910" s="30">
        <f>RAND()*(1-2E-6)+1E-6</f>
        <v/>
      </c>
      <c r="C910" s="30">
        <f>RAND()*(1-2E-6)+1E-6</f>
        <v/>
      </c>
      <c r="D910" s="30">
        <f>RAND()*(1-2E-6)+1E-6</f>
        <v/>
      </c>
      <c r="E910" s="30">
        <f>RAND()*(1-2E-6)+1E-6</f>
        <v/>
      </c>
      <c r="F910" s="30">
        <f>RAND()*(1-2E-6)+1E-6</f>
        <v/>
      </c>
      <c r="G910" s="30">
        <f>RAND()*(1-2E-6)+1E-6</f>
        <v/>
      </c>
      <c r="H910" s="30">
        <f>RAND()*(1-2E-6)+1E-6</f>
        <v/>
      </c>
      <c r="I910" s="31">
        <f>MIN(IF(Supuestos!$H$5="",1E+99,Supuestos!$H$5),MAX(IF(Supuestos!$G$5="",-1E+99,Supuestos!$G$5),IF(Supuestos!$C$5="Normal",NORMINV(B910,Supuestos!$D$5,Supuestos!$E$5),IF(Supuestos!$C$5="Triangular",IF(B910&lt;(Supuestos!$E$5-Supuestos!$D$5)/(Supuestos!$F$5-Supuestos!$D$5),Supuestos!$D$5+SQRT(B910*(Supuestos!$F$5-Supuestos!$D$5)*(Supuestos!$E$5-Supuestos!$D$5)),Supuestos!$F$5-SQRT((1-B910)*(Supuestos!$F$5-Supuestos!$D$5)*(Supuestos!$F$5-Supuestos!$E$5))),IF(Supuestos!$C$5="Uniforme",Supuestos!$D$5+B910*(Supuestos!$E$5-Supuestos!$D$5),IF(Supuestos!$C$5="Lognormal",LOGINV(B910,LN(Supuestos!$D$5)-LN(1+Supuestos!$E$5^2/Supuestos!$D$5^2)/2,SQRT(LN(1+Supuestos!$E$5^2/Supuestos!$D$5^2))),Supuestos!$D$5))))))</f>
        <v/>
      </c>
      <c r="J910" s="31">
        <f>MIN(IF(Supuestos!$H$6="",1E+99,Supuestos!$H$6),MAX(IF(Supuestos!$G$6="",-1E+99,Supuestos!$G$6),IF(Supuestos!$C$6="Normal",NORMINV(C910,Supuestos!$D$6,Supuestos!$E$6),IF(Supuestos!$C$6="Triangular",IF(C910&lt;(Supuestos!$E$6-Supuestos!$D$6)/(Supuestos!$F$6-Supuestos!$D$6),Supuestos!$D$6+SQRT(C910*(Supuestos!$F$6-Supuestos!$D$6)*(Supuestos!$E$6-Supuestos!$D$6)),Supuestos!$F$6-SQRT((1-C910)*(Supuestos!$F$6-Supuestos!$D$6)*(Supuestos!$F$6-Supuestos!$E$6))),IF(Supuestos!$C$6="Uniforme",Supuestos!$D$6+C910*(Supuestos!$E$6-Supuestos!$D$6),IF(Supuestos!$C$6="Lognormal",LOGINV(C910,LN(Supuestos!$D$6)-LN(1+Supuestos!$E$6^2/Supuestos!$D$6^2)/2,SQRT(LN(1+Supuestos!$E$6^2/Supuestos!$D$6^2))),Supuestos!$D$6))))))</f>
        <v/>
      </c>
      <c r="K910" s="32">
        <f>MIN(IF(Supuestos!$H$7="",1E+99,Supuestos!$H$7),MAX(IF(Supuestos!$G$7="",-1E+99,Supuestos!$G$7),IF(Supuestos!$C$7="Normal",NORMINV(D910,Supuestos!$D$7,Supuestos!$E$7),IF(Supuestos!$C$7="Triangular",IF(D910&lt;(Supuestos!$E$7-Supuestos!$D$7)/(Supuestos!$F$7-Supuestos!$D$7),Supuestos!$D$7+SQRT(D910*(Supuestos!$F$7-Supuestos!$D$7)*(Supuestos!$E$7-Supuestos!$D$7)),Supuestos!$F$7-SQRT((1-D910)*(Supuestos!$F$7-Supuestos!$D$7)*(Supuestos!$F$7-Supuestos!$E$7))),IF(Supuestos!$C$7="Uniforme",Supuestos!$D$7+D910*(Supuestos!$E$7-Supuestos!$D$7),IF(Supuestos!$C$7="Lognormal",LOGINV(D910,LN(Supuestos!$D$7)-LN(1+Supuestos!$E$7^2/Supuestos!$D$7^2)/2,SQRT(LN(1+Supuestos!$E$7^2/Supuestos!$D$7^2))),Supuestos!$D$7))))))</f>
        <v/>
      </c>
      <c r="L910" s="32">
        <f>MIN(IF(Supuestos!$H$8="",1E+99,Supuestos!$H$8),MAX(IF(Supuestos!$G$8="",-1E+99,Supuestos!$G$8),IF(Supuestos!$C$8="Normal",NORMINV(E910,Supuestos!$D$8,Supuestos!$E$8),IF(Supuestos!$C$8="Triangular",IF(E910&lt;(Supuestos!$E$8-Supuestos!$D$8)/(Supuestos!$F$8-Supuestos!$D$8),Supuestos!$D$8+SQRT(E910*(Supuestos!$F$8-Supuestos!$D$8)*(Supuestos!$E$8-Supuestos!$D$8)),Supuestos!$F$8-SQRT((1-E910)*(Supuestos!$F$8-Supuestos!$D$8)*(Supuestos!$F$8-Supuestos!$E$8))),IF(Supuestos!$C$8="Uniforme",Supuestos!$D$8+E910*(Supuestos!$E$8-Supuestos!$D$8),IF(Supuestos!$C$8="Lognormal",LOGINV(E910,LN(Supuestos!$D$8)-LN(1+Supuestos!$E$8^2/Supuestos!$D$8^2)/2,SQRT(LN(1+Supuestos!$E$8^2/Supuestos!$D$8^2))),Supuestos!$D$8))))))</f>
        <v/>
      </c>
      <c r="M910" s="32">
        <f>MIN(IF(Supuestos!$H$9="",1E+99,Supuestos!$H$9),MAX(IF(Supuestos!$G$9="",-1E+99,Supuestos!$G$9),IF(Supuestos!$C$9="Normal",NORMINV(F910,Supuestos!$D$9,Supuestos!$E$9),IF(Supuestos!$C$9="Triangular",IF(F910&lt;(Supuestos!$E$9-Supuestos!$D$9)/(Supuestos!$F$9-Supuestos!$D$9),Supuestos!$D$9+SQRT(F910*(Supuestos!$F$9-Supuestos!$D$9)*(Supuestos!$E$9-Supuestos!$D$9)),Supuestos!$F$9-SQRT((1-F910)*(Supuestos!$F$9-Supuestos!$D$9)*(Supuestos!$F$9-Supuestos!$E$9))),IF(Supuestos!$C$9="Uniforme",Supuestos!$D$9+F910*(Supuestos!$E$9-Supuestos!$D$9),IF(Supuestos!$C$9="Lognormal",LOGINV(F910,LN(Supuestos!$D$9)-LN(1+Supuestos!$E$9^2/Supuestos!$D$9^2)/2,SQRT(LN(1+Supuestos!$E$9^2/Supuestos!$D$9^2))),Supuestos!$D$9))))))</f>
        <v/>
      </c>
      <c r="N910" s="32">
        <f>MIN(IF(Supuestos!$H$10="",1E+99,Supuestos!$H$10),MAX(IF(Supuestos!$G$10="",-1E+99,Supuestos!$G$10),IF(Supuestos!$C$10="Normal",NORMINV(G910,Supuestos!$D$10,Supuestos!$E$10),IF(Supuestos!$C$10="Triangular",IF(G910&lt;(Supuestos!$E$10-Supuestos!$D$10)/(Supuestos!$F$10-Supuestos!$D$10),Supuestos!$D$10+SQRT(G910*(Supuestos!$F$10-Supuestos!$D$10)*(Supuestos!$E$10-Supuestos!$D$10)),Supuestos!$F$10-SQRT((1-G910)*(Supuestos!$F$10-Supuestos!$D$10)*(Supuestos!$F$10-Supuestos!$E$10))),IF(Supuestos!$C$10="Uniforme",Supuestos!$D$10+G910*(Supuestos!$E$10-Supuestos!$D$10),IF(Supuestos!$C$10="Lognormal",LOGINV(G910,LN(Supuestos!$D$10)-LN(1+Supuestos!$E$10^2/Supuestos!$D$10^2)/2,SQRT(LN(1+Supuestos!$E$10^2/Supuestos!$D$10^2))),Supuestos!$D$10))))))</f>
        <v/>
      </c>
      <c r="O910" s="31">
        <f>MIN(IF(Supuestos!$H$11="",1E+99,Supuestos!$H$11),MAX(IF(Supuestos!$G$11="",-1E+99,Supuestos!$G$11),IF(Supuestos!$C$11="Normal",NORMINV(H910,Supuestos!$D$11,Supuestos!$E$11),IF(Supuestos!$C$11="Triangular",IF(H910&lt;(Supuestos!$E$11-Supuestos!$D$11)/(Supuestos!$F$11-Supuestos!$D$11),Supuestos!$D$11+SQRT(H910*(Supuestos!$F$11-Supuestos!$D$11)*(Supuestos!$E$11-Supuestos!$D$11)),Supuestos!$F$11-SQRT((1-H910)*(Supuestos!$F$11-Supuestos!$D$11)*(Supuestos!$F$11-Supuestos!$E$11))),IF(Supuestos!$C$11="Uniforme",Supuestos!$D$11+H910*(Supuestos!$E$11-Supuestos!$D$11),IF(Supuestos!$C$11="Lognormal",LOGINV(H910,LN(Supuestos!$D$11)-LN(1+Supuestos!$E$11^2/Supuestos!$D$11^2)/2,SQRT(LN(1+Supuestos!$E$11^2/Supuestos!$D$11^2))),Supuestos!$D$11))))))</f>
        <v/>
      </c>
      <c r="P910" s="33">
        <f>-I910</f>
        <v/>
      </c>
      <c r="Q910" s="33">
        <f>$J910*(1+$K910)^(1-1)*(1-$L910)*(1-$M910)</f>
        <v/>
      </c>
      <c r="R910" s="33">
        <f>$J910*(1+$K910)^(2-1)*(1-$L910)*(1-$M910)</f>
        <v/>
      </c>
      <c r="S910" s="33">
        <f>$J910*(1+$K910)^(3-1)*(1-$L910)*(1-$M910)</f>
        <v/>
      </c>
      <c r="T910" s="33">
        <f>$J910*(1+$K910)^(4-1)*(1-$L910)*(1-$M910)</f>
        <v/>
      </c>
      <c r="U910" s="33">
        <f>$J910*(1+$K910)^(5-1)*(1-$L910)*(1-$M910)+$O910</f>
        <v/>
      </c>
      <c r="V910" s="33">
        <f>P910+NPV($N910,Q910:U910)</f>
        <v/>
      </c>
      <c r="W910" s="32">
        <f>IFERROR(IRR(P910:U910,0.1),"")</f>
        <v/>
      </c>
    </row>
    <row r="911">
      <c r="A911" s="14" t="n">
        <v>907</v>
      </c>
      <c r="B911" s="30">
        <f>RAND()*(1-2E-6)+1E-6</f>
        <v/>
      </c>
      <c r="C911" s="30">
        <f>RAND()*(1-2E-6)+1E-6</f>
        <v/>
      </c>
      <c r="D911" s="30">
        <f>RAND()*(1-2E-6)+1E-6</f>
        <v/>
      </c>
      <c r="E911" s="30">
        <f>RAND()*(1-2E-6)+1E-6</f>
        <v/>
      </c>
      <c r="F911" s="30">
        <f>RAND()*(1-2E-6)+1E-6</f>
        <v/>
      </c>
      <c r="G911" s="30">
        <f>RAND()*(1-2E-6)+1E-6</f>
        <v/>
      </c>
      <c r="H911" s="30">
        <f>RAND()*(1-2E-6)+1E-6</f>
        <v/>
      </c>
      <c r="I911" s="31">
        <f>MIN(IF(Supuestos!$H$5="",1E+99,Supuestos!$H$5),MAX(IF(Supuestos!$G$5="",-1E+99,Supuestos!$G$5),IF(Supuestos!$C$5="Normal",NORMINV(B911,Supuestos!$D$5,Supuestos!$E$5),IF(Supuestos!$C$5="Triangular",IF(B911&lt;(Supuestos!$E$5-Supuestos!$D$5)/(Supuestos!$F$5-Supuestos!$D$5),Supuestos!$D$5+SQRT(B911*(Supuestos!$F$5-Supuestos!$D$5)*(Supuestos!$E$5-Supuestos!$D$5)),Supuestos!$F$5-SQRT((1-B911)*(Supuestos!$F$5-Supuestos!$D$5)*(Supuestos!$F$5-Supuestos!$E$5))),IF(Supuestos!$C$5="Uniforme",Supuestos!$D$5+B911*(Supuestos!$E$5-Supuestos!$D$5),IF(Supuestos!$C$5="Lognormal",LOGINV(B911,LN(Supuestos!$D$5)-LN(1+Supuestos!$E$5^2/Supuestos!$D$5^2)/2,SQRT(LN(1+Supuestos!$E$5^2/Supuestos!$D$5^2))),Supuestos!$D$5))))))</f>
        <v/>
      </c>
      <c r="J911" s="31">
        <f>MIN(IF(Supuestos!$H$6="",1E+99,Supuestos!$H$6),MAX(IF(Supuestos!$G$6="",-1E+99,Supuestos!$G$6),IF(Supuestos!$C$6="Normal",NORMINV(C911,Supuestos!$D$6,Supuestos!$E$6),IF(Supuestos!$C$6="Triangular",IF(C911&lt;(Supuestos!$E$6-Supuestos!$D$6)/(Supuestos!$F$6-Supuestos!$D$6),Supuestos!$D$6+SQRT(C911*(Supuestos!$F$6-Supuestos!$D$6)*(Supuestos!$E$6-Supuestos!$D$6)),Supuestos!$F$6-SQRT((1-C911)*(Supuestos!$F$6-Supuestos!$D$6)*(Supuestos!$F$6-Supuestos!$E$6))),IF(Supuestos!$C$6="Uniforme",Supuestos!$D$6+C911*(Supuestos!$E$6-Supuestos!$D$6),IF(Supuestos!$C$6="Lognormal",LOGINV(C911,LN(Supuestos!$D$6)-LN(1+Supuestos!$E$6^2/Supuestos!$D$6^2)/2,SQRT(LN(1+Supuestos!$E$6^2/Supuestos!$D$6^2))),Supuestos!$D$6))))))</f>
        <v/>
      </c>
      <c r="K911" s="32">
        <f>MIN(IF(Supuestos!$H$7="",1E+99,Supuestos!$H$7),MAX(IF(Supuestos!$G$7="",-1E+99,Supuestos!$G$7),IF(Supuestos!$C$7="Normal",NORMINV(D911,Supuestos!$D$7,Supuestos!$E$7),IF(Supuestos!$C$7="Triangular",IF(D911&lt;(Supuestos!$E$7-Supuestos!$D$7)/(Supuestos!$F$7-Supuestos!$D$7),Supuestos!$D$7+SQRT(D911*(Supuestos!$F$7-Supuestos!$D$7)*(Supuestos!$E$7-Supuestos!$D$7)),Supuestos!$F$7-SQRT((1-D911)*(Supuestos!$F$7-Supuestos!$D$7)*(Supuestos!$F$7-Supuestos!$E$7))),IF(Supuestos!$C$7="Uniforme",Supuestos!$D$7+D911*(Supuestos!$E$7-Supuestos!$D$7),IF(Supuestos!$C$7="Lognormal",LOGINV(D911,LN(Supuestos!$D$7)-LN(1+Supuestos!$E$7^2/Supuestos!$D$7^2)/2,SQRT(LN(1+Supuestos!$E$7^2/Supuestos!$D$7^2))),Supuestos!$D$7))))))</f>
        <v/>
      </c>
      <c r="L911" s="32">
        <f>MIN(IF(Supuestos!$H$8="",1E+99,Supuestos!$H$8),MAX(IF(Supuestos!$G$8="",-1E+99,Supuestos!$G$8),IF(Supuestos!$C$8="Normal",NORMINV(E911,Supuestos!$D$8,Supuestos!$E$8),IF(Supuestos!$C$8="Triangular",IF(E911&lt;(Supuestos!$E$8-Supuestos!$D$8)/(Supuestos!$F$8-Supuestos!$D$8),Supuestos!$D$8+SQRT(E911*(Supuestos!$F$8-Supuestos!$D$8)*(Supuestos!$E$8-Supuestos!$D$8)),Supuestos!$F$8-SQRT((1-E911)*(Supuestos!$F$8-Supuestos!$D$8)*(Supuestos!$F$8-Supuestos!$E$8))),IF(Supuestos!$C$8="Uniforme",Supuestos!$D$8+E911*(Supuestos!$E$8-Supuestos!$D$8),IF(Supuestos!$C$8="Lognormal",LOGINV(E911,LN(Supuestos!$D$8)-LN(1+Supuestos!$E$8^2/Supuestos!$D$8^2)/2,SQRT(LN(1+Supuestos!$E$8^2/Supuestos!$D$8^2))),Supuestos!$D$8))))))</f>
        <v/>
      </c>
      <c r="M911" s="32">
        <f>MIN(IF(Supuestos!$H$9="",1E+99,Supuestos!$H$9),MAX(IF(Supuestos!$G$9="",-1E+99,Supuestos!$G$9),IF(Supuestos!$C$9="Normal",NORMINV(F911,Supuestos!$D$9,Supuestos!$E$9),IF(Supuestos!$C$9="Triangular",IF(F911&lt;(Supuestos!$E$9-Supuestos!$D$9)/(Supuestos!$F$9-Supuestos!$D$9),Supuestos!$D$9+SQRT(F911*(Supuestos!$F$9-Supuestos!$D$9)*(Supuestos!$E$9-Supuestos!$D$9)),Supuestos!$F$9-SQRT((1-F911)*(Supuestos!$F$9-Supuestos!$D$9)*(Supuestos!$F$9-Supuestos!$E$9))),IF(Supuestos!$C$9="Uniforme",Supuestos!$D$9+F911*(Supuestos!$E$9-Supuestos!$D$9),IF(Supuestos!$C$9="Lognormal",LOGINV(F911,LN(Supuestos!$D$9)-LN(1+Supuestos!$E$9^2/Supuestos!$D$9^2)/2,SQRT(LN(1+Supuestos!$E$9^2/Supuestos!$D$9^2))),Supuestos!$D$9))))))</f>
        <v/>
      </c>
      <c r="N911" s="32">
        <f>MIN(IF(Supuestos!$H$10="",1E+99,Supuestos!$H$10),MAX(IF(Supuestos!$G$10="",-1E+99,Supuestos!$G$10),IF(Supuestos!$C$10="Normal",NORMINV(G911,Supuestos!$D$10,Supuestos!$E$10),IF(Supuestos!$C$10="Triangular",IF(G911&lt;(Supuestos!$E$10-Supuestos!$D$10)/(Supuestos!$F$10-Supuestos!$D$10),Supuestos!$D$10+SQRT(G911*(Supuestos!$F$10-Supuestos!$D$10)*(Supuestos!$E$10-Supuestos!$D$10)),Supuestos!$F$10-SQRT((1-G911)*(Supuestos!$F$10-Supuestos!$D$10)*(Supuestos!$F$10-Supuestos!$E$10))),IF(Supuestos!$C$10="Uniforme",Supuestos!$D$10+G911*(Supuestos!$E$10-Supuestos!$D$10),IF(Supuestos!$C$10="Lognormal",LOGINV(G911,LN(Supuestos!$D$10)-LN(1+Supuestos!$E$10^2/Supuestos!$D$10^2)/2,SQRT(LN(1+Supuestos!$E$10^2/Supuestos!$D$10^2))),Supuestos!$D$10))))))</f>
        <v/>
      </c>
      <c r="O911" s="31">
        <f>MIN(IF(Supuestos!$H$11="",1E+99,Supuestos!$H$11),MAX(IF(Supuestos!$G$11="",-1E+99,Supuestos!$G$11),IF(Supuestos!$C$11="Normal",NORMINV(H911,Supuestos!$D$11,Supuestos!$E$11),IF(Supuestos!$C$11="Triangular",IF(H911&lt;(Supuestos!$E$11-Supuestos!$D$11)/(Supuestos!$F$11-Supuestos!$D$11),Supuestos!$D$11+SQRT(H911*(Supuestos!$F$11-Supuestos!$D$11)*(Supuestos!$E$11-Supuestos!$D$11)),Supuestos!$F$11-SQRT((1-H911)*(Supuestos!$F$11-Supuestos!$D$11)*(Supuestos!$F$11-Supuestos!$E$11))),IF(Supuestos!$C$11="Uniforme",Supuestos!$D$11+H911*(Supuestos!$E$11-Supuestos!$D$11),IF(Supuestos!$C$11="Lognormal",LOGINV(H911,LN(Supuestos!$D$11)-LN(1+Supuestos!$E$11^2/Supuestos!$D$11^2)/2,SQRT(LN(1+Supuestos!$E$11^2/Supuestos!$D$11^2))),Supuestos!$D$11))))))</f>
        <v/>
      </c>
      <c r="P911" s="33">
        <f>-I911</f>
        <v/>
      </c>
      <c r="Q911" s="33">
        <f>$J911*(1+$K911)^(1-1)*(1-$L911)*(1-$M911)</f>
        <v/>
      </c>
      <c r="R911" s="33">
        <f>$J911*(1+$K911)^(2-1)*(1-$L911)*(1-$M911)</f>
        <v/>
      </c>
      <c r="S911" s="33">
        <f>$J911*(1+$K911)^(3-1)*(1-$L911)*(1-$M911)</f>
        <v/>
      </c>
      <c r="T911" s="33">
        <f>$J911*(1+$K911)^(4-1)*(1-$L911)*(1-$M911)</f>
        <v/>
      </c>
      <c r="U911" s="33">
        <f>$J911*(1+$K911)^(5-1)*(1-$L911)*(1-$M911)+$O911</f>
        <v/>
      </c>
      <c r="V911" s="33">
        <f>P911+NPV($N911,Q911:U911)</f>
        <v/>
      </c>
      <c r="W911" s="32">
        <f>IFERROR(IRR(P911:U911,0.1),"")</f>
        <v/>
      </c>
    </row>
    <row r="912">
      <c r="A912" s="14" t="n">
        <v>908</v>
      </c>
      <c r="B912" s="30">
        <f>RAND()*(1-2E-6)+1E-6</f>
        <v/>
      </c>
      <c r="C912" s="30">
        <f>RAND()*(1-2E-6)+1E-6</f>
        <v/>
      </c>
      <c r="D912" s="30">
        <f>RAND()*(1-2E-6)+1E-6</f>
        <v/>
      </c>
      <c r="E912" s="30">
        <f>RAND()*(1-2E-6)+1E-6</f>
        <v/>
      </c>
      <c r="F912" s="30">
        <f>RAND()*(1-2E-6)+1E-6</f>
        <v/>
      </c>
      <c r="G912" s="30">
        <f>RAND()*(1-2E-6)+1E-6</f>
        <v/>
      </c>
      <c r="H912" s="30">
        <f>RAND()*(1-2E-6)+1E-6</f>
        <v/>
      </c>
      <c r="I912" s="31">
        <f>MIN(IF(Supuestos!$H$5="",1E+99,Supuestos!$H$5),MAX(IF(Supuestos!$G$5="",-1E+99,Supuestos!$G$5),IF(Supuestos!$C$5="Normal",NORMINV(B912,Supuestos!$D$5,Supuestos!$E$5),IF(Supuestos!$C$5="Triangular",IF(B912&lt;(Supuestos!$E$5-Supuestos!$D$5)/(Supuestos!$F$5-Supuestos!$D$5),Supuestos!$D$5+SQRT(B912*(Supuestos!$F$5-Supuestos!$D$5)*(Supuestos!$E$5-Supuestos!$D$5)),Supuestos!$F$5-SQRT((1-B912)*(Supuestos!$F$5-Supuestos!$D$5)*(Supuestos!$F$5-Supuestos!$E$5))),IF(Supuestos!$C$5="Uniforme",Supuestos!$D$5+B912*(Supuestos!$E$5-Supuestos!$D$5),IF(Supuestos!$C$5="Lognormal",LOGINV(B912,LN(Supuestos!$D$5)-LN(1+Supuestos!$E$5^2/Supuestos!$D$5^2)/2,SQRT(LN(1+Supuestos!$E$5^2/Supuestos!$D$5^2))),Supuestos!$D$5))))))</f>
        <v/>
      </c>
      <c r="J912" s="31">
        <f>MIN(IF(Supuestos!$H$6="",1E+99,Supuestos!$H$6),MAX(IF(Supuestos!$G$6="",-1E+99,Supuestos!$G$6),IF(Supuestos!$C$6="Normal",NORMINV(C912,Supuestos!$D$6,Supuestos!$E$6),IF(Supuestos!$C$6="Triangular",IF(C912&lt;(Supuestos!$E$6-Supuestos!$D$6)/(Supuestos!$F$6-Supuestos!$D$6),Supuestos!$D$6+SQRT(C912*(Supuestos!$F$6-Supuestos!$D$6)*(Supuestos!$E$6-Supuestos!$D$6)),Supuestos!$F$6-SQRT((1-C912)*(Supuestos!$F$6-Supuestos!$D$6)*(Supuestos!$F$6-Supuestos!$E$6))),IF(Supuestos!$C$6="Uniforme",Supuestos!$D$6+C912*(Supuestos!$E$6-Supuestos!$D$6),IF(Supuestos!$C$6="Lognormal",LOGINV(C912,LN(Supuestos!$D$6)-LN(1+Supuestos!$E$6^2/Supuestos!$D$6^2)/2,SQRT(LN(1+Supuestos!$E$6^2/Supuestos!$D$6^2))),Supuestos!$D$6))))))</f>
        <v/>
      </c>
      <c r="K912" s="32">
        <f>MIN(IF(Supuestos!$H$7="",1E+99,Supuestos!$H$7),MAX(IF(Supuestos!$G$7="",-1E+99,Supuestos!$G$7),IF(Supuestos!$C$7="Normal",NORMINV(D912,Supuestos!$D$7,Supuestos!$E$7),IF(Supuestos!$C$7="Triangular",IF(D912&lt;(Supuestos!$E$7-Supuestos!$D$7)/(Supuestos!$F$7-Supuestos!$D$7),Supuestos!$D$7+SQRT(D912*(Supuestos!$F$7-Supuestos!$D$7)*(Supuestos!$E$7-Supuestos!$D$7)),Supuestos!$F$7-SQRT((1-D912)*(Supuestos!$F$7-Supuestos!$D$7)*(Supuestos!$F$7-Supuestos!$E$7))),IF(Supuestos!$C$7="Uniforme",Supuestos!$D$7+D912*(Supuestos!$E$7-Supuestos!$D$7),IF(Supuestos!$C$7="Lognormal",LOGINV(D912,LN(Supuestos!$D$7)-LN(1+Supuestos!$E$7^2/Supuestos!$D$7^2)/2,SQRT(LN(1+Supuestos!$E$7^2/Supuestos!$D$7^2))),Supuestos!$D$7))))))</f>
        <v/>
      </c>
      <c r="L912" s="32">
        <f>MIN(IF(Supuestos!$H$8="",1E+99,Supuestos!$H$8),MAX(IF(Supuestos!$G$8="",-1E+99,Supuestos!$G$8),IF(Supuestos!$C$8="Normal",NORMINV(E912,Supuestos!$D$8,Supuestos!$E$8),IF(Supuestos!$C$8="Triangular",IF(E912&lt;(Supuestos!$E$8-Supuestos!$D$8)/(Supuestos!$F$8-Supuestos!$D$8),Supuestos!$D$8+SQRT(E912*(Supuestos!$F$8-Supuestos!$D$8)*(Supuestos!$E$8-Supuestos!$D$8)),Supuestos!$F$8-SQRT((1-E912)*(Supuestos!$F$8-Supuestos!$D$8)*(Supuestos!$F$8-Supuestos!$E$8))),IF(Supuestos!$C$8="Uniforme",Supuestos!$D$8+E912*(Supuestos!$E$8-Supuestos!$D$8),IF(Supuestos!$C$8="Lognormal",LOGINV(E912,LN(Supuestos!$D$8)-LN(1+Supuestos!$E$8^2/Supuestos!$D$8^2)/2,SQRT(LN(1+Supuestos!$E$8^2/Supuestos!$D$8^2))),Supuestos!$D$8))))))</f>
        <v/>
      </c>
      <c r="M912" s="32">
        <f>MIN(IF(Supuestos!$H$9="",1E+99,Supuestos!$H$9),MAX(IF(Supuestos!$G$9="",-1E+99,Supuestos!$G$9),IF(Supuestos!$C$9="Normal",NORMINV(F912,Supuestos!$D$9,Supuestos!$E$9),IF(Supuestos!$C$9="Triangular",IF(F912&lt;(Supuestos!$E$9-Supuestos!$D$9)/(Supuestos!$F$9-Supuestos!$D$9),Supuestos!$D$9+SQRT(F912*(Supuestos!$F$9-Supuestos!$D$9)*(Supuestos!$E$9-Supuestos!$D$9)),Supuestos!$F$9-SQRT((1-F912)*(Supuestos!$F$9-Supuestos!$D$9)*(Supuestos!$F$9-Supuestos!$E$9))),IF(Supuestos!$C$9="Uniforme",Supuestos!$D$9+F912*(Supuestos!$E$9-Supuestos!$D$9),IF(Supuestos!$C$9="Lognormal",LOGINV(F912,LN(Supuestos!$D$9)-LN(1+Supuestos!$E$9^2/Supuestos!$D$9^2)/2,SQRT(LN(1+Supuestos!$E$9^2/Supuestos!$D$9^2))),Supuestos!$D$9))))))</f>
        <v/>
      </c>
      <c r="N912" s="32">
        <f>MIN(IF(Supuestos!$H$10="",1E+99,Supuestos!$H$10),MAX(IF(Supuestos!$G$10="",-1E+99,Supuestos!$G$10),IF(Supuestos!$C$10="Normal",NORMINV(G912,Supuestos!$D$10,Supuestos!$E$10),IF(Supuestos!$C$10="Triangular",IF(G912&lt;(Supuestos!$E$10-Supuestos!$D$10)/(Supuestos!$F$10-Supuestos!$D$10),Supuestos!$D$10+SQRT(G912*(Supuestos!$F$10-Supuestos!$D$10)*(Supuestos!$E$10-Supuestos!$D$10)),Supuestos!$F$10-SQRT((1-G912)*(Supuestos!$F$10-Supuestos!$D$10)*(Supuestos!$F$10-Supuestos!$E$10))),IF(Supuestos!$C$10="Uniforme",Supuestos!$D$10+G912*(Supuestos!$E$10-Supuestos!$D$10),IF(Supuestos!$C$10="Lognormal",LOGINV(G912,LN(Supuestos!$D$10)-LN(1+Supuestos!$E$10^2/Supuestos!$D$10^2)/2,SQRT(LN(1+Supuestos!$E$10^2/Supuestos!$D$10^2))),Supuestos!$D$10))))))</f>
        <v/>
      </c>
      <c r="O912" s="31">
        <f>MIN(IF(Supuestos!$H$11="",1E+99,Supuestos!$H$11),MAX(IF(Supuestos!$G$11="",-1E+99,Supuestos!$G$11),IF(Supuestos!$C$11="Normal",NORMINV(H912,Supuestos!$D$11,Supuestos!$E$11),IF(Supuestos!$C$11="Triangular",IF(H912&lt;(Supuestos!$E$11-Supuestos!$D$11)/(Supuestos!$F$11-Supuestos!$D$11),Supuestos!$D$11+SQRT(H912*(Supuestos!$F$11-Supuestos!$D$11)*(Supuestos!$E$11-Supuestos!$D$11)),Supuestos!$F$11-SQRT((1-H912)*(Supuestos!$F$11-Supuestos!$D$11)*(Supuestos!$F$11-Supuestos!$E$11))),IF(Supuestos!$C$11="Uniforme",Supuestos!$D$11+H912*(Supuestos!$E$11-Supuestos!$D$11),IF(Supuestos!$C$11="Lognormal",LOGINV(H912,LN(Supuestos!$D$11)-LN(1+Supuestos!$E$11^2/Supuestos!$D$11^2)/2,SQRT(LN(1+Supuestos!$E$11^2/Supuestos!$D$11^2))),Supuestos!$D$11))))))</f>
        <v/>
      </c>
      <c r="P912" s="33">
        <f>-I912</f>
        <v/>
      </c>
      <c r="Q912" s="33">
        <f>$J912*(1+$K912)^(1-1)*(1-$L912)*(1-$M912)</f>
        <v/>
      </c>
      <c r="R912" s="33">
        <f>$J912*(1+$K912)^(2-1)*(1-$L912)*(1-$M912)</f>
        <v/>
      </c>
      <c r="S912" s="33">
        <f>$J912*(1+$K912)^(3-1)*(1-$L912)*(1-$M912)</f>
        <v/>
      </c>
      <c r="T912" s="33">
        <f>$J912*(1+$K912)^(4-1)*(1-$L912)*(1-$M912)</f>
        <v/>
      </c>
      <c r="U912" s="33">
        <f>$J912*(1+$K912)^(5-1)*(1-$L912)*(1-$M912)+$O912</f>
        <v/>
      </c>
      <c r="V912" s="33">
        <f>P912+NPV($N912,Q912:U912)</f>
        <v/>
      </c>
      <c r="W912" s="32">
        <f>IFERROR(IRR(P912:U912,0.1),"")</f>
        <v/>
      </c>
    </row>
    <row r="913">
      <c r="A913" s="14" t="n">
        <v>909</v>
      </c>
      <c r="B913" s="30">
        <f>RAND()*(1-2E-6)+1E-6</f>
        <v/>
      </c>
      <c r="C913" s="30">
        <f>RAND()*(1-2E-6)+1E-6</f>
        <v/>
      </c>
      <c r="D913" s="30">
        <f>RAND()*(1-2E-6)+1E-6</f>
        <v/>
      </c>
      <c r="E913" s="30">
        <f>RAND()*(1-2E-6)+1E-6</f>
        <v/>
      </c>
      <c r="F913" s="30">
        <f>RAND()*(1-2E-6)+1E-6</f>
        <v/>
      </c>
      <c r="G913" s="30">
        <f>RAND()*(1-2E-6)+1E-6</f>
        <v/>
      </c>
      <c r="H913" s="30">
        <f>RAND()*(1-2E-6)+1E-6</f>
        <v/>
      </c>
      <c r="I913" s="31">
        <f>MIN(IF(Supuestos!$H$5="",1E+99,Supuestos!$H$5),MAX(IF(Supuestos!$G$5="",-1E+99,Supuestos!$G$5),IF(Supuestos!$C$5="Normal",NORMINV(B913,Supuestos!$D$5,Supuestos!$E$5),IF(Supuestos!$C$5="Triangular",IF(B913&lt;(Supuestos!$E$5-Supuestos!$D$5)/(Supuestos!$F$5-Supuestos!$D$5),Supuestos!$D$5+SQRT(B913*(Supuestos!$F$5-Supuestos!$D$5)*(Supuestos!$E$5-Supuestos!$D$5)),Supuestos!$F$5-SQRT((1-B913)*(Supuestos!$F$5-Supuestos!$D$5)*(Supuestos!$F$5-Supuestos!$E$5))),IF(Supuestos!$C$5="Uniforme",Supuestos!$D$5+B913*(Supuestos!$E$5-Supuestos!$D$5),IF(Supuestos!$C$5="Lognormal",LOGINV(B913,LN(Supuestos!$D$5)-LN(1+Supuestos!$E$5^2/Supuestos!$D$5^2)/2,SQRT(LN(1+Supuestos!$E$5^2/Supuestos!$D$5^2))),Supuestos!$D$5))))))</f>
        <v/>
      </c>
      <c r="J913" s="31">
        <f>MIN(IF(Supuestos!$H$6="",1E+99,Supuestos!$H$6),MAX(IF(Supuestos!$G$6="",-1E+99,Supuestos!$G$6),IF(Supuestos!$C$6="Normal",NORMINV(C913,Supuestos!$D$6,Supuestos!$E$6),IF(Supuestos!$C$6="Triangular",IF(C913&lt;(Supuestos!$E$6-Supuestos!$D$6)/(Supuestos!$F$6-Supuestos!$D$6),Supuestos!$D$6+SQRT(C913*(Supuestos!$F$6-Supuestos!$D$6)*(Supuestos!$E$6-Supuestos!$D$6)),Supuestos!$F$6-SQRT((1-C913)*(Supuestos!$F$6-Supuestos!$D$6)*(Supuestos!$F$6-Supuestos!$E$6))),IF(Supuestos!$C$6="Uniforme",Supuestos!$D$6+C913*(Supuestos!$E$6-Supuestos!$D$6),IF(Supuestos!$C$6="Lognormal",LOGINV(C913,LN(Supuestos!$D$6)-LN(1+Supuestos!$E$6^2/Supuestos!$D$6^2)/2,SQRT(LN(1+Supuestos!$E$6^2/Supuestos!$D$6^2))),Supuestos!$D$6))))))</f>
        <v/>
      </c>
      <c r="K913" s="32">
        <f>MIN(IF(Supuestos!$H$7="",1E+99,Supuestos!$H$7),MAX(IF(Supuestos!$G$7="",-1E+99,Supuestos!$G$7),IF(Supuestos!$C$7="Normal",NORMINV(D913,Supuestos!$D$7,Supuestos!$E$7),IF(Supuestos!$C$7="Triangular",IF(D913&lt;(Supuestos!$E$7-Supuestos!$D$7)/(Supuestos!$F$7-Supuestos!$D$7),Supuestos!$D$7+SQRT(D913*(Supuestos!$F$7-Supuestos!$D$7)*(Supuestos!$E$7-Supuestos!$D$7)),Supuestos!$F$7-SQRT((1-D913)*(Supuestos!$F$7-Supuestos!$D$7)*(Supuestos!$F$7-Supuestos!$E$7))),IF(Supuestos!$C$7="Uniforme",Supuestos!$D$7+D913*(Supuestos!$E$7-Supuestos!$D$7),IF(Supuestos!$C$7="Lognormal",LOGINV(D913,LN(Supuestos!$D$7)-LN(1+Supuestos!$E$7^2/Supuestos!$D$7^2)/2,SQRT(LN(1+Supuestos!$E$7^2/Supuestos!$D$7^2))),Supuestos!$D$7))))))</f>
        <v/>
      </c>
      <c r="L913" s="32">
        <f>MIN(IF(Supuestos!$H$8="",1E+99,Supuestos!$H$8),MAX(IF(Supuestos!$G$8="",-1E+99,Supuestos!$G$8),IF(Supuestos!$C$8="Normal",NORMINV(E913,Supuestos!$D$8,Supuestos!$E$8),IF(Supuestos!$C$8="Triangular",IF(E913&lt;(Supuestos!$E$8-Supuestos!$D$8)/(Supuestos!$F$8-Supuestos!$D$8),Supuestos!$D$8+SQRT(E913*(Supuestos!$F$8-Supuestos!$D$8)*(Supuestos!$E$8-Supuestos!$D$8)),Supuestos!$F$8-SQRT((1-E913)*(Supuestos!$F$8-Supuestos!$D$8)*(Supuestos!$F$8-Supuestos!$E$8))),IF(Supuestos!$C$8="Uniforme",Supuestos!$D$8+E913*(Supuestos!$E$8-Supuestos!$D$8),IF(Supuestos!$C$8="Lognormal",LOGINV(E913,LN(Supuestos!$D$8)-LN(1+Supuestos!$E$8^2/Supuestos!$D$8^2)/2,SQRT(LN(1+Supuestos!$E$8^2/Supuestos!$D$8^2))),Supuestos!$D$8))))))</f>
        <v/>
      </c>
      <c r="M913" s="32">
        <f>MIN(IF(Supuestos!$H$9="",1E+99,Supuestos!$H$9),MAX(IF(Supuestos!$G$9="",-1E+99,Supuestos!$G$9),IF(Supuestos!$C$9="Normal",NORMINV(F913,Supuestos!$D$9,Supuestos!$E$9),IF(Supuestos!$C$9="Triangular",IF(F913&lt;(Supuestos!$E$9-Supuestos!$D$9)/(Supuestos!$F$9-Supuestos!$D$9),Supuestos!$D$9+SQRT(F913*(Supuestos!$F$9-Supuestos!$D$9)*(Supuestos!$E$9-Supuestos!$D$9)),Supuestos!$F$9-SQRT((1-F913)*(Supuestos!$F$9-Supuestos!$D$9)*(Supuestos!$F$9-Supuestos!$E$9))),IF(Supuestos!$C$9="Uniforme",Supuestos!$D$9+F913*(Supuestos!$E$9-Supuestos!$D$9),IF(Supuestos!$C$9="Lognormal",LOGINV(F913,LN(Supuestos!$D$9)-LN(1+Supuestos!$E$9^2/Supuestos!$D$9^2)/2,SQRT(LN(1+Supuestos!$E$9^2/Supuestos!$D$9^2))),Supuestos!$D$9))))))</f>
        <v/>
      </c>
      <c r="N913" s="32">
        <f>MIN(IF(Supuestos!$H$10="",1E+99,Supuestos!$H$10),MAX(IF(Supuestos!$G$10="",-1E+99,Supuestos!$G$10),IF(Supuestos!$C$10="Normal",NORMINV(G913,Supuestos!$D$10,Supuestos!$E$10),IF(Supuestos!$C$10="Triangular",IF(G913&lt;(Supuestos!$E$10-Supuestos!$D$10)/(Supuestos!$F$10-Supuestos!$D$10),Supuestos!$D$10+SQRT(G913*(Supuestos!$F$10-Supuestos!$D$10)*(Supuestos!$E$10-Supuestos!$D$10)),Supuestos!$F$10-SQRT((1-G913)*(Supuestos!$F$10-Supuestos!$D$10)*(Supuestos!$F$10-Supuestos!$E$10))),IF(Supuestos!$C$10="Uniforme",Supuestos!$D$10+G913*(Supuestos!$E$10-Supuestos!$D$10),IF(Supuestos!$C$10="Lognormal",LOGINV(G913,LN(Supuestos!$D$10)-LN(1+Supuestos!$E$10^2/Supuestos!$D$10^2)/2,SQRT(LN(1+Supuestos!$E$10^2/Supuestos!$D$10^2))),Supuestos!$D$10))))))</f>
        <v/>
      </c>
      <c r="O913" s="31">
        <f>MIN(IF(Supuestos!$H$11="",1E+99,Supuestos!$H$11),MAX(IF(Supuestos!$G$11="",-1E+99,Supuestos!$G$11),IF(Supuestos!$C$11="Normal",NORMINV(H913,Supuestos!$D$11,Supuestos!$E$11),IF(Supuestos!$C$11="Triangular",IF(H913&lt;(Supuestos!$E$11-Supuestos!$D$11)/(Supuestos!$F$11-Supuestos!$D$11),Supuestos!$D$11+SQRT(H913*(Supuestos!$F$11-Supuestos!$D$11)*(Supuestos!$E$11-Supuestos!$D$11)),Supuestos!$F$11-SQRT((1-H913)*(Supuestos!$F$11-Supuestos!$D$11)*(Supuestos!$F$11-Supuestos!$E$11))),IF(Supuestos!$C$11="Uniforme",Supuestos!$D$11+H913*(Supuestos!$E$11-Supuestos!$D$11),IF(Supuestos!$C$11="Lognormal",LOGINV(H913,LN(Supuestos!$D$11)-LN(1+Supuestos!$E$11^2/Supuestos!$D$11^2)/2,SQRT(LN(1+Supuestos!$E$11^2/Supuestos!$D$11^2))),Supuestos!$D$11))))))</f>
        <v/>
      </c>
      <c r="P913" s="33">
        <f>-I913</f>
        <v/>
      </c>
      <c r="Q913" s="33">
        <f>$J913*(1+$K913)^(1-1)*(1-$L913)*(1-$M913)</f>
        <v/>
      </c>
      <c r="R913" s="33">
        <f>$J913*(1+$K913)^(2-1)*(1-$L913)*(1-$M913)</f>
        <v/>
      </c>
      <c r="S913" s="33">
        <f>$J913*(1+$K913)^(3-1)*(1-$L913)*(1-$M913)</f>
        <v/>
      </c>
      <c r="T913" s="33">
        <f>$J913*(1+$K913)^(4-1)*(1-$L913)*(1-$M913)</f>
        <v/>
      </c>
      <c r="U913" s="33">
        <f>$J913*(1+$K913)^(5-1)*(1-$L913)*(1-$M913)+$O913</f>
        <v/>
      </c>
      <c r="V913" s="33">
        <f>P913+NPV($N913,Q913:U913)</f>
        <v/>
      </c>
      <c r="W913" s="32">
        <f>IFERROR(IRR(P913:U913,0.1),"")</f>
        <v/>
      </c>
    </row>
    <row r="914">
      <c r="A914" s="14" t="n">
        <v>910</v>
      </c>
      <c r="B914" s="30">
        <f>RAND()*(1-2E-6)+1E-6</f>
        <v/>
      </c>
      <c r="C914" s="30">
        <f>RAND()*(1-2E-6)+1E-6</f>
        <v/>
      </c>
      <c r="D914" s="30">
        <f>RAND()*(1-2E-6)+1E-6</f>
        <v/>
      </c>
      <c r="E914" s="30">
        <f>RAND()*(1-2E-6)+1E-6</f>
        <v/>
      </c>
      <c r="F914" s="30">
        <f>RAND()*(1-2E-6)+1E-6</f>
        <v/>
      </c>
      <c r="G914" s="30">
        <f>RAND()*(1-2E-6)+1E-6</f>
        <v/>
      </c>
      <c r="H914" s="30">
        <f>RAND()*(1-2E-6)+1E-6</f>
        <v/>
      </c>
      <c r="I914" s="31">
        <f>MIN(IF(Supuestos!$H$5="",1E+99,Supuestos!$H$5),MAX(IF(Supuestos!$G$5="",-1E+99,Supuestos!$G$5),IF(Supuestos!$C$5="Normal",NORMINV(B914,Supuestos!$D$5,Supuestos!$E$5),IF(Supuestos!$C$5="Triangular",IF(B914&lt;(Supuestos!$E$5-Supuestos!$D$5)/(Supuestos!$F$5-Supuestos!$D$5),Supuestos!$D$5+SQRT(B914*(Supuestos!$F$5-Supuestos!$D$5)*(Supuestos!$E$5-Supuestos!$D$5)),Supuestos!$F$5-SQRT((1-B914)*(Supuestos!$F$5-Supuestos!$D$5)*(Supuestos!$F$5-Supuestos!$E$5))),IF(Supuestos!$C$5="Uniforme",Supuestos!$D$5+B914*(Supuestos!$E$5-Supuestos!$D$5),IF(Supuestos!$C$5="Lognormal",LOGINV(B914,LN(Supuestos!$D$5)-LN(1+Supuestos!$E$5^2/Supuestos!$D$5^2)/2,SQRT(LN(1+Supuestos!$E$5^2/Supuestos!$D$5^2))),Supuestos!$D$5))))))</f>
        <v/>
      </c>
      <c r="J914" s="31">
        <f>MIN(IF(Supuestos!$H$6="",1E+99,Supuestos!$H$6),MAX(IF(Supuestos!$G$6="",-1E+99,Supuestos!$G$6),IF(Supuestos!$C$6="Normal",NORMINV(C914,Supuestos!$D$6,Supuestos!$E$6),IF(Supuestos!$C$6="Triangular",IF(C914&lt;(Supuestos!$E$6-Supuestos!$D$6)/(Supuestos!$F$6-Supuestos!$D$6),Supuestos!$D$6+SQRT(C914*(Supuestos!$F$6-Supuestos!$D$6)*(Supuestos!$E$6-Supuestos!$D$6)),Supuestos!$F$6-SQRT((1-C914)*(Supuestos!$F$6-Supuestos!$D$6)*(Supuestos!$F$6-Supuestos!$E$6))),IF(Supuestos!$C$6="Uniforme",Supuestos!$D$6+C914*(Supuestos!$E$6-Supuestos!$D$6),IF(Supuestos!$C$6="Lognormal",LOGINV(C914,LN(Supuestos!$D$6)-LN(1+Supuestos!$E$6^2/Supuestos!$D$6^2)/2,SQRT(LN(1+Supuestos!$E$6^2/Supuestos!$D$6^2))),Supuestos!$D$6))))))</f>
        <v/>
      </c>
      <c r="K914" s="32">
        <f>MIN(IF(Supuestos!$H$7="",1E+99,Supuestos!$H$7),MAX(IF(Supuestos!$G$7="",-1E+99,Supuestos!$G$7),IF(Supuestos!$C$7="Normal",NORMINV(D914,Supuestos!$D$7,Supuestos!$E$7),IF(Supuestos!$C$7="Triangular",IF(D914&lt;(Supuestos!$E$7-Supuestos!$D$7)/(Supuestos!$F$7-Supuestos!$D$7),Supuestos!$D$7+SQRT(D914*(Supuestos!$F$7-Supuestos!$D$7)*(Supuestos!$E$7-Supuestos!$D$7)),Supuestos!$F$7-SQRT((1-D914)*(Supuestos!$F$7-Supuestos!$D$7)*(Supuestos!$F$7-Supuestos!$E$7))),IF(Supuestos!$C$7="Uniforme",Supuestos!$D$7+D914*(Supuestos!$E$7-Supuestos!$D$7),IF(Supuestos!$C$7="Lognormal",LOGINV(D914,LN(Supuestos!$D$7)-LN(1+Supuestos!$E$7^2/Supuestos!$D$7^2)/2,SQRT(LN(1+Supuestos!$E$7^2/Supuestos!$D$7^2))),Supuestos!$D$7))))))</f>
        <v/>
      </c>
      <c r="L914" s="32">
        <f>MIN(IF(Supuestos!$H$8="",1E+99,Supuestos!$H$8),MAX(IF(Supuestos!$G$8="",-1E+99,Supuestos!$G$8),IF(Supuestos!$C$8="Normal",NORMINV(E914,Supuestos!$D$8,Supuestos!$E$8),IF(Supuestos!$C$8="Triangular",IF(E914&lt;(Supuestos!$E$8-Supuestos!$D$8)/(Supuestos!$F$8-Supuestos!$D$8),Supuestos!$D$8+SQRT(E914*(Supuestos!$F$8-Supuestos!$D$8)*(Supuestos!$E$8-Supuestos!$D$8)),Supuestos!$F$8-SQRT((1-E914)*(Supuestos!$F$8-Supuestos!$D$8)*(Supuestos!$F$8-Supuestos!$E$8))),IF(Supuestos!$C$8="Uniforme",Supuestos!$D$8+E914*(Supuestos!$E$8-Supuestos!$D$8),IF(Supuestos!$C$8="Lognormal",LOGINV(E914,LN(Supuestos!$D$8)-LN(1+Supuestos!$E$8^2/Supuestos!$D$8^2)/2,SQRT(LN(1+Supuestos!$E$8^2/Supuestos!$D$8^2))),Supuestos!$D$8))))))</f>
        <v/>
      </c>
      <c r="M914" s="32">
        <f>MIN(IF(Supuestos!$H$9="",1E+99,Supuestos!$H$9),MAX(IF(Supuestos!$G$9="",-1E+99,Supuestos!$G$9),IF(Supuestos!$C$9="Normal",NORMINV(F914,Supuestos!$D$9,Supuestos!$E$9),IF(Supuestos!$C$9="Triangular",IF(F914&lt;(Supuestos!$E$9-Supuestos!$D$9)/(Supuestos!$F$9-Supuestos!$D$9),Supuestos!$D$9+SQRT(F914*(Supuestos!$F$9-Supuestos!$D$9)*(Supuestos!$E$9-Supuestos!$D$9)),Supuestos!$F$9-SQRT((1-F914)*(Supuestos!$F$9-Supuestos!$D$9)*(Supuestos!$F$9-Supuestos!$E$9))),IF(Supuestos!$C$9="Uniforme",Supuestos!$D$9+F914*(Supuestos!$E$9-Supuestos!$D$9),IF(Supuestos!$C$9="Lognormal",LOGINV(F914,LN(Supuestos!$D$9)-LN(1+Supuestos!$E$9^2/Supuestos!$D$9^2)/2,SQRT(LN(1+Supuestos!$E$9^2/Supuestos!$D$9^2))),Supuestos!$D$9))))))</f>
        <v/>
      </c>
      <c r="N914" s="32">
        <f>MIN(IF(Supuestos!$H$10="",1E+99,Supuestos!$H$10),MAX(IF(Supuestos!$G$10="",-1E+99,Supuestos!$G$10),IF(Supuestos!$C$10="Normal",NORMINV(G914,Supuestos!$D$10,Supuestos!$E$10),IF(Supuestos!$C$10="Triangular",IF(G914&lt;(Supuestos!$E$10-Supuestos!$D$10)/(Supuestos!$F$10-Supuestos!$D$10),Supuestos!$D$10+SQRT(G914*(Supuestos!$F$10-Supuestos!$D$10)*(Supuestos!$E$10-Supuestos!$D$10)),Supuestos!$F$10-SQRT((1-G914)*(Supuestos!$F$10-Supuestos!$D$10)*(Supuestos!$F$10-Supuestos!$E$10))),IF(Supuestos!$C$10="Uniforme",Supuestos!$D$10+G914*(Supuestos!$E$10-Supuestos!$D$10),IF(Supuestos!$C$10="Lognormal",LOGINV(G914,LN(Supuestos!$D$10)-LN(1+Supuestos!$E$10^2/Supuestos!$D$10^2)/2,SQRT(LN(1+Supuestos!$E$10^2/Supuestos!$D$10^2))),Supuestos!$D$10))))))</f>
        <v/>
      </c>
      <c r="O914" s="31">
        <f>MIN(IF(Supuestos!$H$11="",1E+99,Supuestos!$H$11),MAX(IF(Supuestos!$G$11="",-1E+99,Supuestos!$G$11),IF(Supuestos!$C$11="Normal",NORMINV(H914,Supuestos!$D$11,Supuestos!$E$11),IF(Supuestos!$C$11="Triangular",IF(H914&lt;(Supuestos!$E$11-Supuestos!$D$11)/(Supuestos!$F$11-Supuestos!$D$11),Supuestos!$D$11+SQRT(H914*(Supuestos!$F$11-Supuestos!$D$11)*(Supuestos!$E$11-Supuestos!$D$11)),Supuestos!$F$11-SQRT((1-H914)*(Supuestos!$F$11-Supuestos!$D$11)*(Supuestos!$F$11-Supuestos!$E$11))),IF(Supuestos!$C$11="Uniforme",Supuestos!$D$11+H914*(Supuestos!$E$11-Supuestos!$D$11),IF(Supuestos!$C$11="Lognormal",LOGINV(H914,LN(Supuestos!$D$11)-LN(1+Supuestos!$E$11^2/Supuestos!$D$11^2)/2,SQRT(LN(1+Supuestos!$E$11^2/Supuestos!$D$11^2))),Supuestos!$D$11))))))</f>
        <v/>
      </c>
      <c r="P914" s="33">
        <f>-I914</f>
        <v/>
      </c>
      <c r="Q914" s="33">
        <f>$J914*(1+$K914)^(1-1)*(1-$L914)*(1-$M914)</f>
        <v/>
      </c>
      <c r="R914" s="33">
        <f>$J914*(1+$K914)^(2-1)*(1-$L914)*(1-$M914)</f>
        <v/>
      </c>
      <c r="S914" s="33">
        <f>$J914*(1+$K914)^(3-1)*(1-$L914)*(1-$M914)</f>
        <v/>
      </c>
      <c r="T914" s="33">
        <f>$J914*(1+$K914)^(4-1)*(1-$L914)*(1-$M914)</f>
        <v/>
      </c>
      <c r="U914" s="33">
        <f>$J914*(1+$K914)^(5-1)*(1-$L914)*(1-$M914)+$O914</f>
        <v/>
      </c>
      <c r="V914" s="33">
        <f>P914+NPV($N914,Q914:U914)</f>
        <v/>
      </c>
      <c r="W914" s="32">
        <f>IFERROR(IRR(P914:U914,0.1),"")</f>
        <v/>
      </c>
    </row>
    <row r="915">
      <c r="A915" s="14" t="n">
        <v>911</v>
      </c>
      <c r="B915" s="30">
        <f>RAND()*(1-2E-6)+1E-6</f>
        <v/>
      </c>
      <c r="C915" s="30">
        <f>RAND()*(1-2E-6)+1E-6</f>
        <v/>
      </c>
      <c r="D915" s="30">
        <f>RAND()*(1-2E-6)+1E-6</f>
        <v/>
      </c>
      <c r="E915" s="30">
        <f>RAND()*(1-2E-6)+1E-6</f>
        <v/>
      </c>
      <c r="F915" s="30">
        <f>RAND()*(1-2E-6)+1E-6</f>
        <v/>
      </c>
      <c r="G915" s="30">
        <f>RAND()*(1-2E-6)+1E-6</f>
        <v/>
      </c>
      <c r="H915" s="30">
        <f>RAND()*(1-2E-6)+1E-6</f>
        <v/>
      </c>
      <c r="I915" s="31">
        <f>MIN(IF(Supuestos!$H$5="",1E+99,Supuestos!$H$5),MAX(IF(Supuestos!$G$5="",-1E+99,Supuestos!$G$5),IF(Supuestos!$C$5="Normal",NORMINV(B915,Supuestos!$D$5,Supuestos!$E$5),IF(Supuestos!$C$5="Triangular",IF(B915&lt;(Supuestos!$E$5-Supuestos!$D$5)/(Supuestos!$F$5-Supuestos!$D$5),Supuestos!$D$5+SQRT(B915*(Supuestos!$F$5-Supuestos!$D$5)*(Supuestos!$E$5-Supuestos!$D$5)),Supuestos!$F$5-SQRT((1-B915)*(Supuestos!$F$5-Supuestos!$D$5)*(Supuestos!$F$5-Supuestos!$E$5))),IF(Supuestos!$C$5="Uniforme",Supuestos!$D$5+B915*(Supuestos!$E$5-Supuestos!$D$5),IF(Supuestos!$C$5="Lognormal",LOGINV(B915,LN(Supuestos!$D$5)-LN(1+Supuestos!$E$5^2/Supuestos!$D$5^2)/2,SQRT(LN(1+Supuestos!$E$5^2/Supuestos!$D$5^2))),Supuestos!$D$5))))))</f>
        <v/>
      </c>
      <c r="J915" s="31">
        <f>MIN(IF(Supuestos!$H$6="",1E+99,Supuestos!$H$6),MAX(IF(Supuestos!$G$6="",-1E+99,Supuestos!$G$6),IF(Supuestos!$C$6="Normal",NORMINV(C915,Supuestos!$D$6,Supuestos!$E$6),IF(Supuestos!$C$6="Triangular",IF(C915&lt;(Supuestos!$E$6-Supuestos!$D$6)/(Supuestos!$F$6-Supuestos!$D$6),Supuestos!$D$6+SQRT(C915*(Supuestos!$F$6-Supuestos!$D$6)*(Supuestos!$E$6-Supuestos!$D$6)),Supuestos!$F$6-SQRT((1-C915)*(Supuestos!$F$6-Supuestos!$D$6)*(Supuestos!$F$6-Supuestos!$E$6))),IF(Supuestos!$C$6="Uniforme",Supuestos!$D$6+C915*(Supuestos!$E$6-Supuestos!$D$6),IF(Supuestos!$C$6="Lognormal",LOGINV(C915,LN(Supuestos!$D$6)-LN(1+Supuestos!$E$6^2/Supuestos!$D$6^2)/2,SQRT(LN(1+Supuestos!$E$6^2/Supuestos!$D$6^2))),Supuestos!$D$6))))))</f>
        <v/>
      </c>
      <c r="K915" s="32">
        <f>MIN(IF(Supuestos!$H$7="",1E+99,Supuestos!$H$7),MAX(IF(Supuestos!$G$7="",-1E+99,Supuestos!$G$7),IF(Supuestos!$C$7="Normal",NORMINV(D915,Supuestos!$D$7,Supuestos!$E$7),IF(Supuestos!$C$7="Triangular",IF(D915&lt;(Supuestos!$E$7-Supuestos!$D$7)/(Supuestos!$F$7-Supuestos!$D$7),Supuestos!$D$7+SQRT(D915*(Supuestos!$F$7-Supuestos!$D$7)*(Supuestos!$E$7-Supuestos!$D$7)),Supuestos!$F$7-SQRT((1-D915)*(Supuestos!$F$7-Supuestos!$D$7)*(Supuestos!$F$7-Supuestos!$E$7))),IF(Supuestos!$C$7="Uniforme",Supuestos!$D$7+D915*(Supuestos!$E$7-Supuestos!$D$7),IF(Supuestos!$C$7="Lognormal",LOGINV(D915,LN(Supuestos!$D$7)-LN(1+Supuestos!$E$7^2/Supuestos!$D$7^2)/2,SQRT(LN(1+Supuestos!$E$7^2/Supuestos!$D$7^2))),Supuestos!$D$7))))))</f>
        <v/>
      </c>
      <c r="L915" s="32">
        <f>MIN(IF(Supuestos!$H$8="",1E+99,Supuestos!$H$8),MAX(IF(Supuestos!$G$8="",-1E+99,Supuestos!$G$8),IF(Supuestos!$C$8="Normal",NORMINV(E915,Supuestos!$D$8,Supuestos!$E$8),IF(Supuestos!$C$8="Triangular",IF(E915&lt;(Supuestos!$E$8-Supuestos!$D$8)/(Supuestos!$F$8-Supuestos!$D$8),Supuestos!$D$8+SQRT(E915*(Supuestos!$F$8-Supuestos!$D$8)*(Supuestos!$E$8-Supuestos!$D$8)),Supuestos!$F$8-SQRT((1-E915)*(Supuestos!$F$8-Supuestos!$D$8)*(Supuestos!$F$8-Supuestos!$E$8))),IF(Supuestos!$C$8="Uniforme",Supuestos!$D$8+E915*(Supuestos!$E$8-Supuestos!$D$8),IF(Supuestos!$C$8="Lognormal",LOGINV(E915,LN(Supuestos!$D$8)-LN(1+Supuestos!$E$8^2/Supuestos!$D$8^2)/2,SQRT(LN(1+Supuestos!$E$8^2/Supuestos!$D$8^2))),Supuestos!$D$8))))))</f>
        <v/>
      </c>
      <c r="M915" s="32">
        <f>MIN(IF(Supuestos!$H$9="",1E+99,Supuestos!$H$9),MAX(IF(Supuestos!$G$9="",-1E+99,Supuestos!$G$9),IF(Supuestos!$C$9="Normal",NORMINV(F915,Supuestos!$D$9,Supuestos!$E$9),IF(Supuestos!$C$9="Triangular",IF(F915&lt;(Supuestos!$E$9-Supuestos!$D$9)/(Supuestos!$F$9-Supuestos!$D$9),Supuestos!$D$9+SQRT(F915*(Supuestos!$F$9-Supuestos!$D$9)*(Supuestos!$E$9-Supuestos!$D$9)),Supuestos!$F$9-SQRT((1-F915)*(Supuestos!$F$9-Supuestos!$D$9)*(Supuestos!$F$9-Supuestos!$E$9))),IF(Supuestos!$C$9="Uniforme",Supuestos!$D$9+F915*(Supuestos!$E$9-Supuestos!$D$9),IF(Supuestos!$C$9="Lognormal",LOGINV(F915,LN(Supuestos!$D$9)-LN(1+Supuestos!$E$9^2/Supuestos!$D$9^2)/2,SQRT(LN(1+Supuestos!$E$9^2/Supuestos!$D$9^2))),Supuestos!$D$9))))))</f>
        <v/>
      </c>
      <c r="N915" s="32">
        <f>MIN(IF(Supuestos!$H$10="",1E+99,Supuestos!$H$10),MAX(IF(Supuestos!$G$10="",-1E+99,Supuestos!$G$10),IF(Supuestos!$C$10="Normal",NORMINV(G915,Supuestos!$D$10,Supuestos!$E$10),IF(Supuestos!$C$10="Triangular",IF(G915&lt;(Supuestos!$E$10-Supuestos!$D$10)/(Supuestos!$F$10-Supuestos!$D$10),Supuestos!$D$10+SQRT(G915*(Supuestos!$F$10-Supuestos!$D$10)*(Supuestos!$E$10-Supuestos!$D$10)),Supuestos!$F$10-SQRT((1-G915)*(Supuestos!$F$10-Supuestos!$D$10)*(Supuestos!$F$10-Supuestos!$E$10))),IF(Supuestos!$C$10="Uniforme",Supuestos!$D$10+G915*(Supuestos!$E$10-Supuestos!$D$10),IF(Supuestos!$C$10="Lognormal",LOGINV(G915,LN(Supuestos!$D$10)-LN(1+Supuestos!$E$10^2/Supuestos!$D$10^2)/2,SQRT(LN(1+Supuestos!$E$10^2/Supuestos!$D$10^2))),Supuestos!$D$10))))))</f>
        <v/>
      </c>
      <c r="O915" s="31">
        <f>MIN(IF(Supuestos!$H$11="",1E+99,Supuestos!$H$11),MAX(IF(Supuestos!$G$11="",-1E+99,Supuestos!$G$11),IF(Supuestos!$C$11="Normal",NORMINV(H915,Supuestos!$D$11,Supuestos!$E$11),IF(Supuestos!$C$11="Triangular",IF(H915&lt;(Supuestos!$E$11-Supuestos!$D$11)/(Supuestos!$F$11-Supuestos!$D$11),Supuestos!$D$11+SQRT(H915*(Supuestos!$F$11-Supuestos!$D$11)*(Supuestos!$E$11-Supuestos!$D$11)),Supuestos!$F$11-SQRT((1-H915)*(Supuestos!$F$11-Supuestos!$D$11)*(Supuestos!$F$11-Supuestos!$E$11))),IF(Supuestos!$C$11="Uniforme",Supuestos!$D$11+H915*(Supuestos!$E$11-Supuestos!$D$11),IF(Supuestos!$C$11="Lognormal",LOGINV(H915,LN(Supuestos!$D$11)-LN(1+Supuestos!$E$11^2/Supuestos!$D$11^2)/2,SQRT(LN(1+Supuestos!$E$11^2/Supuestos!$D$11^2))),Supuestos!$D$11))))))</f>
        <v/>
      </c>
      <c r="P915" s="33">
        <f>-I915</f>
        <v/>
      </c>
      <c r="Q915" s="33">
        <f>$J915*(1+$K915)^(1-1)*(1-$L915)*(1-$M915)</f>
        <v/>
      </c>
      <c r="R915" s="33">
        <f>$J915*(1+$K915)^(2-1)*(1-$L915)*(1-$M915)</f>
        <v/>
      </c>
      <c r="S915" s="33">
        <f>$J915*(1+$K915)^(3-1)*(1-$L915)*(1-$M915)</f>
        <v/>
      </c>
      <c r="T915" s="33">
        <f>$J915*(1+$K915)^(4-1)*(1-$L915)*(1-$M915)</f>
        <v/>
      </c>
      <c r="U915" s="33">
        <f>$J915*(1+$K915)^(5-1)*(1-$L915)*(1-$M915)+$O915</f>
        <v/>
      </c>
      <c r="V915" s="33">
        <f>P915+NPV($N915,Q915:U915)</f>
        <v/>
      </c>
      <c r="W915" s="32">
        <f>IFERROR(IRR(P915:U915,0.1),"")</f>
        <v/>
      </c>
    </row>
    <row r="916">
      <c r="A916" s="14" t="n">
        <v>912</v>
      </c>
      <c r="B916" s="30">
        <f>RAND()*(1-2E-6)+1E-6</f>
        <v/>
      </c>
      <c r="C916" s="30">
        <f>RAND()*(1-2E-6)+1E-6</f>
        <v/>
      </c>
      <c r="D916" s="30">
        <f>RAND()*(1-2E-6)+1E-6</f>
        <v/>
      </c>
      <c r="E916" s="30">
        <f>RAND()*(1-2E-6)+1E-6</f>
        <v/>
      </c>
      <c r="F916" s="30">
        <f>RAND()*(1-2E-6)+1E-6</f>
        <v/>
      </c>
      <c r="G916" s="30">
        <f>RAND()*(1-2E-6)+1E-6</f>
        <v/>
      </c>
      <c r="H916" s="30">
        <f>RAND()*(1-2E-6)+1E-6</f>
        <v/>
      </c>
      <c r="I916" s="31">
        <f>MIN(IF(Supuestos!$H$5="",1E+99,Supuestos!$H$5),MAX(IF(Supuestos!$G$5="",-1E+99,Supuestos!$G$5),IF(Supuestos!$C$5="Normal",NORMINV(B916,Supuestos!$D$5,Supuestos!$E$5),IF(Supuestos!$C$5="Triangular",IF(B916&lt;(Supuestos!$E$5-Supuestos!$D$5)/(Supuestos!$F$5-Supuestos!$D$5),Supuestos!$D$5+SQRT(B916*(Supuestos!$F$5-Supuestos!$D$5)*(Supuestos!$E$5-Supuestos!$D$5)),Supuestos!$F$5-SQRT((1-B916)*(Supuestos!$F$5-Supuestos!$D$5)*(Supuestos!$F$5-Supuestos!$E$5))),IF(Supuestos!$C$5="Uniforme",Supuestos!$D$5+B916*(Supuestos!$E$5-Supuestos!$D$5),IF(Supuestos!$C$5="Lognormal",LOGINV(B916,LN(Supuestos!$D$5)-LN(1+Supuestos!$E$5^2/Supuestos!$D$5^2)/2,SQRT(LN(1+Supuestos!$E$5^2/Supuestos!$D$5^2))),Supuestos!$D$5))))))</f>
        <v/>
      </c>
      <c r="J916" s="31">
        <f>MIN(IF(Supuestos!$H$6="",1E+99,Supuestos!$H$6),MAX(IF(Supuestos!$G$6="",-1E+99,Supuestos!$G$6),IF(Supuestos!$C$6="Normal",NORMINV(C916,Supuestos!$D$6,Supuestos!$E$6),IF(Supuestos!$C$6="Triangular",IF(C916&lt;(Supuestos!$E$6-Supuestos!$D$6)/(Supuestos!$F$6-Supuestos!$D$6),Supuestos!$D$6+SQRT(C916*(Supuestos!$F$6-Supuestos!$D$6)*(Supuestos!$E$6-Supuestos!$D$6)),Supuestos!$F$6-SQRT((1-C916)*(Supuestos!$F$6-Supuestos!$D$6)*(Supuestos!$F$6-Supuestos!$E$6))),IF(Supuestos!$C$6="Uniforme",Supuestos!$D$6+C916*(Supuestos!$E$6-Supuestos!$D$6),IF(Supuestos!$C$6="Lognormal",LOGINV(C916,LN(Supuestos!$D$6)-LN(1+Supuestos!$E$6^2/Supuestos!$D$6^2)/2,SQRT(LN(1+Supuestos!$E$6^2/Supuestos!$D$6^2))),Supuestos!$D$6))))))</f>
        <v/>
      </c>
      <c r="K916" s="32">
        <f>MIN(IF(Supuestos!$H$7="",1E+99,Supuestos!$H$7),MAX(IF(Supuestos!$G$7="",-1E+99,Supuestos!$G$7),IF(Supuestos!$C$7="Normal",NORMINV(D916,Supuestos!$D$7,Supuestos!$E$7),IF(Supuestos!$C$7="Triangular",IF(D916&lt;(Supuestos!$E$7-Supuestos!$D$7)/(Supuestos!$F$7-Supuestos!$D$7),Supuestos!$D$7+SQRT(D916*(Supuestos!$F$7-Supuestos!$D$7)*(Supuestos!$E$7-Supuestos!$D$7)),Supuestos!$F$7-SQRT((1-D916)*(Supuestos!$F$7-Supuestos!$D$7)*(Supuestos!$F$7-Supuestos!$E$7))),IF(Supuestos!$C$7="Uniforme",Supuestos!$D$7+D916*(Supuestos!$E$7-Supuestos!$D$7),IF(Supuestos!$C$7="Lognormal",LOGINV(D916,LN(Supuestos!$D$7)-LN(1+Supuestos!$E$7^2/Supuestos!$D$7^2)/2,SQRT(LN(1+Supuestos!$E$7^2/Supuestos!$D$7^2))),Supuestos!$D$7))))))</f>
        <v/>
      </c>
      <c r="L916" s="32">
        <f>MIN(IF(Supuestos!$H$8="",1E+99,Supuestos!$H$8),MAX(IF(Supuestos!$G$8="",-1E+99,Supuestos!$G$8),IF(Supuestos!$C$8="Normal",NORMINV(E916,Supuestos!$D$8,Supuestos!$E$8),IF(Supuestos!$C$8="Triangular",IF(E916&lt;(Supuestos!$E$8-Supuestos!$D$8)/(Supuestos!$F$8-Supuestos!$D$8),Supuestos!$D$8+SQRT(E916*(Supuestos!$F$8-Supuestos!$D$8)*(Supuestos!$E$8-Supuestos!$D$8)),Supuestos!$F$8-SQRT((1-E916)*(Supuestos!$F$8-Supuestos!$D$8)*(Supuestos!$F$8-Supuestos!$E$8))),IF(Supuestos!$C$8="Uniforme",Supuestos!$D$8+E916*(Supuestos!$E$8-Supuestos!$D$8),IF(Supuestos!$C$8="Lognormal",LOGINV(E916,LN(Supuestos!$D$8)-LN(1+Supuestos!$E$8^2/Supuestos!$D$8^2)/2,SQRT(LN(1+Supuestos!$E$8^2/Supuestos!$D$8^2))),Supuestos!$D$8))))))</f>
        <v/>
      </c>
      <c r="M916" s="32">
        <f>MIN(IF(Supuestos!$H$9="",1E+99,Supuestos!$H$9),MAX(IF(Supuestos!$G$9="",-1E+99,Supuestos!$G$9),IF(Supuestos!$C$9="Normal",NORMINV(F916,Supuestos!$D$9,Supuestos!$E$9),IF(Supuestos!$C$9="Triangular",IF(F916&lt;(Supuestos!$E$9-Supuestos!$D$9)/(Supuestos!$F$9-Supuestos!$D$9),Supuestos!$D$9+SQRT(F916*(Supuestos!$F$9-Supuestos!$D$9)*(Supuestos!$E$9-Supuestos!$D$9)),Supuestos!$F$9-SQRT((1-F916)*(Supuestos!$F$9-Supuestos!$D$9)*(Supuestos!$F$9-Supuestos!$E$9))),IF(Supuestos!$C$9="Uniforme",Supuestos!$D$9+F916*(Supuestos!$E$9-Supuestos!$D$9),IF(Supuestos!$C$9="Lognormal",LOGINV(F916,LN(Supuestos!$D$9)-LN(1+Supuestos!$E$9^2/Supuestos!$D$9^2)/2,SQRT(LN(1+Supuestos!$E$9^2/Supuestos!$D$9^2))),Supuestos!$D$9))))))</f>
        <v/>
      </c>
      <c r="N916" s="32">
        <f>MIN(IF(Supuestos!$H$10="",1E+99,Supuestos!$H$10),MAX(IF(Supuestos!$G$10="",-1E+99,Supuestos!$G$10),IF(Supuestos!$C$10="Normal",NORMINV(G916,Supuestos!$D$10,Supuestos!$E$10),IF(Supuestos!$C$10="Triangular",IF(G916&lt;(Supuestos!$E$10-Supuestos!$D$10)/(Supuestos!$F$10-Supuestos!$D$10),Supuestos!$D$10+SQRT(G916*(Supuestos!$F$10-Supuestos!$D$10)*(Supuestos!$E$10-Supuestos!$D$10)),Supuestos!$F$10-SQRT((1-G916)*(Supuestos!$F$10-Supuestos!$D$10)*(Supuestos!$F$10-Supuestos!$E$10))),IF(Supuestos!$C$10="Uniforme",Supuestos!$D$10+G916*(Supuestos!$E$10-Supuestos!$D$10),IF(Supuestos!$C$10="Lognormal",LOGINV(G916,LN(Supuestos!$D$10)-LN(1+Supuestos!$E$10^2/Supuestos!$D$10^2)/2,SQRT(LN(1+Supuestos!$E$10^2/Supuestos!$D$10^2))),Supuestos!$D$10))))))</f>
        <v/>
      </c>
      <c r="O916" s="31">
        <f>MIN(IF(Supuestos!$H$11="",1E+99,Supuestos!$H$11),MAX(IF(Supuestos!$G$11="",-1E+99,Supuestos!$G$11),IF(Supuestos!$C$11="Normal",NORMINV(H916,Supuestos!$D$11,Supuestos!$E$11),IF(Supuestos!$C$11="Triangular",IF(H916&lt;(Supuestos!$E$11-Supuestos!$D$11)/(Supuestos!$F$11-Supuestos!$D$11),Supuestos!$D$11+SQRT(H916*(Supuestos!$F$11-Supuestos!$D$11)*(Supuestos!$E$11-Supuestos!$D$11)),Supuestos!$F$11-SQRT((1-H916)*(Supuestos!$F$11-Supuestos!$D$11)*(Supuestos!$F$11-Supuestos!$E$11))),IF(Supuestos!$C$11="Uniforme",Supuestos!$D$11+H916*(Supuestos!$E$11-Supuestos!$D$11),IF(Supuestos!$C$11="Lognormal",LOGINV(H916,LN(Supuestos!$D$11)-LN(1+Supuestos!$E$11^2/Supuestos!$D$11^2)/2,SQRT(LN(1+Supuestos!$E$11^2/Supuestos!$D$11^2))),Supuestos!$D$11))))))</f>
        <v/>
      </c>
      <c r="P916" s="33">
        <f>-I916</f>
        <v/>
      </c>
      <c r="Q916" s="33">
        <f>$J916*(1+$K916)^(1-1)*(1-$L916)*(1-$M916)</f>
        <v/>
      </c>
      <c r="R916" s="33">
        <f>$J916*(1+$K916)^(2-1)*(1-$L916)*(1-$M916)</f>
        <v/>
      </c>
      <c r="S916" s="33">
        <f>$J916*(1+$K916)^(3-1)*(1-$L916)*(1-$M916)</f>
        <v/>
      </c>
      <c r="T916" s="33">
        <f>$J916*(1+$K916)^(4-1)*(1-$L916)*(1-$M916)</f>
        <v/>
      </c>
      <c r="U916" s="33">
        <f>$J916*(1+$K916)^(5-1)*(1-$L916)*(1-$M916)+$O916</f>
        <v/>
      </c>
      <c r="V916" s="33">
        <f>P916+NPV($N916,Q916:U916)</f>
        <v/>
      </c>
      <c r="W916" s="32">
        <f>IFERROR(IRR(P916:U916,0.1),"")</f>
        <v/>
      </c>
    </row>
    <row r="917">
      <c r="A917" s="14" t="n">
        <v>913</v>
      </c>
      <c r="B917" s="30">
        <f>RAND()*(1-2E-6)+1E-6</f>
        <v/>
      </c>
      <c r="C917" s="30">
        <f>RAND()*(1-2E-6)+1E-6</f>
        <v/>
      </c>
      <c r="D917" s="30">
        <f>RAND()*(1-2E-6)+1E-6</f>
        <v/>
      </c>
      <c r="E917" s="30">
        <f>RAND()*(1-2E-6)+1E-6</f>
        <v/>
      </c>
      <c r="F917" s="30">
        <f>RAND()*(1-2E-6)+1E-6</f>
        <v/>
      </c>
      <c r="G917" s="30">
        <f>RAND()*(1-2E-6)+1E-6</f>
        <v/>
      </c>
      <c r="H917" s="30">
        <f>RAND()*(1-2E-6)+1E-6</f>
        <v/>
      </c>
      <c r="I917" s="31">
        <f>MIN(IF(Supuestos!$H$5="",1E+99,Supuestos!$H$5),MAX(IF(Supuestos!$G$5="",-1E+99,Supuestos!$G$5),IF(Supuestos!$C$5="Normal",NORMINV(B917,Supuestos!$D$5,Supuestos!$E$5),IF(Supuestos!$C$5="Triangular",IF(B917&lt;(Supuestos!$E$5-Supuestos!$D$5)/(Supuestos!$F$5-Supuestos!$D$5),Supuestos!$D$5+SQRT(B917*(Supuestos!$F$5-Supuestos!$D$5)*(Supuestos!$E$5-Supuestos!$D$5)),Supuestos!$F$5-SQRT((1-B917)*(Supuestos!$F$5-Supuestos!$D$5)*(Supuestos!$F$5-Supuestos!$E$5))),IF(Supuestos!$C$5="Uniforme",Supuestos!$D$5+B917*(Supuestos!$E$5-Supuestos!$D$5),IF(Supuestos!$C$5="Lognormal",LOGINV(B917,LN(Supuestos!$D$5)-LN(1+Supuestos!$E$5^2/Supuestos!$D$5^2)/2,SQRT(LN(1+Supuestos!$E$5^2/Supuestos!$D$5^2))),Supuestos!$D$5))))))</f>
        <v/>
      </c>
      <c r="J917" s="31">
        <f>MIN(IF(Supuestos!$H$6="",1E+99,Supuestos!$H$6),MAX(IF(Supuestos!$G$6="",-1E+99,Supuestos!$G$6),IF(Supuestos!$C$6="Normal",NORMINV(C917,Supuestos!$D$6,Supuestos!$E$6),IF(Supuestos!$C$6="Triangular",IF(C917&lt;(Supuestos!$E$6-Supuestos!$D$6)/(Supuestos!$F$6-Supuestos!$D$6),Supuestos!$D$6+SQRT(C917*(Supuestos!$F$6-Supuestos!$D$6)*(Supuestos!$E$6-Supuestos!$D$6)),Supuestos!$F$6-SQRT((1-C917)*(Supuestos!$F$6-Supuestos!$D$6)*(Supuestos!$F$6-Supuestos!$E$6))),IF(Supuestos!$C$6="Uniforme",Supuestos!$D$6+C917*(Supuestos!$E$6-Supuestos!$D$6),IF(Supuestos!$C$6="Lognormal",LOGINV(C917,LN(Supuestos!$D$6)-LN(1+Supuestos!$E$6^2/Supuestos!$D$6^2)/2,SQRT(LN(1+Supuestos!$E$6^2/Supuestos!$D$6^2))),Supuestos!$D$6))))))</f>
        <v/>
      </c>
      <c r="K917" s="32">
        <f>MIN(IF(Supuestos!$H$7="",1E+99,Supuestos!$H$7),MAX(IF(Supuestos!$G$7="",-1E+99,Supuestos!$G$7),IF(Supuestos!$C$7="Normal",NORMINV(D917,Supuestos!$D$7,Supuestos!$E$7),IF(Supuestos!$C$7="Triangular",IF(D917&lt;(Supuestos!$E$7-Supuestos!$D$7)/(Supuestos!$F$7-Supuestos!$D$7),Supuestos!$D$7+SQRT(D917*(Supuestos!$F$7-Supuestos!$D$7)*(Supuestos!$E$7-Supuestos!$D$7)),Supuestos!$F$7-SQRT((1-D917)*(Supuestos!$F$7-Supuestos!$D$7)*(Supuestos!$F$7-Supuestos!$E$7))),IF(Supuestos!$C$7="Uniforme",Supuestos!$D$7+D917*(Supuestos!$E$7-Supuestos!$D$7),IF(Supuestos!$C$7="Lognormal",LOGINV(D917,LN(Supuestos!$D$7)-LN(1+Supuestos!$E$7^2/Supuestos!$D$7^2)/2,SQRT(LN(1+Supuestos!$E$7^2/Supuestos!$D$7^2))),Supuestos!$D$7))))))</f>
        <v/>
      </c>
      <c r="L917" s="32">
        <f>MIN(IF(Supuestos!$H$8="",1E+99,Supuestos!$H$8),MAX(IF(Supuestos!$G$8="",-1E+99,Supuestos!$G$8),IF(Supuestos!$C$8="Normal",NORMINV(E917,Supuestos!$D$8,Supuestos!$E$8),IF(Supuestos!$C$8="Triangular",IF(E917&lt;(Supuestos!$E$8-Supuestos!$D$8)/(Supuestos!$F$8-Supuestos!$D$8),Supuestos!$D$8+SQRT(E917*(Supuestos!$F$8-Supuestos!$D$8)*(Supuestos!$E$8-Supuestos!$D$8)),Supuestos!$F$8-SQRT((1-E917)*(Supuestos!$F$8-Supuestos!$D$8)*(Supuestos!$F$8-Supuestos!$E$8))),IF(Supuestos!$C$8="Uniforme",Supuestos!$D$8+E917*(Supuestos!$E$8-Supuestos!$D$8),IF(Supuestos!$C$8="Lognormal",LOGINV(E917,LN(Supuestos!$D$8)-LN(1+Supuestos!$E$8^2/Supuestos!$D$8^2)/2,SQRT(LN(1+Supuestos!$E$8^2/Supuestos!$D$8^2))),Supuestos!$D$8))))))</f>
        <v/>
      </c>
      <c r="M917" s="32">
        <f>MIN(IF(Supuestos!$H$9="",1E+99,Supuestos!$H$9),MAX(IF(Supuestos!$G$9="",-1E+99,Supuestos!$G$9),IF(Supuestos!$C$9="Normal",NORMINV(F917,Supuestos!$D$9,Supuestos!$E$9),IF(Supuestos!$C$9="Triangular",IF(F917&lt;(Supuestos!$E$9-Supuestos!$D$9)/(Supuestos!$F$9-Supuestos!$D$9),Supuestos!$D$9+SQRT(F917*(Supuestos!$F$9-Supuestos!$D$9)*(Supuestos!$E$9-Supuestos!$D$9)),Supuestos!$F$9-SQRT((1-F917)*(Supuestos!$F$9-Supuestos!$D$9)*(Supuestos!$F$9-Supuestos!$E$9))),IF(Supuestos!$C$9="Uniforme",Supuestos!$D$9+F917*(Supuestos!$E$9-Supuestos!$D$9),IF(Supuestos!$C$9="Lognormal",LOGINV(F917,LN(Supuestos!$D$9)-LN(1+Supuestos!$E$9^2/Supuestos!$D$9^2)/2,SQRT(LN(1+Supuestos!$E$9^2/Supuestos!$D$9^2))),Supuestos!$D$9))))))</f>
        <v/>
      </c>
      <c r="N917" s="32">
        <f>MIN(IF(Supuestos!$H$10="",1E+99,Supuestos!$H$10),MAX(IF(Supuestos!$G$10="",-1E+99,Supuestos!$G$10),IF(Supuestos!$C$10="Normal",NORMINV(G917,Supuestos!$D$10,Supuestos!$E$10),IF(Supuestos!$C$10="Triangular",IF(G917&lt;(Supuestos!$E$10-Supuestos!$D$10)/(Supuestos!$F$10-Supuestos!$D$10),Supuestos!$D$10+SQRT(G917*(Supuestos!$F$10-Supuestos!$D$10)*(Supuestos!$E$10-Supuestos!$D$10)),Supuestos!$F$10-SQRT((1-G917)*(Supuestos!$F$10-Supuestos!$D$10)*(Supuestos!$F$10-Supuestos!$E$10))),IF(Supuestos!$C$10="Uniforme",Supuestos!$D$10+G917*(Supuestos!$E$10-Supuestos!$D$10),IF(Supuestos!$C$10="Lognormal",LOGINV(G917,LN(Supuestos!$D$10)-LN(1+Supuestos!$E$10^2/Supuestos!$D$10^2)/2,SQRT(LN(1+Supuestos!$E$10^2/Supuestos!$D$10^2))),Supuestos!$D$10))))))</f>
        <v/>
      </c>
      <c r="O917" s="31">
        <f>MIN(IF(Supuestos!$H$11="",1E+99,Supuestos!$H$11),MAX(IF(Supuestos!$G$11="",-1E+99,Supuestos!$G$11),IF(Supuestos!$C$11="Normal",NORMINV(H917,Supuestos!$D$11,Supuestos!$E$11),IF(Supuestos!$C$11="Triangular",IF(H917&lt;(Supuestos!$E$11-Supuestos!$D$11)/(Supuestos!$F$11-Supuestos!$D$11),Supuestos!$D$11+SQRT(H917*(Supuestos!$F$11-Supuestos!$D$11)*(Supuestos!$E$11-Supuestos!$D$11)),Supuestos!$F$11-SQRT((1-H917)*(Supuestos!$F$11-Supuestos!$D$11)*(Supuestos!$F$11-Supuestos!$E$11))),IF(Supuestos!$C$11="Uniforme",Supuestos!$D$11+H917*(Supuestos!$E$11-Supuestos!$D$11),IF(Supuestos!$C$11="Lognormal",LOGINV(H917,LN(Supuestos!$D$11)-LN(1+Supuestos!$E$11^2/Supuestos!$D$11^2)/2,SQRT(LN(1+Supuestos!$E$11^2/Supuestos!$D$11^2))),Supuestos!$D$11))))))</f>
        <v/>
      </c>
      <c r="P917" s="33">
        <f>-I917</f>
        <v/>
      </c>
      <c r="Q917" s="33">
        <f>$J917*(1+$K917)^(1-1)*(1-$L917)*(1-$M917)</f>
        <v/>
      </c>
      <c r="R917" s="33">
        <f>$J917*(1+$K917)^(2-1)*(1-$L917)*(1-$M917)</f>
        <v/>
      </c>
      <c r="S917" s="33">
        <f>$J917*(1+$K917)^(3-1)*(1-$L917)*(1-$M917)</f>
        <v/>
      </c>
      <c r="T917" s="33">
        <f>$J917*(1+$K917)^(4-1)*(1-$L917)*(1-$M917)</f>
        <v/>
      </c>
      <c r="U917" s="33">
        <f>$J917*(1+$K917)^(5-1)*(1-$L917)*(1-$M917)+$O917</f>
        <v/>
      </c>
      <c r="V917" s="33">
        <f>P917+NPV($N917,Q917:U917)</f>
        <v/>
      </c>
      <c r="W917" s="32">
        <f>IFERROR(IRR(P917:U917,0.1),"")</f>
        <v/>
      </c>
    </row>
    <row r="918">
      <c r="A918" s="14" t="n">
        <v>914</v>
      </c>
      <c r="B918" s="30">
        <f>RAND()*(1-2E-6)+1E-6</f>
        <v/>
      </c>
      <c r="C918" s="30">
        <f>RAND()*(1-2E-6)+1E-6</f>
        <v/>
      </c>
      <c r="D918" s="30">
        <f>RAND()*(1-2E-6)+1E-6</f>
        <v/>
      </c>
      <c r="E918" s="30">
        <f>RAND()*(1-2E-6)+1E-6</f>
        <v/>
      </c>
      <c r="F918" s="30">
        <f>RAND()*(1-2E-6)+1E-6</f>
        <v/>
      </c>
      <c r="G918" s="30">
        <f>RAND()*(1-2E-6)+1E-6</f>
        <v/>
      </c>
      <c r="H918" s="30">
        <f>RAND()*(1-2E-6)+1E-6</f>
        <v/>
      </c>
      <c r="I918" s="31">
        <f>MIN(IF(Supuestos!$H$5="",1E+99,Supuestos!$H$5),MAX(IF(Supuestos!$G$5="",-1E+99,Supuestos!$G$5),IF(Supuestos!$C$5="Normal",NORMINV(B918,Supuestos!$D$5,Supuestos!$E$5),IF(Supuestos!$C$5="Triangular",IF(B918&lt;(Supuestos!$E$5-Supuestos!$D$5)/(Supuestos!$F$5-Supuestos!$D$5),Supuestos!$D$5+SQRT(B918*(Supuestos!$F$5-Supuestos!$D$5)*(Supuestos!$E$5-Supuestos!$D$5)),Supuestos!$F$5-SQRT((1-B918)*(Supuestos!$F$5-Supuestos!$D$5)*(Supuestos!$F$5-Supuestos!$E$5))),IF(Supuestos!$C$5="Uniforme",Supuestos!$D$5+B918*(Supuestos!$E$5-Supuestos!$D$5),IF(Supuestos!$C$5="Lognormal",LOGINV(B918,LN(Supuestos!$D$5)-LN(1+Supuestos!$E$5^2/Supuestos!$D$5^2)/2,SQRT(LN(1+Supuestos!$E$5^2/Supuestos!$D$5^2))),Supuestos!$D$5))))))</f>
        <v/>
      </c>
      <c r="J918" s="31">
        <f>MIN(IF(Supuestos!$H$6="",1E+99,Supuestos!$H$6),MAX(IF(Supuestos!$G$6="",-1E+99,Supuestos!$G$6),IF(Supuestos!$C$6="Normal",NORMINV(C918,Supuestos!$D$6,Supuestos!$E$6),IF(Supuestos!$C$6="Triangular",IF(C918&lt;(Supuestos!$E$6-Supuestos!$D$6)/(Supuestos!$F$6-Supuestos!$D$6),Supuestos!$D$6+SQRT(C918*(Supuestos!$F$6-Supuestos!$D$6)*(Supuestos!$E$6-Supuestos!$D$6)),Supuestos!$F$6-SQRT((1-C918)*(Supuestos!$F$6-Supuestos!$D$6)*(Supuestos!$F$6-Supuestos!$E$6))),IF(Supuestos!$C$6="Uniforme",Supuestos!$D$6+C918*(Supuestos!$E$6-Supuestos!$D$6),IF(Supuestos!$C$6="Lognormal",LOGINV(C918,LN(Supuestos!$D$6)-LN(1+Supuestos!$E$6^2/Supuestos!$D$6^2)/2,SQRT(LN(1+Supuestos!$E$6^2/Supuestos!$D$6^2))),Supuestos!$D$6))))))</f>
        <v/>
      </c>
      <c r="K918" s="32">
        <f>MIN(IF(Supuestos!$H$7="",1E+99,Supuestos!$H$7),MAX(IF(Supuestos!$G$7="",-1E+99,Supuestos!$G$7),IF(Supuestos!$C$7="Normal",NORMINV(D918,Supuestos!$D$7,Supuestos!$E$7),IF(Supuestos!$C$7="Triangular",IF(D918&lt;(Supuestos!$E$7-Supuestos!$D$7)/(Supuestos!$F$7-Supuestos!$D$7),Supuestos!$D$7+SQRT(D918*(Supuestos!$F$7-Supuestos!$D$7)*(Supuestos!$E$7-Supuestos!$D$7)),Supuestos!$F$7-SQRT((1-D918)*(Supuestos!$F$7-Supuestos!$D$7)*(Supuestos!$F$7-Supuestos!$E$7))),IF(Supuestos!$C$7="Uniforme",Supuestos!$D$7+D918*(Supuestos!$E$7-Supuestos!$D$7),IF(Supuestos!$C$7="Lognormal",LOGINV(D918,LN(Supuestos!$D$7)-LN(1+Supuestos!$E$7^2/Supuestos!$D$7^2)/2,SQRT(LN(1+Supuestos!$E$7^2/Supuestos!$D$7^2))),Supuestos!$D$7))))))</f>
        <v/>
      </c>
      <c r="L918" s="32">
        <f>MIN(IF(Supuestos!$H$8="",1E+99,Supuestos!$H$8),MAX(IF(Supuestos!$G$8="",-1E+99,Supuestos!$G$8),IF(Supuestos!$C$8="Normal",NORMINV(E918,Supuestos!$D$8,Supuestos!$E$8),IF(Supuestos!$C$8="Triangular",IF(E918&lt;(Supuestos!$E$8-Supuestos!$D$8)/(Supuestos!$F$8-Supuestos!$D$8),Supuestos!$D$8+SQRT(E918*(Supuestos!$F$8-Supuestos!$D$8)*(Supuestos!$E$8-Supuestos!$D$8)),Supuestos!$F$8-SQRT((1-E918)*(Supuestos!$F$8-Supuestos!$D$8)*(Supuestos!$F$8-Supuestos!$E$8))),IF(Supuestos!$C$8="Uniforme",Supuestos!$D$8+E918*(Supuestos!$E$8-Supuestos!$D$8),IF(Supuestos!$C$8="Lognormal",LOGINV(E918,LN(Supuestos!$D$8)-LN(1+Supuestos!$E$8^2/Supuestos!$D$8^2)/2,SQRT(LN(1+Supuestos!$E$8^2/Supuestos!$D$8^2))),Supuestos!$D$8))))))</f>
        <v/>
      </c>
      <c r="M918" s="32">
        <f>MIN(IF(Supuestos!$H$9="",1E+99,Supuestos!$H$9),MAX(IF(Supuestos!$G$9="",-1E+99,Supuestos!$G$9),IF(Supuestos!$C$9="Normal",NORMINV(F918,Supuestos!$D$9,Supuestos!$E$9),IF(Supuestos!$C$9="Triangular",IF(F918&lt;(Supuestos!$E$9-Supuestos!$D$9)/(Supuestos!$F$9-Supuestos!$D$9),Supuestos!$D$9+SQRT(F918*(Supuestos!$F$9-Supuestos!$D$9)*(Supuestos!$E$9-Supuestos!$D$9)),Supuestos!$F$9-SQRT((1-F918)*(Supuestos!$F$9-Supuestos!$D$9)*(Supuestos!$F$9-Supuestos!$E$9))),IF(Supuestos!$C$9="Uniforme",Supuestos!$D$9+F918*(Supuestos!$E$9-Supuestos!$D$9),IF(Supuestos!$C$9="Lognormal",LOGINV(F918,LN(Supuestos!$D$9)-LN(1+Supuestos!$E$9^2/Supuestos!$D$9^2)/2,SQRT(LN(1+Supuestos!$E$9^2/Supuestos!$D$9^2))),Supuestos!$D$9))))))</f>
        <v/>
      </c>
      <c r="N918" s="32">
        <f>MIN(IF(Supuestos!$H$10="",1E+99,Supuestos!$H$10),MAX(IF(Supuestos!$G$10="",-1E+99,Supuestos!$G$10),IF(Supuestos!$C$10="Normal",NORMINV(G918,Supuestos!$D$10,Supuestos!$E$10),IF(Supuestos!$C$10="Triangular",IF(G918&lt;(Supuestos!$E$10-Supuestos!$D$10)/(Supuestos!$F$10-Supuestos!$D$10),Supuestos!$D$10+SQRT(G918*(Supuestos!$F$10-Supuestos!$D$10)*(Supuestos!$E$10-Supuestos!$D$10)),Supuestos!$F$10-SQRT((1-G918)*(Supuestos!$F$10-Supuestos!$D$10)*(Supuestos!$F$10-Supuestos!$E$10))),IF(Supuestos!$C$10="Uniforme",Supuestos!$D$10+G918*(Supuestos!$E$10-Supuestos!$D$10),IF(Supuestos!$C$10="Lognormal",LOGINV(G918,LN(Supuestos!$D$10)-LN(1+Supuestos!$E$10^2/Supuestos!$D$10^2)/2,SQRT(LN(1+Supuestos!$E$10^2/Supuestos!$D$10^2))),Supuestos!$D$10))))))</f>
        <v/>
      </c>
      <c r="O918" s="31">
        <f>MIN(IF(Supuestos!$H$11="",1E+99,Supuestos!$H$11),MAX(IF(Supuestos!$G$11="",-1E+99,Supuestos!$G$11),IF(Supuestos!$C$11="Normal",NORMINV(H918,Supuestos!$D$11,Supuestos!$E$11),IF(Supuestos!$C$11="Triangular",IF(H918&lt;(Supuestos!$E$11-Supuestos!$D$11)/(Supuestos!$F$11-Supuestos!$D$11),Supuestos!$D$11+SQRT(H918*(Supuestos!$F$11-Supuestos!$D$11)*(Supuestos!$E$11-Supuestos!$D$11)),Supuestos!$F$11-SQRT((1-H918)*(Supuestos!$F$11-Supuestos!$D$11)*(Supuestos!$F$11-Supuestos!$E$11))),IF(Supuestos!$C$11="Uniforme",Supuestos!$D$11+H918*(Supuestos!$E$11-Supuestos!$D$11),IF(Supuestos!$C$11="Lognormal",LOGINV(H918,LN(Supuestos!$D$11)-LN(1+Supuestos!$E$11^2/Supuestos!$D$11^2)/2,SQRT(LN(1+Supuestos!$E$11^2/Supuestos!$D$11^2))),Supuestos!$D$11))))))</f>
        <v/>
      </c>
      <c r="P918" s="33">
        <f>-I918</f>
        <v/>
      </c>
      <c r="Q918" s="33">
        <f>$J918*(1+$K918)^(1-1)*(1-$L918)*(1-$M918)</f>
        <v/>
      </c>
      <c r="R918" s="33">
        <f>$J918*(1+$K918)^(2-1)*(1-$L918)*(1-$M918)</f>
        <v/>
      </c>
      <c r="S918" s="33">
        <f>$J918*(1+$K918)^(3-1)*(1-$L918)*(1-$M918)</f>
        <v/>
      </c>
      <c r="T918" s="33">
        <f>$J918*(1+$K918)^(4-1)*(1-$L918)*(1-$M918)</f>
        <v/>
      </c>
      <c r="U918" s="33">
        <f>$J918*(1+$K918)^(5-1)*(1-$L918)*(1-$M918)+$O918</f>
        <v/>
      </c>
      <c r="V918" s="33">
        <f>P918+NPV($N918,Q918:U918)</f>
        <v/>
      </c>
      <c r="W918" s="32">
        <f>IFERROR(IRR(P918:U918,0.1),"")</f>
        <v/>
      </c>
    </row>
    <row r="919">
      <c r="A919" s="14" t="n">
        <v>915</v>
      </c>
      <c r="B919" s="30">
        <f>RAND()*(1-2E-6)+1E-6</f>
        <v/>
      </c>
      <c r="C919" s="30">
        <f>RAND()*(1-2E-6)+1E-6</f>
        <v/>
      </c>
      <c r="D919" s="30">
        <f>RAND()*(1-2E-6)+1E-6</f>
        <v/>
      </c>
      <c r="E919" s="30">
        <f>RAND()*(1-2E-6)+1E-6</f>
        <v/>
      </c>
      <c r="F919" s="30">
        <f>RAND()*(1-2E-6)+1E-6</f>
        <v/>
      </c>
      <c r="G919" s="30">
        <f>RAND()*(1-2E-6)+1E-6</f>
        <v/>
      </c>
      <c r="H919" s="30">
        <f>RAND()*(1-2E-6)+1E-6</f>
        <v/>
      </c>
      <c r="I919" s="31">
        <f>MIN(IF(Supuestos!$H$5="",1E+99,Supuestos!$H$5),MAX(IF(Supuestos!$G$5="",-1E+99,Supuestos!$G$5),IF(Supuestos!$C$5="Normal",NORMINV(B919,Supuestos!$D$5,Supuestos!$E$5),IF(Supuestos!$C$5="Triangular",IF(B919&lt;(Supuestos!$E$5-Supuestos!$D$5)/(Supuestos!$F$5-Supuestos!$D$5),Supuestos!$D$5+SQRT(B919*(Supuestos!$F$5-Supuestos!$D$5)*(Supuestos!$E$5-Supuestos!$D$5)),Supuestos!$F$5-SQRT((1-B919)*(Supuestos!$F$5-Supuestos!$D$5)*(Supuestos!$F$5-Supuestos!$E$5))),IF(Supuestos!$C$5="Uniforme",Supuestos!$D$5+B919*(Supuestos!$E$5-Supuestos!$D$5),IF(Supuestos!$C$5="Lognormal",LOGINV(B919,LN(Supuestos!$D$5)-LN(1+Supuestos!$E$5^2/Supuestos!$D$5^2)/2,SQRT(LN(1+Supuestos!$E$5^2/Supuestos!$D$5^2))),Supuestos!$D$5))))))</f>
        <v/>
      </c>
      <c r="J919" s="31">
        <f>MIN(IF(Supuestos!$H$6="",1E+99,Supuestos!$H$6),MAX(IF(Supuestos!$G$6="",-1E+99,Supuestos!$G$6),IF(Supuestos!$C$6="Normal",NORMINV(C919,Supuestos!$D$6,Supuestos!$E$6),IF(Supuestos!$C$6="Triangular",IF(C919&lt;(Supuestos!$E$6-Supuestos!$D$6)/(Supuestos!$F$6-Supuestos!$D$6),Supuestos!$D$6+SQRT(C919*(Supuestos!$F$6-Supuestos!$D$6)*(Supuestos!$E$6-Supuestos!$D$6)),Supuestos!$F$6-SQRT((1-C919)*(Supuestos!$F$6-Supuestos!$D$6)*(Supuestos!$F$6-Supuestos!$E$6))),IF(Supuestos!$C$6="Uniforme",Supuestos!$D$6+C919*(Supuestos!$E$6-Supuestos!$D$6),IF(Supuestos!$C$6="Lognormal",LOGINV(C919,LN(Supuestos!$D$6)-LN(1+Supuestos!$E$6^2/Supuestos!$D$6^2)/2,SQRT(LN(1+Supuestos!$E$6^2/Supuestos!$D$6^2))),Supuestos!$D$6))))))</f>
        <v/>
      </c>
      <c r="K919" s="32">
        <f>MIN(IF(Supuestos!$H$7="",1E+99,Supuestos!$H$7),MAX(IF(Supuestos!$G$7="",-1E+99,Supuestos!$G$7),IF(Supuestos!$C$7="Normal",NORMINV(D919,Supuestos!$D$7,Supuestos!$E$7),IF(Supuestos!$C$7="Triangular",IF(D919&lt;(Supuestos!$E$7-Supuestos!$D$7)/(Supuestos!$F$7-Supuestos!$D$7),Supuestos!$D$7+SQRT(D919*(Supuestos!$F$7-Supuestos!$D$7)*(Supuestos!$E$7-Supuestos!$D$7)),Supuestos!$F$7-SQRT((1-D919)*(Supuestos!$F$7-Supuestos!$D$7)*(Supuestos!$F$7-Supuestos!$E$7))),IF(Supuestos!$C$7="Uniforme",Supuestos!$D$7+D919*(Supuestos!$E$7-Supuestos!$D$7),IF(Supuestos!$C$7="Lognormal",LOGINV(D919,LN(Supuestos!$D$7)-LN(1+Supuestos!$E$7^2/Supuestos!$D$7^2)/2,SQRT(LN(1+Supuestos!$E$7^2/Supuestos!$D$7^2))),Supuestos!$D$7))))))</f>
        <v/>
      </c>
      <c r="L919" s="32">
        <f>MIN(IF(Supuestos!$H$8="",1E+99,Supuestos!$H$8),MAX(IF(Supuestos!$G$8="",-1E+99,Supuestos!$G$8),IF(Supuestos!$C$8="Normal",NORMINV(E919,Supuestos!$D$8,Supuestos!$E$8),IF(Supuestos!$C$8="Triangular",IF(E919&lt;(Supuestos!$E$8-Supuestos!$D$8)/(Supuestos!$F$8-Supuestos!$D$8),Supuestos!$D$8+SQRT(E919*(Supuestos!$F$8-Supuestos!$D$8)*(Supuestos!$E$8-Supuestos!$D$8)),Supuestos!$F$8-SQRT((1-E919)*(Supuestos!$F$8-Supuestos!$D$8)*(Supuestos!$F$8-Supuestos!$E$8))),IF(Supuestos!$C$8="Uniforme",Supuestos!$D$8+E919*(Supuestos!$E$8-Supuestos!$D$8),IF(Supuestos!$C$8="Lognormal",LOGINV(E919,LN(Supuestos!$D$8)-LN(1+Supuestos!$E$8^2/Supuestos!$D$8^2)/2,SQRT(LN(1+Supuestos!$E$8^2/Supuestos!$D$8^2))),Supuestos!$D$8))))))</f>
        <v/>
      </c>
      <c r="M919" s="32">
        <f>MIN(IF(Supuestos!$H$9="",1E+99,Supuestos!$H$9),MAX(IF(Supuestos!$G$9="",-1E+99,Supuestos!$G$9),IF(Supuestos!$C$9="Normal",NORMINV(F919,Supuestos!$D$9,Supuestos!$E$9),IF(Supuestos!$C$9="Triangular",IF(F919&lt;(Supuestos!$E$9-Supuestos!$D$9)/(Supuestos!$F$9-Supuestos!$D$9),Supuestos!$D$9+SQRT(F919*(Supuestos!$F$9-Supuestos!$D$9)*(Supuestos!$E$9-Supuestos!$D$9)),Supuestos!$F$9-SQRT((1-F919)*(Supuestos!$F$9-Supuestos!$D$9)*(Supuestos!$F$9-Supuestos!$E$9))),IF(Supuestos!$C$9="Uniforme",Supuestos!$D$9+F919*(Supuestos!$E$9-Supuestos!$D$9),IF(Supuestos!$C$9="Lognormal",LOGINV(F919,LN(Supuestos!$D$9)-LN(1+Supuestos!$E$9^2/Supuestos!$D$9^2)/2,SQRT(LN(1+Supuestos!$E$9^2/Supuestos!$D$9^2))),Supuestos!$D$9))))))</f>
        <v/>
      </c>
      <c r="N919" s="32">
        <f>MIN(IF(Supuestos!$H$10="",1E+99,Supuestos!$H$10),MAX(IF(Supuestos!$G$10="",-1E+99,Supuestos!$G$10),IF(Supuestos!$C$10="Normal",NORMINV(G919,Supuestos!$D$10,Supuestos!$E$10),IF(Supuestos!$C$10="Triangular",IF(G919&lt;(Supuestos!$E$10-Supuestos!$D$10)/(Supuestos!$F$10-Supuestos!$D$10),Supuestos!$D$10+SQRT(G919*(Supuestos!$F$10-Supuestos!$D$10)*(Supuestos!$E$10-Supuestos!$D$10)),Supuestos!$F$10-SQRT((1-G919)*(Supuestos!$F$10-Supuestos!$D$10)*(Supuestos!$F$10-Supuestos!$E$10))),IF(Supuestos!$C$10="Uniforme",Supuestos!$D$10+G919*(Supuestos!$E$10-Supuestos!$D$10),IF(Supuestos!$C$10="Lognormal",LOGINV(G919,LN(Supuestos!$D$10)-LN(1+Supuestos!$E$10^2/Supuestos!$D$10^2)/2,SQRT(LN(1+Supuestos!$E$10^2/Supuestos!$D$10^2))),Supuestos!$D$10))))))</f>
        <v/>
      </c>
      <c r="O919" s="31">
        <f>MIN(IF(Supuestos!$H$11="",1E+99,Supuestos!$H$11),MAX(IF(Supuestos!$G$11="",-1E+99,Supuestos!$G$11),IF(Supuestos!$C$11="Normal",NORMINV(H919,Supuestos!$D$11,Supuestos!$E$11),IF(Supuestos!$C$11="Triangular",IF(H919&lt;(Supuestos!$E$11-Supuestos!$D$11)/(Supuestos!$F$11-Supuestos!$D$11),Supuestos!$D$11+SQRT(H919*(Supuestos!$F$11-Supuestos!$D$11)*(Supuestos!$E$11-Supuestos!$D$11)),Supuestos!$F$11-SQRT((1-H919)*(Supuestos!$F$11-Supuestos!$D$11)*(Supuestos!$F$11-Supuestos!$E$11))),IF(Supuestos!$C$11="Uniforme",Supuestos!$D$11+H919*(Supuestos!$E$11-Supuestos!$D$11),IF(Supuestos!$C$11="Lognormal",LOGINV(H919,LN(Supuestos!$D$11)-LN(1+Supuestos!$E$11^2/Supuestos!$D$11^2)/2,SQRT(LN(1+Supuestos!$E$11^2/Supuestos!$D$11^2))),Supuestos!$D$11))))))</f>
        <v/>
      </c>
      <c r="P919" s="33">
        <f>-I919</f>
        <v/>
      </c>
      <c r="Q919" s="33">
        <f>$J919*(1+$K919)^(1-1)*(1-$L919)*(1-$M919)</f>
        <v/>
      </c>
      <c r="R919" s="33">
        <f>$J919*(1+$K919)^(2-1)*(1-$L919)*(1-$M919)</f>
        <v/>
      </c>
      <c r="S919" s="33">
        <f>$J919*(1+$K919)^(3-1)*(1-$L919)*(1-$M919)</f>
        <v/>
      </c>
      <c r="T919" s="33">
        <f>$J919*(1+$K919)^(4-1)*(1-$L919)*(1-$M919)</f>
        <v/>
      </c>
      <c r="U919" s="33">
        <f>$J919*(1+$K919)^(5-1)*(1-$L919)*(1-$M919)+$O919</f>
        <v/>
      </c>
      <c r="V919" s="33">
        <f>P919+NPV($N919,Q919:U919)</f>
        <v/>
      </c>
      <c r="W919" s="32">
        <f>IFERROR(IRR(P919:U919,0.1),"")</f>
        <v/>
      </c>
    </row>
    <row r="920">
      <c r="A920" s="14" t="n">
        <v>916</v>
      </c>
      <c r="B920" s="30">
        <f>RAND()*(1-2E-6)+1E-6</f>
        <v/>
      </c>
      <c r="C920" s="30">
        <f>RAND()*(1-2E-6)+1E-6</f>
        <v/>
      </c>
      <c r="D920" s="30">
        <f>RAND()*(1-2E-6)+1E-6</f>
        <v/>
      </c>
      <c r="E920" s="30">
        <f>RAND()*(1-2E-6)+1E-6</f>
        <v/>
      </c>
      <c r="F920" s="30">
        <f>RAND()*(1-2E-6)+1E-6</f>
        <v/>
      </c>
      <c r="G920" s="30">
        <f>RAND()*(1-2E-6)+1E-6</f>
        <v/>
      </c>
      <c r="H920" s="30">
        <f>RAND()*(1-2E-6)+1E-6</f>
        <v/>
      </c>
      <c r="I920" s="31">
        <f>MIN(IF(Supuestos!$H$5="",1E+99,Supuestos!$H$5),MAX(IF(Supuestos!$G$5="",-1E+99,Supuestos!$G$5),IF(Supuestos!$C$5="Normal",NORMINV(B920,Supuestos!$D$5,Supuestos!$E$5),IF(Supuestos!$C$5="Triangular",IF(B920&lt;(Supuestos!$E$5-Supuestos!$D$5)/(Supuestos!$F$5-Supuestos!$D$5),Supuestos!$D$5+SQRT(B920*(Supuestos!$F$5-Supuestos!$D$5)*(Supuestos!$E$5-Supuestos!$D$5)),Supuestos!$F$5-SQRT((1-B920)*(Supuestos!$F$5-Supuestos!$D$5)*(Supuestos!$F$5-Supuestos!$E$5))),IF(Supuestos!$C$5="Uniforme",Supuestos!$D$5+B920*(Supuestos!$E$5-Supuestos!$D$5),IF(Supuestos!$C$5="Lognormal",LOGINV(B920,LN(Supuestos!$D$5)-LN(1+Supuestos!$E$5^2/Supuestos!$D$5^2)/2,SQRT(LN(1+Supuestos!$E$5^2/Supuestos!$D$5^2))),Supuestos!$D$5))))))</f>
        <v/>
      </c>
      <c r="J920" s="31">
        <f>MIN(IF(Supuestos!$H$6="",1E+99,Supuestos!$H$6),MAX(IF(Supuestos!$G$6="",-1E+99,Supuestos!$G$6),IF(Supuestos!$C$6="Normal",NORMINV(C920,Supuestos!$D$6,Supuestos!$E$6),IF(Supuestos!$C$6="Triangular",IF(C920&lt;(Supuestos!$E$6-Supuestos!$D$6)/(Supuestos!$F$6-Supuestos!$D$6),Supuestos!$D$6+SQRT(C920*(Supuestos!$F$6-Supuestos!$D$6)*(Supuestos!$E$6-Supuestos!$D$6)),Supuestos!$F$6-SQRT((1-C920)*(Supuestos!$F$6-Supuestos!$D$6)*(Supuestos!$F$6-Supuestos!$E$6))),IF(Supuestos!$C$6="Uniforme",Supuestos!$D$6+C920*(Supuestos!$E$6-Supuestos!$D$6),IF(Supuestos!$C$6="Lognormal",LOGINV(C920,LN(Supuestos!$D$6)-LN(1+Supuestos!$E$6^2/Supuestos!$D$6^2)/2,SQRT(LN(1+Supuestos!$E$6^2/Supuestos!$D$6^2))),Supuestos!$D$6))))))</f>
        <v/>
      </c>
      <c r="K920" s="32">
        <f>MIN(IF(Supuestos!$H$7="",1E+99,Supuestos!$H$7),MAX(IF(Supuestos!$G$7="",-1E+99,Supuestos!$G$7),IF(Supuestos!$C$7="Normal",NORMINV(D920,Supuestos!$D$7,Supuestos!$E$7),IF(Supuestos!$C$7="Triangular",IF(D920&lt;(Supuestos!$E$7-Supuestos!$D$7)/(Supuestos!$F$7-Supuestos!$D$7),Supuestos!$D$7+SQRT(D920*(Supuestos!$F$7-Supuestos!$D$7)*(Supuestos!$E$7-Supuestos!$D$7)),Supuestos!$F$7-SQRT((1-D920)*(Supuestos!$F$7-Supuestos!$D$7)*(Supuestos!$F$7-Supuestos!$E$7))),IF(Supuestos!$C$7="Uniforme",Supuestos!$D$7+D920*(Supuestos!$E$7-Supuestos!$D$7),IF(Supuestos!$C$7="Lognormal",LOGINV(D920,LN(Supuestos!$D$7)-LN(1+Supuestos!$E$7^2/Supuestos!$D$7^2)/2,SQRT(LN(1+Supuestos!$E$7^2/Supuestos!$D$7^2))),Supuestos!$D$7))))))</f>
        <v/>
      </c>
      <c r="L920" s="32">
        <f>MIN(IF(Supuestos!$H$8="",1E+99,Supuestos!$H$8),MAX(IF(Supuestos!$G$8="",-1E+99,Supuestos!$G$8),IF(Supuestos!$C$8="Normal",NORMINV(E920,Supuestos!$D$8,Supuestos!$E$8),IF(Supuestos!$C$8="Triangular",IF(E920&lt;(Supuestos!$E$8-Supuestos!$D$8)/(Supuestos!$F$8-Supuestos!$D$8),Supuestos!$D$8+SQRT(E920*(Supuestos!$F$8-Supuestos!$D$8)*(Supuestos!$E$8-Supuestos!$D$8)),Supuestos!$F$8-SQRT((1-E920)*(Supuestos!$F$8-Supuestos!$D$8)*(Supuestos!$F$8-Supuestos!$E$8))),IF(Supuestos!$C$8="Uniforme",Supuestos!$D$8+E920*(Supuestos!$E$8-Supuestos!$D$8),IF(Supuestos!$C$8="Lognormal",LOGINV(E920,LN(Supuestos!$D$8)-LN(1+Supuestos!$E$8^2/Supuestos!$D$8^2)/2,SQRT(LN(1+Supuestos!$E$8^2/Supuestos!$D$8^2))),Supuestos!$D$8))))))</f>
        <v/>
      </c>
      <c r="M920" s="32">
        <f>MIN(IF(Supuestos!$H$9="",1E+99,Supuestos!$H$9),MAX(IF(Supuestos!$G$9="",-1E+99,Supuestos!$G$9),IF(Supuestos!$C$9="Normal",NORMINV(F920,Supuestos!$D$9,Supuestos!$E$9),IF(Supuestos!$C$9="Triangular",IF(F920&lt;(Supuestos!$E$9-Supuestos!$D$9)/(Supuestos!$F$9-Supuestos!$D$9),Supuestos!$D$9+SQRT(F920*(Supuestos!$F$9-Supuestos!$D$9)*(Supuestos!$E$9-Supuestos!$D$9)),Supuestos!$F$9-SQRT((1-F920)*(Supuestos!$F$9-Supuestos!$D$9)*(Supuestos!$F$9-Supuestos!$E$9))),IF(Supuestos!$C$9="Uniforme",Supuestos!$D$9+F920*(Supuestos!$E$9-Supuestos!$D$9),IF(Supuestos!$C$9="Lognormal",LOGINV(F920,LN(Supuestos!$D$9)-LN(1+Supuestos!$E$9^2/Supuestos!$D$9^2)/2,SQRT(LN(1+Supuestos!$E$9^2/Supuestos!$D$9^2))),Supuestos!$D$9))))))</f>
        <v/>
      </c>
      <c r="N920" s="32">
        <f>MIN(IF(Supuestos!$H$10="",1E+99,Supuestos!$H$10),MAX(IF(Supuestos!$G$10="",-1E+99,Supuestos!$G$10),IF(Supuestos!$C$10="Normal",NORMINV(G920,Supuestos!$D$10,Supuestos!$E$10),IF(Supuestos!$C$10="Triangular",IF(G920&lt;(Supuestos!$E$10-Supuestos!$D$10)/(Supuestos!$F$10-Supuestos!$D$10),Supuestos!$D$10+SQRT(G920*(Supuestos!$F$10-Supuestos!$D$10)*(Supuestos!$E$10-Supuestos!$D$10)),Supuestos!$F$10-SQRT((1-G920)*(Supuestos!$F$10-Supuestos!$D$10)*(Supuestos!$F$10-Supuestos!$E$10))),IF(Supuestos!$C$10="Uniforme",Supuestos!$D$10+G920*(Supuestos!$E$10-Supuestos!$D$10),IF(Supuestos!$C$10="Lognormal",LOGINV(G920,LN(Supuestos!$D$10)-LN(1+Supuestos!$E$10^2/Supuestos!$D$10^2)/2,SQRT(LN(1+Supuestos!$E$10^2/Supuestos!$D$10^2))),Supuestos!$D$10))))))</f>
        <v/>
      </c>
      <c r="O920" s="31">
        <f>MIN(IF(Supuestos!$H$11="",1E+99,Supuestos!$H$11),MAX(IF(Supuestos!$G$11="",-1E+99,Supuestos!$G$11),IF(Supuestos!$C$11="Normal",NORMINV(H920,Supuestos!$D$11,Supuestos!$E$11),IF(Supuestos!$C$11="Triangular",IF(H920&lt;(Supuestos!$E$11-Supuestos!$D$11)/(Supuestos!$F$11-Supuestos!$D$11),Supuestos!$D$11+SQRT(H920*(Supuestos!$F$11-Supuestos!$D$11)*(Supuestos!$E$11-Supuestos!$D$11)),Supuestos!$F$11-SQRT((1-H920)*(Supuestos!$F$11-Supuestos!$D$11)*(Supuestos!$F$11-Supuestos!$E$11))),IF(Supuestos!$C$11="Uniforme",Supuestos!$D$11+H920*(Supuestos!$E$11-Supuestos!$D$11),IF(Supuestos!$C$11="Lognormal",LOGINV(H920,LN(Supuestos!$D$11)-LN(1+Supuestos!$E$11^2/Supuestos!$D$11^2)/2,SQRT(LN(1+Supuestos!$E$11^2/Supuestos!$D$11^2))),Supuestos!$D$11))))))</f>
        <v/>
      </c>
      <c r="P920" s="33">
        <f>-I920</f>
        <v/>
      </c>
      <c r="Q920" s="33">
        <f>$J920*(1+$K920)^(1-1)*(1-$L920)*(1-$M920)</f>
        <v/>
      </c>
      <c r="R920" s="33">
        <f>$J920*(1+$K920)^(2-1)*(1-$L920)*(1-$M920)</f>
        <v/>
      </c>
      <c r="S920" s="33">
        <f>$J920*(1+$K920)^(3-1)*(1-$L920)*(1-$M920)</f>
        <v/>
      </c>
      <c r="T920" s="33">
        <f>$J920*(1+$K920)^(4-1)*(1-$L920)*(1-$M920)</f>
        <v/>
      </c>
      <c r="U920" s="33">
        <f>$J920*(1+$K920)^(5-1)*(1-$L920)*(1-$M920)+$O920</f>
        <v/>
      </c>
      <c r="V920" s="33">
        <f>P920+NPV($N920,Q920:U920)</f>
        <v/>
      </c>
      <c r="W920" s="32">
        <f>IFERROR(IRR(P920:U920,0.1),"")</f>
        <v/>
      </c>
    </row>
    <row r="921">
      <c r="A921" s="14" t="n">
        <v>917</v>
      </c>
      <c r="B921" s="30">
        <f>RAND()*(1-2E-6)+1E-6</f>
        <v/>
      </c>
      <c r="C921" s="30">
        <f>RAND()*(1-2E-6)+1E-6</f>
        <v/>
      </c>
      <c r="D921" s="30">
        <f>RAND()*(1-2E-6)+1E-6</f>
        <v/>
      </c>
      <c r="E921" s="30">
        <f>RAND()*(1-2E-6)+1E-6</f>
        <v/>
      </c>
      <c r="F921" s="30">
        <f>RAND()*(1-2E-6)+1E-6</f>
        <v/>
      </c>
      <c r="G921" s="30">
        <f>RAND()*(1-2E-6)+1E-6</f>
        <v/>
      </c>
      <c r="H921" s="30">
        <f>RAND()*(1-2E-6)+1E-6</f>
        <v/>
      </c>
      <c r="I921" s="31">
        <f>MIN(IF(Supuestos!$H$5="",1E+99,Supuestos!$H$5),MAX(IF(Supuestos!$G$5="",-1E+99,Supuestos!$G$5),IF(Supuestos!$C$5="Normal",NORMINV(B921,Supuestos!$D$5,Supuestos!$E$5),IF(Supuestos!$C$5="Triangular",IF(B921&lt;(Supuestos!$E$5-Supuestos!$D$5)/(Supuestos!$F$5-Supuestos!$D$5),Supuestos!$D$5+SQRT(B921*(Supuestos!$F$5-Supuestos!$D$5)*(Supuestos!$E$5-Supuestos!$D$5)),Supuestos!$F$5-SQRT((1-B921)*(Supuestos!$F$5-Supuestos!$D$5)*(Supuestos!$F$5-Supuestos!$E$5))),IF(Supuestos!$C$5="Uniforme",Supuestos!$D$5+B921*(Supuestos!$E$5-Supuestos!$D$5),IF(Supuestos!$C$5="Lognormal",LOGINV(B921,LN(Supuestos!$D$5)-LN(1+Supuestos!$E$5^2/Supuestos!$D$5^2)/2,SQRT(LN(1+Supuestos!$E$5^2/Supuestos!$D$5^2))),Supuestos!$D$5))))))</f>
        <v/>
      </c>
      <c r="J921" s="31">
        <f>MIN(IF(Supuestos!$H$6="",1E+99,Supuestos!$H$6),MAX(IF(Supuestos!$G$6="",-1E+99,Supuestos!$G$6),IF(Supuestos!$C$6="Normal",NORMINV(C921,Supuestos!$D$6,Supuestos!$E$6),IF(Supuestos!$C$6="Triangular",IF(C921&lt;(Supuestos!$E$6-Supuestos!$D$6)/(Supuestos!$F$6-Supuestos!$D$6),Supuestos!$D$6+SQRT(C921*(Supuestos!$F$6-Supuestos!$D$6)*(Supuestos!$E$6-Supuestos!$D$6)),Supuestos!$F$6-SQRT((1-C921)*(Supuestos!$F$6-Supuestos!$D$6)*(Supuestos!$F$6-Supuestos!$E$6))),IF(Supuestos!$C$6="Uniforme",Supuestos!$D$6+C921*(Supuestos!$E$6-Supuestos!$D$6),IF(Supuestos!$C$6="Lognormal",LOGINV(C921,LN(Supuestos!$D$6)-LN(1+Supuestos!$E$6^2/Supuestos!$D$6^2)/2,SQRT(LN(1+Supuestos!$E$6^2/Supuestos!$D$6^2))),Supuestos!$D$6))))))</f>
        <v/>
      </c>
      <c r="K921" s="32">
        <f>MIN(IF(Supuestos!$H$7="",1E+99,Supuestos!$H$7),MAX(IF(Supuestos!$G$7="",-1E+99,Supuestos!$G$7),IF(Supuestos!$C$7="Normal",NORMINV(D921,Supuestos!$D$7,Supuestos!$E$7),IF(Supuestos!$C$7="Triangular",IF(D921&lt;(Supuestos!$E$7-Supuestos!$D$7)/(Supuestos!$F$7-Supuestos!$D$7),Supuestos!$D$7+SQRT(D921*(Supuestos!$F$7-Supuestos!$D$7)*(Supuestos!$E$7-Supuestos!$D$7)),Supuestos!$F$7-SQRT((1-D921)*(Supuestos!$F$7-Supuestos!$D$7)*(Supuestos!$F$7-Supuestos!$E$7))),IF(Supuestos!$C$7="Uniforme",Supuestos!$D$7+D921*(Supuestos!$E$7-Supuestos!$D$7),IF(Supuestos!$C$7="Lognormal",LOGINV(D921,LN(Supuestos!$D$7)-LN(1+Supuestos!$E$7^2/Supuestos!$D$7^2)/2,SQRT(LN(1+Supuestos!$E$7^2/Supuestos!$D$7^2))),Supuestos!$D$7))))))</f>
        <v/>
      </c>
      <c r="L921" s="32">
        <f>MIN(IF(Supuestos!$H$8="",1E+99,Supuestos!$H$8),MAX(IF(Supuestos!$G$8="",-1E+99,Supuestos!$G$8),IF(Supuestos!$C$8="Normal",NORMINV(E921,Supuestos!$D$8,Supuestos!$E$8),IF(Supuestos!$C$8="Triangular",IF(E921&lt;(Supuestos!$E$8-Supuestos!$D$8)/(Supuestos!$F$8-Supuestos!$D$8),Supuestos!$D$8+SQRT(E921*(Supuestos!$F$8-Supuestos!$D$8)*(Supuestos!$E$8-Supuestos!$D$8)),Supuestos!$F$8-SQRT((1-E921)*(Supuestos!$F$8-Supuestos!$D$8)*(Supuestos!$F$8-Supuestos!$E$8))),IF(Supuestos!$C$8="Uniforme",Supuestos!$D$8+E921*(Supuestos!$E$8-Supuestos!$D$8),IF(Supuestos!$C$8="Lognormal",LOGINV(E921,LN(Supuestos!$D$8)-LN(1+Supuestos!$E$8^2/Supuestos!$D$8^2)/2,SQRT(LN(1+Supuestos!$E$8^2/Supuestos!$D$8^2))),Supuestos!$D$8))))))</f>
        <v/>
      </c>
      <c r="M921" s="32">
        <f>MIN(IF(Supuestos!$H$9="",1E+99,Supuestos!$H$9),MAX(IF(Supuestos!$G$9="",-1E+99,Supuestos!$G$9),IF(Supuestos!$C$9="Normal",NORMINV(F921,Supuestos!$D$9,Supuestos!$E$9),IF(Supuestos!$C$9="Triangular",IF(F921&lt;(Supuestos!$E$9-Supuestos!$D$9)/(Supuestos!$F$9-Supuestos!$D$9),Supuestos!$D$9+SQRT(F921*(Supuestos!$F$9-Supuestos!$D$9)*(Supuestos!$E$9-Supuestos!$D$9)),Supuestos!$F$9-SQRT((1-F921)*(Supuestos!$F$9-Supuestos!$D$9)*(Supuestos!$F$9-Supuestos!$E$9))),IF(Supuestos!$C$9="Uniforme",Supuestos!$D$9+F921*(Supuestos!$E$9-Supuestos!$D$9),IF(Supuestos!$C$9="Lognormal",LOGINV(F921,LN(Supuestos!$D$9)-LN(1+Supuestos!$E$9^2/Supuestos!$D$9^2)/2,SQRT(LN(1+Supuestos!$E$9^2/Supuestos!$D$9^2))),Supuestos!$D$9))))))</f>
        <v/>
      </c>
      <c r="N921" s="32">
        <f>MIN(IF(Supuestos!$H$10="",1E+99,Supuestos!$H$10),MAX(IF(Supuestos!$G$10="",-1E+99,Supuestos!$G$10),IF(Supuestos!$C$10="Normal",NORMINV(G921,Supuestos!$D$10,Supuestos!$E$10),IF(Supuestos!$C$10="Triangular",IF(G921&lt;(Supuestos!$E$10-Supuestos!$D$10)/(Supuestos!$F$10-Supuestos!$D$10),Supuestos!$D$10+SQRT(G921*(Supuestos!$F$10-Supuestos!$D$10)*(Supuestos!$E$10-Supuestos!$D$10)),Supuestos!$F$10-SQRT((1-G921)*(Supuestos!$F$10-Supuestos!$D$10)*(Supuestos!$F$10-Supuestos!$E$10))),IF(Supuestos!$C$10="Uniforme",Supuestos!$D$10+G921*(Supuestos!$E$10-Supuestos!$D$10),IF(Supuestos!$C$10="Lognormal",LOGINV(G921,LN(Supuestos!$D$10)-LN(1+Supuestos!$E$10^2/Supuestos!$D$10^2)/2,SQRT(LN(1+Supuestos!$E$10^2/Supuestos!$D$10^2))),Supuestos!$D$10))))))</f>
        <v/>
      </c>
      <c r="O921" s="31">
        <f>MIN(IF(Supuestos!$H$11="",1E+99,Supuestos!$H$11),MAX(IF(Supuestos!$G$11="",-1E+99,Supuestos!$G$11),IF(Supuestos!$C$11="Normal",NORMINV(H921,Supuestos!$D$11,Supuestos!$E$11),IF(Supuestos!$C$11="Triangular",IF(H921&lt;(Supuestos!$E$11-Supuestos!$D$11)/(Supuestos!$F$11-Supuestos!$D$11),Supuestos!$D$11+SQRT(H921*(Supuestos!$F$11-Supuestos!$D$11)*(Supuestos!$E$11-Supuestos!$D$11)),Supuestos!$F$11-SQRT((1-H921)*(Supuestos!$F$11-Supuestos!$D$11)*(Supuestos!$F$11-Supuestos!$E$11))),IF(Supuestos!$C$11="Uniforme",Supuestos!$D$11+H921*(Supuestos!$E$11-Supuestos!$D$11),IF(Supuestos!$C$11="Lognormal",LOGINV(H921,LN(Supuestos!$D$11)-LN(1+Supuestos!$E$11^2/Supuestos!$D$11^2)/2,SQRT(LN(1+Supuestos!$E$11^2/Supuestos!$D$11^2))),Supuestos!$D$11))))))</f>
        <v/>
      </c>
      <c r="P921" s="33">
        <f>-I921</f>
        <v/>
      </c>
      <c r="Q921" s="33">
        <f>$J921*(1+$K921)^(1-1)*(1-$L921)*(1-$M921)</f>
        <v/>
      </c>
      <c r="R921" s="33">
        <f>$J921*(1+$K921)^(2-1)*(1-$L921)*(1-$M921)</f>
        <v/>
      </c>
      <c r="S921" s="33">
        <f>$J921*(1+$K921)^(3-1)*(1-$L921)*(1-$M921)</f>
        <v/>
      </c>
      <c r="T921" s="33">
        <f>$J921*(1+$K921)^(4-1)*(1-$L921)*(1-$M921)</f>
        <v/>
      </c>
      <c r="U921" s="33">
        <f>$J921*(1+$K921)^(5-1)*(1-$L921)*(1-$M921)+$O921</f>
        <v/>
      </c>
      <c r="V921" s="33">
        <f>P921+NPV($N921,Q921:U921)</f>
        <v/>
      </c>
      <c r="W921" s="32">
        <f>IFERROR(IRR(P921:U921,0.1),"")</f>
        <v/>
      </c>
    </row>
    <row r="922">
      <c r="A922" s="14" t="n">
        <v>918</v>
      </c>
      <c r="B922" s="30">
        <f>RAND()*(1-2E-6)+1E-6</f>
        <v/>
      </c>
      <c r="C922" s="30">
        <f>RAND()*(1-2E-6)+1E-6</f>
        <v/>
      </c>
      <c r="D922" s="30">
        <f>RAND()*(1-2E-6)+1E-6</f>
        <v/>
      </c>
      <c r="E922" s="30">
        <f>RAND()*(1-2E-6)+1E-6</f>
        <v/>
      </c>
      <c r="F922" s="30">
        <f>RAND()*(1-2E-6)+1E-6</f>
        <v/>
      </c>
      <c r="G922" s="30">
        <f>RAND()*(1-2E-6)+1E-6</f>
        <v/>
      </c>
      <c r="H922" s="30">
        <f>RAND()*(1-2E-6)+1E-6</f>
        <v/>
      </c>
      <c r="I922" s="31">
        <f>MIN(IF(Supuestos!$H$5="",1E+99,Supuestos!$H$5),MAX(IF(Supuestos!$G$5="",-1E+99,Supuestos!$G$5),IF(Supuestos!$C$5="Normal",NORMINV(B922,Supuestos!$D$5,Supuestos!$E$5),IF(Supuestos!$C$5="Triangular",IF(B922&lt;(Supuestos!$E$5-Supuestos!$D$5)/(Supuestos!$F$5-Supuestos!$D$5),Supuestos!$D$5+SQRT(B922*(Supuestos!$F$5-Supuestos!$D$5)*(Supuestos!$E$5-Supuestos!$D$5)),Supuestos!$F$5-SQRT((1-B922)*(Supuestos!$F$5-Supuestos!$D$5)*(Supuestos!$F$5-Supuestos!$E$5))),IF(Supuestos!$C$5="Uniforme",Supuestos!$D$5+B922*(Supuestos!$E$5-Supuestos!$D$5),IF(Supuestos!$C$5="Lognormal",LOGINV(B922,LN(Supuestos!$D$5)-LN(1+Supuestos!$E$5^2/Supuestos!$D$5^2)/2,SQRT(LN(1+Supuestos!$E$5^2/Supuestos!$D$5^2))),Supuestos!$D$5))))))</f>
        <v/>
      </c>
      <c r="J922" s="31">
        <f>MIN(IF(Supuestos!$H$6="",1E+99,Supuestos!$H$6),MAX(IF(Supuestos!$G$6="",-1E+99,Supuestos!$G$6),IF(Supuestos!$C$6="Normal",NORMINV(C922,Supuestos!$D$6,Supuestos!$E$6),IF(Supuestos!$C$6="Triangular",IF(C922&lt;(Supuestos!$E$6-Supuestos!$D$6)/(Supuestos!$F$6-Supuestos!$D$6),Supuestos!$D$6+SQRT(C922*(Supuestos!$F$6-Supuestos!$D$6)*(Supuestos!$E$6-Supuestos!$D$6)),Supuestos!$F$6-SQRT((1-C922)*(Supuestos!$F$6-Supuestos!$D$6)*(Supuestos!$F$6-Supuestos!$E$6))),IF(Supuestos!$C$6="Uniforme",Supuestos!$D$6+C922*(Supuestos!$E$6-Supuestos!$D$6),IF(Supuestos!$C$6="Lognormal",LOGINV(C922,LN(Supuestos!$D$6)-LN(1+Supuestos!$E$6^2/Supuestos!$D$6^2)/2,SQRT(LN(1+Supuestos!$E$6^2/Supuestos!$D$6^2))),Supuestos!$D$6))))))</f>
        <v/>
      </c>
      <c r="K922" s="32">
        <f>MIN(IF(Supuestos!$H$7="",1E+99,Supuestos!$H$7),MAX(IF(Supuestos!$G$7="",-1E+99,Supuestos!$G$7),IF(Supuestos!$C$7="Normal",NORMINV(D922,Supuestos!$D$7,Supuestos!$E$7),IF(Supuestos!$C$7="Triangular",IF(D922&lt;(Supuestos!$E$7-Supuestos!$D$7)/(Supuestos!$F$7-Supuestos!$D$7),Supuestos!$D$7+SQRT(D922*(Supuestos!$F$7-Supuestos!$D$7)*(Supuestos!$E$7-Supuestos!$D$7)),Supuestos!$F$7-SQRT((1-D922)*(Supuestos!$F$7-Supuestos!$D$7)*(Supuestos!$F$7-Supuestos!$E$7))),IF(Supuestos!$C$7="Uniforme",Supuestos!$D$7+D922*(Supuestos!$E$7-Supuestos!$D$7),IF(Supuestos!$C$7="Lognormal",LOGINV(D922,LN(Supuestos!$D$7)-LN(1+Supuestos!$E$7^2/Supuestos!$D$7^2)/2,SQRT(LN(1+Supuestos!$E$7^2/Supuestos!$D$7^2))),Supuestos!$D$7))))))</f>
        <v/>
      </c>
      <c r="L922" s="32">
        <f>MIN(IF(Supuestos!$H$8="",1E+99,Supuestos!$H$8),MAX(IF(Supuestos!$G$8="",-1E+99,Supuestos!$G$8),IF(Supuestos!$C$8="Normal",NORMINV(E922,Supuestos!$D$8,Supuestos!$E$8),IF(Supuestos!$C$8="Triangular",IF(E922&lt;(Supuestos!$E$8-Supuestos!$D$8)/(Supuestos!$F$8-Supuestos!$D$8),Supuestos!$D$8+SQRT(E922*(Supuestos!$F$8-Supuestos!$D$8)*(Supuestos!$E$8-Supuestos!$D$8)),Supuestos!$F$8-SQRT((1-E922)*(Supuestos!$F$8-Supuestos!$D$8)*(Supuestos!$F$8-Supuestos!$E$8))),IF(Supuestos!$C$8="Uniforme",Supuestos!$D$8+E922*(Supuestos!$E$8-Supuestos!$D$8),IF(Supuestos!$C$8="Lognormal",LOGINV(E922,LN(Supuestos!$D$8)-LN(1+Supuestos!$E$8^2/Supuestos!$D$8^2)/2,SQRT(LN(1+Supuestos!$E$8^2/Supuestos!$D$8^2))),Supuestos!$D$8))))))</f>
        <v/>
      </c>
      <c r="M922" s="32">
        <f>MIN(IF(Supuestos!$H$9="",1E+99,Supuestos!$H$9),MAX(IF(Supuestos!$G$9="",-1E+99,Supuestos!$G$9),IF(Supuestos!$C$9="Normal",NORMINV(F922,Supuestos!$D$9,Supuestos!$E$9),IF(Supuestos!$C$9="Triangular",IF(F922&lt;(Supuestos!$E$9-Supuestos!$D$9)/(Supuestos!$F$9-Supuestos!$D$9),Supuestos!$D$9+SQRT(F922*(Supuestos!$F$9-Supuestos!$D$9)*(Supuestos!$E$9-Supuestos!$D$9)),Supuestos!$F$9-SQRT((1-F922)*(Supuestos!$F$9-Supuestos!$D$9)*(Supuestos!$F$9-Supuestos!$E$9))),IF(Supuestos!$C$9="Uniforme",Supuestos!$D$9+F922*(Supuestos!$E$9-Supuestos!$D$9),IF(Supuestos!$C$9="Lognormal",LOGINV(F922,LN(Supuestos!$D$9)-LN(1+Supuestos!$E$9^2/Supuestos!$D$9^2)/2,SQRT(LN(1+Supuestos!$E$9^2/Supuestos!$D$9^2))),Supuestos!$D$9))))))</f>
        <v/>
      </c>
      <c r="N922" s="32">
        <f>MIN(IF(Supuestos!$H$10="",1E+99,Supuestos!$H$10),MAX(IF(Supuestos!$G$10="",-1E+99,Supuestos!$G$10),IF(Supuestos!$C$10="Normal",NORMINV(G922,Supuestos!$D$10,Supuestos!$E$10),IF(Supuestos!$C$10="Triangular",IF(G922&lt;(Supuestos!$E$10-Supuestos!$D$10)/(Supuestos!$F$10-Supuestos!$D$10),Supuestos!$D$10+SQRT(G922*(Supuestos!$F$10-Supuestos!$D$10)*(Supuestos!$E$10-Supuestos!$D$10)),Supuestos!$F$10-SQRT((1-G922)*(Supuestos!$F$10-Supuestos!$D$10)*(Supuestos!$F$10-Supuestos!$E$10))),IF(Supuestos!$C$10="Uniforme",Supuestos!$D$10+G922*(Supuestos!$E$10-Supuestos!$D$10),IF(Supuestos!$C$10="Lognormal",LOGINV(G922,LN(Supuestos!$D$10)-LN(1+Supuestos!$E$10^2/Supuestos!$D$10^2)/2,SQRT(LN(1+Supuestos!$E$10^2/Supuestos!$D$10^2))),Supuestos!$D$10))))))</f>
        <v/>
      </c>
      <c r="O922" s="31">
        <f>MIN(IF(Supuestos!$H$11="",1E+99,Supuestos!$H$11),MAX(IF(Supuestos!$G$11="",-1E+99,Supuestos!$G$11),IF(Supuestos!$C$11="Normal",NORMINV(H922,Supuestos!$D$11,Supuestos!$E$11),IF(Supuestos!$C$11="Triangular",IF(H922&lt;(Supuestos!$E$11-Supuestos!$D$11)/(Supuestos!$F$11-Supuestos!$D$11),Supuestos!$D$11+SQRT(H922*(Supuestos!$F$11-Supuestos!$D$11)*(Supuestos!$E$11-Supuestos!$D$11)),Supuestos!$F$11-SQRT((1-H922)*(Supuestos!$F$11-Supuestos!$D$11)*(Supuestos!$F$11-Supuestos!$E$11))),IF(Supuestos!$C$11="Uniforme",Supuestos!$D$11+H922*(Supuestos!$E$11-Supuestos!$D$11),IF(Supuestos!$C$11="Lognormal",LOGINV(H922,LN(Supuestos!$D$11)-LN(1+Supuestos!$E$11^2/Supuestos!$D$11^2)/2,SQRT(LN(1+Supuestos!$E$11^2/Supuestos!$D$11^2))),Supuestos!$D$11))))))</f>
        <v/>
      </c>
      <c r="P922" s="33">
        <f>-I922</f>
        <v/>
      </c>
      <c r="Q922" s="33">
        <f>$J922*(1+$K922)^(1-1)*(1-$L922)*(1-$M922)</f>
        <v/>
      </c>
      <c r="R922" s="33">
        <f>$J922*(1+$K922)^(2-1)*(1-$L922)*(1-$M922)</f>
        <v/>
      </c>
      <c r="S922" s="33">
        <f>$J922*(1+$K922)^(3-1)*(1-$L922)*(1-$M922)</f>
        <v/>
      </c>
      <c r="T922" s="33">
        <f>$J922*(1+$K922)^(4-1)*(1-$L922)*(1-$M922)</f>
        <v/>
      </c>
      <c r="U922" s="33">
        <f>$J922*(1+$K922)^(5-1)*(1-$L922)*(1-$M922)+$O922</f>
        <v/>
      </c>
      <c r="V922" s="33">
        <f>P922+NPV($N922,Q922:U922)</f>
        <v/>
      </c>
      <c r="W922" s="32">
        <f>IFERROR(IRR(P922:U922,0.1),"")</f>
        <v/>
      </c>
    </row>
    <row r="923">
      <c r="A923" s="14" t="n">
        <v>919</v>
      </c>
      <c r="B923" s="30">
        <f>RAND()*(1-2E-6)+1E-6</f>
        <v/>
      </c>
      <c r="C923" s="30">
        <f>RAND()*(1-2E-6)+1E-6</f>
        <v/>
      </c>
      <c r="D923" s="30">
        <f>RAND()*(1-2E-6)+1E-6</f>
        <v/>
      </c>
      <c r="E923" s="30">
        <f>RAND()*(1-2E-6)+1E-6</f>
        <v/>
      </c>
      <c r="F923" s="30">
        <f>RAND()*(1-2E-6)+1E-6</f>
        <v/>
      </c>
      <c r="G923" s="30">
        <f>RAND()*(1-2E-6)+1E-6</f>
        <v/>
      </c>
      <c r="H923" s="30">
        <f>RAND()*(1-2E-6)+1E-6</f>
        <v/>
      </c>
      <c r="I923" s="31">
        <f>MIN(IF(Supuestos!$H$5="",1E+99,Supuestos!$H$5),MAX(IF(Supuestos!$G$5="",-1E+99,Supuestos!$G$5),IF(Supuestos!$C$5="Normal",NORMINV(B923,Supuestos!$D$5,Supuestos!$E$5),IF(Supuestos!$C$5="Triangular",IF(B923&lt;(Supuestos!$E$5-Supuestos!$D$5)/(Supuestos!$F$5-Supuestos!$D$5),Supuestos!$D$5+SQRT(B923*(Supuestos!$F$5-Supuestos!$D$5)*(Supuestos!$E$5-Supuestos!$D$5)),Supuestos!$F$5-SQRT((1-B923)*(Supuestos!$F$5-Supuestos!$D$5)*(Supuestos!$F$5-Supuestos!$E$5))),IF(Supuestos!$C$5="Uniforme",Supuestos!$D$5+B923*(Supuestos!$E$5-Supuestos!$D$5),IF(Supuestos!$C$5="Lognormal",LOGINV(B923,LN(Supuestos!$D$5)-LN(1+Supuestos!$E$5^2/Supuestos!$D$5^2)/2,SQRT(LN(1+Supuestos!$E$5^2/Supuestos!$D$5^2))),Supuestos!$D$5))))))</f>
        <v/>
      </c>
      <c r="J923" s="31">
        <f>MIN(IF(Supuestos!$H$6="",1E+99,Supuestos!$H$6),MAX(IF(Supuestos!$G$6="",-1E+99,Supuestos!$G$6),IF(Supuestos!$C$6="Normal",NORMINV(C923,Supuestos!$D$6,Supuestos!$E$6),IF(Supuestos!$C$6="Triangular",IF(C923&lt;(Supuestos!$E$6-Supuestos!$D$6)/(Supuestos!$F$6-Supuestos!$D$6),Supuestos!$D$6+SQRT(C923*(Supuestos!$F$6-Supuestos!$D$6)*(Supuestos!$E$6-Supuestos!$D$6)),Supuestos!$F$6-SQRT((1-C923)*(Supuestos!$F$6-Supuestos!$D$6)*(Supuestos!$F$6-Supuestos!$E$6))),IF(Supuestos!$C$6="Uniforme",Supuestos!$D$6+C923*(Supuestos!$E$6-Supuestos!$D$6),IF(Supuestos!$C$6="Lognormal",LOGINV(C923,LN(Supuestos!$D$6)-LN(1+Supuestos!$E$6^2/Supuestos!$D$6^2)/2,SQRT(LN(1+Supuestos!$E$6^2/Supuestos!$D$6^2))),Supuestos!$D$6))))))</f>
        <v/>
      </c>
      <c r="K923" s="32">
        <f>MIN(IF(Supuestos!$H$7="",1E+99,Supuestos!$H$7),MAX(IF(Supuestos!$G$7="",-1E+99,Supuestos!$G$7),IF(Supuestos!$C$7="Normal",NORMINV(D923,Supuestos!$D$7,Supuestos!$E$7),IF(Supuestos!$C$7="Triangular",IF(D923&lt;(Supuestos!$E$7-Supuestos!$D$7)/(Supuestos!$F$7-Supuestos!$D$7),Supuestos!$D$7+SQRT(D923*(Supuestos!$F$7-Supuestos!$D$7)*(Supuestos!$E$7-Supuestos!$D$7)),Supuestos!$F$7-SQRT((1-D923)*(Supuestos!$F$7-Supuestos!$D$7)*(Supuestos!$F$7-Supuestos!$E$7))),IF(Supuestos!$C$7="Uniforme",Supuestos!$D$7+D923*(Supuestos!$E$7-Supuestos!$D$7),IF(Supuestos!$C$7="Lognormal",LOGINV(D923,LN(Supuestos!$D$7)-LN(1+Supuestos!$E$7^2/Supuestos!$D$7^2)/2,SQRT(LN(1+Supuestos!$E$7^2/Supuestos!$D$7^2))),Supuestos!$D$7))))))</f>
        <v/>
      </c>
      <c r="L923" s="32">
        <f>MIN(IF(Supuestos!$H$8="",1E+99,Supuestos!$H$8),MAX(IF(Supuestos!$G$8="",-1E+99,Supuestos!$G$8),IF(Supuestos!$C$8="Normal",NORMINV(E923,Supuestos!$D$8,Supuestos!$E$8),IF(Supuestos!$C$8="Triangular",IF(E923&lt;(Supuestos!$E$8-Supuestos!$D$8)/(Supuestos!$F$8-Supuestos!$D$8),Supuestos!$D$8+SQRT(E923*(Supuestos!$F$8-Supuestos!$D$8)*(Supuestos!$E$8-Supuestos!$D$8)),Supuestos!$F$8-SQRT((1-E923)*(Supuestos!$F$8-Supuestos!$D$8)*(Supuestos!$F$8-Supuestos!$E$8))),IF(Supuestos!$C$8="Uniforme",Supuestos!$D$8+E923*(Supuestos!$E$8-Supuestos!$D$8),IF(Supuestos!$C$8="Lognormal",LOGINV(E923,LN(Supuestos!$D$8)-LN(1+Supuestos!$E$8^2/Supuestos!$D$8^2)/2,SQRT(LN(1+Supuestos!$E$8^2/Supuestos!$D$8^2))),Supuestos!$D$8))))))</f>
        <v/>
      </c>
      <c r="M923" s="32">
        <f>MIN(IF(Supuestos!$H$9="",1E+99,Supuestos!$H$9),MAX(IF(Supuestos!$G$9="",-1E+99,Supuestos!$G$9),IF(Supuestos!$C$9="Normal",NORMINV(F923,Supuestos!$D$9,Supuestos!$E$9),IF(Supuestos!$C$9="Triangular",IF(F923&lt;(Supuestos!$E$9-Supuestos!$D$9)/(Supuestos!$F$9-Supuestos!$D$9),Supuestos!$D$9+SQRT(F923*(Supuestos!$F$9-Supuestos!$D$9)*(Supuestos!$E$9-Supuestos!$D$9)),Supuestos!$F$9-SQRT((1-F923)*(Supuestos!$F$9-Supuestos!$D$9)*(Supuestos!$F$9-Supuestos!$E$9))),IF(Supuestos!$C$9="Uniforme",Supuestos!$D$9+F923*(Supuestos!$E$9-Supuestos!$D$9),IF(Supuestos!$C$9="Lognormal",LOGINV(F923,LN(Supuestos!$D$9)-LN(1+Supuestos!$E$9^2/Supuestos!$D$9^2)/2,SQRT(LN(1+Supuestos!$E$9^2/Supuestos!$D$9^2))),Supuestos!$D$9))))))</f>
        <v/>
      </c>
      <c r="N923" s="32">
        <f>MIN(IF(Supuestos!$H$10="",1E+99,Supuestos!$H$10),MAX(IF(Supuestos!$G$10="",-1E+99,Supuestos!$G$10),IF(Supuestos!$C$10="Normal",NORMINV(G923,Supuestos!$D$10,Supuestos!$E$10),IF(Supuestos!$C$10="Triangular",IF(G923&lt;(Supuestos!$E$10-Supuestos!$D$10)/(Supuestos!$F$10-Supuestos!$D$10),Supuestos!$D$10+SQRT(G923*(Supuestos!$F$10-Supuestos!$D$10)*(Supuestos!$E$10-Supuestos!$D$10)),Supuestos!$F$10-SQRT((1-G923)*(Supuestos!$F$10-Supuestos!$D$10)*(Supuestos!$F$10-Supuestos!$E$10))),IF(Supuestos!$C$10="Uniforme",Supuestos!$D$10+G923*(Supuestos!$E$10-Supuestos!$D$10),IF(Supuestos!$C$10="Lognormal",LOGINV(G923,LN(Supuestos!$D$10)-LN(1+Supuestos!$E$10^2/Supuestos!$D$10^2)/2,SQRT(LN(1+Supuestos!$E$10^2/Supuestos!$D$10^2))),Supuestos!$D$10))))))</f>
        <v/>
      </c>
      <c r="O923" s="31">
        <f>MIN(IF(Supuestos!$H$11="",1E+99,Supuestos!$H$11),MAX(IF(Supuestos!$G$11="",-1E+99,Supuestos!$G$11),IF(Supuestos!$C$11="Normal",NORMINV(H923,Supuestos!$D$11,Supuestos!$E$11),IF(Supuestos!$C$11="Triangular",IF(H923&lt;(Supuestos!$E$11-Supuestos!$D$11)/(Supuestos!$F$11-Supuestos!$D$11),Supuestos!$D$11+SQRT(H923*(Supuestos!$F$11-Supuestos!$D$11)*(Supuestos!$E$11-Supuestos!$D$11)),Supuestos!$F$11-SQRT((1-H923)*(Supuestos!$F$11-Supuestos!$D$11)*(Supuestos!$F$11-Supuestos!$E$11))),IF(Supuestos!$C$11="Uniforme",Supuestos!$D$11+H923*(Supuestos!$E$11-Supuestos!$D$11),IF(Supuestos!$C$11="Lognormal",LOGINV(H923,LN(Supuestos!$D$11)-LN(1+Supuestos!$E$11^2/Supuestos!$D$11^2)/2,SQRT(LN(1+Supuestos!$E$11^2/Supuestos!$D$11^2))),Supuestos!$D$11))))))</f>
        <v/>
      </c>
      <c r="P923" s="33">
        <f>-I923</f>
        <v/>
      </c>
      <c r="Q923" s="33">
        <f>$J923*(1+$K923)^(1-1)*(1-$L923)*(1-$M923)</f>
        <v/>
      </c>
      <c r="R923" s="33">
        <f>$J923*(1+$K923)^(2-1)*(1-$L923)*(1-$M923)</f>
        <v/>
      </c>
      <c r="S923" s="33">
        <f>$J923*(1+$K923)^(3-1)*(1-$L923)*(1-$M923)</f>
        <v/>
      </c>
      <c r="T923" s="33">
        <f>$J923*(1+$K923)^(4-1)*(1-$L923)*(1-$M923)</f>
        <v/>
      </c>
      <c r="U923" s="33">
        <f>$J923*(1+$K923)^(5-1)*(1-$L923)*(1-$M923)+$O923</f>
        <v/>
      </c>
      <c r="V923" s="33">
        <f>P923+NPV($N923,Q923:U923)</f>
        <v/>
      </c>
      <c r="W923" s="32">
        <f>IFERROR(IRR(P923:U923,0.1),"")</f>
        <v/>
      </c>
    </row>
    <row r="924">
      <c r="A924" s="14" t="n">
        <v>920</v>
      </c>
      <c r="B924" s="30">
        <f>RAND()*(1-2E-6)+1E-6</f>
        <v/>
      </c>
      <c r="C924" s="30">
        <f>RAND()*(1-2E-6)+1E-6</f>
        <v/>
      </c>
      <c r="D924" s="30">
        <f>RAND()*(1-2E-6)+1E-6</f>
        <v/>
      </c>
      <c r="E924" s="30">
        <f>RAND()*(1-2E-6)+1E-6</f>
        <v/>
      </c>
      <c r="F924" s="30">
        <f>RAND()*(1-2E-6)+1E-6</f>
        <v/>
      </c>
      <c r="G924" s="30">
        <f>RAND()*(1-2E-6)+1E-6</f>
        <v/>
      </c>
      <c r="H924" s="30">
        <f>RAND()*(1-2E-6)+1E-6</f>
        <v/>
      </c>
      <c r="I924" s="31">
        <f>MIN(IF(Supuestos!$H$5="",1E+99,Supuestos!$H$5),MAX(IF(Supuestos!$G$5="",-1E+99,Supuestos!$G$5),IF(Supuestos!$C$5="Normal",NORMINV(B924,Supuestos!$D$5,Supuestos!$E$5),IF(Supuestos!$C$5="Triangular",IF(B924&lt;(Supuestos!$E$5-Supuestos!$D$5)/(Supuestos!$F$5-Supuestos!$D$5),Supuestos!$D$5+SQRT(B924*(Supuestos!$F$5-Supuestos!$D$5)*(Supuestos!$E$5-Supuestos!$D$5)),Supuestos!$F$5-SQRT((1-B924)*(Supuestos!$F$5-Supuestos!$D$5)*(Supuestos!$F$5-Supuestos!$E$5))),IF(Supuestos!$C$5="Uniforme",Supuestos!$D$5+B924*(Supuestos!$E$5-Supuestos!$D$5),IF(Supuestos!$C$5="Lognormal",LOGINV(B924,LN(Supuestos!$D$5)-LN(1+Supuestos!$E$5^2/Supuestos!$D$5^2)/2,SQRT(LN(1+Supuestos!$E$5^2/Supuestos!$D$5^2))),Supuestos!$D$5))))))</f>
        <v/>
      </c>
      <c r="J924" s="31">
        <f>MIN(IF(Supuestos!$H$6="",1E+99,Supuestos!$H$6),MAX(IF(Supuestos!$G$6="",-1E+99,Supuestos!$G$6),IF(Supuestos!$C$6="Normal",NORMINV(C924,Supuestos!$D$6,Supuestos!$E$6),IF(Supuestos!$C$6="Triangular",IF(C924&lt;(Supuestos!$E$6-Supuestos!$D$6)/(Supuestos!$F$6-Supuestos!$D$6),Supuestos!$D$6+SQRT(C924*(Supuestos!$F$6-Supuestos!$D$6)*(Supuestos!$E$6-Supuestos!$D$6)),Supuestos!$F$6-SQRT((1-C924)*(Supuestos!$F$6-Supuestos!$D$6)*(Supuestos!$F$6-Supuestos!$E$6))),IF(Supuestos!$C$6="Uniforme",Supuestos!$D$6+C924*(Supuestos!$E$6-Supuestos!$D$6),IF(Supuestos!$C$6="Lognormal",LOGINV(C924,LN(Supuestos!$D$6)-LN(1+Supuestos!$E$6^2/Supuestos!$D$6^2)/2,SQRT(LN(1+Supuestos!$E$6^2/Supuestos!$D$6^2))),Supuestos!$D$6))))))</f>
        <v/>
      </c>
      <c r="K924" s="32">
        <f>MIN(IF(Supuestos!$H$7="",1E+99,Supuestos!$H$7),MAX(IF(Supuestos!$G$7="",-1E+99,Supuestos!$G$7),IF(Supuestos!$C$7="Normal",NORMINV(D924,Supuestos!$D$7,Supuestos!$E$7),IF(Supuestos!$C$7="Triangular",IF(D924&lt;(Supuestos!$E$7-Supuestos!$D$7)/(Supuestos!$F$7-Supuestos!$D$7),Supuestos!$D$7+SQRT(D924*(Supuestos!$F$7-Supuestos!$D$7)*(Supuestos!$E$7-Supuestos!$D$7)),Supuestos!$F$7-SQRT((1-D924)*(Supuestos!$F$7-Supuestos!$D$7)*(Supuestos!$F$7-Supuestos!$E$7))),IF(Supuestos!$C$7="Uniforme",Supuestos!$D$7+D924*(Supuestos!$E$7-Supuestos!$D$7),IF(Supuestos!$C$7="Lognormal",LOGINV(D924,LN(Supuestos!$D$7)-LN(1+Supuestos!$E$7^2/Supuestos!$D$7^2)/2,SQRT(LN(1+Supuestos!$E$7^2/Supuestos!$D$7^2))),Supuestos!$D$7))))))</f>
        <v/>
      </c>
      <c r="L924" s="32">
        <f>MIN(IF(Supuestos!$H$8="",1E+99,Supuestos!$H$8),MAX(IF(Supuestos!$G$8="",-1E+99,Supuestos!$G$8),IF(Supuestos!$C$8="Normal",NORMINV(E924,Supuestos!$D$8,Supuestos!$E$8),IF(Supuestos!$C$8="Triangular",IF(E924&lt;(Supuestos!$E$8-Supuestos!$D$8)/(Supuestos!$F$8-Supuestos!$D$8),Supuestos!$D$8+SQRT(E924*(Supuestos!$F$8-Supuestos!$D$8)*(Supuestos!$E$8-Supuestos!$D$8)),Supuestos!$F$8-SQRT((1-E924)*(Supuestos!$F$8-Supuestos!$D$8)*(Supuestos!$F$8-Supuestos!$E$8))),IF(Supuestos!$C$8="Uniforme",Supuestos!$D$8+E924*(Supuestos!$E$8-Supuestos!$D$8),IF(Supuestos!$C$8="Lognormal",LOGINV(E924,LN(Supuestos!$D$8)-LN(1+Supuestos!$E$8^2/Supuestos!$D$8^2)/2,SQRT(LN(1+Supuestos!$E$8^2/Supuestos!$D$8^2))),Supuestos!$D$8))))))</f>
        <v/>
      </c>
      <c r="M924" s="32">
        <f>MIN(IF(Supuestos!$H$9="",1E+99,Supuestos!$H$9),MAX(IF(Supuestos!$G$9="",-1E+99,Supuestos!$G$9),IF(Supuestos!$C$9="Normal",NORMINV(F924,Supuestos!$D$9,Supuestos!$E$9),IF(Supuestos!$C$9="Triangular",IF(F924&lt;(Supuestos!$E$9-Supuestos!$D$9)/(Supuestos!$F$9-Supuestos!$D$9),Supuestos!$D$9+SQRT(F924*(Supuestos!$F$9-Supuestos!$D$9)*(Supuestos!$E$9-Supuestos!$D$9)),Supuestos!$F$9-SQRT((1-F924)*(Supuestos!$F$9-Supuestos!$D$9)*(Supuestos!$F$9-Supuestos!$E$9))),IF(Supuestos!$C$9="Uniforme",Supuestos!$D$9+F924*(Supuestos!$E$9-Supuestos!$D$9),IF(Supuestos!$C$9="Lognormal",LOGINV(F924,LN(Supuestos!$D$9)-LN(1+Supuestos!$E$9^2/Supuestos!$D$9^2)/2,SQRT(LN(1+Supuestos!$E$9^2/Supuestos!$D$9^2))),Supuestos!$D$9))))))</f>
        <v/>
      </c>
      <c r="N924" s="32">
        <f>MIN(IF(Supuestos!$H$10="",1E+99,Supuestos!$H$10),MAX(IF(Supuestos!$G$10="",-1E+99,Supuestos!$G$10),IF(Supuestos!$C$10="Normal",NORMINV(G924,Supuestos!$D$10,Supuestos!$E$10),IF(Supuestos!$C$10="Triangular",IF(G924&lt;(Supuestos!$E$10-Supuestos!$D$10)/(Supuestos!$F$10-Supuestos!$D$10),Supuestos!$D$10+SQRT(G924*(Supuestos!$F$10-Supuestos!$D$10)*(Supuestos!$E$10-Supuestos!$D$10)),Supuestos!$F$10-SQRT((1-G924)*(Supuestos!$F$10-Supuestos!$D$10)*(Supuestos!$F$10-Supuestos!$E$10))),IF(Supuestos!$C$10="Uniforme",Supuestos!$D$10+G924*(Supuestos!$E$10-Supuestos!$D$10),IF(Supuestos!$C$10="Lognormal",LOGINV(G924,LN(Supuestos!$D$10)-LN(1+Supuestos!$E$10^2/Supuestos!$D$10^2)/2,SQRT(LN(1+Supuestos!$E$10^2/Supuestos!$D$10^2))),Supuestos!$D$10))))))</f>
        <v/>
      </c>
      <c r="O924" s="31">
        <f>MIN(IF(Supuestos!$H$11="",1E+99,Supuestos!$H$11),MAX(IF(Supuestos!$G$11="",-1E+99,Supuestos!$G$11),IF(Supuestos!$C$11="Normal",NORMINV(H924,Supuestos!$D$11,Supuestos!$E$11),IF(Supuestos!$C$11="Triangular",IF(H924&lt;(Supuestos!$E$11-Supuestos!$D$11)/(Supuestos!$F$11-Supuestos!$D$11),Supuestos!$D$11+SQRT(H924*(Supuestos!$F$11-Supuestos!$D$11)*(Supuestos!$E$11-Supuestos!$D$11)),Supuestos!$F$11-SQRT((1-H924)*(Supuestos!$F$11-Supuestos!$D$11)*(Supuestos!$F$11-Supuestos!$E$11))),IF(Supuestos!$C$11="Uniforme",Supuestos!$D$11+H924*(Supuestos!$E$11-Supuestos!$D$11),IF(Supuestos!$C$11="Lognormal",LOGINV(H924,LN(Supuestos!$D$11)-LN(1+Supuestos!$E$11^2/Supuestos!$D$11^2)/2,SQRT(LN(1+Supuestos!$E$11^2/Supuestos!$D$11^2))),Supuestos!$D$11))))))</f>
        <v/>
      </c>
      <c r="P924" s="33">
        <f>-I924</f>
        <v/>
      </c>
      <c r="Q924" s="33">
        <f>$J924*(1+$K924)^(1-1)*(1-$L924)*(1-$M924)</f>
        <v/>
      </c>
      <c r="R924" s="33">
        <f>$J924*(1+$K924)^(2-1)*(1-$L924)*(1-$M924)</f>
        <v/>
      </c>
      <c r="S924" s="33">
        <f>$J924*(1+$K924)^(3-1)*(1-$L924)*(1-$M924)</f>
        <v/>
      </c>
      <c r="T924" s="33">
        <f>$J924*(1+$K924)^(4-1)*(1-$L924)*(1-$M924)</f>
        <v/>
      </c>
      <c r="U924" s="33">
        <f>$J924*(1+$K924)^(5-1)*(1-$L924)*(1-$M924)+$O924</f>
        <v/>
      </c>
      <c r="V924" s="33">
        <f>P924+NPV($N924,Q924:U924)</f>
        <v/>
      </c>
      <c r="W924" s="32">
        <f>IFERROR(IRR(P924:U924,0.1),"")</f>
        <v/>
      </c>
    </row>
    <row r="925">
      <c r="A925" s="14" t="n">
        <v>921</v>
      </c>
      <c r="B925" s="30">
        <f>RAND()*(1-2E-6)+1E-6</f>
        <v/>
      </c>
      <c r="C925" s="30">
        <f>RAND()*(1-2E-6)+1E-6</f>
        <v/>
      </c>
      <c r="D925" s="30">
        <f>RAND()*(1-2E-6)+1E-6</f>
        <v/>
      </c>
      <c r="E925" s="30">
        <f>RAND()*(1-2E-6)+1E-6</f>
        <v/>
      </c>
      <c r="F925" s="30">
        <f>RAND()*(1-2E-6)+1E-6</f>
        <v/>
      </c>
      <c r="G925" s="30">
        <f>RAND()*(1-2E-6)+1E-6</f>
        <v/>
      </c>
      <c r="H925" s="30">
        <f>RAND()*(1-2E-6)+1E-6</f>
        <v/>
      </c>
      <c r="I925" s="31">
        <f>MIN(IF(Supuestos!$H$5="",1E+99,Supuestos!$H$5),MAX(IF(Supuestos!$G$5="",-1E+99,Supuestos!$G$5),IF(Supuestos!$C$5="Normal",NORMINV(B925,Supuestos!$D$5,Supuestos!$E$5),IF(Supuestos!$C$5="Triangular",IF(B925&lt;(Supuestos!$E$5-Supuestos!$D$5)/(Supuestos!$F$5-Supuestos!$D$5),Supuestos!$D$5+SQRT(B925*(Supuestos!$F$5-Supuestos!$D$5)*(Supuestos!$E$5-Supuestos!$D$5)),Supuestos!$F$5-SQRT((1-B925)*(Supuestos!$F$5-Supuestos!$D$5)*(Supuestos!$F$5-Supuestos!$E$5))),IF(Supuestos!$C$5="Uniforme",Supuestos!$D$5+B925*(Supuestos!$E$5-Supuestos!$D$5),IF(Supuestos!$C$5="Lognormal",LOGINV(B925,LN(Supuestos!$D$5)-LN(1+Supuestos!$E$5^2/Supuestos!$D$5^2)/2,SQRT(LN(1+Supuestos!$E$5^2/Supuestos!$D$5^2))),Supuestos!$D$5))))))</f>
        <v/>
      </c>
      <c r="J925" s="31">
        <f>MIN(IF(Supuestos!$H$6="",1E+99,Supuestos!$H$6),MAX(IF(Supuestos!$G$6="",-1E+99,Supuestos!$G$6),IF(Supuestos!$C$6="Normal",NORMINV(C925,Supuestos!$D$6,Supuestos!$E$6),IF(Supuestos!$C$6="Triangular",IF(C925&lt;(Supuestos!$E$6-Supuestos!$D$6)/(Supuestos!$F$6-Supuestos!$D$6),Supuestos!$D$6+SQRT(C925*(Supuestos!$F$6-Supuestos!$D$6)*(Supuestos!$E$6-Supuestos!$D$6)),Supuestos!$F$6-SQRT((1-C925)*(Supuestos!$F$6-Supuestos!$D$6)*(Supuestos!$F$6-Supuestos!$E$6))),IF(Supuestos!$C$6="Uniforme",Supuestos!$D$6+C925*(Supuestos!$E$6-Supuestos!$D$6),IF(Supuestos!$C$6="Lognormal",LOGINV(C925,LN(Supuestos!$D$6)-LN(1+Supuestos!$E$6^2/Supuestos!$D$6^2)/2,SQRT(LN(1+Supuestos!$E$6^2/Supuestos!$D$6^2))),Supuestos!$D$6))))))</f>
        <v/>
      </c>
      <c r="K925" s="32">
        <f>MIN(IF(Supuestos!$H$7="",1E+99,Supuestos!$H$7),MAX(IF(Supuestos!$G$7="",-1E+99,Supuestos!$G$7),IF(Supuestos!$C$7="Normal",NORMINV(D925,Supuestos!$D$7,Supuestos!$E$7),IF(Supuestos!$C$7="Triangular",IF(D925&lt;(Supuestos!$E$7-Supuestos!$D$7)/(Supuestos!$F$7-Supuestos!$D$7),Supuestos!$D$7+SQRT(D925*(Supuestos!$F$7-Supuestos!$D$7)*(Supuestos!$E$7-Supuestos!$D$7)),Supuestos!$F$7-SQRT((1-D925)*(Supuestos!$F$7-Supuestos!$D$7)*(Supuestos!$F$7-Supuestos!$E$7))),IF(Supuestos!$C$7="Uniforme",Supuestos!$D$7+D925*(Supuestos!$E$7-Supuestos!$D$7),IF(Supuestos!$C$7="Lognormal",LOGINV(D925,LN(Supuestos!$D$7)-LN(1+Supuestos!$E$7^2/Supuestos!$D$7^2)/2,SQRT(LN(1+Supuestos!$E$7^2/Supuestos!$D$7^2))),Supuestos!$D$7))))))</f>
        <v/>
      </c>
      <c r="L925" s="32">
        <f>MIN(IF(Supuestos!$H$8="",1E+99,Supuestos!$H$8),MAX(IF(Supuestos!$G$8="",-1E+99,Supuestos!$G$8),IF(Supuestos!$C$8="Normal",NORMINV(E925,Supuestos!$D$8,Supuestos!$E$8),IF(Supuestos!$C$8="Triangular",IF(E925&lt;(Supuestos!$E$8-Supuestos!$D$8)/(Supuestos!$F$8-Supuestos!$D$8),Supuestos!$D$8+SQRT(E925*(Supuestos!$F$8-Supuestos!$D$8)*(Supuestos!$E$8-Supuestos!$D$8)),Supuestos!$F$8-SQRT((1-E925)*(Supuestos!$F$8-Supuestos!$D$8)*(Supuestos!$F$8-Supuestos!$E$8))),IF(Supuestos!$C$8="Uniforme",Supuestos!$D$8+E925*(Supuestos!$E$8-Supuestos!$D$8),IF(Supuestos!$C$8="Lognormal",LOGINV(E925,LN(Supuestos!$D$8)-LN(1+Supuestos!$E$8^2/Supuestos!$D$8^2)/2,SQRT(LN(1+Supuestos!$E$8^2/Supuestos!$D$8^2))),Supuestos!$D$8))))))</f>
        <v/>
      </c>
      <c r="M925" s="32">
        <f>MIN(IF(Supuestos!$H$9="",1E+99,Supuestos!$H$9),MAX(IF(Supuestos!$G$9="",-1E+99,Supuestos!$G$9),IF(Supuestos!$C$9="Normal",NORMINV(F925,Supuestos!$D$9,Supuestos!$E$9),IF(Supuestos!$C$9="Triangular",IF(F925&lt;(Supuestos!$E$9-Supuestos!$D$9)/(Supuestos!$F$9-Supuestos!$D$9),Supuestos!$D$9+SQRT(F925*(Supuestos!$F$9-Supuestos!$D$9)*(Supuestos!$E$9-Supuestos!$D$9)),Supuestos!$F$9-SQRT((1-F925)*(Supuestos!$F$9-Supuestos!$D$9)*(Supuestos!$F$9-Supuestos!$E$9))),IF(Supuestos!$C$9="Uniforme",Supuestos!$D$9+F925*(Supuestos!$E$9-Supuestos!$D$9),IF(Supuestos!$C$9="Lognormal",LOGINV(F925,LN(Supuestos!$D$9)-LN(1+Supuestos!$E$9^2/Supuestos!$D$9^2)/2,SQRT(LN(1+Supuestos!$E$9^2/Supuestos!$D$9^2))),Supuestos!$D$9))))))</f>
        <v/>
      </c>
      <c r="N925" s="32">
        <f>MIN(IF(Supuestos!$H$10="",1E+99,Supuestos!$H$10),MAX(IF(Supuestos!$G$10="",-1E+99,Supuestos!$G$10),IF(Supuestos!$C$10="Normal",NORMINV(G925,Supuestos!$D$10,Supuestos!$E$10),IF(Supuestos!$C$10="Triangular",IF(G925&lt;(Supuestos!$E$10-Supuestos!$D$10)/(Supuestos!$F$10-Supuestos!$D$10),Supuestos!$D$10+SQRT(G925*(Supuestos!$F$10-Supuestos!$D$10)*(Supuestos!$E$10-Supuestos!$D$10)),Supuestos!$F$10-SQRT((1-G925)*(Supuestos!$F$10-Supuestos!$D$10)*(Supuestos!$F$10-Supuestos!$E$10))),IF(Supuestos!$C$10="Uniforme",Supuestos!$D$10+G925*(Supuestos!$E$10-Supuestos!$D$10),IF(Supuestos!$C$10="Lognormal",LOGINV(G925,LN(Supuestos!$D$10)-LN(1+Supuestos!$E$10^2/Supuestos!$D$10^2)/2,SQRT(LN(1+Supuestos!$E$10^2/Supuestos!$D$10^2))),Supuestos!$D$10))))))</f>
        <v/>
      </c>
      <c r="O925" s="31">
        <f>MIN(IF(Supuestos!$H$11="",1E+99,Supuestos!$H$11),MAX(IF(Supuestos!$G$11="",-1E+99,Supuestos!$G$11),IF(Supuestos!$C$11="Normal",NORMINV(H925,Supuestos!$D$11,Supuestos!$E$11),IF(Supuestos!$C$11="Triangular",IF(H925&lt;(Supuestos!$E$11-Supuestos!$D$11)/(Supuestos!$F$11-Supuestos!$D$11),Supuestos!$D$11+SQRT(H925*(Supuestos!$F$11-Supuestos!$D$11)*(Supuestos!$E$11-Supuestos!$D$11)),Supuestos!$F$11-SQRT((1-H925)*(Supuestos!$F$11-Supuestos!$D$11)*(Supuestos!$F$11-Supuestos!$E$11))),IF(Supuestos!$C$11="Uniforme",Supuestos!$D$11+H925*(Supuestos!$E$11-Supuestos!$D$11),IF(Supuestos!$C$11="Lognormal",LOGINV(H925,LN(Supuestos!$D$11)-LN(1+Supuestos!$E$11^2/Supuestos!$D$11^2)/2,SQRT(LN(1+Supuestos!$E$11^2/Supuestos!$D$11^2))),Supuestos!$D$11))))))</f>
        <v/>
      </c>
      <c r="P925" s="33">
        <f>-I925</f>
        <v/>
      </c>
      <c r="Q925" s="33">
        <f>$J925*(1+$K925)^(1-1)*(1-$L925)*(1-$M925)</f>
        <v/>
      </c>
      <c r="R925" s="33">
        <f>$J925*(1+$K925)^(2-1)*(1-$L925)*(1-$M925)</f>
        <v/>
      </c>
      <c r="S925" s="33">
        <f>$J925*(1+$K925)^(3-1)*(1-$L925)*(1-$M925)</f>
        <v/>
      </c>
      <c r="T925" s="33">
        <f>$J925*(1+$K925)^(4-1)*(1-$L925)*(1-$M925)</f>
        <v/>
      </c>
      <c r="U925" s="33">
        <f>$J925*(1+$K925)^(5-1)*(1-$L925)*(1-$M925)+$O925</f>
        <v/>
      </c>
      <c r="V925" s="33">
        <f>P925+NPV($N925,Q925:U925)</f>
        <v/>
      </c>
      <c r="W925" s="32">
        <f>IFERROR(IRR(P925:U925,0.1),"")</f>
        <v/>
      </c>
    </row>
    <row r="926">
      <c r="A926" s="14" t="n">
        <v>922</v>
      </c>
      <c r="B926" s="30">
        <f>RAND()*(1-2E-6)+1E-6</f>
        <v/>
      </c>
      <c r="C926" s="30">
        <f>RAND()*(1-2E-6)+1E-6</f>
        <v/>
      </c>
      <c r="D926" s="30">
        <f>RAND()*(1-2E-6)+1E-6</f>
        <v/>
      </c>
      <c r="E926" s="30">
        <f>RAND()*(1-2E-6)+1E-6</f>
        <v/>
      </c>
      <c r="F926" s="30">
        <f>RAND()*(1-2E-6)+1E-6</f>
        <v/>
      </c>
      <c r="G926" s="30">
        <f>RAND()*(1-2E-6)+1E-6</f>
        <v/>
      </c>
      <c r="H926" s="30">
        <f>RAND()*(1-2E-6)+1E-6</f>
        <v/>
      </c>
      <c r="I926" s="31">
        <f>MIN(IF(Supuestos!$H$5="",1E+99,Supuestos!$H$5),MAX(IF(Supuestos!$G$5="",-1E+99,Supuestos!$G$5),IF(Supuestos!$C$5="Normal",NORMINV(B926,Supuestos!$D$5,Supuestos!$E$5),IF(Supuestos!$C$5="Triangular",IF(B926&lt;(Supuestos!$E$5-Supuestos!$D$5)/(Supuestos!$F$5-Supuestos!$D$5),Supuestos!$D$5+SQRT(B926*(Supuestos!$F$5-Supuestos!$D$5)*(Supuestos!$E$5-Supuestos!$D$5)),Supuestos!$F$5-SQRT((1-B926)*(Supuestos!$F$5-Supuestos!$D$5)*(Supuestos!$F$5-Supuestos!$E$5))),IF(Supuestos!$C$5="Uniforme",Supuestos!$D$5+B926*(Supuestos!$E$5-Supuestos!$D$5),IF(Supuestos!$C$5="Lognormal",LOGINV(B926,LN(Supuestos!$D$5)-LN(1+Supuestos!$E$5^2/Supuestos!$D$5^2)/2,SQRT(LN(1+Supuestos!$E$5^2/Supuestos!$D$5^2))),Supuestos!$D$5))))))</f>
        <v/>
      </c>
      <c r="J926" s="31">
        <f>MIN(IF(Supuestos!$H$6="",1E+99,Supuestos!$H$6),MAX(IF(Supuestos!$G$6="",-1E+99,Supuestos!$G$6),IF(Supuestos!$C$6="Normal",NORMINV(C926,Supuestos!$D$6,Supuestos!$E$6),IF(Supuestos!$C$6="Triangular",IF(C926&lt;(Supuestos!$E$6-Supuestos!$D$6)/(Supuestos!$F$6-Supuestos!$D$6),Supuestos!$D$6+SQRT(C926*(Supuestos!$F$6-Supuestos!$D$6)*(Supuestos!$E$6-Supuestos!$D$6)),Supuestos!$F$6-SQRT((1-C926)*(Supuestos!$F$6-Supuestos!$D$6)*(Supuestos!$F$6-Supuestos!$E$6))),IF(Supuestos!$C$6="Uniforme",Supuestos!$D$6+C926*(Supuestos!$E$6-Supuestos!$D$6),IF(Supuestos!$C$6="Lognormal",LOGINV(C926,LN(Supuestos!$D$6)-LN(1+Supuestos!$E$6^2/Supuestos!$D$6^2)/2,SQRT(LN(1+Supuestos!$E$6^2/Supuestos!$D$6^2))),Supuestos!$D$6))))))</f>
        <v/>
      </c>
      <c r="K926" s="32">
        <f>MIN(IF(Supuestos!$H$7="",1E+99,Supuestos!$H$7),MAX(IF(Supuestos!$G$7="",-1E+99,Supuestos!$G$7),IF(Supuestos!$C$7="Normal",NORMINV(D926,Supuestos!$D$7,Supuestos!$E$7),IF(Supuestos!$C$7="Triangular",IF(D926&lt;(Supuestos!$E$7-Supuestos!$D$7)/(Supuestos!$F$7-Supuestos!$D$7),Supuestos!$D$7+SQRT(D926*(Supuestos!$F$7-Supuestos!$D$7)*(Supuestos!$E$7-Supuestos!$D$7)),Supuestos!$F$7-SQRT((1-D926)*(Supuestos!$F$7-Supuestos!$D$7)*(Supuestos!$F$7-Supuestos!$E$7))),IF(Supuestos!$C$7="Uniforme",Supuestos!$D$7+D926*(Supuestos!$E$7-Supuestos!$D$7),IF(Supuestos!$C$7="Lognormal",LOGINV(D926,LN(Supuestos!$D$7)-LN(1+Supuestos!$E$7^2/Supuestos!$D$7^2)/2,SQRT(LN(1+Supuestos!$E$7^2/Supuestos!$D$7^2))),Supuestos!$D$7))))))</f>
        <v/>
      </c>
      <c r="L926" s="32">
        <f>MIN(IF(Supuestos!$H$8="",1E+99,Supuestos!$H$8),MAX(IF(Supuestos!$G$8="",-1E+99,Supuestos!$G$8),IF(Supuestos!$C$8="Normal",NORMINV(E926,Supuestos!$D$8,Supuestos!$E$8),IF(Supuestos!$C$8="Triangular",IF(E926&lt;(Supuestos!$E$8-Supuestos!$D$8)/(Supuestos!$F$8-Supuestos!$D$8),Supuestos!$D$8+SQRT(E926*(Supuestos!$F$8-Supuestos!$D$8)*(Supuestos!$E$8-Supuestos!$D$8)),Supuestos!$F$8-SQRT((1-E926)*(Supuestos!$F$8-Supuestos!$D$8)*(Supuestos!$F$8-Supuestos!$E$8))),IF(Supuestos!$C$8="Uniforme",Supuestos!$D$8+E926*(Supuestos!$E$8-Supuestos!$D$8),IF(Supuestos!$C$8="Lognormal",LOGINV(E926,LN(Supuestos!$D$8)-LN(1+Supuestos!$E$8^2/Supuestos!$D$8^2)/2,SQRT(LN(1+Supuestos!$E$8^2/Supuestos!$D$8^2))),Supuestos!$D$8))))))</f>
        <v/>
      </c>
      <c r="M926" s="32">
        <f>MIN(IF(Supuestos!$H$9="",1E+99,Supuestos!$H$9),MAX(IF(Supuestos!$G$9="",-1E+99,Supuestos!$G$9),IF(Supuestos!$C$9="Normal",NORMINV(F926,Supuestos!$D$9,Supuestos!$E$9),IF(Supuestos!$C$9="Triangular",IF(F926&lt;(Supuestos!$E$9-Supuestos!$D$9)/(Supuestos!$F$9-Supuestos!$D$9),Supuestos!$D$9+SQRT(F926*(Supuestos!$F$9-Supuestos!$D$9)*(Supuestos!$E$9-Supuestos!$D$9)),Supuestos!$F$9-SQRT((1-F926)*(Supuestos!$F$9-Supuestos!$D$9)*(Supuestos!$F$9-Supuestos!$E$9))),IF(Supuestos!$C$9="Uniforme",Supuestos!$D$9+F926*(Supuestos!$E$9-Supuestos!$D$9),IF(Supuestos!$C$9="Lognormal",LOGINV(F926,LN(Supuestos!$D$9)-LN(1+Supuestos!$E$9^2/Supuestos!$D$9^2)/2,SQRT(LN(1+Supuestos!$E$9^2/Supuestos!$D$9^2))),Supuestos!$D$9))))))</f>
        <v/>
      </c>
      <c r="N926" s="32">
        <f>MIN(IF(Supuestos!$H$10="",1E+99,Supuestos!$H$10),MAX(IF(Supuestos!$G$10="",-1E+99,Supuestos!$G$10),IF(Supuestos!$C$10="Normal",NORMINV(G926,Supuestos!$D$10,Supuestos!$E$10),IF(Supuestos!$C$10="Triangular",IF(G926&lt;(Supuestos!$E$10-Supuestos!$D$10)/(Supuestos!$F$10-Supuestos!$D$10),Supuestos!$D$10+SQRT(G926*(Supuestos!$F$10-Supuestos!$D$10)*(Supuestos!$E$10-Supuestos!$D$10)),Supuestos!$F$10-SQRT((1-G926)*(Supuestos!$F$10-Supuestos!$D$10)*(Supuestos!$F$10-Supuestos!$E$10))),IF(Supuestos!$C$10="Uniforme",Supuestos!$D$10+G926*(Supuestos!$E$10-Supuestos!$D$10),IF(Supuestos!$C$10="Lognormal",LOGINV(G926,LN(Supuestos!$D$10)-LN(1+Supuestos!$E$10^2/Supuestos!$D$10^2)/2,SQRT(LN(1+Supuestos!$E$10^2/Supuestos!$D$10^2))),Supuestos!$D$10))))))</f>
        <v/>
      </c>
      <c r="O926" s="31">
        <f>MIN(IF(Supuestos!$H$11="",1E+99,Supuestos!$H$11),MAX(IF(Supuestos!$G$11="",-1E+99,Supuestos!$G$11),IF(Supuestos!$C$11="Normal",NORMINV(H926,Supuestos!$D$11,Supuestos!$E$11),IF(Supuestos!$C$11="Triangular",IF(H926&lt;(Supuestos!$E$11-Supuestos!$D$11)/(Supuestos!$F$11-Supuestos!$D$11),Supuestos!$D$11+SQRT(H926*(Supuestos!$F$11-Supuestos!$D$11)*(Supuestos!$E$11-Supuestos!$D$11)),Supuestos!$F$11-SQRT((1-H926)*(Supuestos!$F$11-Supuestos!$D$11)*(Supuestos!$F$11-Supuestos!$E$11))),IF(Supuestos!$C$11="Uniforme",Supuestos!$D$11+H926*(Supuestos!$E$11-Supuestos!$D$11),IF(Supuestos!$C$11="Lognormal",LOGINV(H926,LN(Supuestos!$D$11)-LN(1+Supuestos!$E$11^2/Supuestos!$D$11^2)/2,SQRT(LN(1+Supuestos!$E$11^2/Supuestos!$D$11^2))),Supuestos!$D$11))))))</f>
        <v/>
      </c>
      <c r="P926" s="33">
        <f>-I926</f>
        <v/>
      </c>
      <c r="Q926" s="33">
        <f>$J926*(1+$K926)^(1-1)*(1-$L926)*(1-$M926)</f>
        <v/>
      </c>
      <c r="R926" s="33">
        <f>$J926*(1+$K926)^(2-1)*(1-$L926)*(1-$M926)</f>
        <v/>
      </c>
      <c r="S926" s="33">
        <f>$J926*(1+$K926)^(3-1)*(1-$L926)*(1-$M926)</f>
        <v/>
      </c>
      <c r="T926" s="33">
        <f>$J926*(1+$K926)^(4-1)*(1-$L926)*(1-$M926)</f>
        <v/>
      </c>
      <c r="U926" s="33">
        <f>$J926*(1+$K926)^(5-1)*(1-$L926)*(1-$M926)+$O926</f>
        <v/>
      </c>
      <c r="V926" s="33">
        <f>P926+NPV($N926,Q926:U926)</f>
        <v/>
      </c>
      <c r="W926" s="32">
        <f>IFERROR(IRR(P926:U926,0.1),"")</f>
        <v/>
      </c>
    </row>
    <row r="927">
      <c r="A927" s="14" t="n">
        <v>923</v>
      </c>
      <c r="B927" s="30">
        <f>RAND()*(1-2E-6)+1E-6</f>
        <v/>
      </c>
      <c r="C927" s="30">
        <f>RAND()*(1-2E-6)+1E-6</f>
        <v/>
      </c>
      <c r="D927" s="30">
        <f>RAND()*(1-2E-6)+1E-6</f>
        <v/>
      </c>
      <c r="E927" s="30">
        <f>RAND()*(1-2E-6)+1E-6</f>
        <v/>
      </c>
      <c r="F927" s="30">
        <f>RAND()*(1-2E-6)+1E-6</f>
        <v/>
      </c>
      <c r="G927" s="30">
        <f>RAND()*(1-2E-6)+1E-6</f>
        <v/>
      </c>
      <c r="H927" s="30">
        <f>RAND()*(1-2E-6)+1E-6</f>
        <v/>
      </c>
      <c r="I927" s="31">
        <f>MIN(IF(Supuestos!$H$5="",1E+99,Supuestos!$H$5),MAX(IF(Supuestos!$G$5="",-1E+99,Supuestos!$G$5),IF(Supuestos!$C$5="Normal",NORMINV(B927,Supuestos!$D$5,Supuestos!$E$5),IF(Supuestos!$C$5="Triangular",IF(B927&lt;(Supuestos!$E$5-Supuestos!$D$5)/(Supuestos!$F$5-Supuestos!$D$5),Supuestos!$D$5+SQRT(B927*(Supuestos!$F$5-Supuestos!$D$5)*(Supuestos!$E$5-Supuestos!$D$5)),Supuestos!$F$5-SQRT((1-B927)*(Supuestos!$F$5-Supuestos!$D$5)*(Supuestos!$F$5-Supuestos!$E$5))),IF(Supuestos!$C$5="Uniforme",Supuestos!$D$5+B927*(Supuestos!$E$5-Supuestos!$D$5),IF(Supuestos!$C$5="Lognormal",LOGINV(B927,LN(Supuestos!$D$5)-LN(1+Supuestos!$E$5^2/Supuestos!$D$5^2)/2,SQRT(LN(1+Supuestos!$E$5^2/Supuestos!$D$5^2))),Supuestos!$D$5))))))</f>
        <v/>
      </c>
      <c r="J927" s="31">
        <f>MIN(IF(Supuestos!$H$6="",1E+99,Supuestos!$H$6),MAX(IF(Supuestos!$G$6="",-1E+99,Supuestos!$G$6),IF(Supuestos!$C$6="Normal",NORMINV(C927,Supuestos!$D$6,Supuestos!$E$6),IF(Supuestos!$C$6="Triangular",IF(C927&lt;(Supuestos!$E$6-Supuestos!$D$6)/(Supuestos!$F$6-Supuestos!$D$6),Supuestos!$D$6+SQRT(C927*(Supuestos!$F$6-Supuestos!$D$6)*(Supuestos!$E$6-Supuestos!$D$6)),Supuestos!$F$6-SQRT((1-C927)*(Supuestos!$F$6-Supuestos!$D$6)*(Supuestos!$F$6-Supuestos!$E$6))),IF(Supuestos!$C$6="Uniforme",Supuestos!$D$6+C927*(Supuestos!$E$6-Supuestos!$D$6),IF(Supuestos!$C$6="Lognormal",LOGINV(C927,LN(Supuestos!$D$6)-LN(1+Supuestos!$E$6^2/Supuestos!$D$6^2)/2,SQRT(LN(1+Supuestos!$E$6^2/Supuestos!$D$6^2))),Supuestos!$D$6))))))</f>
        <v/>
      </c>
      <c r="K927" s="32">
        <f>MIN(IF(Supuestos!$H$7="",1E+99,Supuestos!$H$7),MAX(IF(Supuestos!$G$7="",-1E+99,Supuestos!$G$7),IF(Supuestos!$C$7="Normal",NORMINV(D927,Supuestos!$D$7,Supuestos!$E$7),IF(Supuestos!$C$7="Triangular",IF(D927&lt;(Supuestos!$E$7-Supuestos!$D$7)/(Supuestos!$F$7-Supuestos!$D$7),Supuestos!$D$7+SQRT(D927*(Supuestos!$F$7-Supuestos!$D$7)*(Supuestos!$E$7-Supuestos!$D$7)),Supuestos!$F$7-SQRT((1-D927)*(Supuestos!$F$7-Supuestos!$D$7)*(Supuestos!$F$7-Supuestos!$E$7))),IF(Supuestos!$C$7="Uniforme",Supuestos!$D$7+D927*(Supuestos!$E$7-Supuestos!$D$7),IF(Supuestos!$C$7="Lognormal",LOGINV(D927,LN(Supuestos!$D$7)-LN(1+Supuestos!$E$7^2/Supuestos!$D$7^2)/2,SQRT(LN(1+Supuestos!$E$7^2/Supuestos!$D$7^2))),Supuestos!$D$7))))))</f>
        <v/>
      </c>
      <c r="L927" s="32">
        <f>MIN(IF(Supuestos!$H$8="",1E+99,Supuestos!$H$8),MAX(IF(Supuestos!$G$8="",-1E+99,Supuestos!$G$8),IF(Supuestos!$C$8="Normal",NORMINV(E927,Supuestos!$D$8,Supuestos!$E$8),IF(Supuestos!$C$8="Triangular",IF(E927&lt;(Supuestos!$E$8-Supuestos!$D$8)/(Supuestos!$F$8-Supuestos!$D$8),Supuestos!$D$8+SQRT(E927*(Supuestos!$F$8-Supuestos!$D$8)*(Supuestos!$E$8-Supuestos!$D$8)),Supuestos!$F$8-SQRT((1-E927)*(Supuestos!$F$8-Supuestos!$D$8)*(Supuestos!$F$8-Supuestos!$E$8))),IF(Supuestos!$C$8="Uniforme",Supuestos!$D$8+E927*(Supuestos!$E$8-Supuestos!$D$8),IF(Supuestos!$C$8="Lognormal",LOGINV(E927,LN(Supuestos!$D$8)-LN(1+Supuestos!$E$8^2/Supuestos!$D$8^2)/2,SQRT(LN(1+Supuestos!$E$8^2/Supuestos!$D$8^2))),Supuestos!$D$8))))))</f>
        <v/>
      </c>
      <c r="M927" s="32">
        <f>MIN(IF(Supuestos!$H$9="",1E+99,Supuestos!$H$9),MAX(IF(Supuestos!$G$9="",-1E+99,Supuestos!$G$9),IF(Supuestos!$C$9="Normal",NORMINV(F927,Supuestos!$D$9,Supuestos!$E$9),IF(Supuestos!$C$9="Triangular",IF(F927&lt;(Supuestos!$E$9-Supuestos!$D$9)/(Supuestos!$F$9-Supuestos!$D$9),Supuestos!$D$9+SQRT(F927*(Supuestos!$F$9-Supuestos!$D$9)*(Supuestos!$E$9-Supuestos!$D$9)),Supuestos!$F$9-SQRT((1-F927)*(Supuestos!$F$9-Supuestos!$D$9)*(Supuestos!$F$9-Supuestos!$E$9))),IF(Supuestos!$C$9="Uniforme",Supuestos!$D$9+F927*(Supuestos!$E$9-Supuestos!$D$9),IF(Supuestos!$C$9="Lognormal",LOGINV(F927,LN(Supuestos!$D$9)-LN(1+Supuestos!$E$9^2/Supuestos!$D$9^2)/2,SQRT(LN(1+Supuestos!$E$9^2/Supuestos!$D$9^2))),Supuestos!$D$9))))))</f>
        <v/>
      </c>
      <c r="N927" s="32">
        <f>MIN(IF(Supuestos!$H$10="",1E+99,Supuestos!$H$10),MAX(IF(Supuestos!$G$10="",-1E+99,Supuestos!$G$10),IF(Supuestos!$C$10="Normal",NORMINV(G927,Supuestos!$D$10,Supuestos!$E$10),IF(Supuestos!$C$10="Triangular",IF(G927&lt;(Supuestos!$E$10-Supuestos!$D$10)/(Supuestos!$F$10-Supuestos!$D$10),Supuestos!$D$10+SQRT(G927*(Supuestos!$F$10-Supuestos!$D$10)*(Supuestos!$E$10-Supuestos!$D$10)),Supuestos!$F$10-SQRT((1-G927)*(Supuestos!$F$10-Supuestos!$D$10)*(Supuestos!$F$10-Supuestos!$E$10))),IF(Supuestos!$C$10="Uniforme",Supuestos!$D$10+G927*(Supuestos!$E$10-Supuestos!$D$10),IF(Supuestos!$C$10="Lognormal",LOGINV(G927,LN(Supuestos!$D$10)-LN(1+Supuestos!$E$10^2/Supuestos!$D$10^2)/2,SQRT(LN(1+Supuestos!$E$10^2/Supuestos!$D$10^2))),Supuestos!$D$10))))))</f>
        <v/>
      </c>
      <c r="O927" s="31">
        <f>MIN(IF(Supuestos!$H$11="",1E+99,Supuestos!$H$11),MAX(IF(Supuestos!$G$11="",-1E+99,Supuestos!$G$11),IF(Supuestos!$C$11="Normal",NORMINV(H927,Supuestos!$D$11,Supuestos!$E$11),IF(Supuestos!$C$11="Triangular",IF(H927&lt;(Supuestos!$E$11-Supuestos!$D$11)/(Supuestos!$F$11-Supuestos!$D$11),Supuestos!$D$11+SQRT(H927*(Supuestos!$F$11-Supuestos!$D$11)*(Supuestos!$E$11-Supuestos!$D$11)),Supuestos!$F$11-SQRT((1-H927)*(Supuestos!$F$11-Supuestos!$D$11)*(Supuestos!$F$11-Supuestos!$E$11))),IF(Supuestos!$C$11="Uniforme",Supuestos!$D$11+H927*(Supuestos!$E$11-Supuestos!$D$11),IF(Supuestos!$C$11="Lognormal",LOGINV(H927,LN(Supuestos!$D$11)-LN(1+Supuestos!$E$11^2/Supuestos!$D$11^2)/2,SQRT(LN(1+Supuestos!$E$11^2/Supuestos!$D$11^2))),Supuestos!$D$11))))))</f>
        <v/>
      </c>
      <c r="P927" s="33">
        <f>-I927</f>
        <v/>
      </c>
      <c r="Q927" s="33">
        <f>$J927*(1+$K927)^(1-1)*(1-$L927)*(1-$M927)</f>
        <v/>
      </c>
      <c r="R927" s="33">
        <f>$J927*(1+$K927)^(2-1)*(1-$L927)*(1-$M927)</f>
        <v/>
      </c>
      <c r="S927" s="33">
        <f>$J927*(1+$K927)^(3-1)*(1-$L927)*(1-$M927)</f>
        <v/>
      </c>
      <c r="T927" s="33">
        <f>$J927*(1+$K927)^(4-1)*(1-$L927)*(1-$M927)</f>
        <v/>
      </c>
      <c r="U927" s="33">
        <f>$J927*(1+$K927)^(5-1)*(1-$L927)*(1-$M927)+$O927</f>
        <v/>
      </c>
      <c r="V927" s="33">
        <f>P927+NPV($N927,Q927:U927)</f>
        <v/>
      </c>
      <c r="W927" s="32">
        <f>IFERROR(IRR(P927:U927,0.1),"")</f>
        <v/>
      </c>
    </row>
    <row r="928">
      <c r="A928" s="14" t="n">
        <v>924</v>
      </c>
      <c r="B928" s="30">
        <f>RAND()*(1-2E-6)+1E-6</f>
        <v/>
      </c>
      <c r="C928" s="30">
        <f>RAND()*(1-2E-6)+1E-6</f>
        <v/>
      </c>
      <c r="D928" s="30">
        <f>RAND()*(1-2E-6)+1E-6</f>
        <v/>
      </c>
      <c r="E928" s="30">
        <f>RAND()*(1-2E-6)+1E-6</f>
        <v/>
      </c>
      <c r="F928" s="30">
        <f>RAND()*(1-2E-6)+1E-6</f>
        <v/>
      </c>
      <c r="G928" s="30">
        <f>RAND()*(1-2E-6)+1E-6</f>
        <v/>
      </c>
      <c r="H928" s="30">
        <f>RAND()*(1-2E-6)+1E-6</f>
        <v/>
      </c>
      <c r="I928" s="31">
        <f>MIN(IF(Supuestos!$H$5="",1E+99,Supuestos!$H$5),MAX(IF(Supuestos!$G$5="",-1E+99,Supuestos!$G$5),IF(Supuestos!$C$5="Normal",NORMINV(B928,Supuestos!$D$5,Supuestos!$E$5),IF(Supuestos!$C$5="Triangular",IF(B928&lt;(Supuestos!$E$5-Supuestos!$D$5)/(Supuestos!$F$5-Supuestos!$D$5),Supuestos!$D$5+SQRT(B928*(Supuestos!$F$5-Supuestos!$D$5)*(Supuestos!$E$5-Supuestos!$D$5)),Supuestos!$F$5-SQRT((1-B928)*(Supuestos!$F$5-Supuestos!$D$5)*(Supuestos!$F$5-Supuestos!$E$5))),IF(Supuestos!$C$5="Uniforme",Supuestos!$D$5+B928*(Supuestos!$E$5-Supuestos!$D$5),IF(Supuestos!$C$5="Lognormal",LOGINV(B928,LN(Supuestos!$D$5)-LN(1+Supuestos!$E$5^2/Supuestos!$D$5^2)/2,SQRT(LN(1+Supuestos!$E$5^2/Supuestos!$D$5^2))),Supuestos!$D$5))))))</f>
        <v/>
      </c>
      <c r="J928" s="31">
        <f>MIN(IF(Supuestos!$H$6="",1E+99,Supuestos!$H$6),MAX(IF(Supuestos!$G$6="",-1E+99,Supuestos!$G$6),IF(Supuestos!$C$6="Normal",NORMINV(C928,Supuestos!$D$6,Supuestos!$E$6),IF(Supuestos!$C$6="Triangular",IF(C928&lt;(Supuestos!$E$6-Supuestos!$D$6)/(Supuestos!$F$6-Supuestos!$D$6),Supuestos!$D$6+SQRT(C928*(Supuestos!$F$6-Supuestos!$D$6)*(Supuestos!$E$6-Supuestos!$D$6)),Supuestos!$F$6-SQRT((1-C928)*(Supuestos!$F$6-Supuestos!$D$6)*(Supuestos!$F$6-Supuestos!$E$6))),IF(Supuestos!$C$6="Uniforme",Supuestos!$D$6+C928*(Supuestos!$E$6-Supuestos!$D$6),IF(Supuestos!$C$6="Lognormal",LOGINV(C928,LN(Supuestos!$D$6)-LN(1+Supuestos!$E$6^2/Supuestos!$D$6^2)/2,SQRT(LN(1+Supuestos!$E$6^2/Supuestos!$D$6^2))),Supuestos!$D$6))))))</f>
        <v/>
      </c>
      <c r="K928" s="32">
        <f>MIN(IF(Supuestos!$H$7="",1E+99,Supuestos!$H$7),MAX(IF(Supuestos!$G$7="",-1E+99,Supuestos!$G$7),IF(Supuestos!$C$7="Normal",NORMINV(D928,Supuestos!$D$7,Supuestos!$E$7),IF(Supuestos!$C$7="Triangular",IF(D928&lt;(Supuestos!$E$7-Supuestos!$D$7)/(Supuestos!$F$7-Supuestos!$D$7),Supuestos!$D$7+SQRT(D928*(Supuestos!$F$7-Supuestos!$D$7)*(Supuestos!$E$7-Supuestos!$D$7)),Supuestos!$F$7-SQRT((1-D928)*(Supuestos!$F$7-Supuestos!$D$7)*(Supuestos!$F$7-Supuestos!$E$7))),IF(Supuestos!$C$7="Uniforme",Supuestos!$D$7+D928*(Supuestos!$E$7-Supuestos!$D$7),IF(Supuestos!$C$7="Lognormal",LOGINV(D928,LN(Supuestos!$D$7)-LN(1+Supuestos!$E$7^2/Supuestos!$D$7^2)/2,SQRT(LN(1+Supuestos!$E$7^2/Supuestos!$D$7^2))),Supuestos!$D$7))))))</f>
        <v/>
      </c>
      <c r="L928" s="32">
        <f>MIN(IF(Supuestos!$H$8="",1E+99,Supuestos!$H$8),MAX(IF(Supuestos!$G$8="",-1E+99,Supuestos!$G$8),IF(Supuestos!$C$8="Normal",NORMINV(E928,Supuestos!$D$8,Supuestos!$E$8),IF(Supuestos!$C$8="Triangular",IF(E928&lt;(Supuestos!$E$8-Supuestos!$D$8)/(Supuestos!$F$8-Supuestos!$D$8),Supuestos!$D$8+SQRT(E928*(Supuestos!$F$8-Supuestos!$D$8)*(Supuestos!$E$8-Supuestos!$D$8)),Supuestos!$F$8-SQRT((1-E928)*(Supuestos!$F$8-Supuestos!$D$8)*(Supuestos!$F$8-Supuestos!$E$8))),IF(Supuestos!$C$8="Uniforme",Supuestos!$D$8+E928*(Supuestos!$E$8-Supuestos!$D$8),IF(Supuestos!$C$8="Lognormal",LOGINV(E928,LN(Supuestos!$D$8)-LN(1+Supuestos!$E$8^2/Supuestos!$D$8^2)/2,SQRT(LN(1+Supuestos!$E$8^2/Supuestos!$D$8^2))),Supuestos!$D$8))))))</f>
        <v/>
      </c>
      <c r="M928" s="32">
        <f>MIN(IF(Supuestos!$H$9="",1E+99,Supuestos!$H$9),MAX(IF(Supuestos!$G$9="",-1E+99,Supuestos!$G$9),IF(Supuestos!$C$9="Normal",NORMINV(F928,Supuestos!$D$9,Supuestos!$E$9),IF(Supuestos!$C$9="Triangular",IF(F928&lt;(Supuestos!$E$9-Supuestos!$D$9)/(Supuestos!$F$9-Supuestos!$D$9),Supuestos!$D$9+SQRT(F928*(Supuestos!$F$9-Supuestos!$D$9)*(Supuestos!$E$9-Supuestos!$D$9)),Supuestos!$F$9-SQRT((1-F928)*(Supuestos!$F$9-Supuestos!$D$9)*(Supuestos!$F$9-Supuestos!$E$9))),IF(Supuestos!$C$9="Uniforme",Supuestos!$D$9+F928*(Supuestos!$E$9-Supuestos!$D$9),IF(Supuestos!$C$9="Lognormal",LOGINV(F928,LN(Supuestos!$D$9)-LN(1+Supuestos!$E$9^2/Supuestos!$D$9^2)/2,SQRT(LN(1+Supuestos!$E$9^2/Supuestos!$D$9^2))),Supuestos!$D$9))))))</f>
        <v/>
      </c>
      <c r="N928" s="32">
        <f>MIN(IF(Supuestos!$H$10="",1E+99,Supuestos!$H$10),MAX(IF(Supuestos!$G$10="",-1E+99,Supuestos!$G$10),IF(Supuestos!$C$10="Normal",NORMINV(G928,Supuestos!$D$10,Supuestos!$E$10),IF(Supuestos!$C$10="Triangular",IF(G928&lt;(Supuestos!$E$10-Supuestos!$D$10)/(Supuestos!$F$10-Supuestos!$D$10),Supuestos!$D$10+SQRT(G928*(Supuestos!$F$10-Supuestos!$D$10)*(Supuestos!$E$10-Supuestos!$D$10)),Supuestos!$F$10-SQRT((1-G928)*(Supuestos!$F$10-Supuestos!$D$10)*(Supuestos!$F$10-Supuestos!$E$10))),IF(Supuestos!$C$10="Uniforme",Supuestos!$D$10+G928*(Supuestos!$E$10-Supuestos!$D$10),IF(Supuestos!$C$10="Lognormal",LOGINV(G928,LN(Supuestos!$D$10)-LN(1+Supuestos!$E$10^2/Supuestos!$D$10^2)/2,SQRT(LN(1+Supuestos!$E$10^2/Supuestos!$D$10^2))),Supuestos!$D$10))))))</f>
        <v/>
      </c>
      <c r="O928" s="31">
        <f>MIN(IF(Supuestos!$H$11="",1E+99,Supuestos!$H$11),MAX(IF(Supuestos!$G$11="",-1E+99,Supuestos!$G$11),IF(Supuestos!$C$11="Normal",NORMINV(H928,Supuestos!$D$11,Supuestos!$E$11),IF(Supuestos!$C$11="Triangular",IF(H928&lt;(Supuestos!$E$11-Supuestos!$D$11)/(Supuestos!$F$11-Supuestos!$D$11),Supuestos!$D$11+SQRT(H928*(Supuestos!$F$11-Supuestos!$D$11)*(Supuestos!$E$11-Supuestos!$D$11)),Supuestos!$F$11-SQRT((1-H928)*(Supuestos!$F$11-Supuestos!$D$11)*(Supuestos!$F$11-Supuestos!$E$11))),IF(Supuestos!$C$11="Uniforme",Supuestos!$D$11+H928*(Supuestos!$E$11-Supuestos!$D$11),IF(Supuestos!$C$11="Lognormal",LOGINV(H928,LN(Supuestos!$D$11)-LN(1+Supuestos!$E$11^2/Supuestos!$D$11^2)/2,SQRT(LN(1+Supuestos!$E$11^2/Supuestos!$D$11^2))),Supuestos!$D$11))))))</f>
        <v/>
      </c>
      <c r="P928" s="33">
        <f>-I928</f>
        <v/>
      </c>
      <c r="Q928" s="33">
        <f>$J928*(1+$K928)^(1-1)*(1-$L928)*(1-$M928)</f>
        <v/>
      </c>
      <c r="R928" s="33">
        <f>$J928*(1+$K928)^(2-1)*(1-$L928)*(1-$M928)</f>
        <v/>
      </c>
      <c r="S928" s="33">
        <f>$J928*(1+$K928)^(3-1)*(1-$L928)*(1-$M928)</f>
        <v/>
      </c>
      <c r="T928" s="33">
        <f>$J928*(1+$K928)^(4-1)*(1-$L928)*(1-$M928)</f>
        <v/>
      </c>
      <c r="U928" s="33">
        <f>$J928*(1+$K928)^(5-1)*(1-$L928)*(1-$M928)+$O928</f>
        <v/>
      </c>
      <c r="V928" s="33">
        <f>P928+NPV($N928,Q928:U928)</f>
        <v/>
      </c>
      <c r="W928" s="32">
        <f>IFERROR(IRR(P928:U928,0.1),"")</f>
        <v/>
      </c>
    </row>
    <row r="929">
      <c r="A929" s="14" t="n">
        <v>925</v>
      </c>
      <c r="B929" s="30">
        <f>RAND()*(1-2E-6)+1E-6</f>
        <v/>
      </c>
      <c r="C929" s="30">
        <f>RAND()*(1-2E-6)+1E-6</f>
        <v/>
      </c>
      <c r="D929" s="30">
        <f>RAND()*(1-2E-6)+1E-6</f>
        <v/>
      </c>
      <c r="E929" s="30">
        <f>RAND()*(1-2E-6)+1E-6</f>
        <v/>
      </c>
      <c r="F929" s="30">
        <f>RAND()*(1-2E-6)+1E-6</f>
        <v/>
      </c>
      <c r="G929" s="30">
        <f>RAND()*(1-2E-6)+1E-6</f>
        <v/>
      </c>
      <c r="H929" s="30">
        <f>RAND()*(1-2E-6)+1E-6</f>
        <v/>
      </c>
      <c r="I929" s="31">
        <f>MIN(IF(Supuestos!$H$5="",1E+99,Supuestos!$H$5),MAX(IF(Supuestos!$G$5="",-1E+99,Supuestos!$G$5),IF(Supuestos!$C$5="Normal",NORMINV(B929,Supuestos!$D$5,Supuestos!$E$5),IF(Supuestos!$C$5="Triangular",IF(B929&lt;(Supuestos!$E$5-Supuestos!$D$5)/(Supuestos!$F$5-Supuestos!$D$5),Supuestos!$D$5+SQRT(B929*(Supuestos!$F$5-Supuestos!$D$5)*(Supuestos!$E$5-Supuestos!$D$5)),Supuestos!$F$5-SQRT((1-B929)*(Supuestos!$F$5-Supuestos!$D$5)*(Supuestos!$F$5-Supuestos!$E$5))),IF(Supuestos!$C$5="Uniforme",Supuestos!$D$5+B929*(Supuestos!$E$5-Supuestos!$D$5),IF(Supuestos!$C$5="Lognormal",LOGINV(B929,LN(Supuestos!$D$5)-LN(1+Supuestos!$E$5^2/Supuestos!$D$5^2)/2,SQRT(LN(1+Supuestos!$E$5^2/Supuestos!$D$5^2))),Supuestos!$D$5))))))</f>
        <v/>
      </c>
      <c r="J929" s="31">
        <f>MIN(IF(Supuestos!$H$6="",1E+99,Supuestos!$H$6),MAX(IF(Supuestos!$G$6="",-1E+99,Supuestos!$G$6),IF(Supuestos!$C$6="Normal",NORMINV(C929,Supuestos!$D$6,Supuestos!$E$6),IF(Supuestos!$C$6="Triangular",IF(C929&lt;(Supuestos!$E$6-Supuestos!$D$6)/(Supuestos!$F$6-Supuestos!$D$6),Supuestos!$D$6+SQRT(C929*(Supuestos!$F$6-Supuestos!$D$6)*(Supuestos!$E$6-Supuestos!$D$6)),Supuestos!$F$6-SQRT((1-C929)*(Supuestos!$F$6-Supuestos!$D$6)*(Supuestos!$F$6-Supuestos!$E$6))),IF(Supuestos!$C$6="Uniforme",Supuestos!$D$6+C929*(Supuestos!$E$6-Supuestos!$D$6),IF(Supuestos!$C$6="Lognormal",LOGINV(C929,LN(Supuestos!$D$6)-LN(1+Supuestos!$E$6^2/Supuestos!$D$6^2)/2,SQRT(LN(1+Supuestos!$E$6^2/Supuestos!$D$6^2))),Supuestos!$D$6))))))</f>
        <v/>
      </c>
      <c r="K929" s="32">
        <f>MIN(IF(Supuestos!$H$7="",1E+99,Supuestos!$H$7),MAX(IF(Supuestos!$G$7="",-1E+99,Supuestos!$G$7),IF(Supuestos!$C$7="Normal",NORMINV(D929,Supuestos!$D$7,Supuestos!$E$7),IF(Supuestos!$C$7="Triangular",IF(D929&lt;(Supuestos!$E$7-Supuestos!$D$7)/(Supuestos!$F$7-Supuestos!$D$7),Supuestos!$D$7+SQRT(D929*(Supuestos!$F$7-Supuestos!$D$7)*(Supuestos!$E$7-Supuestos!$D$7)),Supuestos!$F$7-SQRT((1-D929)*(Supuestos!$F$7-Supuestos!$D$7)*(Supuestos!$F$7-Supuestos!$E$7))),IF(Supuestos!$C$7="Uniforme",Supuestos!$D$7+D929*(Supuestos!$E$7-Supuestos!$D$7),IF(Supuestos!$C$7="Lognormal",LOGINV(D929,LN(Supuestos!$D$7)-LN(1+Supuestos!$E$7^2/Supuestos!$D$7^2)/2,SQRT(LN(1+Supuestos!$E$7^2/Supuestos!$D$7^2))),Supuestos!$D$7))))))</f>
        <v/>
      </c>
      <c r="L929" s="32">
        <f>MIN(IF(Supuestos!$H$8="",1E+99,Supuestos!$H$8),MAX(IF(Supuestos!$G$8="",-1E+99,Supuestos!$G$8),IF(Supuestos!$C$8="Normal",NORMINV(E929,Supuestos!$D$8,Supuestos!$E$8),IF(Supuestos!$C$8="Triangular",IF(E929&lt;(Supuestos!$E$8-Supuestos!$D$8)/(Supuestos!$F$8-Supuestos!$D$8),Supuestos!$D$8+SQRT(E929*(Supuestos!$F$8-Supuestos!$D$8)*(Supuestos!$E$8-Supuestos!$D$8)),Supuestos!$F$8-SQRT((1-E929)*(Supuestos!$F$8-Supuestos!$D$8)*(Supuestos!$F$8-Supuestos!$E$8))),IF(Supuestos!$C$8="Uniforme",Supuestos!$D$8+E929*(Supuestos!$E$8-Supuestos!$D$8),IF(Supuestos!$C$8="Lognormal",LOGINV(E929,LN(Supuestos!$D$8)-LN(1+Supuestos!$E$8^2/Supuestos!$D$8^2)/2,SQRT(LN(1+Supuestos!$E$8^2/Supuestos!$D$8^2))),Supuestos!$D$8))))))</f>
        <v/>
      </c>
      <c r="M929" s="32">
        <f>MIN(IF(Supuestos!$H$9="",1E+99,Supuestos!$H$9),MAX(IF(Supuestos!$G$9="",-1E+99,Supuestos!$G$9),IF(Supuestos!$C$9="Normal",NORMINV(F929,Supuestos!$D$9,Supuestos!$E$9),IF(Supuestos!$C$9="Triangular",IF(F929&lt;(Supuestos!$E$9-Supuestos!$D$9)/(Supuestos!$F$9-Supuestos!$D$9),Supuestos!$D$9+SQRT(F929*(Supuestos!$F$9-Supuestos!$D$9)*(Supuestos!$E$9-Supuestos!$D$9)),Supuestos!$F$9-SQRT((1-F929)*(Supuestos!$F$9-Supuestos!$D$9)*(Supuestos!$F$9-Supuestos!$E$9))),IF(Supuestos!$C$9="Uniforme",Supuestos!$D$9+F929*(Supuestos!$E$9-Supuestos!$D$9),IF(Supuestos!$C$9="Lognormal",LOGINV(F929,LN(Supuestos!$D$9)-LN(1+Supuestos!$E$9^2/Supuestos!$D$9^2)/2,SQRT(LN(1+Supuestos!$E$9^2/Supuestos!$D$9^2))),Supuestos!$D$9))))))</f>
        <v/>
      </c>
      <c r="N929" s="32">
        <f>MIN(IF(Supuestos!$H$10="",1E+99,Supuestos!$H$10),MAX(IF(Supuestos!$G$10="",-1E+99,Supuestos!$G$10),IF(Supuestos!$C$10="Normal",NORMINV(G929,Supuestos!$D$10,Supuestos!$E$10),IF(Supuestos!$C$10="Triangular",IF(G929&lt;(Supuestos!$E$10-Supuestos!$D$10)/(Supuestos!$F$10-Supuestos!$D$10),Supuestos!$D$10+SQRT(G929*(Supuestos!$F$10-Supuestos!$D$10)*(Supuestos!$E$10-Supuestos!$D$10)),Supuestos!$F$10-SQRT((1-G929)*(Supuestos!$F$10-Supuestos!$D$10)*(Supuestos!$F$10-Supuestos!$E$10))),IF(Supuestos!$C$10="Uniforme",Supuestos!$D$10+G929*(Supuestos!$E$10-Supuestos!$D$10),IF(Supuestos!$C$10="Lognormal",LOGINV(G929,LN(Supuestos!$D$10)-LN(1+Supuestos!$E$10^2/Supuestos!$D$10^2)/2,SQRT(LN(1+Supuestos!$E$10^2/Supuestos!$D$10^2))),Supuestos!$D$10))))))</f>
        <v/>
      </c>
      <c r="O929" s="31">
        <f>MIN(IF(Supuestos!$H$11="",1E+99,Supuestos!$H$11),MAX(IF(Supuestos!$G$11="",-1E+99,Supuestos!$G$11),IF(Supuestos!$C$11="Normal",NORMINV(H929,Supuestos!$D$11,Supuestos!$E$11),IF(Supuestos!$C$11="Triangular",IF(H929&lt;(Supuestos!$E$11-Supuestos!$D$11)/(Supuestos!$F$11-Supuestos!$D$11),Supuestos!$D$11+SQRT(H929*(Supuestos!$F$11-Supuestos!$D$11)*(Supuestos!$E$11-Supuestos!$D$11)),Supuestos!$F$11-SQRT((1-H929)*(Supuestos!$F$11-Supuestos!$D$11)*(Supuestos!$F$11-Supuestos!$E$11))),IF(Supuestos!$C$11="Uniforme",Supuestos!$D$11+H929*(Supuestos!$E$11-Supuestos!$D$11),IF(Supuestos!$C$11="Lognormal",LOGINV(H929,LN(Supuestos!$D$11)-LN(1+Supuestos!$E$11^2/Supuestos!$D$11^2)/2,SQRT(LN(1+Supuestos!$E$11^2/Supuestos!$D$11^2))),Supuestos!$D$11))))))</f>
        <v/>
      </c>
      <c r="P929" s="33">
        <f>-I929</f>
        <v/>
      </c>
      <c r="Q929" s="33">
        <f>$J929*(1+$K929)^(1-1)*(1-$L929)*(1-$M929)</f>
        <v/>
      </c>
      <c r="R929" s="33">
        <f>$J929*(1+$K929)^(2-1)*(1-$L929)*(1-$M929)</f>
        <v/>
      </c>
      <c r="S929" s="33">
        <f>$J929*(1+$K929)^(3-1)*(1-$L929)*(1-$M929)</f>
        <v/>
      </c>
      <c r="T929" s="33">
        <f>$J929*(1+$K929)^(4-1)*(1-$L929)*(1-$M929)</f>
        <v/>
      </c>
      <c r="U929" s="33">
        <f>$J929*(1+$K929)^(5-1)*(1-$L929)*(1-$M929)+$O929</f>
        <v/>
      </c>
      <c r="V929" s="33">
        <f>P929+NPV($N929,Q929:U929)</f>
        <v/>
      </c>
      <c r="W929" s="32">
        <f>IFERROR(IRR(P929:U929,0.1),"")</f>
        <v/>
      </c>
    </row>
    <row r="930">
      <c r="A930" s="14" t="n">
        <v>926</v>
      </c>
      <c r="B930" s="30">
        <f>RAND()*(1-2E-6)+1E-6</f>
        <v/>
      </c>
      <c r="C930" s="30">
        <f>RAND()*(1-2E-6)+1E-6</f>
        <v/>
      </c>
      <c r="D930" s="30">
        <f>RAND()*(1-2E-6)+1E-6</f>
        <v/>
      </c>
      <c r="E930" s="30">
        <f>RAND()*(1-2E-6)+1E-6</f>
        <v/>
      </c>
      <c r="F930" s="30">
        <f>RAND()*(1-2E-6)+1E-6</f>
        <v/>
      </c>
      <c r="G930" s="30">
        <f>RAND()*(1-2E-6)+1E-6</f>
        <v/>
      </c>
      <c r="H930" s="30">
        <f>RAND()*(1-2E-6)+1E-6</f>
        <v/>
      </c>
      <c r="I930" s="31">
        <f>MIN(IF(Supuestos!$H$5="",1E+99,Supuestos!$H$5),MAX(IF(Supuestos!$G$5="",-1E+99,Supuestos!$G$5),IF(Supuestos!$C$5="Normal",NORMINV(B930,Supuestos!$D$5,Supuestos!$E$5),IF(Supuestos!$C$5="Triangular",IF(B930&lt;(Supuestos!$E$5-Supuestos!$D$5)/(Supuestos!$F$5-Supuestos!$D$5),Supuestos!$D$5+SQRT(B930*(Supuestos!$F$5-Supuestos!$D$5)*(Supuestos!$E$5-Supuestos!$D$5)),Supuestos!$F$5-SQRT((1-B930)*(Supuestos!$F$5-Supuestos!$D$5)*(Supuestos!$F$5-Supuestos!$E$5))),IF(Supuestos!$C$5="Uniforme",Supuestos!$D$5+B930*(Supuestos!$E$5-Supuestos!$D$5),IF(Supuestos!$C$5="Lognormal",LOGINV(B930,LN(Supuestos!$D$5)-LN(1+Supuestos!$E$5^2/Supuestos!$D$5^2)/2,SQRT(LN(1+Supuestos!$E$5^2/Supuestos!$D$5^2))),Supuestos!$D$5))))))</f>
        <v/>
      </c>
      <c r="J930" s="31">
        <f>MIN(IF(Supuestos!$H$6="",1E+99,Supuestos!$H$6),MAX(IF(Supuestos!$G$6="",-1E+99,Supuestos!$G$6),IF(Supuestos!$C$6="Normal",NORMINV(C930,Supuestos!$D$6,Supuestos!$E$6),IF(Supuestos!$C$6="Triangular",IF(C930&lt;(Supuestos!$E$6-Supuestos!$D$6)/(Supuestos!$F$6-Supuestos!$D$6),Supuestos!$D$6+SQRT(C930*(Supuestos!$F$6-Supuestos!$D$6)*(Supuestos!$E$6-Supuestos!$D$6)),Supuestos!$F$6-SQRT((1-C930)*(Supuestos!$F$6-Supuestos!$D$6)*(Supuestos!$F$6-Supuestos!$E$6))),IF(Supuestos!$C$6="Uniforme",Supuestos!$D$6+C930*(Supuestos!$E$6-Supuestos!$D$6),IF(Supuestos!$C$6="Lognormal",LOGINV(C930,LN(Supuestos!$D$6)-LN(1+Supuestos!$E$6^2/Supuestos!$D$6^2)/2,SQRT(LN(1+Supuestos!$E$6^2/Supuestos!$D$6^2))),Supuestos!$D$6))))))</f>
        <v/>
      </c>
      <c r="K930" s="32">
        <f>MIN(IF(Supuestos!$H$7="",1E+99,Supuestos!$H$7),MAX(IF(Supuestos!$G$7="",-1E+99,Supuestos!$G$7),IF(Supuestos!$C$7="Normal",NORMINV(D930,Supuestos!$D$7,Supuestos!$E$7),IF(Supuestos!$C$7="Triangular",IF(D930&lt;(Supuestos!$E$7-Supuestos!$D$7)/(Supuestos!$F$7-Supuestos!$D$7),Supuestos!$D$7+SQRT(D930*(Supuestos!$F$7-Supuestos!$D$7)*(Supuestos!$E$7-Supuestos!$D$7)),Supuestos!$F$7-SQRT((1-D930)*(Supuestos!$F$7-Supuestos!$D$7)*(Supuestos!$F$7-Supuestos!$E$7))),IF(Supuestos!$C$7="Uniforme",Supuestos!$D$7+D930*(Supuestos!$E$7-Supuestos!$D$7),IF(Supuestos!$C$7="Lognormal",LOGINV(D930,LN(Supuestos!$D$7)-LN(1+Supuestos!$E$7^2/Supuestos!$D$7^2)/2,SQRT(LN(1+Supuestos!$E$7^2/Supuestos!$D$7^2))),Supuestos!$D$7))))))</f>
        <v/>
      </c>
      <c r="L930" s="32">
        <f>MIN(IF(Supuestos!$H$8="",1E+99,Supuestos!$H$8),MAX(IF(Supuestos!$G$8="",-1E+99,Supuestos!$G$8),IF(Supuestos!$C$8="Normal",NORMINV(E930,Supuestos!$D$8,Supuestos!$E$8),IF(Supuestos!$C$8="Triangular",IF(E930&lt;(Supuestos!$E$8-Supuestos!$D$8)/(Supuestos!$F$8-Supuestos!$D$8),Supuestos!$D$8+SQRT(E930*(Supuestos!$F$8-Supuestos!$D$8)*(Supuestos!$E$8-Supuestos!$D$8)),Supuestos!$F$8-SQRT((1-E930)*(Supuestos!$F$8-Supuestos!$D$8)*(Supuestos!$F$8-Supuestos!$E$8))),IF(Supuestos!$C$8="Uniforme",Supuestos!$D$8+E930*(Supuestos!$E$8-Supuestos!$D$8),IF(Supuestos!$C$8="Lognormal",LOGINV(E930,LN(Supuestos!$D$8)-LN(1+Supuestos!$E$8^2/Supuestos!$D$8^2)/2,SQRT(LN(1+Supuestos!$E$8^2/Supuestos!$D$8^2))),Supuestos!$D$8))))))</f>
        <v/>
      </c>
      <c r="M930" s="32">
        <f>MIN(IF(Supuestos!$H$9="",1E+99,Supuestos!$H$9),MAX(IF(Supuestos!$G$9="",-1E+99,Supuestos!$G$9),IF(Supuestos!$C$9="Normal",NORMINV(F930,Supuestos!$D$9,Supuestos!$E$9),IF(Supuestos!$C$9="Triangular",IF(F930&lt;(Supuestos!$E$9-Supuestos!$D$9)/(Supuestos!$F$9-Supuestos!$D$9),Supuestos!$D$9+SQRT(F930*(Supuestos!$F$9-Supuestos!$D$9)*(Supuestos!$E$9-Supuestos!$D$9)),Supuestos!$F$9-SQRT((1-F930)*(Supuestos!$F$9-Supuestos!$D$9)*(Supuestos!$F$9-Supuestos!$E$9))),IF(Supuestos!$C$9="Uniforme",Supuestos!$D$9+F930*(Supuestos!$E$9-Supuestos!$D$9),IF(Supuestos!$C$9="Lognormal",LOGINV(F930,LN(Supuestos!$D$9)-LN(1+Supuestos!$E$9^2/Supuestos!$D$9^2)/2,SQRT(LN(1+Supuestos!$E$9^2/Supuestos!$D$9^2))),Supuestos!$D$9))))))</f>
        <v/>
      </c>
      <c r="N930" s="32">
        <f>MIN(IF(Supuestos!$H$10="",1E+99,Supuestos!$H$10),MAX(IF(Supuestos!$G$10="",-1E+99,Supuestos!$G$10),IF(Supuestos!$C$10="Normal",NORMINV(G930,Supuestos!$D$10,Supuestos!$E$10),IF(Supuestos!$C$10="Triangular",IF(G930&lt;(Supuestos!$E$10-Supuestos!$D$10)/(Supuestos!$F$10-Supuestos!$D$10),Supuestos!$D$10+SQRT(G930*(Supuestos!$F$10-Supuestos!$D$10)*(Supuestos!$E$10-Supuestos!$D$10)),Supuestos!$F$10-SQRT((1-G930)*(Supuestos!$F$10-Supuestos!$D$10)*(Supuestos!$F$10-Supuestos!$E$10))),IF(Supuestos!$C$10="Uniforme",Supuestos!$D$10+G930*(Supuestos!$E$10-Supuestos!$D$10),IF(Supuestos!$C$10="Lognormal",LOGINV(G930,LN(Supuestos!$D$10)-LN(1+Supuestos!$E$10^2/Supuestos!$D$10^2)/2,SQRT(LN(1+Supuestos!$E$10^2/Supuestos!$D$10^2))),Supuestos!$D$10))))))</f>
        <v/>
      </c>
      <c r="O930" s="31">
        <f>MIN(IF(Supuestos!$H$11="",1E+99,Supuestos!$H$11),MAX(IF(Supuestos!$G$11="",-1E+99,Supuestos!$G$11),IF(Supuestos!$C$11="Normal",NORMINV(H930,Supuestos!$D$11,Supuestos!$E$11),IF(Supuestos!$C$11="Triangular",IF(H930&lt;(Supuestos!$E$11-Supuestos!$D$11)/(Supuestos!$F$11-Supuestos!$D$11),Supuestos!$D$11+SQRT(H930*(Supuestos!$F$11-Supuestos!$D$11)*(Supuestos!$E$11-Supuestos!$D$11)),Supuestos!$F$11-SQRT((1-H930)*(Supuestos!$F$11-Supuestos!$D$11)*(Supuestos!$F$11-Supuestos!$E$11))),IF(Supuestos!$C$11="Uniforme",Supuestos!$D$11+H930*(Supuestos!$E$11-Supuestos!$D$11),IF(Supuestos!$C$11="Lognormal",LOGINV(H930,LN(Supuestos!$D$11)-LN(1+Supuestos!$E$11^2/Supuestos!$D$11^2)/2,SQRT(LN(1+Supuestos!$E$11^2/Supuestos!$D$11^2))),Supuestos!$D$11))))))</f>
        <v/>
      </c>
      <c r="P930" s="33">
        <f>-I930</f>
        <v/>
      </c>
      <c r="Q930" s="33">
        <f>$J930*(1+$K930)^(1-1)*(1-$L930)*(1-$M930)</f>
        <v/>
      </c>
      <c r="R930" s="33">
        <f>$J930*(1+$K930)^(2-1)*(1-$L930)*(1-$M930)</f>
        <v/>
      </c>
      <c r="S930" s="33">
        <f>$J930*(1+$K930)^(3-1)*(1-$L930)*(1-$M930)</f>
        <v/>
      </c>
      <c r="T930" s="33">
        <f>$J930*(1+$K930)^(4-1)*(1-$L930)*(1-$M930)</f>
        <v/>
      </c>
      <c r="U930" s="33">
        <f>$J930*(1+$K930)^(5-1)*(1-$L930)*(1-$M930)+$O930</f>
        <v/>
      </c>
      <c r="V930" s="33">
        <f>P930+NPV($N930,Q930:U930)</f>
        <v/>
      </c>
      <c r="W930" s="32">
        <f>IFERROR(IRR(P930:U930,0.1),"")</f>
        <v/>
      </c>
    </row>
    <row r="931">
      <c r="A931" s="14" t="n">
        <v>927</v>
      </c>
      <c r="B931" s="30">
        <f>RAND()*(1-2E-6)+1E-6</f>
        <v/>
      </c>
      <c r="C931" s="30">
        <f>RAND()*(1-2E-6)+1E-6</f>
        <v/>
      </c>
      <c r="D931" s="30">
        <f>RAND()*(1-2E-6)+1E-6</f>
        <v/>
      </c>
      <c r="E931" s="30">
        <f>RAND()*(1-2E-6)+1E-6</f>
        <v/>
      </c>
      <c r="F931" s="30">
        <f>RAND()*(1-2E-6)+1E-6</f>
        <v/>
      </c>
      <c r="G931" s="30">
        <f>RAND()*(1-2E-6)+1E-6</f>
        <v/>
      </c>
      <c r="H931" s="30">
        <f>RAND()*(1-2E-6)+1E-6</f>
        <v/>
      </c>
      <c r="I931" s="31">
        <f>MIN(IF(Supuestos!$H$5="",1E+99,Supuestos!$H$5),MAX(IF(Supuestos!$G$5="",-1E+99,Supuestos!$G$5),IF(Supuestos!$C$5="Normal",NORMINV(B931,Supuestos!$D$5,Supuestos!$E$5),IF(Supuestos!$C$5="Triangular",IF(B931&lt;(Supuestos!$E$5-Supuestos!$D$5)/(Supuestos!$F$5-Supuestos!$D$5),Supuestos!$D$5+SQRT(B931*(Supuestos!$F$5-Supuestos!$D$5)*(Supuestos!$E$5-Supuestos!$D$5)),Supuestos!$F$5-SQRT((1-B931)*(Supuestos!$F$5-Supuestos!$D$5)*(Supuestos!$F$5-Supuestos!$E$5))),IF(Supuestos!$C$5="Uniforme",Supuestos!$D$5+B931*(Supuestos!$E$5-Supuestos!$D$5),IF(Supuestos!$C$5="Lognormal",LOGINV(B931,LN(Supuestos!$D$5)-LN(1+Supuestos!$E$5^2/Supuestos!$D$5^2)/2,SQRT(LN(1+Supuestos!$E$5^2/Supuestos!$D$5^2))),Supuestos!$D$5))))))</f>
        <v/>
      </c>
      <c r="J931" s="31">
        <f>MIN(IF(Supuestos!$H$6="",1E+99,Supuestos!$H$6),MAX(IF(Supuestos!$G$6="",-1E+99,Supuestos!$G$6),IF(Supuestos!$C$6="Normal",NORMINV(C931,Supuestos!$D$6,Supuestos!$E$6),IF(Supuestos!$C$6="Triangular",IF(C931&lt;(Supuestos!$E$6-Supuestos!$D$6)/(Supuestos!$F$6-Supuestos!$D$6),Supuestos!$D$6+SQRT(C931*(Supuestos!$F$6-Supuestos!$D$6)*(Supuestos!$E$6-Supuestos!$D$6)),Supuestos!$F$6-SQRT((1-C931)*(Supuestos!$F$6-Supuestos!$D$6)*(Supuestos!$F$6-Supuestos!$E$6))),IF(Supuestos!$C$6="Uniforme",Supuestos!$D$6+C931*(Supuestos!$E$6-Supuestos!$D$6),IF(Supuestos!$C$6="Lognormal",LOGINV(C931,LN(Supuestos!$D$6)-LN(1+Supuestos!$E$6^2/Supuestos!$D$6^2)/2,SQRT(LN(1+Supuestos!$E$6^2/Supuestos!$D$6^2))),Supuestos!$D$6))))))</f>
        <v/>
      </c>
      <c r="K931" s="32">
        <f>MIN(IF(Supuestos!$H$7="",1E+99,Supuestos!$H$7),MAX(IF(Supuestos!$G$7="",-1E+99,Supuestos!$G$7),IF(Supuestos!$C$7="Normal",NORMINV(D931,Supuestos!$D$7,Supuestos!$E$7),IF(Supuestos!$C$7="Triangular",IF(D931&lt;(Supuestos!$E$7-Supuestos!$D$7)/(Supuestos!$F$7-Supuestos!$D$7),Supuestos!$D$7+SQRT(D931*(Supuestos!$F$7-Supuestos!$D$7)*(Supuestos!$E$7-Supuestos!$D$7)),Supuestos!$F$7-SQRT((1-D931)*(Supuestos!$F$7-Supuestos!$D$7)*(Supuestos!$F$7-Supuestos!$E$7))),IF(Supuestos!$C$7="Uniforme",Supuestos!$D$7+D931*(Supuestos!$E$7-Supuestos!$D$7),IF(Supuestos!$C$7="Lognormal",LOGINV(D931,LN(Supuestos!$D$7)-LN(1+Supuestos!$E$7^2/Supuestos!$D$7^2)/2,SQRT(LN(1+Supuestos!$E$7^2/Supuestos!$D$7^2))),Supuestos!$D$7))))))</f>
        <v/>
      </c>
      <c r="L931" s="32">
        <f>MIN(IF(Supuestos!$H$8="",1E+99,Supuestos!$H$8),MAX(IF(Supuestos!$G$8="",-1E+99,Supuestos!$G$8),IF(Supuestos!$C$8="Normal",NORMINV(E931,Supuestos!$D$8,Supuestos!$E$8),IF(Supuestos!$C$8="Triangular",IF(E931&lt;(Supuestos!$E$8-Supuestos!$D$8)/(Supuestos!$F$8-Supuestos!$D$8),Supuestos!$D$8+SQRT(E931*(Supuestos!$F$8-Supuestos!$D$8)*(Supuestos!$E$8-Supuestos!$D$8)),Supuestos!$F$8-SQRT((1-E931)*(Supuestos!$F$8-Supuestos!$D$8)*(Supuestos!$F$8-Supuestos!$E$8))),IF(Supuestos!$C$8="Uniforme",Supuestos!$D$8+E931*(Supuestos!$E$8-Supuestos!$D$8),IF(Supuestos!$C$8="Lognormal",LOGINV(E931,LN(Supuestos!$D$8)-LN(1+Supuestos!$E$8^2/Supuestos!$D$8^2)/2,SQRT(LN(1+Supuestos!$E$8^2/Supuestos!$D$8^2))),Supuestos!$D$8))))))</f>
        <v/>
      </c>
      <c r="M931" s="32">
        <f>MIN(IF(Supuestos!$H$9="",1E+99,Supuestos!$H$9),MAX(IF(Supuestos!$G$9="",-1E+99,Supuestos!$G$9),IF(Supuestos!$C$9="Normal",NORMINV(F931,Supuestos!$D$9,Supuestos!$E$9),IF(Supuestos!$C$9="Triangular",IF(F931&lt;(Supuestos!$E$9-Supuestos!$D$9)/(Supuestos!$F$9-Supuestos!$D$9),Supuestos!$D$9+SQRT(F931*(Supuestos!$F$9-Supuestos!$D$9)*(Supuestos!$E$9-Supuestos!$D$9)),Supuestos!$F$9-SQRT((1-F931)*(Supuestos!$F$9-Supuestos!$D$9)*(Supuestos!$F$9-Supuestos!$E$9))),IF(Supuestos!$C$9="Uniforme",Supuestos!$D$9+F931*(Supuestos!$E$9-Supuestos!$D$9),IF(Supuestos!$C$9="Lognormal",LOGINV(F931,LN(Supuestos!$D$9)-LN(1+Supuestos!$E$9^2/Supuestos!$D$9^2)/2,SQRT(LN(1+Supuestos!$E$9^2/Supuestos!$D$9^2))),Supuestos!$D$9))))))</f>
        <v/>
      </c>
      <c r="N931" s="32">
        <f>MIN(IF(Supuestos!$H$10="",1E+99,Supuestos!$H$10),MAX(IF(Supuestos!$G$10="",-1E+99,Supuestos!$G$10),IF(Supuestos!$C$10="Normal",NORMINV(G931,Supuestos!$D$10,Supuestos!$E$10),IF(Supuestos!$C$10="Triangular",IF(G931&lt;(Supuestos!$E$10-Supuestos!$D$10)/(Supuestos!$F$10-Supuestos!$D$10),Supuestos!$D$10+SQRT(G931*(Supuestos!$F$10-Supuestos!$D$10)*(Supuestos!$E$10-Supuestos!$D$10)),Supuestos!$F$10-SQRT((1-G931)*(Supuestos!$F$10-Supuestos!$D$10)*(Supuestos!$F$10-Supuestos!$E$10))),IF(Supuestos!$C$10="Uniforme",Supuestos!$D$10+G931*(Supuestos!$E$10-Supuestos!$D$10),IF(Supuestos!$C$10="Lognormal",LOGINV(G931,LN(Supuestos!$D$10)-LN(1+Supuestos!$E$10^2/Supuestos!$D$10^2)/2,SQRT(LN(1+Supuestos!$E$10^2/Supuestos!$D$10^2))),Supuestos!$D$10))))))</f>
        <v/>
      </c>
      <c r="O931" s="31">
        <f>MIN(IF(Supuestos!$H$11="",1E+99,Supuestos!$H$11),MAX(IF(Supuestos!$G$11="",-1E+99,Supuestos!$G$11),IF(Supuestos!$C$11="Normal",NORMINV(H931,Supuestos!$D$11,Supuestos!$E$11),IF(Supuestos!$C$11="Triangular",IF(H931&lt;(Supuestos!$E$11-Supuestos!$D$11)/(Supuestos!$F$11-Supuestos!$D$11),Supuestos!$D$11+SQRT(H931*(Supuestos!$F$11-Supuestos!$D$11)*(Supuestos!$E$11-Supuestos!$D$11)),Supuestos!$F$11-SQRT((1-H931)*(Supuestos!$F$11-Supuestos!$D$11)*(Supuestos!$F$11-Supuestos!$E$11))),IF(Supuestos!$C$11="Uniforme",Supuestos!$D$11+H931*(Supuestos!$E$11-Supuestos!$D$11),IF(Supuestos!$C$11="Lognormal",LOGINV(H931,LN(Supuestos!$D$11)-LN(1+Supuestos!$E$11^2/Supuestos!$D$11^2)/2,SQRT(LN(1+Supuestos!$E$11^2/Supuestos!$D$11^2))),Supuestos!$D$11))))))</f>
        <v/>
      </c>
      <c r="P931" s="33">
        <f>-I931</f>
        <v/>
      </c>
      <c r="Q931" s="33">
        <f>$J931*(1+$K931)^(1-1)*(1-$L931)*(1-$M931)</f>
        <v/>
      </c>
      <c r="R931" s="33">
        <f>$J931*(1+$K931)^(2-1)*(1-$L931)*(1-$M931)</f>
        <v/>
      </c>
      <c r="S931" s="33">
        <f>$J931*(1+$K931)^(3-1)*(1-$L931)*(1-$M931)</f>
        <v/>
      </c>
      <c r="T931" s="33">
        <f>$J931*(1+$K931)^(4-1)*(1-$L931)*(1-$M931)</f>
        <v/>
      </c>
      <c r="U931" s="33">
        <f>$J931*(1+$K931)^(5-1)*(1-$L931)*(1-$M931)+$O931</f>
        <v/>
      </c>
      <c r="V931" s="33">
        <f>P931+NPV($N931,Q931:U931)</f>
        <v/>
      </c>
      <c r="W931" s="32">
        <f>IFERROR(IRR(P931:U931,0.1),"")</f>
        <v/>
      </c>
    </row>
    <row r="932">
      <c r="A932" s="14" t="n">
        <v>928</v>
      </c>
      <c r="B932" s="30">
        <f>RAND()*(1-2E-6)+1E-6</f>
        <v/>
      </c>
      <c r="C932" s="30">
        <f>RAND()*(1-2E-6)+1E-6</f>
        <v/>
      </c>
      <c r="D932" s="30">
        <f>RAND()*(1-2E-6)+1E-6</f>
        <v/>
      </c>
      <c r="E932" s="30">
        <f>RAND()*(1-2E-6)+1E-6</f>
        <v/>
      </c>
      <c r="F932" s="30">
        <f>RAND()*(1-2E-6)+1E-6</f>
        <v/>
      </c>
      <c r="G932" s="30">
        <f>RAND()*(1-2E-6)+1E-6</f>
        <v/>
      </c>
      <c r="H932" s="30">
        <f>RAND()*(1-2E-6)+1E-6</f>
        <v/>
      </c>
      <c r="I932" s="31">
        <f>MIN(IF(Supuestos!$H$5="",1E+99,Supuestos!$H$5),MAX(IF(Supuestos!$G$5="",-1E+99,Supuestos!$G$5),IF(Supuestos!$C$5="Normal",NORMINV(B932,Supuestos!$D$5,Supuestos!$E$5),IF(Supuestos!$C$5="Triangular",IF(B932&lt;(Supuestos!$E$5-Supuestos!$D$5)/(Supuestos!$F$5-Supuestos!$D$5),Supuestos!$D$5+SQRT(B932*(Supuestos!$F$5-Supuestos!$D$5)*(Supuestos!$E$5-Supuestos!$D$5)),Supuestos!$F$5-SQRT((1-B932)*(Supuestos!$F$5-Supuestos!$D$5)*(Supuestos!$F$5-Supuestos!$E$5))),IF(Supuestos!$C$5="Uniforme",Supuestos!$D$5+B932*(Supuestos!$E$5-Supuestos!$D$5),IF(Supuestos!$C$5="Lognormal",LOGINV(B932,LN(Supuestos!$D$5)-LN(1+Supuestos!$E$5^2/Supuestos!$D$5^2)/2,SQRT(LN(1+Supuestos!$E$5^2/Supuestos!$D$5^2))),Supuestos!$D$5))))))</f>
        <v/>
      </c>
      <c r="J932" s="31">
        <f>MIN(IF(Supuestos!$H$6="",1E+99,Supuestos!$H$6),MAX(IF(Supuestos!$G$6="",-1E+99,Supuestos!$G$6),IF(Supuestos!$C$6="Normal",NORMINV(C932,Supuestos!$D$6,Supuestos!$E$6),IF(Supuestos!$C$6="Triangular",IF(C932&lt;(Supuestos!$E$6-Supuestos!$D$6)/(Supuestos!$F$6-Supuestos!$D$6),Supuestos!$D$6+SQRT(C932*(Supuestos!$F$6-Supuestos!$D$6)*(Supuestos!$E$6-Supuestos!$D$6)),Supuestos!$F$6-SQRT((1-C932)*(Supuestos!$F$6-Supuestos!$D$6)*(Supuestos!$F$6-Supuestos!$E$6))),IF(Supuestos!$C$6="Uniforme",Supuestos!$D$6+C932*(Supuestos!$E$6-Supuestos!$D$6),IF(Supuestos!$C$6="Lognormal",LOGINV(C932,LN(Supuestos!$D$6)-LN(1+Supuestos!$E$6^2/Supuestos!$D$6^2)/2,SQRT(LN(1+Supuestos!$E$6^2/Supuestos!$D$6^2))),Supuestos!$D$6))))))</f>
        <v/>
      </c>
      <c r="K932" s="32">
        <f>MIN(IF(Supuestos!$H$7="",1E+99,Supuestos!$H$7),MAX(IF(Supuestos!$G$7="",-1E+99,Supuestos!$G$7),IF(Supuestos!$C$7="Normal",NORMINV(D932,Supuestos!$D$7,Supuestos!$E$7),IF(Supuestos!$C$7="Triangular",IF(D932&lt;(Supuestos!$E$7-Supuestos!$D$7)/(Supuestos!$F$7-Supuestos!$D$7),Supuestos!$D$7+SQRT(D932*(Supuestos!$F$7-Supuestos!$D$7)*(Supuestos!$E$7-Supuestos!$D$7)),Supuestos!$F$7-SQRT((1-D932)*(Supuestos!$F$7-Supuestos!$D$7)*(Supuestos!$F$7-Supuestos!$E$7))),IF(Supuestos!$C$7="Uniforme",Supuestos!$D$7+D932*(Supuestos!$E$7-Supuestos!$D$7),IF(Supuestos!$C$7="Lognormal",LOGINV(D932,LN(Supuestos!$D$7)-LN(1+Supuestos!$E$7^2/Supuestos!$D$7^2)/2,SQRT(LN(1+Supuestos!$E$7^2/Supuestos!$D$7^2))),Supuestos!$D$7))))))</f>
        <v/>
      </c>
      <c r="L932" s="32">
        <f>MIN(IF(Supuestos!$H$8="",1E+99,Supuestos!$H$8),MAX(IF(Supuestos!$G$8="",-1E+99,Supuestos!$G$8),IF(Supuestos!$C$8="Normal",NORMINV(E932,Supuestos!$D$8,Supuestos!$E$8),IF(Supuestos!$C$8="Triangular",IF(E932&lt;(Supuestos!$E$8-Supuestos!$D$8)/(Supuestos!$F$8-Supuestos!$D$8),Supuestos!$D$8+SQRT(E932*(Supuestos!$F$8-Supuestos!$D$8)*(Supuestos!$E$8-Supuestos!$D$8)),Supuestos!$F$8-SQRT((1-E932)*(Supuestos!$F$8-Supuestos!$D$8)*(Supuestos!$F$8-Supuestos!$E$8))),IF(Supuestos!$C$8="Uniforme",Supuestos!$D$8+E932*(Supuestos!$E$8-Supuestos!$D$8),IF(Supuestos!$C$8="Lognormal",LOGINV(E932,LN(Supuestos!$D$8)-LN(1+Supuestos!$E$8^2/Supuestos!$D$8^2)/2,SQRT(LN(1+Supuestos!$E$8^2/Supuestos!$D$8^2))),Supuestos!$D$8))))))</f>
        <v/>
      </c>
      <c r="M932" s="32">
        <f>MIN(IF(Supuestos!$H$9="",1E+99,Supuestos!$H$9),MAX(IF(Supuestos!$G$9="",-1E+99,Supuestos!$G$9),IF(Supuestos!$C$9="Normal",NORMINV(F932,Supuestos!$D$9,Supuestos!$E$9),IF(Supuestos!$C$9="Triangular",IF(F932&lt;(Supuestos!$E$9-Supuestos!$D$9)/(Supuestos!$F$9-Supuestos!$D$9),Supuestos!$D$9+SQRT(F932*(Supuestos!$F$9-Supuestos!$D$9)*(Supuestos!$E$9-Supuestos!$D$9)),Supuestos!$F$9-SQRT((1-F932)*(Supuestos!$F$9-Supuestos!$D$9)*(Supuestos!$F$9-Supuestos!$E$9))),IF(Supuestos!$C$9="Uniforme",Supuestos!$D$9+F932*(Supuestos!$E$9-Supuestos!$D$9),IF(Supuestos!$C$9="Lognormal",LOGINV(F932,LN(Supuestos!$D$9)-LN(1+Supuestos!$E$9^2/Supuestos!$D$9^2)/2,SQRT(LN(1+Supuestos!$E$9^2/Supuestos!$D$9^2))),Supuestos!$D$9))))))</f>
        <v/>
      </c>
      <c r="N932" s="32">
        <f>MIN(IF(Supuestos!$H$10="",1E+99,Supuestos!$H$10),MAX(IF(Supuestos!$G$10="",-1E+99,Supuestos!$G$10),IF(Supuestos!$C$10="Normal",NORMINV(G932,Supuestos!$D$10,Supuestos!$E$10),IF(Supuestos!$C$10="Triangular",IF(G932&lt;(Supuestos!$E$10-Supuestos!$D$10)/(Supuestos!$F$10-Supuestos!$D$10),Supuestos!$D$10+SQRT(G932*(Supuestos!$F$10-Supuestos!$D$10)*(Supuestos!$E$10-Supuestos!$D$10)),Supuestos!$F$10-SQRT((1-G932)*(Supuestos!$F$10-Supuestos!$D$10)*(Supuestos!$F$10-Supuestos!$E$10))),IF(Supuestos!$C$10="Uniforme",Supuestos!$D$10+G932*(Supuestos!$E$10-Supuestos!$D$10),IF(Supuestos!$C$10="Lognormal",LOGINV(G932,LN(Supuestos!$D$10)-LN(1+Supuestos!$E$10^2/Supuestos!$D$10^2)/2,SQRT(LN(1+Supuestos!$E$10^2/Supuestos!$D$10^2))),Supuestos!$D$10))))))</f>
        <v/>
      </c>
      <c r="O932" s="31">
        <f>MIN(IF(Supuestos!$H$11="",1E+99,Supuestos!$H$11),MAX(IF(Supuestos!$G$11="",-1E+99,Supuestos!$G$11),IF(Supuestos!$C$11="Normal",NORMINV(H932,Supuestos!$D$11,Supuestos!$E$11),IF(Supuestos!$C$11="Triangular",IF(H932&lt;(Supuestos!$E$11-Supuestos!$D$11)/(Supuestos!$F$11-Supuestos!$D$11),Supuestos!$D$11+SQRT(H932*(Supuestos!$F$11-Supuestos!$D$11)*(Supuestos!$E$11-Supuestos!$D$11)),Supuestos!$F$11-SQRT((1-H932)*(Supuestos!$F$11-Supuestos!$D$11)*(Supuestos!$F$11-Supuestos!$E$11))),IF(Supuestos!$C$11="Uniforme",Supuestos!$D$11+H932*(Supuestos!$E$11-Supuestos!$D$11),IF(Supuestos!$C$11="Lognormal",LOGINV(H932,LN(Supuestos!$D$11)-LN(1+Supuestos!$E$11^2/Supuestos!$D$11^2)/2,SQRT(LN(1+Supuestos!$E$11^2/Supuestos!$D$11^2))),Supuestos!$D$11))))))</f>
        <v/>
      </c>
      <c r="P932" s="33">
        <f>-I932</f>
        <v/>
      </c>
      <c r="Q932" s="33">
        <f>$J932*(1+$K932)^(1-1)*(1-$L932)*(1-$M932)</f>
        <v/>
      </c>
      <c r="R932" s="33">
        <f>$J932*(1+$K932)^(2-1)*(1-$L932)*(1-$M932)</f>
        <v/>
      </c>
      <c r="S932" s="33">
        <f>$J932*(1+$K932)^(3-1)*(1-$L932)*(1-$M932)</f>
        <v/>
      </c>
      <c r="T932" s="33">
        <f>$J932*(1+$K932)^(4-1)*(1-$L932)*(1-$M932)</f>
        <v/>
      </c>
      <c r="U932" s="33">
        <f>$J932*(1+$K932)^(5-1)*(1-$L932)*(1-$M932)+$O932</f>
        <v/>
      </c>
      <c r="V932" s="33">
        <f>P932+NPV($N932,Q932:U932)</f>
        <v/>
      </c>
      <c r="W932" s="32">
        <f>IFERROR(IRR(P932:U932,0.1),"")</f>
        <v/>
      </c>
    </row>
    <row r="933">
      <c r="A933" s="14" t="n">
        <v>929</v>
      </c>
      <c r="B933" s="30">
        <f>RAND()*(1-2E-6)+1E-6</f>
        <v/>
      </c>
      <c r="C933" s="30">
        <f>RAND()*(1-2E-6)+1E-6</f>
        <v/>
      </c>
      <c r="D933" s="30">
        <f>RAND()*(1-2E-6)+1E-6</f>
        <v/>
      </c>
      <c r="E933" s="30">
        <f>RAND()*(1-2E-6)+1E-6</f>
        <v/>
      </c>
      <c r="F933" s="30">
        <f>RAND()*(1-2E-6)+1E-6</f>
        <v/>
      </c>
      <c r="G933" s="30">
        <f>RAND()*(1-2E-6)+1E-6</f>
        <v/>
      </c>
      <c r="H933" s="30">
        <f>RAND()*(1-2E-6)+1E-6</f>
        <v/>
      </c>
      <c r="I933" s="31">
        <f>MIN(IF(Supuestos!$H$5="",1E+99,Supuestos!$H$5),MAX(IF(Supuestos!$G$5="",-1E+99,Supuestos!$G$5),IF(Supuestos!$C$5="Normal",NORMINV(B933,Supuestos!$D$5,Supuestos!$E$5),IF(Supuestos!$C$5="Triangular",IF(B933&lt;(Supuestos!$E$5-Supuestos!$D$5)/(Supuestos!$F$5-Supuestos!$D$5),Supuestos!$D$5+SQRT(B933*(Supuestos!$F$5-Supuestos!$D$5)*(Supuestos!$E$5-Supuestos!$D$5)),Supuestos!$F$5-SQRT((1-B933)*(Supuestos!$F$5-Supuestos!$D$5)*(Supuestos!$F$5-Supuestos!$E$5))),IF(Supuestos!$C$5="Uniforme",Supuestos!$D$5+B933*(Supuestos!$E$5-Supuestos!$D$5),IF(Supuestos!$C$5="Lognormal",LOGINV(B933,LN(Supuestos!$D$5)-LN(1+Supuestos!$E$5^2/Supuestos!$D$5^2)/2,SQRT(LN(1+Supuestos!$E$5^2/Supuestos!$D$5^2))),Supuestos!$D$5))))))</f>
        <v/>
      </c>
      <c r="J933" s="31">
        <f>MIN(IF(Supuestos!$H$6="",1E+99,Supuestos!$H$6),MAX(IF(Supuestos!$G$6="",-1E+99,Supuestos!$G$6),IF(Supuestos!$C$6="Normal",NORMINV(C933,Supuestos!$D$6,Supuestos!$E$6),IF(Supuestos!$C$6="Triangular",IF(C933&lt;(Supuestos!$E$6-Supuestos!$D$6)/(Supuestos!$F$6-Supuestos!$D$6),Supuestos!$D$6+SQRT(C933*(Supuestos!$F$6-Supuestos!$D$6)*(Supuestos!$E$6-Supuestos!$D$6)),Supuestos!$F$6-SQRT((1-C933)*(Supuestos!$F$6-Supuestos!$D$6)*(Supuestos!$F$6-Supuestos!$E$6))),IF(Supuestos!$C$6="Uniforme",Supuestos!$D$6+C933*(Supuestos!$E$6-Supuestos!$D$6),IF(Supuestos!$C$6="Lognormal",LOGINV(C933,LN(Supuestos!$D$6)-LN(1+Supuestos!$E$6^2/Supuestos!$D$6^2)/2,SQRT(LN(1+Supuestos!$E$6^2/Supuestos!$D$6^2))),Supuestos!$D$6))))))</f>
        <v/>
      </c>
      <c r="K933" s="32">
        <f>MIN(IF(Supuestos!$H$7="",1E+99,Supuestos!$H$7),MAX(IF(Supuestos!$G$7="",-1E+99,Supuestos!$G$7),IF(Supuestos!$C$7="Normal",NORMINV(D933,Supuestos!$D$7,Supuestos!$E$7),IF(Supuestos!$C$7="Triangular",IF(D933&lt;(Supuestos!$E$7-Supuestos!$D$7)/(Supuestos!$F$7-Supuestos!$D$7),Supuestos!$D$7+SQRT(D933*(Supuestos!$F$7-Supuestos!$D$7)*(Supuestos!$E$7-Supuestos!$D$7)),Supuestos!$F$7-SQRT((1-D933)*(Supuestos!$F$7-Supuestos!$D$7)*(Supuestos!$F$7-Supuestos!$E$7))),IF(Supuestos!$C$7="Uniforme",Supuestos!$D$7+D933*(Supuestos!$E$7-Supuestos!$D$7),IF(Supuestos!$C$7="Lognormal",LOGINV(D933,LN(Supuestos!$D$7)-LN(1+Supuestos!$E$7^2/Supuestos!$D$7^2)/2,SQRT(LN(1+Supuestos!$E$7^2/Supuestos!$D$7^2))),Supuestos!$D$7))))))</f>
        <v/>
      </c>
      <c r="L933" s="32">
        <f>MIN(IF(Supuestos!$H$8="",1E+99,Supuestos!$H$8),MAX(IF(Supuestos!$G$8="",-1E+99,Supuestos!$G$8),IF(Supuestos!$C$8="Normal",NORMINV(E933,Supuestos!$D$8,Supuestos!$E$8),IF(Supuestos!$C$8="Triangular",IF(E933&lt;(Supuestos!$E$8-Supuestos!$D$8)/(Supuestos!$F$8-Supuestos!$D$8),Supuestos!$D$8+SQRT(E933*(Supuestos!$F$8-Supuestos!$D$8)*(Supuestos!$E$8-Supuestos!$D$8)),Supuestos!$F$8-SQRT((1-E933)*(Supuestos!$F$8-Supuestos!$D$8)*(Supuestos!$F$8-Supuestos!$E$8))),IF(Supuestos!$C$8="Uniforme",Supuestos!$D$8+E933*(Supuestos!$E$8-Supuestos!$D$8),IF(Supuestos!$C$8="Lognormal",LOGINV(E933,LN(Supuestos!$D$8)-LN(1+Supuestos!$E$8^2/Supuestos!$D$8^2)/2,SQRT(LN(1+Supuestos!$E$8^2/Supuestos!$D$8^2))),Supuestos!$D$8))))))</f>
        <v/>
      </c>
      <c r="M933" s="32">
        <f>MIN(IF(Supuestos!$H$9="",1E+99,Supuestos!$H$9),MAX(IF(Supuestos!$G$9="",-1E+99,Supuestos!$G$9),IF(Supuestos!$C$9="Normal",NORMINV(F933,Supuestos!$D$9,Supuestos!$E$9),IF(Supuestos!$C$9="Triangular",IF(F933&lt;(Supuestos!$E$9-Supuestos!$D$9)/(Supuestos!$F$9-Supuestos!$D$9),Supuestos!$D$9+SQRT(F933*(Supuestos!$F$9-Supuestos!$D$9)*(Supuestos!$E$9-Supuestos!$D$9)),Supuestos!$F$9-SQRT((1-F933)*(Supuestos!$F$9-Supuestos!$D$9)*(Supuestos!$F$9-Supuestos!$E$9))),IF(Supuestos!$C$9="Uniforme",Supuestos!$D$9+F933*(Supuestos!$E$9-Supuestos!$D$9),IF(Supuestos!$C$9="Lognormal",LOGINV(F933,LN(Supuestos!$D$9)-LN(1+Supuestos!$E$9^2/Supuestos!$D$9^2)/2,SQRT(LN(1+Supuestos!$E$9^2/Supuestos!$D$9^2))),Supuestos!$D$9))))))</f>
        <v/>
      </c>
      <c r="N933" s="32">
        <f>MIN(IF(Supuestos!$H$10="",1E+99,Supuestos!$H$10),MAX(IF(Supuestos!$G$10="",-1E+99,Supuestos!$G$10),IF(Supuestos!$C$10="Normal",NORMINV(G933,Supuestos!$D$10,Supuestos!$E$10),IF(Supuestos!$C$10="Triangular",IF(G933&lt;(Supuestos!$E$10-Supuestos!$D$10)/(Supuestos!$F$10-Supuestos!$D$10),Supuestos!$D$10+SQRT(G933*(Supuestos!$F$10-Supuestos!$D$10)*(Supuestos!$E$10-Supuestos!$D$10)),Supuestos!$F$10-SQRT((1-G933)*(Supuestos!$F$10-Supuestos!$D$10)*(Supuestos!$F$10-Supuestos!$E$10))),IF(Supuestos!$C$10="Uniforme",Supuestos!$D$10+G933*(Supuestos!$E$10-Supuestos!$D$10),IF(Supuestos!$C$10="Lognormal",LOGINV(G933,LN(Supuestos!$D$10)-LN(1+Supuestos!$E$10^2/Supuestos!$D$10^2)/2,SQRT(LN(1+Supuestos!$E$10^2/Supuestos!$D$10^2))),Supuestos!$D$10))))))</f>
        <v/>
      </c>
      <c r="O933" s="31">
        <f>MIN(IF(Supuestos!$H$11="",1E+99,Supuestos!$H$11),MAX(IF(Supuestos!$G$11="",-1E+99,Supuestos!$G$11),IF(Supuestos!$C$11="Normal",NORMINV(H933,Supuestos!$D$11,Supuestos!$E$11),IF(Supuestos!$C$11="Triangular",IF(H933&lt;(Supuestos!$E$11-Supuestos!$D$11)/(Supuestos!$F$11-Supuestos!$D$11),Supuestos!$D$11+SQRT(H933*(Supuestos!$F$11-Supuestos!$D$11)*(Supuestos!$E$11-Supuestos!$D$11)),Supuestos!$F$11-SQRT((1-H933)*(Supuestos!$F$11-Supuestos!$D$11)*(Supuestos!$F$11-Supuestos!$E$11))),IF(Supuestos!$C$11="Uniforme",Supuestos!$D$11+H933*(Supuestos!$E$11-Supuestos!$D$11),IF(Supuestos!$C$11="Lognormal",LOGINV(H933,LN(Supuestos!$D$11)-LN(1+Supuestos!$E$11^2/Supuestos!$D$11^2)/2,SQRT(LN(1+Supuestos!$E$11^2/Supuestos!$D$11^2))),Supuestos!$D$11))))))</f>
        <v/>
      </c>
      <c r="P933" s="33">
        <f>-I933</f>
        <v/>
      </c>
      <c r="Q933" s="33">
        <f>$J933*(1+$K933)^(1-1)*(1-$L933)*(1-$M933)</f>
        <v/>
      </c>
      <c r="R933" s="33">
        <f>$J933*(1+$K933)^(2-1)*(1-$L933)*(1-$M933)</f>
        <v/>
      </c>
      <c r="S933" s="33">
        <f>$J933*(1+$K933)^(3-1)*(1-$L933)*(1-$M933)</f>
        <v/>
      </c>
      <c r="T933" s="33">
        <f>$J933*(1+$K933)^(4-1)*(1-$L933)*(1-$M933)</f>
        <v/>
      </c>
      <c r="U933" s="33">
        <f>$J933*(1+$K933)^(5-1)*(1-$L933)*(1-$M933)+$O933</f>
        <v/>
      </c>
      <c r="V933" s="33">
        <f>P933+NPV($N933,Q933:U933)</f>
        <v/>
      </c>
      <c r="W933" s="32">
        <f>IFERROR(IRR(P933:U933,0.1),"")</f>
        <v/>
      </c>
    </row>
    <row r="934">
      <c r="A934" s="14" t="n">
        <v>930</v>
      </c>
      <c r="B934" s="30">
        <f>RAND()*(1-2E-6)+1E-6</f>
        <v/>
      </c>
      <c r="C934" s="30">
        <f>RAND()*(1-2E-6)+1E-6</f>
        <v/>
      </c>
      <c r="D934" s="30">
        <f>RAND()*(1-2E-6)+1E-6</f>
        <v/>
      </c>
      <c r="E934" s="30">
        <f>RAND()*(1-2E-6)+1E-6</f>
        <v/>
      </c>
      <c r="F934" s="30">
        <f>RAND()*(1-2E-6)+1E-6</f>
        <v/>
      </c>
      <c r="G934" s="30">
        <f>RAND()*(1-2E-6)+1E-6</f>
        <v/>
      </c>
      <c r="H934" s="30">
        <f>RAND()*(1-2E-6)+1E-6</f>
        <v/>
      </c>
      <c r="I934" s="31">
        <f>MIN(IF(Supuestos!$H$5="",1E+99,Supuestos!$H$5),MAX(IF(Supuestos!$G$5="",-1E+99,Supuestos!$G$5),IF(Supuestos!$C$5="Normal",NORMINV(B934,Supuestos!$D$5,Supuestos!$E$5),IF(Supuestos!$C$5="Triangular",IF(B934&lt;(Supuestos!$E$5-Supuestos!$D$5)/(Supuestos!$F$5-Supuestos!$D$5),Supuestos!$D$5+SQRT(B934*(Supuestos!$F$5-Supuestos!$D$5)*(Supuestos!$E$5-Supuestos!$D$5)),Supuestos!$F$5-SQRT((1-B934)*(Supuestos!$F$5-Supuestos!$D$5)*(Supuestos!$F$5-Supuestos!$E$5))),IF(Supuestos!$C$5="Uniforme",Supuestos!$D$5+B934*(Supuestos!$E$5-Supuestos!$D$5),IF(Supuestos!$C$5="Lognormal",LOGINV(B934,LN(Supuestos!$D$5)-LN(1+Supuestos!$E$5^2/Supuestos!$D$5^2)/2,SQRT(LN(1+Supuestos!$E$5^2/Supuestos!$D$5^2))),Supuestos!$D$5))))))</f>
        <v/>
      </c>
      <c r="J934" s="31">
        <f>MIN(IF(Supuestos!$H$6="",1E+99,Supuestos!$H$6),MAX(IF(Supuestos!$G$6="",-1E+99,Supuestos!$G$6),IF(Supuestos!$C$6="Normal",NORMINV(C934,Supuestos!$D$6,Supuestos!$E$6),IF(Supuestos!$C$6="Triangular",IF(C934&lt;(Supuestos!$E$6-Supuestos!$D$6)/(Supuestos!$F$6-Supuestos!$D$6),Supuestos!$D$6+SQRT(C934*(Supuestos!$F$6-Supuestos!$D$6)*(Supuestos!$E$6-Supuestos!$D$6)),Supuestos!$F$6-SQRT((1-C934)*(Supuestos!$F$6-Supuestos!$D$6)*(Supuestos!$F$6-Supuestos!$E$6))),IF(Supuestos!$C$6="Uniforme",Supuestos!$D$6+C934*(Supuestos!$E$6-Supuestos!$D$6),IF(Supuestos!$C$6="Lognormal",LOGINV(C934,LN(Supuestos!$D$6)-LN(1+Supuestos!$E$6^2/Supuestos!$D$6^2)/2,SQRT(LN(1+Supuestos!$E$6^2/Supuestos!$D$6^2))),Supuestos!$D$6))))))</f>
        <v/>
      </c>
      <c r="K934" s="32">
        <f>MIN(IF(Supuestos!$H$7="",1E+99,Supuestos!$H$7),MAX(IF(Supuestos!$G$7="",-1E+99,Supuestos!$G$7),IF(Supuestos!$C$7="Normal",NORMINV(D934,Supuestos!$D$7,Supuestos!$E$7),IF(Supuestos!$C$7="Triangular",IF(D934&lt;(Supuestos!$E$7-Supuestos!$D$7)/(Supuestos!$F$7-Supuestos!$D$7),Supuestos!$D$7+SQRT(D934*(Supuestos!$F$7-Supuestos!$D$7)*(Supuestos!$E$7-Supuestos!$D$7)),Supuestos!$F$7-SQRT((1-D934)*(Supuestos!$F$7-Supuestos!$D$7)*(Supuestos!$F$7-Supuestos!$E$7))),IF(Supuestos!$C$7="Uniforme",Supuestos!$D$7+D934*(Supuestos!$E$7-Supuestos!$D$7),IF(Supuestos!$C$7="Lognormal",LOGINV(D934,LN(Supuestos!$D$7)-LN(1+Supuestos!$E$7^2/Supuestos!$D$7^2)/2,SQRT(LN(1+Supuestos!$E$7^2/Supuestos!$D$7^2))),Supuestos!$D$7))))))</f>
        <v/>
      </c>
      <c r="L934" s="32">
        <f>MIN(IF(Supuestos!$H$8="",1E+99,Supuestos!$H$8),MAX(IF(Supuestos!$G$8="",-1E+99,Supuestos!$G$8),IF(Supuestos!$C$8="Normal",NORMINV(E934,Supuestos!$D$8,Supuestos!$E$8),IF(Supuestos!$C$8="Triangular",IF(E934&lt;(Supuestos!$E$8-Supuestos!$D$8)/(Supuestos!$F$8-Supuestos!$D$8),Supuestos!$D$8+SQRT(E934*(Supuestos!$F$8-Supuestos!$D$8)*(Supuestos!$E$8-Supuestos!$D$8)),Supuestos!$F$8-SQRT((1-E934)*(Supuestos!$F$8-Supuestos!$D$8)*(Supuestos!$F$8-Supuestos!$E$8))),IF(Supuestos!$C$8="Uniforme",Supuestos!$D$8+E934*(Supuestos!$E$8-Supuestos!$D$8),IF(Supuestos!$C$8="Lognormal",LOGINV(E934,LN(Supuestos!$D$8)-LN(1+Supuestos!$E$8^2/Supuestos!$D$8^2)/2,SQRT(LN(1+Supuestos!$E$8^2/Supuestos!$D$8^2))),Supuestos!$D$8))))))</f>
        <v/>
      </c>
      <c r="M934" s="32">
        <f>MIN(IF(Supuestos!$H$9="",1E+99,Supuestos!$H$9),MAX(IF(Supuestos!$G$9="",-1E+99,Supuestos!$G$9),IF(Supuestos!$C$9="Normal",NORMINV(F934,Supuestos!$D$9,Supuestos!$E$9),IF(Supuestos!$C$9="Triangular",IF(F934&lt;(Supuestos!$E$9-Supuestos!$D$9)/(Supuestos!$F$9-Supuestos!$D$9),Supuestos!$D$9+SQRT(F934*(Supuestos!$F$9-Supuestos!$D$9)*(Supuestos!$E$9-Supuestos!$D$9)),Supuestos!$F$9-SQRT((1-F934)*(Supuestos!$F$9-Supuestos!$D$9)*(Supuestos!$F$9-Supuestos!$E$9))),IF(Supuestos!$C$9="Uniforme",Supuestos!$D$9+F934*(Supuestos!$E$9-Supuestos!$D$9),IF(Supuestos!$C$9="Lognormal",LOGINV(F934,LN(Supuestos!$D$9)-LN(1+Supuestos!$E$9^2/Supuestos!$D$9^2)/2,SQRT(LN(1+Supuestos!$E$9^2/Supuestos!$D$9^2))),Supuestos!$D$9))))))</f>
        <v/>
      </c>
      <c r="N934" s="32">
        <f>MIN(IF(Supuestos!$H$10="",1E+99,Supuestos!$H$10),MAX(IF(Supuestos!$G$10="",-1E+99,Supuestos!$G$10),IF(Supuestos!$C$10="Normal",NORMINV(G934,Supuestos!$D$10,Supuestos!$E$10),IF(Supuestos!$C$10="Triangular",IF(G934&lt;(Supuestos!$E$10-Supuestos!$D$10)/(Supuestos!$F$10-Supuestos!$D$10),Supuestos!$D$10+SQRT(G934*(Supuestos!$F$10-Supuestos!$D$10)*(Supuestos!$E$10-Supuestos!$D$10)),Supuestos!$F$10-SQRT((1-G934)*(Supuestos!$F$10-Supuestos!$D$10)*(Supuestos!$F$10-Supuestos!$E$10))),IF(Supuestos!$C$10="Uniforme",Supuestos!$D$10+G934*(Supuestos!$E$10-Supuestos!$D$10),IF(Supuestos!$C$10="Lognormal",LOGINV(G934,LN(Supuestos!$D$10)-LN(1+Supuestos!$E$10^2/Supuestos!$D$10^2)/2,SQRT(LN(1+Supuestos!$E$10^2/Supuestos!$D$10^2))),Supuestos!$D$10))))))</f>
        <v/>
      </c>
      <c r="O934" s="31">
        <f>MIN(IF(Supuestos!$H$11="",1E+99,Supuestos!$H$11),MAX(IF(Supuestos!$G$11="",-1E+99,Supuestos!$G$11),IF(Supuestos!$C$11="Normal",NORMINV(H934,Supuestos!$D$11,Supuestos!$E$11),IF(Supuestos!$C$11="Triangular",IF(H934&lt;(Supuestos!$E$11-Supuestos!$D$11)/(Supuestos!$F$11-Supuestos!$D$11),Supuestos!$D$11+SQRT(H934*(Supuestos!$F$11-Supuestos!$D$11)*(Supuestos!$E$11-Supuestos!$D$11)),Supuestos!$F$11-SQRT((1-H934)*(Supuestos!$F$11-Supuestos!$D$11)*(Supuestos!$F$11-Supuestos!$E$11))),IF(Supuestos!$C$11="Uniforme",Supuestos!$D$11+H934*(Supuestos!$E$11-Supuestos!$D$11),IF(Supuestos!$C$11="Lognormal",LOGINV(H934,LN(Supuestos!$D$11)-LN(1+Supuestos!$E$11^2/Supuestos!$D$11^2)/2,SQRT(LN(1+Supuestos!$E$11^2/Supuestos!$D$11^2))),Supuestos!$D$11))))))</f>
        <v/>
      </c>
      <c r="P934" s="33">
        <f>-I934</f>
        <v/>
      </c>
      <c r="Q934" s="33">
        <f>$J934*(1+$K934)^(1-1)*(1-$L934)*(1-$M934)</f>
        <v/>
      </c>
      <c r="R934" s="33">
        <f>$J934*(1+$K934)^(2-1)*(1-$L934)*(1-$M934)</f>
        <v/>
      </c>
      <c r="S934" s="33">
        <f>$J934*(1+$K934)^(3-1)*(1-$L934)*(1-$M934)</f>
        <v/>
      </c>
      <c r="T934" s="33">
        <f>$J934*(1+$K934)^(4-1)*(1-$L934)*(1-$M934)</f>
        <v/>
      </c>
      <c r="U934" s="33">
        <f>$J934*(1+$K934)^(5-1)*(1-$L934)*(1-$M934)+$O934</f>
        <v/>
      </c>
      <c r="V934" s="33">
        <f>P934+NPV($N934,Q934:U934)</f>
        <v/>
      </c>
      <c r="W934" s="32">
        <f>IFERROR(IRR(P934:U934,0.1),"")</f>
        <v/>
      </c>
    </row>
    <row r="935">
      <c r="A935" s="14" t="n">
        <v>931</v>
      </c>
      <c r="B935" s="30">
        <f>RAND()*(1-2E-6)+1E-6</f>
        <v/>
      </c>
      <c r="C935" s="30">
        <f>RAND()*(1-2E-6)+1E-6</f>
        <v/>
      </c>
      <c r="D935" s="30">
        <f>RAND()*(1-2E-6)+1E-6</f>
        <v/>
      </c>
      <c r="E935" s="30">
        <f>RAND()*(1-2E-6)+1E-6</f>
        <v/>
      </c>
      <c r="F935" s="30">
        <f>RAND()*(1-2E-6)+1E-6</f>
        <v/>
      </c>
      <c r="G935" s="30">
        <f>RAND()*(1-2E-6)+1E-6</f>
        <v/>
      </c>
      <c r="H935" s="30">
        <f>RAND()*(1-2E-6)+1E-6</f>
        <v/>
      </c>
      <c r="I935" s="31">
        <f>MIN(IF(Supuestos!$H$5="",1E+99,Supuestos!$H$5),MAX(IF(Supuestos!$G$5="",-1E+99,Supuestos!$G$5),IF(Supuestos!$C$5="Normal",NORMINV(B935,Supuestos!$D$5,Supuestos!$E$5),IF(Supuestos!$C$5="Triangular",IF(B935&lt;(Supuestos!$E$5-Supuestos!$D$5)/(Supuestos!$F$5-Supuestos!$D$5),Supuestos!$D$5+SQRT(B935*(Supuestos!$F$5-Supuestos!$D$5)*(Supuestos!$E$5-Supuestos!$D$5)),Supuestos!$F$5-SQRT((1-B935)*(Supuestos!$F$5-Supuestos!$D$5)*(Supuestos!$F$5-Supuestos!$E$5))),IF(Supuestos!$C$5="Uniforme",Supuestos!$D$5+B935*(Supuestos!$E$5-Supuestos!$D$5),IF(Supuestos!$C$5="Lognormal",LOGINV(B935,LN(Supuestos!$D$5)-LN(1+Supuestos!$E$5^2/Supuestos!$D$5^2)/2,SQRT(LN(1+Supuestos!$E$5^2/Supuestos!$D$5^2))),Supuestos!$D$5))))))</f>
        <v/>
      </c>
      <c r="J935" s="31">
        <f>MIN(IF(Supuestos!$H$6="",1E+99,Supuestos!$H$6),MAX(IF(Supuestos!$G$6="",-1E+99,Supuestos!$G$6),IF(Supuestos!$C$6="Normal",NORMINV(C935,Supuestos!$D$6,Supuestos!$E$6),IF(Supuestos!$C$6="Triangular",IF(C935&lt;(Supuestos!$E$6-Supuestos!$D$6)/(Supuestos!$F$6-Supuestos!$D$6),Supuestos!$D$6+SQRT(C935*(Supuestos!$F$6-Supuestos!$D$6)*(Supuestos!$E$6-Supuestos!$D$6)),Supuestos!$F$6-SQRT((1-C935)*(Supuestos!$F$6-Supuestos!$D$6)*(Supuestos!$F$6-Supuestos!$E$6))),IF(Supuestos!$C$6="Uniforme",Supuestos!$D$6+C935*(Supuestos!$E$6-Supuestos!$D$6),IF(Supuestos!$C$6="Lognormal",LOGINV(C935,LN(Supuestos!$D$6)-LN(1+Supuestos!$E$6^2/Supuestos!$D$6^2)/2,SQRT(LN(1+Supuestos!$E$6^2/Supuestos!$D$6^2))),Supuestos!$D$6))))))</f>
        <v/>
      </c>
      <c r="K935" s="32">
        <f>MIN(IF(Supuestos!$H$7="",1E+99,Supuestos!$H$7),MAX(IF(Supuestos!$G$7="",-1E+99,Supuestos!$G$7),IF(Supuestos!$C$7="Normal",NORMINV(D935,Supuestos!$D$7,Supuestos!$E$7),IF(Supuestos!$C$7="Triangular",IF(D935&lt;(Supuestos!$E$7-Supuestos!$D$7)/(Supuestos!$F$7-Supuestos!$D$7),Supuestos!$D$7+SQRT(D935*(Supuestos!$F$7-Supuestos!$D$7)*(Supuestos!$E$7-Supuestos!$D$7)),Supuestos!$F$7-SQRT((1-D935)*(Supuestos!$F$7-Supuestos!$D$7)*(Supuestos!$F$7-Supuestos!$E$7))),IF(Supuestos!$C$7="Uniforme",Supuestos!$D$7+D935*(Supuestos!$E$7-Supuestos!$D$7),IF(Supuestos!$C$7="Lognormal",LOGINV(D935,LN(Supuestos!$D$7)-LN(1+Supuestos!$E$7^2/Supuestos!$D$7^2)/2,SQRT(LN(1+Supuestos!$E$7^2/Supuestos!$D$7^2))),Supuestos!$D$7))))))</f>
        <v/>
      </c>
      <c r="L935" s="32">
        <f>MIN(IF(Supuestos!$H$8="",1E+99,Supuestos!$H$8),MAX(IF(Supuestos!$G$8="",-1E+99,Supuestos!$G$8),IF(Supuestos!$C$8="Normal",NORMINV(E935,Supuestos!$D$8,Supuestos!$E$8),IF(Supuestos!$C$8="Triangular",IF(E935&lt;(Supuestos!$E$8-Supuestos!$D$8)/(Supuestos!$F$8-Supuestos!$D$8),Supuestos!$D$8+SQRT(E935*(Supuestos!$F$8-Supuestos!$D$8)*(Supuestos!$E$8-Supuestos!$D$8)),Supuestos!$F$8-SQRT((1-E935)*(Supuestos!$F$8-Supuestos!$D$8)*(Supuestos!$F$8-Supuestos!$E$8))),IF(Supuestos!$C$8="Uniforme",Supuestos!$D$8+E935*(Supuestos!$E$8-Supuestos!$D$8),IF(Supuestos!$C$8="Lognormal",LOGINV(E935,LN(Supuestos!$D$8)-LN(1+Supuestos!$E$8^2/Supuestos!$D$8^2)/2,SQRT(LN(1+Supuestos!$E$8^2/Supuestos!$D$8^2))),Supuestos!$D$8))))))</f>
        <v/>
      </c>
      <c r="M935" s="32">
        <f>MIN(IF(Supuestos!$H$9="",1E+99,Supuestos!$H$9),MAX(IF(Supuestos!$G$9="",-1E+99,Supuestos!$G$9),IF(Supuestos!$C$9="Normal",NORMINV(F935,Supuestos!$D$9,Supuestos!$E$9),IF(Supuestos!$C$9="Triangular",IF(F935&lt;(Supuestos!$E$9-Supuestos!$D$9)/(Supuestos!$F$9-Supuestos!$D$9),Supuestos!$D$9+SQRT(F935*(Supuestos!$F$9-Supuestos!$D$9)*(Supuestos!$E$9-Supuestos!$D$9)),Supuestos!$F$9-SQRT((1-F935)*(Supuestos!$F$9-Supuestos!$D$9)*(Supuestos!$F$9-Supuestos!$E$9))),IF(Supuestos!$C$9="Uniforme",Supuestos!$D$9+F935*(Supuestos!$E$9-Supuestos!$D$9),IF(Supuestos!$C$9="Lognormal",LOGINV(F935,LN(Supuestos!$D$9)-LN(1+Supuestos!$E$9^2/Supuestos!$D$9^2)/2,SQRT(LN(1+Supuestos!$E$9^2/Supuestos!$D$9^2))),Supuestos!$D$9))))))</f>
        <v/>
      </c>
      <c r="N935" s="32">
        <f>MIN(IF(Supuestos!$H$10="",1E+99,Supuestos!$H$10),MAX(IF(Supuestos!$G$10="",-1E+99,Supuestos!$G$10),IF(Supuestos!$C$10="Normal",NORMINV(G935,Supuestos!$D$10,Supuestos!$E$10),IF(Supuestos!$C$10="Triangular",IF(G935&lt;(Supuestos!$E$10-Supuestos!$D$10)/(Supuestos!$F$10-Supuestos!$D$10),Supuestos!$D$10+SQRT(G935*(Supuestos!$F$10-Supuestos!$D$10)*(Supuestos!$E$10-Supuestos!$D$10)),Supuestos!$F$10-SQRT((1-G935)*(Supuestos!$F$10-Supuestos!$D$10)*(Supuestos!$F$10-Supuestos!$E$10))),IF(Supuestos!$C$10="Uniforme",Supuestos!$D$10+G935*(Supuestos!$E$10-Supuestos!$D$10),IF(Supuestos!$C$10="Lognormal",LOGINV(G935,LN(Supuestos!$D$10)-LN(1+Supuestos!$E$10^2/Supuestos!$D$10^2)/2,SQRT(LN(1+Supuestos!$E$10^2/Supuestos!$D$10^2))),Supuestos!$D$10))))))</f>
        <v/>
      </c>
      <c r="O935" s="31">
        <f>MIN(IF(Supuestos!$H$11="",1E+99,Supuestos!$H$11),MAX(IF(Supuestos!$G$11="",-1E+99,Supuestos!$G$11),IF(Supuestos!$C$11="Normal",NORMINV(H935,Supuestos!$D$11,Supuestos!$E$11),IF(Supuestos!$C$11="Triangular",IF(H935&lt;(Supuestos!$E$11-Supuestos!$D$11)/(Supuestos!$F$11-Supuestos!$D$11),Supuestos!$D$11+SQRT(H935*(Supuestos!$F$11-Supuestos!$D$11)*(Supuestos!$E$11-Supuestos!$D$11)),Supuestos!$F$11-SQRT((1-H935)*(Supuestos!$F$11-Supuestos!$D$11)*(Supuestos!$F$11-Supuestos!$E$11))),IF(Supuestos!$C$11="Uniforme",Supuestos!$D$11+H935*(Supuestos!$E$11-Supuestos!$D$11),IF(Supuestos!$C$11="Lognormal",LOGINV(H935,LN(Supuestos!$D$11)-LN(1+Supuestos!$E$11^2/Supuestos!$D$11^2)/2,SQRT(LN(1+Supuestos!$E$11^2/Supuestos!$D$11^2))),Supuestos!$D$11))))))</f>
        <v/>
      </c>
      <c r="P935" s="33">
        <f>-I935</f>
        <v/>
      </c>
      <c r="Q935" s="33">
        <f>$J935*(1+$K935)^(1-1)*(1-$L935)*(1-$M935)</f>
        <v/>
      </c>
      <c r="R935" s="33">
        <f>$J935*(1+$K935)^(2-1)*(1-$L935)*(1-$M935)</f>
        <v/>
      </c>
      <c r="S935" s="33">
        <f>$J935*(1+$K935)^(3-1)*(1-$L935)*(1-$M935)</f>
        <v/>
      </c>
      <c r="T935" s="33">
        <f>$J935*(1+$K935)^(4-1)*(1-$L935)*(1-$M935)</f>
        <v/>
      </c>
      <c r="U935" s="33">
        <f>$J935*(1+$K935)^(5-1)*(1-$L935)*(1-$M935)+$O935</f>
        <v/>
      </c>
      <c r="V935" s="33">
        <f>P935+NPV($N935,Q935:U935)</f>
        <v/>
      </c>
      <c r="W935" s="32">
        <f>IFERROR(IRR(P935:U935,0.1),"")</f>
        <v/>
      </c>
    </row>
    <row r="936">
      <c r="A936" s="14" t="n">
        <v>932</v>
      </c>
      <c r="B936" s="30">
        <f>RAND()*(1-2E-6)+1E-6</f>
        <v/>
      </c>
      <c r="C936" s="30">
        <f>RAND()*(1-2E-6)+1E-6</f>
        <v/>
      </c>
      <c r="D936" s="30">
        <f>RAND()*(1-2E-6)+1E-6</f>
        <v/>
      </c>
      <c r="E936" s="30">
        <f>RAND()*(1-2E-6)+1E-6</f>
        <v/>
      </c>
      <c r="F936" s="30">
        <f>RAND()*(1-2E-6)+1E-6</f>
        <v/>
      </c>
      <c r="G936" s="30">
        <f>RAND()*(1-2E-6)+1E-6</f>
        <v/>
      </c>
      <c r="H936" s="30">
        <f>RAND()*(1-2E-6)+1E-6</f>
        <v/>
      </c>
      <c r="I936" s="31">
        <f>MIN(IF(Supuestos!$H$5="",1E+99,Supuestos!$H$5),MAX(IF(Supuestos!$G$5="",-1E+99,Supuestos!$G$5),IF(Supuestos!$C$5="Normal",NORMINV(B936,Supuestos!$D$5,Supuestos!$E$5),IF(Supuestos!$C$5="Triangular",IF(B936&lt;(Supuestos!$E$5-Supuestos!$D$5)/(Supuestos!$F$5-Supuestos!$D$5),Supuestos!$D$5+SQRT(B936*(Supuestos!$F$5-Supuestos!$D$5)*(Supuestos!$E$5-Supuestos!$D$5)),Supuestos!$F$5-SQRT((1-B936)*(Supuestos!$F$5-Supuestos!$D$5)*(Supuestos!$F$5-Supuestos!$E$5))),IF(Supuestos!$C$5="Uniforme",Supuestos!$D$5+B936*(Supuestos!$E$5-Supuestos!$D$5),IF(Supuestos!$C$5="Lognormal",LOGINV(B936,LN(Supuestos!$D$5)-LN(1+Supuestos!$E$5^2/Supuestos!$D$5^2)/2,SQRT(LN(1+Supuestos!$E$5^2/Supuestos!$D$5^2))),Supuestos!$D$5))))))</f>
        <v/>
      </c>
      <c r="J936" s="31">
        <f>MIN(IF(Supuestos!$H$6="",1E+99,Supuestos!$H$6),MAX(IF(Supuestos!$G$6="",-1E+99,Supuestos!$G$6),IF(Supuestos!$C$6="Normal",NORMINV(C936,Supuestos!$D$6,Supuestos!$E$6),IF(Supuestos!$C$6="Triangular",IF(C936&lt;(Supuestos!$E$6-Supuestos!$D$6)/(Supuestos!$F$6-Supuestos!$D$6),Supuestos!$D$6+SQRT(C936*(Supuestos!$F$6-Supuestos!$D$6)*(Supuestos!$E$6-Supuestos!$D$6)),Supuestos!$F$6-SQRT((1-C936)*(Supuestos!$F$6-Supuestos!$D$6)*(Supuestos!$F$6-Supuestos!$E$6))),IF(Supuestos!$C$6="Uniforme",Supuestos!$D$6+C936*(Supuestos!$E$6-Supuestos!$D$6),IF(Supuestos!$C$6="Lognormal",LOGINV(C936,LN(Supuestos!$D$6)-LN(1+Supuestos!$E$6^2/Supuestos!$D$6^2)/2,SQRT(LN(1+Supuestos!$E$6^2/Supuestos!$D$6^2))),Supuestos!$D$6))))))</f>
        <v/>
      </c>
      <c r="K936" s="32">
        <f>MIN(IF(Supuestos!$H$7="",1E+99,Supuestos!$H$7),MAX(IF(Supuestos!$G$7="",-1E+99,Supuestos!$G$7),IF(Supuestos!$C$7="Normal",NORMINV(D936,Supuestos!$D$7,Supuestos!$E$7),IF(Supuestos!$C$7="Triangular",IF(D936&lt;(Supuestos!$E$7-Supuestos!$D$7)/(Supuestos!$F$7-Supuestos!$D$7),Supuestos!$D$7+SQRT(D936*(Supuestos!$F$7-Supuestos!$D$7)*(Supuestos!$E$7-Supuestos!$D$7)),Supuestos!$F$7-SQRT((1-D936)*(Supuestos!$F$7-Supuestos!$D$7)*(Supuestos!$F$7-Supuestos!$E$7))),IF(Supuestos!$C$7="Uniforme",Supuestos!$D$7+D936*(Supuestos!$E$7-Supuestos!$D$7),IF(Supuestos!$C$7="Lognormal",LOGINV(D936,LN(Supuestos!$D$7)-LN(1+Supuestos!$E$7^2/Supuestos!$D$7^2)/2,SQRT(LN(1+Supuestos!$E$7^2/Supuestos!$D$7^2))),Supuestos!$D$7))))))</f>
        <v/>
      </c>
      <c r="L936" s="32">
        <f>MIN(IF(Supuestos!$H$8="",1E+99,Supuestos!$H$8),MAX(IF(Supuestos!$G$8="",-1E+99,Supuestos!$G$8),IF(Supuestos!$C$8="Normal",NORMINV(E936,Supuestos!$D$8,Supuestos!$E$8),IF(Supuestos!$C$8="Triangular",IF(E936&lt;(Supuestos!$E$8-Supuestos!$D$8)/(Supuestos!$F$8-Supuestos!$D$8),Supuestos!$D$8+SQRT(E936*(Supuestos!$F$8-Supuestos!$D$8)*(Supuestos!$E$8-Supuestos!$D$8)),Supuestos!$F$8-SQRT((1-E936)*(Supuestos!$F$8-Supuestos!$D$8)*(Supuestos!$F$8-Supuestos!$E$8))),IF(Supuestos!$C$8="Uniforme",Supuestos!$D$8+E936*(Supuestos!$E$8-Supuestos!$D$8),IF(Supuestos!$C$8="Lognormal",LOGINV(E936,LN(Supuestos!$D$8)-LN(1+Supuestos!$E$8^2/Supuestos!$D$8^2)/2,SQRT(LN(1+Supuestos!$E$8^2/Supuestos!$D$8^2))),Supuestos!$D$8))))))</f>
        <v/>
      </c>
      <c r="M936" s="32">
        <f>MIN(IF(Supuestos!$H$9="",1E+99,Supuestos!$H$9),MAX(IF(Supuestos!$G$9="",-1E+99,Supuestos!$G$9),IF(Supuestos!$C$9="Normal",NORMINV(F936,Supuestos!$D$9,Supuestos!$E$9),IF(Supuestos!$C$9="Triangular",IF(F936&lt;(Supuestos!$E$9-Supuestos!$D$9)/(Supuestos!$F$9-Supuestos!$D$9),Supuestos!$D$9+SQRT(F936*(Supuestos!$F$9-Supuestos!$D$9)*(Supuestos!$E$9-Supuestos!$D$9)),Supuestos!$F$9-SQRT((1-F936)*(Supuestos!$F$9-Supuestos!$D$9)*(Supuestos!$F$9-Supuestos!$E$9))),IF(Supuestos!$C$9="Uniforme",Supuestos!$D$9+F936*(Supuestos!$E$9-Supuestos!$D$9),IF(Supuestos!$C$9="Lognormal",LOGINV(F936,LN(Supuestos!$D$9)-LN(1+Supuestos!$E$9^2/Supuestos!$D$9^2)/2,SQRT(LN(1+Supuestos!$E$9^2/Supuestos!$D$9^2))),Supuestos!$D$9))))))</f>
        <v/>
      </c>
      <c r="N936" s="32">
        <f>MIN(IF(Supuestos!$H$10="",1E+99,Supuestos!$H$10),MAX(IF(Supuestos!$G$10="",-1E+99,Supuestos!$G$10),IF(Supuestos!$C$10="Normal",NORMINV(G936,Supuestos!$D$10,Supuestos!$E$10),IF(Supuestos!$C$10="Triangular",IF(G936&lt;(Supuestos!$E$10-Supuestos!$D$10)/(Supuestos!$F$10-Supuestos!$D$10),Supuestos!$D$10+SQRT(G936*(Supuestos!$F$10-Supuestos!$D$10)*(Supuestos!$E$10-Supuestos!$D$10)),Supuestos!$F$10-SQRT((1-G936)*(Supuestos!$F$10-Supuestos!$D$10)*(Supuestos!$F$10-Supuestos!$E$10))),IF(Supuestos!$C$10="Uniforme",Supuestos!$D$10+G936*(Supuestos!$E$10-Supuestos!$D$10),IF(Supuestos!$C$10="Lognormal",LOGINV(G936,LN(Supuestos!$D$10)-LN(1+Supuestos!$E$10^2/Supuestos!$D$10^2)/2,SQRT(LN(1+Supuestos!$E$10^2/Supuestos!$D$10^2))),Supuestos!$D$10))))))</f>
        <v/>
      </c>
      <c r="O936" s="31">
        <f>MIN(IF(Supuestos!$H$11="",1E+99,Supuestos!$H$11),MAX(IF(Supuestos!$G$11="",-1E+99,Supuestos!$G$11),IF(Supuestos!$C$11="Normal",NORMINV(H936,Supuestos!$D$11,Supuestos!$E$11),IF(Supuestos!$C$11="Triangular",IF(H936&lt;(Supuestos!$E$11-Supuestos!$D$11)/(Supuestos!$F$11-Supuestos!$D$11),Supuestos!$D$11+SQRT(H936*(Supuestos!$F$11-Supuestos!$D$11)*(Supuestos!$E$11-Supuestos!$D$11)),Supuestos!$F$11-SQRT((1-H936)*(Supuestos!$F$11-Supuestos!$D$11)*(Supuestos!$F$11-Supuestos!$E$11))),IF(Supuestos!$C$11="Uniforme",Supuestos!$D$11+H936*(Supuestos!$E$11-Supuestos!$D$11),IF(Supuestos!$C$11="Lognormal",LOGINV(H936,LN(Supuestos!$D$11)-LN(1+Supuestos!$E$11^2/Supuestos!$D$11^2)/2,SQRT(LN(1+Supuestos!$E$11^2/Supuestos!$D$11^2))),Supuestos!$D$11))))))</f>
        <v/>
      </c>
      <c r="P936" s="33">
        <f>-I936</f>
        <v/>
      </c>
      <c r="Q936" s="33">
        <f>$J936*(1+$K936)^(1-1)*(1-$L936)*(1-$M936)</f>
        <v/>
      </c>
      <c r="R936" s="33">
        <f>$J936*(1+$K936)^(2-1)*(1-$L936)*(1-$M936)</f>
        <v/>
      </c>
      <c r="S936" s="33">
        <f>$J936*(1+$K936)^(3-1)*(1-$L936)*(1-$M936)</f>
        <v/>
      </c>
      <c r="T936" s="33">
        <f>$J936*(1+$K936)^(4-1)*(1-$L936)*(1-$M936)</f>
        <v/>
      </c>
      <c r="U936" s="33">
        <f>$J936*(1+$K936)^(5-1)*(1-$L936)*(1-$M936)+$O936</f>
        <v/>
      </c>
      <c r="V936" s="33">
        <f>P936+NPV($N936,Q936:U936)</f>
        <v/>
      </c>
      <c r="W936" s="32">
        <f>IFERROR(IRR(P936:U936,0.1),"")</f>
        <v/>
      </c>
    </row>
    <row r="937">
      <c r="A937" s="14" t="n">
        <v>933</v>
      </c>
      <c r="B937" s="30">
        <f>RAND()*(1-2E-6)+1E-6</f>
        <v/>
      </c>
      <c r="C937" s="30">
        <f>RAND()*(1-2E-6)+1E-6</f>
        <v/>
      </c>
      <c r="D937" s="30">
        <f>RAND()*(1-2E-6)+1E-6</f>
        <v/>
      </c>
      <c r="E937" s="30">
        <f>RAND()*(1-2E-6)+1E-6</f>
        <v/>
      </c>
      <c r="F937" s="30">
        <f>RAND()*(1-2E-6)+1E-6</f>
        <v/>
      </c>
      <c r="G937" s="30">
        <f>RAND()*(1-2E-6)+1E-6</f>
        <v/>
      </c>
      <c r="H937" s="30">
        <f>RAND()*(1-2E-6)+1E-6</f>
        <v/>
      </c>
      <c r="I937" s="31">
        <f>MIN(IF(Supuestos!$H$5="",1E+99,Supuestos!$H$5),MAX(IF(Supuestos!$G$5="",-1E+99,Supuestos!$G$5),IF(Supuestos!$C$5="Normal",NORMINV(B937,Supuestos!$D$5,Supuestos!$E$5),IF(Supuestos!$C$5="Triangular",IF(B937&lt;(Supuestos!$E$5-Supuestos!$D$5)/(Supuestos!$F$5-Supuestos!$D$5),Supuestos!$D$5+SQRT(B937*(Supuestos!$F$5-Supuestos!$D$5)*(Supuestos!$E$5-Supuestos!$D$5)),Supuestos!$F$5-SQRT((1-B937)*(Supuestos!$F$5-Supuestos!$D$5)*(Supuestos!$F$5-Supuestos!$E$5))),IF(Supuestos!$C$5="Uniforme",Supuestos!$D$5+B937*(Supuestos!$E$5-Supuestos!$D$5),IF(Supuestos!$C$5="Lognormal",LOGINV(B937,LN(Supuestos!$D$5)-LN(1+Supuestos!$E$5^2/Supuestos!$D$5^2)/2,SQRT(LN(1+Supuestos!$E$5^2/Supuestos!$D$5^2))),Supuestos!$D$5))))))</f>
        <v/>
      </c>
      <c r="J937" s="31">
        <f>MIN(IF(Supuestos!$H$6="",1E+99,Supuestos!$H$6),MAX(IF(Supuestos!$G$6="",-1E+99,Supuestos!$G$6),IF(Supuestos!$C$6="Normal",NORMINV(C937,Supuestos!$D$6,Supuestos!$E$6),IF(Supuestos!$C$6="Triangular",IF(C937&lt;(Supuestos!$E$6-Supuestos!$D$6)/(Supuestos!$F$6-Supuestos!$D$6),Supuestos!$D$6+SQRT(C937*(Supuestos!$F$6-Supuestos!$D$6)*(Supuestos!$E$6-Supuestos!$D$6)),Supuestos!$F$6-SQRT((1-C937)*(Supuestos!$F$6-Supuestos!$D$6)*(Supuestos!$F$6-Supuestos!$E$6))),IF(Supuestos!$C$6="Uniforme",Supuestos!$D$6+C937*(Supuestos!$E$6-Supuestos!$D$6),IF(Supuestos!$C$6="Lognormal",LOGINV(C937,LN(Supuestos!$D$6)-LN(1+Supuestos!$E$6^2/Supuestos!$D$6^2)/2,SQRT(LN(1+Supuestos!$E$6^2/Supuestos!$D$6^2))),Supuestos!$D$6))))))</f>
        <v/>
      </c>
      <c r="K937" s="32">
        <f>MIN(IF(Supuestos!$H$7="",1E+99,Supuestos!$H$7),MAX(IF(Supuestos!$G$7="",-1E+99,Supuestos!$G$7),IF(Supuestos!$C$7="Normal",NORMINV(D937,Supuestos!$D$7,Supuestos!$E$7),IF(Supuestos!$C$7="Triangular",IF(D937&lt;(Supuestos!$E$7-Supuestos!$D$7)/(Supuestos!$F$7-Supuestos!$D$7),Supuestos!$D$7+SQRT(D937*(Supuestos!$F$7-Supuestos!$D$7)*(Supuestos!$E$7-Supuestos!$D$7)),Supuestos!$F$7-SQRT((1-D937)*(Supuestos!$F$7-Supuestos!$D$7)*(Supuestos!$F$7-Supuestos!$E$7))),IF(Supuestos!$C$7="Uniforme",Supuestos!$D$7+D937*(Supuestos!$E$7-Supuestos!$D$7),IF(Supuestos!$C$7="Lognormal",LOGINV(D937,LN(Supuestos!$D$7)-LN(1+Supuestos!$E$7^2/Supuestos!$D$7^2)/2,SQRT(LN(1+Supuestos!$E$7^2/Supuestos!$D$7^2))),Supuestos!$D$7))))))</f>
        <v/>
      </c>
      <c r="L937" s="32">
        <f>MIN(IF(Supuestos!$H$8="",1E+99,Supuestos!$H$8),MAX(IF(Supuestos!$G$8="",-1E+99,Supuestos!$G$8),IF(Supuestos!$C$8="Normal",NORMINV(E937,Supuestos!$D$8,Supuestos!$E$8),IF(Supuestos!$C$8="Triangular",IF(E937&lt;(Supuestos!$E$8-Supuestos!$D$8)/(Supuestos!$F$8-Supuestos!$D$8),Supuestos!$D$8+SQRT(E937*(Supuestos!$F$8-Supuestos!$D$8)*(Supuestos!$E$8-Supuestos!$D$8)),Supuestos!$F$8-SQRT((1-E937)*(Supuestos!$F$8-Supuestos!$D$8)*(Supuestos!$F$8-Supuestos!$E$8))),IF(Supuestos!$C$8="Uniforme",Supuestos!$D$8+E937*(Supuestos!$E$8-Supuestos!$D$8),IF(Supuestos!$C$8="Lognormal",LOGINV(E937,LN(Supuestos!$D$8)-LN(1+Supuestos!$E$8^2/Supuestos!$D$8^2)/2,SQRT(LN(1+Supuestos!$E$8^2/Supuestos!$D$8^2))),Supuestos!$D$8))))))</f>
        <v/>
      </c>
      <c r="M937" s="32">
        <f>MIN(IF(Supuestos!$H$9="",1E+99,Supuestos!$H$9),MAX(IF(Supuestos!$G$9="",-1E+99,Supuestos!$G$9),IF(Supuestos!$C$9="Normal",NORMINV(F937,Supuestos!$D$9,Supuestos!$E$9),IF(Supuestos!$C$9="Triangular",IF(F937&lt;(Supuestos!$E$9-Supuestos!$D$9)/(Supuestos!$F$9-Supuestos!$D$9),Supuestos!$D$9+SQRT(F937*(Supuestos!$F$9-Supuestos!$D$9)*(Supuestos!$E$9-Supuestos!$D$9)),Supuestos!$F$9-SQRT((1-F937)*(Supuestos!$F$9-Supuestos!$D$9)*(Supuestos!$F$9-Supuestos!$E$9))),IF(Supuestos!$C$9="Uniforme",Supuestos!$D$9+F937*(Supuestos!$E$9-Supuestos!$D$9),IF(Supuestos!$C$9="Lognormal",LOGINV(F937,LN(Supuestos!$D$9)-LN(1+Supuestos!$E$9^2/Supuestos!$D$9^2)/2,SQRT(LN(1+Supuestos!$E$9^2/Supuestos!$D$9^2))),Supuestos!$D$9))))))</f>
        <v/>
      </c>
      <c r="N937" s="32">
        <f>MIN(IF(Supuestos!$H$10="",1E+99,Supuestos!$H$10),MAX(IF(Supuestos!$G$10="",-1E+99,Supuestos!$G$10),IF(Supuestos!$C$10="Normal",NORMINV(G937,Supuestos!$D$10,Supuestos!$E$10),IF(Supuestos!$C$10="Triangular",IF(G937&lt;(Supuestos!$E$10-Supuestos!$D$10)/(Supuestos!$F$10-Supuestos!$D$10),Supuestos!$D$10+SQRT(G937*(Supuestos!$F$10-Supuestos!$D$10)*(Supuestos!$E$10-Supuestos!$D$10)),Supuestos!$F$10-SQRT((1-G937)*(Supuestos!$F$10-Supuestos!$D$10)*(Supuestos!$F$10-Supuestos!$E$10))),IF(Supuestos!$C$10="Uniforme",Supuestos!$D$10+G937*(Supuestos!$E$10-Supuestos!$D$10),IF(Supuestos!$C$10="Lognormal",LOGINV(G937,LN(Supuestos!$D$10)-LN(1+Supuestos!$E$10^2/Supuestos!$D$10^2)/2,SQRT(LN(1+Supuestos!$E$10^2/Supuestos!$D$10^2))),Supuestos!$D$10))))))</f>
        <v/>
      </c>
      <c r="O937" s="31">
        <f>MIN(IF(Supuestos!$H$11="",1E+99,Supuestos!$H$11),MAX(IF(Supuestos!$G$11="",-1E+99,Supuestos!$G$11),IF(Supuestos!$C$11="Normal",NORMINV(H937,Supuestos!$D$11,Supuestos!$E$11),IF(Supuestos!$C$11="Triangular",IF(H937&lt;(Supuestos!$E$11-Supuestos!$D$11)/(Supuestos!$F$11-Supuestos!$D$11),Supuestos!$D$11+SQRT(H937*(Supuestos!$F$11-Supuestos!$D$11)*(Supuestos!$E$11-Supuestos!$D$11)),Supuestos!$F$11-SQRT((1-H937)*(Supuestos!$F$11-Supuestos!$D$11)*(Supuestos!$F$11-Supuestos!$E$11))),IF(Supuestos!$C$11="Uniforme",Supuestos!$D$11+H937*(Supuestos!$E$11-Supuestos!$D$11),IF(Supuestos!$C$11="Lognormal",LOGINV(H937,LN(Supuestos!$D$11)-LN(1+Supuestos!$E$11^2/Supuestos!$D$11^2)/2,SQRT(LN(1+Supuestos!$E$11^2/Supuestos!$D$11^2))),Supuestos!$D$11))))))</f>
        <v/>
      </c>
      <c r="P937" s="33">
        <f>-I937</f>
        <v/>
      </c>
      <c r="Q937" s="33">
        <f>$J937*(1+$K937)^(1-1)*(1-$L937)*(1-$M937)</f>
        <v/>
      </c>
      <c r="R937" s="33">
        <f>$J937*(1+$K937)^(2-1)*(1-$L937)*(1-$M937)</f>
        <v/>
      </c>
      <c r="S937" s="33">
        <f>$J937*(1+$K937)^(3-1)*(1-$L937)*(1-$M937)</f>
        <v/>
      </c>
      <c r="T937" s="33">
        <f>$J937*(1+$K937)^(4-1)*(1-$L937)*(1-$M937)</f>
        <v/>
      </c>
      <c r="U937" s="33">
        <f>$J937*(1+$K937)^(5-1)*(1-$L937)*(1-$M937)+$O937</f>
        <v/>
      </c>
      <c r="V937" s="33">
        <f>P937+NPV($N937,Q937:U937)</f>
        <v/>
      </c>
      <c r="W937" s="32">
        <f>IFERROR(IRR(P937:U937,0.1),"")</f>
        <v/>
      </c>
    </row>
    <row r="938">
      <c r="A938" s="14" t="n">
        <v>934</v>
      </c>
      <c r="B938" s="30">
        <f>RAND()*(1-2E-6)+1E-6</f>
        <v/>
      </c>
      <c r="C938" s="30">
        <f>RAND()*(1-2E-6)+1E-6</f>
        <v/>
      </c>
      <c r="D938" s="30">
        <f>RAND()*(1-2E-6)+1E-6</f>
        <v/>
      </c>
      <c r="E938" s="30">
        <f>RAND()*(1-2E-6)+1E-6</f>
        <v/>
      </c>
      <c r="F938" s="30">
        <f>RAND()*(1-2E-6)+1E-6</f>
        <v/>
      </c>
      <c r="G938" s="30">
        <f>RAND()*(1-2E-6)+1E-6</f>
        <v/>
      </c>
      <c r="H938" s="30">
        <f>RAND()*(1-2E-6)+1E-6</f>
        <v/>
      </c>
      <c r="I938" s="31">
        <f>MIN(IF(Supuestos!$H$5="",1E+99,Supuestos!$H$5),MAX(IF(Supuestos!$G$5="",-1E+99,Supuestos!$G$5),IF(Supuestos!$C$5="Normal",NORMINV(B938,Supuestos!$D$5,Supuestos!$E$5),IF(Supuestos!$C$5="Triangular",IF(B938&lt;(Supuestos!$E$5-Supuestos!$D$5)/(Supuestos!$F$5-Supuestos!$D$5),Supuestos!$D$5+SQRT(B938*(Supuestos!$F$5-Supuestos!$D$5)*(Supuestos!$E$5-Supuestos!$D$5)),Supuestos!$F$5-SQRT((1-B938)*(Supuestos!$F$5-Supuestos!$D$5)*(Supuestos!$F$5-Supuestos!$E$5))),IF(Supuestos!$C$5="Uniforme",Supuestos!$D$5+B938*(Supuestos!$E$5-Supuestos!$D$5),IF(Supuestos!$C$5="Lognormal",LOGINV(B938,LN(Supuestos!$D$5)-LN(1+Supuestos!$E$5^2/Supuestos!$D$5^2)/2,SQRT(LN(1+Supuestos!$E$5^2/Supuestos!$D$5^2))),Supuestos!$D$5))))))</f>
        <v/>
      </c>
      <c r="J938" s="31">
        <f>MIN(IF(Supuestos!$H$6="",1E+99,Supuestos!$H$6),MAX(IF(Supuestos!$G$6="",-1E+99,Supuestos!$G$6),IF(Supuestos!$C$6="Normal",NORMINV(C938,Supuestos!$D$6,Supuestos!$E$6),IF(Supuestos!$C$6="Triangular",IF(C938&lt;(Supuestos!$E$6-Supuestos!$D$6)/(Supuestos!$F$6-Supuestos!$D$6),Supuestos!$D$6+SQRT(C938*(Supuestos!$F$6-Supuestos!$D$6)*(Supuestos!$E$6-Supuestos!$D$6)),Supuestos!$F$6-SQRT((1-C938)*(Supuestos!$F$6-Supuestos!$D$6)*(Supuestos!$F$6-Supuestos!$E$6))),IF(Supuestos!$C$6="Uniforme",Supuestos!$D$6+C938*(Supuestos!$E$6-Supuestos!$D$6),IF(Supuestos!$C$6="Lognormal",LOGINV(C938,LN(Supuestos!$D$6)-LN(1+Supuestos!$E$6^2/Supuestos!$D$6^2)/2,SQRT(LN(1+Supuestos!$E$6^2/Supuestos!$D$6^2))),Supuestos!$D$6))))))</f>
        <v/>
      </c>
      <c r="K938" s="32">
        <f>MIN(IF(Supuestos!$H$7="",1E+99,Supuestos!$H$7),MAX(IF(Supuestos!$G$7="",-1E+99,Supuestos!$G$7),IF(Supuestos!$C$7="Normal",NORMINV(D938,Supuestos!$D$7,Supuestos!$E$7),IF(Supuestos!$C$7="Triangular",IF(D938&lt;(Supuestos!$E$7-Supuestos!$D$7)/(Supuestos!$F$7-Supuestos!$D$7),Supuestos!$D$7+SQRT(D938*(Supuestos!$F$7-Supuestos!$D$7)*(Supuestos!$E$7-Supuestos!$D$7)),Supuestos!$F$7-SQRT((1-D938)*(Supuestos!$F$7-Supuestos!$D$7)*(Supuestos!$F$7-Supuestos!$E$7))),IF(Supuestos!$C$7="Uniforme",Supuestos!$D$7+D938*(Supuestos!$E$7-Supuestos!$D$7),IF(Supuestos!$C$7="Lognormal",LOGINV(D938,LN(Supuestos!$D$7)-LN(1+Supuestos!$E$7^2/Supuestos!$D$7^2)/2,SQRT(LN(1+Supuestos!$E$7^2/Supuestos!$D$7^2))),Supuestos!$D$7))))))</f>
        <v/>
      </c>
      <c r="L938" s="32">
        <f>MIN(IF(Supuestos!$H$8="",1E+99,Supuestos!$H$8),MAX(IF(Supuestos!$G$8="",-1E+99,Supuestos!$G$8),IF(Supuestos!$C$8="Normal",NORMINV(E938,Supuestos!$D$8,Supuestos!$E$8),IF(Supuestos!$C$8="Triangular",IF(E938&lt;(Supuestos!$E$8-Supuestos!$D$8)/(Supuestos!$F$8-Supuestos!$D$8),Supuestos!$D$8+SQRT(E938*(Supuestos!$F$8-Supuestos!$D$8)*(Supuestos!$E$8-Supuestos!$D$8)),Supuestos!$F$8-SQRT((1-E938)*(Supuestos!$F$8-Supuestos!$D$8)*(Supuestos!$F$8-Supuestos!$E$8))),IF(Supuestos!$C$8="Uniforme",Supuestos!$D$8+E938*(Supuestos!$E$8-Supuestos!$D$8),IF(Supuestos!$C$8="Lognormal",LOGINV(E938,LN(Supuestos!$D$8)-LN(1+Supuestos!$E$8^2/Supuestos!$D$8^2)/2,SQRT(LN(1+Supuestos!$E$8^2/Supuestos!$D$8^2))),Supuestos!$D$8))))))</f>
        <v/>
      </c>
      <c r="M938" s="32">
        <f>MIN(IF(Supuestos!$H$9="",1E+99,Supuestos!$H$9),MAX(IF(Supuestos!$G$9="",-1E+99,Supuestos!$G$9),IF(Supuestos!$C$9="Normal",NORMINV(F938,Supuestos!$D$9,Supuestos!$E$9),IF(Supuestos!$C$9="Triangular",IF(F938&lt;(Supuestos!$E$9-Supuestos!$D$9)/(Supuestos!$F$9-Supuestos!$D$9),Supuestos!$D$9+SQRT(F938*(Supuestos!$F$9-Supuestos!$D$9)*(Supuestos!$E$9-Supuestos!$D$9)),Supuestos!$F$9-SQRT((1-F938)*(Supuestos!$F$9-Supuestos!$D$9)*(Supuestos!$F$9-Supuestos!$E$9))),IF(Supuestos!$C$9="Uniforme",Supuestos!$D$9+F938*(Supuestos!$E$9-Supuestos!$D$9),IF(Supuestos!$C$9="Lognormal",LOGINV(F938,LN(Supuestos!$D$9)-LN(1+Supuestos!$E$9^2/Supuestos!$D$9^2)/2,SQRT(LN(1+Supuestos!$E$9^2/Supuestos!$D$9^2))),Supuestos!$D$9))))))</f>
        <v/>
      </c>
      <c r="N938" s="32">
        <f>MIN(IF(Supuestos!$H$10="",1E+99,Supuestos!$H$10),MAX(IF(Supuestos!$G$10="",-1E+99,Supuestos!$G$10),IF(Supuestos!$C$10="Normal",NORMINV(G938,Supuestos!$D$10,Supuestos!$E$10),IF(Supuestos!$C$10="Triangular",IF(G938&lt;(Supuestos!$E$10-Supuestos!$D$10)/(Supuestos!$F$10-Supuestos!$D$10),Supuestos!$D$10+SQRT(G938*(Supuestos!$F$10-Supuestos!$D$10)*(Supuestos!$E$10-Supuestos!$D$10)),Supuestos!$F$10-SQRT((1-G938)*(Supuestos!$F$10-Supuestos!$D$10)*(Supuestos!$F$10-Supuestos!$E$10))),IF(Supuestos!$C$10="Uniforme",Supuestos!$D$10+G938*(Supuestos!$E$10-Supuestos!$D$10),IF(Supuestos!$C$10="Lognormal",LOGINV(G938,LN(Supuestos!$D$10)-LN(1+Supuestos!$E$10^2/Supuestos!$D$10^2)/2,SQRT(LN(1+Supuestos!$E$10^2/Supuestos!$D$10^2))),Supuestos!$D$10))))))</f>
        <v/>
      </c>
      <c r="O938" s="31">
        <f>MIN(IF(Supuestos!$H$11="",1E+99,Supuestos!$H$11),MAX(IF(Supuestos!$G$11="",-1E+99,Supuestos!$G$11),IF(Supuestos!$C$11="Normal",NORMINV(H938,Supuestos!$D$11,Supuestos!$E$11),IF(Supuestos!$C$11="Triangular",IF(H938&lt;(Supuestos!$E$11-Supuestos!$D$11)/(Supuestos!$F$11-Supuestos!$D$11),Supuestos!$D$11+SQRT(H938*(Supuestos!$F$11-Supuestos!$D$11)*(Supuestos!$E$11-Supuestos!$D$11)),Supuestos!$F$11-SQRT((1-H938)*(Supuestos!$F$11-Supuestos!$D$11)*(Supuestos!$F$11-Supuestos!$E$11))),IF(Supuestos!$C$11="Uniforme",Supuestos!$D$11+H938*(Supuestos!$E$11-Supuestos!$D$11),IF(Supuestos!$C$11="Lognormal",LOGINV(H938,LN(Supuestos!$D$11)-LN(1+Supuestos!$E$11^2/Supuestos!$D$11^2)/2,SQRT(LN(1+Supuestos!$E$11^2/Supuestos!$D$11^2))),Supuestos!$D$11))))))</f>
        <v/>
      </c>
      <c r="P938" s="33">
        <f>-I938</f>
        <v/>
      </c>
      <c r="Q938" s="33">
        <f>$J938*(1+$K938)^(1-1)*(1-$L938)*(1-$M938)</f>
        <v/>
      </c>
      <c r="R938" s="33">
        <f>$J938*(1+$K938)^(2-1)*(1-$L938)*(1-$M938)</f>
        <v/>
      </c>
      <c r="S938" s="33">
        <f>$J938*(1+$K938)^(3-1)*(1-$L938)*(1-$M938)</f>
        <v/>
      </c>
      <c r="T938" s="33">
        <f>$J938*(1+$K938)^(4-1)*(1-$L938)*(1-$M938)</f>
        <v/>
      </c>
      <c r="U938" s="33">
        <f>$J938*(1+$K938)^(5-1)*(1-$L938)*(1-$M938)+$O938</f>
        <v/>
      </c>
      <c r="V938" s="33">
        <f>P938+NPV($N938,Q938:U938)</f>
        <v/>
      </c>
      <c r="W938" s="32">
        <f>IFERROR(IRR(P938:U938,0.1),"")</f>
        <v/>
      </c>
    </row>
    <row r="939">
      <c r="A939" s="14" t="n">
        <v>935</v>
      </c>
      <c r="B939" s="30">
        <f>RAND()*(1-2E-6)+1E-6</f>
        <v/>
      </c>
      <c r="C939" s="30">
        <f>RAND()*(1-2E-6)+1E-6</f>
        <v/>
      </c>
      <c r="D939" s="30">
        <f>RAND()*(1-2E-6)+1E-6</f>
        <v/>
      </c>
      <c r="E939" s="30">
        <f>RAND()*(1-2E-6)+1E-6</f>
        <v/>
      </c>
      <c r="F939" s="30">
        <f>RAND()*(1-2E-6)+1E-6</f>
        <v/>
      </c>
      <c r="G939" s="30">
        <f>RAND()*(1-2E-6)+1E-6</f>
        <v/>
      </c>
      <c r="H939" s="30">
        <f>RAND()*(1-2E-6)+1E-6</f>
        <v/>
      </c>
      <c r="I939" s="31">
        <f>MIN(IF(Supuestos!$H$5="",1E+99,Supuestos!$H$5),MAX(IF(Supuestos!$G$5="",-1E+99,Supuestos!$G$5),IF(Supuestos!$C$5="Normal",NORMINV(B939,Supuestos!$D$5,Supuestos!$E$5),IF(Supuestos!$C$5="Triangular",IF(B939&lt;(Supuestos!$E$5-Supuestos!$D$5)/(Supuestos!$F$5-Supuestos!$D$5),Supuestos!$D$5+SQRT(B939*(Supuestos!$F$5-Supuestos!$D$5)*(Supuestos!$E$5-Supuestos!$D$5)),Supuestos!$F$5-SQRT((1-B939)*(Supuestos!$F$5-Supuestos!$D$5)*(Supuestos!$F$5-Supuestos!$E$5))),IF(Supuestos!$C$5="Uniforme",Supuestos!$D$5+B939*(Supuestos!$E$5-Supuestos!$D$5),IF(Supuestos!$C$5="Lognormal",LOGINV(B939,LN(Supuestos!$D$5)-LN(1+Supuestos!$E$5^2/Supuestos!$D$5^2)/2,SQRT(LN(1+Supuestos!$E$5^2/Supuestos!$D$5^2))),Supuestos!$D$5))))))</f>
        <v/>
      </c>
      <c r="J939" s="31">
        <f>MIN(IF(Supuestos!$H$6="",1E+99,Supuestos!$H$6),MAX(IF(Supuestos!$G$6="",-1E+99,Supuestos!$G$6),IF(Supuestos!$C$6="Normal",NORMINV(C939,Supuestos!$D$6,Supuestos!$E$6),IF(Supuestos!$C$6="Triangular",IF(C939&lt;(Supuestos!$E$6-Supuestos!$D$6)/(Supuestos!$F$6-Supuestos!$D$6),Supuestos!$D$6+SQRT(C939*(Supuestos!$F$6-Supuestos!$D$6)*(Supuestos!$E$6-Supuestos!$D$6)),Supuestos!$F$6-SQRT((1-C939)*(Supuestos!$F$6-Supuestos!$D$6)*(Supuestos!$F$6-Supuestos!$E$6))),IF(Supuestos!$C$6="Uniforme",Supuestos!$D$6+C939*(Supuestos!$E$6-Supuestos!$D$6),IF(Supuestos!$C$6="Lognormal",LOGINV(C939,LN(Supuestos!$D$6)-LN(1+Supuestos!$E$6^2/Supuestos!$D$6^2)/2,SQRT(LN(1+Supuestos!$E$6^2/Supuestos!$D$6^2))),Supuestos!$D$6))))))</f>
        <v/>
      </c>
      <c r="K939" s="32">
        <f>MIN(IF(Supuestos!$H$7="",1E+99,Supuestos!$H$7),MAX(IF(Supuestos!$G$7="",-1E+99,Supuestos!$G$7),IF(Supuestos!$C$7="Normal",NORMINV(D939,Supuestos!$D$7,Supuestos!$E$7),IF(Supuestos!$C$7="Triangular",IF(D939&lt;(Supuestos!$E$7-Supuestos!$D$7)/(Supuestos!$F$7-Supuestos!$D$7),Supuestos!$D$7+SQRT(D939*(Supuestos!$F$7-Supuestos!$D$7)*(Supuestos!$E$7-Supuestos!$D$7)),Supuestos!$F$7-SQRT((1-D939)*(Supuestos!$F$7-Supuestos!$D$7)*(Supuestos!$F$7-Supuestos!$E$7))),IF(Supuestos!$C$7="Uniforme",Supuestos!$D$7+D939*(Supuestos!$E$7-Supuestos!$D$7),IF(Supuestos!$C$7="Lognormal",LOGINV(D939,LN(Supuestos!$D$7)-LN(1+Supuestos!$E$7^2/Supuestos!$D$7^2)/2,SQRT(LN(1+Supuestos!$E$7^2/Supuestos!$D$7^2))),Supuestos!$D$7))))))</f>
        <v/>
      </c>
      <c r="L939" s="32">
        <f>MIN(IF(Supuestos!$H$8="",1E+99,Supuestos!$H$8),MAX(IF(Supuestos!$G$8="",-1E+99,Supuestos!$G$8),IF(Supuestos!$C$8="Normal",NORMINV(E939,Supuestos!$D$8,Supuestos!$E$8),IF(Supuestos!$C$8="Triangular",IF(E939&lt;(Supuestos!$E$8-Supuestos!$D$8)/(Supuestos!$F$8-Supuestos!$D$8),Supuestos!$D$8+SQRT(E939*(Supuestos!$F$8-Supuestos!$D$8)*(Supuestos!$E$8-Supuestos!$D$8)),Supuestos!$F$8-SQRT((1-E939)*(Supuestos!$F$8-Supuestos!$D$8)*(Supuestos!$F$8-Supuestos!$E$8))),IF(Supuestos!$C$8="Uniforme",Supuestos!$D$8+E939*(Supuestos!$E$8-Supuestos!$D$8),IF(Supuestos!$C$8="Lognormal",LOGINV(E939,LN(Supuestos!$D$8)-LN(1+Supuestos!$E$8^2/Supuestos!$D$8^2)/2,SQRT(LN(1+Supuestos!$E$8^2/Supuestos!$D$8^2))),Supuestos!$D$8))))))</f>
        <v/>
      </c>
      <c r="M939" s="32">
        <f>MIN(IF(Supuestos!$H$9="",1E+99,Supuestos!$H$9),MAX(IF(Supuestos!$G$9="",-1E+99,Supuestos!$G$9),IF(Supuestos!$C$9="Normal",NORMINV(F939,Supuestos!$D$9,Supuestos!$E$9),IF(Supuestos!$C$9="Triangular",IF(F939&lt;(Supuestos!$E$9-Supuestos!$D$9)/(Supuestos!$F$9-Supuestos!$D$9),Supuestos!$D$9+SQRT(F939*(Supuestos!$F$9-Supuestos!$D$9)*(Supuestos!$E$9-Supuestos!$D$9)),Supuestos!$F$9-SQRT((1-F939)*(Supuestos!$F$9-Supuestos!$D$9)*(Supuestos!$F$9-Supuestos!$E$9))),IF(Supuestos!$C$9="Uniforme",Supuestos!$D$9+F939*(Supuestos!$E$9-Supuestos!$D$9),IF(Supuestos!$C$9="Lognormal",LOGINV(F939,LN(Supuestos!$D$9)-LN(1+Supuestos!$E$9^2/Supuestos!$D$9^2)/2,SQRT(LN(1+Supuestos!$E$9^2/Supuestos!$D$9^2))),Supuestos!$D$9))))))</f>
        <v/>
      </c>
      <c r="N939" s="32">
        <f>MIN(IF(Supuestos!$H$10="",1E+99,Supuestos!$H$10),MAX(IF(Supuestos!$G$10="",-1E+99,Supuestos!$G$10),IF(Supuestos!$C$10="Normal",NORMINV(G939,Supuestos!$D$10,Supuestos!$E$10),IF(Supuestos!$C$10="Triangular",IF(G939&lt;(Supuestos!$E$10-Supuestos!$D$10)/(Supuestos!$F$10-Supuestos!$D$10),Supuestos!$D$10+SQRT(G939*(Supuestos!$F$10-Supuestos!$D$10)*(Supuestos!$E$10-Supuestos!$D$10)),Supuestos!$F$10-SQRT((1-G939)*(Supuestos!$F$10-Supuestos!$D$10)*(Supuestos!$F$10-Supuestos!$E$10))),IF(Supuestos!$C$10="Uniforme",Supuestos!$D$10+G939*(Supuestos!$E$10-Supuestos!$D$10),IF(Supuestos!$C$10="Lognormal",LOGINV(G939,LN(Supuestos!$D$10)-LN(1+Supuestos!$E$10^2/Supuestos!$D$10^2)/2,SQRT(LN(1+Supuestos!$E$10^2/Supuestos!$D$10^2))),Supuestos!$D$10))))))</f>
        <v/>
      </c>
      <c r="O939" s="31">
        <f>MIN(IF(Supuestos!$H$11="",1E+99,Supuestos!$H$11),MAX(IF(Supuestos!$G$11="",-1E+99,Supuestos!$G$11),IF(Supuestos!$C$11="Normal",NORMINV(H939,Supuestos!$D$11,Supuestos!$E$11),IF(Supuestos!$C$11="Triangular",IF(H939&lt;(Supuestos!$E$11-Supuestos!$D$11)/(Supuestos!$F$11-Supuestos!$D$11),Supuestos!$D$11+SQRT(H939*(Supuestos!$F$11-Supuestos!$D$11)*(Supuestos!$E$11-Supuestos!$D$11)),Supuestos!$F$11-SQRT((1-H939)*(Supuestos!$F$11-Supuestos!$D$11)*(Supuestos!$F$11-Supuestos!$E$11))),IF(Supuestos!$C$11="Uniforme",Supuestos!$D$11+H939*(Supuestos!$E$11-Supuestos!$D$11),IF(Supuestos!$C$11="Lognormal",LOGINV(H939,LN(Supuestos!$D$11)-LN(1+Supuestos!$E$11^2/Supuestos!$D$11^2)/2,SQRT(LN(1+Supuestos!$E$11^2/Supuestos!$D$11^2))),Supuestos!$D$11))))))</f>
        <v/>
      </c>
      <c r="P939" s="33">
        <f>-I939</f>
        <v/>
      </c>
      <c r="Q939" s="33">
        <f>$J939*(1+$K939)^(1-1)*(1-$L939)*(1-$M939)</f>
        <v/>
      </c>
      <c r="R939" s="33">
        <f>$J939*(1+$K939)^(2-1)*(1-$L939)*(1-$M939)</f>
        <v/>
      </c>
      <c r="S939" s="33">
        <f>$J939*(1+$K939)^(3-1)*(1-$L939)*(1-$M939)</f>
        <v/>
      </c>
      <c r="T939" s="33">
        <f>$J939*(1+$K939)^(4-1)*(1-$L939)*(1-$M939)</f>
        <v/>
      </c>
      <c r="U939" s="33">
        <f>$J939*(1+$K939)^(5-1)*(1-$L939)*(1-$M939)+$O939</f>
        <v/>
      </c>
      <c r="V939" s="33">
        <f>P939+NPV($N939,Q939:U939)</f>
        <v/>
      </c>
      <c r="W939" s="32">
        <f>IFERROR(IRR(P939:U939,0.1),"")</f>
        <v/>
      </c>
    </row>
    <row r="940">
      <c r="A940" s="14" t="n">
        <v>936</v>
      </c>
      <c r="B940" s="30">
        <f>RAND()*(1-2E-6)+1E-6</f>
        <v/>
      </c>
      <c r="C940" s="30">
        <f>RAND()*(1-2E-6)+1E-6</f>
        <v/>
      </c>
      <c r="D940" s="30">
        <f>RAND()*(1-2E-6)+1E-6</f>
        <v/>
      </c>
      <c r="E940" s="30">
        <f>RAND()*(1-2E-6)+1E-6</f>
        <v/>
      </c>
      <c r="F940" s="30">
        <f>RAND()*(1-2E-6)+1E-6</f>
        <v/>
      </c>
      <c r="G940" s="30">
        <f>RAND()*(1-2E-6)+1E-6</f>
        <v/>
      </c>
      <c r="H940" s="30">
        <f>RAND()*(1-2E-6)+1E-6</f>
        <v/>
      </c>
      <c r="I940" s="31">
        <f>MIN(IF(Supuestos!$H$5="",1E+99,Supuestos!$H$5),MAX(IF(Supuestos!$G$5="",-1E+99,Supuestos!$G$5),IF(Supuestos!$C$5="Normal",NORMINV(B940,Supuestos!$D$5,Supuestos!$E$5),IF(Supuestos!$C$5="Triangular",IF(B940&lt;(Supuestos!$E$5-Supuestos!$D$5)/(Supuestos!$F$5-Supuestos!$D$5),Supuestos!$D$5+SQRT(B940*(Supuestos!$F$5-Supuestos!$D$5)*(Supuestos!$E$5-Supuestos!$D$5)),Supuestos!$F$5-SQRT((1-B940)*(Supuestos!$F$5-Supuestos!$D$5)*(Supuestos!$F$5-Supuestos!$E$5))),IF(Supuestos!$C$5="Uniforme",Supuestos!$D$5+B940*(Supuestos!$E$5-Supuestos!$D$5),IF(Supuestos!$C$5="Lognormal",LOGINV(B940,LN(Supuestos!$D$5)-LN(1+Supuestos!$E$5^2/Supuestos!$D$5^2)/2,SQRT(LN(1+Supuestos!$E$5^2/Supuestos!$D$5^2))),Supuestos!$D$5))))))</f>
        <v/>
      </c>
      <c r="J940" s="31">
        <f>MIN(IF(Supuestos!$H$6="",1E+99,Supuestos!$H$6),MAX(IF(Supuestos!$G$6="",-1E+99,Supuestos!$G$6),IF(Supuestos!$C$6="Normal",NORMINV(C940,Supuestos!$D$6,Supuestos!$E$6),IF(Supuestos!$C$6="Triangular",IF(C940&lt;(Supuestos!$E$6-Supuestos!$D$6)/(Supuestos!$F$6-Supuestos!$D$6),Supuestos!$D$6+SQRT(C940*(Supuestos!$F$6-Supuestos!$D$6)*(Supuestos!$E$6-Supuestos!$D$6)),Supuestos!$F$6-SQRT((1-C940)*(Supuestos!$F$6-Supuestos!$D$6)*(Supuestos!$F$6-Supuestos!$E$6))),IF(Supuestos!$C$6="Uniforme",Supuestos!$D$6+C940*(Supuestos!$E$6-Supuestos!$D$6),IF(Supuestos!$C$6="Lognormal",LOGINV(C940,LN(Supuestos!$D$6)-LN(1+Supuestos!$E$6^2/Supuestos!$D$6^2)/2,SQRT(LN(1+Supuestos!$E$6^2/Supuestos!$D$6^2))),Supuestos!$D$6))))))</f>
        <v/>
      </c>
      <c r="K940" s="32">
        <f>MIN(IF(Supuestos!$H$7="",1E+99,Supuestos!$H$7),MAX(IF(Supuestos!$G$7="",-1E+99,Supuestos!$G$7),IF(Supuestos!$C$7="Normal",NORMINV(D940,Supuestos!$D$7,Supuestos!$E$7),IF(Supuestos!$C$7="Triangular",IF(D940&lt;(Supuestos!$E$7-Supuestos!$D$7)/(Supuestos!$F$7-Supuestos!$D$7),Supuestos!$D$7+SQRT(D940*(Supuestos!$F$7-Supuestos!$D$7)*(Supuestos!$E$7-Supuestos!$D$7)),Supuestos!$F$7-SQRT((1-D940)*(Supuestos!$F$7-Supuestos!$D$7)*(Supuestos!$F$7-Supuestos!$E$7))),IF(Supuestos!$C$7="Uniforme",Supuestos!$D$7+D940*(Supuestos!$E$7-Supuestos!$D$7),IF(Supuestos!$C$7="Lognormal",LOGINV(D940,LN(Supuestos!$D$7)-LN(1+Supuestos!$E$7^2/Supuestos!$D$7^2)/2,SQRT(LN(1+Supuestos!$E$7^2/Supuestos!$D$7^2))),Supuestos!$D$7))))))</f>
        <v/>
      </c>
      <c r="L940" s="32">
        <f>MIN(IF(Supuestos!$H$8="",1E+99,Supuestos!$H$8),MAX(IF(Supuestos!$G$8="",-1E+99,Supuestos!$G$8),IF(Supuestos!$C$8="Normal",NORMINV(E940,Supuestos!$D$8,Supuestos!$E$8),IF(Supuestos!$C$8="Triangular",IF(E940&lt;(Supuestos!$E$8-Supuestos!$D$8)/(Supuestos!$F$8-Supuestos!$D$8),Supuestos!$D$8+SQRT(E940*(Supuestos!$F$8-Supuestos!$D$8)*(Supuestos!$E$8-Supuestos!$D$8)),Supuestos!$F$8-SQRT((1-E940)*(Supuestos!$F$8-Supuestos!$D$8)*(Supuestos!$F$8-Supuestos!$E$8))),IF(Supuestos!$C$8="Uniforme",Supuestos!$D$8+E940*(Supuestos!$E$8-Supuestos!$D$8),IF(Supuestos!$C$8="Lognormal",LOGINV(E940,LN(Supuestos!$D$8)-LN(1+Supuestos!$E$8^2/Supuestos!$D$8^2)/2,SQRT(LN(1+Supuestos!$E$8^2/Supuestos!$D$8^2))),Supuestos!$D$8))))))</f>
        <v/>
      </c>
      <c r="M940" s="32">
        <f>MIN(IF(Supuestos!$H$9="",1E+99,Supuestos!$H$9),MAX(IF(Supuestos!$G$9="",-1E+99,Supuestos!$G$9),IF(Supuestos!$C$9="Normal",NORMINV(F940,Supuestos!$D$9,Supuestos!$E$9),IF(Supuestos!$C$9="Triangular",IF(F940&lt;(Supuestos!$E$9-Supuestos!$D$9)/(Supuestos!$F$9-Supuestos!$D$9),Supuestos!$D$9+SQRT(F940*(Supuestos!$F$9-Supuestos!$D$9)*(Supuestos!$E$9-Supuestos!$D$9)),Supuestos!$F$9-SQRT((1-F940)*(Supuestos!$F$9-Supuestos!$D$9)*(Supuestos!$F$9-Supuestos!$E$9))),IF(Supuestos!$C$9="Uniforme",Supuestos!$D$9+F940*(Supuestos!$E$9-Supuestos!$D$9),IF(Supuestos!$C$9="Lognormal",LOGINV(F940,LN(Supuestos!$D$9)-LN(1+Supuestos!$E$9^2/Supuestos!$D$9^2)/2,SQRT(LN(1+Supuestos!$E$9^2/Supuestos!$D$9^2))),Supuestos!$D$9))))))</f>
        <v/>
      </c>
      <c r="N940" s="32">
        <f>MIN(IF(Supuestos!$H$10="",1E+99,Supuestos!$H$10),MAX(IF(Supuestos!$G$10="",-1E+99,Supuestos!$G$10),IF(Supuestos!$C$10="Normal",NORMINV(G940,Supuestos!$D$10,Supuestos!$E$10),IF(Supuestos!$C$10="Triangular",IF(G940&lt;(Supuestos!$E$10-Supuestos!$D$10)/(Supuestos!$F$10-Supuestos!$D$10),Supuestos!$D$10+SQRT(G940*(Supuestos!$F$10-Supuestos!$D$10)*(Supuestos!$E$10-Supuestos!$D$10)),Supuestos!$F$10-SQRT((1-G940)*(Supuestos!$F$10-Supuestos!$D$10)*(Supuestos!$F$10-Supuestos!$E$10))),IF(Supuestos!$C$10="Uniforme",Supuestos!$D$10+G940*(Supuestos!$E$10-Supuestos!$D$10),IF(Supuestos!$C$10="Lognormal",LOGINV(G940,LN(Supuestos!$D$10)-LN(1+Supuestos!$E$10^2/Supuestos!$D$10^2)/2,SQRT(LN(1+Supuestos!$E$10^2/Supuestos!$D$10^2))),Supuestos!$D$10))))))</f>
        <v/>
      </c>
      <c r="O940" s="31">
        <f>MIN(IF(Supuestos!$H$11="",1E+99,Supuestos!$H$11),MAX(IF(Supuestos!$G$11="",-1E+99,Supuestos!$G$11),IF(Supuestos!$C$11="Normal",NORMINV(H940,Supuestos!$D$11,Supuestos!$E$11),IF(Supuestos!$C$11="Triangular",IF(H940&lt;(Supuestos!$E$11-Supuestos!$D$11)/(Supuestos!$F$11-Supuestos!$D$11),Supuestos!$D$11+SQRT(H940*(Supuestos!$F$11-Supuestos!$D$11)*(Supuestos!$E$11-Supuestos!$D$11)),Supuestos!$F$11-SQRT((1-H940)*(Supuestos!$F$11-Supuestos!$D$11)*(Supuestos!$F$11-Supuestos!$E$11))),IF(Supuestos!$C$11="Uniforme",Supuestos!$D$11+H940*(Supuestos!$E$11-Supuestos!$D$11),IF(Supuestos!$C$11="Lognormal",LOGINV(H940,LN(Supuestos!$D$11)-LN(1+Supuestos!$E$11^2/Supuestos!$D$11^2)/2,SQRT(LN(1+Supuestos!$E$11^2/Supuestos!$D$11^2))),Supuestos!$D$11))))))</f>
        <v/>
      </c>
      <c r="P940" s="33">
        <f>-I940</f>
        <v/>
      </c>
      <c r="Q940" s="33">
        <f>$J940*(1+$K940)^(1-1)*(1-$L940)*(1-$M940)</f>
        <v/>
      </c>
      <c r="R940" s="33">
        <f>$J940*(1+$K940)^(2-1)*(1-$L940)*(1-$M940)</f>
        <v/>
      </c>
      <c r="S940" s="33">
        <f>$J940*(1+$K940)^(3-1)*(1-$L940)*(1-$M940)</f>
        <v/>
      </c>
      <c r="T940" s="33">
        <f>$J940*(1+$K940)^(4-1)*(1-$L940)*(1-$M940)</f>
        <v/>
      </c>
      <c r="U940" s="33">
        <f>$J940*(1+$K940)^(5-1)*(1-$L940)*(1-$M940)+$O940</f>
        <v/>
      </c>
      <c r="V940" s="33">
        <f>P940+NPV($N940,Q940:U940)</f>
        <v/>
      </c>
      <c r="W940" s="32">
        <f>IFERROR(IRR(P940:U940,0.1),"")</f>
        <v/>
      </c>
    </row>
    <row r="941">
      <c r="A941" s="14" t="n">
        <v>937</v>
      </c>
      <c r="B941" s="30">
        <f>RAND()*(1-2E-6)+1E-6</f>
        <v/>
      </c>
      <c r="C941" s="30">
        <f>RAND()*(1-2E-6)+1E-6</f>
        <v/>
      </c>
      <c r="D941" s="30">
        <f>RAND()*(1-2E-6)+1E-6</f>
        <v/>
      </c>
      <c r="E941" s="30">
        <f>RAND()*(1-2E-6)+1E-6</f>
        <v/>
      </c>
      <c r="F941" s="30">
        <f>RAND()*(1-2E-6)+1E-6</f>
        <v/>
      </c>
      <c r="G941" s="30">
        <f>RAND()*(1-2E-6)+1E-6</f>
        <v/>
      </c>
      <c r="H941" s="30">
        <f>RAND()*(1-2E-6)+1E-6</f>
        <v/>
      </c>
      <c r="I941" s="31">
        <f>MIN(IF(Supuestos!$H$5="",1E+99,Supuestos!$H$5),MAX(IF(Supuestos!$G$5="",-1E+99,Supuestos!$G$5),IF(Supuestos!$C$5="Normal",NORMINV(B941,Supuestos!$D$5,Supuestos!$E$5),IF(Supuestos!$C$5="Triangular",IF(B941&lt;(Supuestos!$E$5-Supuestos!$D$5)/(Supuestos!$F$5-Supuestos!$D$5),Supuestos!$D$5+SQRT(B941*(Supuestos!$F$5-Supuestos!$D$5)*(Supuestos!$E$5-Supuestos!$D$5)),Supuestos!$F$5-SQRT((1-B941)*(Supuestos!$F$5-Supuestos!$D$5)*(Supuestos!$F$5-Supuestos!$E$5))),IF(Supuestos!$C$5="Uniforme",Supuestos!$D$5+B941*(Supuestos!$E$5-Supuestos!$D$5),IF(Supuestos!$C$5="Lognormal",LOGINV(B941,LN(Supuestos!$D$5)-LN(1+Supuestos!$E$5^2/Supuestos!$D$5^2)/2,SQRT(LN(1+Supuestos!$E$5^2/Supuestos!$D$5^2))),Supuestos!$D$5))))))</f>
        <v/>
      </c>
      <c r="J941" s="31">
        <f>MIN(IF(Supuestos!$H$6="",1E+99,Supuestos!$H$6),MAX(IF(Supuestos!$G$6="",-1E+99,Supuestos!$G$6),IF(Supuestos!$C$6="Normal",NORMINV(C941,Supuestos!$D$6,Supuestos!$E$6),IF(Supuestos!$C$6="Triangular",IF(C941&lt;(Supuestos!$E$6-Supuestos!$D$6)/(Supuestos!$F$6-Supuestos!$D$6),Supuestos!$D$6+SQRT(C941*(Supuestos!$F$6-Supuestos!$D$6)*(Supuestos!$E$6-Supuestos!$D$6)),Supuestos!$F$6-SQRT((1-C941)*(Supuestos!$F$6-Supuestos!$D$6)*(Supuestos!$F$6-Supuestos!$E$6))),IF(Supuestos!$C$6="Uniforme",Supuestos!$D$6+C941*(Supuestos!$E$6-Supuestos!$D$6),IF(Supuestos!$C$6="Lognormal",LOGINV(C941,LN(Supuestos!$D$6)-LN(1+Supuestos!$E$6^2/Supuestos!$D$6^2)/2,SQRT(LN(1+Supuestos!$E$6^2/Supuestos!$D$6^2))),Supuestos!$D$6))))))</f>
        <v/>
      </c>
      <c r="K941" s="32">
        <f>MIN(IF(Supuestos!$H$7="",1E+99,Supuestos!$H$7),MAX(IF(Supuestos!$G$7="",-1E+99,Supuestos!$G$7),IF(Supuestos!$C$7="Normal",NORMINV(D941,Supuestos!$D$7,Supuestos!$E$7),IF(Supuestos!$C$7="Triangular",IF(D941&lt;(Supuestos!$E$7-Supuestos!$D$7)/(Supuestos!$F$7-Supuestos!$D$7),Supuestos!$D$7+SQRT(D941*(Supuestos!$F$7-Supuestos!$D$7)*(Supuestos!$E$7-Supuestos!$D$7)),Supuestos!$F$7-SQRT((1-D941)*(Supuestos!$F$7-Supuestos!$D$7)*(Supuestos!$F$7-Supuestos!$E$7))),IF(Supuestos!$C$7="Uniforme",Supuestos!$D$7+D941*(Supuestos!$E$7-Supuestos!$D$7),IF(Supuestos!$C$7="Lognormal",LOGINV(D941,LN(Supuestos!$D$7)-LN(1+Supuestos!$E$7^2/Supuestos!$D$7^2)/2,SQRT(LN(1+Supuestos!$E$7^2/Supuestos!$D$7^2))),Supuestos!$D$7))))))</f>
        <v/>
      </c>
      <c r="L941" s="32">
        <f>MIN(IF(Supuestos!$H$8="",1E+99,Supuestos!$H$8),MAX(IF(Supuestos!$G$8="",-1E+99,Supuestos!$G$8),IF(Supuestos!$C$8="Normal",NORMINV(E941,Supuestos!$D$8,Supuestos!$E$8),IF(Supuestos!$C$8="Triangular",IF(E941&lt;(Supuestos!$E$8-Supuestos!$D$8)/(Supuestos!$F$8-Supuestos!$D$8),Supuestos!$D$8+SQRT(E941*(Supuestos!$F$8-Supuestos!$D$8)*(Supuestos!$E$8-Supuestos!$D$8)),Supuestos!$F$8-SQRT((1-E941)*(Supuestos!$F$8-Supuestos!$D$8)*(Supuestos!$F$8-Supuestos!$E$8))),IF(Supuestos!$C$8="Uniforme",Supuestos!$D$8+E941*(Supuestos!$E$8-Supuestos!$D$8),IF(Supuestos!$C$8="Lognormal",LOGINV(E941,LN(Supuestos!$D$8)-LN(1+Supuestos!$E$8^2/Supuestos!$D$8^2)/2,SQRT(LN(1+Supuestos!$E$8^2/Supuestos!$D$8^2))),Supuestos!$D$8))))))</f>
        <v/>
      </c>
      <c r="M941" s="32">
        <f>MIN(IF(Supuestos!$H$9="",1E+99,Supuestos!$H$9),MAX(IF(Supuestos!$G$9="",-1E+99,Supuestos!$G$9),IF(Supuestos!$C$9="Normal",NORMINV(F941,Supuestos!$D$9,Supuestos!$E$9),IF(Supuestos!$C$9="Triangular",IF(F941&lt;(Supuestos!$E$9-Supuestos!$D$9)/(Supuestos!$F$9-Supuestos!$D$9),Supuestos!$D$9+SQRT(F941*(Supuestos!$F$9-Supuestos!$D$9)*(Supuestos!$E$9-Supuestos!$D$9)),Supuestos!$F$9-SQRT((1-F941)*(Supuestos!$F$9-Supuestos!$D$9)*(Supuestos!$F$9-Supuestos!$E$9))),IF(Supuestos!$C$9="Uniforme",Supuestos!$D$9+F941*(Supuestos!$E$9-Supuestos!$D$9),IF(Supuestos!$C$9="Lognormal",LOGINV(F941,LN(Supuestos!$D$9)-LN(1+Supuestos!$E$9^2/Supuestos!$D$9^2)/2,SQRT(LN(1+Supuestos!$E$9^2/Supuestos!$D$9^2))),Supuestos!$D$9))))))</f>
        <v/>
      </c>
      <c r="N941" s="32">
        <f>MIN(IF(Supuestos!$H$10="",1E+99,Supuestos!$H$10),MAX(IF(Supuestos!$G$10="",-1E+99,Supuestos!$G$10),IF(Supuestos!$C$10="Normal",NORMINV(G941,Supuestos!$D$10,Supuestos!$E$10),IF(Supuestos!$C$10="Triangular",IF(G941&lt;(Supuestos!$E$10-Supuestos!$D$10)/(Supuestos!$F$10-Supuestos!$D$10),Supuestos!$D$10+SQRT(G941*(Supuestos!$F$10-Supuestos!$D$10)*(Supuestos!$E$10-Supuestos!$D$10)),Supuestos!$F$10-SQRT((1-G941)*(Supuestos!$F$10-Supuestos!$D$10)*(Supuestos!$F$10-Supuestos!$E$10))),IF(Supuestos!$C$10="Uniforme",Supuestos!$D$10+G941*(Supuestos!$E$10-Supuestos!$D$10),IF(Supuestos!$C$10="Lognormal",LOGINV(G941,LN(Supuestos!$D$10)-LN(1+Supuestos!$E$10^2/Supuestos!$D$10^2)/2,SQRT(LN(1+Supuestos!$E$10^2/Supuestos!$D$10^2))),Supuestos!$D$10))))))</f>
        <v/>
      </c>
      <c r="O941" s="31">
        <f>MIN(IF(Supuestos!$H$11="",1E+99,Supuestos!$H$11),MAX(IF(Supuestos!$G$11="",-1E+99,Supuestos!$G$11),IF(Supuestos!$C$11="Normal",NORMINV(H941,Supuestos!$D$11,Supuestos!$E$11),IF(Supuestos!$C$11="Triangular",IF(H941&lt;(Supuestos!$E$11-Supuestos!$D$11)/(Supuestos!$F$11-Supuestos!$D$11),Supuestos!$D$11+SQRT(H941*(Supuestos!$F$11-Supuestos!$D$11)*(Supuestos!$E$11-Supuestos!$D$11)),Supuestos!$F$11-SQRT((1-H941)*(Supuestos!$F$11-Supuestos!$D$11)*(Supuestos!$F$11-Supuestos!$E$11))),IF(Supuestos!$C$11="Uniforme",Supuestos!$D$11+H941*(Supuestos!$E$11-Supuestos!$D$11),IF(Supuestos!$C$11="Lognormal",LOGINV(H941,LN(Supuestos!$D$11)-LN(1+Supuestos!$E$11^2/Supuestos!$D$11^2)/2,SQRT(LN(1+Supuestos!$E$11^2/Supuestos!$D$11^2))),Supuestos!$D$11))))))</f>
        <v/>
      </c>
      <c r="P941" s="33">
        <f>-I941</f>
        <v/>
      </c>
      <c r="Q941" s="33">
        <f>$J941*(1+$K941)^(1-1)*(1-$L941)*(1-$M941)</f>
        <v/>
      </c>
      <c r="R941" s="33">
        <f>$J941*(1+$K941)^(2-1)*(1-$L941)*(1-$M941)</f>
        <v/>
      </c>
      <c r="S941" s="33">
        <f>$J941*(1+$K941)^(3-1)*(1-$L941)*(1-$M941)</f>
        <v/>
      </c>
      <c r="T941" s="33">
        <f>$J941*(1+$K941)^(4-1)*(1-$L941)*(1-$M941)</f>
        <v/>
      </c>
      <c r="U941" s="33">
        <f>$J941*(1+$K941)^(5-1)*(1-$L941)*(1-$M941)+$O941</f>
        <v/>
      </c>
      <c r="V941" s="33">
        <f>P941+NPV($N941,Q941:U941)</f>
        <v/>
      </c>
      <c r="W941" s="32">
        <f>IFERROR(IRR(P941:U941,0.1),"")</f>
        <v/>
      </c>
    </row>
    <row r="942">
      <c r="A942" s="14" t="n">
        <v>938</v>
      </c>
      <c r="B942" s="30">
        <f>RAND()*(1-2E-6)+1E-6</f>
        <v/>
      </c>
      <c r="C942" s="30">
        <f>RAND()*(1-2E-6)+1E-6</f>
        <v/>
      </c>
      <c r="D942" s="30">
        <f>RAND()*(1-2E-6)+1E-6</f>
        <v/>
      </c>
      <c r="E942" s="30">
        <f>RAND()*(1-2E-6)+1E-6</f>
        <v/>
      </c>
      <c r="F942" s="30">
        <f>RAND()*(1-2E-6)+1E-6</f>
        <v/>
      </c>
      <c r="G942" s="30">
        <f>RAND()*(1-2E-6)+1E-6</f>
        <v/>
      </c>
      <c r="H942" s="30">
        <f>RAND()*(1-2E-6)+1E-6</f>
        <v/>
      </c>
      <c r="I942" s="31">
        <f>MIN(IF(Supuestos!$H$5="",1E+99,Supuestos!$H$5),MAX(IF(Supuestos!$G$5="",-1E+99,Supuestos!$G$5),IF(Supuestos!$C$5="Normal",NORMINV(B942,Supuestos!$D$5,Supuestos!$E$5),IF(Supuestos!$C$5="Triangular",IF(B942&lt;(Supuestos!$E$5-Supuestos!$D$5)/(Supuestos!$F$5-Supuestos!$D$5),Supuestos!$D$5+SQRT(B942*(Supuestos!$F$5-Supuestos!$D$5)*(Supuestos!$E$5-Supuestos!$D$5)),Supuestos!$F$5-SQRT((1-B942)*(Supuestos!$F$5-Supuestos!$D$5)*(Supuestos!$F$5-Supuestos!$E$5))),IF(Supuestos!$C$5="Uniforme",Supuestos!$D$5+B942*(Supuestos!$E$5-Supuestos!$D$5),IF(Supuestos!$C$5="Lognormal",LOGINV(B942,LN(Supuestos!$D$5)-LN(1+Supuestos!$E$5^2/Supuestos!$D$5^2)/2,SQRT(LN(1+Supuestos!$E$5^2/Supuestos!$D$5^2))),Supuestos!$D$5))))))</f>
        <v/>
      </c>
      <c r="J942" s="31">
        <f>MIN(IF(Supuestos!$H$6="",1E+99,Supuestos!$H$6),MAX(IF(Supuestos!$G$6="",-1E+99,Supuestos!$G$6),IF(Supuestos!$C$6="Normal",NORMINV(C942,Supuestos!$D$6,Supuestos!$E$6),IF(Supuestos!$C$6="Triangular",IF(C942&lt;(Supuestos!$E$6-Supuestos!$D$6)/(Supuestos!$F$6-Supuestos!$D$6),Supuestos!$D$6+SQRT(C942*(Supuestos!$F$6-Supuestos!$D$6)*(Supuestos!$E$6-Supuestos!$D$6)),Supuestos!$F$6-SQRT((1-C942)*(Supuestos!$F$6-Supuestos!$D$6)*(Supuestos!$F$6-Supuestos!$E$6))),IF(Supuestos!$C$6="Uniforme",Supuestos!$D$6+C942*(Supuestos!$E$6-Supuestos!$D$6),IF(Supuestos!$C$6="Lognormal",LOGINV(C942,LN(Supuestos!$D$6)-LN(1+Supuestos!$E$6^2/Supuestos!$D$6^2)/2,SQRT(LN(1+Supuestos!$E$6^2/Supuestos!$D$6^2))),Supuestos!$D$6))))))</f>
        <v/>
      </c>
      <c r="K942" s="32">
        <f>MIN(IF(Supuestos!$H$7="",1E+99,Supuestos!$H$7),MAX(IF(Supuestos!$G$7="",-1E+99,Supuestos!$G$7),IF(Supuestos!$C$7="Normal",NORMINV(D942,Supuestos!$D$7,Supuestos!$E$7),IF(Supuestos!$C$7="Triangular",IF(D942&lt;(Supuestos!$E$7-Supuestos!$D$7)/(Supuestos!$F$7-Supuestos!$D$7),Supuestos!$D$7+SQRT(D942*(Supuestos!$F$7-Supuestos!$D$7)*(Supuestos!$E$7-Supuestos!$D$7)),Supuestos!$F$7-SQRT((1-D942)*(Supuestos!$F$7-Supuestos!$D$7)*(Supuestos!$F$7-Supuestos!$E$7))),IF(Supuestos!$C$7="Uniforme",Supuestos!$D$7+D942*(Supuestos!$E$7-Supuestos!$D$7),IF(Supuestos!$C$7="Lognormal",LOGINV(D942,LN(Supuestos!$D$7)-LN(1+Supuestos!$E$7^2/Supuestos!$D$7^2)/2,SQRT(LN(1+Supuestos!$E$7^2/Supuestos!$D$7^2))),Supuestos!$D$7))))))</f>
        <v/>
      </c>
      <c r="L942" s="32">
        <f>MIN(IF(Supuestos!$H$8="",1E+99,Supuestos!$H$8),MAX(IF(Supuestos!$G$8="",-1E+99,Supuestos!$G$8),IF(Supuestos!$C$8="Normal",NORMINV(E942,Supuestos!$D$8,Supuestos!$E$8),IF(Supuestos!$C$8="Triangular",IF(E942&lt;(Supuestos!$E$8-Supuestos!$D$8)/(Supuestos!$F$8-Supuestos!$D$8),Supuestos!$D$8+SQRT(E942*(Supuestos!$F$8-Supuestos!$D$8)*(Supuestos!$E$8-Supuestos!$D$8)),Supuestos!$F$8-SQRT((1-E942)*(Supuestos!$F$8-Supuestos!$D$8)*(Supuestos!$F$8-Supuestos!$E$8))),IF(Supuestos!$C$8="Uniforme",Supuestos!$D$8+E942*(Supuestos!$E$8-Supuestos!$D$8),IF(Supuestos!$C$8="Lognormal",LOGINV(E942,LN(Supuestos!$D$8)-LN(1+Supuestos!$E$8^2/Supuestos!$D$8^2)/2,SQRT(LN(1+Supuestos!$E$8^2/Supuestos!$D$8^2))),Supuestos!$D$8))))))</f>
        <v/>
      </c>
      <c r="M942" s="32">
        <f>MIN(IF(Supuestos!$H$9="",1E+99,Supuestos!$H$9),MAX(IF(Supuestos!$G$9="",-1E+99,Supuestos!$G$9),IF(Supuestos!$C$9="Normal",NORMINV(F942,Supuestos!$D$9,Supuestos!$E$9),IF(Supuestos!$C$9="Triangular",IF(F942&lt;(Supuestos!$E$9-Supuestos!$D$9)/(Supuestos!$F$9-Supuestos!$D$9),Supuestos!$D$9+SQRT(F942*(Supuestos!$F$9-Supuestos!$D$9)*(Supuestos!$E$9-Supuestos!$D$9)),Supuestos!$F$9-SQRT((1-F942)*(Supuestos!$F$9-Supuestos!$D$9)*(Supuestos!$F$9-Supuestos!$E$9))),IF(Supuestos!$C$9="Uniforme",Supuestos!$D$9+F942*(Supuestos!$E$9-Supuestos!$D$9),IF(Supuestos!$C$9="Lognormal",LOGINV(F942,LN(Supuestos!$D$9)-LN(1+Supuestos!$E$9^2/Supuestos!$D$9^2)/2,SQRT(LN(1+Supuestos!$E$9^2/Supuestos!$D$9^2))),Supuestos!$D$9))))))</f>
        <v/>
      </c>
      <c r="N942" s="32">
        <f>MIN(IF(Supuestos!$H$10="",1E+99,Supuestos!$H$10),MAX(IF(Supuestos!$G$10="",-1E+99,Supuestos!$G$10),IF(Supuestos!$C$10="Normal",NORMINV(G942,Supuestos!$D$10,Supuestos!$E$10),IF(Supuestos!$C$10="Triangular",IF(G942&lt;(Supuestos!$E$10-Supuestos!$D$10)/(Supuestos!$F$10-Supuestos!$D$10),Supuestos!$D$10+SQRT(G942*(Supuestos!$F$10-Supuestos!$D$10)*(Supuestos!$E$10-Supuestos!$D$10)),Supuestos!$F$10-SQRT((1-G942)*(Supuestos!$F$10-Supuestos!$D$10)*(Supuestos!$F$10-Supuestos!$E$10))),IF(Supuestos!$C$10="Uniforme",Supuestos!$D$10+G942*(Supuestos!$E$10-Supuestos!$D$10),IF(Supuestos!$C$10="Lognormal",LOGINV(G942,LN(Supuestos!$D$10)-LN(1+Supuestos!$E$10^2/Supuestos!$D$10^2)/2,SQRT(LN(1+Supuestos!$E$10^2/Supuestos!$D$10^2))),Supuestos!$D$10))))))</f>
        <v/>
      </c>
      <c r="O942" s="31">
        <f>MIN(IF(Supuestos!$H$11="",1E+99,Supuestos!$H$11),MAX(IF(Supuestos!$G$11="",-1E+99,Supuestos!$G$11),IF(Supuestos!$C$11="Normal",NORMINV(H942,Supuestos!$D$11,Supuestos!$E$11),IF(Supuestos!$C$11="Triangular",IF(H942&lt;(Supuestos!$E$11-Supuestos!$D$11)/(Supuestos!$F$11-Supuestos!$D$11),Supuestos!$D$11+SQRT(H942*(Supuestos!$F$11-Supuestos!$D$11)*(Supuestos!$E$11-Supuestos!$D$11)),Supuestos!$F$11-SQRT((1-H942)*(Supuestos!$F$11-Supuestos!$D$11)*(Supuestos!$F$11-Supuestos!$E$11))),IF(Supuestos!$C$11="Uniforme",Supuestos!$D$11+H942*(Supuestos!$E$11-Supuestos!$D$11),IF(Supuestos!$C$11="Lognormal",LOGINV(H942,LN(Supuestos!$D$11)-LN(1+Supuestos!$E$11^2/Supuestos!$D$11^2)/2,SQRT(LN(1+Supuestos!$E$11^2/Supuestos!$D$11^2))),Supuestos!$D$11))))))</f>
        <v/>
      </c>
      <c r="P942" s="33">
        <f>-I942</f>
        <v/>
      </c>
      <c r="Q942" s="33">
        <f>$J942*(1+$K942)^(1-1)*(1-$L942)*(1-$M942)</f>
        <v/>
      </c>
      <c r="R942" s="33">
        <f>$J942*(1+$K942)^(2-1)*(1-$L942)*(1-$M942)</f>
        <v/>
      </c>
      <c r="S942" s="33">
        <f>$J942*(1+$K942)^(3-1)*(1-$L942)*(1-$M942)</f>
        <v/>
      </c>
      <c r="T942" s="33">
        <f>$J942*(1+$K942)^(4-1)*(1-$L942)*(1-$M942)</f>
        <v/>
      </c>
      <c r="U942" s="33">
        <f>$J942*(1+$K942)^(5-1)*(1-$L942)*(1-$M942)+$O942</f>
        <v/>
      </c>
      <c r="V942" s="33">
        <f>P942+NPV($N942,Q942:U942)</f>
        <v/>
      </c>
      <c r="W942" s="32">
        <f>IFERROR(IRR(P942:U942,0.1),"")</f>
        <v/>
      </c>
    </row>
    <row r="943">
      <c r="A943" s="14" t="n">
        <v>939</v>
      </c>
      <c r="B943" s="30">
        <f>RAND()*(1-2E-6)+1E-6</f>
        <v/>
      </c>
      <c r="C943" s="30">
        <f>RAND()*(1-2E-6)+1E-6</f>
        <v/>
      </c>
      <c r="D943" s="30">
        <f>RAND()*(1-2E-6)+1E-6</f>
        <v/>
      </c>
      <c r="E943" s="30">
        <f>RAND()*(1-2E-6)+1E-6</f>
        <v/>
      </c>
      <c r="F943" s="30">
        <f>RAND()*(1-2E-6)+1E-6</f>
        <v/>
      </c>
      <c r="G943" s="30">
        <f>RAND()*(1-2E-6)+1E-6</f>
        <v/>
      </c>
      <c r="H943" s="30">
        <f>RAND()*(1-2E-6)+1E-6</f>
        <v/>
      </c>
      <c r="I943" s="31">
        <f>MIN(IF(Supuestos!$H$5="",1E+99,Supuestos!$H$5),MAX(IF(Supuestos!$G$5="",-1E+99,Supuestos!$G$5),IF(Supuestos!$C$5="Normal",NORMINV(B943,Supuestos!$D$5,Supuestos!$E$5),IF(Supuestos!$C$5="Triangular",IF(B943&lt;(Supuestos!$E$5-Supuestos!$D$5)/(Supuestos!$F$5-Supuestos!$D$5),Supuestos!$D$5+SQRT(B943*(Supuestos!$F$5-Supuestos!$D$5)*(Supuestos!$E$5-Supuestos!$D$5)),Supuestos!$F$5-SQRT((1-B943)*(Supuestos!$F$5-Supuestos!$D$5)*(Supuestos!$F$5-Supuestos!$E$5))),IF(Supuestos!$C$5="Uniforme",Supuestos!$D$5+B943*(Supuestos!$E$5-Supuestos!$D$5),IF(Supuestos!$C$5="Lognormal",LOGINV(B943,LN(Supuestos!$D$5)-LN(1+Supuestos!$E$5^2/Supuestos!$D$5^2)/2,SQRT(LN(1+Supuestos!$E$5^2/Supuestos!$D$5^2))),Supuestos!$D$5))))))</f>
        <v/>
      </c>
      <c r="J943" s="31">
        <f>MIN(IF(Supuestos!$H$6="",1E+99,Supuestos!$H$6),MAX(IF(Supuestos!$G$6="",-1E+99,Supuestos!$G$6),IF(Supuestos!$C$6="Normal",NORMINV(C943,Supuestos!$D$6,Supuestos!$E$6),IF(Supuestos!$C$6="Triangular",IF(C943&lt;(Supuestos!$E$6-Supuestos!$D$6)/(Supuestos!$F$6-Supuestos!$D$6),Supuestos!$D$6+SQRT(C943*(Supuestos!$F$6-Supuestos!$D$6)*(Supuestos!$E$6-Supuestos!$D$6)),Supuestos!$F$6-SQRT((1-C943)*(Supuestos!$F$6-Supuestos!$D$6)*(Supuestos!$F$6-Supuestos!$E$6))),IF(Supuestos!$C$6="Uniforme",Supuestos!$D$6+C943*(Supuestos!$E$6-Supuestos!$D$6),IF(Supuestos!$C$6="Lognormal",LOGINV(C943,LN(Supuestos!$D$6)-LN(1+Supuestos!$E$6^2/Supuestos!$D$6^2)/2,SQRT(LN(1+Supuestos!$E$6^2/Supuestos!$D$6^2))),Supuestos!$D$6))))))</f>
        <v/>
      </c>
      <c r="K943" s="32">
        <f>MIN(IF(Supuestos!$H$7="",1E+99,Supuestos!$H$7),MAX(IF(Supuestos!$G$7="",-1E+99,Supuestos!$G$7),IF(Supuestos!$C$7="Normal",NORMINV(D943,Supuestos!$D$7,Supuestos!$E$7),IF(Supuestos!$C$7="Triangular",IF(D943&lt;(Supuestos!$E$7-Supuestos!$D$7)/(Supuestos!$F$7-Supuestos!$D$7),Supuestos!$D$7+SQRT(D943*(Supuestos!$F$7-Supuestos!$D$7)*(Supuestos!$E$7-Supuestos!$D$7)),Supuestos!$F$7-SQRT((1-D943)*(Supuestos!$F$7-Supuestos!$D$7)*(Supuestos!$F$7-Supuestos!$E$7))),IF(Supuestos!$C$7="Uniforme",Supuestos!$D$7+D943*(Supuestos!$E$7-Supuestos!$D$7),IF(Supuestos!$C$7="Lognormal",LOGINV(D943,LN(Supuestos!$D$7)-LN(1+Supuestos!$E$7^2/Supuestos!$D$7^2)/2,SQRT(LN(1+Supuestos!$E$7^2/Supuestos!$D$7^2))),Supuestos!$D$7))))))</f>
        <v/>
      </c>
      <c r="L943" s="32">
        <f>MIN(IF(Supuestos!$H$8="",1E+99,Supuestos!$H$8),MAX(IF(Supuestos!$G$8="",-1E+99,Supuestos!$G$8),IF(Supuestos!$C$8="Normal",NORMINV(E943,Supuestos!$D$8,Supuestos!$E$8),IF(Supuestos!$C$8="Triangular",IF(E943&lt;(Supuestos!$E$8-Supuestos!$D$8)/(Supuestos!$F$8-Supuestos!$D$8),Supuestos!$D$8+SQRT(E943*(Supuestos!$F$8-Supuestos!$D$8)*(Supuestos!$E$8-Supuestos!$D$8)),Supuestos!$F$8-SQRT((1-E943)*(Supuestos!$F$8-Supuestos!$D$8)*(Supuestos!$F$8-Supuestos!$E$8))),IF(Supuestos!$C$8="Uniforme",Supuestos!$D$8+E943*(Supuestos!$E$8-Supuestos!$D$8),IF(Supuestos!$C$8="Lognormal",LOGINV(E943,LN(Supuestos!$D$8)-LN(1+Supuestos!$E$8^2/Supuestos!$D$8^2)/2,SQRT(LN(1+Supuestos!$E$8^2/Supuestos!$D$8^2))),Supuestos!$D$8))))))</f>
        <v/>
      </c>
      <c r="M943" s="32">
        <f>MIN(IF(Supuestos!$H$9="",1E+99,Supuestos!$H$9),MAX(IF(Supuestos!$G$9="",-1E+99,Supuestos!$G$9),IF(Supuestos!$C$9="Normal",NORMINV(F943,Supuestos!$D$9,Supuestos!$E$9),IF(Supuestos!$C$9="Triangular",IF(F943&lt;(Supuestos!$E$9-Supuestos!$D$9)/(Supuestos!$F$9-Supuestos!$D$9),Supuestos!$D$9+SQRT(F943*(Supuestos!$F$9-Supuestos!$D$9)*(Supuestos!$E$9-Supuestos!$D$9)),Supuestos!$F$9-SQRT((1-F943)*(Supuestos!$F$9-Supuestos!$D$9)*(Supuestos!$F$9-Supuestos!$E$9))),IF(Supuestos!$C$9="Uniforme",Supuestos!$D$9+F943*(Supuestos!$E$9-Supuestos!$D$9),IF(Supuestos!$C$9="Lognormal",LOGINV(F943,LN(Supuestos!$D$9)-LN(1+Supuestos!$E$9^2/Supuestos!$D$9^2)/2,SQRT(LN(1+Supuestos!$E$9^2/Supuestos!$D$9^2))),Supuestos!$D$9))))))</f>
        <v/>
      </c>
      <c r="N943" s="32">
        <f>MIN(IF(Supuestos!$H$10="",1E+99,Supuestos!$H$10),MAX(IF(Supuestos!$G$10="",-1E+99,Supuestos!$G$10),IF(Supuestos!$C$10="Normal",NORMINV(G943,Supuestos!$D$10,Supuestos!$E$10),IF(Supuestos!$C$10="Triangular",IF(G943&lt;(Supuestos!$E$10-Supuestos!$D$10)/(Supuestos!$F$10-Supuestos!$D$10),Supuestos!$D$10+SQRT(G943*(Supuestos!$F$10-Supuestos!$D$10)*(Supuestos!$E$10-Supuestos!$D$10)),Supuestos!$F$10-SQRT((1-G943)*(Supuestos!$F$10-Supuestos!$D$10)*(Supuestos!$F$10-Supuestos!$E$10))),IF(Supuestos!$C$10="Uniforme",Supuestos!$D$10+G943*(Supuestos!$E$10-Supuestos!$D$10),IF(Supuestos!$C$10="Lognormal",LOGINV(G943,LN(Supuestos!$D$10)-LN(1+Supuestos!$E$10^2/Supuestos!$D$10^2)/2,SQRT(LN(1+Supuestos!$E$10^2/Supuestos!$D$10^2))),Supuestos!$D$10))))))</f>
        <v/>
      </c>
      <c r="O943" s="31">
        <f>MIN(IF(Supuestos!$H$11="",1E+99,Supuestos!$H$11),MAX(IF(Supuestos!$G$11="",-1E+99,Supuestos!$G$11),IF(Supuestos!$C$11="Normal",NORMINV(H943,Supuestos!$D$11,Supuestos!$E$11),IF(Supuestos!$C$11="Triangular",IF(H943&lt;(Supuestos!$E$11-Supuestos!$D$11)/(Supuestos!$F$11-Supuestos!$D$11),Supuestos!$D$11+SQRT(H943*(Supuestos!$F$11-Supuestos!$D$11)*(Supuestos!$E$11-Supuestos!$D$11)),Supuestos!$F$11-SQRT((1-H943)*(Supuestos!$F$11-Supuestos!$D$11)*(Supuestos!$F$11-Supuestos!$E$11))),IF(Supuestos!$C$11="Uniforme",Supuestos!$D$11+H943*(Supuestos!$E$11-Supuestos!$D$11),IF(Supuestos!$C$11="Lognormal",LOGINV(H943,LN(Supuestos!$D$11)-LN(1+Supuestos!$E$11^2/Supuestos!$D$11^2)/2,SQRT(LN(1+Supuestos!$E$11^2/Supuestos!$D$11^2))),Supuestos!$D$11))))))</f>
        <v/>
      </c>
      <c r="P943" s="33">
        <f>-I943</f>
        <v/>
      </c>
      <c r="Q943" s="33">
        <f>$J943*(1+$K943)^(1-1)*(1-$L943)*(1-$M943)</f>
        <v/>
      </c>
      <c r="R943" s="33">
        <f>$J943*(1+$K943)^(2-1)*(1-$L943)*(1-$M943)</f>
        <v/>
      </c>
      <c r="S943" s="33">
        <f>$J943*(1+$K943)^(3-1)*(1-$L943)*(1-$M943)</f>
        <v/>
      </c>
      <c r="T943" s="33">
        <f>$J943*(1+$K943)^(4-1)*(1-$L943)*(1-$M943)</f>
        <v/>
      </c>
      <c r="U943" s="33">
        <f>$J943*(1+$K943)^(5-1)*(1-$L943)*(1-$M943)+$O943</f>
        <v/>
      </c>
      <c r="V943" s="33">
        <f>P943+NPV($N943,Q943:U943)</f>
        <v/>
      </c>
      <c r="W943" s="32">
        <f>IFERROR(IRR(P943:U943,0.1),"")</f>
        <v/>
      </c>
    </row>
    <row r="944">
      <c r="A944" s="14" t="n">
        <v>940</v>
      </c>
      <c r="B944" s="30">
        <f>RAND()*(1-2E-6)+1E-6</f>
        <v/>
      </c>
      <c r="C944" s="30">
        <f>RAND()*(1-2E-6)+1E-6</f>
        <v/>
      </c>
      <c r="D944" s="30">
        <f>RAND()*(1-2E-6)+1E-6</f>
        <v/>
      </c>
      <c r="E944" s="30">
        <f>RAND()*(1-2E-6)+1E-6</f>
        <v/>
      </c>
      <c r="F944" s="30">
        <f>RAND()*(1-2E-6)+1E-6</f>
        <v/>
      </c>
      <c r="G944" s="30">
        <f>RAND()*(1-2E-6)+1E-6</f>
        <v/>
      </c>
      <c r="H944" s="30">
        <f>RAND()*(1-2E-6)+1E-6</f>
        <v/>
      </c>
      <c r="I944" s="31">
        <f>MIN(IF(Supuestos!$H$5="",1E+99,Supuestos!$H$5),MAX(IF(Supuestos!$G$5="",-1E+99,Supuestos!$G$5),IF(Supuestos!$C$5="Normal",NORMINV(B944,Supuestos!$D$5,Supuestos!$E$5),IF(Supuestos!$C$5="Triangular",IF(B944&lt;(Supuestos!$E$5-Supuestos!$D$5)/(Supuestos!$F$5-Supuestos!$D$5),Supuestos!$D$5+SQRT(B944*(Supuestos!$F$5-Supuestos!$D$5)*(Supuestos!$E$5-Supuestos!$D$5)),Supuestos!$F$5-SQRT((1-B944)*(Supuestos!$F$5-Supuestos!$D$5)*(Supuestos!$F$5-Supuestos!$E$5))),IF(Supuestos!$C$5="Uniforme",Supuestos!$D$5+B944*(Supuestos!$E$5-Supuestos!$D$5),IF(Supuestos!$C$5="Lognormal",LOGINV(B944,LN(Supuestos!$D$5)-LN(1+Supuestos!$E$5^2/Supuestos!$D$5^2)/2,SQRT(LN(1+Supuestos!$E$5^2/Supuestos!$D$5^2))),Supuestos!$D$5))))))</f>
        <v/>
      </c>
      <c r="J944" s="31">
        <f>MIN(IF(Supuestos!$H$6="",1E+99,Supuestos!$H$6),MAX(IF(Supuestos!$G$6="",-1E+99,Supuestos!$G$6),IF(Supuestos!$C$6="Normal",NORMINV(C944,Supuestos!$D$6,Supuestos!$E$6),IF(Supuestos!$C$6="Triangular",IF(C944&lt;(Supuestos!$E$6-Supuestos!$D$6)/(Supuestos!$F$6-Supuestos!$D$6),Supuestos!$D$6+SQRT(C944*(Supuestos!$F$6-Supuestos!$D$6)*(Supuestos!$E$6-Supuestos!$D$6)),Supuestos!$F$6-SQRT((1-C944)*(Supuestos!$F$6-Supuestos!$D$6)*(Supuestos!$F$6-Supuestos!$E$6))),IF(Supuestos!$C$6="Uniforme",Supuestos!$D$6+C944*(Supuestos!$E$6-Supuestos!$D$6),IF(Supuestos!$C$6="Lognormal",LOGINV(C944,LN(Supuestos!$D$6)-LN(1+Supuestos!$E$6^2/Supuestos!$D$6^2)/2,SQRT(LN(1+Supuestos!$E$6^2/Supuestos!$D$6^2))),Supuestos!$D$6))))))</f>
        <v/>
      </c>
      <c r="K944" s="32">
        <f>MIN(IF(Supuestos!$H$7="",1E+99,Supuestos!$H$7),MAX(IF(Supuestos!$G$7="",-1E+99,Supuestos!$G$7),IF(Supuestos!$C$7="Normal",NORMINV(D944,Supuestos!$D$7,Supuestos!$E$7),IF(Supuestos!$C$7="Triangular",IF(D944&lt;(Supuestos!$E$7-Supuestos!$D$7)/(Supuestos!$F$7-Supuestos!$D$7),Supuestos!$D$7+SQRT(D944*(Supuestos!$F$7-Supuestos!$D$7)*(Supuestos!$E$7-Supuestos!$D$7)),Supuestos!$F$7-SQRT((1-D944)*(Supuestos!$F$7-Supuestos!$D$7)*(Supuestos!$F$7-Supuestos!$E$7))),IF(Supuestos!$C$7="Uniforme",Supuestos!$D$7+D944*(Supuestos!$E$7-Supuestos!$D$7),IF(Supuestos!$C$7="Lognormal",LOGINV(D944,LN(Supuestos!$D$7)-LN(1+Supuestos!$E$7^2/Supuestos!$D$7^2)/2,SQRT(LN(1+Supuestos!$E$7^2/Supuestos!$D$7^2))),Supuestos!$D$7))))))</f>
        <v/>
      </c>
      <c r="L944" s="32">
        <f>MIN(IF(Supuestos!$H$8="",1E+99,Supuestos!$H$8),MAX(IF(Supuestos!$G$8="",-1E+99,Supuestos!$G$8),IF(Supuestos!$C$8="Normal",NORMINV(E944,Supuestos!$D$8,Supuestos!$E$8),IF(Supuestos!$C$8="Triangular",IF(E944&lt;(Supuestos!$E$8-Supuestos!$D$8)/(Supuestos!$F$8-Supuestos!$D$8),Supuestos!$D$8+SQRT(E944*(Supuestos!$F$8-Supuestos!$D$8)*(Supuestos!$E$8-Supuestos!$D$8)),Supuestos!$F$8-SQRT((1-E944)*(Supuestos!$F$8-Supuestos!$D$8)*(Supuestos!$F$8-Supuestos!$E$8))),IF(Supuestos!$C$8="Uniforme",Supuestos!$D$8+E944*(Supuestos!$E$8-Supuestos!$D$8),IF(Supuestos!$C$8="Lognormal",LOGINV(E944,LN(Supuestos!$D$8)-LN(1+Supuestos!$E$8^2/Supuestos!$D$8^2)/2,SQRT(LN(1+Supuestos!$E$8^2/Supuestos!$D$8^2))),Supuestos!$D$8))))))</f>
        <v/>
      </c>
      <c r="M944" s="32">
        <f>MIN(IF(Supuestos!$H$9="",1E+99,Supuestos!$H$9),MAX(IF(Supuestos!$G$9="",-1E+99,Supuestos!$G$9),IF(Supuestos!$C$9="Normal",NORMINV(F944,Supuestos!$D$9,Supuestos!$E$9),IF(Supuestos!$C$9="Triangular",IF(F944&lt;(Supuestos!$E$9-Supuestos!$D$9)/(Supuestos!$F$9-Supuestos!$D$9),Supuestos!$D$9+SQRT(F944*(Supuestos!$F$9-Supuestos!$D$9)*(Supuestos!$E$9-Supuestos!$D$9)),Supuestos!$F$9-SQRT((1-F944)*(Supuestos!$F$9-Supuestos!$D$9)*(Supuestos!$F$9-Supuestos!$E$9))),IF(Supuestos!$C$9="Uniforme",Supuestos!$D$9+F944*(Supuestos!$E$9-Supuestos!$D$9),IF(Supuestos!$C$9="Lognormal",LOGINV(F944,LN(Supuestos!$D$9)-LN(1+Supuestos!$E$9^2/Supuestos!$D$9^2)/2,SQRT(LN(1+Supuestos!$E$9^2/Supuestos!$D$9^2))),Supuestos!$D$9))))))</f>
        <v/>
      </c>
      <c r="N944" s="32">
        <f>MIN(IF(Supuestos!$H$10="",1E+99,Supuestos!$H$10),MAX(IF(Supuestos!$G$10="",-1E+99,Supuestos!$G$10),IF(Supuestos!$C$10="Normal",NORMINV(G944,Supuestos!$D$10,Supuestos!$E$10),IF(Supuestos!$C$10="Triangular",IF(G944&lt;(Supuestos!$E$10-Supuestos!$D$10)/(Supuestos!$F$10-Supuestos!$D$10),Supuestos!$D$10+SQRT(G944*(Supuestos!$F$10-Supuestos!$D$10)*(Supuestos!$E$10-Supuestos!$D$10)),Supuestos!$F$10-SQRT((1-G944)*(Supuestos!$F$10-Supuestos!$D$10)*(Supuestos!$F$10-Supuestos!$E$10))),IF(Supuestos!$C$10="Uniforme",Supuestos!$D$10+G944*(Supuestos!$E$10-Supuestos!$D$10),IF(Supuestos!$C$10="Lognormal",LOGINV(G944,LN(Supuestos!$D$10)-LN(1+Supuestos!$E$10^2/Supuestos!$D$10^2)/2,SQRT(LN(1+Supuestos!$E$10^2/Supuestos!$D$10^2))),Supuestos!$D$10))))))</f>
        <v/>
      </c>
      <c r="O944" s="31">
        <f>MIN(IF(Supuestos!$H$11="",1E+99,Supuestos!$H$11),MAX(IF(Supuestos!$G$11="",-1E+99,Supuestos!$G$11),IF(Supuestos!$C$11="Normal",NORMINV(H944,Supuestos!$D$11,Supuestos!$E$11),IF(Supuestos!$C$11="Triangular",IF(H944&lt;(Supuestos!$E$11-Supuestos!$D$11)/(Supuestos!$F$11-Supuestos!$D$11),Supuestos!$D$11+SQRT(H944*(Supuestos!$F$11-Supuestos!$D$11)*(Supuestos!$E$11-Supuestos!$D$11)),Supuestos!$F$11-SQRT((1-H944)*(Supuestos!$F$11-Supuestos!$D$11)*(Supuestos!$F$11-Supuestos!$E$11))),IF(Supuestos!$C$11="Uniforme",Supuestos!$D$11+H944*(Supuestos!$E$11-Supuestos!$D$11),IF(Supuestos!$C$11="Lognormal",LOGINV(H944,LN(Supuestos!$D$11)-LN(1+Supuestos!$E$11^2/Supuestos!$D$11^2)/2,SQRT(LN(1+Supuestos!$E$11^2/Supuestos!$D$11^2))),Supuestos!$D$11))))))</f>
        <v/>
      </c>
      <c r="P944" s="33">
        <f>-I944</f>
        <v/>
      </c>
      <c r="Q944" s="33">
        <f>$J944*(1+$K944)^(1-1)*(1-$L944)*(1-$M944)</f>
        <v/>
      </c>
      <c r="R944" s="33">
        <f>$J944*(1+$K944)^(2-1)*(1-$L944)*(1-$M944)</f>
        <v/>
      </c>
      <c r="S944" s="33">
        <f>$J944*(1+$K944)^(3-1)*(1-$L944)*(1-$M944)</f>
        <v/>
      </c>
      <c r="T944" s="33">
        <f>$J944*(1+$K944)^(4-1)*(1-$L944)*(1-$M944)</f>
        <v/>
      </c>
      <c r="U944" s="33">
        <f>$J944*(1+$K944)^(5-1)*(1-$L944)*(1-$M944)+$O944</f>
        <v/>
      </c>
      <c r="V944" s="33">
        <f>P944+NPV($N944,Q944:U944)</f>
        <v/>
      </c>
      <c r="W944" s="32">
        <f>IFERROR(IRR(P944:U944,0.1),"")</f>
        <v/>
      </c>
    </row>
    <row r="945">
      <c r="A945" s="14" t="n">
        <v>941</v>
      </c>
      <c r="B945" s="30">
        <f>RAND()*(1-2E-6)+1E-6</f>
        <v/>
      </c>
      <c r="C945" s="30">
        <f>RAND()*(1-2E-6)+1E-6</f>
        <v/>
      </c>
      <c r="D945" s="30">
        <f>RAND()*(1-2E-6)+1E-6</f>
        <v/>
      </c>
      <c r="E945" s="30">
        <f>RAND()*(1-2E-6)+1E-6</f>
        <v/>
      </c>
      <c r="F945" s="30">
        <f>RAND()*(1-2E-6)+1E-6</f>
        <v/>
      </c>
      <c r="G945" s="30">
        <f>RAND()*(1-2E-6)+1E-6</f>
        <v/>
      </c>
      <c r="H945" s="30">
        <f>RAND()*(1-2E-6)+1E-6</f>
        <v/>
      </c>
      <c r="I945" s="31">
        <f>MIN(IF(Supuestos!$H$5="",1E+99,Supuestos!$H$5),MAX(IF(Supuestos!$G$5="",-1E+99,Supuestos!$G$5),IF(Supuestos!$C$5="Normal",NORMINV(B945,Supuestos!$D$5,Supuestos!$E$5),IF(Supuestos!$C$5="Triangular",IF(B945&lt;(Supuestos!$E$5-Supuestos!$D$5)/(Supuestos!$F$5-Supuestos!$D$5),Supuestos!$D$5+SQRT(B945*(Supuestos!$F$5-Supuestos!$D$5)*(Supuestos!$E$5-Supuestos!$D$5)),Supuestos!$F$5-SQRT((1-B945)*(Supuestos!$F$5-Supuestos!$D$5)*(Supuestos!$F$5-Supuestos!$E$5))),IF(Supuestos!$C$5="Uniforme",Supuestos!$D$5+B945*(Supuestos!$E$5-Supuestos!$D$5),IF(Supuestos!$C$5="Lognormal",LOGINV(B945,LN(Supuestos!$D$5)-LN(1+Supuestos!$E$5^2/Supuestos!$D$5^2)/2,SQRT(LN(1+Supuestos!$E$5^2/Supuestos!$D$5^2))),Supuestos!$D$5))))))</f>
        <v/>
      </c>
      <c r="J945" s="31">
        <f>MIN(IF(Supuestos!$H$6="",1E+99,Supuestos!$H$6),MAX(IF(Supuestos!$G$6="",-1E+99,Supuestos!$G$6),IF(Supuestos!$C$6="Normal",NORMINV(C945,Supuestos!$D$6,Supuestos!$E$6),IF(Supuestos!$C$6="Triangular",IF(C945&lt;(Supuestos!$E$6-Supuestos!$D$6)/(Supuestos!$F$6-Supuestos!$D$6),Supuestos!$D$6+SQRT(C945*(Supuestos!$F$6-Supuestos!$D$6)*(Supuestos!$E$6-Supuestos!$D$6)),Supuestos!$F$6-SQRT((1-C945)*(Supuestos!$F$6-Supuestos!$D$6)*(Supuestos!$F$6-Supuestos!$E$6))),IF(Supuestos!$C$6="Uniforme",Supuestos!$D$6+C945*(Supuestos!$E$6-Supuestos!$D$6),IF(Supuestos!$C$6="Lognormal",LOGINV(C945,LN(Supuestos!$D$6)-LN(1+Supuestos!$E$6^2/Supuestos!$D$6^2)/2,SQRT(LN(1+Supuestos!$E$6^2/Supuestos!$D$6^2))),Supuestos!$D$6))))))</f>
        <v/>
      </c>
      <c r="K945" s="32">
        <f>MIN(IF(Supuestos!$H$7="",1E+99,Supuestos!$H$7),MAX(IF(Supuestos!$G$7="",-1E+99,Supuestos!$G$7),IF(Supuestos!$C$7="Normal",NORMINV(D945,Supuestos!$D$7,Supuestos!$E$7),IF(Supuestos!$C$7="Triangular",IF(D945&lt;(Supuestos!$E$7-Supuestos!$D$7)/(Supuestos!$F$7-Supuestos!$D$7),Supuestos!$D$7+SQRT(D945*(Supuestos!$F$7-Supuestos!$D$7)*(Supuestos!$E$7-Supuestos!$D$7)),Supuestos!$F$7-SQRT((1-D945)*(Supuestos!$F$7-Supuestos!$D$7)*(Supuestos!$F$7-Supuestos!$E$7))),IF(Supuestos!$C$7="Uniforme",Supuestos!$D$7+D945*(Supuestos!$E$7-Supuestos!$D$7),IF(Supuestos!$C$7="Lognormal",LOGINV(D945,LN(Supuestos!$D$7)-LN(1+Supuestos!$E$7^2/Supuestos!$D$7^2)/2,SQRT(LN(1+Supuestos!$E$7^2/Supuestos!$D$7^2))),Supuestos!$D$7))))))</f>
        <v/>
      </c>
      <c r="L945" s="32">
        <f>MIN(IF(Supuestos!$H$8="",1E+99,Supuestos!$H$8),MAX(IF(Supuestos!$G$8="",-1E+99,Supuestos!$G$8),IF(Supuestos!$C$8="Normal",NORMINV(E945,Supuestos!$D$8,Supuestos!$E$8),IF(Supuestos!$C$8="Triangular",IF(E945&lt;(Supuestos!$E$8-Supuestos!$D$8)/(Supuestos!$F$8-Supuestos!$D$8),Supuestos!$D$8+SQRT(E945*(Supuestos!$F$8-Supuestos!$D$8)*(Supuestos!$E$8-Supuestos!$D$8)),Supuestos!$F$8-SQRT((1-E945)*(Supuestos!$F$8-Supuestos!$D$8)*(Supuestos!$F$8-Supuestos!$E$8))),IF(Supuestos!$C$8="Uniforme",Supuestos!$D$8+E945*(Supuestos!$E$8-Supuestos!$D$8),IF(Supuestos!$C$8="Lognormal",LOGINV(E945,LN(Supuestos!$D$8)-LN(1+Supuestos!$E$8^2/Supuestos!$D$8^2)/2,SQRT(LN(1+Supuestos!$E$8^2/Supuestos!$D$8^2))),Supuestos!$D$8))))))</f>
        <v/>
      </c>
      <c r="M945" s="32">
        <f>MIN(IF(Supuestos!$H$9="",1E+99,Supuestos!$H$9),MAX(IF(Supuestos!$G$9="",-1E+99,Supuestos!$G$9),IF(Supuestos!$C$9="Normal",NORMINV(F945,Supuestos!$D$9,Supuestos!$E$9),IF(Supuestos!$C$9="Triangular",IF(F945&lt;(Supuestos!$E$9-Supuestos!$D$9)/(Supuestos!$F$9-Supuestos!$D$9),Supuestos!$D$9+SQRT(F945*(Supuestos!$F$9-Supuestos!$D$9)*(Supuestos!$E$9-Supuestos!$D$9)),Supuestos!$F$9-SQRT((1-F945)*(Supuestos!$F$9-Supuestos!$D$9)*(Supuestos!$F$9-Supuestos!$E$9))),IF(Supuestos!$C$9="Uniforme",Supuestos!$D$9+F945*(Supuestos!$E$9-Supuestos!$D$9),IF(Supuestos!$C$9="Lognormal",LOGINV(F945,LN(Supuestos!$D$9)-LN(1+Supuestos!$E$9^2/Supuestos!$D$9^2)/2,SQRT(LN(1+Supuestos!$E$9^2/Supuestos!$D$9^2))),Supuestos!$D$9))))))</f>
        <v/>
      </c>
      <c r="N945" s="32">
        <f>MIN(IF(Supuestos!$H$10="",1E+99,Supuestos!$H$10),MAX(IF(Supuestos!$G$10="",-1E+99,Supuestos!$G$10),IF(Supuestos!$C$10="Normal",NORMINV(G945,Supuestos!$D$10,Supuestos!$E$10),IF(Supuestos!$C$10="Triangular",IF(G945&lt;(Supuestos!$E$10-Supuestos!$D$10)/(Supuestos!$F$10-Supuestos!$D$10),Supuestos!$D$10+SQRT(G945*(Supuestos!$F$10-Supuestos!$D$10)*(Supuestos!$E$10-Supuestos!$D$10)),Supuestos!$F$10-SQRT((1-G945)*(Supuestos!$F$10-Supuestos!$D$10)*(Supuestos!$F$10-Supuestos!$E$10))),IF(Supuestos!$C$10="Uniforme",Supuestos!$D$10+G945*(Supuestos!$E$10-Supuestos!$D$10),IF(Supuestos!$C$10="Lognormal",LOGINV(G945,LN(Supuestos!$D$10)-LN(1+Supuestos!$E$10^2/Supuestos!$D$10^2)/2,SQRT(LN(1+Supuestos!$E$10^2/Supuestos!$D$10^2))),Supuestos!$D$10))))))</f>
        <v/>
      </c>
      <c r="O945" s="31">
        <f>MIN(IF(Supuestos!$H$11="",1E+99,Supuestos!$H$11),MAX(IF(Supuestos!$G$11="",-1E+99,Supuestos!$G$11),IF(Supuestos!$C$11="Normal",NORMINV(H945,Supuestos!$D$11,Supuestos!$E$11),IF(Supuestos!$C$11="Triangular",IF(H945&lt;(Supuestos!$E$11-Supuestos!$D$11)/(Supuestos!$F$11-Supuestos!$D$11),Supuestos!$D$11+SQRT(H945*(Supuestos!$F$11-Supuestos!$D$11)*(Supuestos!$E$11-Supuestos!$D$11)),Supuestos!$F$11-SQRT((1-H945)*(Supuestos!$F$11-Supuestos!$D$11)*(Supuestos!$F$11-Supuestos!$E$11))),IF(Supuestos!$C$11="Uniforme",Supuestos!$D$11+H945*(Supuestos!$E$11-Supuestos!$D$11),IF(Supuestos!$C$11="Lognormal",LOGINV(H945,LN(Supuestos!$D$11)-LN(1+Supuestos!$E$11^2/Supuestos!$D$11^2)/2,SQRT(LN(1+Supuestos!$E$11^2/Supuestos!$D$11^2))),Supuestos!$D$11))))))</f>
        <v/>
      </c>
      <c r="P945" s="33">
        <f>-I945</f>
        <v/>
      </c>
      <c r="Q945" s="33">
        <f>$J945*(1+$K945)^(1-1)*(1-$L945)*(1-$M945)</f>
        <v/>
      </c>
      <c r="R945" s="33">
        <f>$J945*(1+$K945)^(2-1)*(1-$L945)*(1-$M945)</f>
        <v/>
      </c>
      <c r="S945" s="33">
        <f>$J945*(1+$K945)^(3-1)*(1-$L945)*(1-$M945)</f>
        <v/>
      </c>
      <c r="T945" s="33">
        <f>$J945*(1+$K945)^(4-1)*(1-$L945)*(1-$M945)</f>
        <v/>
      </c>
      <c r="U945" s="33">
        <f>$J945*(1+$K945)^(5-1)*(1-$L945)*(1-$M945)+$O945</f>
        <v/>
      </c>
      <c r="V945" s="33">
        <f>P945+NPV($N945,Q945:U945)</f>
        <v/>
      </c>
      <c r="W945" s="32">
        <f>IFERROR(IRR(P945:U945,0.1),"")</f>
        <v/>
      </c>
    </row>
    <row r="946">
      <c r="A946" s="14" t="n">
        <v>942</v>
      </c>
      <c r="B946" s="30">
        <f>RAND()*(1-2E-6)+1E-6</f>
        <v/>
      </c>
      <c r="C946" s="30">
        <f>RAND()*(1-2E-6)+1E-6</f>
        <v/>
      </c>
      <c r="D946" s="30">
        <f>RAND()*(1-2E-6)+1E-6</f>
        <v/>
      </c>
      <c r="E946" s="30">
        <f>RAND()*(1-2E-6)+1E-6</f>
        <v/>
      </c>
      <c r="F946" s="30">
        <f>RAND()*(1-2E-6)+1E-6</f>
        <v/>
      </c>
      <c r="G946" s="30">
        <f>RAND()*(1-2E-6)+1E-6</f>
        <v/>
      </c>
      <c r="H946" s="30">
        <f>RAND()*(1-2E-6)+1E-6</f>
        <v/>
      </c>
      <c r="I946" s="31">
        <f>MIN(IF(Supuestos!$H$5="",1E+99,Supuestos!$H$5),MAX(IF(Supuestos!$G$5="",-1E+99,Supuestos!$G$5),IF(Supuestos!$C$5="Normal",NORMINV(B946,Supuestos!$D$5,Supuestos!$E$5),IF(Supuestos!$C$5="Triangular",IF(B946&lt;(Supuestos!$E$5-Supuestos!$D$5)/(Supuestos!$F$5-Supuestos!$D$5),Supuestos!$D$5+SQRT(B946*(Supuestos!$F$5-Supuestos!$D$5)*(Supuestos!$E$5-Supuestos!$D$5)),Supuestos!$F$5-SQRT((1-B946)*(Supuestos!$F$5-Supuestos!$D$5)*(Supuestos!$F$5-Supuestos!$E$5))),IF(Supuestos!$C$5="Uniforme",Supuestos!$D$5+B946*(Supuestos!$E$5-Supuestos!$D$5),IF(Supuestos!$C$5="Lognormal",LOGINV(B946,LN(Supuestos!$D$5)-LN(1+Supuestos!$E$5^2/Supuestos!$D$5^2)/2,SQRT(LN(1+Supuestos!$E$5^2/Supuestos!$D$5^2))),Supuestos!$D$5))))))</f>
        <v/>
      </c>
      <c r="J946" s="31">
        <f>MIN(IF(Supuestos!$H$6="",1E+99,Supuestos!$H$6),MAX(IF(Supuestos!$G$6="",-1E+99,Supuestos!$G$6),IF(Supuestos!$C$6="Normal",NORMINV(C946,Supuestos!$D$6,Supuestos!$E$6),IF(Supuestos!$C$6="Triangular",IF(C946&lt;(Supuestos!$E$6-Supuestos!$D$6)/(Supuestos!$F$6-Supuestos!$D$6),Supuestos!$D$6+SQRT(C946*(Supuestos!$F$6-Supuestos!$D$6)*(Supuestos!$E$6-Supuestos!$D$6)),Supuestos!$F$6-SQRT((1-C946)*(Supuestos!$F$6-Supuestos!$D$6)*(Supuestos!$F$6-Supuestos!$E$6))),IF(Supuestos!$C$6="Uniforme",Supuestos!$D$6+C946*(Supuestos!$E$6-Supuestos!$D$6),IF(Supuestos!$C$6="Lognormal",LOGINV(C946,LN(Supuestos!$D$6)-LN(1+Supuestos!$E$6^2/Supuestos!$D$6^2)/2,SQRT(LN(1+Supuestos!$E$6^2/Supuestos!$D$6^2))),Supuestos!$D$6))))))</f>
        <v/>
      </c>
      <c r="K946" s="32">
        <f>MIN(IF(Supuestos!$H$7="",1E+99,Supuestos!$H$7),MAX(IF(Supuestos!$G$7="",-1E+99,Supuestos!$G$7),IF(Supuestos!$C$7="Normal",NORMINV(D946,Supuestos!$D$7,Supuestos!$E$7),IF(Supuestos!$C$7="Triangular",IF(D946&lt;(Supuestos!$E$7-Supuestos!$D$7)/(Supuestos!$F$7-Supuestos!$D$7),Supuestos!$D$7+SQRT(D946*(Supuestos!$F$7-Supuestos!$D$7)*(Supuestos!$E$7-Supuestos!$D$7)),Supuestos!$F$7-SQRT((1-D946)*(Supuestos!$F$7-Supuestos!$D$7)*(Supuestos!$F$7-Supuestos!$E$7))),IF(Supuestos!$C$7="Uniforme",Supuestos!$D$7+D946*(Supuestos!$E$7-Supuestos!$D$7),IF(Supuestos!$C$7="Lognormal",LOGINV(D946,LN(Supuestos!$D$7)-LN(1+Supuestos!$E$7^2/Supuestos!$D$7^2)/2,SQRT(LN(1+Supuestos!$E$7^2/Supuestos!$D$7^2))),Supuestos!$D$7))))))</f>
        <v/>
      </c>
      <c r="L946" s="32">
        <f>MIN(IF(Supuestos!$H$8="",1E+99,Supuestos!$H$8),MAX(IF(Supuestos!$G$8="",-1E+99,Supuestos!$G$8),IF(Supuestos!$C$8="Normal",NORMINV(E946,Supuestos!$D$8,Supuestos!$E$8),IF(Supuestos!$C$8="Triangular",IF(E946&lt;(Supuestos!$E$8-Supuestos!$D$8)/(Supuestos!$F$8-Supuestos!$D$8),Supuestos!$D$8+SQRT(E946*(Supuestos!$F$8-Supuestos!$D$8)*(Supuestos!$E$8-Supuestos!$D$8)),Supuestos!$F$8-SQRT((1-E946)*(Supuestos!$F$8-Supuestos!$D$8)*(Supuestos!$F$8-Supuestos!$E$8))),IF(Supuestos!$C$8="Uniforme",Supuestos!$D$8+E946*(Supuestos!$E$8-Supuestos!$D$8),IF(Supuestos!$C$8="Lognormal",LOGINV(E946,LN(Supuestos!$D$8)-LN(1+Supuestos!$E$8^2/Supuestos!$D$8^2)/2,SQRT(LN(1+Supuestos!$E$8^2/Supuestos!$D$8^2))),Supuestos!$D$8))))))</f>
        <v/>
      </c>
      <c r="M946" s="32">
        <f>MIN(IF(Supuestos!$H$9="",1E+99,Supuestos!$H$9),MAX(IF(Supuestos!$G$9="",-1E+99,Supuestos!$G$9),IF(Supuestos!$C$9="Normal",NORMINV(F946,Supuestos!$D$9,Supuestos!$E$9),IF(Supuestos!$C$9="Triangular",IF(F946&lt;(Supuestos!$E$9-Supuestos!$D$9)/(Supuestos!$F$9-Supuestos!$D$9),Supuestos!$D$9+SQRT(F946*(Supuestos!$F$9-Supuestos!$D$9)*(Supuestos!$E$9-Supuestos!$D$9)),Supuestos!$F$9-SQRT((1-F946)*(Supuestos!$F$9-Supuestos!$D$9)*(Supuestos!$F$9-Supuestos!$E$9))),IF(Supuestos!$C$9="Uniforme",Supuestos!$D$9+F946*(Supuestos!$E$9-Supuestos!$D$9),IF(Supuestos!$C$9="Lognormal",LOGINV(F946,LN(Supuestos!$D$9)-LN(1+Supuestos!$E$9^2/Supuestos!$D$9^2)/2,SQRT(LN(1+Supuestos!$E$9^2/Supuestos!$D$9^2))),Supuestos!$D$9))))))</f>
        <v/>
      </c>
      <c r="N946" s="32">
        <f>MIN(IF(Supuestos!$H$10="",1E+99,Supuestos!$H$10),MAX(IF(Supuestos!$G$10="",-1E+99,Supuestos!$G$10),IF(Supuestos!$C$10="Normal",NORMINV(G946,Supuestos!$D$10,Supuestos!$E$10),IF(Supuestos!$C$10="Triangular",IF(G946&lt;(Supuestos!$E$10-Supuestos!$D$10)/(Supuestos!$F$10-Supuestos!$D$10),Supuestos!$D$10+SQRT(G946*(Supuestos!$F$10-Supuestos!$D$10)*(Supuestos!$E$10-Supuestos!$D$10)),Supuestos!$F$10-SQRT((1-G946)*(Supuestos!$F$10-Supuestos!$D$10)*(Supuestos!$F$10-Supuestos!$E$10))),IF(Supuestos!$C$10="Uniforme",Supuestos!$D$10+G946*(Supuestos!$E$10-Supuestos!$D$10),IF(Supuestos!$C$10="Lognormal",LOGINV(G946,LN(Supuestos!$D$10)-LN(1+Supuestos!$E$10^2/Supuestos!$D$10^2)/2,SQRT(LN(1+Supuestos!$E$10^2/Supuestos!$D$10^2))),Supuestos!$D$10))))))</f>
        <v/>
      </c>
      <c r="O946" s="31">
        <f>MIN(IF(Supuestos!$H$11="",1E+99,Supuestos!$H$11),MAX(IF(Supuestos!$G$11="",-1E+99,Supuestos!$G$11),IF(Supuestos!$C$11="Normal",NORMINV(H946,Supuestos!$D$11,Supuestos!$E$11),IF(Supuestos!$C$11="Triangular",IF(H946&lt;(Supuestos!$E$11-Supuestos!$D$11)/(Supuestos!$F$11-Supuestos!$D$11),Supuestos!$D$11+SQRT(H946*(Supuestos!$F$11-Supuestos!$D$11)*(Supuestos!$E$11-Supuestos!$D$11)),Supuestos!$F$11-SQRT((1-H946)*(Supuestos!$F$11-Supuestos!$D$11)*(Supuestos!$F$11-Supuestos!$E$11))),IF(Supuestos!$C$11="Uniforme",Supuestos!$D$11+H946*(Supuestos!$E$11-Supuestos!$D$11),IF(Supuestos!$C$11="Lognormal",LOGINV(H946,LN(Supuestos!$D$11)-LN(1+Supuestos!$E$11^2/Supuestos!$D$11^2)/2,SQRT(LN(1+Supuestos!$E$11^2/Supuestos!$D$11^2))),Supuestos!$D$11))))))</f>
        <v/>
      </c>
      <c r="P946" s="33">
        <f>-I946</f>
        <v/>
      </c>
      <c r="Q946" s="33">
        <f>$J946*(1+$K946)^(1-1)*(1-$L946)*(1-$M946)</f>
        <v/>
      </c>
      <c r="R946" s="33">
        <f>$J946*(1+$K946)^(2-1)*(1-$L946)*(1-$M946)</f>
        <v/>
      </c>
      <c r="S946" s="33">
        <f>$J946*(1+$K946)^(3-1)*(1-$L946)*(1-$M946)</f>
        <v/>
      </c>
      <c r="T946" s="33">
        <f>$J946*(1+$K946)^(4-1)*(1-$L946)*(1-$M946)</f>
        <v/>
      </c>
      <c r="U946" s="33">
        <f>$J946*(1+$K946)^(5-1)*(1-$L946)*(1-$M946)+$O946</f>
        <v/>
      </c>
      <c r="V946" s="33">
        <f>P946+NPV($N946,Q946:U946)</f>
        <v/>
      </c>
      <c r="W946" s="32">
        <f>IFERROR(IRR(P946:U946,0.1),"")</f>
        <v/>
      </c>
    </row>
    <row r="947">
      <c r="A947" s="14" t="n">
        <v>943</v>
      </c>
      <c r="B947" s="30">
        <f>RAND()*(1-2E-6)+1E-6</f>
        <v/>
      </c>
      <c r="C947" s="30">
        <f>RAND()*(1-2E-6)+1E-6</f>
        <v/>
      </c>
      <c r="D947" s="30">
        <f>RAND()*(1-2E-6)+1E-6</f>
        <v/>
      </c>
      <c r="E947" s="30">
        <f>RAND()*(1-2E-6)+1E-6</f>
        <v/>
      </c>
      <c r="F947" s="30">
        <f>RAND()*(1-2E-6)+1E-6</f>
        <v/>
      </c>
      <c r="G947" s="30">
        <f>RAND()*(1-2E-6)+1E-6</f>
        <v/>
      </c>
      <c r="H947" s="30">
        <f>RAND()*(1-2E-6)+1E-6</f>
        <v/>
      </c>
      <c r="I947" s="31">
        <f>MIN(IF(Supuestos!$H$5="",1E+99,Supuestos!$H$5),MAX(IF(Supuestos!$G$5="",-1E+99,Supuestos!$G$5),IF(Supuestos!$C$5="Normal",NORMINV(B947,Supuestos!$D$5,Supuestos!$E$5),IF(Supuestos!$C$5="Triangular",IF(B947&lt;(Supuestos!$E$5-Supuestos!$D$5)/(Supuestos!$F$5-Supuestos!$D$5),Supuestos!$D$5+SQRT(B947*(Supuestos!$F$5-Supuestos!$D$5)*(Supuestos!$E$5-Supuestos!$D$5)),Supuestos!$F$5-SQRT((1-B947)*(Supuestos!$F$5-Supuestos!$D$5)*(Supuestos!$F$5-Supuestos!$E$5))),IF(Supuestos!$C$5="Uniforme",Supuestos!$D$5+B947*(Supuestos!$E$5-Supuestos!$D$5),IF(Supuestos!$C$5="Lognormal",LOGINV(B947,LN(Supuestos!$D$5)-LN(1+Supuestos!$E$5^2/Supuestos!$D$5^2)/2,SQRT(LN(1+Supuestos!$E$5^2/Supuestos!$D$5^2))),Supuestos!$D$5))))))</f>
        <v/>
      </c>
      <c r="J947" s="31">
        <f>MIN(IF(Supuestos!$H$6="",1E+99,Supuestos!$H$6),MAX(IF(Supuestos!$G$6="",-1E+99,Supuestos!$G$6),IF(Supuestos!$C$6="Normal",NORMINV(C947,Supuestos!$D$6,Supuestos!$E$6),IF(Supuestos!$C$6="Triangular",IF(C947&lt;(Supuestos!$E$6-Supuestos!$D$6)/(Supuestos!$F$6-Supuestos!$D$6),Supuestos!$D$6+SQRT(C947*(Supuestos!$F$6-Supuestos!$D$6)*(Supuestos!$E$6-Supuestos!$D$6)),Supuestos!$F$6-SQRT((1-C947)*(Supuestos!$F$6-Supuestos!$D$6)*(Supuestos!$F$6-Supuestos!$E$6))),IF(Supuestos!$C$6="Uniforme",Supuestos!$D$6+C947*(Supuestos!$E$6-Supuestos!$D$6),IF(Supuestos!$C$6="Lognormal",LOGINV(C947,LN(Supuestos!$D$6)-LN(1+Supuestos!$E$6^2/Supuestos!$D$6^2)/2,SQRT(LN(1+Supuestos!$E$6^2/Supuestos!$D$6^2))),Supuestos!$D$6))))))</f>
        <v/>
      </c>
      <c r="K947" s="32">
        <f>MIN(IF(Supuestos!$H$7="",1E+99,Supuestos!$H$7),MAX(IF(Supuestos!$G$7="",-1E+99,Supuestos!$G$7),IF(Supuestos!$C$7="Normal",NORMINV(D947,Supuestos!$D$7,Supuestos!$E$7),IF(Supuestos!$C$7="Triangular",IF(D947&lt;(Supuestos!$E$7-Supuestos!$D$7)/(Supuestos!$F$7-Supuestos!$D$7),Supuestos!$D$7+SQRT(D947*(Supuestos!$F$7-Supuestos!$D$7)*(Supuestos!$E$7-Supuestos!$D$7)),Supuestos!$F$7-SQRT((1-D947)*(Supuestos!$F$7-Supuestos!$D$7)*(Supuestos!$F$7-Supuestos!$E$7))),IF(Supuestos!$C$7="Uniforme",Supuestos!$D$7+D947*(Supuestos!$E$7-Supuestos!$D$7),IF(Supuestos!$C$7="Lognormal",LOGINV(D947,LN(Supuestos!$D$7)-LN(1+Supuestos!$E$7^2/Supuestos!$D$7^2)/2,SQRT(LN(1+Supuestos!$E$7^2/Supuestos!$D$7^2))),Supuestos!$D$7))))))</f>
        <v/>
      </c>
      <c r="L947" s="32">
        <f>MIN(IF(Supuestos!$H$8="",1E+99,Supuestos!$H$8),MAX(IF(Supuestos!$G$8="",-1E+99,Supuestos!$G$8),IF(Supuestos!$C$8="Normal",NORMINV(E947,Supuestos!$D$8,Supuestos!$E$8),IF(Supuestos!$C$8="Triangular",IF(E947&lt;(Supuestos!$E$8-Supuestos!$D$8)/(Supuestos!$F$8-Supuestos!$D$8),Supuestos!$D$8+SQRT(E947*(Supuestos!$F$8-Supuestos!$D$8)*(Supuestos!$E$8-Supuestos!$D$8)),Supuestos!$F$8-SQRT((1-E947)*(Supuestos!$F$8-Supuestos!$D$8)*(Supuestos!$F$8-Supuestos!$E$8))),IF(Supuestos!$C$8="Uniforme",Supuestos!$D$8+E947*(Supuestos!$E$8-Supuestos!$D$8),IF(Supuestos!$C$8="Lognormal",LOGINV(E947,LN(Supuestos!$D$8)-LN(1+Supuestos!$E$8^2/Supuestos!$D$8^2)/2,SQRT(LN(1+Supuestos!$E$8^2/Supuestos!$D$8^2))),Supuestos!$D$8))))))</f>
        <v/>
      </c>
      <c r="M947" s="32">
        <f>MIN(IF(Supuestos!$H$9="",1E+99,Supuestos!$H$9),MAX(IF(Supuestos!$G$9="",-1E+99,Supuestos!$G$9),IF(Supuestos!$C$9="Normal",NORMINV(F947,Supuestos!$D$9,Supuestos!$E$9),IF(Supuestos!$C$9="Triangular",IF(F947&lt;(Supuestos!$E$9-Supuestos!$D$9)/(Supuestos!$F$9-Supuestos!$D$9),Supuestos!$D$9+SQRT(F947*(Supuestos!$F$9-Supuestos!$D$9)*(Supuestos!$E$9-Supuestos!$D$9)),Supuestos!$F$9-SQRT((1-F947)*(Supuestos!$F$9-Supuestos!$D$9)*(Supuestos!$F$9-Supuestos!$E$9))),IF(Supuestos!$C$9="Uniforme",Supuestos!$D$9+F947*(Supuestos!$E$9-Supuestos!$D$9),IF(Supuestos!$C$9="Lognormal",LOGINV(F947,LN(Supuestos!$D$9)-LN(1+Supuestos!$E$9^2/Supuestos!$D$9^2)/2,SQRT(LN(1+Supuestos!$E$9^2/Supuestos!$D$9^2))),Supuestos!$D$9))))))</f>
        <v/>
      </c>
      <c r="N947" s="32">
        <f>MIN(IF(Supuestos!$H$10="",1E+99,Supuestos!$H$10),MAX(IF(Supuestos!$G$10="",-1E+99,Supuestos!$G$10),IF(Supuestos!$C$10="Normal",NORMINV(G947,Supuestos!$D$10,Supuestos!$E$10),IF(Supuestos!$C$10="Triangular",IF(G947&lt;(Supuestos!$E$10-Supuestos!$D$10)/(Supuestos!$F$10-Supuestos!$D$10),Supuestos!$D$10+SQRT(G947*(Supuestos!$F$10-Supuestos!$D$10)*(Supuestos!$E$10-Supuestos!$D$10)),Supuestos!$F$10-SQRT((1-G947)*(Supuestos!$F$10-Supuestos!$D$10)*(Supuestos!$F$10-Supuestos!$E$10))),IF(Supuestos!$C$10="Uniforme",Supuestos!$D$10+G947*(Supuestos!$E$10-Supuestos!$D$10),IF(Supuestos!$C$10="Lognormal",LOGINV(G947,LN(Supuestos!$D$10)-LN(1+Supuestos!$E$10^2/Supuestos!$D$10^2)/2,SQRT(LN(1+Supuestos!$E$10^2/Supuestos!$D$10^2))),Supuestos!$D$10))))))</f>
        <v/>
      </c>
      <c r="O947" s="31">
        <f>MIN(IF(Supuestos!$H$11="",1E+99,Supuestos!$H$11),MAX(IF(Supuestos!$G$11="",-1E+99,Supuestos!$G$11),IF(Supuestos!$C$11="Normal",NORMINV(H947,Supuestos!$D$11,Supuestos!$E$11),IF(Supuestos!$C$11="Triangular",IF(H947&lt;(Supuestos!$E$11-Supuestos!$D$11)/(Supuestos!$F$11-Supuestos!$D$11),Supuestos!$D$11+SQRT(H947*(Supuestos!$F$11-Supuestos!$D$11)*(Supuestos!$E$11-Supuestos!$D$11)),Supuestos!$F$11-SQRT((1-H947)*(Supuestos!$F$11-Supuestos!$D$11)*(Supuestos!$F$11-Supuestos!$E$11))),IF(Supuestos!$C$11="Uniforme",Supuestos!$D$11+H947*(Supuestos!$E$11-Supuestos!$D$11),IF(Supuestos!$C$11="Lognormal",LOGINV(H947,LN(Supuestos!$D$11)-LN(1+Supuestos!$E$11^2/Supuestos!$D$11^2)/2,SQRT(LN(1+Supuestos!$E$11^2/Supuestos!$D$11^2))),Supuestos!$D$11))))))</f>
        <v/>
      </c>
      <c r="P947" s="33">
        <f>-I947</f>
        <v/>
      </c>
      <c r="Q947" s="33">
        <f>$J947*(1+$K947)^(1-1)*(1-$L947)*(1-$M947)</f>
        <v/>
      </c>
      <c r="R947" s="33">
        <f>$J947*(1+$K947)^(2-1)*(1-$L947)*(1-$M947)</f>
        <v/>
      </c>
      <c r="S947" s="33">
        <f>$J947*(1+$K947)^(3-1)*(1-$L947)*(1-$M947)</f>
        <v/>
      </c>
      <c r="T947" s="33">
        <f>$J947*(1+$K947)^(4-1)*(1-$L947)*(1-$M947)</f>
        <v/>
      </c>
      <c r="U947" s="33">
        <f>$J947*(1+$K947)^(5-1)*(1-$L947)*(1-$M947)+$O947</f>
        <v/>
      </c>
      <c r="V947" s="33">
        <f>P947+NPV($N947,Q947:U947)</f>
        <v/>
      </c>
      <c r="W947" s="32">
        <f>IFERROR(IRR(P947:U947,0.1),"")</f>
        <v/>
      </c>
    </row>
    <row r="948">
      <c r="A948" s="14" t="n">
        <v>944</v>
      </c>
      <c r="B948" s="30">
        <f>RAND()*(1-2E-6)+1E-6</f>
        <v/>
      </c>
      <c r="C948" s="30">
        <f>RAND()*(1-2E-6)+1E-6</f>
        <v/>
      </c>
      <c r="D948" s="30">
        <f>RAND()*(1-2E-6)+1E-6</f>
        <v/>
      </c>
      <c r="E948" s="30">
        <f>RAND()*(1-2E-6)+1E-6</f>
        <v/>
      </c>
      <c r="F948" s="30">
        <f>RAND()*(1-2E-6)+1E-6</f>
        <v/>
      </c>
      <c r="G948" s="30">
        <f>RAND()*(1-2E-6)+1E-6</f>
        <v/>
      </c>
      <c r="H948" s="30">
        <f>RAND()*(1-2E-6)+1E-6</f>
        <v/>
      </c>
      <c r="I948" s="31">
        <f>MIN(IF(Supuestos!$H$5="",1E+99,Supuestos!$H$5),MAX(IF(Supuestos!$G$5="",-1E+99,Supuestos!$G$5),IF(Supuestos!$C$5="Normal",NORMINV(B948,Supuestos!$D$5,Supuestos!$E$5),IF(Supuestos!$C$5="Triangular",IF(B948&lt;(Supuestos!$E$5-Supuestos!$D$5)/(Supuestos!$F$5-Supuestos!$D$5),Supuestos!$D$5+SQRT(B948*(Supuestos!$F$5-Supuestos!$D$5)*(Supuestos!$E$5-Supuestos!$D$5)),Supuestos!$F$5-SQRT((1-B948)*(Supuestos!$F$5-Supuestos!$D$5)*(Supuestos!$F$5-Supuestos!$E$5))),IF(Supuestos!$C$5="Uniforme",Supuestos!$D$5+B948*(Supuestos!$E$5-Supuestos!$D$5),IF(Supuestos!$C$5="Lognormal",LOGINV(B948,LN(Supuestos!$D$5)-LN(1+Supuestos!$E$5^2/Supuestos!$D$5^2)/2,SQRT(LN(1+Supuestos!$E$5^2/Supuestos!$D$5^2))),Supuestos!$D$5))))))</f>
        <v/>
      </c>
      <c r="J948" s="31">
        <f>MIN(IF(Supuestos!$H$6="",1E+99,Supuestos!$H$6),MAX(IF(Supuestos!$G$6="",-1E+99,Supuestos!$G$6),IF(Supuestos!$C$6="Normal",NORMINV(C948,Supuestos!$D$6,Supuestos!$E$6),IF(Supuestos!$C$6="Triangular",IF(C948&lt;(Supuestos!$E$6-Supuestos!$D$6)/(Supuestos!$F$6-Supuestos!$D$6),Supuestos!$D$6+SQRT(C948*(Supuestos!$F$6-Supuestos!$D$6)*(Supuestos!$E$6-Supuestos!$D$6)),Supuestos!$F$6-SQRT((1-C948)*(Supuestos!$F$6-Supuestos!$D$6)*(Supuestos!$F$6-Supuestos!$E$6))),IF(Supuestos!$C$6="Uniforme",Supuestos!$D$6+C948*(Supuestos!$E$6-Supuestos!$D$6),IF(Supuestos!$C$6="Lognormal",LOGINV(C948,LN(Supuestos!$D$6)-LN(1+Supuestos!$E$6^2/Supuestos!$D$6^2)/2,SQRT(LN(1+Supuestos!$E$6^2/Supuestos!$D$6^2))),Supuestos!$D$6))))))</f>
        <v/>
      </c>
      <c r="K948" s="32">
        <f>MIN(IF(Supuestos!$H$7="",1E+99,Supuestos!$H$7),MAX(IF(Supuestos!$G$7="",-1E+99,Supuestos!$G$7),IF(Supuestos!$C$7="Normal",NORMINV(D948,Supuestos!$D$7,Supuestos!$E$7),IF(Supuestos!$C$7="Triangular",IF(D948&lt;(Supuestos!$E$7-Supuestos!$D$7)/(Supuestos!$F$7-Supuestos!$D$7),Supuestos!$D$7+SQRT(D948*(Supuestos!$F$7-Supuestos!$D$7)*(Supuestos!$E$7-Supuestos!$D$7)),Supuestos!$F$7-SQRT((1-D948)*(Supuestos!$F$7-Supuestos!$D$7)*(Supuestos!$F$7-Supuestos!$E$7))),IF(Supuestos!$C$7="Uniforme",Supuestos!$D$7+D948*(Supuestos!$E$7-Supuestos!$D$7),IF(Supuestos!$C$7="Lognormal",LOGINV(D948,LN(Supuestos!$D$7)-LN(1+Supuestos!$E$7^2/Supuestos!$D$7^2)/2,SQRT(LN(1+Supuestos!$E$7^2/Supuestos!$D$7^2))),Supuestos!$D$7))))))</f>
        <v/>
      </c>
      <c r="L948" s="32">
        <f>MIN(IF(Supuestos!$H$8="",1E+99,Supuestos!$H$8),MAX(IF(Supuestos!$G$8="",-1E+99,Supuestos!$G$8),IF(Supuestos!$C$8="Normal",NORMINV(E948,Supuestos!$D$8,Supuestos!$E$8),IF(Supuestos!$C$8="Triangular",IF(E948&lt;(Supuestos!$E$8-Supuestos!$D$8)/(Supuestos!$F$8-Supuestos!$D$8),Supuestos!$D$8+SQRT(E948*(Supuestos!$F$8-Supuestos!$D$8)*(Supuestos!$E$8-Supuestos!$D$8)),Supuestos!$F$8-SQRT((1-E948)*(Supuestos!$F$8-Supuestos!$D$8)*(Supuestos!$F$8-Supuestos!$E$8))),IF(Supuestos!$C$8="Uniforme",Supuestos!$D$8+E948*(Supuestos!$E$8-Supuestos!$D$8),IF(Supuestos!$C$8="Lognormal",LOGINV(E948,LN(Supuestos!$D$8)-LN(1+Supuestos!$E$8^2/Supuestos!$D$8^2)/2,SQRT(LN(1+Supuestos!$E$8^2/Supuestos!$D$8^2))),Supuestos!$D$8))))))</f>
        <v/>
      </c>
      <c r="M948" s="32">
        <f>MIN(IF(Supuestos!$H$9="",1E+99,Supuestos!$H$9),MAX(IF(Supuestos!$G$9="",-1E+99,Supuestos!$G$9),IF(Supuestos!$C$9="Normal",NORMINV(F948,Supuestos!$D$9,Supuestos!$E$9),IF(Supuestos!$C$9="Triangular",IF(F948&lt;(Supuestos!$E$9-Supuestos!$D$9)/(Supuestos!$F$9-Supuestos!$D$9),Supuestos!$D$9+SQRT(F948*(Supuestos!$F$9-Supuestos!$D$9)*(Supuestos!$E$9-Supuestos!$D$9)),Supuestos!$F$9-SQRT((1-F948)*(Supuestos!$F$9-Supuestos!$D$9)*(Supuestos!$F$9-Supuestos!$E$9))),IF(Supuestos!$C$9="Uniforme",Supuestos!$D$9+F948*(Supuestos!$E$9-Supuestos!$D$9),IF(Supuestos!$C$9="Lognormal",LOGINV(F948,LN(Supuestos!$D$9)-LN(1+Supuestos!$E$9^2/Supuestos!$D$9^2)/2,SQRT(LN(1+Supuestos!$E$9^2/Supuestos!$D$9^2))),Supuestos!$D$9))))))</f>
        <v/>
      </c>
      <c r="N948" s="32">
        <f>MIN(IF(Supuestos!$H$10="",1E+99,Supuestos!$H$10),MAX(IF(Supuestos!$G$10="",-1E+99,Supuestos!$G$10),IF(Supuestos!$C$10="Normal",NORMINV(G948,Supuestos!$D$10,Supuestos!$E$10),IF(Supuestos!$C$10="Triangular",IF(G948&lt;(Supuestos!$E$10-Supuestos!$D$10)/(Supuestos!$F$10-Supuestos!$D$10),Supuestos!$D$10+SQRT(G948*(Supuestos!$F$10-Supuestos!$D$10)*(Supuestos!$E$10-Supuestos!$D$10)),Supuestos!$F$10-SQRT((1-G948)*(Supuestos!$F$10-Supuestos!$D$10)*(Supuestos!$F$10-Supuestos!$E$10))),IF(Supuestos!$C$10="Uniforme",Supuestos!$D$10+G948*(Supuestos!$E$10-Supuestos!$D$10),IF(Supuestos!$C$10="Lognormal",LOGINV(G948,LN(Supuestos!$D$10)-LN(1+Supuestos!$E$10^2/Supuestos!$D$10^2)/2,SQRT(LN(1+Supuestos!$E$10^2/Supuestos!$D$10^2))),Supuestos!$D$10))))))</f>
        <v/>
      </c>
      <c r="O948" s="31">
        <f>MIN(IF(Supuestos!$H$11="",1E+99,Supuestos!$H$11),MAX(IF(Supuestos!$G$11="",-1E+99,Supuestos!$G$11),IF(Supuestos!$C$11="Normal",NORMINV(H948,Supuestos!$D$11,Supuestos!$E$11),IF(Supuestos!$C$11="Triangular",IF(H948&lt;(Supuestos!$E$11-Supuestos!$D$11)/(Supuestos!$F$11-Supuestos!$D$11),Supuestos!$D$11+SQRT(H948*(Supuestos!$F$11-Supuestos!$D$11)*(Supuestos!$E$11-Supuestos!$D$11)),Supuestos!$F$11-SQRT((1-H948)*(Supuestos!$F$11-Supuestos!$D$11)*(Supuestos!$F$11-Supuestos!$E$11))),IF(Supuestos!$C$11="Uniforme",Supuestos!$D$11+H948*(Supuestos!$E$11-Supuestos!$D$11),IF(Supuestos!$C$11="Lognormal",LOGINV(H948,LN(Supuestos!$D$11)-LN(1+Supuestos!$E$11^2/Supuestos!$D$11^2)/2,SQRT(LN(1+Supuestos!$E$11^2/Supuestos!$D$11^2))),Supuestos!$D$11))))))</f>
        <v/>
      </c>
      <c r="P948" s="33">
        <f>-I948</f>
        <v/>
      </c>
      <c r="Q948" s="33">
        <f>$J948*(1+$K948)^(1-1)*(1-$L948)*(1-$M948)</f>
        <v/>
      </c>
      <c r="R948" s="33">
        <f>$J948*(1+$K948)^(2-1)*(1-$L948)*(1-$M948)</f>
        <v/>
      </c>
      <c r="S948" s="33">
        <f>$J948*(1+$K948)^(3-1)*(1-$L948)*(1-$M948)</f>
        <v/>
      </c>
      <c r="T948" s="33">
        <f>$J948*(1+$K948)^(4-1)*(1-$L948)*(1-$M948)</f>
        <v/>
      </c>
      <c r="U948" s="33">
        <f>$J948*(1+$K948)^(5-1)*(1-$L948)*(1-$M948)+$O948</f>
        <v/>
      </c>
      <c r="V948" s="33">
        <f>P948+NPV($N948,Q948:U948)</f>
        <v/>
      </c>
      <c r="W948" s="32">
        <f>IFERROR(IRR(P948:U948,0.1),"")</f>
        <v/>
      </c>
    </row>
    <row r="949">
      <c r="A949" s="14" t="n">
        <v>945</v>
      </c>
      <c r="B949" s="30">
        <f>RAND()*(1-2E-6)+1E-6</f>
        <v/>
      </c>
      <c r="C949" s="30">
        <f>RAND()*(1-2E-6)+1E-6</f>
        <v/>
      </c>
      <c r="D949" s="30">
        <f>RAND()*(1-2E-6)+1E-6</f>
        <v/>
      </c>
      <c r="E949" s="30">
        <f>RAND()*(1-2E-6)+1E-6</f>
        <v/>
      </c>
      <c r="F949" s="30">
        <f>RAND()*(1-2E-6)+1E-6</f>
        <v/>
      </c>
      <c r="G949" s="30">
        <f>RAND()*(1-2E-6)+1E-6</f>
        <v/>
      </c>
      <c r="H949" s="30">
        <f>RAND()*(1-2E-6)+1E-6</f>
        <v/>
      </c>
      <c r="I949" s="31">
        <f>MIN(IF(Supuestos!$H$5="",1E+99,Supuestos!$H$5),MAX(IF(Supuestos!$G$5="",-1E+99,Supuestos!$G$5),IF(Supuestos!$C$5="Normal",NORMINV(B949,Supuestos!$D$5,Supuestos!$E$5),IF(Supuestos!$C$5="Triangular",IF(B949&lt;(Supuestos!$E$5-Supuestos!$D$5)/(Supuestos!$F$5-Supuestos!$D$5),Supuestos!$D$5+SQRT(B949*(Supuestos!$F$5-Supuestos!$D$5)*(Supuestos!$E$5-Supuestos!$D$5)),Supuestos!$F$5-SQRT((1-B949)*(Supuestos!$F$5-Supuestos!$D$5)*(Supuestos!$F$5-Supuestos!$E$5))),IF(Supuestos!$C$5="Uniforme",Supuestos!$D$5+B949*(Supuestos!$E$5-Supuestos!$D$5),IF(Supuestos!$C$5="Lognormal",LOGINV(B949,LN(Supuestos!$D$5)-LN(1+Supuestos!$E$5^2/Supuestos!$D$5^2)/2,SQRT(LN(1+Supuestos!$E$5^2/Supuestos!$D$5^2))),Supuestos!$D$5))))))</f>
        <v/>
      </c>
      <c r="J949" s="31">
        <f>MIN(IF(Supuestos!$H$6="",1E+99,Supuestos!$H$6),MAX(IF(Supuestos!$G$6="",-1E+99,Supuestos!$G$6),IF(Supuestos!$C$6="Normal",NORMINV(C949,Supuestos!$D$6,Supuestos!$E$6),IF(Supuestos!$C$6="Triangular",IF(C949&lt;(Supuestos!$E$6-Supuestos!$D$6)/(Supuestos!$F$6-Supuestos!$D$6),Supuestos!$D$6+SQRT(C949*(Supuestos!$F$6-Supuestos!$D$6)*(Supuestos!$E$6-Supuestos!$D$6)),Supuestos!$F$6-SQRT((1-C949)*(Supuestos!$F$6-Supuestos!$D$6)*(Supuestos!$F$6-Supuestos!$E$6))),IF(Supuestos!$C$6="Uniforme",Supuestos!$D$6+C949*(Supuestos!$E$6-Supuestos!$D$6),IF(Supuestos!$C$6="Lognormal",LOGINV(C949,LN(Supuestos!$D$6)-LN(1+Supuestos!$E$6^2/Supuestos!$D$6^2)/2,SQRT(LN(1+Supuestos!$E$6^2/Supuestos!$D$6^2))),Supuestos!$D$6))))))</f>
        <v/>
      </c>
      <c r="K949" s="32">
        <f>MIN(IF(Supuestos!$H$7="",1E+99,Supuestos!$H$7),MAX(IF(Supuestos!$G$7="",-1E+99,Supuestos!$G$7),IF(Supuestos!$C$7="Normal",NORMINV(D949,Supuestos!$D$7,Supuestos!$E$7),IF(Supuestos!$C$7="Triangular",IF(D949&lt;(Supuestos!$E$7-Supuestos!$D$7)/(Supuestos!$F$7-Supuestos!$D$7),Supuestos!$D$7+SQRT(D949*(Supuestos!$F$7-Supuestos!$D$7)*(Supuestos!$E$7-Supuestos!$D$7)),Supuestos!$F$7-SQRT((1-D949)*(Supuestos!$F$7-Supuestos!$D$7)*(Supuestos!$F$7-Supuestos!$E$7))),IF(Supuestos!$C$7="Uniforme",Supuestos!$D$7+D949*(Supuestos!$E$7-Supuestos!$D$7),IF(Supuestos!$C$7="Lognormal",LOGINV(D949,LN(Supuestos!$D$7)-LN(1+Supuestos!$E$7^2/Supuestos!$D$7^2)/2,SQRT(LN(1+Supuestos!$E$7^2/Supuestos!$D$7^2))),Supuestos!$D$7))))))</f>
        <v/>
      </c>
      <c r="L949" s="32">
        <f>MIN(IF(Supuestos!$H$8="",1E+99,Supuestos!$H$8),MAX(IF(Supuestos!$G$8="",-1E+99,Supuestos!$G$8),IF(Supuestos!$C$8="Normal",NORMINV(E949,Supuestos!$D$8,Supuestos!$E$8),IF(Supuestos!$C$8="Triangular",IF(E949&lt;(Supuestos!$E$8-Supuestos!$D$8)/(Supuestos!$F$8-Supuestos!$D$8),Supuestos!$D$8+SQRT(E949*(Supuestos!$F$8-Supuestos!$D$8)*(Supuestos!$E$8-Supuestos!$D$8)),Supuestos!$F$8-SQRT((1-E949)*(Supuestos!$F$8-Supuestos!$D$8)*(Supuestos!$F$8-Supuestos!$E$8))),IF(Supuestos!$C$8="Uniforme",Supuestos!$D$8+E949*(Supuestos!$E$8-Supuestos!$D$8),IF(Supuestos!$C$8="Lognormal",LOGINV(E949,LN(Supuestos!$D$8)-LN(1+Supuestos!$E$8^2/Supuestos!$D$8^2)/2,SQRT(LN(1+Supuestos!$E$8^2/Supuestos!$D$8^2))),Supuestos!$D$8))))))</f>
        <v/>
      </c>
      <c r="M949" s="32">
        <f>MIN(IF(Supuestos!$H$9="",1E+99,Supuestos!$H$9),MAX(IF(Supuestos!$G$9="",-1E+99,Supuestos!$G$9),IF(Supuestos!$C$9="Normal",NORMINV(F949,Supuestos!$D$9,Supuestos!$E$9),IF(Supuestos!$C$9="Triangular",IF(F949&lt;(Supuestos!$E$9-Supuestos!$D$9)/(Supuestos!$F$9-Supuestos!$D$9),Supuestos!$D$9+SQRT(F949*(Supuestos!$F$9-Supuestos!$D$9)*(Supuestos!$E$9-Supuestos!$D$9)),Supuestos!$F$9-SQRT((1-F949)*(Supuestos!$F$9-Supuestos!$D$9)*(Supuestos!$F$9-Supuestos!$E$9))),IF(Supuestos!$C$9="Uniforme",Supuestos!$D$9+F949*(Supuestos!$E$9-Supuestos!$D$9),IF(Supuestos!$C$9="Lognormal",LOGINV(F949,LN(Supuestos!$D$9)-LN(1+Supuestos!$E$9^2/Supuestos!$D$9^2)/2,SQRT(LN(1+Supuestos!$E$9^2/Supuestos!$D$9^2))),Supuestos!$D$9))))))</f>
        <v/>
      </c>
      <c r="N949" s="32">
        <f>MIN(IF(Supuestos!$H$10="",1E+99,Supuestos!$H$10),MAX(IF(Supuestos!$G$10="",-1E+99,Supuestos!$G$10),IF(Supuestos!$C$10="Normal",NORMINV(G949,Supuestos!$D$10,Supuestos!$E$10),IF(Supuestos!$C$10="Triangular",IF(G949&lt;(Supuestos!$E$10-Supuestos!$D$10)/(Supuestos!$F$10-Supuestos!$D$10),Supuestos!$D$10+SQRT(G949*(Supuestos!$F$10-Supuestos!$D$10)*(Supuestos!$E$10-Supuestos!$D$10)),Supuestos!$F$10-SQRT((1-G949)*(Supuestos!$F$10-Supuestos!$D$10)*(Supuestos!$F$10-Supuestos!$E$10))),IF(Supuestos!$C$10="Uniforme",Supuestos!$D$10+G949*(Supuestos!$E$10-Supuestos!$D$10),IF(Supuestos!$C$10="Lognormal",LOGINV(G949,LN(Supuestos!$D$10)-LN(1+Supuestos!$E$10^2/Supuestos!$D$10^2)/2,SQRT(LN(1+Supuestos!$E$10^2/Supuestos!$D$10^2))),Supuestos!$D$10))))))</f>
        <v/>
      </c>
      <c r="O949" s="31">
        <f>MIN(IF(Supuestos!$H$11="",1E+99,Supuestos!$H$11),MAX(IF(Supuestos!$G$11="",-1E+99,Supuestos!$G$11),IF(Supuestos!$C$11="Normal",NORMINV(H949,Supuestos!$D$11,Supuestos!$E$11),IF(Supuestos!$C$11="Triangular",IF(H949&lt;(Supuestos!$E$11-Supuestos!$D$11)/(Supuestos!$F$11-Supuestos!$D$11),Supuestos!$D$11+SQRT(H949*(Supuestos!$F$11-Supuestos!$D$11)*(Supuestos!$E$11-Supuestos!$D$11)),Supuestos!$F$11-SQRT((1-H949)*(Supuestos!$F$11-Supuestos!$D$11)*(Supuestos!$F$11-Supuestos!$E$11))),IF(Supuestos!$C$11="Uniforme",Supuestos!$D$11+H949*(Supuestos!$E$11-Supuestos!$D$11),IF(Supuestos!$C$11="Lognormal",LOGINV(H949,LN(Supuestos!$D$11)-LN(1+Supuestos!$E$11^2/Supuestos!$D$11^2)/2,SQRT(LN(1+Supuestos!$E$11^2/Supuestos!$D$11^2))),Supuestos!$D$11))))))</f>
        <v/>
      </c>
      <c r="P949" s="33">
        <f>-I949</f>
        <v/>
      </c>
      <c r="Q949" s="33">
        <f>$J949*(1+$K949)^(1-1)*(1-$L949)*(1-$M949)</f>
        <v/>
      </c>
      <c r="R949" s="33">
        <f>$J949*(1+$K949)^(2-1)*(1-$L949)*(1-$M949)</f>
        <v/>
      </c>
      <c r="S949" s="33">
        <f>$J949*(1+$K949)^(3-1)*(1-$L949)*(1-$M949)</f>
        <v/>
      </c>
      <c r="T949" s="33">
        <f>$J949*(1+$K949)^(4-1)*(1-$L949)*(1-$M949)</f>
        <v/>
      </c>
      <c r="U949" s="33">
        <f>$J949*(1+$K949)^(5-1)*(1-$L949)*(1-$M949)+$O949</f>
        <v/>
      </c>
      <c r="V949" s="33">
        <f>P949+NPV($N949,Q949:U949)</f>
        <v/>
      </c>
      <c r="W949" s="32">
        <f>IFERROR(IRR(P949:U949,0.1),"")</f>
        <v/>
      </c>
    </row>
    <row r="950">
      <c r="A950" s="14" t="n">
        <v>946</v>
      </c>
      <c r="B950" s="30">
        <f>RAND()*(1-2E-6)+1E-6</f>
        <v/>
      </c>
      <c r="C950" s="30">
        <f>RAND()*(1-2E-6)+1E-6</f>
        <v/>
      </c>
      <c r="D950" s="30">
        <f>RAND()*(1-2E-6)+1E-6</f>
        <v/>
      </c>
      <c r="E950" s="30">
        <f>RAND()*(1-2E-6)+1E-6</f>
        <v/>
      </c>
      <c r="F950" s="30">
        <f>RAND()*(1-2E-6)+1E-6</f>
        <v/>
      </c>
      <c r="G950" s="30">
        <f>RAND()*(1-2E-6)+1E-6</f>
        <v/>
      </c>
      <c r="H950" s="30">
        <f>RAND()*(1-2E-6)+1E-6</f>
        <v/>
      </c>
      <c r="I950" s="31">
        <f>MIN(IF(Supuestos!$H$5="",1E+99,Supuestos!$H$5),MAX(IF(Supuestos!$G$5="",-1E+99,Supuestos!$G$5),IF(Supuestos!$C$5="Normal",NORMINV(B950,Supuestos!$D$5,Supuestos!$E$5),IF(Supuestos!$C$5="Triangular",IF(B950&lt;(Supuestos!$E$5-Supuestos!$D$5)/(Supuestos!$F$5-Supuestos!$D$5),Supuestos!$D$5+SQRT(B950*(Supuestos!$F$5-Supuestos!$D$5)*(Supuestos!$E$5-Supuestos!$D$5)),Supuestos!$F$5-SQRT((1-B950)*(Supuestos!$F$5-Supuestos!$D$5)*(Supuestos!$F$5-Supuestos!$E$5))),IF(Supuestos!$C$5="Uniforme",Supuestos!$D$5+B950*(Supuestos!$E$5-Supuestos!$D$5),IF(Supuestos!$C$5="Lognormal",LOGINV(B950,LN(Supuestos!$D$5)-LN(1+Supuestos!$E$5^2/Supuestos!$D$5^2)/2,SQRT(LN(1+Supuestos!$E$5^2/Supuestos!$D$5^2))),Supuestos!$D$5))))))</f>
        <v/>
      </c>
      <c r="J950" s="31">
        <f>MIN(IF(Supuestos!$H$6="",1E+99,Supuestos!$H$6),MAX(IF(Supuestos!$G$6="",-1E+99,Supuestos!$G$6),IF(Supuestos!$C$6="Normal",NORMINV(C950,Supuestos!$D$6,Supuestos!$E$6),IF(Supuestos!$C$6="Triangular",IF(C950&lt;(Supuestos!$E$6-Supuestos!$D$6)/(Supuestos!$F$6-Supuestos!$D$6),Supuestos!$D$6+SQRT(C950*(Supuestos!$F$6-Supuestos!$D$6)*(Supuestos!$E$6-Supuestos!$D$6)),Supuestos!$F$6-SQRT((1-C950)*(Supuestos!$F$6-Supuestos!$D$6)*(Supuestos!$F$6-Supuestos!$E$6))),IF(Supuestos!$C$6="Uniforme",Supuestos!$D$6+C950*(Supuestos!$E$6-Supuestos!$D$6),IF(Supuestos!$C$6="Lognormal",LOGINV(C950,LN(Supuestos!$D$6)-LN(1+Supuestos!$E$6^2/Supuestos!$D$6^2)/2,SQRT(LN(1+Supuestos!$E$6^2/Supuestos!$D$6^2))),Supuestos!$D$6))))))</f>
        <v/>
      </c>
      <c r="K950" s="32">
        <f>MIN(IF(Supuestos!$H$7="",1E+99,Supuestos!$H$7),MAX(IF(Supuestos!$G$7="",-1E+99,Supuestos!$G$7),IF(Supuestos!$C$7="Normal",NORMINV(D950,Supuestos!$D$7,Supuestos!$E$7),IF(Supuestos!$C$7="Triangular",IF(D950&lt;(Supuestos!$E$7-Supuestos!$D$7)/(Supuestos!$F$7-Supuestos!$D$7),Supuestos!$D$7+SQRT(D950*(Supuestos!$F$7-Supuestos!$D$7)*(Supuestos!$E$7-Supuestos!$D$7)),Supuestos!$F$7-SQRT((1-D950)*(Supuestos!$F$7-Supuestos!$D$7)*(Supuestos!$F$7-Supuestos!$E$7))),IF(Supuestos!$C$7="Uniforme",Supuestos!$D$7+D950*(Supuestos!$E$7-Supuestos!$D$7),IF(Supuestos!$C$7="Lognormal",LOGINV(D950,LN(Supuestos!$D$7)-LN(1+Supuestos!$E$7^2/Supuestos!$D$7^2)/2,SQRT(LN(1+Supuestos!$E$7^2/Supuestos!$D$7^2))),Supuestos!$D$7))))))</f>
        <v/>
      </c>
      <c r="L950" s="32">
        <f>MIN(IF(Supuestos!$H$8="",1E+99,Supuestos!$H$8),MAX(IF(Supuestos!$G$8="",-1E+99,Supuestos!$G$8),IF(Supuestos!$C$8="Normal",NORMINV(E950,Supuestos!$D$8,Supuestos!$E$8),IF(Supuestos!$C$8="Triangular",IF(E950&lt;(Supuestos!$E$8-Supuestos!$D$8)/(Supuestos!$F$8-Supuestos!$D$8),Supuestos!$D$8+SQRT(E950*(Supuestos!$F$8-Supuestos!$D$8)*(Supuestos!$E$8-Supuestos!$D$8)),Supuestos!$F$8-SQRT((1-E950)*(Supuestos!$F$8-Supuestos!$D$8)*(Supuestos!$F$8-Supuestos!$E$8))),IF(Supuestos!$C$8="Uniforme",Supuestos!$D$8+E950*(Supuestos!$E$8-Supuestos!$D$8),IF(Supuestos!$C$8="Lognormal",LOGINV(E950,LN(Supuestos!$D$8)-LN(1+Supuestos!$E$8^2/Supuestos!$D$8^2)/2,SQRT(LN(1+Supuestos!$E$8^2/Supuestos!$D$8^2))),Supuestos!$D$8))))))</f>
        <v/>
      </c>
      <c r="M950" s="32">
        <f>MIN(IF(Supuestos!$H$9="",1E+99,Supuestos!$H$9),MAX(IF(Supuestos!$G$9="",-1E+99,Supuestos!$G$9),IF(Supuestos!$C$9="Normal",NORMINV(F950,Supuestos!$D$9,Supuestos!$E$9),IF(Supuestos!$C$9="Triangular",IF(F950&lt;(Supuestos!$E$9-Supuestos!$D$9)/(Supuestos!$F$9-Supuestos!$D$9),Supuestos!$D$9+SQRT(F950*(Supuestos!$F$9-Supuestos!$D$9)*(Supuestos!$E$9-Supuestos!$D$9)),Supuestos!$F$9-SQRT((1-F950)*(Supuestos!$F$9-Supuestos!$D$9)*(Supuestos!$F$9-Supuestos!$E$9))),IF(Supuestos!$C$9="Uniforme",Supuestos!$D$9+F950*(Supuestos!$E$9-Supuestos!$D$9),IF(Supuestos!$C$9="Lognormal",LOGINV(F950,LN(Supuestos!$D$9)-LN(1+Supuestos!$E$9^2/Supuestos!$D$9^2)/2,SQRT(LN(1+Supuestos!$E$9^2/Supuestos!$D$9^2))),Supuestos!$D$9))))))</f>
        <v/>
      </c>
      <c r="N950" s="32">
        <f>MIN(IF(Supuestos!$H$10="",1E+99,Supuestos!$H$10),MAX(IF(Supuestos!$G$10="",-1E+99,Supuestos!$G$10),IF(Supuestos!$C$10="Normal",NORMINV(G950,Supuestos!$D$10,Supuestos!$E$10),IF(Supuestos!$C$10="Triangular",IF(G950&lt;(Supuestos!$E$10-Supuestos!$D$10)/(Supuestos!$F$10-Supuestos!$D$10),Supuestos!$D$10+SQRT(G950*(Supuestos!$F$10-Supuestos!$D$10)*(Supuestos!$E$10-Supuestos!$D$10)),Supuestos!$F$10-SQRT((1-G950)*(Supuestos!$F$10-Supuestos!$D$10)*(Supuestos!$F$10-Supuestos!$E$10))),IF(Supuestos!$C$10="Uniforme",Supuestos!$D$10+G950*(Supuestos!$E$10-Supuestos!$D$10),IF(Supuestos!$C$10="Lognormal",LOGINV(G950,LN(Supuestos!$D$10)-LN(1+Supuestos!$E$10^2/Supuestos!$D$10^2)/2,SQRT(LN(1+Supuestos!$E$10^2/Supuestos!$D$10^2))),Supuestos!$D$10))))))</f>
        <v/>
      </c>
      <c r="O950" s="31">
        <f>MIN(IF(Supuestos!$H$11="",1E+99,Supuestos!$H$11),MAX(IF(Supuestos!$G$11="",-1E+99,Supuestos!$G$11),IF(Supuestos!$C$11="Normal",NORMINV(H950,Supuestos!$D$11,Supuestos!$E$11),IF(Supuestos!$C$11="Triangular",IF(H950&lt;(Supuestos!$E$11-Supuestos!$D$11)/(Supuestos!$F$11-Supuestos!$D$11),Supuestos!$D$11+SQRT(H950*(Supuestos!$F$11-Supuestos!$D$11)*(Supuestos!$E$11-Supuestos!$D$11)),Supuestos!$F$11-SQRT((1-H950)*(Supuestos!$F$11-Supuestos!$D$11)*(Supuestos!$F$11-Supuestos!$E$11))),IF(Supuestos!$C$11="Uniforme",Supuestos!$D$11+H950*(Supuestos!$E$11-Supuestos!$D$11),IF(Supuestos!$C$11="Lognormal",LOGINV(H950,LN(Supuestos!$D$11)-LN(1+Supuestos!$E$11^2/Supuestos!$D$11^2)/2,SQRT(LN(1+Supuestos!$E$11^2/Supuestos!$D$11^2))),Supuestos!$D$11))))))</f>
        <v/>
      </c>
      <c r="P950" s="33">
        <f>-I950</f>
        <v/>
      </c>
      <c r="Q950" s="33">
        <f>$J950*(1+$K950)^(1-1)*(1-$L950)*(1-$M950)</f>
        <v/>
      </c>
      <c r="R950" s="33">
        <f>$J950*(1+$K950)^(2-1)*(1-$L950)*(1-$M950)</f>
        <v/>
      </c>
      <c r="S950" s="33">
        <f>$J950*(1+$K950)^(3-1)*(1-$L950)*(1-$M950)</f>
        <v/>
      </c>
      <c r="T950" s="33">
        <f>$J950*(1+$K950)^(4-1)*(1-$L950)*(1-$M950)</f>
        <v/>
      </c>
      <c r="U950" s="33">
        <f>$J950*(1+$K950)^(5-1)*(1-$L950)*(1-$M950)+$O950</f>
        <v/>
      </c>
      <c r="V950" s="33">
        <f>P950+NPV($N950,Q950:U950)</f>
        <v/>
      </c>
      <c r="W950" s="32">
        <f>IFERROR(IRR(P950:U950,0.1),"")</f>
        <v/>
      </c>
    </row>
    <row r="951">
      <c r="A951" s="14" t="n">
        <v>947</v>
      </c>
      <c r="B951" s="30">
        <f>RAND()*(1-2E-6)+1E-6</f>
        <v/>
      </c>
      <c r="C951" s="30">
        <f>RAND()*(1-2E-6)+1E-6</f>
        <v/>
      </c>
      <c r="D951" s="30">
        <f>RAND()*(1-2E-6)+1E-6</f>
        <v/>
      </c>
      <c r="E951" s="30">
        <f>RAND()*(1-2E-6)+1E-6</f>
        <v/>
      </c>
      <c r="F951" s="30">
        <f>RAND()*(1-2E-6)+1E-6</f>
        <v/>
      </c>
      <c r="G951" s="30">
        <f>RAND()*(1-2E-6)+1E-6</f>
        <v/>
      </c>
      <c r="H951" s="30">
        <f>RAND()*(1-2E-6)+1E-6</f>
        <v/>
      </c>
      <c r="I951" s="31">
        <f>MIN(IF(Supuestos!$H$5="",1E+99,Supuestos!$H$5),MAX(IF(Supuestos!$G$5="",-1E+99,Supuestos!$G$5),IF(Supuestos!$C$5="Normal",NORMINV(B951,Supuestos!$D$5,Supuestos!$E$5),IF(Supuestos!$C$5="Triangular",IF(B951&lt;(Supuestos!$E$5-Supuestos!$D$5)/(Supuestos!$F$5-Supuestos!$D$5),Supuestos!$D$5+SQRT(B951*(Supuestos!$F$5-Supuestos!$D$5)*(Supuestos!$E$5-Supuestos!$D$5)),Supuestos!$F$5-SQRT((1-B951)*(Supuestos!$F$5-Supuestos!$D$5)*(Supuestos!$F$5-Supuestos!$E$5))),IF(Supuestos!$C$5="Uniforme",Supuestos!$D$5+B951*(Supuestos!$E$5-Supuestos!$D$5),IF(Supuestos!$C$5="Lognormal",LOGINV(B951,LN(Supuestos!$D$5)-LN(1+Supuestos!$E$5^2/Supuestos!$D$5^2)/2,SQRT(LN(1+Supuestos!$E$5^2/Supuestos!$D$5^2))),Supuestos!$D$5))))))</f>
        <v/>
      </c>
      <c r="J951" s="31">
        <f>MIN(IF(Supuestos!$H$6="",1E+99,Supuestos!$H$6),MAX(IF(Supuestos!$G$6="",-1E+99,Supuestos!$G$6),IF(Supuestos!$C$6="Normal",NORMINV(C951,Supuestos!$D$6,Supuestos!$E$6),IF(Supuestos!$C$6="Triangular",IF(C951&lt;(Supuestos!$E$6-Supuestos!$D$6)/(Supuestos!$F$6-Supuestos!$D$6),Supuestos!$D$6+SQRT(C951*(Supuestos!$F$6-Supuestos!$D$6)*(Supuestos!$E$6-Supuestos!$D$6)),Supuestos!$F$6-SQRT((1-C951)*(Supuestos!$F$6-Supuestos!$D$6)*(Supuestos!$F$6-Supuestos!$E$6))),IF(Supuestos!$C$6="Uniforme",Supuestos!$D$6+C951*(Supuestos!$E$6-Supuestos!$D$6),IF(Supuestos!$C$6="Lognormal",LOGINV(C951,LN(Supuestos!$D$6)-LN(1+Supuestos!$E$6^2/Supuestos!$D$6^2)/2,SQRT(LN(1+Supuestos!$E$6^2/Supuestos!$D$6^2))),Supuestos!$D$6))))))</f>
        <v/>
      </c>
      <c r="K951" s="32">
        <f>MIN(IF(Supuestos!$H$7="",1E+99,Supuestos!$H$7),MAX(IF(Supuestos!$G$7="",-1E+99,Supuestos!$G$7),IF(Supuestos!$C$7="Normal",NORMINV(D951,Supuestos!$D$7,Supuestos!$E$7),IF(Supuestos!$C$7="Triangular",IF(D951&lt;(Supuestos!$E$7-Supuestos!$D$7)/(Supuestos!$F$7-Supuestos!$D$7),Supuestos!$D$7+SQRT(D951*(Supuestos!$F$7-Supuestos!$D$7)*(Supuestos!$E$7-Supuestos!$D$7)),Supuestos!$F$7-SQRT((1-D951)*(Supuestos!$F$7-Supuestos!$D$7)*(Supuestos!$F$7-Supuestos!$E$7))),IF(Supuestos!$C$7="Uniforme",Supuestos!$D$7+D951*(Supuestos!$E$7-Supuestos!$D$7),IF(Supuestos!$C$7="Lognormal",LOGINV(D951,LN(Supuestos!$D$7)-LN(1+Supuestos!$E$7^2/Supuestos!$D$7^2)/2,SQRT(LN(1+Supuestos!$E$7^2/Supuestos!$D$7^2))),Supuestos!$D$7))))))</f>
        <v/>
      </c>
      <c r="L951" s="32">
        <f>MIN(IF(Supuestos!$H$8="",1E+99,Supuestos!$H$8),MAX(IF(Supuestos!$G$8="",-1E+99,Supuestos!$G$8),IF(Supuestos!$C$8="Normal",NORMINV(E951,Supuestos!$D$8,Supuestos!$E$8),IF(Supuestos!$C$8="Triangular",IF(E951&lt;(Supuestos!$E$8-Supuestos!$D$8)/(Supuestos!$F$8-Supuestos!$D$8),Supuestos!$D$8+SQRT(E951*(Supuestos!$F$8-Supuestos!$D$8)*(Supuestos!$E$8-Supuestos!$D$8)),Supuestos!$F$8-SQRT((1-E951)*(Supuestos!$F$8-Supuestos!$D$8)*(Supuestos!$F$8-Supuestos!$E$8))),IF(Supuestos!$C$8="Uniforme",Supuestos!$D$8+E951*(Supuestos!$E$8-Supuestos!$D$8),IF(Supuestos!$C$8="Lognormal",LOGINV(E951,LN(Supuestos!$D$8)-LN(1+Supuestos!$E$8^2/Supuestos!$D$8^2)/2,SQRT(LN(1+Supuestos!$E$8^2/Supuestos!$D$8^2))),Supuestos!$D$8))))))</f>
        <v/>
      </c>
      <c r="M951" s="32">
        <f>MIN(IF(Supuestos!$H$9="",1E+99,Supuestos!$H$9),MAX(IF(Supuestos!$G$9="",-1E+99,Supuestos!$G$9),IF(Supuestos!$C$9="Normal",NORMINV(F951,Supuestos!$D$9,Supuestos!$E$9),IF(Supuestos!$C$9="Triangular",IF(F951&lt;(Supuestos!$E$9-Supuestos!$D$9)/(Supuestos!$F$9-Supuestos!$D$9),Supuestos!$D$9+SQRT(F951*(Supuestos!$F$9-Supuestos!$D$9)*(Supuestos!$E$9-Supuestos!$D$9)),Supuestos!$F$9-SQRT((1-F951)*(Supuestos!$F$9-Supuestos!$D$9)*(Supuestos!$F$9-Supuestos!$E$9))),IF(Supuestos!$C$9="Uniforme",Supuestos!$D$9+F951*(Supuestos!$E$9-Supuestos!$D$9),IF(Supuestos!$C$9="Lognormal",LOGINV(F951,LN(Supuestos!$D$9)-LN(1+Supuestos!$E$9^2/Supuestos!$D$9^2)/2,SQRT(LN(1+Supuestos!$E$9^2/Supuestos!$D$9^2))),Supuestos!$D$9))))))</f>
        <v/>
      </c>
      <c r="N951" s="32">
        <f>MIN(IF(Supuestos!$H$10="",1E+99,Supuestos!$H$10),MAX(IF(Supuestos!$G$10="",-1E+99,Supuestos!$G$10),IF(Supuestos!$C$10="Normal",NORMINV(G951,Supuestos!$D$10,Supuestos!$E$10),IF(Supuestos!$C$10="Triangular",IF(G951&lt;(Supuestos!$E$10-Supuestos!$D$10)/(Supuestos!$F$10-Supuestos!$D$10),Supuestos!$D$10+SQRT(G951*(Supuestos!$F$10-Supuestos!$D$10)*(Supuestos!$E$10-Supuestos!$D$10)),Supuestos!$F$10-SQRT((1-G951)*(Supuestos!$F$10-Supuestos!$D$10)*(Supuestos!$F$10-Supuestos!$E$10))),IF(Supuestos!$C$10="Uniforme",Supuestos!$D$10+G951*(Supuestos!$E$10-Supuestos!$D$10),IF(Supuestos!$C$10="Lognormal",LOGINV(G951,LN(Supuestos!$D$10)-LN(1+Supuestos!$E$10^2/Supuestos!$D$10^2)/2,SQRT(LN(1+Supuestos!$E$10^2/Supuestos!$D$10^2))),Supuestos!$D$10))))))</f>
        <v/>
      </c>
      <c r="O951" s="31">
        <f>MIN(IF(Supuestos!$H$11="",1E+99,Supuestos!$H$11),MAX(IF(Supuestos!$G$11="",-1E+99,Supuestos!$G$11),IF(Supuestos!$C$11="Normal",NORMINV(H951,Supuestos!$D$11,Supuestos!$E$11),IF(Supuestos!$C$11="Triangular",IF(H951&lt;(Supuestos!$E$11-Supuestos!$D$11)/(Supuestos!$F$11-Supuestos!$D$11),Supuestos!$D$11+SQRT(H951*(Supuestos!$F$11-Supuestos!$D$11)*(Supuestos!$E$11-Supuestos!$D$11)),Supuestos!$F$11-SQRT((1-H951)*(Supuestos!$F$11-Supuestos!$D$11)*(Supuestos!$F$11-Supuestos!$E$11))),IF(Supuestos!$C$11="Uniforme",Supuestos!$D$11+H951*(Supuestos!$E$11-Supuestos!$D$11),IF(Supuestos!$C$11="Lognormal",LOGINV(H951,LN(Supuestos!$D$11)-LN(1+Supuestos!$E$11^2/Supuestos!$D$11^2)/2,SQRT(LN(1+Supuestos!$E$11^2/Supuestos!$D$11^2))),Supuestos!$D$11))))))</f>
        <v/>
      </c>
      <c r="P951" s="33">
        <f>-I951</f>
        <v/>
      </c>
      <c r="Q951" s="33">
        <f>$J951*(1+$K951)^(1-1)*(1-$L951)*(1-$M951)</f>
        <v/>
      </c>
      <c r="R951" s="33">
        <f>$J951*(1+$K951)^(2-1)*(1-$L951)*(1-$M951)</f>
        <v/>
      </c>
      <c r="S951" s="33">
        <f>$J951*(1+$K951)^(3-1)*(1-$L951)*(1-$M951)</f>
        <v/>
      </c>
      <c r="T951" s="33">
        <f>$J951*(1+$K951)^(4-1)*(1-$L951)*(1-$M951)</f>
        <v/>
      </c>
      <c r="U951" s="33">
        <f>$J951*(1+$K951)^(5-1)*(1-$L951)*(1-$M951)+$O951</f>
        <v/>
      </c>
      <c r="V951" s="33">
        <f>P951+NPV($N951,Q951:U951)</f>
        <v/>
      </c>
      <c r="W951" s="32">
        <f>IFERROR(IRR(P951:U951,0.1),"")</f>
        <v/>
      </c>
    </row>
    <row r="952">
      <c r="A952" s="14" t="n">
        <v>948</v>
      </c>
      <c r="B952" s="30">
        <f>RAND()*(1-2E-6)+1E-6</f>
        <v/>
      </c>
      <c r="C952" s="30">
        <f>RAND()*(1-2E-6)+1E-6</f>
        <v/>
      </c>
      <c r="D952" s="30">
        <f>RAND()*(1-2E-6)+1E-6</f>
        <v/>
      </c>
      <c r="E952" s="30">
        <f>RAND()*(1-2E-6)+1E-6</f>
        <v/>
      </c>
      <c r="F952" s="30">
        <f>RAND()*(1-2E-6)+1E-6</f>
        <v/>
      </c>
      <c r="G952" s="30">
        <f>RAND()*(1-2E-6)+1E-6</f>
        <v/>
      </c>
      <c r="H952" s="30">
        <f>RAND()*(1-2E-6)+1E-6</f>
        <v/>
      </c>
      <c r="I952" s="31">
        <f>MIN(IF(Supuestos!$H$5="",1E+99,Supuestos!$H$5),MAX(IF(Supuestos!$G$5="",-1E+99,Supuestos!$G$5),IF(Supuestos!$C$5="Normal",NORMINV(B952,Supuestos!$D$5,Supuestos!$E$5),IF(Supuestos!$C$5="Triangular",IF(B952&lt;(Supuestos!$E$5-Supuestos!$D$5)/(Supuestos!$F$5-Supuestos!$D$5),Supuestos!$D$5+SQRT(B952*(Supuestos!$F$5-Supuestos!$D$5)*(Supuestos!$E$5-Supuestos!$D$5)),Supuestos!$F$5-SQRT((1-B952)*(Supuestos!$F$5-Supuestos!$D$5)*(Supuestos!$F$5-Supuestos!$E$5))),IF(Supuestos!$C$5="Uniforme",Supuestos!$D$5+B952*(Supuestos!$E$5-Supuestos!$D$5),IF(Supuestos!$C$5="Lognormal",LOGINV(B952,LN(Supuestos!$D$5)-LN(1+Supuestos!$E$5^2/Supuestos!$D$5^2)/2,SQRT(LN(1+Supuestos!$E$5^2/Supuestos!$D$5^2))),Supuestos!$D$5))))))</f>
        <v/>
      </c>
      <c r="J952" s="31">
        <f>MIN(IF(Supuestos!$H$6="",1E+99,Supuestos!$H$6),MAX(IF(Supuestos!$G$6="",-1E+99,Supuestos!$G$6),IF(Supuestos!$C$6="Normal",NORMINV(C952,Supuestos!$D$6,Supuestos!$E$6),IF(Supuestos!$C$6="Triangular",IF(C952&lt;(Supuestos!$E$6-Supuestos!$D$6)/(Supuestos!$F$6-Supuestos!$D$6),Supuestos!$D$6+SQRT(C952*(Supuestos!$F$6-Supuestos!$D$6)*(Supuestos!$E$6-Supuestos!$D$6)),Supuestos!$F$6-SQRT((1-C952)*(Supuestos!$F$6-Supuestos!$D$6)*(Supuestos!$F$6-Supuestos!$E$6))),IF(Supuestos!$C$6="Uniforme",Supuestos!$D$6+C952*(Supuestos!$E$6-Supuestos!$D$6),IF(Supuestos!$C$6="Lognormal",LOGINV(C952,LN(Supuestos!$D$6)-LN(1+Supuestos!$E$6^2/Supuestos!$D$6^2)/2,SQRT(LN(1+Supuestos!$E$6^2/Supuestos!$D$6^2))),Supuestos!$D$6))))))</f>
        <v/>
      </c>
      <c r="K952" s="32">
        <f>MIN(IF(Supuestos!$H$7="",1E+99,Supuestos!$H$7),MAX(IF(Supuestos!$G$7="",-1E+99,Supuestos!$G$7),IF(Supuestos!$C$7="Normal",NORMINV(D952,Supuestos!$D$7,Supuestos!$E$7),IF(Supuestos!$C$7="Triangular",IF(D952&lt;(Supuestos!$E$7-Supuestos!$D$7)/(Supuestos!$F$7-Supuestos!$D$7),Supuestos!$D$7+SQRT(D952*(Supuestos!$F$7-Supuestos!$D$7)*(Supuestos!$E$7-Supuestos!$D$7)),Supuestos!$F$7-SQRT((1-D952)*(Supuestos!$F$7-Supuestos!$D$7)*(Supuestos!$F$7-Supuestos!$E$7))),IF(Supuestos!$C$7="Uniforme",Supuestos!$D$7+D952*(Supuestos!$E$7-Supuestos!$D$7),IF(Supuestos!$C$7="Lognormal",LOGINV(D952,LN(Supuestos!$D$7)-LN(1+Supuestos!$E$7^2/Supuestos!$D$7^2)/2,SQRT(LN(1+Supuestos!$E$7^2/Supuestos!$D$7^2))),Supuestos!$D$7))))))</f>
        <v/>
      </c>
      <c r="L952" s="32">
        <f>MIN(IF(Supuestos!$H$8="",1E+99,Supuestos!$H$8),MAX(IF(Supuestos!$G$8="",-1E+99,Supuestos!$G$8),IF(Supuestos!$C$8="Normal",NORMINV(E952,Supuestos!$D$8,Supuestos!$E$8),IF(Supuestos!$C$8="Triangular",IF(E952&lt;(Supuestos!$E$8-Supuestos!$D$8)/(Supuestos!$F$8-Supuestos!$D$8),Supuestos!$D$8+SQRT(E952*(Supuestos!$F$8-Supuestos!$D$8)*(Supuestos!$E$8-Supuestos!$D$8)),Supuestos!$F$8-SQRT((1-E952)*(Supuestos!$F$8-Supuestos!$D$8)*(Supuestos!$F$8-Supuestos!$E$8))),IF(Supuestos!$C$8="Uniforme",Supuestos!$D$8+E952*(Supuestos!$E$8-Supuestos!$D$8),IF(Supuestos!$C$8="Lognormal",LOGINV(E952,LN(Supuestos!$D$8)-LN(1+Supuestos!$E$8^2/Supuestos!$D$8^2)/2,SQRT(LN(1+Supuestos!$E$8^2/Supuestos!$D$8^2))),Supuestos!$D$8))))))</f>
        <v/>
      </c>
      <c r="M952" s="32">
        <f>MIN(IF(Supuestos!$H$9="",1E+99,Supuestos!$H$9),MAX(IF(Supuestos!$G$9="",-1E+99,Supuestos!$G$9),IF(Supuestos!$C$9="Normal",NORMINV(F952,Supuestos!$D$9,Supuestos!$E$9),IF(Supuestos!$C$9="Triangular",IF(F952&lt;(Supuestos!$E$9-Supuestos!$D$9)/(Supuestos!$F$9-Supuestos!$D$9),Supuestos!$D$9+SQRT(F952*(Supuestos!$F$9-Supuestos!$D$9)*(Supuestos!$E$9-Supuestos!$D$9)),Supuestos!$F$9-SQRT((1-F952)*(Supuestos!$F$9-Supuestos!$D$9)*(Supuestos!$F$9-Supuestos!$E$9))),IF(Supuestos!$C$9="Uniforme",Supuestos!$D$9+F952*(Supuestos!$E$9-Supuestos!$D$9),IF(Supuestos!$C$9="Lognormal",LOGINV(F952,LN(Supuestos!$D$9)-LN(1+Supuestos!$E$9^2/Supuestos!$D$9^2)/2,SQRT(LN(1+Supuestos!$E$9^2/Supuestos!$D$9^2))),Supuestos!$D$9))))))</f>
        <v/>
      </c>
      <c r="N952" s="32">
        <f>MIN(IF(Supuestos!$H$10="",1E+99,Supuestos!$H$10),MAX(IF(Supuestos!$G$10="",-1E+99,Supuestos!$G$10),IF(Supuestos!$C$10="Normal",NORMINV(G952,Supuestos!$D$10,Supuestos!$E$10),IF(Supuestos!$C$10="Triangular",IF(G952&lt;(Supuestos!$E$10-Supuestos!$D$10)/(Supuestos!$F$10-Supuestos!$D$10),Supuestos!$D$10+SQRT(G952*(Supuestos!$F$10-Supuestos!$D$10)*(Supuestos!$E$10-Supuestos!$D$10)),Supuestos!$F$10-SQRT((1-G952)*(Supuestos!$F$10-Supuestos!$D$10)*(Supuestos!$F$10-Supuestos!$E$10))),IF(Supuestos!$C$10="Uniforme",Supuestos!$D$10+G952*(Supuestos!$E$10-Supuestos!$D$10),IF(Supuestos!$C$10="Lognormal",LOGINV(G952,LN(Supuestos!$D$10)-LN(1+Supuestos!$E$10^2/Supuestos!$D$10^2)/2,SQRT(LN(1+Supuestos!$E$10^2/Supuestos!$D$10^2))),Supuestos!$D$10))))))</f>
        <v/>
      </c>
      <c r="O952" s="31">
        <f>MIN(IF(Supuestos!$H$11="",1E+99,Supuestos!$H$11),MAX(IF(Supuestos!$G$11="",-1E+99,Supuestos!$G$11),IF(Supuestos!$C$11="Normal",NORMINV(H952,Supuestos!$D$11,Supuestos!$E$11),IF(Supuestos!$C$11="Triangular",IF(H952&lt;(Supuestos!$E$11-Supuestos!$D$11)/(Supuestos!$F$11-Supuestos!$D$11),Supuestos!$D$11+SQRT(H952*(Supuestos!$F$11-Supuestos!$D$11)*(Supuestos!$E$11-Supuestos!$D$11)),Supuestos!$F$11-SQRT((1-H952)*(Supuestos!$F$11-Supuestos!$D$11)*(Supuestos!$F$11-Supuestos!$E$11))),IF(Supuestos!$C$11="Uniforme",Supuestos!$D$11+H952*(Supuestos!$E$11-Supuestos!$D$11),IF(Supuestos!$C$11="Lognormal",LOGINV(H952,LN(Supuestos!$D$11)-LN(1+Supuestos!$E$11^2/Supuestos!$D$11^2)/2,SQRT(LN(1+Supuestos!$E$11^2/Supuestos!$D$11^2))),Supuestos!$D$11))))))</f>
        <v/>
      </c>
      <c r="P952" s="33">
        <f>-I952</f>
        <v/>
      </c>
      <c r="Q952" s="33">
        <f>$J952*(1+$K952)^(1-1)*(1-$L952)*(1-$M952)</f>
        <v/>
      </c>
      <c r="R952" s="33">
        <f>$J952*(1+$K952)^(2-1)*(1-$L952)*(1-$M952)</f>
        <v/>
      </c>
      <c r="S952" s="33">
        <f>$J952*(1+$K952)^(3-1)*(1-$L952)*(1-$M952)</f>
        <v/>
      </c>
      <c r="T952" s="33">
        <f>$J952*(1+$K952)^(4-1)*(1-$L952)*(1-$M952)</f>
        <v/>
      </c>
      <c r="U952" s="33">
        <f>$J952*(1+$K952)^(5-1)*(1-$L952)*(1-$M952)+$O952</f>
        <v/>
      </c>
      <c r="V952" s="33">
        <f>P952+NPV($N952,Q952:U952)</f>
        <v/>
      </c>
      <c r="W952" s="32">
        <f>IFERROR(IRR(P952:U952,0.1),"")</f>
        <v/>
      </c>
    </row>
    <row r="953">
      <c r="A953" s="14" t="n">
        <v>949</v>
      </c>
      <c r="B953" s="30">
        <f>RAND()*(1-2E-6)+1E-6</f>
        <v/>
      </c>
      <c r="C953" s="30">
        <f>RAND()*(1-2E-6)+1E-6</f>
        <v/>
      </c>
      <c r="D953" s="30">
        <f>RAND()*(1-2E-6)+1E-6</f>
        <v/>
      </c>
      <c r="E953" s="30">
        <f>RAND()*(1-2E-6)+1E-6</f>
        <v/>
      </c>
      <c r="F953" s="30">
        <f>RAND()*(1-2E-6)+1E-6</f>
        <v/>
      </c>
      <c r="G953" s="30">
        <f>RAND()*(1-2E-6)+1E-6</f>
        <v/>
      </c>
      <c r="H953" s="30">
        <f>RAND()*(1-2E-6)+1E-6</f>
        <v/>
      </c>
      <c r="I953" s="31">
        <f>MIN(IF(Supuestos!$H$5="",1E+99,Supuestos!$H$5),MAX(IF(Supuestos!$G$5="",-1E+99,Supuestos!$G$5),IF(Supuestos!$C$5="Normal",NORMINV(B953,Supuestos!$D$5,Supuestos!$E$5),IF(Supuestos!$C$5="Triangular",IF(B953&lt;(Supuestos!$E$5-Supuestos!$D$5)/(Supuestos!$F$5-Supuestos!$D$5),Supuestos!$D$5+SQRT(B953*(Supuestos!$F$5-Supuestos!$D$5)*(Supuestos!$E$5-Supuestos!$D$5)),Supuestos!$F$5-SQRT((1-B953)*(Supuestos!$F$5-Supuestos!$D$5)*(Supuestos!$F$5-Supuestos!$E$5))),IF(Supuestos!$C$5="Uniforme",Supuestos!$D$5+B953*(Supuestos!$E$5-Supuestos!$D$5),IF(Supuestos!$C$5="Lognormal",LOGINV(B953,LN(Supuestos!$D$5)-LN(1+Supuestos!$E$5^2/Supuestos!$D$5^2)/2,SQRT(LN(1+Supuestos!$E$5^2/Supuestos!$D$5^2))),Supuestos!$D$5))))))</f>
        <v/>
      </c>
      <c r="J953" s="31">
        <f>MIN(IF(Supuestos!$H$6="",1E+99,Supuestos!$H$6),MAX(IF(Supuestos!$G$6="",-1E+99,Supuestos!$G$6),IF(Supuestos!$C$6="Normal",NORMINV(C953,Supuestos!$D$6,Supuestos!$E$6),IF(Supuestos!$C$6="Triangular",IF(C953&lt;(Supuestos!$E$6-Supuestos!$D$6)/(Supuestos!$F$6-Supuestos!$D$6),Supuestos!$D$6+SQRT(C953*(Supuestos!$F$6-Supuestos!$D$6)*(Supuestos!$E$6-Supuestos!$D$6)),Supuestos!$F$6-SQRT((1-C953)*(Supuestos!$F$6-Supuestos!$D$6)*(Supuestos!$F$6-Supuestos!$E$6))),IF(Supuestos!$C$6="Uniforme",Supuestos!$D$6+C953*(Supuestos!$E$6-Supuestos!$D$6),IF(Supuestos!$C$6="Lognormal",LOGINV(C953,LN(Supuestos!$D$6)-LN(1+Supuestos!$E$6^2/Supuestos!$D$6^2)/2,SQRT(LN(1+Supuestos!$E$6^2/Supuestos!$D$6^2))),Supuestos!$D$6))))))</f>
        <v/>
      </c>
      <c r="K953" s="32">
        <f>MIN(IF(Supuestos!$H$7="",1E+99,Supuestos!$H$7),MAX(IF(Supuestos!$G$7="",-1E+99,Supuestos!$G$7),IF(Supuestos!$C$7="Normal",NORMINV(D953,Supuestos!$D$7,Supuestos!$E$7),IF(Supuestos!$C$7="Triangular",IF(D953&lt;(Supuestos!$E$7-Supuestos!$D$7)/(Supuestos!$F$7-Supuestos!$D$7),Supuestos!$D$7+SQRT(D953*(Supuestos!$F$7-Supuestos!$D$7)*(Supuestos!$E$7-Supuestos!$D$7)),Supuestos!$F$7-SQRT((1-D953)*(Supuestos!$F$7-Supuestos!$D$7)*(Supuestos!$F$7-Supuestos!$E$7))),IF(Supuestos!$C$7="Uniforme",Supuestos!$D$7+D953*(Supuestos!$E$7-Supuestos!$D$7),IF(Supuestos!$C$7="Lognormal",LOGINV(D953,LN(Supuestos!$D$7)-LN(1+Supuestos!$E$7^2/Supuestos!$D$7^2)/2,SQRT(LN(1+Supuestos!$E$7^2/Supuestos!$D$7^2))),Supuestos!$D$7))))))</f>
        <v/>
      </c>
      <c r="L953" s="32">
        <f>MIN(IF(Supuestos!$H$8="",1E+99,Supuestos!$H$8),MAX(IF(Supuestos!$G$8="",-1E+99,Supuestos!$G$8),IF(Supuestos!$C$8="Normal",NORMINV(E953,Supuestos!$D$8,Supuestos!$E$8),IF(Supuestos!$C$8="Triangular",IF(E953&lt;(Supuestos!$E$8-Supuestos!$D$8)/(Supuestos!$F$8-Supuestos!$D$8),Supuestos!$D$8+SQRT(E953*(Supuestos!$F$8-Supuestos!$D$8)*(Supuestos!$E$8-Supuestos!$D$8)),Supuestos!$F$8-SQRT((1-E953)*(Supuestos!$F$8-Supuestos!$D$8)*(Supuestos!$F$8-Supuestos!$E$8))),IF(Supuestos!$C$8="Uniforme",Supuestos!$D$8+E953*(Supuestos!$E$8-Supuestos!$D$8),IF(Supuestos!$C$8="Lognormal",LOGINV(E953,LN(Supuestos!$D$8)-LN(1+Supuestos!$E$8^2/Supuestos!$D$8^2)/2,SQRT(LN(1+Supuestos!$E$8^2/Supuestos!$D$8^2))),Supuestos!$D$8))))))</f>
        <v/>
      </c>
      <c r="M953" s="32">
        <f>MIN(IF(Supuestos!$H$9="",1E+99,Supuestos!$H$9),MAX(IF(Supuestos!$G$9="",-1E+99,Supuestos!$G$9),IF(Supuestos!$C$9="Normal",NORMINV(F953,Supuestos!$D$9,Supuestos!$E$9),IF(Supuestos!$C$9="Triangular",IF(F953&lt;(Supuestos!$E$9-Supuestos!$D$9)/(Supuestos!$F$9-Supuestos!$D$9),Supuestos!$D$9+SQRT(F953*(Supuestos!$F$9-Supuestos!$D$9)*(Supuestos!$E$9-Supuestos!$D$9)),Supuestos!$F$9-SQRT((1-F953)*(Supuestos!$F$9-Supuestos!$D$9)*(Supuestos!$F$9-Supuestos!$E$9))),IF(Supuestos!$C$9="Uniforme",Supuestos!$D$9+F953*(Supuestos!$E$9-Supuestos!$D$9),IF(Supuestos!$C$9="Lognormal",LOGINV(F953,LN(Supuestos!$D$9)-LN(1+Supuestos!$E$9^2/Supuestos!$D$9^2)/2,SQRT(LN(1+Supuestos!$E$9^2/Supuestos!$D$9^2))),Supuestos!$D$9))))))</f>
        <v/>
      </c>
      <c r="N953" s="32">
        <f>MIN(IF(Supuestos!$H$10="",1E+99,Supuestos!$H$10),MAX(IF(Supuestos!$G$10="",-1E+99,Supuestos!$G$10),IF(Supuestos!$C$10="Normal",NORMINV(G953,Supuestos!$D$10,Supuestos!$E$10),IF(Supuestos!$C$10="Triangular",IF(G953&lt;(Supuestos!$E$10-Supuestos!$D$10)/(Supuestos!$F$10-Supuestos!$D$10),Supuestos!$D$10+SQRT(G953*(Supuestos!$F$10-Supuestos!$D$10)*(Supuestos!$E$10-Supuestos!$D$10)),Supuestos!$F$10-SQRT((1-G953)*(Supuestos!$F$10-Supuestos!$D$10)*(Supuestos!$F$10-Supuestos!$E$10))),IF(Supuestos!$C$10="Uniforme",Supuestos!$D$10+G953*(Supuestos!$E$10-Supuestos!$D$10),IF(Supuestos!$C$10="Lognormal",LOGINV(G953,LN(Supuestos!$D$10)-LN(1+Supuestos!$E$10^2/Supuestos!$D$10^2)/2,SQRT(LN(1+Supuestos!$E$10^2/Supuestos!$D$10^2))),Supuestos!$D$10))))))</f>
        <v/>
      </c>
      <c r="O953" s="31">
        <f>MIN(IF(Supuestos!$H$11="",1E+99,Supuestos!$H$11),MAX(IF(Supuestos!$G$11="",-1E+99,Supuestos!$G$11),IF(Supuestos!$C$11="Normal",NORMINV(H953,Supuestos!$D$11,Supuestos!$E$11),IF(Supuestos!$C$11="Triangular",IF(H953&lt;(Supuestos!$E$11-Supuestos!$D$11)/(Supuestos!$F$11-Supuestos!$D$11),Supuestos!$D$11+SQRT(H953*(Supuestos!$F$11-Supuestos!$D$11)*(Supuestos!$E$11-Supuestos!$D$11)),Supuestos!$F$11-SQRT((1-H953)*(Supuestos!$F$11-Supuestos!$D$11)*(Supuestos!$F$11-Supuestos!$E$11))),IF(Supuestos!$C$11="Uniforme",Supuestos!$D$11+H953*(Supuestos!$E$11-Supuestos!$D$11),IF(Supuestos!$C$11="Lognormal",LOGINV(H953,LN(Supuestos!$D$11)-LN(1+Supuestos!$E$11^2/Supuestos!$D$11^2)/2,SQRT(LN(1+Supuestos!$E$11^2/Supuestos!$D$11^2))),Supuestos!$D$11))))))</f>
        <v/>
      </c>
      <c r="P953" s="33">
        <f>-I953</f>
        <v/>
      </c>
      <c r="Q953" s="33">
        <f>$J953*(1+$K953)^(1-1)*(1-$L953)*(1-$M953)</f>
        <v/>
      </c>
      <c r="R953" s="33">
        <f>$J953*(1+$K953)^(2-1)*(1-$L953)*(1-$M953)</f>
        <v/>
      </c>
      <c r="S953" s="33">
        <f>$J953*(1+$K953)^(3-1)*(1-$L953)*(1-$M953)</f>
        <v/>
      </c>
      <c r="T953" s="33">
        <f>$J953*(1+$K953)^(4-1)*(1-$L953)*(1-$M953)</f>
        <v/>
      </c>
      <c r="U953" s="33">
        <f>$J953*(1+$K953)^(5-1)*(1-$L953)*(1-$M953)+$O953</f>
        <v/>
      </c>
      <c r="V953" s="33">
        <f>P953+NPV($N953,Q953:U953)</f>
        <v/>
      </c>
      <c r="W953" s="32">
        <f>IFERROR(IRR(P953:U953,0.1),"")</f>
        <v/>
      </c>
    </row>
    <row r="954">
      <c r="A954" s="14" t="n">
        <v>950</v>
      </c>
      <c r="B954" s="30">
        <f>RAND()*(1-2E-6)+1E-6</f>
        <v/>
      </c>
      <c r="C954" s="30">
        <f>RAND()*(1-2E-6)+1E-6</f>
        <v/>
      </c>
      <c r="D954" s="30">
        <f>RAND()*(1-2E-6)+1E-6</f>
        <v/>
      </c>
      <c r="E954" s="30">
        <f>RAND()*(1-2E-6)+1E-6</f>
        <v/>
      </c>
      <c r="F954" s="30">
        <f>RAND()*(1-2E-6)+1E-6</f>
        <v/>
      </c>
      <c r="G954" s="30">
        <f>RAND()*(1-2E-6)+1E-6</f>
        <v/>
      </c>
      <c r="H954" s="30">
        <f>RAND()*(1-2E-6)+1E-6</f>
        <v/>
      </c>
      <c r="I954" s="31">
        <f>MIN(IF(Supuestos!$H$5="",1E+99,Supuestos!$H$5),MAX(IF(Supuestos!$G$5="",-1E+99,Supuestos!$G$5),IF(Supuestos!$C$5="Normal",NORMINV(B954,Supuestos!$D$5,Supuestos!$E$5),IF(Supuestos!$C$5="Triangular",IF(B954&lt;(Supuestos!$E$5-Supuestos!$D$5)/(Supuestos!$F$5-Supuestos!$D$5),Supuestos!$D$5+SQRT(B954*(Supuestos!$F$5-Supuestos!$D$5)*(Supuestos!$E$5-Supuestos!$D$5)),Supuestos!$F$5-SQRT((1-B954)*(Supuestos!$F$5-Supuestos!$D$5)*(Supuestos!$F$5-Supuestos!$E$5))),IF(Supuestos!$C$5="Uniforme",Supuestos!$D$5+B954*(Supuestos!$E$5-Supuestos!$D$5),IF(Supuestos!$C$5="Lognormal",LOGINV(B954,LN(Supuestos!$D$5)-LN(1+Supuestos!$E$5^2/Supuestos!$D$5^2)/2,SQRT(LN(1+Supuestos!$E$5^2/Supuestos!$D$5^2))),Supuestos!$D$5))))))</f>
        <v/>
      </c>
      <c r="J954" s="31">
        <f>MIN(IF(Supuestos!$H$6="",1E+99,Supuestos!$H$6),MAX(IF(Supuestos!$G$6="",-1E+99,Supuestos!$G$6),IF(Supuestos!$C$6="Normal",NORMINV(C954,Supuestos!$D$6,Supuestos!$E$6),IF(Supuestos!$C$6="Triangular",IF(C954&lt;(Supuestos!$E$6-Supuestos!$D$6)/(Supuestos!$F$6-Supuestos!$D$6),Supuestos!$D$6+SQRT(C954*(Supuestos!$F$6-Supuestos!$D$6)*(Supuestos!$E$6-Supuestos!$D$6)),Supuestos!$F$6-SQRT((1-C954)*(Supuestos!$F$6-Supuestos!$D$6)*(Supuestos!$F$6-Supuestos!$E$6))),IF(Supuestos!$C$6="Uniforme",Supuestos!$D$6+C954*(Supuestos!$E$6-Supuestos!$D$6),IF(Supuestos!$C$6="Lognormal",LOGINV(C954,LN(Supuestos!$D$6)-LN(1+Supuestos!$E$6^2/Supuestos!$D$6^2)/2,SQRT(LN(1+Supuestos!$E$6^2/Supuestos!$D$6^2))),Supuestos!$D$6))))))</f>
        <v/>
      </c>
      <c r="K954" s="32">
        <f>MIN(IF(Supuestos!$H$7="",1E+99,Supuestos!$H$7),MAX(IF(Supuestos!$G$7="",-1E+99,Supuestos!$G$7),IF(Supuestos!$C$7="Normal",NORMINV(D954,Supuestos!$D$7,Supuestos!$E$7),IF(Supuestos!$C$7="Triangular",IF(D954&lt;(Supuestos!$E$7-Supuestos!$D$7)/(Supuestos!$F$7-Supuestos!$D$7),Supuestos!$D$7+SQRT(D954*(Supuestos!$F$7-Supuestos!$D$7)*(Supuestos!$E$7-Supuestos!$D$7)),Supuestos!$F$7-SQRT((1-D954)*(Supuestos!$F$7-Supuestos!$D$7)*(Supuestos!$F$7-Supuestos!$E$7))),IF(Supuestos!$C$7="Uniforme",Supuestos!$D$7+D954*(Supuestos!$E$7-Supuestos!$D$7),IF(Supuestos!$C$7="Lognormal",LOGINV(D954,LN(Supuestos!$D$7)-LN(1+Supuestos!$E$7^2/Supuestos!$D$7^2)/2,SQRT(LN(1+Supuestos!$E$7^2/Supuestos!$D$7^2))),Supuestos!$D$7))))))</f>
        <v/>
      </c>
      <c r="L954" s="32">
        <f>MIN(IF(Supuestos!$H$8="",1E+99,Supuestos!$H$8),MAX(IF(Supuestos!$G$8="",-1E+99,Supuestos!$G$8),IF(Supuestos!$C$8="Normal",NORMINV(E954,Supuestos!$D$8,Supuestos!$E$8),IF(Supuestos!$C$8="Triangular",IF(E954&lt;(Supuestos!$E$8-Supuestos!$D$8)/(Supuestos!$F$8-Supuestos!$D$8),Supuestos!$D$8+SQRT(E954*(Supuestos!$F$8-Supuestos!$D$8)*(Supuestos!$E$8-Supuestos!$D$8)),Supuestos!$F$8-SQRT((1-E954)*(Supuestos!$F$8-Supuestos!$D$8)*(Supuestos!$F$8-Supuestos!$E$8))),IF(Supuestos!$C$8="Uniforme",Supuestos!$D$8+E954*(Supuestos!$E$8-Supuestos!$D$8),IF(Supuestos!$C$8="Lognormal",LOGINV(E954,LN(Supuestos!$D$8)-LN(1+Supuestos!$E$8^2/Supuestos!$D$8^2)/2,SQRT(LN(1+Supuestos!$E$8^2/Supuestos!$D$8^2))),Supuestos!$D$8))))))</f>
        <v/>
      </c>
      <c r="M954" s="32">
        <f>MIN(IF(Supuestos!$H$9="",1E+99,Supuestos!$H$9),MAX(IF(Supuestos!$G$9="",-1E+99,Supuestos!$G$9),IF(Supuestos!$C$9="Normal",NORMINV(F954,Supuestos!$D$9,Supuestos!$E$9),IF(Supuestos!$C$9="Triangular",IF(F954&lt;(Supuestos!$E$9-Supuestos!$D$9)/(Supuestos!$F$9-Supuestos!$D$9),Supuestos!$D$9+SQRT(F954*(Supuestos!$F$9-Supuestos!$D$9)*(Supuestos!$E$9-Supuestos!$D$9)),Supuestos!$F$9-SQRT((1-F954)*(Supuestos!$F$9-Supuestos!$D$9)*(Supuestos!$F$9-Supuestos!$E$9))),IF(Supuestos!$C$9="Uniforme",Supuestos!$D$9+F954*(Supuestos!$E$9-Supuestos!$D$9),IF(Supuestos!$C$9="Lognormal",LOGINV(F954,LN(Supuestos!$D$9)-LN(1+Supuestos!$E$9^2/Supuestos!$D$9^2)/2,SQRT(LN(1+Supuestos!$E$9^2/Supuestos!$D$9^2))),Supuestos!$D$9))))))</f>
        <v/>
      </c>
      <c r="N954" s="32">
        <f>MIN(IF(Supuestos!$H$10="",1E+99,Supuestos!$H$10),MAX(IF(Supuestos!$G$10="",-1E+99,Supuestos!$G$10),IF(Supuestos!$C$10="Normal",NORMINV(G954,Supuestos!$D$10,Supuestos!$E$10),IF(Supuestos!$C$10="Triangular",IF(G954&lt;(Supuestos!$E$10-Supuestos!$D$10)/(Supuestos!$F$10-Supuestos!$D$10),Supuestos!$D$10+SQRT(G954*(Supuestos!$F$10-Supuestos!$D$10)*(Supuestos!$E$10-Supuestos!$D$10)),Supuestos!$F$10-SQRT((1-G954)*(Supuestos!$F$10-Supuestos!$D$10)*(Supuestos!$F$10-Supuestos!$E$10))),IF(Supuestos!$C$10="Uniforme",Supuestos!$D$10+G954*(Supuestos!$E$10-Supuestos!$D$10),IF(Supuestos!$C$10="Lognormal",LOGINV(G954,LN(Supuestos!$D$10)-LN(1+Supuestos!$E$10^2/Supuestos!$D$10^2)/2,SQRT(LN(1+Supuestos!$E$10^2/Supuestos!$D$10^2))),Supuestos!$D$10))))))</f>
        <v/>
      </c>
      <c r="O954" s="31">
        <f>MIN(IF(Supuestos!$H$11="",1E+99,Supuestos!$H$11),MAX(IF(Supuestos!$G$11="",-1E+99,Supuestos!$G$11),IF(Supuestos!$C$11="Normal",NORMINV(H954,Supuestos!$D$11,Supuestos!$E$11),IF(Supuestos!$C$11="Triangular",IF(H954&lt;(Supuestos!$E$11-Supuestos!$D$11)/(Supuestos!$F$11-Supuestos!$D$11),Supuestos!$D$11+SQRT(H954*(Supuestos!$F$11-Supuestos!$D$11)*(Supuestos!$E$11-Supuestos!$D$11)),Supuestos!$F$11-SQRT((1-H954)*(Supuestos!$F$11-Supuestos!$D$11)*(Supuestos!$F$11-Supuestos!$E$11))),IF(Supuestos!$C$11="Uniforme",Supuestos!$D$11+H954*(Supuestos!$E$11-Supuestos!$D$11),IF(Supuestos!$C$11="Lognormal",LOGINV(H954,LN(Supuestos!$D$11)-LN(1+Supuestos!$E$11^2/Supuestos!$D$11^2)/2,SQRT(LN(1+Supuestos!$E$11^2/Supuestos!$D$11^2))),Supuestos!$D$11))))))</f>
        <v/>
      </c>
      <c r="P954" s="33">
        <f>-I954</f>
        <v/>
      </c>
      <c r="Q954" s="33">
        <f>$J954*(1+$K954)^(1-1)*(1-$L954)*(1-$M954)</f>
        <v/>
      </c>
      <c r="R954" s="33">
        <f>$J954*(1+$K954)^(2-1)*(1-$L954)*(1-$M954)</f>
        <v/>
      </c>
      <c r="S954" s="33">
        <f>$J954*(1+$K954)^(3-1)*(1-$L954)*(1-$M954)</f>
        <v/>
      </c>
      <c r="T954" s="33">
        <f>$J954*(1+$K954)^(4-1)*(1-$L954)*(1-$M954)</f>
        <v/>
      </c>
      <c r="U954" s="33">
        <f>$J954*(1+$K954)^(5-1)*(1-$L954)*(1-$M954)+$O954</f>
        <v/>
      </c>
      <c r="V954" s="33">
        <f>P954+NPV($N954,Q954:U954)</f>
        <v/>
      </c>
      <c r="W954" s="32">
        <f>IFERROR(IRR(P954:U954,0.1),"")</f>
        <v/>
      </c>
    </row>
    <row r="955">
      <c r="A955" s="14" t="n">
        <v>951</v>
      </c>
      <c r="B955" s="30">
        <f>RAND()*(1-2E-6)+1E-6</f>
        <v/>
      </c>
      <c r="C955" s="30">
        <f>RAND()*(1-2E-6)+1E-6</f>
        <v/>
      </c>
      <c r="D955" s="30">
        <f>RAND()*(1-2E-6)+1E-6</f>
        <v/>
      </c>
      <c r="E955" s="30">
        <f>RAND()*(1-2E-6)+1E-6</f>
        <v/>
      </c>
      <c r="F955" s="30">
        <f>RAND()*(1-2E-6)+1E-6</f>
        <v/>
      </c>
      <c r="G955" s="30">
        <f>RAND()*(1-2E-6)+1E-6</f>
        <v/>
      </c>
      <c r="H955" s="30">
        <f>RAND()*(1-2E-6)+1E-6</f>
        <v/>
      </c>
      <c r="I955" s="31">
        <f>MIN(IF(Supuestos!$H$5="",1E+99,Supuestos!$H$5),MAX(IF(Supuestos!$G$5="",-1E+99,Supuestos!$G$5),IF(Supuestos!$C$5="Normal",NORMINV(B955,Supuestos!$D$5,Supuestos!$E$5),IF(Supuestos!$C$5="Triangular",IF(B955&lt;(Supuestos!$E$5-Supuestos!$D$5)/(Supuestos!$F$5-Supuestos!$D$5),Supuestos!$D$5+SQRT(B955*(Supuestos!$F$5-Supuestos!$D$5)*(Supuestos!$E$5-Supuestos!$D$5)),Supuestos!$F$5-SQRT((1-B955)*(Supuestos!$F$5-Supuestos!$D$5)*(Supuestos!$F$5-Supuestos!$E$5))),IF(Supuestos!$C$5="Uniforme",Supuestos!$D$5+B955*(Supuestos!$E$5-Supuestos!$D$5),IF(Supuestos!$C$5="Lognormal",LOGINV(B955,LN(Supuestos!$D$5)-LN(1+Supuestos!$E$5^2/Supuestos!$D$5^2)/2,SQRT(LN(1+Supuestos!$E$5^2/Supuestos!$D$5^2))),Supuestos!$D$5))))))</f>
        <v/>
      </c>
      <c r="J955" s="31">
        <f>MIN(IF(Supuestos!$H$6="",1E+99,Supuestos!$H$6),MAX(IF(Supuestos!$G$6="",-1E+99,Supuestos!$G$6),IF(Supuestos!$C$6="Normal",NORMINV(C955,Supuestos!$D$6,Supuestos!$E$6),IF(Supuestos!$C$6="Triangular",IF(C955&lt;(Supuestos!$E$6-Supuestos!$D$6)/(Supuestos!$F$6-Supuestos!$D$6),Supuestos!$D$6+SQRT(C955*(Supuestos!$F$6-Supuestos!$D$6)*(Supuestos!$E$6-Supuestos!$D$6)),Supuestos!$F$6-SQRT((1-C955)*(Supuestos!$F$6-Supuestos!$D$6)*(Supuestos!$F$6-Supuestos!$E$6))),IF(Supuestos!$C$6="Uniforme",Supuestos!$D$6+C955*(Supuestos!$E$6-Supuestos!$D$6),IF(Supuestos!$C$6="Lognormal",LOGINV(C955,LN(Supuestos!$D$6)-LN(1+Supuestos!$E$6^2/Supuestos!$D$6^2)/2,SQRT(LN(1+Supuestos!$E$6^2/Supuestos!$D$6^2))),Supuestos!$D$6))))))</f>
        <v/>
      </c>
      <c r="K955" s="32">
        <f>MIN(IF(Supuestos!$H$7="",1E+99,Supuestos!$H$7),MAX(IF(Supuestos!$G$7="",-1E+99,Supuestos!$G$7),IF(Supuestos!$C$7="Normal",NORMINV(D955,Supuestos!$D$7,Supuestos!$E$7),IF(Supuestos!$C$7="Triangular",IF(D955&lt;(Supuestos!$E$7-Supuestos!$D$7)/(Supuestos!$F$7-Supuestos!$D$7),Supuestos!$D$7+SQRT(D955*(Supuestos!$F$7-Supuestos!$D$7)*(Supuestos!$E$7-Supuestos!$D$7)),Supuestos!$F$7-SQRT((1-D955)*(Supuestos!$F$7-Supuestos!$D$7)*(Supuestos!$F$7-Supuestos!$E$7))),IF(Supuestos!$C$7="Uniforme",Supuestos!$D$7+D955*(Supuestos!$E$7-Supuestos!$D$7),IF(Supuestos!$C$7="Lognormal",LOGINV(D955,LN(Supuestos!$D$7)-LN(1+Supuestos!$E$7^2/Supuestos!$D$7^2)/2,SQRT(LN(1+Supuestos!$E$7^2/Supuestos!$D$7^2))),Supuestos!$D$7))))))</f>
        <v/>
      </c>
      <c r="L955" s="32">
        <f>MIN(IF(Supuestos!$H$8="",1E+99,Supuestos!$H$8),MAX(IF(Supuestos!$G$8="",-1E+99,Supuestos!$G$8),IF(Supuestos!$C$8="Normal",NORMINV(E955,Supuestos!$D$8,Supuestos!$E$8),IF(Supuestos!$C$8="Triangular",IF(E955&lt;(Supuestos!$E$8-Supuestos!$D$8)/(Supuestos!$F$8-Supuestos!$D$8),Supuestos!$D$8+SQRT(E955*(Supuestos!$F$8-Supuestos!$D$8)*(Supuestos!$E$8-Supuestos!$D$8)),Supuestos!$F$8-SQRT((1-E955)*(Supuestos!$F$8-Supuestos!$D$8)*(Supuestos!$F$8-Supuestos!$E$8))),IF(Supuestos!$C$8="Uniforme",Supuestos!$D$8+E955*(Supuestos!$E$8-Supuestos!$D$8),IF(Supuestos!$C$8="Lognormal",LOGINV(E955,LN(Supuestos!$D$8)-LN(1+Supuestos!$E$8^2/Supuestos!$D$8^2)/2,SQRT(LN(1+Supuestos!$E$8^2/Supuestos!$D$8^2))),Supuestos!$D$8))))))</f>
        <v/>
      </c>
      <c r="M955" s="32">
        <f>MIN(IF(Supuestos!$H$9="",1E+99,Supuestos!$H$9),MAX(IF(Supuestos!$G$9="",-1E+99,Supuestos!$G$9),IF(Supuestos!$C$9="Normal",NORMINV(F955,Supuestos!$D$9,Supuestos!$E$9),IF(Supuestos!$C$9="Triangular",IF(F955&lt;(Supuestos!$E$9-Supuestos!$D$9)/(Supuestos!$F$9-Supuestos!$D$9),Supuestos!$D$9+SQRT(F955*(Supuestos!$F$9-Supuestos!$D$9)*(Supuestos!$E$9-Supuestos!$D$9)),Supuestos!$F$9-SQRT((1-F955)*(Supuestos!$F$9-Supuestos!$D$9)*(Supuestos!$F$9-Supuestos!$E$9))),IF(Supuestos!$C$9="Uniforme",Supuestos!$D$9+F955*(Supuestos!$E$9-Supuestos!$D$9),IF(Supuestos!$C$9="Lognormal",LOGINV(F955,LN(Supuestos!$D$9)-LN(1+Supuestos!$E$9^2/Supuestos!$D$9^2)/2,SQRT(LN(1+Supuestos!$E$9^2/Supuestos!$D$9^2))),Supuestos!$D$9))))))</f>
        <v/>
      </c>
      <c r="N955" s="32">
        <f>MIN(IF(Supuestos!$H$10="",1E+99,Supuestos!$H$10),MAX(IF(Supuestos!$G$10="",-1E+99,Supuestos!$G$10),IF(Supuestos!$C$10="Normal",NORMINV(G955,Supuestos!$D$10,Supuestos!$E$10),IF(Supuestos!$C$10="Triangular",IF(G955&lt;(Supuestos!$E$10-Supuestos!$D$10)/(Supuestos!$F$10-Supuestos!$D$10),Supuestos!$D$10+SQRT(G955*(Supuestos!$F$10-Supuestos!$D$10)*(Supuestos!$E$10-Supuestos!$D$10)),Supuestos!$F$10-SQRT((1-G955)*(Supuestos!$F$10-Supuestos!$D$10)*(Supuestos!$F$10-Supuestos!$E$10))),IF(Supuestos!$C$10="Uniforme",Supuestos!$D$10+G955*(Supuestos!$E$10-Supuestos!$D$10),IF(Supuestos!$C$10="Lognormal",LOGINV(G955,LN(Supuestos!$D$10)-LN(1+Supuestos!$E$10^2/Supuestos!$D$10^2)/2,SQRT(LN(1+Supuestos!$E$10^2/Supuestos!$D$10^2))),Supuestos!$D$10))))))</f>
        <v/>
      </c>
      <c r="O955" s="31">
        <f>MIN(IF(Supuestos!$H$11="",1E+99,Supuestos!$H$11),MAX(IF(Supuestos!$G$11="",-1E+99,Supuestos!$G$11),IF(Supuestos!$C$11="Normal",NORMINV(H955,Supuestos!$D$11,Supuestos!$E$11),IF(Supuestos!$C$11="Triangular",IF(H955&lt;(Supuestos!$E$11-Supuestos!$D$11)/(Supuestos!$F$11-Supuestos!$D$11),Supuestos!$D$11+SQRT(H955*(Supuestos!$F$11-Supuestos!$D$11)*(Supuestos!$E$11-Supuestos!$D$11)),Supuestos!$F$11-SQRT((1-H955)*(Supuestos!$F$11-Supuestos!$D$11)*(Supuestos!$F$11-Supuestos!$E$11))),IF(Supuestos!$C$11="Uniforme",Supuestos!$D$11+H955*(Supuestos!$E$11-Supuestos!$D$11),IF(Supuestos!$C$11="Lognormal",LOGINV(H955,LN(Supuestos!$D$11)-LN(1+Supuestos!$E$11^2/Supuestos!$D$11^2)/2,SQRT(LN(1+Supuestos!$E$11^2/Supuestos!$D$11^2))),Supuestos!$D$11))))))</f>
        <v/>
      </c>
      <c r="P955" s="33">
        <f>-I955</f>
        <v/>
      </c>
      <c r="Q955" s="33">
        <f>$J955*(1+$K955)^(1-1)*(1-$L955)*(1-$M955)</f>
        <v/>
      </c>
      <c r="R955" s="33">
        <f>$J955*(1+$K955)^(2-1)*(1-$L955)*(1-$M955)</f>
        <v/>
      </c>
      <c r="S955" s="33">
        <f>$J955*(1+$K955)^(3-1)*(1-$L955)*(1-$M955)</f>
        <v/>
      </c>
      <c r="T955" s="33">
        <f>$J955*(1+$K955)^(4-1)*(1-$L955)*(1-$M955)</f>
        <v/>
      </c>
      <c r="U955" s="33">
        <f>$J955*(1+$K955)^(5-1)*(1-$L955)*(1-$M955)+$O955</f>
        <v/>
      </c>
      <c r="V955" s="33">
        <f>P955+NPV($N955,Q955:U955)</f>
        <v/>
      </c>
      <c r="W955" s="32">
        <f>IFERROR(IRR(P955:U955,0.1),"")</f>
        <v/>
      </c>
    </row>
    <row r="956">
      <c r="A956" s="14" t="n">
        <v>952</v>
      </c>
      <c r="B956" s="30">
        <f>RAND()*(1-2E-6)+1E-6</f>
        <v/>
      </c>
      <c r="C956" s="30">
        <f>RAND()*(1-2E-6)+1E-6</f>
        <v/>
      </c>
      <c r="D956" s="30">
        <f>RAND()*(1-2E-6)+1E-6</f>
        <v/>
      </c>
      <c r="E956" s="30">
        <f>RAND()*(1-2E-6)+1E-6</f>
        <v/>
      </c>
      <c r="F956" s="30">
        <f>RAND()*(1-2E-6)+1E-6</f>
        <v/>
      </c>
      <c r="G956" s="30">
        <f>RAND()*(1-2E-6)+1E-6</f>
        <v/>
      </c>
      <c r="H956" s="30">
        <f>RAND()*(1-2E-6)+1E-6</f>
        <v/>
      </c>
      <c r="I956" s="31">
        <f>MIN(IF(Supuestos!$H$5="",1E+99,Supuestos!$H$5),MAX(IF(Supuestos!$G$5="",-1E+99,Supuestos!$G$5),IF(Supuestos!$C$5="Normal",NORMINV(B956,Supuestos!$D$5,Supuestos!$E$5),IF(Supuestos!$C$5="Triangular",IF(B956&lt;(Supuestos!$E$5-Supuestos!$D$5)/(Supuestos!$F$5-Supuestos!$D$5),Supuestos!$D$5+SQRT(B956*(Supuestos!$F$5-Supuestos!$D$5)*(Supuestos!$E$5-Supuestos!$D$5)),Supuestos!$F$5-SQRT((1-B956)*(Supuestos!$F$5-Supuestos!$D$5)*(Supuestos!$F$5-Supuestos!$E$5))),IF(Supuestos!$C$5="Uniforme",Supuestos!$D$5+B956*(Supuestos!$E$5-Supuestos!$D$5),IF(Supuestos!$C$5="Lognormal",LOGINV(B956,LN(Supuestos!$D$5)-LN(1+Supuestos!$E$5^2/Supuestos!$D$5^2)/2,SQRT(LN(1+Supuestos!$E$5^2/Supuestos!$D$5^2))),Supuestos!$D$5))))))</f>
        <v/>
      </c>
      <c r="J956" s="31">
        <f>MIN(IF(Supuestos!$H$6="",1E+99,Supuestos!$H$6),MAX(IF(Supuestos!$G$6="",-1E+99,Supuestos!$G$6),IF(Supuestos!$C$6="Normal",NORMINV(C956,Supuestos!$D$6,Supuestos!$E$6),IF(Supuestos!$C$6="Triangular",IF(C956&lt;(Supuestos!$E$6-Supuestos!$D$6)/(Supuestos!$F$6-Supuestos!$D$6),Supuestos!$D$6+SQRT(C956*(Supuestos!$F$6-Supuestos!$D$6)*(Supuestos!$E$6-Supuestos!$D$6)),Supuestos!$F$6-SQRT((1-C956)*(Supuestos!$F$6-Supuestos!$D$6)*(Supuestos!$F$6-Supuestos!$E$6))),IF(Supuestos!$C$6="Uniforme",Supuestos!$D$6+C956*(Supuestos!$E$6-Supuestos!$D$6),IF(Supuestos!$C$6="Lognormal",LOGINV(C956,LN(Supuestos!$D$6)-LN(1+Supuestos!$E$6^2/Supuestos!$D$6^2)/2,SQRT(LN(1+Supuestos!$E$6^2/Supuestos!$D$6^2))),Supuestos!$D$6))))))</f>
        <v/>
      </c>
      <c r="K956" s="32">
        <f>MIN(IF(Supuestos!$H$7="",1E+99,Supuestos!$H$7),MAX(IF(Supuestos!$G$7="",-1E+99,Supuestos!$G$7),IF(Supuestos!$C$7="Normal",NORMINV(D956,Supuestos!$D$7,Supuestos!$E$7),IF(Supuestos!$C$7="Triangular",IF(D956&lt;(Supuestos!$E$7-Supuestos!$D$7)/(Supuestos!$F$7-Supuestos!$D$7),Supuestos!$D$7+SQRT(D956*(Supuestos!$F$7-Supuestos!$D$7)*(Supuestos!$E$7-Supuestos!$D$7)),Supuestos!$F$7-SQRT((1-D956)*(Supuestos!$F$7-Supuestos!$D$7)*(Supuestos!$F$7-Supuestos!$E$7))),IF(Supuestos!$C$7="Uniforme",Supuestos!$D$7+D956*(Supuestos!$E$7-Supuestos!$D$7),IF(Supuestos!$C$7="Lognormal",LOGINV(D956,LN(Supuestos!$D$7)-LN(1+Supuestos!$E$7^2/Supuestos!$D$7^2)/2,SQRT(LN(1+Supuestos!$E$7^2/Supuestos!$D$7^2))),Supuestos!$D$7))))))</f>
        <v/>
      </c>
      <c r="L956" s="32">
        <f>MIN(IF(Supuestos!$H$8="",1E+99,Supuestos!$H$8),MAX(IF(Supuestos!$G$8="",-1E+99,Supuestos!$G$8),IF(Supuestos!$C$8="Normal",NORMINV(E956,Supuestos!$D$8,Supuestos!$E$8),IF(Supuestos!$C$8="Triangular",IF(E956&lt;(Supuestos!$E$8-Supuestos!$D$8)/(Supuestos!$F$8-Supuestos!$D$8),Supuestos!$D$8+SQRT(E956*(Supuestos!$F$8-Supuestos!$D$8)*(Supuestos!$E$8-Supuestos!$D$8)),Supuestos!$F$8-SQRT((1-E956)*(Supuestos!$F$8-Supuestos!$D$8)*(Supuestos!$F$8-Supuestos!$E$8))),IF(Supuestos!$C$8="Uniforme",Supuestos!$D$8+E956*(Supuestos!$E$8-Supuestos!$D$8),IF(Supuestos!$C$8="Lognormal",LOGINV(E956,LN(Supuestos!$D$8)-LN(1+Supuestos!$E$8^2/Supuestos!$D$8^2)/2,SQRT(LN(1+Supuestos!$E$8^2/Supuestos!$D$8^2))),Supuestos!$D$8))))))</f>
        <v/>
      </c>
      <c r="M956" s="32">
        <f>MIN(IF(Supuestos!$H$9="",1E+99,Supuestos!$H$9),MAX(IF(Supuestos!$G$9="",-1E+99,Supuestos!$G$9),IF(Supuestos!$C$9="Normal",NORMINV(F956,Supuestos!$D$9,Supuestos!$E$9),IF(Supuestos!$C$9="Triangular",IF(F956&lt;(Supuestos!$E$9-Supuestos!$D$9)/(Supuestos!$F$9-Supuestos!$D$9),Supuestos!$D$9+SQRT(F956*(Supuestos!$F$9-Supuestos!$D$9)*(Supuestos!$E$9-Supuestos!$D$9)),Supuestos!$F$9-SQRT((1-F956)*(Supuestos!$F$9-Supuestos!$D$9)*(Supuestos!$F$9-Supuestos!$E$9))),IF(Supuestos!$C$9="Uniforme",Supuestos!$D$9+F956*(Supuestos!$E$9-Supuestos!$D$9),IF(Supuestos!$C$9="Lognormal",LOGINV(F956,LN(Supuestos!$D$9)-LN(1+Supuestos!$E$9^2/Supuestos!$D$9^2)/2,SQRT(LN(1+Supuestos!$E$9^2/Supuestos!$D$9^2))),Supuestos!$D$9))))))</f>
        <v/>
      </c>
      <c r="N956" s="32">
        <f>MIN(IF(Supuestos!$H$10="",1E+99,Supuestos!$H$10),MAX(IF(Supuestos!$G$10="",-1E+99,Supuestos!$G$10),IF(Supuestos!$C$10="Normal",NORMINV(G956,Supuestos!$D$10,Supuestos!$E$10),IF(Supuestos!$C$10="Triangular",IF(G956&lt;(Supuestos!$E$10-Supuestos!$D$10)/(Supuestos!$F$10-Supuestos!$D$10),Supuestos!$D$10+SQRT(G956*(Supuestos!$F$10-Supuestos!$D$10)*(Supuestos!$E$10-Supuestos!$D$10)),Supuestos!$F$10-SQRT((1-G956)*(Supuestos!$F$10-Supuestos!$D$10)*(Supuestos!$F$10-Supuestos!$E$10))),IF(Supuestos!$C$10="Uniforme",Supuestos!$D$10+G956*(Supuestos!$E$10-Supuestos!$D$10),IF(Supuestos!$C$10="Lognormal",LOGINV(G956,LN(Supuestos!$D$10)-LN(1+Supuestos!$E$10^2/Supuestos!$D$10^2)/2,SQRT(LN(1+Supuestos!$E$10^2/Supuestos!$D$10^2))),Supuestos!$D$10))))))</f>
        <v/>
      </c>
      <c r="O956" s="31">
        <f>MIN(IF(Supuestos!$H$11="",1E+99,Supuestos!$H$11),MAX(IF(Supuestos!$G$11="",-1E+99,Supuestos!$G$11),IF(Supuestos!$C$11="Normal",NORMINV(H956,Supuestos!$D$11,Supuestos!$E$11),IF(Supuestos!$C$11="Triangular",IF(H956&lt;(Supuestos!$E$11-Supuestos!$D$11)/(Supuestos!$F$11-Supuestos!$D$11),Supuestos!$D$11+SQRT(H956*(Supuestos!$F$11-Supuestos!$D$11)*(Supuestos!$E$11-Supuestos!$D$11)),Supuestos!$F$11-SQRT((1-H956)*(Supuestos!$F$11-Supuestos!$D$11)*(Supuestos!$F$11-Supuestos!$E$11))),IF(Supuestos!$C$11="Uniforme",Supuestos!$D$11+H956*(Supuestos!$E$11-Supuestos!$D$11),IF(Supuestos!$C$11="Lognormal",LOGINV(H956,LN(Supuestos!$D$11)-LN(1+Supuestos!$E$11^2/Supuestos!$D$11^2)/2,SQRT(LN(1+Supuestos!$E$11^2/Supuestos!$D$11^2))),Supuestos!$D$11))))))</f>
        <v/>
      </c>
      <c r="P956" s="33">
        <f>-I956</f>
        <v/>
      </c>
      <c r="Q956" s="33">
        <f>$J956*(1+$K956)^(1-1)*(1-$L956)*(1-$M956)</f>
        <v/>
      </c>
      <c r="R956" s="33">
        <f>$J956*(1+$K956)^(2-1)*(1-$L956)*(1-$M956)</f>
        <v/>
      </c>
      <c r="S956" s="33">
        <f>$J956*(1+$K956)^(3-1)*(1-$L956)*(1-$M956)</f>
        <v/>
      </c>
      <c r="T956" s="33">
        <f>$J956*(1+$K956)^(4-1)*(1-$L956)*(1-$M956)</f>
        <v/>
      </c>
      <c r="U956" s="33">
        <f>$J956*(1+$K956)^(5-1)*(1-$L956)*(1-$M956)+$O956</f>
        <v/>
      </c>
      <c r="V956" s="33">
        <f>P956+NPV($N956,Q956:U956)</f>
        <v/>
      </c>
      <c r="W956" s="32">
        <f>IFERROR(IRR(P956:U956,0.1),"")</f>
        <v/>
      </c>
    </row>
    <row r="957">
      <c r="A957" s="14" t="n">
        <v>953</v>
      </c>
      <c r="B957" s="30">
        <f>RAND()*(1-2E-6)+1E-6</f>
        <v/>
      </c>
      <c r="C957" s="30">
        <f>RAND()*(1-2E-6)+1E-6</f>
        <v/>
      </c>
      <c r="D957" s="30">
        <f>RAND()*(1-2E-6)+1E-6</f>
        <v/>
      </c>
      <c r="E957" s="30">
        <f>RAND()*(1-2E-6)+1E-6</f>
        <v/>
      </c>
      <c r="F957" s="30">
        <f>RAND()*(1-2E-6)+1E-6</f>
        <v/>
      </c>
      <c r="G957" s="30">
        <f>RAND()*(1-2E-6)+1E-6</f>
        <v/>
      </c>
      <c r="H957" s="30">
        <f>RAND()*(1-2E-6)+1E-6</f>
        <v/>
      </c>
      <c r="I957" s="31">
        <f>MIN(IF(Supuestos!$H$5="",1E+99,Supuestos!$H$5),MAX(IF(Supuestos!$G$5="",-1E+99,Supuestos!$G$5),IF(Supuestos!$C$5="Normal",NORMINV(B957,Supuestos!$D$5,Supuestos!$E$5),IF(Supuestos!$C$5="Triangular",IF(B957&lt;(Supuestos!$E$5-Supuestos!$D$5)/(Supuestos!$F$5-Supuestos!$D$5),Supuestos!$D$5+SQRT(B957*(Supuestos!$F$5-Supuestos!$D$5)*(Supuestos!$E$5-Supuestos!$D$5)),Supuestos!$F$5-SQRT((1-B957)*(Supuestos!$F$5-Supuestos!$D$5)*(Supuestos!$F$5-Supuestos!$E$5))),IF(Supuestos!$C$5="Uniforme",Supuestos!$D$5+B957*(Supuestos!$E$5-Supuestos!$D$5),IF(Supuestos!$C$5="Lognormal",LOGINV(B957,LN(Supuestos!$D$5)-LN(1+Supuestos!$E$5^2/Supuestos!$D$5^2)/2,SQRT(LN(1+Supuestos!$E$5^2/Supuestos!$D$5^2))),Supuestos!$D$5))))))</f>
        <v/>
      </c>
      <c r="J957" s="31">
        <f>MIN(IF(Supuestos!$H$6="",1E+99,Supuestos!$H$6),MAX(IF(Supuestos!$G$6="",-1E+99,Supuestos!$G$6),IF(Supuestos!$C$6="Normal",NORMINV(C957,Supuestos!$D$6,Supuestos!$E$6),IF(Supuestos!$C$6="Triangular",IF(C957&lt;(Supuestos!$E$6-Supuestos!$D$6)/(Supuestos!$F$6-Supuestos!$D$6),Supuestos!$D$6+SQRT(C957*(Supuestos!$F$6-Supuestos!$D$6)*(Supuestos!$E$6-Supuestos!$D$6)),Supuestos!$F$6-SQRT((1-C957)*(Supuestos!$F$6-Supuestos!$D$6)*(Supuestos!$F$6-Supuestos!$E$6))),IF(Supuestos!$C$6="Uniforme",Supuestos!$D$6+C957*(Supuestos!$E$6-Supuestos!$D$6),IF(Supuestos!$C$6="Lognormal",LOGINV(C957,LN(Supuestos!$D$6)-LN(1+Supuestos!$E$6^2/Supuestos!$D$6^2)/2,SQRT(LN(1+Supuestos!$E$6^2/Supuestos!$D$6^2))),Supuestos!$D$6))))))</f>
        <v/>
      </c>
      <c r="K957" s="32">
        <f>MIN(IF(Supuestos!$H$7="",1E+99,Supuestos!$H$7),MAX(IF(Supuestos!$G$7="",-1E+99,Supuestos!$G$7),IF(Supuestos!$C$7="Normal",NORMINV(D957,Supuestos!$D$7,Supuestos!$E$7),IF(Supuestos!$C$7="Triangular",IF(D957&lt;(Supuestos!$E$7-Supuestos!$D$7)/(Supuestos!$F$7-Supuestos!$D$7),Supuestos!$D$7+SQRT(D957*(Supuestos!$F$7-Supuestos!$D$7)*(Supuestos!$E$7-Supuestos!$D$7)),Supuestos!$F$7-SQRT((1-D957)*(Supuestos!$F$7-Supuestos!$D$7)*(Supuestos!$F$7-Supuestos!$E$7))),IF(Supuestos!$C$7="Uniforme",Supuestos!$D$7+D957*(Supuestos!$E$7-Supuestos!$D$7),IF(Supuestos!$C$7="Lognormal",LOGINV(D957,LN(Supuestos!$D$7)-LN(1+Supuestos!$E$7^2/Supuestos!$D$7^2)/2,SQRT(LN(1+Supuestos!$E$7^2/Supuestos!$D$7^2))),Supuestos!$D$7))))))</f>
        <v/>
      </c>
      <c r="L957" s="32">
        <f>MIN(IF(Supuestos!$H$8="",1E+99,Supuestos!$H$8),MAX(IF(Supuestos!$G$8="",-1E+99,Supuestos!$G$8),IF(Supuestos!$C$8="Normal",NORMINV(E957,Supuestos!$D$8,Supuestos!$E$8),IF(Supuestos!$C$8="Triangular",IF(E957&lt;(Supuestos!$E$8-Supuestos!$D$8)/(Supuestos!$F$8-Supuestos!$D$8),Supuestos!$D$8+SQRT(E957*(Supuestos!$F$8-Supuestos!$D$8)*(Supuestos!$E$8-Supuestos!$D$8)),Supuestos!$F$8-SQRT((1-E957)*(Supuestos!$F$8-Supuestos!$D$8)*(Supuestos!$F$8-Supuestos!$E$8))),IF(Supuestos!$C$8="Uniforme",Supuestos!$D$8+E957*(Supuestos!$E$8-Supuestos!$D$8),IF(Supuestos!$C$8="Lognormal",LOGINV(E957,LN(Supuestos!$D$8)-LN(1+Supuestos!$E$8^2/Supuestos!$D$8^2)/2,SQRT(LN(1+Supuestos!$E$8^2/Supuestos!$D$8^2))),Supuestos!$D$8))))))</f>
        <v/>
      </c>
      <c r="M957" s="32">
        <f>MIN(IF(Supuestos!$H$9="",1E+99,Supuestos!$H$9),MAX(IF(Supuestos!$G$9="",-1E+99,Supuestos!$G$9),IF(Supuestos!$C$9="Normal",NORMINV(F957,Supuestos!$D$9,Supuestos!$E$9),IF(Supuestos!$C$9="Triangular",IF(F957&lt;(Supuestos!$E$9-Supuestos!$D$9)/(Supuestos!$F$9-Supuestos!$D$9),Supuestos!$D$9+SQRT(F957*(Supuestos!$F$9-Supuestos!$D$9)*(Supuestos!$E$9-Supuestos!$D$9)),Supuestos!$F$9-SQRT((1-F957)*(Supuestos!$F$9-Supuestos!$D$9)*(Supuestos!$F$9-Supuestos!$E$9))),IF(Supuestos!$C$9="Uniforme",Supuestos!$D$9+F957*(Supuestos!$E$9-Supuestos!$D$9),IF(Supuestos!$C$9="Lognormal",LOGINV(F957,LN(Supuestos!$D$9)-LN(1+Supuestos!$E$9^2/Supuestos!$D$9^2)/2,SQRT(LN(1+Supuestos!$E$9^2/Supuestos!$D$9^2))),Supuestos!$D$9))))))</f>
        <v/>
      </c>
      <c r="N957" s="32">
        <f>MIN(IF(Supuestos!$H$10="",1E+99,Supuestos!$H$10),MAX(IF(Supuestos!$G$10="",-1E+99,Supuestos!$G$10),IF(Supuestos!$C$10="Normal",NORMINV(G957,Supuestos!$D$10,Supuestos!$E$10),IF(Supuestos!$C$10="Triangular",IF(G957&lt;(Supuestos!$E$10-Supuestos!$D$10)/(Supuestos!$F$10-Supuestos!$D$10),Supuestos!$D$10+SQRT(G957*(Supuestos!$F$10-Supuestos!$D$10)*(Supuestos!$E$10-Supuestos!$D$10)),Supuestos!$F$10-SQRT((1-G957)*(Supuestos!$F$10-Supuestos!$D$10)*(Supuestos!$F$10-Supuestos!$E$10))),IF(Supuestos!$C$10="Uniforme",Supuestos!$D$10+G957*(Supuestos!$E$10-Supuestos!$D$10),IF(Supuestos!$C$10="Lognormal",LOGINV(G957,LN(Supuestos!$D$10)-LN(1+Supuestos!$E$10^2/Supuestos!$D$10^2)/2,SQRT(LN(1+Supuestos!$E$10^2/Supuestos!$D$10^2))),Supuestos!$D$10))))))</f>
        <v/>
      </c>
      <c r="O957" s="31">
        <f>MIN(IF(Supuestos!$H$11="",1E+99,Supuestos!$H$11),MAX(IF(Supuestos!$G$11="",-1E+99,Supuestos!$G$11),IF(Supuestos!$C$11="Normal",NORMINV(H957,Supuestos!$D$11,Supuestos!$E$11),IF(Supuestos!$C$11="Triangular",IF(H957&lt;(Supuestos!$E$11-Supuestos!$D$11)/(Supuestos!$F$11-Supuestos!$D$11),Supuestos!$D$11+SQRT(H957*(Supuestos!$F$11-Supuestos!$D$11)*(Supuestos!$E$11-Supuestos!$D$11)),Supuestos!$F$11-SQRT((1-H957)*(Supuestos!$F$11-Supuestos!$D$11)*(Supuestos!$F$11-Supuestos!$E$11))),IF(Supuestos!$C$11="Uniforme",Supuestos!$D$11+H957*(Supuestos!$E$11-Supuestos!$D$11),IF(Supuestos!$C$11="Lognormal",LOGINV(H957,LN(Supuestos!$D$11)-LN(1+Supuestos!$E$11^2/Supuestos!$D$11^2)/2,SQRT(LN(1+Supuestos!$E$11^2/Supuestos!$D$11^2))),Supuestos!$D$11))))))</f>
        <v/>
      </c>
      <c r="P957" s="33">
        <f>-I957</f>
        <v/>
      </c>
      <c r="Q957" s="33">
        <f>$J957*(1+$K957)^(1-1)*(1-$L957)*(1-$M957)</f>
        <v/>
      </c>
      <c r="R957" s="33">
        <f>$J957*(1+$K957)^(2-1)*(1-$L957)*(1-$M957)</f>
        <v/>
      </c>
      <c r="S957" s="33">
        <f>$J957*(1+$K957)^(3-1)*(1-$L957)*(1-$M957)</f>
        <v/>
      </c>
      <c r="T957" s="33">
        <f>$J957*(1+$K957)^(4-1)*(1-$L957)*(1-$M957)</f>
        <v/>
      </c>
      <c r="U957" s="33">
        <f>$J957*(1+$K957)^(5-1)*(1-$L957)*(1-$M957)+$O957</f>
        <v/>
      </c>
      <c r="V957" s="33">
        <f>P957+NPV($N957,Q957:U957)</f>
        <v/>
      </c>
      <c r="W957" s="32">
        <f>IFERROR(IRR(P957:U957,0.1),"")</f>
        <v/>
      </c>
    </row>
    <row r="958">
      <c r="A958" s="14" t="n">
        <v>954</v>
      </c>
      <c r="B958" s="30">
        <f>RAND()*(1-2E-6)+1E-6</f>
        <v/>
      </c>
      <c r="C958" s="30">
        <f>RAND()*(1-2E-6)+1E-6</f>
        <v/>
      </c>
      <c r="D958" s="30">
        <f>RAND()*(1-2E-6)+1E-6</f>
        <v/>
      </c>
      <c r="E958" s="30">
        <f>RAND()*(1-2E-6)+1E-6</f>
        <v/>
      </c>
      <c r="F958" s="30">
        <f>RAND()*(1-2E-6)+1E-6</f>
        <v/>
      </c>
      <c r="G958" s="30">
        <f>RAND()*(1-2E-6)+1E-6</f>
        <v/>
      </c>
      <c r="H958" s="30">
        <f>RAND()*(1-2E-6)+1E-6</f>
        <v/>
      </c>
      <c r="I958" s="31">
        <f>MIN(IF(Supuestos!$H$5="",1E+99,Supuestos!$H$5),MAX(IF(Supuestos!$G$5="",-1E+99,Supuestos!$G$5),IF(Supuestos!$C$5="Normal",NORMINV(B958,Supuestos!$D$5,Supuestos!$E$5),IF(Supuestos!$C$5="Triangular",IF(B958&lt;(Supuestos!$E$5-Supuestos!$D$5)/(Supuestos!$F$5-Supuestos!$D$5),Supuestos!$D$5+SQRT(B958*(Supuestos!$F$5-Supuestos!$D$5)*(Supuestos!$E$5-Supuestos!$D$5)),Supuestos!$F$5-SQRT((1-B958)*(Supuestos!$F$5-Supuestos!$D$5)*(Supuestos!$F$5-Supuestos!$E$5))),IF(Supuestos!$C$5="Uniforme",Supuestos!$D$5+B958*(Supuestos!$E$5-Supuestos!$D$5),IF(Supuestos!$C$5="Lognormal",LOGINV(B958,LN(Supuestos!$D$5)-LN(1+Supuestos!$E$5^2/Supuestos!$D$5^2)/2,SQRT(LN(1+Supuestos!$E$5^2/Supuestos!$D$5^2))),Supuestos!$D$5))))))</f>
        <v/>
      </c>
      <c r="J958" s="31">
        <f>MIN(IF(Supuestos!$H$6="",1E+99,Supuestos!$H$6),MAX(IF(Supuestos!$G$6="",-1E+99,Supuestos!$G$6),IF(Supuestos!$C$6="Normal",NORMINV(C958,Supuestos!$D$6,Supuestos!$E$6),IF(Supuestos!$C$6="Triangular",IF(C958&lt;(Supuestos!$E$6-Supuestos!$D$6)/(Supuestos!$F$6-Supuestos!$D$6),Supuestos!$D$6+SQRT(C958*(Supuestos!$F$6-Supuestos!$D$6)*(Supuestos!$E$6-Supuestos!$D$6)),Supuestos!$F$6-SQRT((1-C958)*(Supuestos!$F$6-Supuestos!$D$6)*(Supuestos!$F$6-Supuestos!$E$6))),IF(Supuestos!$C$6="Uniforme",Supuestos!$D$6+C958*(Supuestos!$E$6-Supuestos!$D$6),IF(Supuestos!$C$6="Lognormal",LOGINV(C958,LN(Supuestos!$D$6)-LN(1+Supuestos!$E$6^2/Supuestos!$D$6^2)/2,SQRT(LN(1+Supuestos!$E$6^2/Supuestos!$D$6^2))),Supuestos!$D$6))))))</f>
        <v/>
      </c>
      <c r="K958" s="32">
        <f>MIN(IF(Supuestos!$H$7="",1E+99,Supuestos!$H$7),MAX(IF(Supuestos!$G$7="",-1E+99,Supuestos!$G$7),IF(Supuestos!$C$7="Normal",NORMINV(D958,Supuestos!$D$7,Supuestos!$E$7),IF(Supuestos!$C$7="Triangular",IF(D958&lt;(Supuestos!$E$7-Supuestos!$D$7)/(Supuestos!$F$7-Supuestos!$D$7),Supuestos!$D$7+SQRT(D958*(Supuestos!$F$7-Supuestos!$D$7)*(Supuestos!$E$7-Supuestos!$D$7)),Supuestos!$F$7-SQRT((1-D958)*(Supuestos!$F$7-Supuestos!$D$7)*(Supuestos!$F$7-Supuestos!$E$7))),IF(Supuestos!$C$7="Uniforme",Supuestos!$D$7+D958*(Supuestos!$E$7-Supuestos!$D$7),IF(Supuestos!$C$7="Lognormal",LOGINV(D958,LN(Supuestos!$D$7)-LN(1+Supuestos!$E$7^2/Supuestos!$D$7^2)/2,SQRT(LN(1+Supuestos!$E$7^2/Supuestos!$D$7^2))),Supuestos!$D$7))))))</f>
        <v/>
      </c>
      <c r="L958" s="32">
        <f>MIN(IF(Supuestos!$H$8="",1E+99,Supuestos!$H$8),MAX(IF(Supuestos!$G$8="",-1E+99,Supuestos!$G$8),IF(Supuestos!$C$8="Normal",NORMINV(E958,Supuestos!$D$8,Supuestos!$E$8),IF(Supuestos!$C$8="Triangular",IF(E958&lt;(Supuestos!$E$8-Supuestos!$D$8)/(Supuestos!$F$8-Supuestos!$D$8),Supuestos!$D$8+SQRT(E958*(Supuestos!$F$8-Supuestos!$D$8)*(Supuestos!$E$8-Supuestos!$D$8)),Supuestos!$F$8-SQRT((1-E958)*(Supuestos!$F$8-Supuestos!$D$8)*(Supuestos!$F$8-Supuestos!$E$8))),IF(Supuestos!$C$8="Uniforme",Supuestos!$D$8+E958*(Supuestos!$E$8-Supuestos!$D$8),IF(Supuestos!$C$8="Lognormal",LOGINV(E958,LN(Supuestos!$D$8)-LN(1+Supuestos!$E$8^2/Supuestos!$D$8^2)/2,SQRT(LN(1+Supuestos!$E$8^2/Supuestos!$D$8^2))),Supuestos!$D$8))))))</f>
        <v/>
      </c>
      <c r="M958" s="32">
        <f>MIN(IF(Supuestos!$H$9="",1E+99,Supuestos!$H$9),MAX(IF(Supuestos!$G$9="",-1E+99,Supuestos!$G$9),IF(Supuestos!$C$9="Normal",NORMINV(F958,Supuestos!$D$9,Supuestos!$E$9),IF(Supuestos!$C$9="Triangular",IF(F958&lt;(Supuestos!$E$9-Supuestos!$D$9)/(Supuestos!$F$9-Supuestos!$D$9),Supuestos!$D$9+SQRT(F958*(Supuestos!$F$9-Supuestos!$D$9)*(Supuestos!$E$9-Supuestos!$D$9)),Supuestos!$F$9-SQRT((1-F958)*(Supuestos!$F$9-Supuestos!$D$9)*(Supuestos!$F$9-Supuestos!$E$9))),IF(Supuestos!$C$9="Uniforme",Supuestos!$D$9+F958*(Supuestos!$E$9-Supuestos!$D$9),IF(Supuestos!$C$9="Lognormal",LOGINV(F958,LN(Supuestos!$D$9)-LN(1+Supuestos!$E$9^2/Supuestos!$D$9^2)/2,SQRT(LN(1+Supuestos!$E$9^2/Supuestos!$D$9^2))),Supuestos!$D$9))))))</f>
        <v/>
      </c>
      <c r="N958" s="32">
        <f>MIN(IF(Supuestos!$H$10="",1E+99,Supuestos!$H$10),MAX(IF(Supuestos!$G$10="",-1E+99,Supuestos!$G$10),IF(Supuestos!$C$10="Normal",NORMINV(G958,Supuestos!$D$10,Supuestos!$E$10),IF(Supuestos!$C$10="Triangular",IF(G958&lt;(Supuestos!$E$10-Supuestos!$D$10)/(Supuestos!$F$10-Supuestos!$D$10),Supuestos!$D$10+SQRT(G958*(Supuestos!$F$10-Supuestos!$D$10)*(Supuestos!$E$10-Supuestos!$D$10)),Supuestos!$F$10-SQRT((1-G958)*(Supuestos!$F$10-Supuestos!$D$10)*(Supuestos!$F$10-Supuestos!$E$10))),IF(Supuestos!$C$10="Uniforme",Supuestos!$D$10+G958*(Supuestos!$E$10-Supuestos!$D$10),IF(Supuestos!$C$10="Lognormal",LOGINV(G958,LN(Supuestos!$D$10)-LN(1+Supuestos!$E$10^2/Supuestos!$D$10^2)/2,SQRT(LN(1+Supuestos!$E$10^2/Supuestos!$D$10^2))),Supuestos!$D$10))))))</f>
        <v/>
      </c>
      <c r="O958" s="31">
        <f>MIN(IF(Supuestos!$H$11="",1E+99,Supuestos!$H$11),MAX(IF(Supuestos!$G$11="",-1E+99,Supuestos!$G$11),IF(Supuestos!$C$11="Normal",NORMINV(H958,Supuestos!$D$11,Supuestos!$E$11),IF(Supuestos!$C$11="Triangular",IF(H958&lt;(Supuestos!$E$11-Supuestos!$D$11)/(Supuestos!$F$11-Supuestos!$D$11),Supuestos!$D$11+SQRT(H958*(Supuestos!$F$11-Supuestos!$D$11)*(Supuestos!$E$11-Supuestos!$D$11)),Supuestos!$F$11-SQRT((1-H958)*(Supuestos!$F$11-Supuestos!$D$11)*(Supuestos!$F$11-Supuestos!$E$11))),IF(Supuestos!$C$11="Uniforme",Supuestos!$D$11+H958*(Supuestos!$E$11-Supuestos!$D$11),IF(Supuestos!$C$11="Lognormal",LOGINV(H958,LN(Supuestos!$D$11)-LN(1+Supuestos!$E$11^2/Supuestos!$D$11^2)/2,SQRT(LN(1+Supuestos!$E$11^2/Supuestos!$D$11^2))),Supuestos!$D$11))))))</f>
        <v/>
      </c>
      <c r="P958" s="33">
        <f>-I958</f>
        <v/>
      </c>
      <c r="Q958" s="33">
        <f>$J958*(1+$K958)^(1-1)*(1-$L958)*(1-$M958)</f>
        <v/>
      </c>
      <c r="R958" s="33">
        <f>$J958*(1+$K958)^(2-1)*(1-$L958)*(1-$M958)</f>
        <v/>
      </c>
      <c r="S958" s="33">
        <f>$J958*(1+$K958)^(3-1)*(1-$L958)*(1-$M958)</f>
        <v/>
      </c>
      <c r="T958" s="33">
        <f>$J958*(1+$K958)^(4-1)*(1-$L958)*(1-$M958)</f>
        <v/>
      </c>
      <c r="U958" s="33">
        <f>$J958*(1+$K958)^(5-1)*(1-$L958)*(1-$M958)+$O958</f>
        <v/>
      </c>
      <c r="V958" s="33">
        <f>P958+NPV($N958,Q958:U958)</f>
        <v/>
      </c>
      <c r="W958" s="32">
        <f>IFERROR(IRR(P958:U958,0.1),"")</f>
        <v/>
      </c>
    </row>
    <row r="959">
      <c r="A959" s="14" t="n">
        <v>955</v>
      </c>
      <c r="B959" s="30">
        <f>RAND()*(1-2E-6)+1E-6</f>
        <v/>
      </c>
      <c r="C959" s="30">
        <f>RAND()*(1-2E-6)+1E-6</f>
        <v/>
      </c>
      <c r="D959" s="30">
        <f>RAND()*(1-2E-6)+1E-6</f>
        <v/>
      </c>
      <c r="E959" s="30">
        <f>RAND()*(1-2E-6)+1E-6</f>
        <v/>
      </c>
      <c r="F959" s="30">
        <f>RAND()*(1-2E-6)+1E-6</f>
        <v/>
      </c>
      <c r="G959" s="30">
        <f>RAND()*(1-2E-6)+1E-6</f>
        <v/>
      </c>
      <c r="H959" s="30">
        <f>RAND()*(1-2E-6)+1E-6</f>
        <v/>
      </c>
      <c r="I959" s="31">
        <f>MIN(IF(Supuestos!$H$5="",1E+99,Supuestos!$H$5),MAX(IF(Supuestos!$G$5="",-1E+99,Supuestos!$G$5),IF(Supuestos!$C$5="Normal",NORMINV(B959,Supuestos!$D$5,Supuestos!$E$5),IF(Supuestos!$C$5="Triangular",IF(B959&lt;(Supuestos!$E$5-Supuestos!$D$5)/(Supuestos!$F$5-Supuestos!$D$5),Supuestos!$D$5+SQRT(B959*(Supuestos!$F$5-Supuestos!$D$5)*(Supuestos!$E$5-Supuestos!$D$5)),Supuestos!$F$5-SQRT((1-B959)*(Supuestos!$F$5-Supuestos!$D$5)*(Supuestos!$F$5-Supuestos!$E$5))),IF(Supuestos!$C$5="Uniforme",Supuestos!$D$5+B959*(Supuestos!$E$5-Supuestos!$D$5),IF(Supuestos!$C$5="Lognormal",LOGINV(B959,LN(Supuestos!$D$5)-LN(1+Supuestos!$E$5^2/Supuestos!$D$5^2)/2,SQRT(LN(1+Supuestos!$E$5^2/Supuestos!$D$5^2))),Supuestos!$D$5))))))</f>
        <v/>
      </c>
      <c r="J959" s="31">
        <f>MIN(IF(Supuestos!$H$6="",1E+99,Supuestos!$H$6),MAX(IF(Supuestos!$G$6="",-1E+99,Supuestos!$G$6),IF(Supuestos!$C$6="Normal",NORMINV(C959,Supuestos!$D$6,Supuestos!$E$6),IF(Supuestos!$C$6="Triangular",IF(C959&lt;(Supuestos!$E$6-Supuestos!$D$6)/(Supuestos!$F$6-Supuestos!$D$6),Supuestos!$D$6+SQRT(C959*(Supuestos!$F$6-Supuestos!$D$6)*(Supuestos!$E$6-Supuestos!$D$6)),Supuestos!$F$6-SQRT((1-C959)*(Supuestos!$F$6-Supuestos!$D$6)*(Supuestos!$F$6-Supuestos!$E$6))),IF(Supuestos!$C$6="Uniforme",Supuestos!$D$6+C959*(Supuestos!$E$6-Supuestos!$D$6),IF(Supuestos!$C$6="Lognormal",LOGINV(C959,LN(Supuestos!$D$6)-LN(1+Supuestos!$E$6^2/Supuestos!$D$6^2)/2,SQRT(LN(1+Supuestos!$E$6^2/Supuestos!$D$6^2))),Supuestos!$D$6))))))</f>
        <v/>
      </c>
      <c r="K959" s="32">
        <f>MIN(IF(Supuestos!$H$7="",1E+99,Supuestos!$H$7),MAX(IF(Supuestos!$G$7="",-1E+99,Supuestos!$G$7),IF(Supuestos!$C$7="Normal",NORMINV(D959,Supuestos!$D$7,Supuestos!$E$7),IF(Supuestos!$C$7="Triangular",IF(D959&lt;(Supuestos!$E$7-Supuestos!$D$7)/(Supuestos!$F$7-Supuestos!$D$7),Supuestos!$D$7+SQRT(D959*(Supuestos!$F$7-Supuestos!$D$7)*(Supuestos!$E$7-Supuestos!$D$7)),Supuestos!$F$7-SQRT((1-D959)*(Supuestos!$F$7-Supuestos!$D$7)*(Supuestos!$F$7-Supuestos!$E$7))),IF(Supuestos!$C$7="Uniforme",Supuestos!$D$7+D959*(Supuestos!$E$7-Supuestos!$D$7),IF(Supuestos!$C$7="Lognormal",LOGINV(D959,LN(Supuestos!$D$7)-LN(1+Supuestos!$E$7^2/Supuestos!$D$7^2)/2,SQRT(LN(1+Supuestos!$E$7^2/Supuestos!$D$7^2))),Supuestos!$D$7))))))</f>
        <v/>
      </c>
      <c r="L959" s="32">
        <f>MIN(IF(Supuestos!$H$8="",1E+99,Supuestos!$H$8),MAX(IF(Supuestos!$G$8="",-1E+99,Supuestos!$G$8),IF(Supuestos!$C$8="Normal",NORMINV(E959,Supuestos!$D$8,Supuestos!$E$8),IF(Supuestos!$C$8="Triangular",IF(E959&lt;(Supuestos!$E$8-Supuestos!$D$8)/(Supuestos!$F$8-Supuestos!$D$8),Supuestos!$D$8+SQRT(E959*(Supuestos!$F$8-Supuestos!$D$8)*(Supuestos!$E$8-Supuestos!$D$8)),Supuestos!$F$8-SQRT((1-E959)*(Supuestos!$F$8-Supuestos!$D$8)*(Supuestos!$F$8-Supuestos!$E$8))),IF(Supuestos!$C$8="Uniforme",Supuestos!$D$8+E959*(Supuestos!$E$8-Supuestos!$D$8),IF(Supuestos!$C$8="Lognormal",LOGINV(E959,LN(Supuestos!$D$8)-LN(1+Supuestos!$E$8^2/Supuestos!$D$8^2)/2,SQRT(LN(1+Supuestos!$E$8^2/Supuestos!$D$8^2))),Supuestos!$D$8))))))</f>
        <v/>
      </c>
      <c r="M959" s="32">
        <f>MIN(IF(Supuestos!$H$9="",1E+99,Supuestos!$H$9),MAX(IF(Supuestos!$G$9="",-1E+99,Supuestos!$G$9),IF(Supuestos!$C$9="Normal",NORMINV(F959,Supuestos!$D$9,Supuestos!$E$9),IF(Supuestos!$C$9="Triangular",IF(F959&lt;(Supuestos!$E$9-Supuestos!$D$9)/(Supuestos!$F$9-Supuestos!$D$9),Supuestos!$D$9+SQRT(F959*(Supuestos!$F$9-Supuestos!$D$9)*(Supuestos!$E$9-Supuestos!$D$9)),Supuestos!$F$9-SQRT((1-F959)*(Supuestos!$F$9-Supuestos!$D$9)*(Supuestos!$F$9-Supuestos!$E$9))),IF(Supuestos!$C$9="Uniforme",Supuestos!$D$9+F959*(Supuestos!$E$9-Supuestos!$D$9),IF(Supuestos!$C$9="Lognormal",LOGINV(F959,LN(Supuestos!$D$9)-LN(1+Supuestos!$E$9^2/Supuestos!$D$9^2)/2,SQRT(LN(1+Supuestos!$E$9^2/Supuestos!$D$9^2))),Supuestos!$D$9))))))</f>
        <v/>
      </c>
      <c r="N959" s="32">
        <f>MIN(IF(Supuestos!$H$10="",1E+99,Supuestos!$H$10),MAX(IF(Supuestos!$G$10="",-1E+99,Supuestos!$G$10),IF(Supuestos!$C$10="Normal",NORMINV(G959,Supuestos!$D$10,Supuestos!$E$10),IF(Supuestos!$C$10="Triangular",IF(G959&lt;(Supuestos!$E$10-Supuestos!$D$10)/(Supuestos!$F$10-Supuestos!$D$10),Supuestos!$D$10+SQRT(G959*(Supuestos!$F$10-Supuestos!$D$10)*(Supuestos!$E$10-Supuestos!$D$10)),Supuestos!$F$10-SQRT((1-G959)*(Supuestos!$F$10-Supuestos!$D$10)*(Supuestos!$F$10-Supuestos!$E$10))),IF(Supuestos!$C$10="Uniforme",Supuestos!$D$10+G959*(Supuestos!$E$10-Supuestos!$D$10),IF(Supuestos!$C$10="Lognormal",LOGINV(G959,LN(Supuestos!$D$10)-LN(1+Supuestos!$E$10^2/Supuestos!$D$10^2)/2,SQRT(LN(1+Supuestos!$E$10^2/Supuestos!$D$10^2))),Supuestos!$D$10))))))</f>
        <v/>
      </c>
      <c r="O959" s="31">
        <f>MIN(IF(Supuestos!$H$11="",1E+99,Supuestos!$H$11),MAX(IF(Supuestos!$G$11="",-1E+99,Supuestos!$G$11),IF(Supuestos!$C$11="Normal",NORMINV(H959,Supuestos!$D$11,Supuestos!$E$11),IF(Supuestos!$C$11="Triangular",IF(H959&lt;(Supuestos!$E$11-Supuestos!$D$11)/(Supuestos!$F$11-Supuestos!$D$11),Supuestos!$D$11+SQRT(H959*(Supuestos!$F$11-Supuestos!$D$11)*(Supuestos!$E$11-Supuestos!$D$11)),Supuestos!$F$11-SQRT((1-H959)*(Supuestos!$F$11-Supuestos!$D$11)*(Supuestos!$F$11-Supuestos!$E$11))),IF(Supuestos!$C$11="Uniforme",Supuestos!$D$11+H959*(Supuestos!$E$11-Supuestos!$D$11),IF(Supuestos!$C$11="Lognormal",LOGINV(H959,LN(Supuestos!$D$11)-LN(1+Supuestos!$E$11^2/Supuestos!$D$11^2)/2,SQRT(LN(1+Supuestos!$E$11^2/Supuestos!$D$11^2))),Supuestos!$D$11))))))</f>
        <v/>
      </c>
      <c r="P959" s="33">
        <f>-I959</f>
        <v/>
      </c>
      <c r="Q959" s="33">
        <f>$J959*(1+$K959)^(1-1)*(1-$L959)*(1-$M959)</f>
        <v/>
      </c>
      <c r="R959" s="33">
        <f>$J959*(1+$K959)^(2-1)*(1-$L959)*(1-$M959)</f>
        <v/>
      </c>
      <c r="S959" s="33">
        <f>$J959*(1+$K959)^(3-1)*(1-$L959)*(1-$M959)</f>
        <v/>
      </c>
      <c r="T959" s="33">
        <f>$J959*(1+$K959)^(4-1)*(1-$L959)*(1-$M959)</f>
        <v/>
      </c>
      <c r="U959" s="33">
        <f>$J959*(1+$K959)^(5-1)*(1-$L959)*(1-$M959)+$O959</f>
        <v/>
      </c>
      <c r="V959" s="33">
        <f>P959+NPV($N959,Q959:U959)</f>
        <v/>
      </c>
      <c r="W959" s="32">
        <f>IFERROR(IRR(P959:U959,0.1),"")</f>
        <v/>
      </c>
    </row>
    <row r="960">
      <c r="A960" s="14" t="n">
        <v>956</v>
      </c>
      <c r="B960" s="30">
        <f>RAND()*(1-2E-6)+1E-6</f>
        <v/>
      </c>
      <c r="C960" s="30">
        <f>RAND()*(1-2E-6)+1E-6</f>
        <v/>
      </c>
      <c r="D960" s="30">
        <f>RAND()*(1-2E-6)+1E-6</f>
        <v/>
      </c>
      <c r="E960" s="30">
        <f>RAND()*(1-2E-6)+1E-6</f>
        <v/>
      </c>
      <c r="F960" s="30">
        <f>RAND()*(1-2E-6)+1E-6</f>
        <v/>
      </c>
      <c r="G960" s="30">
        <f>RAND()*(1-2E-6)+1E-6</f>
        <v/>
      </c>
      <c r="H960" s="30">
        <f>RAND()*(1-2E-6)+1E-6</f>
        <v/>
      </c>
      <c r="I960" s="31">
        <f>MIN(IF(Supuestos!$H$5="",1E+99,Supuestos!$H$5),MAX(IF(Supuestos!$G$5="",-1E+99,Supuestos!$G$5),IF(Supuestos!$C$5="Normal",NORMINV(B960,Supuestos!$D$5,Supuestos!$E$5),IF(Supuestos!$C$5="Triangular",IF(B960&lt;(Supuestos!$E$5-Supuestos!$D$5)/(Supuestos!$F$5-Supuestos!$D$5),Supuestos!$D$5+SQRT(B960*(Supuestos!$F$5-Supuestos!$D$5)*(Supuestos!$E$5-Supuestos!$D$5)),Supuestos!$F$5-SQRT((1-B960)*(Supuestos!$F$5-Supuestos!$D$5)*(Supuestos!$F$5-Supuestos!$E$5))),IF(Supuestos!$C$5="Uniforme",Supuestos!$D$5+B960*(Supuestos!$E$5-Supuestos!$D$5),IF(Supuestos!$C$5="Lognormal",LOGINV(B960,LN(Supuestos!$D$5)-LN(1+Supuestos!$E$5^2/Supuestos!$D$5^2)/2,SQRT(LN(1+Supuestos!$E$5^2/Supuestos!$D$5^2))),Supuestos!$D$5))))))</f>
        <v/>
      </c>
      <c r="J960" s="31">
        <f>MIN(IF(Supuestos!$H$6="",1E+99,Supuestos!$H$6),MAX(IF(Supuestos!$G$6="",-1E+99,Supuestos!$G$6),IF(Supuestos!$C$6="Normal",NORMINV(C960,Supuestos!$D$6,Supuestos!$E$6),IF(Supuestos!$C$6="Triangular",IF(C960&lt;(Supuestos!$E$6-Supuestos!$D$6)/(Supuestos!$F$6-Supuestos!$D$6),Supuestos!$D$6+SQRT(C960*(Supuestos!$F$6-Supuestos!$D$6)*(Supuestos!$E$6-Supuestos!$D$6)),Supuestos!$F$6-SQRT((1-C960)*(Supuestos!$F$6-Supuestos!$D$6)*(Supuestos!$F$6-Supuestos!$E$6))),IF(Supuestos!$C$6="Uniforme",Supuestos!$D$6+C960*(Supuestos!$E$6-Supuestos!$D$6),IF(Supuestos!$C$6="Lognormal",LOGINV(C960,LN(Supuestos!$D$6)-LN(1+Supuestos!$E$6^2/Supuestos!$D$6^2)/2,SQRT(LN(1+Supuestos!$E$6^2/Supuestos!$D$6^2))),Supuestos!$D$6))))))</f>
        <v/>
      </c>
      <c r="K960" s="32">
        <f>MIN(IF(Supuestos!$H$7="",1E+99,Supuestos!$H$7),MAX(IF(Supuestos!$G$7="",-1E+99,Supuestos!$G$7),IF(Supuestos!$C$7="Normal",NORMINV(D960,Supuestos!$D$7,Supuestos!$E$7),IF(Supuestos!$C$7="Triangular",IF(D960&lt;(Supuestos!$E$7-Supuestos!$D$7)/(Supuestos!$F$7-Supuestos!$D$7),Supuestos!$D$7+SQRT(D960*(Supuestos!$F$7-Supuestos!$D$7)*(Supuestos!$E$7-Supuestos!$D$7)),Supuestos!$F$7-SQRT((1-D960)*(Supuestos!$F$7-Supuestos!$D$7)*(Supuestos!$F$7-Supuestos!$E$7))),IF(Supuestos!$C$7="Uniforme",Supuestos!$D$7+D960*(Supuestos!$E$7-Supuestos!$D$7),IF(Supuestos!$C$7="Lognormal",LOGINV(D960,LN(Supuestos!$D$7)-LN(1+Supuestos!$E$7^2/Supuestos!$D$7^2)/2,SQRT(LN(1+Supuestos!$E$7^2/Supuestos!$D$7^2))),Supuestos!$D$7))))))</f>
        <v/>
      </c>
      <c r="L960" s="32">
        <f>MIN(IF(Supuestos!$H$8="",1E+99,Supuestos!$H$8),MAX(IF(Supuestos!$G$8="",-1E+99,Supuestos!$G$8),IF(Supuestos!$C$8="Normal",NORMINV(E960,Supuestos!$D$8,Supuestos!$E$8),IF(Supuestos!$C$8="Triangular",IF(E960&lt;(Supuestos!$E$8-Supuestos!$D$8)/(Supuestos!$F$8-Supuestos!$D$8),Supuestos!$D$8+SQRT(E960*(Supuestos!$F$8-Supuestos!$D$8)*(Supuestos!$E$8-Supuestos!$D$8)),Supuestos!$F$8-SQRT((1-E960)*(Supuestos!$F$8-Supuestos!$D$8)*(Supuestos!$F$8-Supuestos!$E$8))),IF(Supuestos!$C$8="Uniforme",Supuestos!$D$8+E960*(Supuestos!$E$8-Supuestos!$D$8),IF(Supuestos!$C$8="Lognormal",LOGINV(E960,LN(Supuestos!$D$8)-LN(1+Supuestos!$E$8^2/Supuestos!$D$8^2)/2,SQRT(LN(1+Supuestos!$E$8^2/Supuestos!$D$8^2))),Supuestos!$D$8))))))</f>
        <v/>
      </c>
      <c r="M960" s="32">
        <f>MIN(IF(Supuestos!$H$9="",1E+99,Supuestos!$H$9),MAX(IF(Supuestos!$G$9="",-1E+99,Supuestos!$G$9),IF(Supuestos!$C$9="Normal",NORMINV(F960,Supuestos!$D$9,Supuestos!$E$9),IF(Supuestos!$C$9="Triangular",IF(F960&lt;(Supuestos!$E$9-Supuestos!$D$9)/(Supuestos!$F$9-Supuestos!$D$9),Supuestos!$D$9+SQRT(F960*(Supuestos!$F$9-Supuestos!$D$9)*(Supuestos!$E$9-Supuestos!$D$9)),Supuestos!$F$9-SQRT((1-F960)*(Supuestos!$F$9-Supuestos!$D$9)*(Supuestos!$F$9-Supuestos!$E$9))),IF(Supuestos!$C$9="Uniforme",Supuestos!$D$9+F960*(Supuestos!$E$9-Supuestos!$D$9),IF(Supuestos!$C$9="Lognormal",LOGINV(F960,LN(Supuestos!$D$9)-LN(1+Supuestos!$E$9^2/Supuestos!$D$9^2)/2,SQRT(LN(1+Supuestos!$E$9^2/Supuestos!$D$9^2))),Supuestos!$D$9))))))</f>
        <v/>
      </c>
      <c r="N960" s="32">
        <f>MIN(IF(Supuestos!$H$10="",1E+99,Supuestos!$H$10),MAX(IF(Supuestos!$G$10="",-1E+99,Supuestos!$G$10),IF(Supuestos!$C$10="Normal",NORMINV(G960,Supuestos!$D$10,Supuestos!$E$10),IF(Supuestos!$C$10="Triangular",IF(G960&lt;(Supuestos!$E$10-Supuestos!$D$10)/(Supuestos!$F$10-Supuestos!$D$10),Supuestos!$D$10+SQRT(G960*(Supuestos!$F$10-Supuestos!$D$10)*(Supuestos!$E$10-Supuestos!$D$10)),Supuestos!$F$10-SQRT((1-G960)*(Supuestos!$F$10-Supuestos!$D$10)*(Supuestos!$F$10-Supuestos!$E$10))),IF(Supuestos!$C$10="Uniforme",Supuestos!$D$10+G960*(Supuestos!$E$10-Supuestos!$D$10),IF(Supuestos!$C$10="Lognormal",LOGINV(G960,LN(Supuestos!$D$10)-LN(1+Supuestos!$E$10^2/Supuestos!$D$10^2)/2,SQRT(LN(1+Supuestos!$E$10^2/Supuestos!$D$10^2))),Supuestos!$D$10))))))</f>
        <v/>
      </c>
      <c r="O960" s="31">
        <f>MIN(IF(Supuestos!$H$11="",1E+99,Supuestos!$H$11),MAX(IF(Supuestos!$G$11="",-1E+99,Supuestos!$G$11),IF(Supuestos!$C$11="Normal",NORMINV(H960,Supuestos!$D$11,Supuestos!$E$11),IF(Supuestos!$C$11="Triangular",IF(H960&lt;(Supuestos!$E$11-Supuestos!$D$11)/(Supuestos!$F$11-Supuestos!$D$11),Supuestos!$D$11+SQRT(H960*(Supuestos!$F$11-Supuestos!$D$11)*(Supuestos!$E$11-Supuestos!$D$11)),Supuestos!$F$11-SQRT((1-H960)*(Supuestos!$F$11-Supuestos!$D$11)*(Supuestos!$F$11-Supuestos!$E$11))),IF(Supuestos!$C$11="Uniforme",Supuestos!$D$11+H960*(Supuestos!$E$11-Supuestos!$D$11),IF(Supuestos!$C$11="Lognormal",LOGINV(H960,LN(Supuestos!$D$11)-LN(1+Supuestos!$E$11^2/Supuestos!$D$11^2)/2,SQRT(LN(1+Supuestos!$E$11^2/Supuestos!$D$11^2))),Supuestos!$D$11))))))</f>
        <v/>
      </c>
      <c r="P960" s="33">
        <f>-I960</f>
        <v/>
      </c>
      <c r="Q960" s="33">
        <f>$J960*(1+$K960)^(1-1)*(1-$L960)*(1-$M960)</f>
        <v/>
      </c>
      <c r="R960" s="33">
        <f>$J960*(1+$K960)^(2-1)*(1-$L960)*(1-$M960)</f>
        <v/>
      </c>
      <c r="S960" s="33">
        <f>$J960*(1+$K960)^(3-1)*(1-$L960)*(1-$M960)</f>
        <v/>
      </c>
      <c r="T960" s="33">
        <f>$J960*(1+$K960)^(4-1)*(1-$L960)*(1-$M960)</f>
        <v/>
      </c>
      <c r="U960" s="33">
        <f>$J960*(1+$K960)^(5-1)*(1-$L960)*(1-$M960)+$O960</f>
        <v/>
      </c>
      <c r="V960" s="33">
        <f>P960+NPV($N960,Q960:U960)</f>
        <v/>
      </c>
      <c r="W960" s="32">
        <f>IFERROR(IRR(P960:U960,0.1),"")</f>
        <v/>
      </c>
    </row>
    <row r="961">
      <c r="A961" s="14" t="n">
        <v>957</v>
      </c>
      <c r="B961" s="30">
        <f>RAND()*(1-2E-6)+1E-6</f>
        <v/>
      </c>
      <c r="C961" s="30">
        <f>RAND()*(1-2E-6)+1E-6</f>
        <v/>
      </c>
      <c r="D961" s="30">
        <f>RAND()*(1-2E-6)+1E-6</f>
        <v/>
      </c>
      <c r="E961" s="30">
        <f>RAND()*(1-2E-6)+1E-6</f>
        <v/>
      </c>
      <c r="F961" s="30">
        <f>RAND()*(1-2E-6)+1E-6</f>
        <v/>
      </c>
      <c r="G961" s="30">
        <f>RAND()*(1-2E-6)+1E-6</f>
        <v/>
      </c>
      <c r="H961" s="30">
        <f>RAND()*(1-2E-6)+1E-6</f>
        <v/>
      </c>
      <c r="I961" s="31">
        <f>MIN(IF(Supuestos!$H$5="",1E+99,Supuestos!$H$5),MAX(IF(Supuestos!$G$5="",-1E+99,Supuestos!$G$5),IF(Supuestos!$C$5="Normal",NORMINV(B961,Supuestos!$D$5,Supuestos!$E$5),IF(Supuestos!$C$5="Triangular",IF(B961&lt;(Supuestos!$E$5-Supuestos!$D$5)/(Supuestos!$F$5-Supuestos!$D$5),Supuestos!$D$5+SQRT(B961*(Supuestos!$F$5-Supuestos!$D$5)*(Supuestos!$E$5-Supuestos!$D$5)),Supuestos!$F$5-SQRT((1-B961)*(Supuestos!$F$5-Supuestos!$D$5)*(Supuestos!$F$5-Supuestos!$E$5))),IF(Supuestos!$C$5="Uniforme",Supuestos!$D$5+B961*(Supuestos!$E$5-Supuestos!$D$5),IF(Supuestos!$C$5="Lognormal",LOGINV(B961,LN(Supuestos!$D$5)-LN(1+Supuestos!$E$5^2/Supuestos!$D$5^2)/2,SQRT(LN(1+Supuestos!$E$5^2/Supuestos!$D$5^2))),Supuestos!$D$5))))))</f>
        <v/>
      </c>
      <c r="J961" s="31">
        <f>MIN(IF(Supuestos!$H$6="",1E+99,Supuestos!$H$6),MAX(IF(Supuestos!$G$6="",-1E+99,Supuestos!$G$6),IF(Supuestos!$C$6="Normal",NORMINV(C961,Supuestos!$D$6,Supuestos!$E$6),IF(Supuestos!$C$6="Triangular",IF(C961&lt;(Supuestos!$E$6-Supuestos!$D$6)/(Supuestos!$F$6-Supuestos!$D$6),Supuestos!$D$6+SQRT(C961*(Supuestos!$F$6-Supuestos!$D$6)*(Supuestos!$E$6-Supuestos!$D$6)),Supuestos!$F$6-SQRT((1-C961)*(Supuestos!$F$6-Supuestos!$D$6)*(Supuestos!$F$6-Supuestos!$E$6))),IF(Supuestos!$C$6="Uniforme",Supuestos!$D$6+C961*(Supuestos!$E$6-Supuestos!$D$6),IF(Supuestos!$C$6="Lognormal",LOGINV(C961,LN(Supuestos!$D$6)-LN(1+Supuestos!$E$6^2/Supuestos!$D$6^2)/2,SQRT(LN(1+Supuestos!$E$6^2/Supuestos!$D$6^2))),Supuestos!$D$6))))))</f>
        <v/>
      </c>
      <c r="K961" s="32">
        <f>MIN(IF(Supuestos!$H$7="",1E+99,Supuestos!$H$7),MAX(IF(Supuestos!$G$7="",-1E+99,Supuestos!$G$7),IF(Supuestos!$C$7="Normal",NORMINV(D961,Supuestos!$D$7,Supuestos!$E$7),IF(Supuestos!$C$7="Triangular",IF(D961&lt;(Supuestos!$E$7-Supuestos!$D$7)/(Supuestos!$F$7-Supuestos!$D$7),Supuestos!$D$7+SQRT(D961*(Supuestos!$F$7-Supuestos!$D$7)*(Supuestos!$E$7-Supuestos!$D$7)),Supuestos!$F$7-SQRT((1-D961)*(Supuestos!$F$7-Supuestos!$D$7)*(Supuestos!$F$7-Supuestos!$E$7))),IF(Supuestos!$C$7="Uniforme",Supuestos!$D$7+D961*(Supuestos!$E$7-Supuestos!$D$7),IF(Supuestos!$C$7="Lognormal",LOGINV(D961,LN(Supuestos!$D$7)-LN(1+Supuestos!$E$7^2/Supuestos!$D$7^2)/2,SQRT(LN(1+Supuestos!$E$7^2/Supuestos!$D$7^2))),Supuestos!$D$7))))))</f>
        <v/>
      </c>
      <c r="L961" s="32">
        <f>MIN(IF(Supuestos!$H$8="",1E+99,Supuestos!$H$8),MAX(IF(Supuestos!$G$8="",-1E+99,Supuestos!$G$8),IF(Supuestos!$C$8="Normal",NORMINV(E961,Supuestos!$D$8,Supuestos!$E$8),IF(Supuestos!$C$8="Triangular",IF(E961&lt;(Supuestos!$E$8-Supuestos!$D$8)/(Supuestos!$F$8-Supuestos!$D$8),Supuestos!$D$8+SQRT(E961*(Supuestos!$F$8-Supuestos!$D$8)*(Supuestos!$E$8-Supuestos!$D$8)),Supuestos!$F$8-SQRT((1-E961)*(Supuestos!$F$8-Supuestos!$D$8)*(Supuestos!$F$8-Supuestos!$E$8))),IF(Supuestos!$C$8="Uniforme",Supuestos!$D$8+E961*(Supuestos!$E$8-Supuestos!$D$8),IF(Supuestos!$C$8="Lognormal",LOGINV(E961,LN(Supuestos!$D$8)-LN(1+Supuestos!$E$8^2/Supuestos!$D$8^2)/2,SQRT(LN(1+Supuestos!$E$8^2/Supuestos!$D$8^2))),Supuestos!$D$8))))))</f>
        <v/>
      </c>
      <c r="M961" s="32">
        <f>MIN(IF(Supuestos!$H$9="",1E+99,Supuestos!$H$9),MAX(IF(Supuestos!$G$9="",-1E+99,Supuestos!$G$9),IF(Supuestos!$C$9="Normal",NORMINV(F961,Supuestos!$D$9,Supuestos!$E$9),IF(Supuestos!$C$9="Triangular",IF(F961&lt;(Supuestos!$E$9-Supuestos!$D$9)/(Supuestos!$F$9-Supuestos!$D$9),Supuestos!$D$9+SQRT(F961*(Supuestos!$F$9-Supuestos!$D$9)*(Supuestos!$E$9-Supuestos!$D$9)),Supuestos!$F$9-SQRT((1-F961)*(Supuestos!$F$9-Supuestos!$D$9)*(Supuestos!$F$9-Supuestos!$E$9))),IF(Supuestos!$C$9="Uniforme",Supuestos!$D$9+F961*(Supuestos!$E$9-Supuestos!$D$9),IF(Supuestos!$C$9="Lognormal",LOGINV(F961,LN(Supuestos!$D$9)-LN(1+Supuestos!$E$9^2/Supuestos!$D$9^2)/2,SQRT(LN(1+Supuestos!$E$9^2/Supuestos!$D$9^2))),Supuestos!$D$9))))))</f>
        <v/>
      </c>
      <c r="N961" s="32">
        <f>MIN(IF(Supuestos!$H$10="",1E+99,Supuestos!$H$10),MAX(IF(Supuestos!$G$10="",-1E+99,Supuestos!$G$10),IF(Supuestos!$C$10="Normal",NORMINV(G961,Supuestos!$D$10,Supuestos!$E$10),IF(Supuestos!$C$10="Triangular",IF(G961&lt;(Supuestos!$E$10-Supuestos!$D$10)/(Supuestos!$F$10-Supuestos!$D$10),Supuestos!$D$10+SQRT(G961*(Supuestos!$F$10-Supuestos!$D$10)*(Supuestos!$E$10-Supuestos!$D$10)),Supuestos!$F$10-SQRT((1-G961)*(Supuestos!$F$10-Supuestos!$D$10)*(Supuestos!$F$10-Supuestos!$E$10))),IF(Supuestos!$C$10="Uniforme",Supuestos!$D$10+G961*(Supuestos!$E$10-Supuestos!$D$10),IF(Supuestos!$C$10="Lognormal",LOGINV(G961,LN(Supuestos!$D$10)-LN(1+Supuestos!$E$10^2/Supuestos!$D$10^2)/2,SQRT(LN(1+Supuestos!$E$10^2/Supuestos!$D$10^2))),Supuestos!$D$10))))))</f>
        <v/>
      </c>
      <c r="O961" s="31">
        <f>MIN(IF(Supuestos!$H$11="",1E+99,Supuestos!$H$11),MAX(IF(Supuestos!$G$11="",-1E+99,Supuestos!$G$11),IF(Supuestos!$C$11="Normal",NORMINV(H961,Supuestos!$D$11,Supuestos!$E$11),IF(Supuestos!$C$11="Triangular",IF(H961&lt;(Supuestos!$E$11-Supuestos!$D$11)/(Supuestos!$F$11-Supuestos!$D$11),Supuestos!$D$11+SQRT(H961*(Supuestos!$F$11-Supuestos!$D$11)*(Supuestos!$E$11-Supuestos!$D$11)),Supuestos!$F$11-SQRT((1-H961)*(Supuestos!$F$11-Supuestos!$D$11)*(Supuestos!$F$11-Supuestos!$E$11))),IF(Supuestos!$C$11="Uniforme",Supuestos!$D$11+H961*(Supuestos!$E$11-Supuestos!$D$11),IF(Supuestos!$C$11="Lognormal",LOGINV(H961,LN(Supuestos!$D$11)-LN(1+Supuestos!$E$11^2/Supuestos!$D$11^2)/2,SQRT(LN(1+Supuestos!$E$11^2/Supuestos!$D$11^2))),Supuestos!$D$11))))))</f>
        <v/>
      </c>
      <c r="P961" s="33">
        <f>-I961</f>
        <v/>
      </c>
      <c r="Q961" s="33">
        <f>$J961*(1+$K961)^(1-1)*(1-$L961)*(1-$M961)</f>
        <v/>
      </c>
      <c r="R961" s="33">
        <f>$J961*(1+$K961)^(2-1)*(1-$L961)*(1-$M961)</f>
        <v/>
      </c>
      <c r="S961" s="33">
        <f>$J961*(1+$K961)^(3-1)*(1-$L961)*(1-$M961)</f>
        <v/>
      </c>
      <c r="T961" s="33">
        <f>$J961*(1+$K961)^(4-1)*(1-$L961)*(1-$M961)</f>
        <v/>
      </c>
      <c r="U961" s="33">
        <f>$J961*(1+$K961)^(5-1)*(1-$L961)*(1-$M961)+$O961</f>
        <v/>
      </c>
      <c r="V961" s="33">
        <f>P961+NPV($N961,Q961:U961)</f>
        <v/>
      </c>
      <c r="W961" s="32">
        <f>IFERROR(IRR(P961:U961,0.1),"")</f>
        <v/>
      </c>
    </row>
    <row r="962">
      <c r="A962" s="14" t="n">
        <v>958</v>
      </c>
      <c r="B962" s="30">
        <f>RAND()*(1-2E-6)+1E-6</f>
        <v/>
      </c>
      <c r="C962" s="30">
        <f>RAND()*(1-2E-6)+1E-6</f>
        <v/>
      </c>
      <c r="D962" s="30">
        <f>RAND()*(1-2E-6)+1E-6</f>
        <v/>
      </c>
      <c r="E962" s="30">
        <f>RAND()*(1-2E-6)+1E-6</f>
        <v/>
      </c>
      <c r="F962" s="30">
        <f>RAND()*(1-2E-6)+1E-6</f>
        <v/>
      </c>
      <c r="G962" s="30">
        <f>RAND()*(1-2E-6)+1E-6</f>
        <v/>
      </c>
      <c r="H962" s="30">
        <f>RAND()*(1-2E-6)+1E-6</f>
        <v/>
      </c>
      <c r="I962" s="31">
        <f>MIN(IF(Supuestos!$H$5="",1E+99,Supuestos!$H$5),MAX(IF(Supuestos!$G$5="",-1E+99,Supuestos!$G$5),IF(Supuestos!$C$5="Normal",NORMINV(B962,Supuestos!$D$5,Supuestos!$E$5),IF(Supuestos!$C$5="Triangular",IF(B962&lt;(Supuestos!$E$5-Supuestos!$D$5)/(Supuestos!$F$5-Supuestos!$D$5),Supuestos!$D$5+SQRT(B962*(Supuestos!$F$5-Supuestos!$D$5)*(Supuestos!$E$5-Supuestos!$D$5)),Supuestos!$F$5-SQRT((1-B962)*(Supuestos!$F$5-Supuestos!$D$5)*(Supuestos!$F$5-Supuestos!$E$5))),IF(Supuestos!$C$5="Uniforme",Supuestos!$D$5+B962*(Supuestos!$E$5-Supuestos!$D$5),IF(Supuestos!$C$5="Lognormal",LOGINV(B962,LN(Supuestos!$D$5)-LN(1+Supuestos!$E$5^2/Supuestos!$D$5^2)/2,SQRT(LN(1+Supuestos!$E$5^2/Supuestos!$D$5^2))),Supuestos!$D$5))))))</f>
        <v/>
      </c>
      <c r="J962" s="31">
        <f>MIN(IF(Supuestos!$H$6="",1E+99,Supuestos!$H$6),MAX(IF(Supuestos!$G$6="",-1E+99,Supuestos!$G$6),IF(Supuestos!$C$6="Normal",NORMINV(C962,Supuestos!$D$6,Supuestos!$E$6),IF(Supuestos!$C$6="Triangular",IF(C962&lt;(Supuestos!$E$6-Supuestos!$D$6)/(Supuestos!$F$6-Supuestos!$D$6),Supuestos!$D$6+SQRT(C962*(Supuestos!$F$6-Supuestos!$D$6)*(Supuestos!$E$6-Supuestos!$D$6)),Supuestos!$F$6-SQRT((1-C962)*(Supuestos!$F$6-Supuestos!$D$6)*(Supuestos!$F$6-Supuestos!$E$6))),IF(Supuestos!$C$6="Uniforme",Supuestos!$D$6+C962*(Supuestos!$E$6-Supuestos!$D$6),IF(Supuestos!$C$6="Lognormal",LOGINV(C962,LN(Supuestos!$D$6)-LN(1+Supuestos!$E$6^2/Supuestos!$D$6^2)/2,SQRT(LN(1+Supuestos!$E$6^2/Supuestos!$D$6^2))),Supuestos!$D$6))))))</f>
        <v/>
      </c>
      <c r="K962" s="32">
        <f>MIN(IF(Supuestos!$H$7="",1E+99,Supuestos!$H$7),MAX(IF(Supuestos!$G$7="",-1E+99,Supuestos!$G$7),IF(Supuestos!$C$7="Normal",NORMINV(D962,Supuestos!$D$7,Supuestos!$E$7),IF(Supuestos!$C$7="Triangular",IF(D962&lt;(Supuestos!$E$7-Supuestos!$D$7)/(Supuestos!$F$7-Supuestos!$D$7),Supuestos!$D$7+SQRT(D962*(Supuestos!$F$7-Supuestos!$D$7)*(Supuestos!$E$7-Supuestos!$D$7)),Supuestos!$F$7-SQRT((1-D962)*(Supuestos!$F$7-Supuestos!$D$7)*(Supuestos!$F$7-Supuestos!$E$7))),IF(Supuestos!$C$7="Uniforme",Supuestos!$D$7+D962*(Supuestos!$E$7-Supuestos!$D$7),IF(Supuestos!$C$7="Lognormal",LOGINV(D962,LN(Supuestos!$D$7)-LN(1+Supuestos!$E$7^2/Supuestos!$D$7^2)/2,SQRT(LN(1+Supuestos!$E$7^2/Supuestos!$D$7^2))),Supuestos!$D$7))))))</f>
        <v/>
      </c>
      <c r="L962" s="32">
        <f>MIN(IF(Supuestos!$H$8="",1E+99,Supuestos!$H$8),MAX(IF(Supuestos!$G$8="",-1E+99,Supuestos!$G$8),IF(Supuestos!$C$8="Normal",NORMINV(E962,Supuestos!$D$8,Supuestos!$E$8),IF(Supuestos!$C$8="Triangular",IF(E962&lt;(Supuestos!$E$8-Supuestos!$D$8)/(Supuestos!$F$8-Supuestos!$D$8),Supuestos!$D$8+SQRT(E962*(Supuestos!$F$8-Supuestos!$D$8)*(Supuestos!$E$8-Supuestos!$D$8)),Supuestos!$F$8-SQRT((1-E962)*(Supuestos!$F$8-Supuestos!$D$8)*(Supuestos!$F$8-Supuestos!$E$8))),IF(Supuestos!$C$8="Uniforme",Supuestos!$D$8+E962*(Supuestos!$E$8-Supuestos!$D$8),IF(Supuestos!$C$8="Lognormal",LOGINV(E962,LN(Supuestos!$D$8)-LN(1+Supuestos!$E$8^2/Supuestos!$D$8^2)/2,SQRT(LN(1+Supuestos!$E$8^2/Supuestos!$D$8^2))),Supuestos!$D$8))))))</f>
        <v/>
      </c>
      <c r="M962" s="32">
        <f>MIN(IF(Supuestos!$H$9="",1E+99,Supuestos!$H$9),MAX(IF(Supuestos!$G$9="",-1E+99,Supuestos!$G$9),IF(Supuestos!$C$9="Normal",NORMINV(F962,Supuestos!$D$9,Supuestos!$E$9),IF(Supuestos!$C$9="Triangular",IF(F962&lt;(Supuestos!$E$9-Supuestos!$D$9)/(Supuestos!$F$9-Supuestos!$D$9),Supuestos!$D$9+SQRT(F962*(Supuestos!$F$9-Supuestos!$D$9)*(Supuestos!$E$9-Supuestos!$D$9)),Supuestos!$F$9-SQRT((1-F962)*(Supuestos!$F$9-Supuestos!$D$9)*(Supuestos!$F$9-Supuestos!$E$9))),IF(Supuestos!$C$9="Uniforme",Supuestos!$D$9+F962*(Supuestos!$E$9-Supuestos!$D$9),IF(Supuestos!$C$9="Lognormal",LOGINV(F962,LN(Supuestos!$D$9)-LN(1+Supuestos!$E$9^2/Supuestos!$D$9^2)/2,SQRT(LN(1+Supuestos!$E$9^2/Supuestos!$D$9^2))),Supuestos!$D$9))))))</f>
        <v/>
      </c>
      <c r="N962" s="32">
        <f>MIN(IF(Supuestos!$H$10="",1E+99,Supuestos!$H$10),MAX(IF(Supuestos!$G$10="",-1E+99,Supuestos!$G$10),IF(Supuestos!$C$10="Normal",NORMINV(G962,Supuestos!$D$10,Supuestos!$E$10),IF(Supuestos!$C$10="Triangular",IF(G962&lt;(Supuestos!$E$10-Supuestos!$D$10)/(Supuestos!$F$10-Supuestos!$D$10),Supuestos!$D$10+SQRT(G962*(Supuestos!$F$10-Supuestos!$D$10)*(Supuestos!$E$10-Supuestos!$D$10)),Supuestos!$F$10-SQRT((1-G962)*(Supuestos!$F$10-Supuestos!$D$10)*(Supuestos!$F$10-Supuestos!$E$10))),IF(Supuestos!$C$10="Uniforme",Supuestos!$D$10+G962*(Supuestos!$E$10-Supuestos!$D$10),IF(Supuestos!$C$10="Lognormal",LOGINV(G962,LN(Supuestos!$D$10)-LN(1+Supuestos!$E$10^2/Supuestos!$D$10^2)/2,SQRT(LN(1+Supuestos!$E$10^2/Supuestos!$D$10^2))),Supuestos!$D$10))))))</f>
        <v/>
      </c>
      <c r="O962" s="31">
        <f>MIN(IF(Supuestos!$H$11="",1E+99,Supuestos!$H$11),MAX(IF(Supuestos!$G$11="",-1E+99,Supuestos!$G$11),IF(Supuestos!$C$11="Normal",NORMINV(H962,Supuestos!$D$11,Supuestos!$E$11),IF(Supuestos!$C$11="Triangular",IF(H962&lt;(Supuestos!$E$11-Supuestos!$D$11)/(Supuestos!$F$11-Supuestos!$D$11),Supuestos!$D$11+SQRT(H962*(Supuestos!$F$11-Supuestos!$D$11)*(Supuestos!$E$11-Supuestos!$D$11)),Supuestos!$F$11-SQRT((1-H962)*(Supuestos!$F$11-Supuestos!$D$11)*(Supuestos!$F$11-Supuestos!$E$11))),IF(Supuestos!$C$11="Uniforme",Supuestos!$D$11+H962*(Supuestos!$E$11-Supuestos!$D$11),IF(Supuestos!$C$11="Lognormal",LOGINV(H962,LN(Supuestos!$D$11)-LN(1+Supuestos!$E$11^2/Supuestos!$D$11^2)/2,SQRT(LN(1+Supuestos!$E$11^2/Supuestos!$D$11^2))),Supuestos!$D$11))))))</f>
        <v/>
      </c>
      <c r="P962" s="33">
        <f>-I962</f>
        <v/>
      </c>
      <c r="Q962" s="33">
        <f>$J962*(1+$K962)^(1-1)*(1-$L962)*(1-$M962)</f>
        <v/>
      </c>
      <c r="R962" s="33">
        <f>$J962*(1+$K962)^(2-1)*(1-$L962)*(1-$M962)</f>
        <v/>
      </c>
      <c r="S962" s="33">
        <f>$J962*(1+$K962)^(3-1)*(1-$L962)*(1-$M962)</f>
        <v/>
      </c>
      <c r="T962" s="33">
        <f>$J962*(1+$K962)^(4-1)*(1-$L962)*(1-$M962)</f>
        <v/>
      </c>
      <c r="U962" s="33">
        <f>$J962*(1+$K962)^(5-1)*(1-$L962)*(1-$M962)+$O962</f>
        <v/>
      </c>
      <c r="V962" s="33">
        <f>P962+NPV($N962,Q962:U962)</f>
        <v/>
      </c>
      <c r="W962" s="32">
        <f>IFERROR(IRR(P962:U962,0.1),"")</f>
        <v/>
      </c>
    </row>
    <row r="963">
      <c r="A963" s="14" t="n">
        <v>959</v>
      </c>
      <c r="B963" s="30">
        <f>RAND()*(1-2E-6)+1E-6</f>
        <v/>
      </c>
      <c r="C963" s="30">
        <f>RAND()*(1-2E-6)+1E-6</f>
        <v/>
      </c>
      <c r="D963" s="30">
        <f>RAND()*(1-2E-6)+1E-6</f>
        <v/>
      </c>
      <c r="E963" s="30">
        <f>RAND()*(1-2E-6)+1E-6</f>
        <v/>
      </c>
      <c r="F963" s="30">
        <f>RAND()*(1-2E-6)+1E-6</f>
        <v/>
      </c>
      <c r="G963" s="30">
        <f>RAND()*(1-2E-6)+1E-6</f>
        <v/>
      </c>
      <c r="H963" s="30">
        <f>RAND()*(1-2E-6)+1E-6</f>
        <v/>
      </c>
      <c r="I963" s="31">
        <f>MIN(IF(Supuestos!$H$5="",1E+99,Supuestos!$H$5),MAX(IF(Supuestos!$G$5="",-1E+99,Supuestos!$G$5),IF(Supuestos!$C$5="Normal",NORMINV(B963,Supuestos!$D$5,Supuestos!$E$5),IF(Supuestos!$C$5="Triangular",IF(B963&lt;(Supuestos!$E$5-Supuestos!$D$5)/(Supuestos!$F$5-Supuestos!$D$5),Supuestos!$D$5+SQRT(B963*(Supuestos!$F$5-Supuestos!$D$5)*(Supuestos!$E$5-Supuestos!$D$5)),Supuestos!$F$5-SQRT((1-B963)*(Supuestos!$F$5-Supuestos!$D$5)*(Supuestos!$F$5-Supuestos!$E$5))),IF(Supuestos!$C$5="Uniforme",Supuestos!$D$5+B963*(Supuestos!$E$5-Supuestos!$D$5),IF(Supuestos!$C$5="Lognormal",LOGINV(B963,LN(Supuestos!$D$5)-LN(1+Supuestos!$E$5^2/Supuestos!$D$5^2)/2,SQRT(LN(1+Supuestos!$E$5^2/Supuestos!$D$5^2))),Supuestos!$D$5))))))</f>
        <v/>
      </c>
      <c r="J963" s="31">
        <f>MIN(IF(Supuestos!$H$6="",1E+99,Supuestos!$H$6),MAX(IF(Supuestos!$G$6="",-1E+99,Supuestos!$G$6),IF(Supuestos!$C$6="Normal",NORMINV(C963,Supuestos!$D$6,Supuestos!$E$6),IF(Supuestos!$C$6="Triangular",IF(C963&lt;(Supuestos!$E$6-Supuestos!$D$6)/(Supuestos!$F$6-Supuestos!$D$6),Supuestos!$D$6+SQRT(C963*(Supuestos!$F$6-Supuestos!$D$6)*(Supuestos!$E$6-Supuestos!$D$6)),Supuestos!$F$6-SQRT((1-C963)*(Supuestos!$F$6-Supuestos!$D$6)*(Supuestos!$F$6-Supuestos!$E$6))),IF(Supuestos!$C$6="Uniforme",Supuestos!$D$6+C963*(Supuestos!$E$6-Supuestos!$D$6),IF(Supuestos!$C$6="Lognormal",LOGINV(C963,LN(Supuestos!$D$6)-LN(1+Supuestos!$E$6^2/Supuestos!$D$6^2)/2,SQRT(LN(1+Supuestos!$E$6^2/Supuestos!$D$6^2))),Supuestos!$D$6))))))</f>
        <v/>
      </c>
      <c r="K963" s="32">
        <f>MIN(IF(Supuestos!$H$7="",1E+99,Supuestos!$H$7),MAX(IF(Supuestos!$G$7="",-1E+99,Supuestos!$G$7),IF(Supuestos!$C$7="Normal",NORMINV(D963,Supuestos!$D$7,Supuestos!$E$7),IF(Supuestos!$C$7="Triangular",IF(D963&lt;(Supuestos!$E$7-Supuestos!$D$7)/(Supuestos!$F$7-Supuestos!$D$7),Supuestos!$D$7+SQRT(D963*(Supuestos!$F$7-Supuestos!$D$7)*(Supuestos!$E$7-Supuestos!$D$7)),Supuestos!$F$7-SQRT((1-D963)*(Supuestos!$F$7-Supuestos!$D$7)*(Supuestos!$F$7-Supuestos!$E$7))),IF(Supuestos!$C$7="Uniforme",Supuestos!$D$7+D963*(Supuestos!$E$7-Supuestos!$D$7),IF(Supuestos!$C$7="Lognormal",LOGINV(D963,LN(Supuestos!$D$7)-LN(1+Supuestos!$E$7^2/Supuestos!$D$7^2)/2,SQRT(LN(1+Supuestos!$E$7^2/Supuestos!$D$7^2))),Supuestos!$D$7))))))</f>
        <v/>
      </c>
      <c r="L963" s="32">
        <f>MIN(IF(Supuestos!$H$8="",1E+99,Supuestos!$H$8),MAX(IF(Supuestos!$G$8="",-1E+99,Supuestos!$G$8),IF(Supuestos!$C$8="Normal",NORMINV(E963,Supuestos!$D$8,Supuestos!$E$8),IF(Supuestos!$C$8="Triangular",IF(E963&lt;(Supuestos!$E$8-Supuestos!$D$8)/(Supuestos!$F$8-Supuestos!$D$8),Supuestos!$D$8+SQRT(E963*(Supuestos!$F$8-Supuestos!$D$8)*(Supuestos!$E$8-Supuestos!$D$8)),Supuestos!$F$8-SQRT((1-E963)*(Supuestos!$F$8-Supuestos!$D$8)*(Supuestos!$F$8-Supuestos!$E$8))),IF(Supuestos!$C$8="Uniforme",Supuestos!$D$8+E963*(Supuestos!$E$8-Supuestos!$D$8),IF(Supuestos!$C$8="Lognormal",LOGINV(E963,LN(Supuestos!$D$8)-LN(1+Supuestos!$E$8^2/Supuestos!$D$8^2)/2,SQRT(LN(1+Supuestos!$E$8^2/Supuestos!$D$8^2))),Supuestos!$D$8))))))</f>
        <v/>
      </c>
      <c r="M963" s="32">
        <f>MIN(IF(Supuestos!$H$9="",1E+99,Supuestos!$H$9),MAX(IF(Supuestos!$G$9="",-1E+99,Supuestos!$G$9),IF(Supuestos!$C$9="Normal",NORMINV(F963,Supuestos!$D$9,Supuestos!$E$9),IF(Supuestos!$C$9="Triangular",IF(F963&lt;(Supuestos!$E$9-Supuestos!$D$9)/(Supuestos!$F$9-Supuestos!$D$9),Supuestos!$D$9+SQRT(F963*(Supuestos!$F$9-Supuestos!$D$9)*(Supuestos!$E$9-Supuestos!$D$9)),Supuestos!$F$9-SQRT((1-F963)*(Supuestos!$F$9-Supuestos!$D$9)*(Supuestos!$F$9-Supuestos!$E$9))),IF(Supuestos!$C$9="Uniforme",Supuestos!$D$9+F963*(Supuestos!$E$9-Supuestos!$D$9),IF(Supuestos!$C$9="Lognormal",LOGINV(F963,LN(Supuestos!$D$9)-LN(1+Supuestos!$E$9^2/Supuestos!$D$9^2)/2,SQRT(LN(1+Supuestos!$E$9^2/Supuestos!$D$9^2))),Supuestos!$D$9))))))</f>
        <v/>
      </c>
      <c r="N963" s="32">
        <f>MIN(IF(Supuestos!$H$10="",1E+99,Supuestos!$H$10),MAX(IF(Supuestos!$G$10="",-1E+99,Supuestos!$G$10),IF(Supuestos!$C$10="Normal",NORMINV(G963,Supuestos!$D$10,Supuestos!$E$10),IF(Supuestos!$C$10="Triangular",IF(G963&lt;(Supuestos!$E$10-Supuestos!$D$10)/(Supuestos!$F$10-Supuestos!$D$10),Supuestos!$D$10+SQRT(G963*(Supuestos!$F$10-Supuestos!$D$10)*(Supuestos!$E$10-Supuestos!$D$10)),Supuestos!$F$10-SQRT((1-G963)*(Supuestos!$F$10-Supuestos!$D$10)*(Supuestos!$F$10-Supuestos!$E$10))),IF(Supuestos!$C$10="Uniforme",Supuestos!$D$10+G963*(Supuestos!$E$10-Supuestos!$D$10),IF(Supuestos!$C$10="Lognormal",LOGINV(G963,LN(Supuestos!$D$10)-LN(1+Supuestos!$E$10^2/Supuestos!$D$10^2)/2,SQRT(LN(1+Supuestos!$E$10^2/Supuestos!$D$10^2))),Supuestos!$D$10))))))</f>
        <v/>
      </c>
      <c r="O963" s="31">
        <f>MIN(IF(Supuestos!$H$11="",1E+99,Supuestos!$H$11),MAX(IF(Supuestos!$G$11="",-1E+99,Supuestos!$G$11),IF(Supuestos!$C$11="Normal",NORMINV(H963,Supuestos!$D$11,Supuestos!$E$11),IF(Supuestos!$C$11="Triangular",IF(H963&lt;(Supuestos!$E$11-Supuestos!$D$11)/(Supuestos!$F$11-Supuestos!$D$11),Supuestos!$D$11+SQRT(H963*(Supuestos!$F$11-Supuestos!$D$11)*(Supuestos!$E$11-Supuestos!$D$11)),Supuestos!$F$11-SQRT((1-H963)*(Supuestos!$F$11-Supuestos!$D$11)*(Supuestos!$F$11-Supuestos!$E$11))),IF(Supuestos!$C$11="Uniforme",Supuestos!$D$11+H963*(Supuestos!$E$11-Supuestos!$D$11),IF(Supuestos!$C$11="Lognormal",LOGINV(H963,LN(Supuestos!$D$11)-LN(1+Supuestos!$E$11^2/Supuestos!$D$11^2)/2,SQRT(LN(1+Supuestos!$E$11^2/Supuestos!$D$11^2))),Supuestos!$D$11))))))</f>
        <v/>
      </c>
      <c r="P963" s="33">
        <f>-I963</f>
        <v/>
      </c>
      <c r="Q963" s="33">
        <f>$J963*(1+$K963)^(1-1)*(1-$L963)*(1-$M963)</f>
        <v/>
      </c>
      <c r="R963" s="33">
        <f>$J963*(1+$K963)^(2-1)*(1-$L963)*(1-$M963)</f>
        <v/>
      </c>
      <c r="S963" s="33">
        <f>$J963*(1+$K963)^(3-1)*(1-$L963)*(1-$M963)</f>
        <v/>
      </c>
      <c r="T963" s="33">
        <f>$J963*(1+$K963)^(4-1)*(1-$L963)*(1-$M963)</f>
        <v/>
      </c>
      <c r="U963" s="33">
        <f>$J963*(1+$K963)^(5-1)*(1-$L963)*(1-$M963)+$O963</f>
        <v/>
      </c>
      <c r="V963" s="33">
        <f>P963+NPV($N963,Q963:U963)</f>
        <v/>
      </c>
      <c r="W963" s="32">
        <f>IFERROR(IRR(P963:U963,0.1),"")</f>
        <v/>
      </c>
    </row>
    <row r="964">
      <c r="A964" s="14" t="n">
        <v>960</v>
      </c>
      <c r="B964" s="30">
        <f>RAND()*(1-2E-6)+1E-6</f>
        <v/>
      </c>
      <c r="C964" s="30">
        <f>RAND()*(1-2E-6)+1E-6</f>
        <v/>
      </c>
      <c r="D964" s="30">
        <f>RAND()*(1-2E-6)+1E-6</f>
        <v/>
      </c>
      <c r="E964" s="30">
        <f>RAND()*(1-2E-6)+1E-6</f>
        <v/>
      </c>
      <c r="F964" s="30">
        <f>RAND()*(1-2E-6)+1E-6</f>
        <v/>
      </c>
      <c r="G964" s="30">
        <f>RAND()*(1-2E-6)+1E-6</f>
        <v/>
      </c>
      <c r="H964" s="30">
        <f>RAND()*(1-2E-6)+1E-6</f>
        <v/>
      </c>
      <c r="I964" s="31">
        <f>MIN(IF(Supuestos!$H$5="",1E+99,Supuestos!$H$5),MAX(IF(Supuestos!$G$5="",-1E+99,Supuestos!$G$5),IF(Supuestos!$C$5="Normal",NORMINV(B964,Supuestos!$D$5,Supuestos!$E$5),IF(Supuestos!$C$5="Triangular",IF(B964&lt;(Supuestos!$E$5-Supuestos!$D$5)/(Supuestos!$F$5-Supuestos!$D$5),Supuestos!$D$5+SQRT(B964*(Supuestos!$F$5-Supuestos!$D$5)*(Supuestos!$E$5-Supuestos!$D$5)),Supuestos!$F$5-SQRT((1-B964)*(Supuestos!$F$5-Supuestos!$D$5)*(Supuestos!$F$5-Supuestos!$E$5))),IF(Supuestos!$C$5="Uniforme",Supuestos!$D$5+B964*(Supuestos!$E$5-Supuestos!$D$5),IF(Supuestos!$C$5="Lognormal",LOGINV(B964,LN(Supuestos!$D$5)-LN(1+Supuestos!$E$5^2/Supuestos!$D$5^2)/2,SQRT(LN(1+Supuestos!$E$5^2/Supuestos!$D$5^2))),Supuestos!$D$5))))))</f>
        <v/>
      </c>
      <c r="J964" s="31">
        <f>MIN(IF(Supuestos!$H$6="",1E+99,Supuestos!$H$6),MAX(IF(Supuestos!$G$6="",-1E+99,Supuestos!$G$6),IF(Supuestos!$C$6="Normal",NORMINV(C964,Supuestos!$D$6,Supuestos!$E$6),IF(Supuestos!$C$6="Triangular",IF(C964&lt;(Supuestos!$E$6-Supuestos!$D$6)/(Supuestos!$F$6-Supuestos!$D$6),Supuestos!$D$6+SQRT(C964*(Supuestos!$F$6-Supuestos!$D$6)*(Supuestos!$E$6-Supuestos!$D$6)),Supuestos!$F$6-SQRT((1-C964)*(Supuestos!$F$6-Supuestos!$D$6)*(Supuestos!$F$6-Supuestos!$E$6))),IF(Supuestos!$C$6="Uniforme",Supuestos!$D$6+C964*(Supuestos!$E$6-Supuestos!$D$6),IF(Supuestos!$C$6="Lognormal",LOGINV(C964,LN(Supuestos!$D$6)-LN(1+Supuestos!$E$6^2/Supuestos!$D$6^2)/2,SQRT(LN(1+Supuestos!$E$6^2/Supuestos!$D$6^2))),Supuestos!$D$6))))))</f>
        <v/>
      </c>
      <c r="K964" s="32">
        <f>MIN(IF(Supuestos!$H$7="",1E+99,Supuestos!$H$7),MAX(IF(Supuestos!$G$7="",-1E+99,Supuestos!$G$7),IF(Supuestos!$C$7="Normal",NORMINV(D964,Supuestos!$D$7,Supuestos!$E$7),IF(Supuestos!$C$7="Triangular",IF(D964&lt;(Supuestos!$E$7-Supuestos!$D$7)/(Supuestos!$F$7-Supuestos!$D$7),Supuestos!$D$7+SQRT(D964*(Supuestos!$F$7-Supuestos!$D$7)*(Supuestos!$E$7-Supuestos!$D$7)),Supuestos!$F$7-SQRT((1-D964)*(Supuestos!$F$7-Supuestos!$D$7)*(Supuestos!$F$7-Supuestos!$E$7))),IF(Supuestos!$C$7="Uniforme",Supuestos!$D$7+D964*(Supuestos!$E$7-Supuestos!$D$7),IF(Supuestos!$C$7="Lognormal",LOGINV(D964,LN(Supuestos!$D$7)-LN(1+Supuestos!$E$7^2/Supuestos!$D$7^2)/2,SQRT(LN(1+Supuestos!$E$7^2/Supuestos!$D$7^2))),Supuestos!$D$7))))))</f>
        <v/>
      </c>
      <c r="L964" s="32">
        <f>MIN(IF(Supuestos!$H$8="",1E+99,Supuestos!$H$8),MAX(IF(Supuestos!$G$8="",-1E+99,Supuestos!$G$8),IF(Supuestos!$C$8="Normal",NORMINV(E964,Supuestos!$D$8,Supuestos!$E$8),IF(Supuestos!$C$8="Triangular",IF(E964&lt;(Supuestos!$E$8-Supuestos!$D$8)/(Supuestos!$F$8-Supuestos!$D$8),Supuestos!$D$8+SQRT(E964*(Supuestos!$F$8-Supuestos!$D$8)*(Supuestos!$E$8-Supuestos!$D$8)),Supuestos!$F$8-SQRT((1-E964)*(Supuestos!$F$8-Supuestos!$D$8)*(Supuestos!$F$8-Supuestos!$E$8))),IF(Supuestos!$C$8="Uniforme",Supuestos!$D$8+E964*(Supuestos!$E$8-Supuestos!$D$8),IF(Supuestos!$C$8="Lognormal",LOGINV(E964,LN(Supuestos!$D$8)-LN(1+Supuestos!$E$8^2/Supuestos!$D$8^2)/2,SQRT(LN(1+Supuestos!$E$8^2/Supuestos!$D$8^2))),Supuestos!$D$8))))))</f>
        <v/>
      </c>
      <c r="M964" s="32">
        <f>MIN(IF(Supuestos!$H$9="",1E+99,Supuestos!$H$9),MAX(IF(Supuestos!$G$9="",-1E+99,Supuestos!$G$9),IF(Supuestos!$C$9="Normal",NORMINV(F964,Supuestos!$D$9,Supuestos!$E$9),IF(Supuestos!$C$9="Triangular",IF(F964&lt;(Supuestos!$E$9-Supuestos!$D$9)/(Supuestos!$F$9-Supuestos!$D$9),Supuestos!$D$9+SQRT(F964*(Supuestos!$F$9-Supuestos!$D$9)*(Supuestos!$E$9-Supuestos!$D$9)),Supuestos!$F$9-SQRT((1-F964)*(Supuestos!$F$9-Supuestos!$D$9)*(Supuestos!$F$9-Supuestos!$E$9))),IF(Supuestos!$C$9="Uniforme",Supuestos!$D$9+F964*(Supuestos!$E$9-Supuestos!$D$9),IF(Supuestos!$C$9="Lognormal",LOGINV(F964,LN(Supuestos!$D$9)-LN(1+Supuestos!$E$9^2/Supuestos!$D$9^2)/2,SQRT(LN(1+Supuestos!$E$9^2/Supuestos!$D$9^2))),Supuestos!$D$9))))))</f>
        <v/>
      </c>
      <c r="N964" s="32">
        <f>MIN(IF(Supuestos!$H$10="",1E+99,Supuestos!$H$10),MAX(IF(Supuestos!$G$10="",-1E+99,Supuestos!$G$10),IF(Supuestos!$C$10="Normal",NORMINV(G964,Supuestos!$D$10,Supuestos!$E$10),IF(Supuestos!$C$10="Triangular",IF(G964&lt;(Supuestos!$E$10-Supuestos!$D$10)/(Supuestos!$F$10-Supuestos!$D$10),Supuestos!$D$10+SQRT(G964*(Supuestos!$F$10-Supuestos!$D$10)*(Supuestos!$E$10-Supuestos!$D$10)),Supuestos!$F$10-SQRT((1-G964)*(Supuestos!$F$10-Supuestos!$D$10)*(Supuestos!$F$10-Supuestos!$E$10))),IF(Supuestos!$C$10="Uniforme",Supuestos!$D$10+G964*(Supuestos!$E$10-Supuestos!$D$10),IF(Supuestos!$C$10="Lognormal",LOGINV(G964,LN(Supuestos!$D$10)-LN(1+Supuestos!$E$10^2/Supuestos!$D$10^2)/2,SQRT(LN(1+Supuestos!$E$10^2/Supuestos!$D$10^2))),Supuestos!$D$10))))))</f>
        <v/>
      </c>
      <c r="O964" s="31">
        <f>MIN(IF(Supuestos!$H$11="",1E+99,Supuestos!$H$11),MAX(IF(Supuestos!$G$11="",-1E+99,Supuestos!$G$11),IF(Supuestos!$C$11="Normal",NORMINV(H964,Supuestos!$D$11,Supuestos!$E$11),IF(Supuestos!$C$11="Triangular",IF(H964&lt;(Supuestos!$E$11-Supuestos!$D$11)/(Supuestos!$F$11-Supuestos!$D$11),Supuestos!$D$11+SQRT(H964*(Supuestos!$F$11-Supuestos!$D$11)*(Supuestos!$E$11-Supuestos!$D$11)),Supuestos!$F$11-SQRT((1-H964)*(Supuestos!$F$11-Supuestos!$D$11)*(Supuestos!$F$11-Supuestos!$E$11))),IF(Supuestos!$C$11="Uniforme",Supuestos!$D$11+H964*(Supuestos!$E$11-Supuestos!$D$11),IF(Supuestos!$C$11="Lognormal",LOGINV(H964,LN(Supuestos!$D$11)-LN(1+Supuestos!$E$11^2/Supuestos!$D$11^2)/2,SQRT(LN(1+Supuestos!$E$11^2/Supuestos!$D$11^2))),Supuestos!$D$11))))))</f>
        <v/>
      </c>
      <c r="P964" s="33">
        <f>-I964</f>
        <v/>
      </c>
      <c r="Q964" s="33">
        <f>$J964*(1+$K964)^(1-1)*(1-$L964)*(1-$M964)</f>
        <v/>
      </c>
      <c r="R964" s="33">
        <f>$J964*(1+$K964)^(2-1)*(1-$L964)*(1-$M964)</f>
        <v/>
      </c>
      <c r="S964" s="33">
        <f>$J964*(1+$K964)^(3-1)*(1-$L964)*(1-$M964)</f>
        <v/>
      </c>
      <c r="T964" s="33">
        <f>$J964*(1+$K964)^(4-1)*(1-$L964)*(1-$M964)</f>
        <v/>
      </c>
      <c r="U964" s="33">
        <f>$J964*(1+$K964)^(5-1)*(1-$L964)*(1-$M964)+$O964</f>
        <v/>
      </c>
      <c r="V964" s="33">
        <f>P964+NPV($N964,Q964:U964)</f>
        <v/>
      </c>
      <c r="W964" s="32">
        <f>IFERROR(IRR(P964:U964,0.1),"")</f>
        <v/>
      </c>
    </row>
    <row r="965">
      <c r="A965" s="14" t="n">
        <v>961</v>
      </c>
      <c r="B965" s="30">
        <f>RAND()*(1-2E-6)+1E-6</f>
        <v/>
      </c>
      <c r="C965" s="30">
        <f>RAND()*(1-2E-6)+1E-6</f>
        <v/>
      </c>
      <c r="D965" s="30">
        <f>RAND()*(1-2E-6)+1E-6</f>
        <v/>
      </c>
      <c r="E965" s="30">
        <f>RAND()*(1-2E-6)+1E-6</f>
        <v/>
      </c>
      <c r="F965" s="30">
        <f>RAND()*(1-2E-6)+1E-6</f>
        <v/>
      </c>
      <c r="G965" s="30">
        <f>RAND()*(1-2E-6)+1E-6</f>
        <v/>
      </c>
      <c r="H965" s="30">
        <f>RAND()*(1-2E-6)+1E-6</f>
        <v/>
      </c>
      <c r="I965" s="31">
        <f>MIN(IF(Supuestos!$H$5="",1E+99,Supuestos!$H$5),MAX(IF(Supuestos!$G$5="",-1E+99,Supuestos!$G$5),IF(Supuestos!$C$5="Normal",NORMINV(B965,Supuestos!$D$5,Supuestos!$E$5),IF(Supuestos!$C$5="Triangular",IF(B965&lt;(Supuestos!$E$5-Supuestos!$D$5)/(Supuestos!$F$5-Supuestos!$D$5),Supuestos!$D$5+SQRT(B965*(Supuestos!$F$5-Supuestos!$D$5)*(Supuestos!$E$5-Supuestos!$D$5)),Supuestos!$F$5-SQRT((1-B965)*(Supuestos!$F$5-Supuestos!$D$5)*(Supuestos!$F$5-Supuestos!$E$5))),IF(Supuestos!$C$5="Uniforme",Supuestos!$D$5+B965*(Supuestos!$E$5-Supuestos!$D$5),IF(Supuestos!$C$5="Lognormal",LOGINV(B965,LN(Supuestos!$D$5)-LN(1+Supuestos!$E$5^2/Supuestos!$D$5^2)/2,SQRT(LN(1+Supuestos!$E$5^2/Supuestos!$D$5^2))),Supuestos!$D$5))))))</f>
        <v/>
      </c>
      <c r="J965" s="31">
        <f>MIN(IF(Supuestos!$H$6="",1E+99,Supuestos!$H$6),MAX(IF(Supuestos!$G$6="",-1E+99,Supuestos!$G$6),IF(Supuestos!$C$6="Normal",NORMINV(C965,Supuestos!$D$6,Supuestos!$E$6),IF(Supuestos!$C$6="Triangular",IF(C965&lt;(Supuestos!$E$6-Supuestos!$D$6)/(Supuestos!$F$6-Supuestos!$D$6),Supuestos!$D$6+SQRT(C965*(Supuestos!$F$6-Supuestos!$D$6)*(Supuestos!$E$6-Supuestos!$D$6)),Supuestos!$F$6-SQRT((1-C965)*(Supuestos!$F$6-Supuestos!$D$6)*(Supuestos!$F$6-Supuestos!$E$6))),IF(Supuestos!$C$6="Uniforme",Supuestos!$D$6+C965*(Supuestos!$E$6-Supuestos!$D$6),IF(Supuestos!$C$6="Lognormal",LOGINV(C965,LN(Supuestos!$D$6)-LN(1+Supuestos!$E$6^2/Supuestos!$D$6^2)/2,SQRT(LN(1+Supuestos!$E$6^2/Supuestos!$D$6^2))),Supuestos!$D$6))))))</f>
        <v/>
      </c>
      <c r="K965" s="32">
        <f>MIN(IF(Supuestos!$H$7="",1E+99,Supuestos!$H$7),MAX(IF(Supuestos!$G$7="",-1E+99,Supuestos!$G$7),IF(Supuestos!$C$7="Normal",NORMINV(D965,Supuestos!$D$7,Supuestos!$E$7),IF(Supuestos!$C$7="Triangular",IF(D965&lt;(Supuestos!$E$7-Supuestos!$D$7)/(Supuestos!$F$7-Supuestos!$D$7),Supuestos!$D$7+SQRT(D965*(Supuestos!$F$7-Supuestos!$D$7)*(Supuestos!$E$7-Supuestos!$D$7)),Supuestos!$F$7-SQRT((1-D965)*(Supuestos!$F$7-Supuestos!$D$7)*(Supuestos!$F$7-Supuestos!$E$7))),IF(Supuestos!$C$7="Uniforme",Supuestos!$D$7+D965*(Supuestos!$E$7-Supuestos!$D$7),IF(Supuestos!$C$7="Lognormal",LOGINV(D965,LN(Supuestos!$D$7)-LN(1+Supuestos!$E$7^2/Supuestos!$D$7^2)/2,SQRT(LN(1+Supuestos!$E$7^2/Supuestos!$D$7^2))),Supuestos!$D$7))))))</f>
        <v/>
      </c>
      <c r="L965" s="32">
        <f>MIN(IF(Supuestos!$H$8="",1E+99,Supuestos!$H$8),MAX(IF(Supuestos!$G$8="",-1E+99,Supuestos!$G$8),IF(Supuestos!$C$8="Normal",NORMINV(E965,Supuestos!$D$8,Supuestos!$E$8),IF(Supuestos!$C$8="Triangular",IF(E965&lt;(Supuestos!$E$8-Supuestos!$D$8)/(Supuestos!$F$8-Supuestos!$D$8),Supuestos!$D$8+SQRT(E965*(Supuestos!$F$8-Supuestos!$D$8)*(Supuestos!$E$8-Supuestos!$D$8)),Supuestos!$F$8-SQRT((1-E965)*(Supuestos!$F$8-Supuestos!$D$8)*(Supuestos!$F$8-Supuestos!$E$8))),IF(Supuestos!$C$8="Uniforme",Supuestos!$D$8+E965*(Supuestos!$E$8-Supuestos!$D$8),IF(Supuestos!$C$8="Lognormal",LOGINV(E965,LN(Supuestos!$D$8)-LN(1+Supuestos!$E$8^2/Supuestos!$D$8^2)/2,SQRT(LN(1+Supuestos!$E$8^2/Supuestos!$D$8^2))),Supuestos!$D$8))))))</f>
        <v/>
      </c>
      <c r="M965" s="32">
        <f>MIN(IF(Supuestos!$H$9="",1E+99,Supuestos!$H$9),MAX(IF(Supuestos!$G$9="",-1E+99,Supuestos!$G$9),IF(Supuestos!$C$9="Normal",NORMINV(F965,Supuestos!$D$9,Supuestos!$E$9),IF(Supuestos!$C$9="Triangular",IF(F965&lt;(Supuestos!$E$9-Supuestos!$D$9)/(Supuestos!$F$9-Supuestos!$D$9),Supuestos!$D$9+SQRT(F965*(Supuestos!$F$9-Supuestos!$D$9)*(Supuestos!$E$9-Supuestos!$D$9)),Supuestos!$F$9-SQRT((1-F965)*(Supuestos!$F$9-Supuestos!$D$9)*(Supuestos!$F$9-Supuestos!$E$9))),IF(Supuestos!$C$9="Uniforme",Supuestos!$D$9+F965*(Supuestos!$E$9-Supuestos!$D$9),IF(Supuestos!$C$9="Lognormal",LOGINV(F965,LN(Supuestos!$D$9)-LN(1+Supuestos!$E$9^2/Supuestos!$D$9^2)/2,SQRT(LN(1+Supuestos!$E$9^2/Supuestos!$D$9^2))),Supuestos!$D$9))))))</f>
        <v/>
      </c>
      <c r="N965" s="32">
        <f>MIN(IF(Supuestos!$H$10="",1E+99,Supuestos!$H$10),MAX(IF(Supuestos!$G$10="",-1E+99,Supuestos!$G$10),IF(Supuestos!$C$10="Normal",NORMINV(G965,Supuestos!$D$10,Supuestos!$E$10),IF(Supuestos!$C$10="Triangular",IF(G965&lt;(Supuestos!$E$10-Supuestos!$D$10)/(Supuestos!$F$10-Supuestos!$D$10),Supuestos!$D$10+SQRT(G965*(Supuestos!$F$10-Supuestos!$D$10)*(Supuestos!$E$10-Supuestos!$D$10)),Supuestos!$F$10-SQRT((1-G965)*(Supuestos!$F$10-Supuestos!$D$10)*(Supuestos!$F$10-Supuestos!$E$10))),IF(Supuestos!$C$10="Uniforme",Supuestos!$D$10+G965*(Supuestos!$E$10-Supuestos!$D$10),IF(Supuestos!$C$10="Lognormal",LOGINV(G965,LN(Supuestos!$D$10)-LN(1+Supuestos!$E$10^2/Supuestos!$D$10^2)/2,SQRT(LN(1+Supuestos!$E$10^2/Supuestos!$D$10^2))),Supuestos!$D$10))))))</f>
        <v/>
      </c>
      <c r="O965" s="31">
        <f>MIN(IF(Supuestos!$H$11="",1E+99,Supuestos!$H$11),MAX(IF(Supuestos!$G$11="",-1E+99,Supuestos!$G$11),IF(Supuestos!$C$11="Normal",NORMINV(H965,Supuestos!$D$11,Supuestos!$E$11),IF(Supuestos!$C$11="Triangular",IF(H965&lt;(Supuestos!$E$11-Supuestos!$D$11)/(Supuestos!$F$11-Supuestos!$D$11),Supuestos!$D$11+SQRT(H965*(Supuestos!$F$11-Supuestos!$D$11)*(Supuestos!$E$11-Supuestos!$D$11)),Supuestos!$F$11-SQRT((1-H965)*(Supuestos!$F$11-Supuestos!$D$11)*(Supuestos!$F$11-Supuestos!$E$11))),IF(Supuestos!$C$11="Uniforme",Supuestos!$D$11+H965*(Supuestos!$E$11-Supuestos!$D$11),IF(Supuestos!$C$11="Lognormal",LOGINV(H965,LN(Supuestos!$D$11)-LN(1+Supuestos!$E$11^2/Supuestos!$D$11^2)/2,SQRT(LN(1+Supuestos!$E$11^2/Supuestos!$D$11^2))),Supuestos!$D$11))))))</f>
        <v/>
      </c>
      <c r="P965" s="33">
        <f>-I965</f>
        <v/>
      </c>
      <c r="Q965" s="33">
        <f>$J965*(1+$K965)^(1-1)*(1-$L965)*(1-$M965)</f>
        <v/>
      </c>
      <c r="R965" s="33">
        <f>$J965*(1+$K965)^(2-1)*(1-$L965)*(1-$M965)</f>
        <v/>
      </c>
      <c r="S965" s="33">
        <f>$J965*(1+$K965)^(3-1)*(1-$L965)*(1-$M965)</f>
        <v/>
      </c>
      <c r="T965" s="33">
        <f>$J965*(1+$K965)^(4-1)*(1-$L965)*(1-$M965)</f>
        <v/>
      </c>
      <c r="U965" s="33">
        <f>$J965*(1+$K965)^(5-1)*(1-$L965)*(1-$M965)+$O965</f>
        <v/>
      </c>
      <c r="V965" s="33">
        <f>P965+NPV($N965,Q965:U965)</f>
        <v/>
      </c>
      <c r="W965" s="32">
        <f>IFERROR(IRR(P965:U965,0.1),"")</f>
        <v/>
      </c>
    </row>
    <row r="966">
      <c r="A966" s="14" t="n">
        <v>962</v>
      </c>
      <c r="B966" s="30">
        <f>RAND()*(1-2E-6)+1E-6</f>
        <v/>
      </c>
      <c r="C966" s="30">
        <f>RAND()*(1-2E-6)+1E-6</f>
        <v/>
      </c>
      <c r="D966" s="30">
        <f>RAND()*(1-2E-6)+1E-6</f>
        <v/>
      </c>
      <c r="E966" s="30">
        <f>RAND()*(1-2E-6)+1E-6</f>
        <v/>
      </c>
      <c r="F966" s="30">
        <f>RAND()*(1-2E-6)+1E-6</f>
        <v/>
      </c>
      <c r="G966" s="30">
        <f>RAND()*(1-2E-6)+1E-6</f>
        <v/>
      </c>
      <c r="H966" s="30">
        <f>RAND()*(1-2E-6)+1E-6</f>
        <v/>
      </c>
      <c r="I966" s="31">
        <f>MIN(IF(Supuestos!$H$5="",1E+99,Supuestos!$H$5),MAX(IF(Supuestos!$G$5="",-1E+99,Supuestos!$G$5),IF(Supuestos!$C$5="Normal",NORMINV(B966,Supuestos!$D$5,Supuestos!$E$5),IF(Supuestos!$C$5="Triangular",IF(B966&lt;(Supuestos!$E$5-Supuestos!$D$5)/(Supuestos!$F$5-Supuestos!$D$5),Supuestos!$D$5+SQRT(B966*(Supuestos!$F$5-Supuestos!$D$5)*(Supuestos!$E$5-Supuestos!$D$5)),Supuestos!$F$5-SQRT((1-B966)*(Supuestos!$F$5-Supuestos!$D$5)*(Supuestos!$F$5-Supuestos!$E$5))),IF(Supuestos!$C$5="Uniforme",Supuestos!$D$5+B966*(Supuestos!$E$5-Supuestos!$D$5),IF(Supuestos!$C$5="Lognormal",LOGINV(B966,LN(Supuestos!$D$5)-LN(1+Supuestos!$E$5^2/Supuestos!$D$5^2)/2,SQRT(LN(1+Supuestos!$E$5^2/Supuestos!$D$5^2))),Supuestos!$D$5))))))</f>
        <v/>
      </c>
      <c r="J966" s="31">
        <f>MIN(IF(Supuestos!$H$6="",1E+99,Supuestos!$H$6),MAX(IF(Supuestos!$G$6="",-1E+99,Supuestos!$G$6),IF(Supuestos!$C$6="Normal",NORMINV(C966,Supuestos!$D$6,Supuestos!$E$6),IF(Supuestos!$C$6="Triangular",IF(C966&lt;(Supuestos!$E$6-Supuestos!$D$6)/(Supuestos!$F$6-Supuestos!$D$6),Supuestos!$D$6+SQRT(C966*(Supuestos!$F$6-Supuestos!$D$6)*(Supuestos!$E$6-Supuestos!$D$6)),Supuestos!$F$6-SQRT((1-C966)*(Supuestos!$F$6-Supuestos!$D$6)*(Supuestos!$F$6-Supuestos!$E$6))),IF(Supuestos!$C$6="Uniforme",Supuestos!$D$6+C966*(Supuestos!$E$6-Supuestos!$D$6),IF(Supuestos!$C$6="Lognormal",LOGINV(C966,LN(Supuestos!$D$6)-LN(1+Supuestos!$E$6^2/Supuestos!$D$6^2)/2,SQRT(LN(1+Supuestos!$E$6^2/Supuestos!$D$6^2))),Supuestos!$D$6))))))</f>
        <v/>
      </c>
      <c r="K966" s="32">
        <f>MIN(IF(Supuestos!$H$7="",1E+99,Supuestos!$H$7),MAX(IF(Supuestos!$G$7="",-1E+99,Supuestos!$G$7),IF(Supuestos!$C$7="Normal",NORMINV(D966,Supuestos!$D$7,Supuestos!$E$7),IF(Supuestos!$C$7="Triangular",IF(D966&lt;(Supuestos!$E$7-Supuestos!$D$7)/(Supuestos!$F$7-Supuestos!$D$7),Supuestos!$D$7+SQRT(D966*(Supuestos!$F$7-Supuestos!$D$7)*(Supuestos!$E$7-Supuestos!$D$7)),Supuestos!$F$7-SQRT((1-D966)*(Supuestos!$F$7-Supuestos!$D$7)*(Supuestos!$F$7-Supuestos!$E$7))),IF(Supuestos!$C$7="Uniforme",Supuestos!$D$7+D966*(Supuestos!$E$7-Supuestos!$D$7),IF(Supuestos!$C$7="Lognormal",LOGINV(D966,LN(Supuestos!$D$7)-LN(1+Supuestos!$E$7^2/Supuestos!$D$7^2)/2,SQRT(LN(1+Supuestos!$E$7^2/Supuestos!$D$7^2))),Supuestos!$D$7))))))</f>
        <v/>
      </c>
      <c r="L966" s="32">
        <f>MIN(IF(Supuestos!$H$8="",1E+99,Supuestos!$H$8),MAX(IF(Supuestos!$G$8="",-1E+99,Supuestos!$G$8),IF(Supuestos!$C$8="Normal",NORMINV(E966,Supuestos!$D$8,Supuestos!$E$8),IF(Supuestos!$C$8="Triangular",IF(E966&lt;(Supuestos!$E$8-Supuestos!$D$8)/(Supuestos!$F$8-Supuestos!$D$8),Supuestos!$D$8+SQRT(E966*(Supuestos!$F$8-Supuestos!$D$8)*(Supuestos!$E$8-Supuestos!$D$8)),Supuestos!$F$8-SQRT((1-E966)*(Supuestos!$F$8-Supuestos!$D$8)*(Supuestos!$F$8-Supuestos!$E$8))),IF(Supuestos!$C$8="Uniforme",Supuestos!$D$8+E966*(Supuestos!$E$8-Supuestos!$D$8),IF(Supuestos!$C$8="Lognormal",LOGINV(E966,LN(Supuestos!$D$8)-LN(1+Supuestos!$E$8^2/Supuestos!$D$8^2)/2,SQRT(LN(1+Supuestos!$E$8^2/Supuestos!$D$8^2))),Supuestos!$D$8))))))</f>
        <v/>
      </c>
      <c r="M966" s="32">
        <f>MIN(IF(Supuestos!$H$9="",1E+99,Supuestos!$H$9),MAX(IF(Supuestos!$G$9="",-1E+99,Supuestos!$G$9),IF(Supuestos!$C$9="Normal",NORMINV(F966,Supuestos!$D$9,Supuestos!$E$9),IF(Supuestos!$C$9="Triangular",IF(F966&lt;(Supuestos!$E$9-Supuestos!$D$9)/(Supuestos!$F$9-Supuestos!$D$9),Supuestos!$D$9+SQRT(F966*(Supuestos!$F$9-Supuestos!$D$9)*(Supuestos!$E$9-Supuestos!$D$9)),Supuestos!$F$9-SQRT((1-F966)*(Supuestos!$F$9-Supuestos!$D$9)*(Supuestos!$F$9-Supuestos!$E$9))),IF(Supuestos!$C$9="Uniforme",Supuestos!$D$9+F966*(Supuestos!$E$9-Supuestos!$D$9),IF(Supuestos!$C$9="Lognormal",LOGINV(F966,LN(Supuestos!$D$9)-LN(1+Supuestos!$E$9^2/Supuestos!$D$9^2)/2,SQRT(LN(1+Supuestos!$E$9^2/Supuestos!$D$9^2))),Supuestos!$D$9))))))</f>
        <v/>
      </c>
      <c r="N966" s="32">
        <f>MIN(IF(Supuestos!$H$10="",1E+99,Supuestos!$H$10),MAX(IF(Supuestos!$G$10="",-1E+99,Supuestos!$G$10),IF(Supuestos!$C$10="Normal",NORMINV(G966,Supuestos!$D$10,Supuestos!$E$10),IF(Supuestos!$C$10="Triangular",IF(G966&lt;(Supuestos!$E$10-Supuestos!$D$10)/(Supuestos!$F$10-Supuestos!$D$10),Supuestos!$D$10+SQRT(G966*(Supuestos!$F$10-Supuestos!$D$10)*(Supuestos!$E$10-Supuestos!$D$10)),Supuestos!$F$10-SQRT((1-G966)*(Supuestos!$F$10-Supuestos!$D$10)*(Supuestos!$F$10-Supuestos!$E$10))),IF(Supuestos!$C$10="Uniforme",Supuestos!$D$10+G966*(Supuestos!$E$10-Supuestos!$D$10),IF(Supuestos!$C$10="Lognormal",LOGINV(G966,LN(Supuestos!$D$10)-LN(1+Supuestos!$E$10^2/Supuestos!$D$10^2)/2,SQRT(LN(1+Supuestos!$E$10^2/Supuestos!$D$10^2))),Supuestos!$D$10))))))</f>
        <v/>
      </c>
      <c r="O966" s="31">
        <f>MIN(IF(Supuestos!$H$11="",1E+99,Supuestos!$H$11),MAX(IF(Supuestos!$G$11="",-1E+99,Supuestos!$G$11),IF(Supuestos!$C$11="Normal",NORMINV(H966,Supuestos!$D$11,Supuestos!$E$11),IF(Supuestos!$C$11="Triangular",IF(H966&lt;(Supuestos!$E$11-Supuestos!$D$11)/(Supuestos!$F$11-Supuestos!$D$11),Supuestos!$D$11+SQRT(H966*(Supuestos!$F$11-Supuestos!$D$11)*(Supuestos!$E$11-Supuestos!$D$11)),Supuestos!$F$11-SQRT((1-H966)*(Supuestos!$F$11-Supuestos!$D$11)*(Supuestos!$F$11-Supuestos!$E$11))),IF(Supuestos!$C$11="Uniforme",Supuestos!$D$11+H966*(Supuestos!$E$11-Supuestos!$D$11),IF(Supuestos!$C$11="Lognormal",LOGINV(H966,LN(Supuestos!$D$11)-LN(1+Supuestos!$E$11^2/Supuestos!$D$11^2)/2,SQRT(LN(1+Supuestos!$E$11^2/Supuestos!$D$11^2))),Supuestos!$D$11))))))</f>
        <v/>
      </c>
      <c r="P966" s="33">
        <f>-I966</f>
        <v/>
      </c>
      <c r="Q966" s="33">
        <f>$J966*(1+$K966)^(1-1)*(1-$L966)*(1-$M966)</f>
        <v/>
      </c>
      <c r="R966" s="33">
        <f>$J966*(1+$K966)^(2-1)*(1-$L966)*(1-$M966)</f>
        <v/>
      </c>
      <c r="S966" s="33">
        <f>$J966*(1+$K966)^(3-1)*(1-$L966)*(1-$M966)</f>
        <v/>
      </c>
      <c r="T966" s="33">
        <f>$J966*(1+$K966)^(4-1)*(1-$L966)*(1-$M966)</f>
        <v/>
      </c>
      <c r="U966" s="33">
        <f>$J966*(1+$K966)^(5-1)*(1-$L966)*(1-$M966)+$O966</f>
        <v/>
      </c>
      <c r="V966" s="33">
        <f>P966+NPV($N966,Q966:U966)</f>
        <v/>
      </c>
      <c r="W966" s="32">
        <f>IFERROR(IRR(P966:U966,0.1),"")</f>
        <v/>
      </c>
    </row>
    <row r="967">
      <c r="A967" s="14" t="n">
        <v>963</v>
      </c>
      <c r="B967" s="30">
        <f>RAND()*(1-2E-6)+1E-6</f>
        <v/>
      </c>
      <c r="C967" s="30">
        <f>RAND()*(1-2E-6)+1E-6</f>
        <v/>
      </c>
      <c r="D967" s="30">
        <f>RAND()*(1-2E-6)+1E-6</f>
        <v/>
      </c>
      <c r="E967" s="30">
        <f>RAND()*(1-2E-6)+1E-6</f>
        <v/>
      </c>
      <c r="F967" s="30">
        <f>RAND()*(1-2E-6)+1E-6</f>
        <v/>
      </c>
      <c r="G967" s="30">
        <f>RAND()*(1-2E-6)+1E-6</f>
        <v/>
      </c>
      <c r="H967" s="30">
        <f>RAND()*(1-2E-6)+1E-6</f>
        <v/>
      </c>
      <c r="I967" s="31">
        <f>MIN(IF(Supuestos!$H$5="",1E+99,Supuestos!$H$5),MAX(IF(Supuestos!$G$5="",-1E+99,Supuestos!$G$5),IF(Supuestos!$C$5="Normal",NORMINV(B967,Supuestos!$D$5,Supuestos!$E$5),IF(Supuestos!$C$5="Triangular",IF(B967&lt;(Supuestos!$E$5-Supuestos!$D$5)/(Supuestos!$F$5-Supuestos!$D$5),Supuestos!$D$5+SQRT(B967*(Supuestos!$F$5-Supuestos!$D$5)*(Supuestos!$E$5-Supuestos!$D$5)),Supuestos!$F$5-SQRT((1-B967)*(Supuestos!$F$5-Supuestos!$D$5)*(Supuestos!$F$5-Supuestos!$E$5))),IF(Supuestos!$C$5="Uniforme",Supuestos!$D$5+B967*(Supuestos!$E$5-Supuestos!$D$5),IF(Supuestos!$C$5="Lognormal",LOGINV(B967,LN(Supuestos!$D$5)-LN(1+Supuestos!$E$5^2/Supuestos!$D$5^2)/2,SQRT(LN(1+Supuestos!$E$5^2/Supuestos!$D$5^2))),Supuestos!$D$5))))))</f>
        <v/>
      </c>
      <c r="J967" s="31">
        <f>MIN(IF(Supuestos!$H$6="",1E+99,Supuestos!$H$6),MAX(IF(Supuestos!$G$6="",-1E+99,Supuestos!$G$6),IF(Supuestos!$C$6="Normal",NORMINV(C967,Supuestos!$D$6,Supuestos!$E$6),IF(Supuestos!$C$6="Triangular",IF(C967&lt;(Supuestos!$E$6-Supuestos!$D$6)/(Supuestos!$F$6-Supuestos!$D$6),Supuestos!$D$6+SQRT(C967*(Supuestos!$F$6-Supuestos!$D$6)*(Supuestos!$E$6-Supuestos!$D$6)),Supuestos!$F$6-SQRT((1-C967)*(Supuestos!$F$6-Supuestos!$D$6)*(Supuestos!$F$6-Supuestos!$E$6))),IF(Supuestos!$C$6="Uniforme",Supuestos!$D$6+C967*(Supuestos!$E$6-Supuestos!$D$6),IF(Supuestos!$C$6="Lognormal",LOGINV(C967,LN(Supuestos!$D$6)-LN(1+Supuestos!$E$6^2/Supuestos!$D$6^2)/2,SQRT(LN(1+Supuestos!$E$6^2/Supuestos!$D$6^2))),Supuestos!$D$6))))))</f>
        <v/>
      </c>
      <c r="K967" s="32">
        <f>MIN(IF(Supuestos!$H$7="",1E+99,Supuestos!$H$7),MAX(IF(Supuestos!$G$7="",-1E+99,Supuestos!$G$7),IF(Supuestos!$C$7="Normal",NORMINV(D967,Supuestos!$D$7,Supuestos!$E$7),IF(Supuestos!$C$7="Triangular",IF(D967&lt;(Supuestos!$E$7-Supuestos!$D$7)/(Supuestos!$F$7-Supuestos!$D$7),Supuestos!$D$7+SQRT(D967*(Supuestos!$F$7-Supuestos!$D$7)*(Supuestos!$E$7-Supuestos!$D$7)),Supuestos!$F$7-SQRT((1-D967)*(Supuestos!$F$7-Supuestos!$D$7)*(Supuestos!$F$7-Supuestos!$E$7))),IF(Supuestos!$C$7="Uniforme",Supuestos!$D$7+D967*(Supuestos!$E$7-Supuestos!$D$7),IF(Supuestos!$C$7="Lognormal",LOGINV(D967,LN(Supuestos!$D$7)-LN(1+Supuestos!$E$7^2/Supuestos!$D$7^2)/2,SQRT(LN(1+Supuestos!$E$7^2/Supuestos!$D$7^2))),Supuestos!$D$7))))))</f>
        <v/>
      </c>
      <c r="L967" s="32">
        <f>MIN(IF(Supuestos!$H$8="",1E+99,Supuestos!$H$8),MAX(IF(Supuestos!$G$8="",-1E+99,Supuestos!$G$8),IF(Supuestos!$C$8="Normal",NORMINV(E967,Supuestos!$D$8,Supuestos!$E$8),IF(Supuestos!$C$8="Triangular",IF(E967&lt;(Supuestos!$E$8-Supuestos!$D$8)/(Supuestos!$F$8-Supuestos!$D$8),Supuestos!$D$8+SQRT(E967*(Supuestos!$F$8-Supuestos!$D$8)*(Supuestos!$E$8-Supuestos!$D$8)),Supuestos!$F$8-SQRT((1-E967)*(Supuestos!$F$8-Supuestos!$D$8)*(Supuestos!$F$8-Supuestos!$E$8))),IF(Supuestos!$C$8="Uniforme",Supuestos!$D$8+E967*(Supuestos!$E$8-Supuestos!$D$8),IF(Supuestos!$C$8="Lognormal",LOGINV(E967,LN(Supuestos!$D$8)-LN(1+Supuestos!$E$8^2/Supuestos!$D$8^2)/2,SQRT(LN(1+Supuestos!$E$8^2/Supuestos!$D$8^2))),Supuestos!$D$8))))))</f>
        <v/>
      </c>
      <c r="M967" s="32">
        <f>MIN(IF(Supuestos!$H$9="",1E+99,Supuestos!$H$9),MAX(IF(Supuestos!$G$9="",-1E+99,Supuestos!$G$9),IF(Supuestos!$C$9="Normal",NORMINV(F967,Supuestos!$D$9,Supuestos!$E$9),IF(Supuestos!$C$9="Triangular",IF(F967&lt;(Supuestos!$E$9-Supuestos!$D$9)/(Supuestos!$F$9-Supuestos!$D$9),Supuestos!$D$9+SQRT(F967*(Supuestos!$F$9-Supuestos!$D$9)*(Supuestos!$E$9-Supuestos!$D$9)),Supuestos!$F$9-SQRT((1-F967)*(Supuestos!$F$9-Supuestos!$D$9)*(Supuestos!$F$9-Supuestos!$E$9))),IF(Supuestos!$C$9="Uniforme",Supuestos!$D$9+F967*(Supuestos!$E$9-Supuestos!$D$9),IF(Supuestos!$C$9="Lognormal",LOGINV(F967,LN(Supuestos!$D$9)-LN(1+Supuestos!$E$9^2/Supuestos!$D$9^2)/2,SQRT(LN(1+Supuestos!$E$9^2/Supuestos!$D$9^2))),Supuestos!$D$9))))))</f>
        <v/>
      </c>
      <c r="N967" s="32">
        <f>MIN(IF(Supuestos!$H$10="",1E+99,Supuestos!$H$10),MAX(IF(Supuestos!$G$10="",-1E+99,Supuestos!$G$10),IF(Supuestos!$C$10="Normal",NORMINV(G967,Supuestos!$D$10,Supuestos!$E$10),IF(Supuestos!$C$10="Triangular",IF(G967&lt;(Supuestos!$E$10-Supuestos!$D$10)/(Supuestos!$F$10-Supuestos!$D$10),Supuestos!$D$10+SQRT(G967*(Supuestos!$F$10-Supuestos!$D$10)*(Supuestos!$E$10-Supuestos!$D$10)),Supuestos!$F$10-SQRT((1-G967)*(Supuestos!$F$10-Supuestos!$D$10)*(Supuestos!$F$10-Supuestos!$E$10))),IF(Supuestos!$C$10="Uniforme",Supuestos!$D$10+G967*(Supuestos!$E$10-Supuestos!$D$10),IF(Supuestos!$C$10="Lognormal",LOGINV(G967,LN(Supuestos!$D$10)-LN(1+Supuestos!$E$10^2/Supuestos!$D$10^2)/2,SQRT(LN(1+Supuestos!$E$10^2/Supuestos!$D$10^2))),Supuestos!$D$10))))))</f>
        <v/>
      </c>
      <c r="O967" s="31">
        <f>MIN(IF(Supuestos!$H$11="",1E+99,Supuestos!$H$11),MAX(IF(Supuestos!$G$11="",-1E+99,Supuestos!$G$11),IF(Supuestos!$C$11="Normal",NORMINV(H967,Supuestos!$D$11,Supuestos!$E$11),IF(Supuestos!$C$11="Triangular",IF(H967&lt;(Supuestos!$E$11-Supuestos!$D$11)/(Supuestos!$F$11-Supuestos!$D$11),Supuestos!$D$11+SQRT(H967*(Supuestos!$F$11-Supuestos!$D$11)*(Supuestos!$E$11-Supuestos!$D$11)),Supuestos!$F$11-SQRT((1-H967)*(Supuestos!$F$11-Supuestos!$D$11)*(Supuestos!$F$11-Supuestos!$E$11))),IF(Supuestos!$C$11="Uniforme",Supuestos!$D$11+H967*(Supuestos!$E$11-Supuestos!$D$11),IF(Supuestos!$C$11="Lognormal",LOGINV(H967,LN(Supuestos!$D$11)-LN(1+Supuestos!$E$11^2/Supuestos!$D$11^2)/2,SQRT(LN(1+Supuestos!$E$11^2/Supuestos!$D$11^2))),Supuestos!$D$11))))))</f>
        <v/>
      </c>
      <c r="P967" s="33">
        <f>-I967</f>
        <v/>
      </c>
      <c r="Q967" s="33">
        <f>$J967*(1+$K967)^(1-1)*(1-$L967)*(1-$M967)</f>
        <v/>
      </c>
      <c r="R967" s="33">
        <f>$J967*(1+$K967)^(2-1)*(1-$L967)*(1-$M967)</f>
        <v/>
      </c>
      <c r="S967" s="33">
        <f>$J967*(1+$K967)^(3-1)*(1-$L967)*(1-$M967)</f>
        <v/>
      </c>
      <c r="T967" s="33">
        <f>$J967*(1+$K967)^(4-1)*(1-$L967)*(1-$M967)</f>
        <v/>
      </c>
      <c r="U967" s="33">
        <f>$J967*(1+$K967)^(5-1)*(1-$L967)*(1-$M967)+$O967</f>
        <v/>
      </c>
      <c r="V967" s="33">
        <f>P967+NPV($N967,Q967:U967)</f>
        <v/>
      </c>
      <c r="W967" s="32">
        <f>IFERROR(IRR(P967:U967,0.1),"")</f>
        <v/>
      </c>
    </row>
    <row r="968">
      <c r="A968" s="14" t="n">
        <v>964</v>
      </c>
      <c r="B968" s="30">
        <f>RAND()*(1-2E-6)+1E-6</f>
        <v/>
      </c>
      <c r="C968" s="30">
        <f>RAND()*(1-2E-6)+1E-6</f>
        <v/>
      </c>
      <c r="D968" s="30">
        <f>RAND()*(1-2E-6)+1E-6</f>
        <v/>
      </c>
      <c r="E968" s="30">
        <f>RAND()*(1-2E-6)+1E-6</f>
        <v/>
      </c>
      <c r="F968" s="30">
        <f>RAND()*(1-2E-6)+1E-6</f>
        <v/>
      </c>
      <c r="G968" s="30">
        <f>RAND()*(1-2E-6)+1E-6</f>
        <v/>
      </c>
      <c r="H968" s="30">
        <f>RAND()*(1-2E-6)+1E-6</f>
        <v/>
      </c>
      <c r="I968" s="31">
        <f>MIN(IF(Supuestos!$H$5="",1E+99,Supuestos!$H$5),MAX(IF(Supuestos!$G$5="",-1E+99,Supuestos!$G$5),IF(Supuestos!$C$5="Normal",NORMINV(B968,Supuestos!$D$5,Supuestos!$E$5),IF(Supuestos!$C$5="Triangular",IF(B968&lt;(Supuestos!$E$5-Supuestos!$D$5)/(Supuestos!$F$5-Supuestos!$D$5),Supuestos!$D$5+SQRT(B968*(Supuestos!$F$5-Supuestos!$D$5)*(Supuestos!$E$5-Supuestos!$D$5)),Supuestos!$F$5-SQRT((1-B968)*(Supuestos!$F$5-Supuestos!$D$5)*(Supuestos!$F$5-Supuestos!$E$5))),IF(Supuestos!$C$5="Uniforme",Supuestos!$D$5+B968*(Supuestos!$E$5-Supuestos!$D$5),IF(Supuestos!$C$5="Lognormal",LOGINV(B968,LN(Supuestos!$D$5)-LN(1+Supuestos!$E$5^2/Supuestos!$D$5^2)/2,SQRT(LN(1+Supuestos!$E$5^2/Supuestos!$D$5^2))),Supuestos!$D$5))))))</f>
        <v/>
      </c>
      <c r="J968" s="31">
        <f>MIN(IF(Supuestos!$H$6="",1E+99,Supuestos!$H$6),MAX(IF(Supuestos!$G$6="",-1E+99,Supuestos!$G$6),IF(Supuestos!$C$6="Normal",NORMINV(C968,Supuestos!$D$6,Supuestos!$E$6),IF(Supuestos!$C$6="Triangular",IF(C968&lt;(Supuestos!$E$6-Supuestos!$D$6)/(Supuestos!$F$6-Supuestos!$D$6),Supuestos!$D$6+SQRT(C968*(Supuestos!$F$6-Supuestos!$D$6)*(Supuestos!$E$6-Supuestos!$D$6)),Supuestos!$F$6-SQRT((1-C968)*(Supuestos!$F$6-Supuestos!$D$6)*(Supuestos!$F$6-Supuestos!$E$6))),IF(Supuestos!$C$6="Uniforme",Supuestos!$D$6+C968*(Supuestos!$E$6-Supuestos!$D$6),IF(Supuestos!$C$6="Lognormal",LOGINV(C968,LN(Supuestos!$D$6)-LN(1+Supuestos!$E$6^2/Supuestos!$D$6^2)/2,SQRT(LN(1+Supuestos!$E$6^2/Supuestos!$D$6^2))),Supuestos!$D$6))))))</f>
        <v/>
      </c>
      <c r="K968" s="32">
        <f>MIN(IF(Supuestos!$H$7="",1E+99,Supuestos!$H$7),MAX(IF(Supuestos!$G$7="",-1E+99,Supuestos!$G$7),IF(Supuestos!$C$7="Normal",NORMINV(D968,Supuestos!$D$7,Supuestos!$E$7),IF(Supuestos!$C$7="Triangular",IF(D968&lt;(Supuestos!$E$7-Supuestos!$D$7)/(Supuestos!$F$7-Supuestos!$D$7),Supuestos!$D$7+SQRT(D968*(Supuestos!$F$7-Supuestos!$D$7)*(Supuestos!$E$7-Supuestos!$D$7)),Supuestos!$F$7-SQRT((1-D968)*(Supuestos!$F$7-Supuestos!$D$7)*(Supuestos!$F$7-Supuestos!$E$7))),IF(Supuestos!$C$7="Uniforme",Supuestos!$D$7+D968*(Supuestos!$E$7-Supuestos!$D$7),IF(Supuestos!$C$7="Lognormal",LOGINV(D968,LN(Supuestos!$D$7)-LN(1+Supuestos!$E$7^2/Supuestos!$D$7^2)/2,SQRT(LN(1+Supuestos!$E$7^2/Supuestos!$D$7^2))),Supuestos!$D$7))))))</f>
        <v/>
      </c>
      <c r="L968" s="32">
        <f>MIN(IF(Supuestos!$H$8="",1E+99,Supuestos!$H$8),MAX(IF(Supuestos!$G$8="",-1E+99,Supuestos!$G$8),IF(Supuestos!$C$8="Normal",NORMINV(E968,Supuestos!$D$8,Supuestos!$E$8),IF(Supuestos!$C$8="Triangular",IF(E968&lt;(Supuestos!$E$8-Supuestos!$D$8)/(Supuestos!$F$8-Supuestos!$D$8),Supuestos!$D$8+SQRT(E968*(Supuestos!$F$8-Supuestos!$D$8)*(Supuestos!$E$8-Supuestos!$D$8)),Supuestos!$F$8-SQRT((1-E968)*(Supuestos!$F$8-Supuestos!$D$8)*(Supuestos!$F$8-Supuestos!$E$8))),IF(Supuestos!$C$8="Uniforme",Supuestos!$D$8+E968*(Supuestos!$E$8-Supuestos!$D$8),IF(Supuestos!$C$8="Lognormal",LOGINV(E968,LN(Supuestos!$D$8)-LN(1+Supuestos!$E$8^2/Supuestos!$D$8^2)/2,SQRT(LN(1+Supuestos!$E$8^2/Supuestos!$D$8^2))),Supuestos!$D$8))))))</f>
        <v/>
      </c>
      <c r="M968" s="32">
        <f>MIN(IF(Supuestos!$H$9="",1E+99,Supuestos!$H$9),MAX(IF(Supuestos!$G$9="",-1E+99,Supuestos!$G$9),IF(Supuestos!$C$9="Normal",NORMINV(F968,Supuestos!$D$9,Supuestos!$E$9),IF(Supuestos!$C$9="Triangular",IF(F968&lt;(Supuestos!$E$9-Supuestos!$D$9)/(Supuestos!$F$9-Supuestos!$D$9),Supuestos!$D$9+SQRT(F968*(Supuestos!$F$9-Supuestos!$D$9)*(Supuestos!$E$9-Supuestos!$D$9)),Supuestos!$F$9-SQRT((1-F968)*(Supuestos!$F$9-Supuestos!$D$9)*(Supuestos!$F$9-Supuestos!$E$9))),IF(Supuestos!$C$9="Uniforme",Supuestos!$D$9+F968*(Supuestos!$E$9-Supuestos!$D$9),IF(Supuestos!$C$9="Lognormal",LOGINV(F968,LN(Supuestos!$D$9)-LN(1+Supuestos!$E$9^2/Supuestos!$D$9^2)/2,SQRT(LN(1+Supuestos!$E$9^2/Supuestos!$D$9^2))),Supuestos!$D$9))))))</f>
        <v/>
      </c>
      <c r="N968" s="32">
        <f>MIN(IF(Supuestos!$H$10="",1E+99,Supuestos!$H$10),MAX(IF(Supuestos!$G$10="",-1E+99,Supuestos!$G$10),IF(Supuestos!$C$10="Normal",NORMINV(G968,Supuestos!$D$10,Supuestos!$E$10),IF(Supuestos!$C$10="Triangular",IF(G968&lt;(Supuestos!$E$10-Supuestos!$D$10)/(Supuestos!$F$10-Supuestos!$D$10),Supuestos!$D$10+SQRT(G968*(Supuestos!$F$10-Supuestos!$D$10)*(Supuestos!$E$10-Supuestos!$D$10)),Supuestos!$F$10-SQRT((1-G968)*(Supuestos!$F$10-Supuestos!$D$10)*(Supuestos!$F$10-Supuestos!$E$10))),IF(Supuestos!$C$10="Uniforme",Supuestos!$D$10+G968*(Supuestos!$E$10-Supuestos!$D$10),IF(Supuestos!$C$10="Lognormal",LOGINV(G968,LN(Supuestos!$D$10)-LN(1+Supuestos!$E$10^2/Supuestos!$D$10^2)/2,SQRT(LN(1+Supuestos!$E$10^2/Supuestos!$D$10^2))),Supuestos!$D$10))))))</f>
        <v/>
      </c>
      <c r="O968" s="31">
        <f>MIN(IF(Supuestos!$H$11="",1E+99,Supuestos!$H$11),MAX(IF(Supuestos!$G$11="",-1E+99,Supuestos!$G$11),IF(Supuestos!$C$11="Normal",NORMINV(H968,Supuestos!$D$11,Supuestos!$E$11),IF(Supuestos!$C$11="Triangular",IF(H968&lt;(Supuestos!$E$11-Supuestos!$D$11)/(Supuestos!$F$11-Supuestos!$D$11),Supuestos!$D$11+SQRT(H968*(Supuestos!$F$11-Supuestos!$D$11)*(Supuestos!$E$11-Supuestos!$D$11)),Supuestos!$F$11-SQRT((1-H968)*(Supuestos!$F$11-Supuestos!$D$11)*(Supuestos!$F$11-Supuestos!$E$11))),IF(Supuestos!$C$11="Uniforme",Supuestos!$D$11+H968*(Supuestos!$E$11-Supuestos!$D$11),IF(Supuestos!$C$11="Lognormal",LOGINV(H968,LN(Supuestos!$D$11)-LN(1+Supuestos!$E$11^2/Supuestos!$D$11^2)/2,SQRT(LN(1+Supuestos!$E$11^2/Supuestos!$D$11^2))),Supuestos!$D$11))))))</f>
        <v/>
      </c>
      <c r="P968" s="33">
        <f>-I968</f>
        <v/>
      </c>
      <c r="Q968" s="33">
        <f>$J968*(1+$K968)^(1-1)*(1-$L968)*(1-$M968)</f>
        <v/>
      </c>
      <c r="R968" s="33">
        <f>$J968*(1+$K968)^(2-1)*(1-$L968)*(1-$M968)</f>
        <v/>
      </c>
      <c r="S968" s="33">
        <f>$J968*(1+$K968)^(3-1)*(1-$L968)*(1-$M968)</f>
        <v/>
      </c>
      <c r="T968" s="33">
        <f>$J968*(1+$K968)^(4-1)*(1-$L968)*(1-$M968)</f>
        <v/>
      </c>
      <c r="U968" s="33">
        <f>$J968*(1+$K968)^(5-1)*(1-$L968)*(1-$M968)+$O968</f>
        <v/>
      </c>
      <c r="V968" s="33">
        <f>P968+NPV($N968,Q968:U968)</f>
        <v/>
      </c>
      <c r="W968" s="32">
        <f>IFERROR(IRR(P968:U968,0.1),"")</f>
        <v/>
      </c>
    </row>
    <row r="969">
      <c r="A969" s="14" t="n">
        <v>965</v>
      </c>
      <c r="B969" s="30">
        <f>RAND()*(1-2E-6)+1E-6</f>
        <v/>
      </c>
      <c r="C969" s="30">
        <f>RAND()*(1-2E-6)+1E-6</f>
        <v/>
      </c>
      <c r="D969" s="30">
        <f>RAND()*(1-2E-6)+1E-6</f>
        <v/>
      </c>
      <c r="E969" s="30">
        <f>RAND()*(1-2E-6)+1E-6</f>
        <v/>
      </c>
      <c r="F969" s="30">
        <f>RAND()*(1-2E-6)+1E-6</f>
        <v/>
      </c>
      <c r="G969" s="30">
        <f>RAND()*(1-2E-6)+1E-6</f>
        <v/>
      </c>
      <c r="H969" s="30">
        <f>RAND()*(1-2E-6)+1E-6</f>
        <v/>
      </c>
      <c r="I969" s="31">
        <f>MIN(IF(Supuestos!$H$5="",1E+99,Supuestos!$H$5),MAX(IF(Supuestos!$G$5="",-1E+99,Supuestos!$G$5),IF(Supuestos!$C$5="Normal",NORMINV(B969,Supuestos!$D$5,Supuestos!$E$5),IF(Supuestos!$C$5="Triangular",IF(B969&lt;(Supuestos!$E$5-Supuestos!$D$5)/(Supuestos!$F$5-Supuestos!$D$5),Supuestos!$D$5+SQRT(B969*(Supuestos!$F$5-Supuestos!$D$5)*(Supuestos!$E$5-Supuestos!$D$5)),Supuestos!$F$5-SQRT((1-B969)*(Supuestos!$F$5-Supuestos!$D$5)*(Supuestos!$F$5-Supuestos!$E$5))),IF(Supuestos!$C$5="Uniforme",Supuestos!$D$5+B969*(Supuestos!$E$5-Supuestos!$D$5),IF(Supuestos!$C$5="Lognormal",LOGINV(B969,LN(Supuestos!$D$5)-LN(1+Supuestos!$E$5^2/Supuestos!$D$5^2)/2,SQRT(LN(1+Supuestos!$E$5^2/Supuestos!$D$5^2))),Supuestos!$D$5))))))</f>
        <v/>
      </c>
      <c r="J969" s="31">
        <f>MIN(IF(Supuestos!$H$6="",1E+99,Supuestos!$H$6),MAX(IF(Supuestos!$G$6="",-1E+99,Supuestos!$G$6),IF(Supuestos!$C$6="Normal",NORMINV(C969,Supuestos!$D$6,Supuestos!$E$6),IF(Supuestos!$C$6="Triangular",IF(C969&lt;(Supuestos!$E$6-Supuestos!$D$6)/(Supuestos!$F$6-Supuestos!$D$6),Supuestos!$D$6+SQRT(C969*(Supuestos!$F$6-Supuestos!$D$6)*(Supuestos!$E$6-Supuestos!$D$6)),Supuestos!$F$6-SQRT((1-C969)*(Supuestos!$F$6-Supuestos!$D$6)*(Supuestos!$F$6-Supuestos!$E$6))),IF(Supuestos!$C$6="Uniforme",Supuestos!$D$6+C969*(Supuestos!$E$6-Supuestos!$D$6),IF(Supuestos!$C$6="Lognormal",LOGINV(C969,LN(Supuestos!$D$6)-LN(1+Supuestos!$E$6^2/Supuestos!$D$6^2)/2,SQRT(LN(1+Supuestos!$E$6^2/Supuestos!$D$6^2))),Supuestos!$D$6))))))</f>
        <v/>
      </c>
      <c r="K969" s="32">
        <f>MIN(IF(Supuestos!$H$7="",1E+99,Supuestos!$H$7),MAX(IF(Supuestos!$G$7="",-1E+99,Supuestos!$G$7),IF(Supuestos!$C$7="Normal",NORMINV(D969,Supuestos!$D$7,Supuestos!$E$7),IF(Supuestos!$C$7="Triangular",IF(D969&lt;(Supuestos!$E$7-Supuestos!$D$7)/(Supuestos!$F$7-Supuestos!$D$7),Supuestos!$D$7+SQRT(D969*(Supuestos!$F$7-Supuestos!$D$7)*(Supuestos!$E$7-Supuestos!$D$7)),Supuestos!$F$7-SQRT((1-D969)*(Supuestos!$F$7-Supuestos!$D$7)*(Supuestos!$F$7-Supuestos!$E$7))),IF(Supuestos!$C$7="Uniforme",Supuestos!$D$7+D969*(Supuestos!$E$7-Supuestos!$D$7),IF(Supuestos!$C$7="Lognormal",LOGINV(D969,LN(Supuestos!$D$7)-LN(1+Supuestos!$E$7^2/Supuestos!$D$7^2)/2,SQRT(LN(1+Supuestos!$E$7^2/Supuestos!$D$7^2))),Supuestos!$D$7))))))</f>
        <v/>
      </c>
      <c r="L969" s="32">
        <f>MIN(IF(Supuestos!$H$8="",1E+99,Supuestos!$H$8),MAX(IF(Supuestos!$G$8="",-1E+99,Supuestos!$G$8),IF(Supuestos!$C$8="Normal",NORMINV(E969,Supuestos!$D$8,Supuestos!$E$8),IF(Supuestos!$C$8="Triangular",IF(E969&lt;(Supuestos!$E$8-Supuestos!$D$8)/(Supuestos!$F$8-Supuestos!$D$8),Supuestos!$D$8+SQRT(E969*(Supuestos!$F$8-Supuestos!$D$8)*(Supuestos!$E$8-Supuestos!$D$8)),Supuestos!$F$8-SQRT((1-E969)*(Supuestos!$F$8-Supuestos!$D$8)*(Supuestos!$F$8-Supuestos!$E$8))),IF(Supuestos!$C$8="Uniforme",Supuestos!$D$8+E969*(Supuestos!$E$8-Supuestos!$D$8),IF(Supuestos!$C$8="Lognormal",LOGINV(E969,LN(Supuestos!$D$8)-LN(1+Supuestos!$E$8^2/Supuestos!$D$8^2)/2,SQRT(LN(1+Supuestos!$E$8^2/Supuestos!$D$8^2))),Supuestos!$D$8))))))</f>
        <v/>
      </c>
      <c r="M969" s="32">
        <f>MIN(IF(Supuestos!$H$9="",1E+99,Supuestos!$H$9),MAX(IF(Supuestos!$G$9="",-1E+99,Supuestos!$G$9),IF(Supuestos!$C$9="Normal",NORMINV(F969,Supuestos!$D$9,Supuestos!$E$9),IF(Supuestos!$C$9="Triangular",IF(F969&lt;(Supuestos!$E$9-Supuestos!$D$9)/(Supuestos!$F$9-Supuestos!$D$9),Supuestos!$D$9+SQRT(F969*(Supuestos!$F$9-Supuestos!$D$9)*(Supuestos!$E$9-Supuestos!$D$9)),Supuestos!$F$9-SQRT((1-F969)*(Supuestos!$F$9-Supuestos!$D$9)*(Supuestos!$F$9-Supuestos!$E$9))),IF(Supuestos!$C$9="Uniforme",Supuestos!$D$9+F969*(Supuestos!$E$9-Supuestos!$D$9),IF(Supuestos!$C$9="Lognormal",LOGINV(F969,LN(Supuestos!$D$9)-LN(1+Supuestos!$E$9^2/Supuestos!$D$9^2)/2,SQRT(LN(1+Supuestos!$E$9^2/Supuestos!$D$9^2))),Supuestos!$D$9))))))</f>
        <v/>
      </c>
      <c r="N969" s="32">
        <f>MIN(IF(Supuestos!$H$10="",1E+99,Supuestos!$H$10),MAX(IF(Supuestos!$G$10="",-1E+99,Supuestos!$G$10),IF(Supuestos!$C$10="Normal",NORMINV(G969,Supuestos!$D$10,Supuestos!$E$10),IF(Supuestos!$C$10="Triangular",IF(G969&lt;(Supuestos!$E$10-Supuestos!$D$10)/(Supuestos!$F$10-Supuestos!$D$10),Supuestos!$D$10+SQRT(G969*(Supuestos!$F$10-Supuestos!$D$10)*(Supuestos!$E$10-Supuestos!$D$10)),Supuestos!$F$10-SQRT((1-G969)*(Supuestos!$F$10-Supuestos!$D$10)*(Supuestos!$F$10-Supuestos!$E$10))),IF(Supuestos!$C$10="Uniforme",Supuestos!$D$10+G969*(Supuestos!$E$10-Supuestos!$D$10),IF(Supuestos!$C$10="Lognormal",LOGINV(G969,LN(Supuestos!$D$10)-LN(1+Supuestos!$E$10^2/Supuestos!$D$10^2)/2,SQRT(LN(1+Supuestos!$E$10^2/Supuestos!$D$10^2))),Supuestos!$D$10))))))</f>
        <v/>
      </c>
      <c r="O969" s="31">
        <f>MIN(IF(Supuestos!$H$11="",1E+99,Supuestos!$H$11),MAX(IF(Supuestos!$G$11="",-1E+99,Supuestos!$G$11),IF(Supuestos!$C$11="Normal",NORMINV(H969,Supuestos!$D$11,Supuestos!$E$11),IF(Supuestos!$C$11="Triangular",IF(H969&lt;(Supuestos!$E$11-Supuestos!$D$11)/(Supuestos!$F$11-Supuestos!$D$11),Supuestos!$D$11+SQRT(H969*(Supuestos!$F$11-Supuestos!$D$11)*(Supuestos!$E$11-Supuestos!$D$11)),Supuestos!$F$11-SQRT((1-H969)*(Supuestos!$F$11-Supuestos!$D$11)*(Supuestos!$F$11-Supuestos!$E$11))),IF(Supuestos!$C$11="Uniforme",Supuestos!$D$11+H969*(Supuestos!$E$11-Supuestos!$D$11),IF(Supuestos!$C$11="Lognormal",LOGINV(H969,LN(Supuestos!$D$11)-LN(1+Supuestos!$E$11^2/Supuestos!$D$11^2)/2,SQRT(LN(1+Supuestos!$E$11^2/Supuestos!$D$11^2))),Supuestos!$D$11))))))</f>
        <v/>
      </c>
      <c r="P969" s="33">
        <f>-I969</f>
        <v/>
      </c>
      <c r="Q969" s="33">
        <f>$J969*(1+$K969)^(1-1)*(1-$L969)*(1-$M969)</f>
        <v/>
      </c>
      <c r="R969" s="33">
        <f>$J969*(1+$K969)^(2-1)*(1-$L969)*(1-$M969)</f>
        <v/>
      </c>
      <c r="S969" s="33">
        <f>$J969*(1+$K969)^(3-1)*(1-$L969)*(1-$M969)</f>
        <v/>
      </c>
      <c r="T969" s="33">
        <f>$J969*(1+$K969)^(4-1)*(1-$L969)*(1-$M969)</f>
        <v/>
      </c>
      <c r="U969" s="33">
        <f>$J969*(1+$K969)^(5-1)*(1-$L969)*(1-$M969)+$O969</f>
        <v/>
      </c>
      <c r="V969" s="33">
        <f>P969+NPV($N969,Q969:U969)</f>
        <v/>
      </c>
      <c r="W969" s="32">
        <f>IFERROR(IRR(P969:U969,0.1),"")</f>
        <v/>
      </c>
    </row>
    <row r="970">
      <c r="A970" s="14" t="n">
        <v>966</v>
      </c>
      <c r="B970" s="30">
        <f>RAND()*(1-2E-6)+1E-6</f>
        <v/>
      </c>
      <c r="C970" s="30">
        <f>RAND()*(1-2E-6)+1E-6</f>
        <v/>
      </c>
      <c r="D970" s="30">
        <f>RAND()*(1-2E-6)+1E-6</f>
        <v/>
      </c>
      <c r="E970" s="30">
        <f>RAND()*(1-2E-6)+1E-6</f>
        <v/>
      </c>
      <c r="F970" s="30">
        <f>RAND()*(1-2E-6)+1E-6</f>
        <v/>
      </c>
      <c r="G970" s="30">
        <f>RAND()*(1-2E-6)+1E-6</f>
        <v/>
      </c>
      <c r="H970" s="30">
        <f>RAND()*(1-2E-6)+1E-6</f>
        <v/>
      </c>
      <c r="I970" s="31">
        <f>MIN(IF(Supuestos!$H$5="",1E+99,Supuestos!$H$5),MAX(IF(Supuestos!$G$5="",-1E+99,Supuestos!$G$5),IF(Supuestos!$C$5="Normal",NORMINV(B970,Supuestos!$D$5,Supuestos!$E$5),IF(Supuestos!$C$5="Triangular",IF(B970&lt;(Supuestos!$E$5-Supuestos!$D$5)/(Supuestos!$F$5-Supuestos!$D$5),Supuestos!$D$5+SQRT(B970*(Supuestos!$F$5-Supuestos!$D$5)*(Supuestos!$E$5-Supuestos!$D$5)),Supuestos!$F$5-SQRT((1-B970)*(Supuestos!$F$5-Supuestos!$D$5)*(Supuestos!$F$5-Supuestos!$E$5))),IF(Supuestos!$C$5="Uniforme",Supuestos!$D$5+B970*(Supuestos!$E$5-Supuestos!$D$5),IF(Supuestos!$C$5="Lognormal",LOGINV(B970,LN(Supuestos!$D$5)-LN(1+Supuestos!$E$5^2/Supuestos!$D$5^2)/2,SQRT(LN(1+Supuestos!$E$5^2/Supuestos!$D$5^2))),Supuestos!$D$5))))))</f>
        <v/>
      </c>
      <c r="J970" s="31">
        <f>MIN(IF(Supuestos!$H$6="",1E+99,Supuestos!$H$6),MAX(IF(Supuestos!$G$6="",-1E+99,Supuestos!$G$6),IF(Supuestos!$C$6="Normal",NORMINV(C970,Supuestos!$D$6,Supuestos!$E$6),IF(Supuestos!$C$6="Triangular",IF(C970&lt;(Supuestos!$E$6-Supuestos!$D$6)/(Supuestos!$F$6-Supuestos!$D$6),Supuestos!$D$6+SQRT(C970*(Supuestos!$F$6-Supuestos!$D$6)*(Supuestos!$E$6-Supuestos!$D$6)),Supuestos!$F$6-SQRT((1-C970)*(Supuestos!$F$6-Supuestos!$D$6)*(Supuestos!$F$6-Supuestos!$E$6))),IF(Supuestos!$C$6="Uniforme",Supuestos!$D$6+C970*(Supuestos!$E$6-Supuestos!$D$6),IF(Supuestos!$C$6="Lognormal",LOGINV(C970,LN(Supuestos!$D$6)-LN(1+Supuestos!$E$6^2/Supuestos!$D$6^2)/2,SQRT(LN(1+Supuestos!$E$6^2/Supuestos!$D$6^2))),Supuestos!$D$6))))))</f>
        <v/>
      </c>
      <c r="K970" s="32">
        <f>MIN(IF(Supuestos!$H$7="",1E+99,Supuestos!$H$7),MAX(IF(Supuestos!$G$7="",-1E+99,Supuestos!$G$7),IF(Supuestos!$C$7="Normal",NORMINV(D970,Supuestos!$D$7,Supuestos!$E$7),IF(Supuestos!$C$7="Triangular",IF(D970&lt;(Supuestos!$E$7-Supuestos!$D$7)/(Supuestos!$F$7-Supuestos!$D$7),Supuestos!$D$7+SQRT(D970*(Supuestos!$F$7-Supuestos!$D$7)*(Supuestos!$E$7-Supuestos!$D$7)),Supuestos!$F$7-SQRT((1-D970)*(Supuestos!$F$7-Supuestos!$D$7)*(Supuestos!$F$7-Supuestos!$E$7))),IF(Supuestos!$C$7="Uniforme",Supuestos!$D$7+D970*(Supuestos!$E$7-Supuestos!$D$7),IF(Supuestos!$C$7="Lognormal",LOGINV(D970,LN(Supuestos!$D$7)-LN(1+Supuestos!$E$7^2/Supuestos!$D$7^2)/2,SQRT(LN(1+Supuestos!$E$7^2/Supuestos!$D$7^2))),Supuestos!$D$7))))))</f>
        <v/>
      </c>
      <c r="L970" s="32">
        <f>MIN(IF(Supuestos!$H$8="",1E+99,Supuestos!$H$8),MAX(IF(Supuestos!$G$8="",-1E+99,Supuestos!$G$8),IF(Supuestos!$C$8="Normal",NORMINV(E970,Supuestos!$D$8,Supuestos!$E$8),IF(Supuestos!$C$8="Triangular",IF(E970&lt;(Supuestos!$E$8-Supuestos!$D$8)/(Supuestos!$F$8-Supuestos!$D$8),Supuestos!$D$8+SQRT(E970*(Supuestos!$F$8-Supuestos!$D$8)*(Supuestos!$E$8-Supuestos!$D$8)),Supuestos!$F$8-SQRT((1-E970)*(Supuestos!$F$8-Supuestos!$D$8)*(Supuestos!$F$8-Supuestos!$E$8))),IF(Supuestos!$C$8="Uniforme",Supuestos!$D$8+E970*(Supuestos!$E$8-Supuestos!$D$8),IF(Supuestos!$C$8="Lognormal",LOGINV(E970,LN(Supuestos!$D$8)-LN(1+Supuestos!$E$8^2/Supuestos!$D$8^2)/2,SQRT(LN(1+Supuestos!$E$8^2/Supuestos!$D$8^2))),Supuestos!$D$8))))))</f>
        <v/>
      </c>
      <c r="M970" s="32">
        <f>MIN(IF(Supuestos!$H$9="",1E+99,Supuestos!$H$9),MAX(IF(Supuestos!$G$9="",-1E+99,Supuestos!$G$9),IF(Supuestos!$C$9="Normal",NORMINV(F970,Supuestos!$D$9,Supuestos!$E$9),IF(Supuestos!$C$9="Triangular",IF(F970&lt;(Supuestos!$E$9-Supuestos!$D$9)/(Supuestos!$F$9-Supuestos!$D$9),Supuestos!$D$9+SQRT(F970*(Supuestos!$F$9-Supuestos!$D$9)*(Supuestos!$E$9-Supuestos!$D$9)),Supuestos!$F$9-SQRT((1-F970)*(Supuestos!$F$9-Supuestos!$D$9)*(Supuestos!$F$9-Supuestos!$E$9))),IF(Supuestos!$C$9="Uniforme",Supuestos!$D$9+F970*(Supuestos!$E$9-Supuestos!$D$9),IF(Supuestos!$C$9="Lognormal",LOGINV(F970,LN(Supuestos!$D$9)-LN(1+Supuestos!$E$9^2/Supuestos!$D$9^2)/2,SQRT(LN(1+Supuestos!$E$9^2/Supuestos!$D$9^2))),Supuestos!$D$9))))))</f>
        <v/>
      </c>
      <c r="N970" s="32">
        <f>MIN(IF(Supuestos!$H$10="",1E+99,Supuestos!$H$10),MAX(IF(Supuestos!$G$10="",-1E+99,Supuestos!$G$10),IF(Supuestos!$C$10="Normal",NORMINV(G970,Supuestos!$D$10,Supuestos!$E$10),IF(Supuestos!$C$10="Triangular",IF(G970&lt;(Supuestos!$E$10-Supuestos!$D$10)/(Supuestos!$F$10-Supuestos!$D$10),Supuestos!$D$10+SQRT(G970*(Supuestos!$F$10-Supuestos!$D$10)*(Supuestos!$E$10-Supuestos!$D$10)),Supuestos!$F$10-SQRT((1-G970)*(Supuestos!$F$10-Supuestos!$D$10)*(Supuestos!$F$10-Supuestos!$E$10))),IF(Supuestos!$C$10="Uniforme",Supuestos!$D$10+G970*(Supuestos!$E$10-Supuestos!$D$10),IF(Supuestos!$C$10="Lognormal",LOGINV(G970,LN(Supuestos!$D$10)-LN(1+Supuestos!$E$10^2/Supuestos!$D$10^2)/2,SQRT(LN(1+Supuestos!$E$10^2/Supuestos!$D$10^2))),Supuestos!$D$10))))))</f>
        <v/>
      </c>
      <c r="O970" s="31">
        <f>MIN(IF(Supuestos!$H$11="",1E+99,Supuestos!$H$11),MAX(IF(Supuestos!$G$11="",-1E+99,Supuestos!$G$11),IF(Supuestos!$C$11="Normal",NORMINV(H970,Supuestos!$D$11,Supuestos!$E$11),IF(Supuestos!$C$11="Triangular",IF(H970&lt;(Supuestos!$E$11-Supuestos!$D$11)/(Supuestos!$F$11-Supuestos!$D$11),Supuestos!$D$11+SQRT(H970*(Supuestos!$F$11-Supuestos!$D$11)*(Supuestos!$E$11-Supuestos!$D$11)),Supuestos!$F$11-SQRT((1-H970)*(Supuestos!$F$11-Supuestos!$D$11)*(Supuestos!$F$11-Supuestos!$E$11))),IF(Supuestos!$C$11="Uniforme",Supuestos!$D$11+H970*(Supuestos!$E$11-Supuestos!$D$11),IF(Supuestos!$C$11="Lognormal",LOGINV(H970,LN(Supuestos!$D$11)-LN(1+Supuestos!$E$11^2/Supuestos!$D$11^2)/2,SQRT(LN(1+Supuestos!$E$11^2/Supuestos!$D$11^2))),Supuestos!$D$11))))))</f>
        <v/>
      </c>
      <c r="P970" s="33">
        <f>-I970</f>
        <v/>
      </c>
      <c r="Q970" s="33">
        <f>$J970*(1+$K970)^(1-1)*(1-$L970)*(1-$M970)</f>
        <v/>
      </c>
      <c r="R970" s="33">
        <f>$J970*(1+$K970)^(2-1)*(1-$L970)*(1-$M970)</f>
        <v/>
      </c>
      <c r="S970" s="33">
        <f>$J970*(1+$K970)^(3-1)*(1-$L970)*(1-$M970)</f>
        <v/>
      </c>
      <c r="T970" s="33">
        <f>$J970*(1+$K970)^(4-1)*(1-$L970)*(1-$M970)</f>
        <v/>
      </c>
      <c r="U970" s="33">
        <f>$J970*(1+$K970)^(5-1)*(1-$L970)*(1-$M970)+$O970</f>
        <v/>
      </c>
      <c r="V970" s="33">
        <f>P970+NPV($N970,Q970:U970)</f>
        <v/>
      </c>
      <c r="W970" s="32">
        <f>IFERROR(IRR(P970:U970,0.1),"")</f>
        <v/>
      </c>
    </row>
    <row r="971">
      <c r="A971" s="14" t="n">
        <v>967</v>
      </c>
      <c r="B971" s="30">
        <f>RAND()*(1-2E-6)+1E-6</f>
        <v/>
      </c>
      <c r="C971" s="30">
        <f>RAND()*(1-2E-6)+1E-6</f>
        <v/>
      </c>
      <c r="D971" s="30">
        <f>RAND()*(1-2E-6)+1E-6</f>
        <v/>
      </c>
      <c r="E971" s="30">
        <f>RAND()*(1-2E-6)+1E-6</f>
        <v/>
      </c>
      <c r="F971" s="30">
        <f>RAND()*(1-2E-6)+1E-6</f>
        <v/>
      </c>
      <c r="G971" s="30">
        <f>RAND()*(1-2E-6)+1E-6</f>
        <v/>
      </c>
      <c r="H971" s="30">
        <f>RAND()*(1-2E-6)+1E-6</f>
        <v/>
      </c>
      <c r="I971" s="31">
        <f>MIN(IF(Supuestos!$H$5="",1E+99,Supuestos!$H$5),MAX(IF(Supuestos!$G$5="",-1E+99,Supuestos!$G$5),IF(Supuestos!$C$5="Normal",NORMINV(B971,Supuestos!$D$5,Supuestos!$E$5),IF(Supuestos!$C$5="Triangular",IF(B971&lt;(Supuestos!$E$5-Supuestos!$D$5)/(Supuestos!$F$5-Supuestos!$D$5),Supuestos!$D$5+SQRT(B971*(Supuestos!$F$5-Supuestos!$D$5)*(Supuestos!$E$5-Supuestos!$D$5)),Supuestos!$F$5-SQRT((1-B971)*(Supuestos!$F$5-Supuestos!$D$5)*(Supuestos!$F$5-Supuestos!$E$5))),IF(Supuestos!$C$5="Uniforme",Supuestos!$D$5+B971*(Supuestos!$E$5-Supuestos!$D$5),IF(Supuestos!$C$5="Lognormal",LOGINV(B971,LN(Supuestos!$D$5)-LN(1+Supuestos!$E$5^2/Supuestos!$D$5^2)/2,SQRT(LN(1+Supuestos!$E$5^2/Supuestos!$D$5^2))),Supuestos!$D$5))))))</f>
        <v/>
      </c>
      <c r="J971" s="31">
        <f>MIN(IF(Supuestos!$H$6="",1E+99,Supuestos!$H$6),MAX(IF(Supuestos!$G$6="",-1E+99,Supuestos!$G$6),IF(Supuestos!$C$6="Normal",NORMINV(C971,Supuestos!$D$6,Supuestos!$E$6),IF(Supuestos!$C$6="Triangular",IF(C971&lt;(Supuestos!$E$6-Supuestos!$D$6)/(Supuestos!$F$6-Supuestos!$D$6),Supuestos!$D$6+SQRT(C971*(Supuestos!$F$6-Supuestos!$D$6)*(Supuestos!$E$6-Supuestos!$D$6)),Supuestos!$F$6-SQRT((1-C971)*(Supuestos!$F$6-Supuestos!$D$6)*(Supuestos!$F$6-Supuestos!$E$6))),IF(Supuestos!$C$6="Uniforme",Supuestos!$D$6+C971*(Supuestos!$E$6-Supuestos!$D$6),IF(Supuestos!$C$6="Lognormal",LOGINV(C971,LN(Supuestos!$D$6)-LN(1+Supuestos!$E$6^2/Supuestos!$D$6^2)/2,SQRT(LN(1+Supuestos!$E$6^2/Supuestos!$D$6^2))),Supuestos!$D$6))))))</f>
        <v/>
      </c>
      <c r="K971" s="32">
        <f>MIN(IF(Supuestos!$H$7="",1E+99,Supuestos!$H$7),MAX(IF(Supuestos!$G$7="",-1E+99,Supuestos!$G$7),IF(Supuestos!$C$7="Normal",NORMINV(D971,Supuestos!$D$7,Supuestos!$E$7),IF(Supuestos!$C$7="Triangular",IF(D971&lt;(Supuestos!$E$7-Supuestos!$D$7)/(Supuestos!$F$7-Supuestos!$D$7),Supuestos!$D$7+SQRT(D971*(Supuestos!$F$7-Supuestos!$D$7)*(Supuestos!$E$7-Supuestos!$D$7)),Supuestos!$F$7-SQRT((1-D971)*(Supuestos!$F$7-Supuestos!$D$7)*(Supuestos!$F$7-Supuestos!$E$7))),IF(Supuestos!$C$7="Uniforme",Supuestos!$D$7+D971*(Supuestos!$E$7-Supuestos!$D$7),IF(Supuestos!$C$7="Lognormal",LOGINV(D971,LN(Supuestos!$D$7)-LN(1+Supuestos!$E$7^2/Supuestos!$D$7^2)/2,SQRT(LN(1+Supuestos!$E$7^2/Supuestos!$D$7^2))),Supuestos!$D$7))))))</f>
        <v/>
      </c>
      <c r="L971" s="32">
        <f>MIN(IF(Supuestos!$H$8="",1E+99,Supuestos!$H$8),MAX(IF(Supuestos!$G$8="",-1E+99,Supuestos!$G$8),IF(Supuestos!$C$8="Normal",NORMINV(E971,Supuestos!$D$8,Supuestos!$E$8),IF(Supuestos!$C$8="Triangular",IF(E971&lt;(Supuestos!$E$8-Supuestos!$D$8)/(Supuestos!$F$8-Supuestos!$D$8),Supuestos!$D$8+SQRT(E971*(Supuestos!$F$8-Supuestos!$D$8)*(Supuestos!$E$8-Supuestos!$D$8)),Supuestos!$F$8-SQRT((1-E971)*(Supuestos!$F$8-Supuestos!$D$8)*(Supuestos!$F$8-Supuestos!$E$8))),IF(Supuestos!$C$8="Uniforme",Supuestos!$D$8+E971*(Supuestos!$E$8-Supuestos!$D$8),IF(Supuestos!$C$8="Lognormal",LOGINV(E971,LN(Supuestos!$D$8)-LN(1+Supuestos!$E$8^2/Supuestos!$D$8^2)/2,SQRT(LN(1+Supuestos!$E$8^2/Supuestos!$D$8^2))),Supuestos!$D$8))))))</f>
        <v/>
      </c>
      <c r="M971" s="32">
        <f>MIN(IF(Supuestos!$H$9="",1E+99,Supuestos!$H$9),MAX(IF(Supuestos!$G$9="",-1E+99,Supuestos!$G$9),IF(Supuestos!$C$9="Normal",NORMINV(F971,Supuestos!$D$9,Supuestos!$E$9),IF(Supuestos!$C$9="Triangular",IF(F971&lt;(Supuestos!$E$9-Supuestos!$D$9)/(Supuestos!$F$9-Supuestos!$D$9),Supuestos!$D$9+SQRT(F971*(Supuestos!$F$9-Supuestos!$D$9)*(Supuestos!$E$9-Supuestos!$D$9)),Supuestos!$F$9-SQRT((1-F971)*(Supuestos!$F$9-Supuestos!$D$9)*(Supuestos!$F$9-Supuestos!$E$9))),IF(Supuestos!$C$9="Uniforme",Supuestos!$D$9+F971*(Supuestos!$E$9-Supuestos!$D$9),IF(Supuestos!$C$9="Lognormal",LOGINV(F971,LN(Supuestos!$D$9)-LN(1+Supuestos!$E$9^2/Supuestos!$D$9^2)/2,SQRT(LN(1+Supuestos!$E$9^2/Supuestos!$D$9^2))),Supuestos!$D$9))))))</f>
        <v/>
      </c>
      <c r="N971" s="32">
        <f>MIN(IF(Supuestos!$H$10="",1E+99,Supuestos!$H$10),MAX(IF(Supuestos!$G$10="",-1E+99,Supuestos!$G$10),IF(Supuestos!$C$10="Normal",NORMINV(G971,Supuestos!$D$10,Supuestos!$E$10),IF(Supuestos!$C$10="Triangular",IF(G971&lt;(Supuestos!$E$10-Supuestos!$D$10)/(Supuestos!$F$10-Supuestos!$D$10),Supuestos!$D$10+SQRT(G971*(Supuestos!$F$10-Supuestos!$D$10)*(Supuestos!$E$10-Supuestos!$D$10)),Supuestos!$F$10-SQRT((1-G971)*(Supuestos!$F$10-Supuestos!$D$10)*(Supuestos!$F$10-Supuestos!$E$10))),IF(Supuestos!$C$10="Uniforme",Supuestos!$D$10+G971*(Supuestos!$E$10-Supuestos!$D$10),IF(Supuestos!$C$10="Lognormal",LOGINV(G971,LN(Supuestos!$D$10)-LN(1+Supuestos!$E$10^2/Supuestos!$D$10^2)/2,SQRT(LN(1+Supuestos!$E$10^2/Supuestos!$D$10^2))),Supuestos!$D$10))))))</f>
        <v/>
      </c>
      <c r="O971" s="31">
        <f>MIN(IF(Supuestos!$H$11="",1E+99,Supuestos!$H$11),MAX(IF(Supuestos!$G$11="",-1E+99,Supuestos!$G$11),IF(Supuestos!$C$11="Normal",NORMINV(H971,Supuestos!$D$11,Supuestos!$E$11),IF(Supuestos!$C$11="Triangular",IF(H971&lt;(Supuestos!$E$11-Supuestos!$D$11)/(Supuestos!$F$11-Supuestos!$D$11),Supuestos!$D$11+SQRT(H971*(Supuestos!$F$11-Supuestos!$D$11)*(Supuestos!$E$11-Supuestos!$D$11)),Supuestos!$F$11-SQRT((1-H971)*(Supuestos!$F$11-Supuestos!$D$11)*(Supuestos!$F$11-Supuestos!$E$11))),IF(Supuestos!$C$11="Uniforme",Supuestos!$D$11+H971*(Supuestos!$E$11-Supuestos!$D$11),IF(Supuestos!$C$11="Lognormal",LOGINV(H971,LN(Supuestos!$D$11)-LN(1+Supuestos!$E$11^2/Supuestos!$D$11^2)/2,SQRT(LN(1+Supuestos!$E$11^2/Supuestos!$D$11^2))),Supuestos!$D$11))))))</f>
        <v/>
      </c>
      <c r="P971" s="33">
        <f>-I971</f>
        <v/>
      </c>
      <c r="Q971" s="33">
        <f>$J971*(1+$K971)^(1-1)*(1-$L971)*(1-$M971)</f>
        <v/>
      </c>
      <c r="R971" s="33">
        <f>$J971*(1+$K971)^(2-1)*(1-$L971)*(1-$M971)</f>
        <v/>
      </c>
      <c r="S971" s="33">
        <f>$J971*(1+$K971)^(3-1)*(1-$L971)*(1-$M971)</f>
        <v/>
      </c>
      <c r="T971" s="33">
        <f>$J971*(1+$K971)^(4-1)*(1-$L971)*(1-$M971)</f>
        <v/>
      </c>
      <c r="U971" s="33">
        <f>$J971*(1+$K971)^(5-1)*(1-$L971)*(1-$M971)+$O971</f>
        <v/>
      </c>
      <c r="V971" s="33">
        <f>P971+NPV($N971,Q971:U971)</f>
        <v/>
      </c>
      <c r="W971" s="32">
        <f>IFERROR(IRR(P971:U971,0.1),"")</f>
        <v/>
      </c>
    </row>
    <row r="972">
      <c r="A972" s="14" t="n">
        <v>968</v>
      </c>
      <c r="B972" s="30">
        <f>RAND()*(1-2E-6)+1E-6</f>
        <v/>
      </c>
      <c r="C972" s="30">
        <f>RAND()*(1-2E-6)+1E-6</f>
        <v/>
      </c>
      <c r="D972" s="30">
        <f>RAND()*(1-2E-6)+1E-6</f>
        <v/>
      </c>
      <c r="E972" s="30">
        <f>RAND()*(1-2E-6)+1E-6</f>
        <v/>
      </c>
      <c r="F972" s="30">
        <f>RAND()*(1-2E-6)+1E-6</f>
        <v/>
      </c>
      <c r="G972" s="30">
        <f>RAND()*(1-2E-6)+1E-6</f>
        <v/>
      </c>
      <c r="H972" s="30">
        <f>RAND()*(1-2E-6)+1E-6</f>
        <v/>
      </c>
      <c r="I972" s="31">
        <f>MIN(IF(Supuestos!$H$5="",1E+99,Supuestos!$H$5),MAX(IF(Supuestos!$G$5="",-1E+99,Supuestos!$G$5),IF(Supuestos!$C$5="Normal",NORMINV(B972,Supuestos!$D$5,Supuestos!$E$5),IF(Supuestos!$C$5="Triangular",IF(B972&lt;(Supuestos!$E$5-Supuestos!$D$5)/(Supuestos!$F$5-Supuestos!$D$5),Supuestos!$D$5+SQRT(B972*(Supuestos!$F$5-Supuestos!$D$5)*(Supuestos!$E$5-Supuestos!$D$5)),Supuestos!$F$5-SQRT((1-B972)*(Supuestos!$F$5-Supuestos!$D$5)*(Supuestos!$F$5-Supuestos!$E$5))),IF(Supuestos!$C$5="Uniforme",Supuestos!$D$5+B972*(Supuestos!$E$5-Supuestos!$D$5),IF(Supuestos!$C$5="Lognormal",LOGINV(B972,LN(Supuestos!$D$5)-LN(1+Supuestos!$E$5^2/Supuestos!$D$5^2)/2,SQRT(LN(1+Supuestos!$E$5^2/Supuestos!$D$5^2))),Supuestos!$D$5))))))</f>
        <v/>
      </c>
      <c r="J972" s="31">
        <f>MIN(IF(Supuestos!$H$6="",1E+99,Supuestos!$H$6),MAX(IF(Supuestos!$G$6="",-1E+99,Supuestos!$G$6),IF(Supuestos!$C$6="Normal",NORMINV(C972,Supuestos!$D$6,Supuestos!$E$6),IF(Supuestos!$C$6="Triangular",IF(C972&lt;(Supuestos!$E$6-Supuestos!$D$6)/(Supuestos!$F$6-Supuestos!$D$6),Supuestos!$D$6+SQRT(C972*(Supuestos!$F$6-Supuestos!$D$6)*(Supuestos!$E$6-Supuestos!$D$6)),Supuestos!$F$6-SQRT((1-C972)*(Supuestos!$F$6-Supuestos!$D$6)*(Supuestos!$F$6-Supuestos!$E$6))),IF(Supuestos!$C$6="Uniforme",Supuestos!$D$6+C972*(Supuestos!$E$6-Supuestos!$D$6),IF(Supuestos!$C$6="Lognormal",LOGINV(C972,LN(Supuestos!$D$6)-LN(1+Supuestos!$E$6^2/Supuestos!$D$6^2)/2,SQRT(LN(1+Supuestos!$E$6^2/Supuestos!$D$6^2))),Supuestos!$D$6))))))</f>
        <v/>
      </c>
      <c r="K972" s="32">
        <f>MIN(IF(Supuestos!$H$7="",1E+99,Supuestos!$H$7),MAX(IF(Supuestos!$G$7="",-1E+99,Supuestos!$G$7),IF(Supuestos!$C$7="Normal",NORMINV(D972,Supuestos!$D$7,Supuestos!$E$7),IF(Supuestos!$C$7="Triangular",IF(D972&lt;(Supuestos!$E$7-Supuestos!$D$7)/(Supuestos!$F$7-Supuestos!$D$7),Supuestos!$D$7+SQRT(D972*(Supuestos!$F$7-Supuestos!$D$7)*(Supuestos!$E$7-Supuestos!$D$7)),Supuestos!$F$7-SQRT((1-D972)*(Supuestos!$F$7-Supuestos!$D$7)*(Supuestos!$F$7-Supuestos!$E$7))),IF(Supuestos!$C$7="Uniforme",Supuestos!$D$7+D972*(Supuestos!$E$7-Supuestos!$D$7),IF(Supuestos!$C$7="Lognormal",LOGINV(D972,LN(Supuestos!$D$7)-LN(1+Supuestos!$E$7^2/Supuestos!$D$7^2)/2,SQRT(LN(1+Supuestos!$E$7^2/Supuestos!$D$7^2))),Supuestos!$D$7))))))</f>
        <v/>
      </c>
      <c r="L972" s="32">
        <f>MIN(IF(Supuestos!$H$8="",1E+99,Supuestos!$H$8),MAX(IF(Supuestos!$G$8="",-1E+99,Supuestos!$G$8),IF(Supuestos!$C$8="Normal",NORMINV(E972,Supuestos!$D$8,Supuestos!$E$8),IF(Supuestos!$C$8="Triangular",IF(E972&lt;(Supuestos!$E$8-Supuestos!$D$8)/(Supuestos!$F$8-Supuestos!$D$8),Supuestos!$D$8+SQRT(E972*(Supuestos!$F$8-Supuestos!$D$8)*(Supuestos!$E$8-Supuestos!$D$8)),Supuestos!$F$8-SQRT((1-E972)*(Supuestos!$F$8-Supuestos!$D$8)*(Supuestos!$F$8-Supuestos!$E$8))),IF(Supuestos!$C$8="Uniforme",Supuestos!$D$8+E972*(Supuestos!$E$8-Supuestos!$D$8),IF(Supuestos!$C$8="Lognormal",LOGINV(E972,LN(Supuestos!$D$8)-LN(1+Supuestos!$E$8^2/Supuestos!$D$8^2)/2,SQRT(LN(1+Supuestos!$E$8^2/Supuestos!$D$8^2))),Supuestos!$D$8))))))</f>
        <v/>
      </c>
      <c r="M972" s="32">
        <f>MIN(IF(Supuestos!$H$9="",1E+99,Supuestos!$H$9),MAX(IF(Supuestos!$G$9="",-1E+99,Supuestos!$G$9),IF(Supuestos!$C$9="Normal",NORMINV(F972,Supuestos!$D$9,Supuestos!$E$9),IF(Supuestos!$C$9="Triangular",IF(F972&lt;(Supuestos!$E$9-Supuestos!$D$9)/(Supuestos!$F$9-Supuestos!$D$9),Supuestos!$D$9+SQRT(F972*(Supuestos!$F$9-Supuestos!$D$9)*(Supuestos!$E$9-Supuestos!$D$9)),Supuestos!$F$9-SQRT((1-F972)*(Supuestos!$F$9-Supuestos!$D$9)*(Supuestos!$F$9-Supuestos!$E$9))),IF(Supuestos!$C$9="Uniforme",Supuestos!$D$9+F972*(Supuestos!$E$9-Supuestos!$D$9),IF(Supuestos!$C$9="Lognormal",LOGINV(F972,LN(Supuestos!$D$9)-LN(1+Supuestos!$E$9^2/Supuestos!$D$9^2)/2,SQRT(LN(1+Supuestos!$E$9^2/Supuestos!$D$9^2))),Supuestos!$D$9))))))</f>
        <v/>
      </c>
      <c r="N972" s="32">
        <f>MIN(IF(Supuestos!$H$10="",1E+99,Supuestos!$H$10),MAX(IF(Supuestos!$G$10="",-1E+99,Supuestos!$G$10),IF(Supuestos!$C$10="Normal",NORMINV(G972,Supuestos!$D$10,Supuestos!$E$10),IF(Supuestos!$C$10="Triangular",IF(G972&lt;(Supuestos!$E$10-Supuestos!$D$10)/(Supuestos!$F$10-Supuestos!$D$10),Supuestos!$D$10+SQRT(G972*(Supuestos!$F$10-Supuestos!$D$10)*(Supuestos!$E$10-Supuestos!$D$10)),Supuestos!$F$10-SQRT((1-G972)*(Supuestos!$F$10-Supuestos!$D$10)*(Supuestos!$F$10-Supuestos!$E$10))),IF(Supuestos!$C$10="Uniforme",Supuestos!$D$10+G972*(Supuestos!$E$10-Supuestos!$D$10),IF(Supuestos!$C$10="Lognormal",LOGINV(G972,LN(Supuestos!$D$10)-LN(1+Supuestos!$E$10^2/Supuestos!$D$10^2)/2,SQRT(LN(1+Supuestos!$E$10^2/Supuestos!$D$10^2))),Supuestos!$D$10))))))</f>
        <v/>
      </c>
      <c r="O972" s="31">
        <f>MIN(IF(Supuestos!$H$11="",1E+99,Supuestos!$H$11),MAX(IF(Supuestos!$G$11="",-1E+99,Supuestos!$G$11),IF(Supuestos!$C$11="Normal",NORMINV(H972,Supuestos!$D$11,Supuestos!$E$11),IF(Supuestos!$C$11="Triangular",IF(H972&lt;(Supuestos!$E$11-Supuestos!$D$11)/(Supuestos!$F$11-Supuestos!$D$11),Supuestos!$D$11+SQRT(H972*(Supuestos!$F$11-Supuestos!$D$11)*(Supuestos!$E$11-Supuestos!$D$11)),Supuestos!$F$11-SQRT((1-H972)*(Supuestos!$F$11-Supuestos!$D$11)*(Supuestos!$F$11-Supuestos!$E$11))),IF(Supuestos!$C$11="Uniforme",Supuestos!$D$11+H972*(Supuestos!$E$11-Supuestos!$D$11),IF(Supuestos!$C$11="Lognormal",LOGINV(H972,LN(Supuestos!$D$11)-LN(1+Supuestos!$E$11^2/Supuestos!$D$11^2)/2,SQRT(LN(1+Supuestos!$E$11^2/Supuestos!$D$11^2))),Supuestos!$D$11))))))</f>
        <v/>
      </c>
      <c r="P972" s="33">
        <f>-I972</f>
        <v/>
      </c>
      <c r="Q972" s="33">
        <f>$J972*(1+$K972)^(1-1)*(1-$L972)*(1-$M972)</f>
        <v/>
      </c>
      <c r="R972" s="33">
        <f>$J972*(1+$K972)^(2-1)*(1-$L972)*(1-$M972)</f>
        <v/>
      </c>
      <c r="S972" s="33">
        <f>$J972*(1+$K972)^(3-1)*(1-$L972)*(1-$M972)</f>
        <v/>
      </c>
      <c r="T972" s="33">
        <f>$J972*(1+$K972)^(4-1)*(1-$L972)*(1-$M972)</f>
        <v/>
      </c>
      <c r="U972" s="33">
        <f>$J972*(1+$K972)^(5-1)*(1-$L972)*(1-$M972)+$O972</f>
        <v/>
      </c>
      <c r="V972" s="33">
        <f>P972+NPV($N972,Q972:U972)</f>
        <v/>
      </c>
      <c r="W972" s="32">
        <f>IFERROR(IRR(P972:U972,0.1),"")</f>
        <v/>
      </c>
    </row>
    <row r="973">
      <c r="A973" s="14" t="n">
        <v>969</v>
      </c>
      <c r="B973" s="30">
        <f>RAND()*(1-2E-6)+1E-6</f>
        <v/>
      </c>
      <c r="C973" s="30">
        <f>RAND()*(1-2E-6)+1E-6</f>
        <v/>
      </c>
      <c r="D973" s="30">
        <f>RAND()*(1-2E-6)+1E-6</f>
        <v/>
      </c>
      <c r="E973" s="30">
        <f>RAND()*(1-2E-6)+1E-6</f>
        <v/>
      </c>
      <c r="F973" s="30">
        <f>RAND()*(1-2E-6)+1E-6</f>
        <v/>
      </c>
      <c r="G973" s="30">
        <f>RAND()*(1-2E-6)+1E-6</f>
        <v/>
      </c>
      <c r="H973" s="30">
        <f>RAND()*(1-2E-6)+1E-6</f>
        <v/>
      </c>
      <c r="I973" s="31">
        <f>MIN(IF(Supuestos!$H$5="",1E+99,Supuestos!$H$5),MAX(IF(Supuestos!$G$5="",-1E+99,Supuestos!$G$5),IF(Supuestos!$C$5="Normal",NORMINV(B973,Supuestos!$D$5,Supuestos!$E$5),IF(Supuestos!$C$5="Triangular",IF(B973&lt;(Supuestos!$E$5-Supuestos!$D$5)/(Supuestos!$F$5-Supuestos!$D$5),Supuestos!$D$5+SQRT(B973*(Supuestos!$F$5-Supuestos!$D$5)*(Supuestos!$E$5-Supuestos!$D$5)),Supuestos!$F$5-SQRT((1-B973)*(Supuestos!$F$5-Supuestos!$D$5)*(Supuestos!$F$5-Supuestos!$E$5))),IF(Supuestos!$C$5="Uniforme",Supuestos!$D$5+B973*(Supuestos!$E$5-Supuestos!$D$5),IF(Supuestos!$C$5="Lognormal",LOGINV(B973,LN(Supuestos!$D$5)-LN(1+Supuestos!$E$5^2/Supuestos!$D$5^2)/2,SQRT(LN(1+Supuestos!$E$5^2/Supuestos!$D$5^2))),Supuestos!$D$5))))))</f>
        <v/>
      </c>
      <c r="J973" s="31">
        <f>MIN(IF(Supuestos!$H$6="",1E+99,Supuestos!$H$6),MAX(IF(Supuestos!$G$6="",-1E+99,Supuestos!$G$6),IF(Supuestos!$C$6="Normal",NORMINV(C973,Supuestos!$D$6,Supuestos!$E$6),IF(Supuestos!$C$6="Triangular",IF(C973&lt;(Supuestos!$E$6-Supuestos!$D$6)/(Supuestos!$F$6-Supuestos!$D$6),Supuestos!$D$6+SQRT(C973*(Supuestos!$F$6-Supuestos!$D$6)*(Supuestos!$E$6-Supuestos!$D$6)),Supuestos!$F$6-SQRT((1-C973)*(Supuestos!$F$6-Supuestos!$D$6)*(Supuestos!$F$6-Supuestos!$E$6))),IF(Supuestos!$C$6="Uniforme",Supuestos!$D$6+C973*(Supuestos!$E$6-Supuestos!$D$6),IF(Supuestos!$C$6="Lognormal",LOGINV(C973,LN(Supuestos!$D$6)-LN(1+Supuestos!$E$6^2/Supuestos!$D$6^2)/2,SQRT(LN(1+Supuestos!$E$6^2/Supuestos!$D$6^2))),Supuestos!$D$6))))))</f>
        <v/>
      </c>
      <c r="K973" s="32">
        <f>MIN(IF(Supuestos!$H$7="",1E+99,Supuestos!$H$7),MAX(IF(Supuestos!$G$7="",-1E+99,Supuestos!$G$7),IF(Supuestos!$C$7="Normal",NORMINV(D973,Supuestos!$D$7,Supuestos!$E$7),IF(Supuestos!$C$7="Triangular",IF(D973&lt;(Supuestos!$E$7-Supuestos!$D$7)/(Supuestos!$F$7-Supuestos!$D$7),Supuestos!$D$7+SQRT(D973*(Supuestos!$F$7-Supuestos!$D$7)*(Supuestos!$E$7-Supuestos!$D$7)),Supuestos!$F$7-SQRT((1-D973)*(Supuestos!$F$7-Supuestos!$D$7)*(Supuestos!$F$7-Supuestos!$E$7))),IF(Supuestos!$C$7="Uniforme",Supuestos!$D$7+D973*(Supuestos!$E$7-Supuestos!$D$7),IF(Supuestos!$C$7="Lognormal",LOGINV(D973,LN(Supuestos!$D$7)-LN(1+Supuestos!$E$7^2/Supuestos!$D$7^2)/2,SQRT(LN(1+Supuestos!$E$7^2/Supuestos!$D$7^2))),Supuestos!$D$7))))))</f>
        <v/>
      </c>
      <c r="L973" s="32">
        <f>MIN(IF(Supuestos!$H$8="",1E+99,Supuestos!$H$8),MAX(IF(Supuestos!$G$8="",-1E+99,Supuestos!$G$8),IF(Supuestos!$C$8="Normal",NORMINV(E973,Supuestos!$D$8,Supuestos!$E$8),IF(Supuestos!$C$8="Triangular",IF(E973&lt;(Supuestos!$E$8-Supuestos!$D$8)/(Supuestos!$F$8-Supuestos!$D$8),Supuestos!$D$8+SQRT(E973*(Supuestos!$F$8-Supuestos!$D$8)*(Supuestos!$E$8-Supuestos!$D$8)),Supuestos!$F$8-SQRT((1-E973)*(Supuestos!$F$8-Supuestos!$D$8)*(Supuestos!$F$8-Supuestos!$E$8))),IF(Supuestos!$C$8="Uniforme",Supuestos!$D$8+E973*(Supuestos!$E$8-Supuestos!$D$8),IF(Supuestos!$C$8="Lognormal",LOGINV(E973,LN(Supuestos!$D$8)-LN(1+Supuestos!$E$8^2/Supuestos!$D$8^2)/2,SQRT(LN(1+Supuestos!$E$8^2/Supuestos!$D$8^2))),Supuestos!$D$8))))))</f>
        <v/>
      </c>
      <c r="M973" s="32">
        <f>MIN(IF(Supuestos!$H$9="",1E+99,Supuestos!$H$9),MAX(IF(Supuestos!$G$9="",-1E+99,Supuestos!$G$9),IF(Supuestos!$C$9="Normal",NORMINV(F973,Supuestos!$D$9,Supuestos!$E$9),IF(Supuestos!$C$9="Triangular",IF(F973&lt;(Supuestos!$E$9-Supuestos!$D$9)/(Supuestos!$F$9-Supuestos!$D$9),Supuestos!$D$9+SQRT(F973*(Supuestos!$F$9-Supuestos!$D$9)*(Supuestos!$E$9-Supuestos!$D$9)),Supuestos!$F$9-SQRT((1-F973)*(Supuestos!$F$9-Supuestos!$D$9)*(Supuestos!$F$9-Supuestos!$E$9))),IF(Supuestos!$C$9="Uniforme",Supuestos!$D$9+F973*(Supuestos!$E$9-Supuestos!$D$9),IF(Supuestos!$C$9="Lognormal",LOGINV(F973,LN(Supuestos!$D$9)-LN(1+Supuestos!$E$9^2/Supuestos!$D$9^2)/2,SQRT(LN(1+Supuestos!$E$9^2/Supuestos!$D$9^2))),Supuestos!$D$9))))))</f>
        <v/>
      </c>
      <c r="N973" s="32">
        <f>MIN(IF(Supuestos!$H$10="",1E+99,Supuestos!$H$10),MAX(IF(Supuestos!$G$10="",-1E+99,Supuestos!$G$10),IF(Supuestos!$C$10="Normal",NORMINV(G973,Supuestos!$D$10,Supuestos!$E$10),IF(Supuestos!$C$10="Triangular",IF(G973&lt;(Supuestos!$E$10-Supuestos!$D$10)/(Supuestos!$F$10-Supuestos!$D$10),Supuestos!$D$10+SQRT(G973*(Supuestos!$F$10-Supuestos!$D$10)*(Supuestos!$E$10-Supuestos!$D$10)),Supuestos!$F$10-SQRT((1-G973)*(Supuestos!$F$10-Supuestos!$D$10)*(Supuestos!$F$10-Supuestos!$E$10))),IF(Supuestos!$C$10="Uniforme",Supuestos!$D$10+G973*(Supuestos!$E$10-Supuestos!$D$10),IF(Supuestos!$C$10="Lognormal",LOGINV(G973,LN(Supuestos!$D$10)-LN(1+Supuestos!$E$10^2/Supuestos!$D$10^2)/2,SQRT(LN(1+Supuestos!$E$10^2/Supuestos!$D$10^2))),Supuestos!$D$10))))))</f>
        <v/>
      </c>
      <c r="O973" s="31">
        <f>MIN(IF(Supuestos!$H$11="",1E+99,Supuestos!$H$11),MAX(IF(Supuestos!$G$11="",-1E+99,Supuestos!$G$11),IF(Supuestos!$C$11="Normal",NORMINV(H973,Supuestos!$D$11,Supuestos!$E$11),IF(Supuestos!$C$11="Triangular",IF(H973&lt;(Supuestos!$E$11-Supuestos!$D$11)/(Supuestos!$F$11-Supuestos!$D$11),Supuestos!$D$11+SQRT(H973*(Supuestos!$F$11-Supuestos!$D$11)*(Supuestos!$E$11-Supuestos!$D$11)),Supuestos!$F$11-SQRT((1-H973)*(Supuestos!$F$11-Supuestos!$D$11)*(Supuestos!$F$11-Supuestos!$E$11))),IF(Supuestos!$C$11="Uniforme",Supuestos!$D$11+H973*(Supuestos!$E$11-Supuestos!$D$11),IF(Supuestos!$C$11="Lognormal",LOGINV(H973,LN(Supuestos!$D$11)-LN(1+Supuestos!$E$11^2/Supuestos!$D$11^2)/2,SQRT(LN(1+Supuestos!$E$11^2/Supuestos!$D$11^2))),Supuestos!$D$11))))))</f>
        <v/>
      </c>
      <c r="P973" s="33">
        <f>-I973</f>
        <v/>
      </c>
      <c r="Q973" s="33">
        <f>$J973*(1+$K973)^(1-1)*(1-$L973)*(1-$M973)</f>
        <v/>
      </c>
      <c r="R973" s="33">
        <f>$J973*(1+$K973)^(2-1)*(1-$L973)*(1-$M973)</f>
        <v/>
      </c>
      <c r="S973" s="33">
        <f>$J973*(1+$K973)^(3-1)*(1-$L973)*(1-$M973)</f>
        <v/>
      </c>
      <c r="T973" s="33">
        <f>$J973*(1+$K973)^(4-1)*(1-$L973)*(1-$M973)</f>
        <v/>
      </c>
      <c r="U973" s="33">
        <f>$J973*(1+$K973)^(5-1)*(1-$L973)*(1-$M973)+$O973</f>
        <v/>
      </c>
      <c r="V973" s="33">
        <f>P973+NPV($N973,Q973:U973)</f>
        <v/>
      </c>
      <c r="W973" s="32">
        <f>IFERROR(IRR(P973:U973,0.1),"")</f>
        <v/>
      </c>
    </row>
    <row r="974">
      <c r="A974" s="14" t="n">
        <v>970</v>
      </c>
      <c r="B974" s="30">
        <f>RAND()*(1-2E-6)+1E-6</f>
        <v/>
      </c>
      <c r="C974" s="30">
        <f>RAND()*(1-2E-6)+1E-6</f>
        <v/>
      </c>
      <c r="D974" s="30">
        <f>RAND()*(1-2E-6)+1E-6</f>
        <v/>
      </c>
      <c r="E974" s="30">
        <f>RAND()*(1-2E-6)+1E-6</f>
        <v/>
      </c>
      <c r="F974" s="30">
        <f>RAND()*(1-2E-6)+1E-6</f>
        <v/>
      </c>
      <c r="G974" s="30">
        <f>RAND()*(1-2E-6)+1E-6</f>
        <v/>
      </c>
      <c r="H974" s="30">
        <f>RAND()*(1-2E-6)+1E-6</f>
        <v/>
      </c>
      <c r="I974" s="31">
        <f>MIN(IF(Supuestos!$H$5="",1E+99,Supuestos!$H$5),MAX(IF(Supuestos!$G$5="",-1E+99,Supuestos!$G$5),IF(Supuestos!$C$5="Normal",NORMINV(B974,Supuestos!$D$5,Supuestos!$E$5),IF(Supuestos!$C$5="Triangular",IF(B974&lt;(Supuestos!$E$5-Supuestos!$D$5)/(Supuestos!$F$5-Supuestos!$D$5),Supuestos!$D$5+SQRT(B974*(Supuestos!$F$5-Supuestos!$D$5)*(Supuestos!$E$5-Supuestos!$D$5)),Supuestos!$F$5-SQRT((1-B974)*(Supuestos!$F$5-Supuestos!$D$5)*(Supuestos!$F$5-Supuestos!$E$5))),IF(Supuestos!$C$5="Uniforme",Supuestos!$D$5+B974*(Supuestos!$E$5-Supuestos!$D$5),IF(Supuestos!$C$5="Lognormal",LOGINV(B974,LN(Supuestos!$D$5)-LN(1+Supuestos!$E$5^2/Supuestos!$D$5^2)/2,SQRT(LN(1+Supuestos!$E$5^2/Supuestos!$D$5^2))),Supuestos!$D$5))))))</f>
        <v/>
      </c>
      <c r="J974" s="31">
        <f>MIN(IF(Supuestos!$H$6="",1E+99,Supuestos!$H$6),MAX(IF(Supuestos!$G$6="",-1E+99,Supuestos!$G$6),IF(Supuestos!$C$6="Normal",NORMINV(C974,Supuestos!$D$6,Supuestos!$E$6),IF(Supuestos!$C$6="Triangular",IF(C974&lt;(Supuestos!$E$6-Supuestos!$D$6)/(Supuestos!$F$6-Supuestos!$D$6),Supuestos!$D$6+SQRT(C974*(Supuestos!$F$6-Supuestos!$D$6)*(Supuestos!$E$6-Supuestos!$D$6)),Supuestos!$F$6-SQRT((1-C974)*(Supuestos!$F$6-Supuestos!$D$6)*(Supuestos!$F$6-Supuestos!$E$6))),IF(Supuestos!$C$6="Uniforme",Supuestos!$D$6+C974*(Supuestos!$E$6-Supuestos!$D$6),IF(Supuestos!$C$6="Lognormal",LOGINV(C974,LN(Supuestos!$D$6)-LN(1+Supuestos!$E$6^2/Supuestos!$D$6^2)/2,SQRT(LN(1+Supuestos!$E$6^2/Supuestos!$D$6^2))),Supuestos!$D$6))))))</f>
        <v/>
      </c>
      <c r="K974" s="32">
        <f>MIN(IF(Supuestos!$H$7="",1E+99,Supuestos!$H$7),MAX(IF(Supuestos!$G$7="",-1E+99,Supuestos!$G$7),IF(Supuestos!$C$7="Normal",NORMINV(D974,Supuestos!$D$7,Supuestos!$E$7),IF(Supuestos!$C$7="Triangular",IF(D974&lt;(Supuestos!$E$7-Supuestos!$D$7)/(Supuestos!$F$7-Supuestos!$D$7),Supuestos!$D$7+SQRT(D974*(Supuestos!$F$7-Supuestos!$D$7)*(Supuestos!$E$7-Supuestos!$D$7)),Supuestos!$F$7-SQRT((1-D974)*(Supuestos!$F$7-Supuestos!$D$7)*(Supuestos!$F$7-Supuestos!$E$7))),IF(Supuestos!$C$7="Uniforme",Supuestos!$D$7+D974*(Supuestos!$E$7-Supuestos!$D$7),IF(Supuestos!$C$7="Lognormal",LOGINV(D974,LN(Supuestos!$D$7)-LN(1+Supuestos!$E$7^2/Supuestos!$D$7^2)/2,SQRT(LN(1+Supuestos!$E$7^2/Supuestos!$D$7^2))),Supuestos!$D$7))))))</f>
        <v/>
      </c>
      <c r="L974" s="32">
        <f>MIN(IF(Supuestos!$H$8="",1E+99,Supuestos!$H$8),MAX(IF(Supuestos!$G$8="",-1E+99,Supuestos!$G$8),IF(Supuestos!$C$8="Normal",NORMINV(E974,Supuestos!$D$8,Supuestos!$E$8),IF(Supuestos!$C$8="Triangular",IF(E974&lt;(Supuestos!$E$8-Supuestos!$D$8)/(Supuestos!$F$8-Supuestos!$D$8),Supuestos!$D$8+SQRT(E974*(Supuestos!$F$8-Supuestos!$D$8)*(Supuestos!$E$8-Supuestos!$D$8)),Supuestos!$F$8-SQRT((1-E974)*(Supuestos!$F$8-Supuestos!$D$8)*(Supuestos!$F$8-Supuestos!$E$8))),IF(Supuestos!$C$8="Uniforme",Supuestos!$D$8+E974*(Supuestos!$E$8-Supuestos!$D$8),IF(Supuestos!$C$8="Lognormal",LOGINV(E974,LN(Supuestos!$D$8)-LN(1+Supuestos!$E$8^2/Supuestos!$D$8^2)/2,SQRT(LN(1+Supuestos!$E$8^2/Supuestos!$D$8^2))),Supuestos!$D$8))))))</f>
        <v/>
      </c>
      <c r="M974" s="32">
        <f>MIN(IF(Supuestos!$H$9="",1E+99,Supuestos!$H$9),MAX(IF(Supuestos!$G$9="",-1E+99,Supuestos!$G$9),IF(Supuestos!$C$9="Normal",NORMINV(F974,Supuestos!$D$9,Supuestos!$E$9),IF(Supuestos!$C$9="Triangular",IF(F974&lt;(Supuestos!$E$9-Supuestos!$D$9)/(Supuestos!$F$9-Supuestos!$D$9),Supuestos!$D$9+SQRT(F974*(Supuestos!$F$9-Supuestos!$D$9)*(Supuestos!$E$9-Supuestos!$D$9)),Supuestos!$F$9-SQRT((1-F974)*(Supuestos!$F$9-Supuestos!$D$9)*(Supuestos!$F$9-Supuestos!$E$9))),IF(Supuestos!$C$9="Uniforme",Supuestos!$D$9+F974*(Supuestos!$E$9-Supuestos!$D$9),IF(Supuestos!$C$9="Lognormal",LOGINV(F974,LN(Supuestos!$D$9)-LN(1+Supuestos!$E$9^2/Supuestos!$D$9^2)/2,SQRT(LN(1+Supuestos!$E$9^2/Supuestos!$D$9^2))),Supuestos!$D$9))))))</f>
        <v/>
      </c>
      <c r="N974" s="32">
        <f>MIN(IF(Supuestos!$H$10="",1E+99,Supuestos!$H$10),MAX(IF(Supuestos!$G$10="",-1E+99,Supuestos!$G$10),IF(Supuestos!$C$10="Normal",NORMINV(G974,Supuestos!$D$10,Supuestos!$E$10),IF(Supuestos!$C$10="Triangular",IF(G974&lt;(Supuestos!$E$10-Supuestos!$D$10)/(Supuestos!$F$10-Supuestos!$D$10),Supuestos!$D$10+SQRT(G974*(Supuestos!$F$10-Supuestos!$D$10)*(Supuestos!$E$10-Supuestos!$D$10)),Supuestos!$F$10-SQRT((1-G974)*(Supuestos!$F$10-Supuestos!$D$10)*(Supuestos!$F$10-Supuestos!$E$10))),IF(Supuestos!$C$10="Uniforme",Supuestos!$D$10+G974*(Supuestos!$E$10-Supuestos!$D$10),IF(Supuestos!$C$10="Lognormal",LOGINV(G974,LN(Supuestos!$D$10)-LN(1+Supuestos!$E$10^2/Supuestos!$D$10^2)/2,SQRT(LN(1+Supuestos!$E$10^2/Supuestos!$D$10^2))),Supuestos!$D$10))))))</f>
        <v/>
      </c>
      <c r="O974" s="31">
        <f>MIN(IF(Supuestos!$H$11="",1E+99,Supuestos!$H$11),MAX(IF(Supuestos!$G$11="",-1E+99,Supuestos!$G$11),IF(Supuestos!$C$11="Normal",NORMINV(H974,Supuestos!$D$11,Supuestos!$E$11),IF(Supuestos!$C$11="Triangular",IF(H974&lt;(Supuestos!$E$11-Supuestos!$D$11)/(Supuestos!$F$11-Supuestos!$D$11),Supuestos!$D$11+SQRT(H974*(Supuestos!$F$11-Supuestos!$D$11)*(Supuestos!$E$11-Supuestos!$D$11)),Supuestos!$F$11-SQRT((1-H974)*(Supuestos!$F$11-Supuestos!$D$11)*(Supuestos!$F$11-Supuestos!$E$11))),IF(Supuestos!$C$11="Uniforme",Supuestos!$D$11+H974*(Supuestos!$E$11-Supuestos!$D$11),IF(Supuestos!$C$11="Lognormal",LOGINV(H974,LN(Supuestos!$D$11)-LN(1+Supuestos!$E$11^2/Supuestos!$D$11^2)/2,SQRT(LN(1+Supuestos!$E$11^2/Supuestos!$D$11^2))),Supuestos!$D$11))))))</f>
        <v/>
      </c>
      <c r="P974" s="33">
        <f>-I974</f>
        <v/>
      </c>
      <c r="Q974" s="33">
        <f>$J974*(1+$K974)^(1-1)*(1-$L974)*(1-$M974)</f>
        <v/>
      </c>
      <c r="R974" s="33">
        <f>$J974*(1+$K974)^(2-1)*(1-$L974)*(1-$M974)</f>
        <v/>
      </c>
      <c r="S974" s="33">
        <f>$J974*(1+$K974)^(3-1)*(1-$L974)*(1-$M974)</f>
        <v/>
      </c>
      <c r="T974" s="33">
        <f>$J974*(1+$K974)^(4-1)*(1-$L974)*(1-$M974)</f>
        <v/>
      </c>
      <c r="U974" s="33">
        <f>$J974*(1+$K974)^(5-1)*(1-$L974)*(1-$M974)+$O974</f>
        <v/>
      </c>
      <c r="V974" s="33">
        <f>P974+NPV($N974,Q974:U974)</f>
        <v/>
      </c>
      <c r="W974" s="32">
        <f>IFERROR(IRR(P974:U974,0.1),"")</f>
        <v/>
      </c>
    </row>
    <row r="975">
      <c r="A975" s="14" t="n">
        <v>971</v>
      </c>
      <c r="B975" s="30">
        <f>RAND()*(1-2E-6)+1E-6</f>
        <v/>
      </c>
      <c r="C975" s="30">
        <f>RAND()*(1-2E-6)+1E-6</f>
        <v/>
      </c>
      <c r="D975" s="30">
        <f>RAND()*(1-2E-6)+1E-6</f>
        <v/>
      </c>
      <c r="E975" s="30">
        <f>RAND()*(1-2E-6)+1E-6</f>
        <v/>
      </c>
      <c r="F975" s="30">
        <f>RAND()*(1-2E-6)+1E-6</f>
        <v/>
      </c>
      <c r="G975" s="30">
        <f>RAND()*(1-2E-6)+1E-6</f>
        <v/>
      </c>
      <c r="H975" s="30">
        <f>RAND()*(1-2E-6)+1E-6</f>
        <v/>
      </c>
      <c r="I975" s="31">
        <f>MIN(IF(Supuestos!$H$5="",1E+99,Supuestos!$H$5),MAX(IF(Supuestos!$G$5="",-1E+99,Supuestos!$G$5),IF(Supuestos!$C$5="Normal",NORMINV(B975,Supuestos!$D$5,Supuestos!$E$5),IF(Supuestos!$C$5="Triangular",IF(B975&lt;(Supuestos!$E$5-Supuestos!$D$5)/(Supuestos!$F$5-Supuestos!$D$5),Supuestos!$D$5+SQRT(B975*(Supuestos!$F$5-Supuestos!$D$5)*(Supuestos!$E$5-Supuestos!$D$5)),Supuestos!$F$5-SQRT((1-B975)*(Supuestos!$F$5-Supuestos!$D$5)*(Supuestos!$F$5-Supuestos!$E$5))),IF(Supuestos!$C$5="Uniforme",Supuestos!$D$5+B975*(Supuestos!$E$5-Supuestos!$D$5),IF(Supuestos!$C$5="Lognormal",LOGINV(B975,LN(Supuestos!$D$5)-LN(1+Supuestos!$E$5^2/Supuestos!$D$5^2)/2,SQRT(LN(1+Supuestos!$E$5^2/Supuestos!$D$5^2))),Supuestos!$D$5))))))</f>
        <v/>
      </c>
      <c r="J975" s="31">
        <f>MIN(IF(Supuestos!$H$6="",1E+99,Supuestos!$H$6),MAX(IF(Supuestos!$G$6="",-1E+99,Supuestos!$G$6),IF(Supuestos!$C$6="Normal",NORMINV(C975,Supuestos!$D$6,Supuestos!$E$6),IF(Supuestos!$C$6="Triangular",IF(C975&lt;(Supuestos!$E$6-Supuestos!$D$6)/(Supuestos!$F$6-Supuestos!$D$6),Supuestos!$D$6+SQRT(C975*(Supuestos!$F$6-Supuestos!$D$6)*(Supuestos!$E$6-Supuestos!$D$6)),Supuestos!$F$6-SQRT((1-C975)*(Supuestos!$F$6-Supuestos!$D$6)*(Supuestos!$F$6-Supuestos!$E$6))),IF(Supuestos!$C$6="Uniforme",Supuestos!$D$6+C975*(Supuestos!$E$6-Supuestos!$D$6),IF(Supuestos!$C$6="Lognormal",LOGINV(C975,LN(Supuestos!$D$6)-LN(1+Supuestos!$E$6^2/Supuestos!$D$6^2)/2,SQRT(LN(1+Supuestos!$E$6^2/Supuestos!$D$6^2))),Supuestos!$D$6))))))</f>
        <v/>
      </c>
      <c r="K975" s="32">
        <f>MIN(IF(Supuestos!$H$7="",1E+99,Supuestos!$H$7),MAX(IF(Supuestos!$G$7="",-1E+99,Supuestos!$G$7),IF(Supuestos!$C$7="Normal",NORMINV(D975,Supuestos!$D$7,Supuestos!$E$7),IF(Supuestos!$C$7="Triangular",IF(D975&lt;(Supuestos!$E$7-Supuestos!$D$7)/(Supuestos!$F$7-Supuestos!$D$7),Supuestos!$D$7+SQRT(D975*(Supuestos!$F$7-Supuestos!$D$7)*(Supuestos!$E$7-Supuestos!$D$7)),Supuestos!$F$7-SQRT((1-D975)*(Supuestos!$F$7-Supuestos!$D$7)*(Supuestos!$F$7-Supuestos!$E$7))),IF(Supuestos!$C$7="Uniforme",Supuestos!$D$7+D975*(Supuestos!$E$7-Supuestos!$D$7),IF(Supuestos!$C$7="Lognormal",LOGINV(D975,LN(Supuestos!$D$7)-LN(1+Supuestos!$E$7^2/Supuestos!$D$7^2)/2,SQRT(LN(1+Supuestos!$E$7^2/Supuestos!$D$7^2))),Supuestos!$D$7))))))</f>
        <v/>
      </c>
      <c r="L975" s="32">
        <f>MIN(IF(Supuestos!$H$8="",1E+99,Supuestos!$H$8),MAX(IF(Supuestos!$G$8="",-1E+99,Supuestos!$G$8),IF(Supuestos!$C$8="Normal",NORMINV(E975,Supuestos!$D$8,Supuestos!$E$8),IF(Supuestos!$C$8="Triangular",IF(E975&lt;(Supuestos!$E$8-Supuestos!$D$8)/(Supuestos!$F$8-Supuestos!$D$8),Supuestos!$D$8+SQRT(E975*(Supuestos!$F$8-Supuestos!$D$8)*(Supuestos!$E$8-Supuestos!$D$8)),Supuestos!$F$8-SQRT((1-E975)*(Supuestos!$F$8-Supuestos!$D$8)*(Supuestos!$F$8-Supuestos!$E$8))),IF(Supuestos!$C$8="Uniforme",Supuestos!$D$8+E975*(Supuestos!$E$8-Supuestos!$D$8),IF(Supuestos!$C$8="Lognormal",LOGINV(E975,LN(Supuestos!$D$8)-LN(1+Supuestos!$E$8^2/Supuestos!$D$8^2)/2,SQRT(LN(1+Supuestos!$E$8^2/Supuestos!$D$8^2))),Supuestos!$D$8))))))</f>
        <v/>
      </c>
      <c r="M975" s="32">
        <f>MIN(IF(Supuestos!$H$9="",1E+99,Supuestos!$H$9),MAX(IF(Supuestos!$G$9="",-1E+99,Supuestos!$G$9),IF(Supuestos!$C$9="Normal",NORMINV(F975,Supuestos!$D$9,Supuestos!$E$9),IF(Supuestos!$C$9="Triangular",IF(F975&lt;(Supuestos!$E$9-Supuestos!$D$9)/(Supuestos!$F$9-Supuestos!$D$9),Supuestos!$D$9+SQRT(F975*(Supuestos!$F$9-Supuestos!$D$9)*(Supuestos!$E$9-Supuestos!$D$9)),Supuestos!$F$9-SQRT((1-F975)*(Supuestos!$F$9-Supuestos!$D$9)*(Supuestos!$F$9-Supuestos!$E$9))),IF(Supuestos!$C$9="Uniforme",Supuestos!$D$9+F975*(Supuestos!$E$9-Supuestos!$D$9),IF(Supuestos!$C$9="Lognormal",LOGINV(F975,LN(Supuestos!$D$9)-LN(1+Supuestos!$E$9^2/Supuestos!$D$9^2)/2,SQRT(LN(1+Supuestos!$E$9^2/Supuestos!$D$9^2))),Supuestos!$D$9))))))</f>
        <v/>
      </c>
      <c r="N975" s="32">
        <f>MIN(IF(Supuestos!$H$10="",1E+99,Supuestos!$H$10),MAX(IF(Supuestos!$G$10="",-1E+99,Supuestos!$G$10),IF(Supuestos!$C$10="Normal",NORMINV(G975,Supuestos!$D$10,Supuestos!$E$10),IF(Supuestos!$C$10="Triangular",IF(G975&lt;(Supuestos!$E$10-Supuestos!$D$10)/(Supuestos!$F$10-Supuestos!$D$10),Supuestos!$D$10+SQRT(G975*(Supuestos!$F$10-Supuestos!$D$10)*(Supuestos!$E$10-Supuestos!$D$10)),Supuestos!$F$10-SQRT((1-G975)*(Supuestos!$F$10-Supuestos!$D$10)*(Supuestos!$F$10-Supuestos!$E$10))),IF(Supuestos!$C$10="Uniforme",Supuestos!$D$10+G975*(Supuestos!$E$10-Supuestos!$D$10),IF(Supuestos!$C$10="Lognormal",LOGINV(G975,LN(Supuestos!$D$10)-LN(1+Supuestos!$E$10^2/Supuestos!$D$10^2)/2,SQRT(LN(1+Supuestos!$E$10^2/Supuestos!$D$10^2))),Supuestos!$D$10))))))</f>
        <v/>
      </c>
      <c r="O975" s="31">
        <f>MIN(IF(Supuestos!$H$11="",1E+99,Supuestos!$H$11),MAX(IF(Supuestos!$G$11="",-1E+99,Supuestos!$G$11),IF(Supuestos!$C$11="Normal",NORMINV(H975,Supuestos!$D$11,Supuestos!$E$11),IF(Supuestos!$C$11="Triangular",IF(H975&lt;(Supuestos!$E$11-Supuestos!$D$11)/(Supuestos!$F$11-Supuestos!$D$11),Supuestos!$D$11+SQRT(H975*(Supuestos!$F$11-Supuestos!$D$11)*(Supuestos!$E$11-Supuestos!$D$11)),Supuestos!$F$11-SQRT((1-H975)*(Supuestos!$F$11-Supuestos!$D$11)*(Supuestos!$F$11-Supuestos!$E$11))),IF(Supuestos!$C$11="Uniforme",Supuestos!$D$11+H975*(Supuestos!$E$11-Supuestos!$D$11),IF(Supuestos!$C$11="Lognormal",LOGINV(H975,LN(Supuestos!$D$11)-LN(1+Supuestos!$E$11^2/Supuestos!$D$11^2)/2,SQRT(LN(1+Supuestos!$E$11^2/Supuestos!$D$11^2))),Supuestos!$D$11))))))</f>
        <v/>
      </c>
      <c r="P975" s="33">
        <f>-I975</f>
        <v/>
      </c>
      <c r="Q975" s="33">
        <f>$J975*(1+$K975)^(1-1)*(1-$L975)*(1-$M975)</f>
        <v/>
      </c>
      <c r="R975" s="33">
        <f>$J975*(1+$K975)^(2-1)*(1-$L975)*(1-$M975)</f>
        <v/>
      </c>
      <c r="S975" s="33">
        <f>$J975*(1+$K975)^(3-1)*(1-$L975)*(1-$M975)</f>
        <v/>
      </c>
      <c r="T975" s="33">
        <f>$J975*(1+$K975)^(4-1)*(1-$L975)*(1-$M975)</f>
        <v/>
      </c>
      <c r="U975" s="33">
        <f>$J975*(1+$K975)^(5-1)*(1-$L975)*(1-$M975)+$O975</f>
        <v/>
      </c>
      <c r="V975" s="33">
        <f>P975+NPV($N975,Q975:U975)</f>
        <v/>
      </c>
      <c r="W975" s="32">
        <f>IFERROR(IRR(P975:U975,0.1),"")</f>
        <v/>
      </c>
    </row>
    <row r="976">
      <c r="A976" s="14" t="n">
        <v>972</v>
      </c>
      <c r="B976" s="30">
        <f>RAND()*(1-2E-6)+1E-6</f>
        <v/>
      </c>
      <c r="C976" s="30">
        <f>RAND()*(1-2E-6)+1E-6</f>
        <v/>
      </c>
      <c r="D976" s="30">
        <f>RAND()*(1-2E-6)+1E-6</f>
        <v/>
      </c>
      <c r="E976" s="30">
        <f>RAND()*(1-2E-6)+1E-6</f>
        <v/>
      </c>
      <c r="F976" s="30">
        <f>RAND()*(1-2E-6)+1E-6</f>
        <v/>
      </c>
      <c r="G976" s="30">
        <f>RAND()*(1-2E-6)+1E-6</f>
        <v/>
      </c>
      <c r="H976" s="30">
        <f>RAND()*(1-2E-6)+1E-6</f>
        <v/>
      </c>
      <c r="I976" s="31">
        <f>MIN(IF(Supuestos!$H$5="",1E+99,Supuestos!$H$5),MAX(IF(Supuestos!$G$5="",-1E+99,Supuestos!$G$5),IF(Supuestos!$C$5="Normal",NORMINV(B976,Supuestos!$D$5,Supuestos!$E$5),IF(Supuestos!$C$5="Triangular",IF(B976&lt;(Supuestos!$E$5-Supuestos!$D$5)/(Supuestos!$F$5-Supuestos!$D$5),Supuestos!$D$5+SQRT(B976*(Supuestos!$F$5-Supuestos!$D$5)*(Supuestos!$E$5-Supuestos!$D$5)),Supuestos!$F$5-SQRT((1-B976)*(Supuestos!$F$5-Supuestos!$D$5)*(Supuestos!$F$5-Supuestos!$E$5))),IF(Supuestos!$C$5="Uniforme",Supuestos!$D$5+B976*(Supuestos!$E$5-Supuestos!$D$5),IF(Supuestos!$C$5="Lognormal",LOGINV(B976,LN(Supuestos!$D$5)-LN(1+Supuestos!$E$5^2/Supuestos!$D$5^2)/2,SQRT(LN(1+Supuestos!$E$5^2/Supuestos!$D$5^2))),Supuestos!$D$5))))))</f>
        <v/>
      </c>
      <c r="J976" s="31">
        <f>MIN(IF(Supuestos!$H$6="",1E+99,Supuestos!$H$6),MAX(IF(Supuestos!$G$6="",-1E+99,Supuestos!$G$6),IF(Supuestos!$C$6="Normal",NORMINV(C976,Supuestos!$D$6,Supuestos!$E$6),IF(Supuestos!$C$6="Triangular",IF(C976&lt;(Supuestos!$E$6-Supuestos!$D$6)/(Supuestos!$F$6-Supuestos!$D$6),Supuestos!$D$6+SQRT(C976*(Supuestos!$F$6-Supuestos!$D$6)*(Supuestos!$E$6-Supuestos!$D$6)),Supuestos!$F$6-SQRT((1-C976)*(Supuestos!$F$6-Supuestos!$D$6)*(Supuestos!$F$6-Supuestos!$E$6))),IF(Supuestos!$C$6="Uniforme",Supuestos!$D$6+C976*(Supuestos!$E$6-Supuestos!$D$6),IF(Supuestos!$C$6="Lognormal",LOGINV(C976,LN(Supuestos!$D$6)-LN(1+Supuestos!$E$6^2/Supuestos!$D$6^2)/2,SQRT(LN(1+Supuestos!$E$6^2/Supuestos!$D$6^2))),Supuestos!$D$6))))))</f>
        <v/>
      </c>
      <c r="K976" s="32">
        <f>MIN(IF(Supuestos!$H$7="",1E+99,Supuestos!$H$7),MAX(IF(Supuestos!$G$7="",-1E+99,Supuestos!$G$7),IF(Supuestos!$C$7="Normal",NORMINV(D976,Supuestos!$D$7,Supuestos!$E$7),IF(Supuestos!$C$7="Triangular",IF(D976&lt;(Supuestos!$E$7-Supuestos!$D$7)/(Supuestos!$F$7-Supuestos!$D$7),Supuestos!$D$7+SQRT(D976*(Supuestos!$F$7-Supuestos!$D$7)*(Supuestos!$E$7-Supuestos!$D$7)),Supuestos!$F$7-SQRT((1-D976)*(Supuestos!$F$7-Supuestos!$D$7)*(Supuestos!$F$7-Supuestos!$E$7))),IF(Supuestos!$C$7="Uniforme",Supuestos!$D$7+D976*(Supuestos!$E$7-Supuestos!$D$7),IF(Supuestos!$C$7="Lognormal",LOGINV(D976,LN(Supuestos!$D$7)-LN(1+Supuestos!$E$7^2/Supuestos!$D$7^2)/2,SQRT(LN(1+Supuestos!$E$7^2/Supuestos!$D$7^2))),Supuestos!$D$7))))))</f>
        <v/>
      </c>
      <c r="L976" s="32">
        <f>MIN(IF(Supuestos!$H$8="",1E+99,Supuestos!$H$8),MAX(IF(Supuestos!$G$8="",-1E+99,Supuestos!$G$8),IF(Supuestos!$C$8="Normal",NORMINV(E976,Supuestos!$D$8,Supuestos!$E$8),IF(Supuestos!$C$8="Triangular",IF(E976&lt;(Supuestos!$E$8-Supuestos!$D$8)/(Supuestos!$F$8-Supuestos!$D$8),Supuestos!$D$8+SQRT(E976*(Supuestos!$F$8-Supuestos!$D$8)*(Supuestos!$E$8-Supuestos!$D$8)),Supuestos!$F$8-SQRT((1-E976)*(Supuestos!$F$8-Supuestos!$D$8)*(Supuestos!$F$8-Supuestos!$E$8))),IF(Supuestos!$C$8="Uniforme",Supuestos!$D$8+E976*(Supuestos!$E$8-Supuestos!$D$8),IF(Supuestos!$C$8="Lognormal",LOGINV(E976,LN(Supuestos!$D$8)-LN(1+Supuestos!$E$8^2/Supuestos!$D$8^2)/2,SQRT(LN(1+Supuestos!$E$8^2/Supuestos!$D$8^2))),Supuestos!$D$8))))))</f>
        <v/>
      </c>
      <c r="M976" s="32">
        <f>MIN(IF(Supuestos!$H$9="",1E+99,Supuestos!$H$9),MAX(IF(Supuestos!$G$9="",-1E+99,Supuestos!$G$9),IF(Supuestos!$C$9="Normal",NORMINV(F976,Supuestos!$D$9,Supuestos!$E$9),IF(Supuestos!$C$9="Triangular",IF(F976&lt;(Supuestos!$E$9-Supuestos!$D$9)/(Supuestos!$F$9-Supuestos!$D$9),Supuestos!$D$9+SQRT(F976*(Supuestos!$F$9-Supuestos!$D$9)*(Supuestos!$E$9-Supuestos!$D$9)),Supuestos!$F$9-SQRT((1-F976)*(Supuestos!$F$9-Supuestos!$D$9)*(Supuestos!$F$9-Supuestos!$E$9))),IF(Supuestos!$C$9="Uniforme",Supuestos!$D$9+F976*(Supuestos!$E$9-Supuestos!$D$9),IF(Supuestos!$C$9="Lognormal",LOGINV(F976,LN(Supuestos!$D$9)-LN(1+Supuestos!$E$9^2/Supuestos!$D$9^2)/2,SQRT(LN(1+Supuestos!$E$9^2/Supuestos!$D$9^2))),Supuestos!$D$9))))))</f>
        <v/>
      </c>
      <c r="N976" s="32">
        <f>MIN(IF(Supuestos!$H$10="",1E+99,Supuestos!$H$10),MAX(IF(Supuestos!$G$10="",-1E+99,Supuestos!$G$10),IF(Supuestos!$C$10="Normal",NORMINV(G976,Supuestos!$D$10,Supuestos!$E$10),IF(Supuestos!$C$10="Triangular",IF(G976&lt;(Supuestos!$E$10-Supuestos!$D$10)/(Supuestos!$F$10-Supuestos!$D$10),Supuestos!$D$10+SQRT(G976*(Supuestos!$F$10-Supuestos!$D$10)*(Supuestos!$E$10-Supuestos!$D$10)),Supuestos!$F$10-SQRT((1-G976)*(Supuestos!$F$10-Supuestos!$D$10)*(Supuestos!$F$10-Supuestos!$E$10))),IF(Supuestos!$C$10="Uniforme",Supuestos!$D$10+G976*(Supuestos!$E$10-Supuestos!$D$10),IF(Supuestos!$C$10="Lognormal",LOGINV(G976,LN(Supuestos!$D$10)-LN(1+Supuestos!$E$10^2/Supuestos!$D$10^2)/2,SQRT(LN(1+Supuestos!$E$10^2/Supuestos!$D$10^2))),Supuestos!$D$10))))))</f>
        <v/>
      </c>
      <c r="O976" s="31">
        <f>MIN(IF(Supuestos!$H$11="",1E+99,Supuestos!$H$11),MAX(IF(Supuestos!$G$11="",-1E+99,Supuestos!$G$11),IF(Supuestos!$C$11="Normal",NORMINV(H976,Supuestos!$D$11,Supuestos!$E$11),IF(Supuestos!$C$11="Triangular",IF(H976&lt;(Supuestos!$E$11-Supuestos!$D$11)/(Supuestos!$F$11-Supuestos!$D$11),Supuestos!$D$11+SQRT(H976*(Supuestos!$F$11-Supuestos!$D$11)*(Supuestos!$E$11-Supuestos!$D$11)),Supuestos!$F$11-SQRT((1-H976)*(Supuestos!$F$11-Supuestos!$D$11)*(Supuestos!$F$11-Supuestos!$E$11))),IF(Supuestos!$C$11="Uniforme",Supuestos!$D$11+H976*(Supuestos!$E$11-Supuestos!$D$11),IF(Supuestos!$C$11="Lognormal",LOGINV(H976,LN(Supuestos!$D$11)-LN(1+Supuestos!$E$11^2/Supuestos!$D$11^2)/2,SQRT(LN(1+Supuestos!$E$11^2/Supuestos!$D$11^2))),Supuestos!$D$11))))))</f>
        <v/>
      </c>
      <c r="P976" s="33">
        <f>-I976</f>
        <v/>
      </c>
      <c r="Q976" s="33">
        <f>$J976*(1+$K976)^(1-1)*(1-$L976)*(1-$M976)</f>
        <v/>
      </c>
      <c r="R976" s="33">
        <f>$J976*(1+$K976)^(2-1)*(1-$L976)*(1-$M976)</f>
        <v/>
      </c>
      <c r="S976" s="33">
        <f>$J976*(1+$K976)^(3-1)*(1-$L976)*(1-$M976)</f>
        <v/>
      </c>
      <c r="T976" s="33">
        <f>$J976*(1+$K976)^(4-1)*(1-$L976)*(1-$M976)</f>
        <v/>
      </c>
      <c r="U976" s="33">
        <f>$J976*(1+$K976)^(5-1)*(1-$L976)*(1-$M976)+$O976</f>
        <v/>
      </c>
      <c r="V976" s="33">
        <f>P976+NPV($N976,Q976:U976)</f>
        <v/>
      </c>
      <c r="W976" s="32">
        <f>IFERROR(IRR(P976:U976,0.1),"")</f>
        <v/>
      </c>
    </row>
    <row r="977">
      <c r="A977" s="14" t="n">
        <v>973</v>
      </c>
      <c r="B977" s="30">
        <f>RAND()*(1-2E-6)+1E-6</f>
        <v/>
      </c>
      <c r="C977" s="30">
        <f>RAND()*(1-2E-6)+1E-6</f>
        <v/>
      </c>
      <c r="D977" s="30">
        <f>RAND()*(1-2E-6)+1E-6</f>
        <v/>
      </c>
      <c r="E977" s="30">
        <f>RAND()*(1-2E-6)+1E-6</f>
        <v/>
      </c>
      <c r="F977" s="30">
        <f>RAND()*(1-2E-6)+1E-6</f>
        <v/>
      </c>
      <c r="G977" s="30">
        <f>RAND()*(1-2E-6)+1E-6</f>
        <v/>
      </c>
      <c r="H977" s="30">
        <f>RAND()*(1-2E-6)+1E-6</f>
        <v/>
      </c>
      <c r="I977" s="31">
        <f>MIN(IF(Supuestos!$H$5="",1E+99,Supuestos!$H$5),MAX(IF(Supuestos!$G$5="",-1E+99,Supuestos!$G$5),IF(Supuestos!$C$5="Normal",NORMINV(B977,Supuestos!$D$5,Supuestos!$E$5),IF(Supuestos!$C$5="Triangular",IF(B977&lt;(Supuestos!$E$5-Supuestos!$D$5)/(Supuestos!$F$5-Supuestos!$D$5),Supuestos!$D$5+SQRT(B977*(Supuestos!$F$5-Supuestos!$D$5)*(Supuestos!$E$5-Supuestos!$D$5)),Supuestos!$F$5-SQRT((1-B977)*(Supuestos!$F$5-Supuestos!$D$5)*(Supuestos!$F$5-Supuestos!$E$5))),IF(Supuestos!$C$5="Uniforme",Supuestos!$D$5+B977*(Supuestos!$E$5-Supuestos!$D$5),IF(Supuestos!$C$5="Lognormal",LOGINV(B977,LN(Supuestos!$D$5)-LN(1+Supuestos!$E$5^2/Supuestos!$D$5^2)/2,SQRT(LN(1+Supuestos!$E$5^2/Supuestos!$D$5^2))),Supuestos!$D$5))))))</f>
        <v/>
      </c>
      <c r="J977" s="31">
        <f>MIN(IF(Supuestos!$H$6="",1E+99,Supuestos!$H$6),MAX(IF(Supuestos!$G$6="",-1E+99,Supuestos!$G$6),IF(Supuestos!$C$6="Normal",NORMINV(C977,Supuestos!$D$6,Supuestos!$E$6),IF(Supuestos!$C$6="Triangular",IF(C977&lt;(Supuestos!$E$6-Supuestos!$D$6)/(Supuestos!$F$6-Supuestos!$D$6),Supuestos!$D$6+SQRT(C977*(Supuestos!$F$6-Supuestos!$D$6)*(Supuestos!$E$6-Supuestos!$D$6)),Supuestos!$F$6-SQRT((1-C977)*(Supuestos!$F$6-Supuestos!$D$6)*(Supuestos!$F$6-Supuestos!$E$6))),IF(Supuestos!$C$6="Uniforme",Supuestos!$D$6+C977*(Supuestos!$E$6-Supuestos!$D$6),IF(Supuestos!$C$6="Lognormal",LOGINV(C977,LN(Supuestos!$D$6)-LN(1+Supuestos!$E$6^2/Supuestos!$D$6^2)/2,SQRT(LN(1+Supuestos!$E$6^2/Supuestos!$D$6^2))),Supuestos!$D$6))))))</f>
        <v/>
      </c>
      <c r="K977" s="32">
        <f>MIN(IF(Supuestos!$H$7="",1E+99,Supuestos!$H$7),MAX(IF(Supuestos!$G$7="",-1E+99,Supuestos!$G$7),IF(Supuestos!$C$7="Normal",NORMINV(D977,Supuestos!$D$7,Supuestos!$E$7),IF(Supuestos!$C$7="Triangular",IF(D977&lt;(Supuestos!$E$7-Supuestos!$D$7)/(Supuestos!$F$7-Supuestos!$D$7),Supuestos!$D$7+SQRT(D977*(Supuestos!$F$7-Supuestos!$D$7)*(Supuestos!$E$7-Supuestos!$D$7)),Supuestos!$F$7-SQRT((1-D977)*(Supuestos!$F$7-Supuestos!$D$7)*(Supuestos!$F$7-Supuestos!$E$7))),IF(Supuestos!$C$7="Uniforme",Supuestos!$D$7+D977*(Supuestos!$E$7-Supuestos!$D$7),IF(Supuestos!$C$7="Lognormal",LOGINV(D977,LN(Supuestos!$D$7)-LN(1+Supuestos!$E$7^2/Supuestos!$D$7^2)/2,SQRT(LN(1+Supuestos!$E$7^2/Supuestos!$D$7^2))),Supuestos!$D$7))))))</f>
        <v/>
      </c>
      <c r="L977" s="32">
        <f>MIN(IF(Supuestos!$H$8="",1E+99,Supuestos!$H$8),MAX(IF(Supuestos!$G$8="",-1E+99,Supuestos!$G$8),IF(Supuestos!$C$8="Normal",NORMINV(E977,Supuestos!$D$8,Supuestos!$E$8),IF(Supuestos!$C$8="Triangular",IF(E977&lt;(Supuestos!$E$8-Supuestos!$D$8)/(Supuestos!$F$8-Supuestos!$D$8),Supuestos!$D$8+SQRT(E977*(Supuestos!$F$8-Supuestos!$D$8)*(Supuestos!$E$8-Supuestos!$D$8)),Supuestos!$F$8-SQRT((1-E977)*(Supuestos!$F$8-Supuestos!$D$8)*(Supuestos!$F$8-Supuestos!$E$8))),IF(Supuestos!$C$8="Uniforme",Supuestos!$D$8+E977*(Supuestos!$E$8-Supuestos!$D$8),IF(Supuestos!$C$8="Lognormal",LOGINV(E977,LN(Supuestos!$D$8)-LN(1+Supuestos!$E$8^2/Supuestos!$D$8^2)/2,SQRT(LN(1+Supuestos!$E$8^2/Supuestos!$D$8^2))),Supuestos!$D$8))))))</f>
        <v/>
      </c>
      <c r="M977" s="32">
        <f>MIN(IF(Supuestos!$H$9="",1E+99,Supuestos!$H$9),MAX(IF(Supuestos!$G$9="",-1E+99,Supuestos!$G$9),IF(Supuestos!$C$9="Normal",NORMINV(F977,Supuestos!$D$9,Supuestos!$E$9),IF(Supuestos!$C$9="Triangular",IF(F977&lt;(Supuestos!$E$9-Supuestos!$D$9)/(Supuestos!$F$9-Supuestos!$D$9),Supuestos!$D$9+SQRT(F977*(Supuestos!$F$9-Supuestos!$D$9)*(Supuestos!$E$9-Supuestos!$D$9)),Supuestos!$F$9-SQRT((1-F977)*(Supuestos!$F$9-Supuestos!$D$9)*(Supuestos!$F$9-Supuestos!$E$9))),IF(Supuestos!$C$9="Uniforme",Supuestos!$D$9+F977*(Supuestos!$E$9-Supuestos!$D$9),IF(Supuestos!$C$9="Lognormal",LOGINV(F977,LN(Supuestos!$D$9)-LN(1+Supuestos!$E$9^2/Supuestos!$D$9^2)/2,SQRT(LN(1+Supuestos!$E$9^2/Supuestos!$D$9^2))),Supuestos!$D$9))))))</f>
        <v/>
      </c>
      <c r="N977" s="32">
        <f>MIN(IF(Supuestos!$H$10="",1E+99,Supuestos!$H$10),MAX(IF(Supuestos!$G$10="",-1E+99,Supuestos!$G$10),IF(Supuestos!$C$10="Normal",NORMINV(G977,Supuestos!$D$10,Supuestos!$E$10),IF(Supuestos!$C$10="Triangular",IF(G977&lt;(Supuestos!$E$10-Supuestos!$D$10)/(Supuestos!$F$10-Supuestos!$D$10),Supuestos!$D$10+SQRT(G977*(Supuestos!$F$10-Supuestos!$D$10)*(Supuestos!$E$10-Supuestos!$D$10)),Supuestos!$F$10-SQRT((1-G977)*(Supuestos!$F$10-Supuestos!$D$10)*(Supuestos!$F$10-Supuestos!$E$10))),IF(Supuestos!$C$10="Uniforme",Supuestos!$D$10+G977*(Supuestos!$E$10-Supuestos!$D$10),IF(Supuestos!$C$10="Lognormal",LOGINV(G977,LN(Supuestos!$D$10)-LN(1+Supuestos!$E$10^2/Supuestos!$D$10^2)/2,SQRT(LN(1+Supuestos!$E$10^2/Supuestos!$D$10^2))),Supuestos!$D$10))))))</f>
        <v/>
      </c>
      <c r="O977" s="31">
        <f>MIN(IF(Supuestos!$H$11="",1E+99,Supuestos!$H$11),MAX(IF(Supuestos!$G$11="",-1E+99,Supuestos!$G$11),IF(Supuestos!$C$11="Normal",NORMINV(H977,Supuestos!$D$11,Supuestos!$E$11),IF(Supuestos!$C$11="Triangular",IF(H977&lt;(Supuestos!$E$11-Supuestos!$D$11)/(Supuestos!$F$11-Supuestos!$D$11),Supuestos!$D$11+SQRT(H977*(Supuestos!$F$11-Supuestos!$D$11)*(Supuestos!$E$11-Supuestos!$D$11)),Supuestos!$F$11-SQRT((1-H977)*(Supuestos!$F$11-Supuestos!$D$11)*(Supuestos!$F$11-Supuestos!$E$11))),IF(Supuestos!$C$11="Uniforme",Supuestos!$D$11+H977*(Supuestos!$E$11-Supuestos!$D$11),IF(Supuestos!$C$11="Lognormal",LOGINV(H977,LN(Supuestos!$D$11)-LN(1+Supuestos!$E$11^2/Supuestos!$D$11^2)/2,SQRT(LN(1+Supuestos!$E$11^2/Supuestos!$D$11^2))),Supuestos!$D$11))))))</f>
        <v/>
      </c>
      <c r="P977" s="33">
        <f>-I977</f>
        <v/>
      </c>
      <c r="Q977" s="33">
        <f>$J977*(1+$K977)^(1-1)*(1-$L977)*(1-$M977)</f>
        <v/>
      </c>
      <c r="R977" s="33">
        <f>$J977*(1+$K977)^(2-1)*(1-$L977)*(1-$M977)</f>
        <v/>
      </c>
      <c r="S977" s="33">
        <f>$J977*(1+$K977)^(3-1)*(1-$L977)*(1-$M977)</f>
        <v/>
      </c>
      <c r="T977" s="33">
        <f>$J977*(1+$K977)^(4-1)*(1-$L977)*(1-$M977)</f>
        <v/>
      </c>
      <c r="U977" s="33">
        <f>$J977*(1+$K977)^(5-1)*(1-$L977)*(1-$M977)+$O977</f>
        <v/>
      </c>
      <c r="V977" s="33">
        <f>P977+NPV($N977,Q977:U977)</f>
        <v/>
      </c>
      <c r="W977" s="32">
        <f>IFERROR(IRR(P977:U977,0.1),"")</f>
        <v/>
      </c>
    </row>
    <row r="978">
      <c r="A978" s="14" t="n">
        <v>974</v>
      </c>
      <c r="B978" s="30">
        <f>RAND()*(1-2E-6)+1E-6</f>
        <v/>
      </c>
      <c r="C978" s="30">
        <f>RAND()*(1-2E-6)+1E-6</f>
        <v/>
      </c>
      <c r="D978" s="30">
        <f>RAND()*(1-2E-6)+1E-6</f>
        <v/>
      </c>
      <c r="E978" s="30">
        <f>RAND()*(1-2E-6)+1E-6</f>
        <v/>
      </c>
      <c r="F978" s="30">
        <f>RAND()*(1-2E-6)+1E-6</f>
        <v/>
      </c>
      <c r="G978" s="30">
        <f>RAND()*(1-2E-6)+1E-6</f>
        <v/>
      </c>
      <c r="H978" s="30">
        <f>RAND()*(1-2E-6)+1E-6</f>
        <v/>
      </c>
      <c r="I978" s="31">
        <f>MIN(IF(Supuestos!$H$5="",1E+99,Supuestos!$H$5),MAX(IF(Supuestos!$G$5="",-1E+99,Supuestos!$G$5),IF(Supuestos!$C$5="Normal",NORMINV(B978,Supuestos!$D$5,Supuestos!$E$5),IF(Supuestos!$C$5="Triangular",IF(B978&lt;(Supuestos!$E$5-Supuestos!$D$5)/(Supuestos!$F$5-Supuestos!$D$5),Supuestos!$D$5+SQRT(B978*(Supuestos!$F$5-Supuestos!$D$5)*(Supuestos!$E$5-Supuestos!$D$5)),Supuestos!$F$5-SQRT((1-B978)*(Supuestos!$F$5-Supuestos!$D$5)*(Supuestos!$F$5-Supuestos!$E$5))),IF(Supuestos!$C$5="Uniforme",Supuestos!$D$5+B978*(Supuestos!$E$5-Supuestos!$D$5),IF(Supuestos!$C$5="Lognormal",LOGINV(B978,LN(Supuestos!$D$5)-LN(1+Supuestos!$E$5^2/Supuestos!$D$5^2)/2,SQRT(LN(1+Supuestos!$E$5^2/Supuestos!$D$5^2))),Supuestos!$D$5))))))</f>
        <v/>
      </c>
      <c r="J978" s="31">
        <f>MIN(IF(Supuestos!$H$6="",1E+99,Supuestos!$H$6),MAX(IF(Supuestos!$G$6="",-1E+99,Supuestos!$G$6),IF(Supuestos!$C$6="Normal",NORMINV(C978,Supuestos!$D$6,Supuestos!$E$6),IF(Supuestos!$C$6="Triangular",IF(C978&lt;(Supuestos!$E$6-Supuestos!$D$6)/(Supuestos!$F$6-Supuestos!$D$6),Supuestos!$D$6+SQRT(C978*(Supuestos!$F$6-Supuestos!$D$6)*(Supuestos!$E$6-Supuestos!$D$6)),Supuestos!$F$6-SQRT((1-C978)*(Supuestos!$F$6-Supuestos!$D$6)*(Supuestos!$F$6-Supuestos!$E$6))),IF(Supuestos!$C$6="Uniforme",Supuestos!$D$6+C978*(Supuestos!$E$6-Supuestos!$D$6),IF(Supuestos!$C$6="Lognormal",LOGINV(C978,LN(Supuestos!$D$6)-LN(1+Supuestos!$E$6^2/Supuestos!$D$6^2)/2,SQRT(LN(1+Supuestos!$E$6^2/Supuestos!$D$6^2))),Supuestos!$D$6))))))</f>
        <v/>
      </c>
      <c r="K978" s="32">
        <f>MIN(IF(Supuestos!$H$7="",1E+99,Supuestos!$H$7),MAX(IF(Supuestos!$G$7="",-1E+99,Supuestos!$G$7),IF(Supuestos!$C$7="Normal",NORMINV(D978,Supuestos!$D$7,Supuestos!$E$7),IF(Supuestos!$C$7="Triangular",IF(D978&lt;(Supuestos!$E$7-Supuestos!$D$7)/(Supuestos!$F$7-Supuestos!$D$7),Supuestos!$D$7+SQRT(D978*(Supuestos!$F$7-Supuestos!$D$7)*(Supuestos!$E$7-Supuestos!$D$7)),Supuestos!$F$7-SQRT((1-D978)*(Supuestos!$F$7-Supuestos!$D$7)*(Supuestos!$F$7-Supuestos!$E$7))),IF(Supuestos!$C$7="Uniforme",Supuestos!$D$7+D978*(Supuestos!$E$7-Supuestos!$D$7),IF(Supuestos!$C$7="Lognormal",LOGINV(D978,LN(Supuestos!$D$7)-LN(1+Supuestos!$E$7^2/Supuestos!$D$7^2)/2,SQRT(LN(1+Supuestos!$E$7^2/Supuestos!$D$7^2))),Supuestos!$D$7))))))</f>
        <v/>
      </c>
      <c r="L978" s="32">
        <f>MIN(IF(Supuestos!$H$8="",1E+99,Supuestos!$H$8),MAX(IF(Supuestos!$G$8="",-1E+99,Supuestos!$G$8),IF(Supuestos!$C$8="Normal",NORMINV(E978,Supuestos!$D$8,Supuestos!$E$8),IF(Supuestos!$C$8="Triangular",IF(E978&lt;(Supuestos!$E$8-Supuestos!$D$8)/(Supuestos!$F$8-Supuestos!$D$8),Supuestos!$D$8+SQRT(E978*(Supuestos!$F$8-Supuestos!$D$8)*(Supuestos!$E$8-Supuestos!$D$8)),Supuestos!$F$8-SQRT((1-E978)*(Supuestos!$F$8-Supuestos!$D$8)*(Supuestos!$F$8-Supuestos!$E$8))),IF(Supuestos!$C$8="Uniforme",Supuestos!$D$8+E978*(Supuestos!$E$8-Supuestos!$D$8),IF(Supuestos!$C$8="Lognormal",LOGINV(E978,LN(Supuestos!$D$8)-LN(1+Supuestos!$E$8^2/Supuestos!$D$8^2)/2,SQRT(LN(1+Supuestos!$E$8^2/Supuestos!$D$8^2))),Supuestos!$D$8))))))</f>
        <v/>
      </c>
      <c r="M978" s="32">
        <f>MIN(IF(Supuestos!$H$9="",1E+99,Supuestos!$H$9),MAX(IF(Supuestos!$G$9="",-1E+99,Supuestos!$G$9),IF(Supuestos!$C$9="Normal",NORMINV(F978,Supuestos!$D$9,Supuestos!$E$9),IF(Supuestos!$C$9="Triangular",IF(F978&lt;(Supuestos!$E$9-Supuestos!$D$9)/(Supuestos!$F$9-Supuestos!$D$9),Supuestos!$D$9+SQRT(F978*(Supuestos!$F$9-Supuestos!$D$9)*(Supuestos!$E$9-Supuestos!$D$9)),Supuestos!$F$9-SQRT((1-F978)*(Supuestos!$F$9-Supuestos!$D$9)*(Supuestos!$F$9-Supuestos!$E$9))),IF(Supuestos!$C$9="Uniforme",Supuestos!$D$9+F978*(Supuestos!$E$9-Supuestos!$D$9),IF(Supuestos!$C$9="Lognormal",LOGINV(F978,LN(Supuestos!$D$9)-LN(1+Supuestos!$E$9^2/Supuestos!$D$9^2)/2,SQRT(LN(1+Supuestos!$E$9^2/Supuestos!$D$9^2))),Supuestos!$D$9))))))</f>
        <v/>
      </c>
      <c r="N978" s="32">
        <f>MIN(IF(Supuestos!$H$10="",1E+99,Supuestos!$H$10),MAX(IF(Supuestos!$G$10="",-1E+99,Supuestos!$G$10),IF(Supuestos!$C$10="Normal",NORMINV(G978,Supuestos!$D$10,Supuestos!$E$10),IF(Supuestos!$C$10="Triangular",IF(G978&lt;(Supuestos!$E$10-Supuestos!$D$10)/(Supuestos!$F$10-Supuestos!$D$10),Supuestos!$D$10+SQRT(G978*(Supuestos!$F$10-Supuestos!$D$10)*(Supuestos!$E$10-Supuestos!$D$10)),Supuestos!$F$10-SQRT((1-G978)*(Supuestos!$F$10-Supuestos!$D$10)*(Supuestos!$F$10-Supuestos!$E$10))),IF(Supuestos!$C$10="Uniforme",Supuestos!$D$10+G978*(Supuestos!$E$10-Supuestos!$D$10),IF(Supuestos!$C$10="Lognormal",LOGINV(G978,LN(Supuestos!$D$10)-LN(1+Supuestos!$E$10^2/Supuestos!$D$10^2)/2,SQRT(LN(1+Supuestos!$E$10^2/Supuestos!$D$10^2))),Supuestos!$D$10))))))</f>
        <v/>
      </c>
      <c r="O978" s="31">
        <f>MIN(IF(Supuestos!$H$11="",1E+99,Supuestos!$H$11),MAX(IF(Supuestos!$G$11="",-1E+99,Supuestos!$G$11),IF(Supuestos!$C$11="Normal",NORMINV(H978,Supuestos!$D$11,Supuestos!$E$11),IF(Supuestos!$C$11="Triangular",IF(H978&lt;(Supuestos!$E$11-Supuestos!$D$11)/(Supuestos!$F$11-Supuestos!$D$11),Supuestos!$D$11+SQRT(H978*(Supuestos!$F$11-Supuestos!$D$11)*(Supuestos!$E$11-Supuestos!$D$11)),Supuestos!$F$11-SQRT((1-H978)*(Supuestos!$F$11-Supuestos!$D$11)*(Supuestos!$F$11-Supuestos!$E$11))),IF(Supuestos!$C$11="Uniforme",Supuestos!$D$11+H978*(Supuestos!$E$11-Supuestos!$D$11),IF(Supuestos!$C$11="Lognormal",LOGINV(H978,LN(Supuestos!$D$11)-LN(1+Supuestos!$E$11^2/Supuestos!$D$11^2)/2,SQRT(LN(1+Supuestos!$E$11^2/Supuestos!$D$11^2))),Supuestos!$D$11))))))</f>
        <v/>
      </c>
      <c r="P978" s="33">
        <f>-I978</f>
        <v/>
      </c>
      <c r="Q978" s="33">
        <f>$J978*(1+$K978)^(1-1)*(1-$L978)*(1-$M978)</f>
        <v/>
      </c>
      <c r="R978" s="33">
        <f>$J978*(1+$K978)^(2-1)*(1-$L978)*(1-$M978)</f>
        <v/>
      </c>
      <c r="S978" s="33">
        <f>$J978*(1+$K978)^(3-1)*(1-$L978)*(1-$M978)</f>
        <v/>
      </c>
      <c r="T978" s="33">
        <f>$J978*(1+$K978)^(4-1)*(1-$L978)*(1-$M978)</f>
        <v/>
      </c>
      <c r="U978" s="33">
        <f>$J978*(1+$K978)^(5-1)*(1-$L978)*(1-$M978)+$O978</f>
        <v/>
      </c>
      <c r="V978" s="33">
        <f>P978+NPV($N978,Q978:U978)</f>
        <v/>
      </c>
      <c r="W978" s="32">
        <f>IFERROR(IRR(P978:U978,0.1),"")</f>
        <v/>
      </c>
    </row>
    <row r="979">
      <c r="A979" s="14" t="n">
        <v>975</v>
      </c>
      <c r="B979" s="30">
        <f>RAND()*(1-2E-6)+1E-6</f>
        <v/>
      </c>
      <c r="C979" s="30">
        <f>RAND()*(1-2E-6)+1E-6</f>
        <v/>
      </c>
      <c r="D979" s="30">
        <f>RAND()*(1-2E-6)+1E-6</f>
        <v/>
      </c>
      <c r="E979" s="30">
        <f>RAND()*(1-2E-6)+1E-6</f>
        <v/>
      </c>
      <c r="F979" s="30">
        <f>RAND()*(1-2E-6)+1E-6</f>
        <v/>
      </c>
      <c r="G979" s="30">
        <f>RAND()*(1-2E-6)+1E-6</f>
        <v/>
      </c>
      <c r="H979" s="30">
        <f>RAND()*(1-2E-6)+1E-6</f>
        <v/>
      </c>
      <c r="I979" s="31">
        <f>MIN(IF(Supuestos!$H$5="",1E+99,Supuestos!$H$5),MAX(IF(Supuestos!$G$5="",-1E+99,Supuestos!$G$5),IF(Supuestos!$C$5="Normal",NORMINV(B979,Supuestos!$D$5,Supuestos!$E$5),IF(Supuestos!$C$5="Triangular",IF(B979&lt;(Supuestos!$E$5-Supuestos!$D$5)/(Supuestos!$F$5-Supuestos!$D$5),Supuestos!$D$5+SQRT(B979*(Supuestos!$F$5-Supuestos!$D$5)*(Supuestos!$E$5-Supuestos!$D$5)),Supuestos!$F$5-SQRT((1-B979)*(Supuestos!$F$5-Supuestos!$D$5)*(Supuestos!$F$5-Supuestos!$E$5))),IF(Supuestos!$C$5="Uniforme",Supuestos!$D$5+B979*(Supuestos!$E$5-Supuestos!$D$5),IF(Supuestos!$C$5="Lognormal",LOGINV(B979,LN(Supuestos!$D$5)-LN(1+Supuestos!$E$5^2/Supuestos!$D$5^2)/2,SQRT(LN(1+Supuestos!$E$5^2/Supuestos!$D$5^2))),Supuestos!$D$5))))))</f>
        <v/>
      </c>
      <c r="J979" s="31">
        <f>MIN(IF(Supuestos!$H$6="",1E+99,Supuestos!$H$6),MAX(IF(Supuestos!$G$6="",-1E+99,Supuestos!$G$6),IF(Supuestos!$C$6="Normal",NORMINV(C979,Supuestos!$D$6,Supuestos!$E$6),IF(Supuestos!$C$6="Triangular",IF(C979&lt;(Supuestos!$E$6-Supuestos!$D$6)/(Supuestos!$F$6-Supuestos!$D$6),Supuestos!$D$6+SQRT(C979*(Supuestos!$F$6-Supuestos!$D$6)*(Supuestos!$E$6-Supuestos!$D$6)),Supuestos!$F$6-SQRT((1-C979)*(Supuestos!$F$6-Supuestos!$D$6)*(Supuestos!$F$6-Supuestos!$E$6))),IF(Supuestos!$C$6="Uniforme",Supuestos!$D$6+C979*(Supuestos!$E$6-Supuestos!$D$6),IF(Supuestos!$C$6="Lognormal",LOGINV(C979,LN(Supuestos!$D$6)-LN(1+Supuestos!$E$6^2/Supuestos!$D$6^2)/2,SQRT(LN(1+Supuestos!$E$6^2/Supuestos!$D$6^2))),Supuestos!$D$6))))))</f>
        <v/>
      </c>
      <c r="K979" s="32">
        <f>MIN(IF(Supuestos!$H$7="",1E+99,Supuestos!$H$7),MAX(IF(Supuestos!$G$7="",-1E+99,Supuestos!$G$7),IF(Supuestos!$C$7="Normal",NORMINV(D979,Supuestos!$D$7,Supuestos!$E$7),IF(Supuestos!$C$7="Triangular",IF(D979&lt;(Supuestos!$E$7-Supuestos!$D$7)/(Supuestos!$F$7-Supuestos!$D$7),Supuestos!$D$7+SQRT(D979*(Supuestos!$F$7-Supuestos!$D$7)*(Supuestos!$E$7-Supuestos!$D$7)),Supuestos!$F$7-SQRT((1-D979)*(Supuestos!$F$7-Supuestos!$D$7)*(Supuestos!$F$7-Supuestos!$E$7))),IF(Supuestos!$C$7="Uniforme",Supuestos!$D$7+D979*(Supuestos!$E$7-Supuestos!$D$7),IF(Supuestos!$C$7="Lognormal",LOGINV(D979,LN(Supuestos!$D$7)-LN(1+Supuestos!$E$7^2/Supuestos!$D$7^2)/2,SQRT(LN(1+Supuestos!$E$7^2/Supuestos!$D$7^2))),Supuestos!$D$7))))))</f>
        <v/>
      </c>
      <c r="L979" s="32">
        <f>MIN(IF(Supuestos!$H$8="",1E+99,Supuestos!$H$8),MAX(IF(Supuestos!$G$8="",-1E+99,Supuestos!$G$8),IF(Supuestos!$C$8="Normal",NORMINV(E979,Supuestos!$D$8,Supuestos!$E$8),IF(Supuestos!$C$8="Triangular",IF(E979&lt;(Supuestos!$E$8-Supuestos!$D$8)/(Supuestos!$F$8-Supuestos!$D$8),Supuestos!$D$8+SQRT(E979*(Supuestos!$F$8-Supuestos!$D$8)*(Supuestos!$E$8-Supuestos!$D$8)),Supuestos!$F$8-SQRT((1-E979)*(Supuestos!$F$8-Supuestos!$D$8)*(Supuestos!$F$8-Supuestos!$E$8))),IF(Supuestos!$C$8="Uniforme",Supuestos!$D$8+E979*(Supuestos!$E$8-Supuestos!$D$8),IF(Supuestos!$C$8="Lognormal",LOGINV(E979,LN(Supuestos!$D$8)-LN(1+Supuestos!$E$8^2/Supuestos!$D$8^2)/2,SQRT(LN(1+Supuestos!$E$8^2/Supuestos!$D$8^2))),Supuestos!$D$8))))))</f>
        <v/>
      </c>
      <c r="M979" s="32">
        <f>MIN(IF(Supuestos!$H$9="",1E+99,Supuestos!$H$9),MAX(IF(Supuestos!$G$9="",-1E+99,Supuestos!$G$9),IF(Supuestos!$C$9="Normal",NORMINV(F979,Supuestos!$D$9,Supuestos!$E$9),IF(Supuestos!$C$9="Triangular",IF(F979&lt;(Supuestos!$E$9-Supuestos!$D$9)/(Supuestos!$F$9-Supuestos!$D$9),Supuestos!$D$9+SQRT(F979*(Supuestos!$F$9-Supuestos!$D$9)*(Supuestos!$E$9-Supuestos!$D$9)),Supuestos!$F$9-SQRT((1-F979)*(Supuestos!$F$9-Supuestos!$D$9)*(Supuestos!$F$9-Supuestos!$E$9))),IF(Supuestos!$C$9="Uniforme",Supuestos!$D$9+F979*(Supuestos!$E$9-Supuestos!$D$9),IF(Supuestos!$C$9="Lognormal",LOGINV(F979,LN(Supuestos!$D$9)-LN(1+Supuestos!$E$9^2/Supuestos!$D$9^2)/2,SQRT(LN(1+Supuestos!$E$9^2/Supuestos!$D$9^2))),Supuestos!$D$9))))))</f>
        <v/>
      </c>
      <c r="N979" s="32">
        <f>MIN(IF(Supuestos!$H$10="",1E+99,Supuestos!$H$10),MAX(IF(Supuestos!$G$10="",-1E+99,Supuestos!$G$10),IF(Supuestos!$C$10="Normal",NORMINV(G979,Supuestos!$D$10,Supuestos!$E$10),IF(Supuestos!$C$10="Triangular",IF(G979&lt;(Supuestos!$E$10-Supuestos!$D$10)/(Supuestos!$F$10-Supuestos!$D$10),Supuestos!$D$10+SQRT(G979*(Supuestos!$F$10-Supuestos!$D$10)*(Supuestos!$E$10-Supuestos!$D$10)),Supuestos!$F$10-SQRT((1-G979)*(Supuestos!$F$10-Supuestos!$D$10)*(Supuestos!$F$10-Supuestos!$E$10))),IF(Supuestos!$C$10="Uniforme",Supuestos!$D$10+G979*(Supuestos!$E$10-Supuestos!$D$10),IF(Supuestos!$C$10="Lognormal",LOGINV(G979,LN(Supuestos!$D$10)-LN(1+Supuestos!$E$10^2/Supuestos!$D$10^2)/2,SQRT(LN(1+Supuestos!$E$10^2/Supuestos!$D$10^2))),Supuestos!$D$10))))))</f>
        <v/>
      </c>
      <c r="O979" s="31">
        <f>MIN(IF(Supuestos!$H$11="",1E+99,Supuestos!$H$11),MAX(IF(Supuestos!$G$11="",-1E+99,Supuestos!$G$11),IF(Supuestos!$C$11="Normal",NORMINV(H979,Supuestos!$D$11,Supuestos!$E$11),IF(Supuestos!$C$11="Triangular",IF(H979&lt;(Supuestos!$E$11-Supuestos!$D$11)/(Supuestos!$F$11-Supuestos!$D$11),Supuestos!$D$11+SQRT(H979*(Supuestos!$F$11-Supuestos!$D$11)*(Supuestos!$E$11-Supuestos!$D$11)),Supuestos!$F$11-SQRT((1-H979)*(Supuestos!$F$11-Supuestos!$D$11)*(Supuestos!$F$11-Supuestos!$E$11))),IF(Supuestos!$C$11="Uniforme",Supuestos!$D$11+H979*(Supuestos!$E$11-Supuestos!$D$11),IF(Supuestos!$C$11="Lognormal",LOGINV(H979,LN(Supuestos!$D$11)-LN(1+Supuestos!$E$11^2/Supuestos!$D$11^2)/2,SQRT(LN(1+Supuestos!$E$11^2/Supuestos!$D$11^2))),Supuestos!$D$11))))))</f>
        <v/>
      </c>
      <c r="P979" s="33">
        <f>-I979</f>
        <v/>
      </c>
      <c r="Q979" s="33">
        <f>$J979*(1+$K979)^(1-1)*(1-$L979)*(1-$M979)</f>
        <v/>
      </c>
      <c r="R979" s="33">
        <f>$J979*(1+$K979)^(2-1)*(1-$L979)*(1-$M979)</f>
        <v/>
      </c>
      <c r="S979" s="33">
        <f>$J979*(1+$K979)^(3-1)*(1-$L979)*(1-$M979)</f>
        <v/>
      </c>
      <c r="T979" s="33">
        <f>$J979*(1+$K979)^(4-1)*(1-$L979)*(1-$M979)</f>
        <v/>
      </c>
      <c r="U979" s="33">
        <f>$J979*(1+$K979)^(5-1)*(1-$L979)*(1-$M979)+$O979</f>
        <v/>
      </c>
      <c r="V979" s="33">
        <f>P979+NPV($N979,Q979:U979)</f>
        <v/>
      </c>
      <c r="W979" s="32">
        <f>IFERROR(IRR(P979:U979,0.1),"")</f>
        <v/>
      </c>
    </row>
    <row r="980">
      <c r="A980" s="14" t="n">
        <v>976</v>
      </c>
      <c r="B980" s="30">
        <f>RAND()*(1-2E-6)+1E-6</f>
        <v/>
      </c>
      <c r="C980" s="30">
        <f>RAND()*(1-2E-6)+1E-6</f>
        <v/>
      </c>
      <c r="D980" s="30">
        <f>RAND()*(1-2E-6)+1E-6</f>
        <v/>
      </c>
      <c r="E980" s="30">
        <f>RAND()*(1-2E-6)+1E-6</f>
        <v/>
      </c>
      <c r="F980" s="30">
        <f>RAND()*(1-2E-6)+1E-6</f>
        <v/>
      </c>
      <c r="G980" s="30">
        <f>RAND()*(1-2E-6)+1E-6</f>
        <v/>
      </c>
      <c r="H980" s="30">
        <f>RAND()*(1-2E-6)+1E-6</f>
        <v/>
      </c>
      <c r="I980" s="31">
        <f>MIN(IF(Supuestos!$H$5="",1E+99,Supuestos!$H$5),MAX(IF(Supuestos!$G$5="",-1E+99,Supuestos!$G$5),IF(Supuestos!$C$5="Normal",NORMINV(B980,Supuestos!$D$5,Supuestos!$E$5),IF(Supuestos!$C$5="Triangular",IF(B980&lt;(Supuestos!$E$5-Supuestos!$D$5)/(Supuestos!$F$5-Supuestos!$D$5),Supuestos!$D$5+SQRT(B980*(Supuestos!$F$5-Supuestos!$D$5)*(Supuestos!$E$5-Supuestos!$D$5)),Supuestos!$F$5-SQRT((1-B980)*(Supuestos!$F$5-Supuestos!$D$5)*(Supuestos!$F$5-Supuestos!$E$5))),IF(Supuestos!$C$5="Uniforme",Supuestos!$D$5+B980*(Supuestos!$E$5-Supuestos!$D$5),IF(Supuestos!$C$5="Lognormal",LOGINV(B980,LN(Supuestos!$D$5)-LN(1+Supuestos!$E$5^2/Supuestos!$D$5^2)/2,SQRT(LN(1+Supuestos!$E$5^2/Supuestos!$D$5^2))),Supuestos!$D$5))))))</f>
        <v/>
      </c>
      <c r="J980" s="31">
        <f>MIN(IF(Supuestos!$H$6="",1E+99,Supuestos!$H$6),MAX(IF(Supuestos!$G$6="",-1E+99,Supuestos!$G$6),IF(Supuestos!$C$6="Normal",NORMINV(C980,Supuestos!$D$6,Supuestos!$E$6),IF(Supuestos!$C$6="Triangular",IF(C980&lt;(Supuestos!$E$6-Supuestos!$D$6)/(Supuestos!$F$6-Supuestos!$D$6),Supuestos!$D$6+SQRT(C980*(Supuestos!$F$6-Supuestos!$D$6)*(Supuestos!$E$6-Supuestos!$D$6)),Supuestos!$F$6-SQRT((1-C980)*(Supuestos!$F$6-Supuestos!$D$6)*(Supuestos!$F$6-Supuestos!$E$6))),IF(Supuestos!$C$6="Uniforme",Supuestos!$D$6+C980*(Supuestos!$E$6-Supuestos!$D$6),IF(Supuestos!$C$6="Lognormal",LOGINV(C980,LN(Supuestos!$D$6)-LN(1+Supuestos!$E$6^2/Supuestos!$D$6^2)/2,SQRT(LN(1+Supuestos!$E$6^2/Supuestos!$D$6^2))),Supuestos!$D$6))))))</f>
        <v/>
      </c>
      <c r="K980" s="32">
        <f>MIN(IF(Supuestos!$H$7="",1E+99,Supuestos!$H$7),MAX(IF(Supuestos!$G$7="",-1E+99,Supuestos!$G$7),IF(Supuestos!$C$7="Normal",NORMINV(D980,Supuestos!$D$7,Supuestos!$E$7),IF(Supuestos!$C$7="Triangular",IF(D980&lt;(Supuestos!$E$7-Supuestos!$D$7)/(Supuestos!$F$7-Supuestos!$D$7),Supuestos!$D$7+SQRT(D980*(Supuestos!$F$7-Supuestos!$D$7)*(Supuestos!$E$7-Supuestos!$D$7)),Supuestos!$F$7-SQRT((1-D980)*(Supuestos!$F$7-Supuestos!$D$7)*(Supuestos!$F$7-Supuestos!$E$7))),IF(Supuestos!$C$7="Uniforme",Supuestos!$D$7+D980*(Supuestos!$E$7-Supuestos!$D$7),IF(Supuestos!$C$7="Lognormal",LOGINV(D980,LN(Supuestos!$D$7)-LN(1+Supuestos!$E$7^2/Supuestos!$D$7^2)/2,SQRT(LN(1+Supuestos!$E$7^2/Supuestos!$D$7^2))),Supuestos!$D$7))))))</f>
        <v/>
      </c>
      <c r="L980" s="32">
        <f>MIN(IF(Supuestos!$H$8="",1E+99,Supuestos!$H$8),MAX(IF(Supuestos!$G$8="",-1E+99,Supuestos!$G$8),IF(Supuestos!$C$8="Normal",NORMINV(E980,Supuestos!$D$8,Supuestos!$E$8),IF(Supuestos!$C$8="Triangular",IF(E980&lt;(Supuestos!$E$8-Supuestos!$D$8)/(Supuestos!$F$8-Supuestos!$D$8),Supuestos!$D$8+SQRT(E980*(Supuestos!$F$8-Supuestos!$D$8)*(Supuestos!$E$8-Supuestos!$D$8)),Supuestos!$F$8-SQRT((1-E980)*(Supuestos!$F$8-Supuestos!$D$8)*(Supuestos!$F$8-Supuestos!$E$8))),IF(Supuestos!$C$8="Uniforme",Supuestos!$D$8+E980*(Supuestos!$E$8-Supuestos!$D$8),IF(Supuestos!$C$8="Lognormal",LOGINV(E980,LN(Supuestos!$D$8)-LN(1+Supuestos!$E$8^2/Supuestos!$D$8^2)/2,SQRT(LN(1+Supuestos!$E$8^2/Supuestos!$D$8^2))),Supuestos!$D$8))))))</f>
        <v/>
      </c>
      <c r="M980" s="32">
        <f>MIN(IF(Supuestos!$H$9="",1E+99,Supuestos!$H$9),MAX(IF(Supuestos!$G$9="",-1E+99,Supuestos!$G$9),IF(Supuestos!$C$9="Normal",NORMINV(F980,Supuestos!$D$9,Supuestos!$E$9),IF(Supuestos!$C$9="Triangular",IF(F980&lt;(Supuestos!$E$9-Supuestos!$D$9)/(Supuestos!$F$9-Supuestos!$D$9),Supuestos!$D$9+SQRT(F980*(Supuestos!$F$9-Supuestos!$D$9)*(Supuestos!$E$9-Supuestos!$D$9)),Supuestos!$F$9-SQRT((1-F980)*(Supuestos!$F$9-Supuestos!$D$9)*(Supuestos!$F$9-Supuestos!$E$9))),IF(Supuestos!$C$9="Uniforme",Supuestos!$D$9+F980*(Supuestos!$E$9-Supuestos!$D$9),IF(Supuestos!$C$9="Lognormal",LOGINV(F980,LN(Supuestos!$D$9)-LN(1+Supuestos!$E$9^2/Supuestos!$D$9^2)/2,SQRT(LN(1+Supuestos!$E$9^2/Supuestos!$D$9^2))),Supuestos!$D$9))))))</f>
        <v/>
      </c>
      <c r="N980" s="32">
        <f>MIN(IF(Supuestos!$H$10="",1E+99,Supuestos!$H$10),MAX(IF(Supuestos!$G$10="",-1E+99,Supuestos!$G$10),IF(Supuestos!$C$10="Normal",NORMINV(G980,Supuestos!$D$10,Supuestos!$E$10),IF(Supuestos!$C$10="Triangular",IF(G980&lt;(Supuestos!$E$10-Supuestos!$D$10)/(Supuestos!$F$10-Supuestos!$D$10),Supuestos!$D$10+SQRT(G980*(Supuestos!$F$10-Supuestos!$D$10)*(Supuestos!$E$10-Supuestos!$D$10)),Supuestos!$F$10-SQRT((1-G980)*(Supuestos!$F$10-Supuestos!$D$10)*(Supuestos!$F$10-Supuestos!$E$10))),IF(Supuestos!$C$10="Uniforme",Supuestos!$D$10+G980*(Supuestos!$E$10-Supuestos!$D$10),IF(Supuestos!$C$10="Lognormal",LOGINV(G980,LN(Supuestos!$D$10)-LN(1+Supuestos!$E$10^2/Supuestos!$D$10^2)/2,SQRT(LN(1+Supuestos!$E$10^2/Supuestos!$D$10^2))),Supuestos!$D$10))))))</f>
        <v/>
      </c>
      <c r="O980" s="31">
        <f>MIN(IF(Supuestos!$H$11="",1E+99,Supuestos!$H$11),MAX(IF(Supuestos!$G$11="",-1E+99,Supuestos!$G$11),IF(Supuestos!$C$11="Normal",NORMINV(H980,Supuestos!$D$11,Supuestos!$E$11),IF(Supuestos!$C$11="Triangular",IF(H980&lt;(Supuestos!$E$11-Supuestos!$D$11)/(Supuestos!$F$11-Supuestos!$D$11),Supuestos!$D$11+SQRT(H980*(Supuestos!$F$11-Supuestos!$D$11)*(Supuestos!$E$11-Supuestos!$D$11)),Supuestos!$F$11-SQRT((1-H980)*(Supuestos!$F$11-Supuestos!$D$11)*(Supuestos!$F$11-Supuestos!$E$11))),IF(Supuestos!$C$11="Uniforme",Supuestos!$D$11+H980*(Supuestos!$E$11-Supuestos!$D$11),IF(Supuestos!$C$11="Lognormal",LOGINV(H980,LN(Supuestos!$D$11)-LN(1+Supuestos!$E$11^2/Supuestos!$D$11^2)/2,SQRT(LN(1+Supuestos!$E$11^2/Supuestos!$D$11^2))),Supuestos!$D$11))))))</f>
        <v/>
      </c>
      <c r="P980" s="33">
        <f>-I980</f>
        <v/>
      </c>
      <c r="Q980" s="33">
        <f>$J980*(1+$K980)^(1-1)*(1-$L980)*(1-$M980)</f>
        <v/>
      </c>
      <c r="R980" s="33">
        <f>$J980*(1+$K980)^(2-1)*(1-$L980)*(1-$M980)</f>
        <v/>
      </c>
      <c r="S980" s="33">
        <f>$J980*(1+$K980)^(3-1)*(1-$L980)*(1-$M980)</f>
        <v/>
      </c>
      <c r="T980" s="33">
        <f>$J980*(1+$K980)^(4-1)*(1-$L980)*(1-$M980)</f>
        <v/>
      </c>
      <c r="U980" s="33">
        <f>$J980*(1+$K980)^(5-1)*(1-$L980)*(1-$M980)+$O980</f>
        <v/>
      </c>
      <c r="V980" s="33">
        <f>P980+NPV($N980,Q980:U980)</f>
        <v/>
      </c>
      <c r="W980" s="32">
        <f>IFERROR(IRR(P980:U980,0.1),"")</f>
        <v/>
      </c>
    </row>
    <row r="981">
      <c r="A981" s="14" t="n">
        <v>977</v>
      </c>
      <c r="B981" s="30">
        <f>RAND()*(1-2E-6)+1E-6</f>
        <v/>
      </c>
      <c r="C981" s="30">
        <f>RAND()*(1-2E-6)+1E-6</f>
        <v/>
      </c>
      <c r="D981" s="30">
        <f>RAND()*(1-2E-6)+1E-6</f>
        <v/>
      </c>
      <c r="E981" s="30">
        <f>RAND()*(1-2E-6)+1E-6</f>
        <v/>
      </c>
      <c r="F981" s="30">
        <f>RAND()*(1-2E-6)+1E-6</f>
        <v/>
      </c>
      <c r="G981" s="30">
        <f>RAND()*(1-2E-6)+1E-6</f>
        <v/>
      </c>
      <c r="H981" s="30">
        <f>RAND()*(1-2E-6)+1E-6</f>
        <v/>
      </c>
      <c r="I981" s="31">
        <f>MIN(IF(Supuestos!$H$5="",1E+99,Supuestos!$H$5),MAX(IF(Supuestos!$G$5="",-1E+99,Supuestos!$G$5),IF(Supuestos!$C$5="Normal",NORMINV(B981,Supuestos!$D$5,Supuestos!$E$5),IF(Supuestos!$C$5="Triangular",IF(B981&lt;(Supuestos!$E$5-Supuestos!$D$5)/(Supuestos!$F$5-Supuestos!$D$5),Supuestos!$D$5+SQRT(B981*(Supuestos!$F$5-Supuestos!$D$5)*(Supuestos!$E$5-Supuestos!$D$5)),Supuestos!$F$5-SQRT((1-B981)*(Supuestos!$F$5-Supuestos!$D$5)*(Supuestos!$F$5-Supuestos!$E$5))),IF(Supuestos!$C$5="Uniforme",Supuestos!$D$5+B981*(Supuestos!$E$5-Supuestos!$D$5),IF(Supuestos!$C$5="Lognormal",LOGINV(B981,LN(Supuestos!$D$5)-LN(1+Supuestos!$E$5^2/Supuestos!$D$5^2)/2,SQRT(LN(1+Supuestos!$E$5^2/Supuestos!$D$5^2))),Supuestos!$D$5))))))</f>
        <v/>
      </c>
      <c r="J981" s="31">
        <f>MIN(IF(Supuestos!$H$6="",1E+99,Supuestos!$H$6),MAX(IF(Supuestos!$G$6="",-1E+99,Supuestos!$G$6),IF(Supuestos!$C$6="Normal",NORMINV(C981,Supuestos!$D$6,Supuestos!$E$6),IF(Supuestos!$C$6="Triangular",IF(C981&lt;(Supuestos!$E$6-Supuestos!$D$6)/(Supuestos!$F$6-Supuestos!$D$6),Supuestos!$D$6+SQRT(C981*(Supuestos!$F$6-Supuestos!$D$6)*(Supuestos!$E$6-Supuestos!$D$6)),Supuestos!$F$6-SQRT((1-C981)*(Supuestos!$F$6-Supuestos!$D$6)*(Supuestos!$F$6-Supuestos!$E$6))),IF(Supuestos!$C$6="Uniforme",Supuestos!$D$6+C981*(Supuestos!$E$6-Supuestos!$D$6),IF(Supuestos!$C$6="Lognormal",LOGINV(C981,LN(Supuestos!$D$6)-LN(1+Supuestos!$E$6^2/Supuestos!$D$6^2)/2,SQRT(LN(1+Supuestos!$E$6^2/Supuestos!$D$6^2))),Supuestos!$D$6))))))</f>
        <v/>
      </c>
      <c r="K981" s="32">
        <f>MIN(IF(Supuestos!$H$7="",1E+99,Supuestos!$H$7),MAX(IF(Supuestos!$G$7="",-1E+99,Supuestos!$G$7),IF(Supuestos!$C$7="Normal",NORMINV(D981,Supuestos!$D$7,Supuestos!$E$7),IF(Supuestos!$C$7="Triangular",IF(D981&lt;(Supuestos!$E$7-Supuestos!$D$7)/(Supuestos!$F$7-Supuestos!$D$7),Supuestos!$D$7+SQRT(D981*(Supuestos!$F$7-Supuestos!$D$7)*(Supuestos!$E$7-Supuestos!$D$7)),Supuestos!$F$7-SQRT((1-D981)*(Supuestos!$F$7-Supuestos!$D$7)*(Supuestos!$F$7-Supuestos!$E$7))),IF(Supuestos!$C$7="Uniforme",Supuestos!$D$7+D981*(Supuestos!$E$7-Supuestos!$D$7),IF(Supuestos!$C$7="Lognormal",LOGINV(D981,LN(Supuestos!$D$7)-LN(1+Supuestos!$E$7^2/Supuestos!$D$7^2)/2,SQRT(LN(1+Supuestos!$E$7^2/Supuestos!$D$7^2))),Supuestos!$D$7))))))</f>
        <v/>
      </c>
      <c r="L981" s="32">
        <f>MIN(IF(Supuestos!$H$8="",1E+99,Supuestos!$H$8),MAX(IF(Supuestos!$G$8="",-1E+99,Supuestos!$G$8),IF(Supuestos!$C$8="Normal",NORMINV(E981,Supuestos!$D$8,Supuestos!$E$8),IF(Supuestos!$C$8="Triangular",IF(E981&lt;(Supuestos!$E$8-Supuestos!$D$8)/(Supuestos!$F$8-Supuestos!$D$8),Supuestos!$D$8+SQRT(E981*(Supuestos!$F$8-Supuestos!$D$8)*(Supuestos!$E$8-Supuestos!$D$8)),Supuestos!$F$8-SQRT((1-E981)*(Supuestos!$F$8-Supuestos!$D$8)*(Supuestos!$F$8-Supuestos!$E$8))),IF(Supuestos!$C$8="Uniforme",Supuestos!$D$8+E981*(Supuestos!$E$8-Supuestos!$D$8),IF(Supuestos!$C$8="Lognormal",LOGINV(E981,LN(Supuestos!$D$8)-LN(1+Supuestos!$E$8^2/Supuestos!$D$8^2)/2,SQRT(LN(1+Supuestos!$E$8^2/Supuestos!$D$8^2))),Supuestos!$D$8))))))</f>
        <v/>
      </c>
      <c r="M981" s="32">
        <f>MIN(IF(Supuestos!$H$9="",1E+99,Supuestos!$H$9),MAX(IF(Supuestos!$G$9="",-1E+99,Supuestos!$G$9),IF(Supuestos!$C$9="Normal",NORMINV(F981,Supuestos!$D$9,Supuestos!$E$9),IF(Supuestos!$C$9="Triangular",IF(F981&lt;(Supuestos!$E$9-Supuestos!$D$9)/(Supuestos!$F$9-Supuestos!$D$9),Supuestos!$D$9+SQRT(F981*(Supuestos!$F$9-Supuestos!$D$9)*(Supuestos!$E$9-Supuestos!$D$9)),Supuestos!$F$9-SQRT((1-F981)*(Supuestos!$F$9-Supuestos!$D$9)*(Supuestos!$F$9-Supuestos!$E$9))),IF(Supuestos!$C$9="Uniforme",Supuestos!$D$9+F981*(Supuestos!$E$9-Supuestos!$D$9),IF(Supuestos!$C$9="Lognormal",LOGINV(F981,LN(Supuestos!$D$9)-LN(1+Supuestos!$E$9^2/Supuestos!$D$9^2)/2,SQRT(LN(1+Supuestos!$E$9^2/Supuestos!$D$9^2))),Supuestos!$D$9))))))</f>
        <v/>
      </c>
      <c r="N981" s="32">
        <f>MIN(IF(Supuestos!$H$10="",1E+99,Supuestos!$H$10),MAX(IF(Supuestos!$G$10="",-1E+99,Supuestos!$G$10),IF(Supuestos!$C$10="Normal",NORMINV(G981,Supuestos!$D$10,Supuestos!$E$10),IF(Supuestos!$C$10="Triangular",IF(G981&lt;(Supuestos!$E$10-Supuestos!$D$10)/(Supuestos!$F$10-Supuestos!$D$10),Supuestos!$D$10+SQRT(G981*(Supuestos!$F$10-Supuestos!$D$10)*(Supuestos!$E$10-Supuestos!$D$10)),Supuestos!$F$10-SQRT((1-G981)*(Supuestos!$F$10-Supuestos!$D$10)*(Supuestos!$F$10-Supuestos!$E$10))),IF(Supuestos!$C$10="Uniforme",Supuestos!$D$10+G981*(Supuestos!$E$10-Supuestos!$D$10),IF(Supuestos!$C$10="Lognormal",LOGINV(G981,LN(Supuestos!$D$10)-LN(1+Supuestos!$E$10^2/Supuestos!$D$10^2)/2,SQRT(LN(1+Supuestos!$E$10^2/Supuestos!$D$10^2))),Supuestos!$D$10))))))</f>
        <v/>
      </c>
      <c r="O981" s="31">
        <f>MIN(IF(Supuestos!$H$11="",1E+99,Supuestos!$H$11),MAX(IF(Supuestos!$G$11="",-1E+99,Supuestos!$G$11),IF(Supuestos!$C$11="Normal",NORMINV(H981,Supuestos!$D$11,Supuestos!$E$11),IF(Supuestos!$C$11="Triangular",IF(H981&lt;(Supuestos!$E$11-Supuestos!$D$11)/(Supuestos!$F$11-Supuestos!$D$11),Supuestos!$D$11+SQRT(H981*(Supuestos!$F$11-Supuestos!$D$11)*(Supuestos!$E$11-Supuestos!$D$11)),Supuestos!$F$11-SQRT((1-H981)*(Supuestos!$F$11-Supuestos!$D$11)*(Supuestos!$F$11-Supuestos!$E$11))),IF(Supuestos!$C$11="Uniforme",Supuestos!$D$11+H981*(Supuestos!$E$11-Supuestos!$D$11),IF(Supuestos!$C$11="Lognormal",LOGINV(H981,LN(Supuestos!$D$11)-LN(1+Supuestos!$E$11^2/Supuestos!$D$11^2)/2,SQRT(LN(1+Supuestos!$E$11^2/Supuestos!$D$11^2))),Supuestos!$D$11))))))</f>
        <v/>
      </c>
      <c r="P981" s="33">
        <f>-I981</f>
        <v/>
      </c>
      <c r="Q981" s="33">
        <f>$J981*(1+$K981)^(1-1)*(1-$L981)*(1-$M981)</f>
        <v/>
      </c>
      <c r="R981" s="33">
        <f>$J981*(1+$K981)^(2-1)*(1-$L981)*(1-$M981)</f>
        <v/>
      </c>
      <c r="S981" s="33">
        <f>$J981*(1+$K981)^(3-1)*(1-$L981)*(1-$M981)</f>
        <v/>
      </c>
      <c r="T981" s="33">
        <f>$J981*(1+$K981)^(4-1)*(1-$L981)*(1-$M981)</f>
        <v/>
      </c>
      <c r="U981" s="33">
        <f>$J981*(1+$K981)^(5-1)*(1-$L981)*(1-$M981)+$O981</f>
        <v/>
      </c>
      <c r="V981" s="33">
        <f>P981+NPV($N981,Q981:U981)</f>
        <v/>
      </c>
      <c r="W981" s="32">
        <f>IFERROR(IRR(P981:U981,0.1),"")</f>
        <v/>
      </c>
    </row>
    <row r="982">
      <c r="A982" s="14" t="n">
        <v>978</v>
      </c>
      <c r="B982" s="30">
        <f>RAND()*(1-2E-6)+1E-6</f>
        <v/>
      </c>
      <c r="C982" s="30">
        <f>RAND()*(1-2E-6)+1E-6</f>
        <v/>
      </c>
      <c r="D982" s="30">
        <f>RAND()*(1-2E-6)+1E-6</f>
        <v/>
      </c>
      <c r="E982" s="30">
        <f>RAND()*(1-2E-6)+1E-6</f>
        <v/>
      </c>
      <c r="F982" s="30">
        <f>RAND()*(1-2E-6)+1E-6</f>
        <v/>
      </c>
      <c r="G982" s="30">
        <f>RAND()*(1-2E-6)+1E-6</f>
        <v/>
      </c>
      <c r="H982" s="30">
        <f>RAND()*(1-2E-6)+1E-6</f>
        <v/>
      </c>
      <c r="I982" s="31">
        <f>MIN(IF(Supuestos!$H$5="",1E+99,Supuestos!$H$5),MAX(IF(Supuestos!$G$5="",-1E+99,Supuestos!$G$5),IF(Supuestos!$C$5="Normal",NORMINV(B982,Supuestos!$D$5,Supuestos!$E$5),IF(Supuestos!$C$5="Triangular",IF(B982&lt;(Supuestos!$E$5-Supuestos!$D$5)/(Supuestos!$F$5-Supuestos!$D$5),Supuestos!$D$5+SQRT(B982*(Supuestos!$F$5-Supuestos!$D$5)*(Supuestos!$E$5-Supuestos!$D$5)),Supuestos!$F$5-SQRT((1-B982)*(Supuestos!$F$5-Supuestos!$D$5)*(Supuestos!$F$5-Supuestos!$E$5))),IF(Supuestos!$C$5="Uniforme",Supuestos!$D$5+B982*(Supuestos!$E$5-Supuestos!$D$5),IF(Supuestos!$C$5="Lognormal",LOGINV(B982,LN(Supuestos!$D$5)-LN(1+Supuestos!$E$5^2/Supuestos!$D$5^2)/2,SQRT(LN(1+Supuestos!$E$5^2/Supuestos!$D$5^2))),Supuestos!$D$5))))))</f>
        <v/>
      </c>
      <c r="J982" s="31">
        <f>MIN(IF(Supuestos!$H$6="",1E+99,Supuestos!$H$6),MAX(IF(Supuestos!$G$6="",-1E+99,Supuestos!$G$6),IF(Supuestos!$C$6="Normal",NORMINV(C982,Supuestos!$D$6,Supuestos!$E$6),IF(Supuestos!$C$6="Triangular",IF(C982&lt;(Supuestos!$E$6-Supuestos!$D$6)/(Supuestos!$F$6-Supuestos!$D$6),Supuestos!$D$6+SQRT(C982*(Supuestos!$F$6-Supuestos!$D$6)*(Supuestos!$E$6-Supuestos!$D$6)),Supuestos!$F$6-SQRT((1-C982)*(Supuestos!$F$6-Supuestos!$D$6)*(Supuestos!$F$6-Supuestos!$E$6))),IF(Supuestos!$C$6="Uniforme",Supuestos!$D$6+C982*(Supuestos!$E$6-Supuestos!$D$6),IF(Supuestos!$C$6="Lognormal",LOGINV(C982,LN(Supuestos!$D$6)-LN(1+Supuestos!$E$6^2/Supuestos!$D$6^2)/2,SQRT(LN(1+Supuestos!$E$6^2/Supuestos!$D$6^2))),Supuestos!$D$6))))))</f>
        <v/>
      </c>
      <c r="K982" s="32">
        <f>MIN(IF(Supuestos!$H$7="",1E+99,Supuestos!$H$7),MAX(IF(Supuestos!$G$7="",-1E+99,Supuestos!$G$7),IF(Supuestos!$C$7="Normal",NORMINV(D982,Supuestos!$D$7,Supuestos!$E$7),IF(Supuestos!$C$7="Triangular",IF(D982&lt;(Supuestos!$E$7-Supuestos!$D$7)/(Supuestos!$F$7-Supuestos!$D$7),Supuestos!$D$7+SQRT(D982*(Supuestos!$F$7-Supuestos!$D$7)*(Supuestos!$E$7-Supuestos!$D$7)),Supuestos!$F$7-SQRT((1-D982)*(Supuestos!$F$7-Supuestos!$D$7)*(Supuestos!$F$7-Supuestos!$E$7))),IF(Supuestos!$C$7="Uniforme",Supuestos!$D$7+D982*(Supuestos!$E$7-Supuestos!$D$7),IF(Supuestos!$C$7="Lognormal",LOGINV(D982,LN(Supuestos!$D$7)-LN(1+Supuestos!$E$7^2/Supuestos!$D$7^2)/2,SQRT(LN(1+Supuestos!$E$7^2/Supuestos!$D$7^2))),Supuestos!$D$7))))))</f>
        <v/>
      </c>
      <c r="L982" s="32">
        <f>MIN(IF(Supuestos!$H$8="",1E+99,Supuestos!$H$8),MAX(IF(Supuestos!$G$8="",-1E+99,Supuestos!$G$8),IF(Supuestos!$C$8="Normal",NORMINV(E982,Supuestos!$D$8,Supuestos!$E$8),IF(Supuestos!$C$8="Triangular",IF(E982&lt;(Supuestos!$E$8-Supuestos!$D$8)/(Supuestos!$F$8-Supuestos!$D$8),Supuestos!$D$8+SQRT(E982*(Supuestos!$F$8-Supuestos!$D$8)*(Supuestos!$E$8-Supuestos!$D$8)),Supuestos!$F$8-SQRT((1-E982)*(Supuestos!$F$8-Supuestos!$D$8)*(Supuestos!$F$8-Supuestos!$E$8))),IF(Supuestos!$C$8="Uniforme",Supuestos!$D$8+E982*(Supuestos!$E$8-Supuestos!$D$8),IF(Supuestos!$C$8="Lognormal",LOGINV(E982,LN(Supuestos!$D$8)-LN(1+Supuestos!$E$8^2/Supuestos!$D$8^2)/2,SQRT(LN(1+Supuestos!$E$8^2/Supuestos!$D$8^2))),Supuestos!$D$8))))))</f>
        <v/>
      </c>
      <c r="M982" s="32">
        <f>MIN(IF(Supuestos!$H$9="",1E+99,Supuestos!$H$9),MAX(IF(Supuestos!$G$9="",-1E+99,Supuestos!$G$9),IF(Supuestos!$C$9="Normal",NORMINV(F982,Supuestos!$D$9,Supuestos!$E$9),IF(Supuestos!$C$9="Triangular",IF(F982&lt;(Supuestos!$E$9-Supuestos!$D$9)/(Supuestos!$F$9-Supuestos!$D$9),Supuestos!$D$9+SQRT(F982*(Supuestos!$F$9-Supuestos!$D$9)*(Supuestos!$E$9-Supuestos!$D$9)),Supuestos!$F$9-SQRT((1-F982)*(Supuestos!$F$9-Supuestos!$D$9)*(Supuestos!$F$9-Supuestos!$E$9))),IF(Supuestos!$C$9="Uniforme",Supuestos!$D$9+F982*(Supuestos!$E$9-Supuestos!$D$9),IF(Supuestos!$C$9="Lognormal",LOGINV(F982,LN(Supuestos!$D$9)-LN(1+Supuestos!$E$9^2/Supuestos!$D$9^2)/2,SQRT(LN(1+Supuestos!$E$9^2/Supuestos!$D$9^2))),Supuestos!$D$9))))))</f>
        <v/>
      </c>
      <c r="N982" s="32">
        <f>MIN(IF(Supuestos!$H$10="",1E+99,Supuestos!$H$10),MAX(IF(Supuestos!$G$10="",-1E+99,Supuestos!$G$10),IF(Supuestos!$C$10="Normal",NORMINV(G982,Supuestos!$D$10,Supuestos!$E$10),IF(Supuestos!$C$10="Triangular",IF(G982&lt;(Supuestos!$E$10-Supuestos!$D$10)/(Supuestos!$F$10-Supuestos!$D$10),Supuestos!$D$10+SQRT(G982*(Supuestos!$F$10-Supuestos!$D$10)*(Supuestos!$E$10-Supuestos!$D$10)),Supuestos!$F$10-SQRT((1-G982)*(Supuestos!$F$10-Supuestos!$D$10)*(Supuestos!$F$10-Supuestos!$E$10))),IF(Supuestos!$C$10="Uniforme",Supuestos!$D$10+G982*(Supuestos!$E$10-Supuestos!$D$10),IF(Supuestos!$C$10="Lognormal",LOGINV(G982,LN(Supuestos!$D$10)-LN(1+Supuestos!$E$10^2/Supuestos!$D$10^2)/2,SQRT(LN(1+Supuestos!$E$10^2/Supuestos!$D$10^2))),Supuestos!$D$10))))))</f>
        <v/>
      </c>
      <c r="O982" s="31">
        <f>MIN(IF(Supuestos!$H$11="",1E+99,Supuestos!$H$11),MAX(IF(Supuestos!$G$11="",-1E+99,Supuestos!$G$11),IF(Supuestos!$C$11="Normal",NORMINV(H982,Supuestos!$D$11,Supuestos!$E$11),IF(Supuestos!$C$11="Triangular",IF(H982&lt;(Supuestos!$E$11-Supuestos!$D$11)/(Supuestos!$F$11-Supuestos!$D$11),Supuestos!$D$11+SQRT(H982*(Supuestos!$F$11-Supuestos!$D$11)*(Supuestos!$E$11-Supuestos!$D$11)),Supuestos!$F$11-SQRT((1-H982)*(Supuestos!$F$11-Supuestos!$D$11)*(Supuestos!$F$11-Supuestos!$E$11))),IF(Supuestos!$C$11="Uniforme",Supuestos!$D$11+H982*(Supuestos!$E$11-Supuestos!$D$11),IF(Supuestos!$C$11="Lognormal",LOGINV(H982,LN(Supuestos!$D$11)-LN(1+Supuestos!$E$11^2/Supuestos!$D$11^2)/2,SQRT(LN(1+Supuestos!$E$11^2/Supuestos!$D$11^2))),Supuestos!$D$11))))))</f>
        <v/>
      </c>
      <c r="P982" s="33">
        <f>-I982</f>
        <v/>
      </c>
      <c r="Q982" s="33">
        <f>$J982*(1+$K982)^(1-1)*(1-$L982)*(1-$M982)</f>
        <v/>
      </c>
      <c r="R982" s="33">
        <f>$J982*(1+$K982)^(2-1)*(1-$L982)*(1-$M982)</f>
        <v/>
      </c>
      <c r="S982" s="33">
        <f>$J982*(1+$K982)^(3-1)*(1-$L982)*(1-$M982)</f>
        <v/>
      </c>
      <c r="T982" s="33">
        <f>$J982*(1+$K982)^(4-1)*(1-$L982)*(1-$M982)</f>
        <v/>
      </c>
      <c r="U982" s="33">
        <f>$J982*(1+$K982)^(5-1)*(1-$L982)*(1-$M982)+$O982</f>
        <v/>
      </c>
      <c r="V982" s="33">
        <f>P982+NPV($N982,Q982:U982)</f>
        <v/>
      </c>
      <c r="W982" s="32">
        <f>IFERROR(IRR(P982:U982,0.1),"")</f>
        <v/>
      </c>
    </row>
    <row r="983">
      <c r="A983" s="14" t="n">
        <v>979</v>
      </c>
      <c r="B983" s="30">
        <f>RAND()*(1-2E-6)+1E-6</f>
        <v/>
      </c>
      <c r="C983" s="30">
        <f>RAND()*(1-2E-6)+1E-6</f>
        <v/>
      </c>
      <c r="D983" s="30">
        <f>RAND()*(1-2E-6)+1E-6</f>
        <v/>
      </c>
      <c r="E983" s="30">
        <f>RAND()*(1-2E-6)+1E-6</f>
        <v/>
      </c>
      <c r="F983" s="30">
        <f>RAND()*(1-2E-6)+1E-6</f>
        <v/>
      </c>
      <c r="G983" s="30">
        <f>RAND()*(1-2E-6)+1E-6</f>
        <v/>
      </c>
      <c r="H983" s="30">
        <f>RAND()*(1-2E-6)+1E-6</f>
        <v/>
      </c>
      <c r="I983" s="31">
        <f>MIN(IF(Supuestos!$H$5="",1E+99,Supuestos!$H$5),MAX(IF(Supuestos!$G$5="",-1E+99,Supuestos!$G$5),IF(Supuestos!$C$5="Normal",NORMINV(B983,Supuestos!$D$5,Supuestos!$E$5),IF(Supuestos!$C$5="Triangular",IF(B983&lt;(Supuestos!$E$5-Supuestos!$D$5)/(Supuestos!$F$5-Supuestos!$D$5),Supuestos!$D$5+SQRT(B983*(Supuestos!$F$5-Supuestos!$D$5)*(Supuestos!$E$5-Supuestos!$D$5)),Supuestos!$F$5-SQRT((1-B983)*(Supuestos!$F$5-Supuestos!$D$5)*(Supuestos!$F$5-Supuestos!$E$5))),IF(Supuestos!$C$5="Uniforme",Supuestos!$D$5+B983*(Supuestos!$E$5-Supuestos!$D$5),IF(Supuestos!$C$5="Lognormal",LOGINV(B983,LN(Supuestos!$D$5)-LN(1+Supuestos!$E$5^2/Supuestos!$D$5^2)/2,SQRT(LN(1+Supuestos!$E$5^2/Supuestos!$D$5^2))),Supuestos!$D$5))))))</f>
        <v/>
      </c>
      <c r="J983" s="31">
        <f>MIN(IF(Supuestos!$H$6="",1E+99,Supuestos!$H$6),MAX(IF(Supuestos!$G$6="",-1E+99,Supuestos!$G$6),IF(Supuestos!$C$6="Normal",NORMINV(C983,Supuestos!$D$6,Supuestos!$E$6),IF(Supuestos!$C$6="Triangular",IF(C983&lt;(Supuestos!$E$6-Supuestos!$D$6)/(Supuestos!$F$6-Supuestos!$D$6),Supuestos!$D$6+SQRT(C983*(Supuestos!$F$6-Supuestos!$D$6)*(Supuestos!$E$6-Supuestos!$D$6)),Supuestos!$F$6-SQRT((1-C983)*(Supuestos!$F$6-Supuestos!$D$6)*(Supuestos!$F$6-Supuestos!$E$6))),IF(Supuestos!$C$6="Uniforme",Supuestos!$D$6+C983*(Supuestos!$E$6-Supuestos!$D$6),IF(Supuestos!$C$6="Lognormal",LOGINV(C983,LN(Supuestos!$D$6)-LN(1+Supuestos!$E$6^2/Supuestos!$D$6^2)/2,SQRT(LN(1+Supuestos!$E$6^2/Supuestos!$D$6^2))),Supuestos!$D$6))))))</f>
        <v/>
      </c>
      <c r="K983" s="32">
        <f>MIN(IF(Supuestos!$H$7="",1E+99,Supuestos!$H$7),MAX(IF(Supuestos!$G$7="",-1E+99,Supuestos!$G$7),IF(Supuestos!$C$7="Normal",NORMINV(D983,Supuestos!$D$7,Supuestos!$E$7),IF(Supuestos!$C$7="Triangular",IF(D983&lt;(Supuestos!$E$7-Supuestos!$D$7)/(Supuestos!$F$7-Supuestos!$D$7),Supuestos!$D$7+SQRT(D983*(Supuestos!$F$7-Supuestos!$D$7)*(Supuestos!$E$7-Supuestos!$D$7)),Supuestos!$F$7-SQRT((1-D983)*(Supuestos!$F$7-Supuestos!$D$7)*(Supuestos!$F$7-Supuestos!$E$7))),IF(Supuestos!$C$7="Uniforme",Supuestos!$D$7+D983*(Supuestos!$E$7-Supuestos!$D$7),IF(Supuestos!$C$7="Lognormal",LOGINV(D983,LN(Supuestos!$D$7)-LN(1+Supuestos!$E$7^2/Supuestos!$D$7^2)/2,SQRT(LN(1+Supuestos!$E$7^2/Supuestos!$D$7^2))),Supuestos!$D$7))))))</f>
        <v/>
      </c>
      <c r="L983" s="32">
        <f>MIN(IF(Supuestos!$H$8="",1E+99,Supuestos!$H$8),MAX(IF(Supuestos!$G$8="",-1E+99,Supuestos!$G$8),IF(Supuestos!$C$8="Normal",NORMINV(E983,Supuestos!$D$8,Supuestos!$E$8),IF(Supuestos!$C$8="Triangular",IF(E983&lt;(Supuestos!$E$8-Supuestos!$D$8)/(Supuestos!$F$8-Supuestos!$D$8),Supuestos!$D$8+SQRT(E983*(Supuestos!$F$8-Supuestos!$D$8)*(Supuestos!$E$8-Supuestos!$D$8)),Supuestos!$F$8-SQRT((1-E983)*(Supuestos!$F$8-Supuestos!$D$8)*(Supuestos!$F$8-Supuestos!$E$8))),IF(Supuestos!$C$8="Uniforme",Supuestos!$D$8+E983*(Supuestos!$E$8-Supuestos!$D$8),IF(Supuestos!$C$8="Lognormal",LOGINV(E983,LN(Supuestos!$D$8)-LN(1+Supuestos!$E$8^2/Supuestos!$D$8^2)/2,SQRT(LN(1+Supuestos!$E$8^2/Supuestos!$D$8^2))),Supuestos!$D$8))))))</f>
        <v/>
      </c>
      <c r="M983" s="32">
        <f>MIN(IF(Supuestos!$H$9="",1E+99,Supuestos!$H$9),MAX(IF(Supuestos!$G$9="",-1E+99,Supuestos!$G$9),IF(Supuestos!$C$9="Normal",NORMINV(F983,Supuestos!$D$9,Supuestos!$E$9),IF(Supuestos!$C$9="Triangular",IF(F983&lt;(Supuestos!$E$9-Supuestos!$D$9)/(Supuestos!$F$9-Supuestos!$D$9),Supuestos!$D$9+SQRT(F983*(Supuestos!$F$9-Supuestos!$D$9)*(Supuestos!$E$9-Supuestos!$D$9)),Supuestos!$F$9-SQRT((1-F983)*(Supuestos!$F$9-Supuestos!$D$9)*(Supuestos!$F$9-Supuestos!$E$9))),IF(Supuestos!$C$9="Uniforme",Supuestos!$D$9+F983*(Supuestos!$E$9-Supuestos!$D$9),IF(Supuestos!$C$9="Lognormal",LOGINV(F983,LN(Supuestos!$D$9)-LN(1+Supuestos!$E$9^2/Supuestos!$D$9^2)/2,SQRT(LN(1+Supuestos!$E$9^2/Supuestos!$D$9^2))),Supuestos!$D$9))))))</f>
        <v/>
      </c>
      <c r="N983" s="32">
        <f>MIN(IF(Supuestos!$H$10="",1E+99,Supuestos!$H$10),MAX(IF(Supuestos!$G$10="",-1E+99,Supuestos!$G$10),IF(Supuestos!$C$10="Normal",NORMINV(G983,Supuestos!$D$10,Supuestos!$E$10),IF(Supuestos!$C$10="Triangular",IF(G983&lt;(Supuestos!$E$10-Supuestos!$D$10)/(Supuestos!$F$10-Supuestos!$D$10),Supuestos!$D$10+SQRT(G983*(Supuestos!$F$10-Supuestos!$D$10)*(Supuestos!$E$10-Supuestos!$D$10)),Supuestos!$F$10-SQRT((1-G983)*(Supuestos!$F$10-Supuestos!$D$10)*(Supuestos!$F$10-Supuestos!$E$10))),IF(Supuestos!$C$10="Uniforme",Supuestos!$D$10+G983*(Supuestos!$E$10-Supuestos!$D$10),IF(Supuestos!$C$10="Lognormal",LOGINV(G983,LN(Supuestos!$D$10)-LN(1+Supuestos!$E$10^2/Supuestos!$D$10^2)/2,SQRT(LN(1+Supuestos!$E$10^2/Supuestos!$D$10^2))),Supuestos!$D$10))))))</f>
        <v/>
      </c>
      <c r="O983" s="31">
        <f>MIN(IF(Supuestos!$H$11="",1E+99,Supuestos!$H$11),MAX(IF(Supuestos!$G$11="",-1E+99,Supuestos!$G$11),IF(Supuestos!$C$11="Normal",NORMINV(H983,Supuestos!$D$11,Supuestos!$E$11),IF(Supuestos!$C$11="Triangular",IF(H983&lt;(Supuestos!$E$11-Supuestos!$D$11)/(Supuestos!$F$11-Supuestos!$D$11),Supuestos!$D$11+SQRT(H983*(Supuestos!$F$11-Supuestos!$D$11)*(Supuestos!$E$11-Supuestos!$D$11)),Supuestos!$F$11-SQRT((1-H983)*(Supuestos!$F$11-Supuestos!$D$11)*(Supuestos!$F$11-Supuestos!$E$11))),IF(Supuestos!$C$11="Uniforme",Supuestos!$D$11+H983*(Supuestos!$E$11-Supuestos!$D$11),IF(Supuestos!$C$11="Lognormal",LOGINV(H983,LN(Supuestos!$D$11)-LN(1+Supuestos!$E$11^2/Supuestos!$D$11^2)/2,SQRT(LN(1+Supuestos!$E$11^2/Supuestos!$D$11^2))),Supuestos!$D$11))))))</f>
        <v/>
      </c>
      <c r="P983" s="33">
        <f>-I983</f>
        <v/>
      </c>
      <c r="Q983" s="33">
        <f>$J983*(1+$K983)^(1-1)*(1-$L983)*(1-$M983)</f>
        <v/>
      </c>
      <c r="R983" s="33">
        <f>$J983*(1+$K983)^(2-1)*(1-$L983)*(1-$M983)</f>
        <v/>
      </c>
      <c r="S983" s="33">
        <f>$J983*(1+$K983)^(3-1)*(1-$L983)*(1-$M983)</f>
        <v/>
      </c>
      <c r="T983" s="33">
        <f>$J983*(1+$K983)^(4-1)*(1-$L983)*(1-$M983)</f>
        <v/>
      </c>
      <c r="U983" s="33">
        <f>$J983*(1+$K983)^(5-1)*(1-$L983)*(1-$M983)+$O983</f>
        <v/>
      </c>
      <c r="V983" s="33">
        <f>P983+NPV($N983,Q983:U983)</f>
        <v/>
      </c>
      <c r="W983" s="32">
        <f>IFERROR(IRR(P983:U983,0.1),"")</f>
        <v/>
      </c>
    </row>
    <row r="984">
      <c r="A984" s="14" t="n">
        <v>980</v>
      </c>
      <c r="B984" s="30">
        <f>RAND()*(1-2E-6)+1E-6</f>
        <v/>
      </c>
      <c r="C984" s="30">
        <f>RAND()*(1-2E-6)+1E-6</f>
        <v/>
      </c>
      <c r="D984" s="30">
        <f>RAND()*(1-2E-6)+1E-6</f>
        <v/>
      </c>
      <c r="E984" s="30">
        <f>RAND()*(1-2E-6)+1E-6</f>
        <v/>
      </c>
      <c r="F984" s="30">
        <f>RAND()*(1-2E-6)+1E-6</f>
        <v/>
      </c>
      <c r="G984" s="30">
        <f>RAND()*(1-2E-6)+1E-6</f>
        <v/>
      </c>
      <c r="H984" s="30">
        <f>RAND()*(1-2E-6)+1E-6</f>
        <v/>
      </c>
      <c r="I984" s="31">
        <f>MIN(IF(Supuestos!$H$5="",1E+99,Supuestos!$H$5),MAX(IF(Supuestos!$G$5="",-1E+99,Supuestos!$G$5),IF(Supuestos!$C$5="Normal",NORMINV(B984,Supuestos!$D$5,Supuestos!$E$5),IF(Supuestos!$C$5="Triangular",IF(B984&lt;(Supuestos!$E$5-Supuestos!$D$5)/(Supuestos!$F$5-Supuestos!$D$5),Supuestos!$D$5+SQRT(B984*(Supuestos!$F$5-Supuestos!$D$5)*(Supuestos!$E$5-Supuestos!$D$5)),Supuestos!$F$5-SQRT((1-B984)*(Supuestos!$F$5-Supuestos!$D$5)*(Supuestos!$F$5-Supuestos!$E$5))),IF(Supuestos!$C$5="Uniforme",Supuestos!$D$5+B984*(Supuestos!$E$5-Supuestos!$D$5),IF(Supuestos!$C$5="Lognormal",LOGINV(B984,LN(Supuestos!$D$5)-LN(1+Supuestos!$E$5^2/Supuestos!$D$5^2)/2,SQRT(LN(1+Supuestos!$E$5^2/Supuestos!$D$5^2))),Supuestos!$D$5))))))</f>
        <v/>
      </c>
      <c r="J984" s="31">
        <f>MIN(IF(Supuestos!$H$6="",1E+99,Supuestos!$H$6),MAX(IF(Supuestos!$G$6="",-1E+99,Supuestos!$G$6),IF(Supuestos!$C$6="Normal",NORMINV(C984,Supuestos!$D$6,Supuestos!$E$6),IF(Supuestos!$C$6="Triangular",IF(C984&lt;(Supuestos!$E$6-Supuestos!$D$6)/(Supuestos!$F$6-Supuestos!$D$6),Supuestos!$D$6+SQRT(C984*(Supuestos!$F$6-Supuestos!$D$6)*(Supuestos!$E$6-Supuestos!$D$6)),Supuestos!$F$6-SQRT((1-C984)*(Supuestos!$F$6-Supuestos!$D$6)*(Supuestos!$F$6-Supuestos!$E$6))),IF(Supuestos!$C$6="Uniforme",Supuestos!$D$6+C984*(Supuestos!$E$6-Supuestos!$D$6),IF(Supuestos!$C$6="Lognormal",LOGINV(C984,LN(Supuestos!$D$6)-LN(1+Supuestos!$E$6^2/Supuestos!$D$6^2)/2,SQRT(LN(1+Supuestos!$E$6^2/Supuestos!$D$6^2))),Supuestos!$D$6))))))</f>
        <v/>
      </c>
      <c r="K984" s="32">
        <f>MIN(IF(Supuestos!$H$7="",1E+99,Supuestos!$H$7),MAX(IF(Supuestos!$G$7="",-1E+99,Supuestos!$G$7),IF(Supuestos!$C$7="Normal",NORMINV(D984,Supuestos!$D$7,Supuestos!$E$7),IF(Supuestos!$C$7="Triangular",IF(D984&lt;(Supuestos!$E$7-Supuestos!$D$7)/(Supuestos!$F$7-Supuestos!$D$7),Supuestos!$D$7+SQRT(D984*(Supuestos!$F$7-Supuestos!$D$7)*(Supuestos!$E$7-Supuestos!$D$7)),Supuestos!$F$7-SQRT((1-D984)*(Supuestos!$F$7-Supuestos!$D$7)*(Supuestos!$F$7-Supuestos!$E$7))),IF(Supuestos!$C$7="Uniforme",Supuestos!$D$7+D984*(Supuestos!$E$7-Supuestos!$D$7),IF(Supuestos!$C$7="Lognormal",LOGINV(D984,LN(Supuestos!$D$7)-LN(1+Supuestos!$E$7^2/Supuestos!$D$7^2)/2,SQRT(LN(1+Supuestos!$E$7^2/Supuestos!$D$7^2))),Supuestos!$D$7))))))</f>
        <v/>
      </c>
      <c r="L984" s="32">
        <f>MIN(IF(Supuestos!$H$8="",1E+99,Supuestos!$H$8),MAX(IF(Supuestos!$G$8="",-1E+99,Supuestos!$G$8),IF(Supuestos!$C$8="Normal",NORMINV(E984,Supuestos!$D$8,Supuestos!$E$8),IF(Supuestos!$C$8="Triangular",IF(E984&lt;(Supuestos!$E$8-Supuestos!$D$8)/(Supuestos!$F$8-Supuestos!$D$8),Supuestos!$D$8+SQRT(E984*(Supuestos!$F$8-Supuestos!$D$8)*(Supuestos!$E$8-Supuestos!$D$8)),Supuestos!$F$8-SQRT((1-E984)*(Supuestos!$F$8-Supuestos!$D$8)*(Supuestos!$F$8-Supuestos!$E$8))),IF(Supuestos!$C$8="Uniforme",Supuestos!$D$8+E984*(Supuestos!$E$8-Supuestos!$D$8),IF(Supuestos!$C$8="Lognormal",LOGINV(E984,LN(Supuestos!$D$8)-LN(1+Supuestos!$E$8^2/Supuestos!$D$8^2)/2,SQRT(LN(1+Supuestos!$E$8^2/Supuestos!$D$8^2))),Supuestos!$D$8))))))</f>
        <v/>
      </c>
      <c r="M984" s="32">
        <f>MIN(IF(Supuestos!$H$9="",1E+99,Supuestos!$H$9),MAX(IF(Supuestos!$G$9="",-1E+99,Supuestos!$G$9),IF(Supuestos!$C$9="Normal",NORMINV(F984,Supuestos!$D$9,Supuestos!$E$9),IF(Supuestos!$C$9="Triangular",IF(F984&lt;(Supuestos!$E$9-Supuestos!$D$9)/(Supuestos!$F$9-Supuestos!$D$9),Supuestos!$D$9+SQRT(F984*(Supuestos!$F$9-Supuestos!$D$9)*(Supuestos!$E$9-Supuestos!$D$9)),Supuestos!$F$9-SQRT((1-F984)*(Supuestos!$F$9-Supuestos!$D$9)*(Supuestos!$F$9-Supuestos!$E$9))),IF(Supuestos!$C$9="Uniforme",Supuestos!$D$9+F984*(Supuestos!$E$9-Supuestos!$D$9),IF(Supuestos!$C$9="Lognormal",LOGINV(F984,LN(Supuestos!$D$9)-LN(1+Supuestos!$E$9^2/Supuestos!$D$9^2)/2,SQRT(LN(1+Supuestos!$E$9^2/Supuestos!$D$9^2))),Supuestos!$D$9))))))</f>
        <v/>
      </c>
      <c r="N984" s="32">
        <f>MIN(IF(Supuestos!$H$10="",1E+99,Supuestos!$H$10),MAX(IF(Supuestos!$G$10="",-1E+99,Supuestos!$G$10),IF(Supuestos!$C$10="Normal",NORMINV(G984,Supuestos!$D$10,Supuestos!$E$10),IF(Supuestos!$C$10="Triangular",IF(G984&lt;(Supuestos!$E$10-Supuestos!$D$10)/(Supuestos!$F$10-Supuestos!$D$10),Supuestos!$D$10+SQRT(G984*(Supuestos!$F$10-Supuestos!$D$10)*(Supuestos!$E$10-Supuestos!$D$10)),Supuestos!$F$10-SQRT((1-G984)*(Supuestos!$F$10-Supuestos!$D$10)*(Supuestos!$F$10-Supuestos!$E$10))),IF(Supuestos!$C$10="Uniforme",Supuestos!$D$10+G984*(Supuestos!$E$10-Supuestos!$D$10),IF(Supuestos!$C$10="Lognormal",LOGINV(G984,LN(Supuestos!$D$10)-LN(1+Supuestos!$E$10^2/Supuestos!$D$10^2)/2,SQRT(LN(1+Supuestos!$E$10^2/Supuestos!$D$10^2))),Supuestos!$D$10))))))</f>
        <v/>
      </c>
      <c r="O984" s="31">
        <f>MIN(IF(Supuestos!$H$11="",1E+99,Supuestos!$H$11),MAX(IF(Supuestos!$G$11="",-1E+99,Supuestos!$G$11),IF(Supuestos!$C$11="Normal",NORMINV(H984,Supuestos!$D$11,Supuestos!$E$11),IF(Supuestos!$C$11="Triangular",IF(H984&lt;(Supuestos!$E$11-Supuestos!$D$11)/(Supuestos!$F$11-Supuestos!$D$11),Supuestos!$D$11+SQRT(H984*(Supuestos!$F$11-Supuestos!$D$11)*(Supuestos!$E$11-Supuestos!$D$11)),Supuestos!$F$11-SQRT((1-H984)*(Supuestos!$F$11-Supuestos!$D$11)*(Supuestos!$F$11-Supuestos!$E$11))),IF(Supuestos!$C$11="Uniforme",Supuestos!$D$11+H984*(Supuestos!$E$11-Supuestos!$D$11),IF(Supuestos!$C$11="Lognormal",LOGINV(H984,LN(Supuestos!$D$11)-LN(1+Supuestos!$E$11^2/Supuestos!$D$11^2)/2,SQRT(LN(1+Supuestos!$E$11^2/Supuestos!$D$11^2))),Supuestos!$D$11))))))</f>
        <v/>
      </c>
      <c r="P984" s="33">
        <f>-I984</f>
        <v/>
      </c>
      <c r="Q984" s="33">
        <f>$J984*(1+$K984)^(1-1)*(1-$L984)*(1-$M984)</f>
        <v/>
      </c>
      <c r="R984" s="33">
        <f>$J984*(1+$K984)^(2-1)*(1-$L984)*(1-$M984)</f>
        <v/>
      </c>
      <c r="S984" s="33">
        <f>$J984*(1+$K984)^(3-1)*(1-$L984)*(1-$M984)</f>
        <v/>
      </c>
      <c r="T984" s="33">
        <f>$J984*(1+$K984)^(4-1)*(1-$L984)*(1-$M984)</f>
        <v/>
      </c>
      <c r="U984" s="33">
        <f>$J984*(1+$K984)^(5-1)*(1-$L984)*(1-$M984)+$O984</f>
        <v/>
      </c>
      <c r="V984" s="33">
        <f>P984+NPV($N984,Q984:U984)</f>
        <v/>
      </c>
      <c r="W984" s="32">
        <f>IFERROR(IRR(P984:U984,0.1),"")</f>
        <v/>
      </c>
    </row>
    <row r="985">
      <c r="A985" s="14" t="n">
        <v>981</v>
      </c>
      <c r="B985" s="30">
        <f>RAND()*(1-2E-6)+1E-6</f>
        <v/>
      </c>
      <c r="C985" s="30">
        <f>RAND()*(1-2E-6)+1E-6</f>
        <v/>
      </c>
      <c r="D985" s="30">
        <f>RAND()*(1-2E-6)+1E-6</f>
        <v/>
      </c>
      <c r="E985" s="30">
        <f>RAND()*(1-2E-6)+1E-6</f>
        <v/>
      </c>
      <c r="F985" s="30">
        <f>RAND()*(1-2E-6)+1E-6</f>
        <v/>
      </c>
      <c r="G985" s="30">
        <f>RAND()*(1-2E-6)+1E-6</f>
        <v/>
      </c>
      <c r="H985" s="30">
        <f>RAND()*(1-2E-6)+1E-6</f>
        <v/>
      </c>
      <c r="I985" s="31">
        <f>MIN(IF(Supuestos!$H$5="",1E+99,Supuestos!$H$5),MAX(IF(Supuestos!$G$5="",-1E+99,Supuestos!$G$5),IF(Supuestos!$C$5="Normal",NORMINV(B985,Supuestos!$D$5,Supuestos!$E$5),IF(Supuestos!$C$5="Triangular",IF(B985&lt;(Supuestos!$E$5-Supuestos!$D$5)/(Supuestos!$F$5-Supuestos!$D$5),Supuestos!$D$5+SQRT(B985*(Supuestos!$F$5-Supuestos!$D$5)*(Supuestos!$E$5-Supuestos!$D$5)),Supuestos!$F$5-SQRT((1-B985)*(Supuestos!$F$5-Supuestos!$D$5)*(Supuestos!$F$5-Supuestos!$E$5))),IF(Supuestos!$C$5="Uniforme",Supuestos!$D$5+B985*(Supuestos!$E$5-Supuestos!$D$5),IF(Supuestos!$C$5="Lognormal",LOGINV(B985,LN(Supuestos!$D$5)-LN(1+Supuestos!$E$5^2/Supuestos!$D$5^2)/2,SQRT(LN(1+Supuestos!$E$5^2/Supuestos!$D$5^2))),Supuestos!$D$5))))))</f>
        <v/>
      </c>
      <c r="J985" s="31">
        <f>MIN(IF(Supuestos!$H$6="",1E+99,Supuestos!$H$6),MAX(IF(Supuestos!$G$6="",-1E+99,Supuestos!$G$6),IF(Supuestos!$C$6="Normal",NORMINV(C985,Supuestos!$D$6,Supuestos!$E$6),IF(Supuestos!$C$6="Triangular",IF(C985&lt;(Supuestos!$E$6-Supuestos!$D$6)/(Supuestos!$F$6-Supuestos!$D$6),Supuestos!$D$6+SQRT(C985*(Supuestos!$F$6-Supuestos!$D$6)*(Supuestos!$E$6-Supuestos!$D$6)),Supuestos!$F$6-SQRT((1-C985)*(Supuestos!$F$6-Supuestos!$D$6)*(Supuestos!$F$6-Supuestos!$E$6))),IF(Supuestos!$C$6="Uniforme",Supuestos!$D$6+C985*(Supuestos!$E$6-Supuestos!$D$6),IF(Supuestos!$C$6="Lognormal",LOGINV(C985,LN(Supuestos!$D$6)-LN(1+Supuestos!$E$6^2/Supuestos!$D$6^2)/2,SQRT(LN(1+Supuestos!$E$6^2/Supuestos!$D$6^2))),Supuestos!$D$6))))))</f>
        <v/>
      </c>
      <c r="K985" s="32">
        <f>MIN(IF(Supuestos!$H$7="",1E+99,Supuestos!$H$7),MAX(IF(Supuestos!$G$7="",-1E+99,Supuestos!$G$7),IF(Supuestos!$C$7="Normal",NORMINV(D985,Supuestos!$D$7,Supuestos!$E$7),IF(Supuestos!$C$7="Triangular",IF(D985&lt;(Supuestos!$E$7-Supuestos!$D$7)/(Supuestos!$F$7-Supuestos!$D$7),Supuestos!$D$7+SQRT(D985*(Supuestos!$F$7-Supuestos!$D$7)*(Supuestos!$E$7-Supuestos!$D$7)),Supuestos!$F$7-SQRT((1-D985)*(Supuestos!$F$7-Supuestos!$D$7)*(Supuestos!$F$7-Supuestos!$E$7))),IF(Supuestos!$C$7="Uniforme",Supuestos!$D$7+D985*(Supuestos!$E$7-Supuestos!$D$7),IF(Supuestos!$C$7="Lognormal",LOGINV(D985,LN(Supuestos!$D$7)-LN(1+Supuestos!$E$7^2/Supuestos!$D$7^2)/2,SQRT(LN(1+Supuestos!$E$7^2/Supuestos!$D$7^2))),Supuestos!$D$7))))))</f>
        <v/>
      </c>
      <c r="L985" s="32">
        <f>MIN(IF(Supuestos!$H$8="",1E+99,Supuestos!$H$8),MAX(IF(Supuestos!$G$8="",-1E+99,Supuestos!$G$8),IF(Supuestos!$C$8="Normal",NORMINV(E985,Supuestos!$D$8,Supuestos!$E$8),IF(Supuestos!$C$8="Triangular",IF(E985&lt;(Supuestos!$E$8-Supuestos!$D$8)/(Supuestos!$F$8-Supuestos!$D$8),Supuestos!$D$8+SQRT(E985*(Supuestos!$F$8-Supuestos!$D$8)*(Supuestos!$E$8-Supuestos!$D$8)),Supuestos!$F$8-SQRT((1-E985)*(Supuestos!$F$8-Supuestos!$D$8)*(Supuestos!$F$8-Supuestos!$E$8))),IF(Supuestos!$C$8="Uniforme",Supuestos!$D$8+E985*(Supuestos!$E$8-Supuestos!$D$8),IF(Supuestos!$C$8="Lognormal",LOGINV(E985,LN(Supuestos!$D$8)-LN(1+Supuestos!$E$8^2/Supuestos!$D$8^2)/2,SQRT(LN(1+Supuestos!$E$8^2/Supuestos!$D$8^2))),Supuestos!$D$8))))))</f>
        <v/>
      </c>
      <c r="M985" s="32">
        <f>MIN(IF(Supuestos!$H$9="",1E+99,Supuestos!$H$9),MAX(IF(Supuestos!$G$9="",-1E+99,Supuestos!$G$9),IF(Supuestos!$C$9="Normal",NORMINV(F985,Supuestos!$D$9,Supuestos!$E$9),IF(Supuestos!$C$9="Triangular",IF(F985&lt;(Supuestos!$E$9-Supuestos!$D$9)/(Supuestos!$F$9-Supuestos!$D$9),Supuestos!$D$9+SQRT(F985*(Supuestos!$F$9-Supuestos!$D$9)*(Supuestos!$E$9-Supuestos!$D$9)),Supuestos!$F$9-SQRT((1-F985)*(Supuestos!$F$9-Supuestos!$D$9)*(Supuestos!$F$9-Supuestos!$E$9))),IF(Supuestos!$C$9="Uniforme",Supuestos!$D$9+F985*(Supuestos!$E$9-Supuestos!$D$9),IF(Supuestos!$C$9="Lognormal",LOGINV(F985,LN(Supuestos!$D$9)-LN(1+Supuestos!$E$9^2/Supuestos!$D$9^2)/2,SQRT(LN(1+Supuestos!$E$9^2/Supuestos!$D$9^2))),Supuestos!$D$9))))))</f>
        <v/>
      </c>
      <c r="N985" s="32">
        <f>MIN(IF(Supuestos!$H$10="",1E+99,Supuestos!$H$10),MAX(IF(Supuestos!$G$10="",-1E+99,Supuestos!$G$10),IF(Supuestos!$C$10="Normal",NORMINV(G985,Supuestos!$D$10,Supuestos!$E$10),IF(Supuestos!$C$10="Triangular",IF(G985&lt;(Supuestos!$E$10-Supuestos!$D$10)/(Supuestos!$F$10-Supuestos!$D$10),Supuestos!$D$10+SQRT(G985*(Supuestos!$F$10-Supuestos!$D$10)*(Supuestos!$E$10-Supuestos!$D$10)),Supuestos!$F$10-SQRT((1-G985)*(Supuestos!$F$10-Supuestos!$D$10)*(Supuestos!$F$10-Supuestos!$E$10))),IF(Supuestos!$C$10="Uniforme",Supuestos!$D$10+G985*(Supuestos!$E$10-Supuestos!$D$10),IF(Supuestos!$C$10="Lognormal",LOGINV(G985,LN(Supuestos!$D$10)-LN(1+Supuestos!$E$10^2/Supuestos!$D$10^2)/2,SQRT(LN(1+Supuestos!$E$10^2/Supuestos!$D$10^2))),Supuestos!$D$10))))))</f>
        <v/>
      </c>
      <c r="O985" s="31">
        <f>MIN(IF(Supuestos!$H$11="",1E+99,Supuestos!$H$11),MAX(IF(Supuestos!$G$11="",-1E+99,Supuestos!$G$11),IF(Supuestos!$C$11="Normal",NORMINV(H985,Supuestos!$D$11,Supuestos!$E$11),IF(Supuestos!$C$11="Triangular",IF(H985&lt;(Supuestos!$E$11-Supuestos!$D$11)/(Supuestos!$F$11-Supuestos!$D$11),Supuestos!$D$11+SQRT(H985*(Supuestos!$F$11-Supuestos!$D$11)*(Supuestos!$E$11-Supuestos!$D$11)),Supuestos!$F$11-SQRT((1-H985)*(Supuestos!$F$11-Supuestos!$D$11)*(Supuestos!$F$11-Supuestos!$E$11))),IF(Supuestos!$C$11="Uniforme",Supuestos!$D$11+H985*(Supuestos!$E$11-Supuestos!$D$11),IF(Supuestos!$C$11="Lognormal",LOGINV(H985,LN(Supuestos!$D$11)-LN(1+Supuestos!$E$11^2/Supuestos!$D$11^2)/2,SQRT(LN(1+Supuestos!$E$11^2/Supuestos!$D$11^2))),Supuestos!$D$11))))))</f>
        <v/>
      </c>
      <c r="P985" s="33">
        <f>-I985</f>
        <v/>
      </c>
      <c r="Q985" s="33">
        <f>$J985*(1+$K985)^(1-1)*(1-$L985)*(1-$M985)</f>
        <v/>
      </c>
      <c r="R985" s="33">
        <f>$J985*(1+$K985)^(2-1)*(1-$L985)*(1-$M985)</f>
        <v/>
      </c>
      <c r="S985" s="33">
        <f>$J985*(1+$K985)^(3-1)*(1-$L985)*(1-$M985)</f>
        <v/>
      </c>
      <c r="T985" s="33">
        <f>$J985*(1+$K985)^(4-1)*(1-$L985)*(1-$M985)</f>
        <v/>
      </c>
      <c r="U985" s="33">
        <f>$J985*(1+$K985)^(5-1)*(1-$L985)*(1-$M985)+$O985</f>
        <v/>
      </c>
      <c r="V985" s="33">
        <f>P985+NPV($N985,Q985:U985)</f>
        <v/>
      </c>
      <c r="W985" s="32">
        <f>IFERROR(IRR(P985:U985,0.1),"")</f>
        <v/>
      </c>
    </row>
    <row r="986">
      <c r="A986" s="14" t="n">
        <v>982</v>
      </c>
      <c r="B986" s="30">
        <f>RAND()*(1-2E-6)+1E-6</f>
        <v/>
      </c>
      <c r="C986" s="30">
        <f>RAND()*(1-2E-6)+1E-6</f>
        <v/>
      </c>
      <c r="D986" s="30">
        <f>RAND()*(1-2E-6)+1E-6</f>
        <v/>
      </c>
      <c r="E986" s="30">
        <f>RAND()*(1-2E-6)+1E-6</f>
        <v/>
      </c>
      <c r="F986" s="30">
        <f>RAND()*(1-2E-6)+1E-6</f>
        <v/>
      </c>
      <c r="G986" s="30">
        <f>RAND()*(1-2E-6)+1E-6</f>
        <v/>
      </c>
      <c r="H986" s="30">
        <f>RAND()*(1-2E-6)+1E-6</f>
        <v/>
      </c>
      <c r="I986" s="31">
        <f>MIN(IF(Supuestos!$H$5="",1E+99,Supuestos!$H$5),MAX(IF(Supuestos!$G$5="",-1E+99,Supuestos!$G$5),IF(Supuestos!$C$5="Normal",NORMINV(B986,Supuestos!$D$5,Supuestos!$E$5),IF(Supuestos!$C$5="Triangular",IF(B986&lt;(Supuestos!$E$5-Supuestos!$D$5)/(Supuestos!$F$5-Supuestos!$D$5),Supuestos!$D$5+SQRT(B986*(Supuestos!$F$5-Supuestos!$D$5)*(Supuestos!$E$5-Supuestos!$D$5)),Supuestos!$F$5-SQRT((1-B986)*(Supuestos!$F$5-Supuestos!$D$5)*(Supuestos!$F$5-Supuestos!$E$5))),IF(Supuestos!$C$5="Uniforme",Supuestos!$D$5+B986*(Supuestos!$E$5-Supuestos!$D$5),IF(Supuestos!$C$5="Lognormal",LOGINV(B986,LN(Supuestos!$D$5)-LN(1+Supuestos!$E$5^2/Supuestos!$D$5^2)/2,SQRT(LN(1+Supuestos!$E$5^2/Supuestos!$D$5^2))),Supuestos!$D$5))))))</f>
        <v/>
      </c>
      <c r="J986" s="31">
        <f>MIN(IF(Supuestos!$H$6="",1E+99,Supuestos!$H$6),MAX(IF(Supuestos!$G$6="",-1E+99,Supuestos!$G$6),IF(Supuestos!$C$6="Normal",NORMINV(C986,Supuestos!$D$6,Supuestos!$E$6),IF(Supuestos!$C$6="Triangular",IF(C986&lt;(Supuestos!$E$6-Supuestos!$D$6)/(Supuestos!$F$6-Supuestos!$D$6),Supuestos!$D$6+SQRT(C986*(Supuestos!$F$6-Supuestos!$D$6)*(Supuestos!$E$6-Supuestos!$D$6)),Supuestos!$F$6-SQRT((1-C986)*(Supuestos!$F$6-Supuestos!$D$6)*(Supuestos!$F$6-Supuestos!$E$6))),IF(Supuestos!$C$6="Uniforme",Supuestos!$D$6+C986*(Supuestos!$E$6-Supuestos!$D$6),IF(Supuestos!$C$6="Lognormal",LOGINV(C986,LN(Supuestos!$D$6)-LN(1+Supuestos!$E$6^2/Supuestos!$D$6^2)/2,SQRT(LN(1+Supuestos!$E$6^2/Supuestos!$D$6^2))),Supuestos!$D$6))))))</f>
        <v/>
      </c>
      <c r="K986" s="32">
        <f>MIN(IF(Supuestos!$H$7="",1E+99,Supuestos!$H$7),MAX(IF(Supuestos!$G$7="",-1E+99,Supuestos!$G$7),IF(Supuestos!$C$7="Normal",NORMINV(D986,Supuestos!$D$7,Supuestos!$E$7),IF(Supuestos!$C$7="Triangular",IF(D986&lt;(Supuestos!$E$7-Supuestos!$D$7)/(Supuestos!$F$7-Supuestos!$D$7),Supuestos!$D$7+SQRT(D986*(Supuestos!$F$7-Supuestos!$D$7)*(Supuestos!$E$7-Supuestos!$D$7)),Supuestos!$F$7-SQRT((1-D986)*(Supuestos!$F$7-Supuestos!$D$7)*(Supuestos!$F$7-Supuestos!$E$7))),IF(Supuestos!$C$7="Uniforme",Supuestos!$D$7+D986*(Supuestos!$E$7-Supuestos!$D$7),IF(Supuestos!$C$7="Lognormal",LOGINV(D986,LN(Supuestos!$D$7)-LN(1+Supuestos!$E$7^2/Supuestos!$D$7^2)/2,SQRT(LN(1+Supuestos!$E$7^2/Supuestos!$D$7^2))),Supuestos!$D$7))))))</f>
        <v/>
      </c>
      <c r="L986" s="32">
        <f>MIN(IF(Supuestos!$H$8="",1E+99,Supuestos!$H$8),MAX(IF(Supuestos!$G$8="",-1E+99,Supuestos!$G$8),IF(Supuestos!$C$8="Normal",NORMINV(E986,Supuestos!$D$8,Supuestos!$E$8),IF(Supuestos!$C$8="Triangular",IF(E986&lt;(Supuestos!$E$8-Supuestos!$D$8)/(Supuestos!$F$8-Supuestos!$D$8),Supuestos!$D$8+SQRT(E986*(Supuestos!$F$8-Supuestos!$D$8)*(Supuestos!$E$8-Supuestos!$D$8)),Supuestos!$F$8-SQRT((1-E986)*(Supuestos!$F$8-Supuestos!$D$8)*(Supuestos!$F$8-Supuestos!$E$8))),IF(Supuestos!$C$8="Uniforme",Supuestos!$D$8+E986*(Supuestos!$E$8-Supuestos!$D$8),IF(Supuestos!$C$8="Lognormal",LOGINV(E986,LN(Supuestos!$D$8)-LN(1+Supuestos!$E$8^2/Supuestos!$D$8^2)/2,SQRT(LN(1+Supuestos!$E$8^2/Supuestos!$D$8^2))),Supuestos!$D$8))))))</f>
        <v/>
      </c>
      <c r="M986" s="32">
        <f>MIN(IF(Supuestos!$H$9="",1E+99,Supuestos!$H$9),MAX(IF(Supuestos!$G$9="",-1E+99,Supuestos!$G$9),IF(Supuestos!$C$9="Normal",NORMINV(F986,Supuestos!$D$9,Supuestos!$E$9),IF(Supuestos!$C$9="Triangular",IF(F986&lt;(Supuestos!$E$9-Supuestos!$D$9)/(Supuestos!$F$9-Supuestos!$D$9),Supuestos!$D$9+SQRT(F986*(Supuestos!$F$9-Supuestos!$D$9)*(Supuestos!$E$9-Supuestos!$D$9)),Supuestos!$F$9-SQRT((1-F986)*(Supuestos!$F$9-Supuestos!$D$9)*(Supuestos!$F$9-Supuestos!$E$9))),IF(Supuestos!$C$9="Uniforme",Supuestos!$D$9+F986*(Supuestos!$E$9-Supuestos!$D$9),IF(Supuestos!$C$9="Lognormal",LOGINV(F986,LN(Supuestos!$D$9)-LN(1+Supuestos!$E$9^2/Supuestos!$D$9^2)/2,SQRT(LN(1+Supuestos!$E$9^2/Supuestos!$D$9^2))),Supuestos!$D$9))))))</f>
        <v/>
      </c>
      <c r="N986" s="32">
        <f>MIN(IF(Supuestos!$H$10="",1E+99,Supuestos!$H$10),MAX(IF(Supuestos!$G$10="",-1E+99,Supuestos!$G$10),IF(Supuestos!$C$10="Normal",NORMINV(G986,Supuestos!$D$10,Supuestos!$E$10),IF(Supuestos!$C$10="Triangular",IF(G986&lt;(Supuestos!$E$10-Supuestos!$D$10)/(Supuestos!$F$10-Supuestos!$D$10),Supuestos!$D$10+SQRT(G986*(Supuestos!$F$10-Supuestos!$D$10)*(Supuestos!$E$10-Supuestos!$D$10)),Supuestos!$F$10-SQRT((1-G986)*(Supuestos!$F$10-Supuestos!$D$10)*(Supuestos!$F$10-Supuestos!$E$10))),IF(Supuestos!$C$10="Uniforme",Supuestos!$D$10+G986*(Supuestos!$E$10-Supuestos!$D$10),IF(Supuestos!$C$10="Lognormal",LOGINV(G986,LN(Supuestos!$D$10)-LN(1+Supuestos!$E$10^2/Supuestos!$D$10^2)/2,SQRT(LN(1+Supuestos!$E$10^2/Supuestos!$D$10^2))),Supuestos!$D$10))))))</f>
        <v/>
      </c>
      <c r="O986" s="31">
        <f>MIN(IF(Supuestos!$H$11="",1E+99,Supuestos!$H$11),MAX(IF(Supuestos!$G$11="",-1E+99,Supuestos!$G$11),IF(Supuestos!$C$11="Normal",NORMINV(H986,Supuestos!$D$11,Supuestos!$E$11),IF(Supuestos!$C$11="Triangular",IF(H986&lt;(Supuestos!$E$11-Supuestos!$D$11)/(Supuestos!$F$11-Supuestos!$D$11),Supuestos!$D$11+SQRT(H986*(Supuestos!$F$11-Supuestos!$D$11)*(Supuestos!$E$11-Supuestos!$D$11)),Supuestos!$F$11-SQRT((1-H986)*(Supuestos!$F$11-Supuestos!$D$11)*(Supuestos!$F$11-Supuestos!$E$11))),IF(Supuestos!$C$11="Uniforme",Supuestos!$D$11+H986*(Supuestos!$E$11-Supuestos!$D$11),IF(Supuestos!$C$11="Lognormal",LOGINV(H986,LN(Supuestos!$D$11)-LN(1+Supuestos!$E$11^2/Supuestos!$D$11^2)/2,SQRT(LN(1+Supuestos!$E$11^2/Supuestos!$D$11^2))),Supuestos!$D$11))))))</f>
        <v/>
      </c>
      <c r="P986" s="33">
        <f>-I986</f>
        <v/>
      </c>
      <c r="Q986" s="33">
        <f>$J986*(1+$K986)^(1-1)*(1-$L986)*(1-$M986)</f>
        <v/>
      </c>
      <c r="R986" s="33">
        <f>$J986*(1+$K986)^(2-1)*(1-$L986)*(1-$M986)</f>
        <v/>
      </c>
      <c r="S986" s="33">
        <f>$J986*(1+$K986)^(3-1)*(1-$L986)*(1-$M986)</f>
        <v/>
      </c>
      <c r="T986" s="33">
        <f>$J986*(1+$K986)^(4-1)*(1-$L986)*(1-$M986)</f>
        <v/>
      </c>
      <c r="U986" s="33">
        <f>$J986*(1+$K986)^(5-1)*(1-$L986)*(1-$M986)+$O986</f>
        <v/>
      </c>
      <c r="V986" s="33">
        <f>P986+NPV($N986,Q986:U986)</f>
        <v/>
      </c>
      <c r="W986" s="32">
        <f>IFERROR(IRR(P986:U986,0.1),"")</f>
        <v/>
      </c>
    </row>
    <row r="987">
      <c r="A987" s="14" t="n">
        <v>983</v>
      </c>
      <c r="B987" s="30">
        <f>RAND()*(1-2E-6)+1E-6</f>
        <v/>
      </c>
      <c r="C987" s="30">
        <f>RAND()*(1-2E-6)+1E-6</f>
        <v/>
      </c>
      <c r="D987" s="30">
        <f>RAND()*(1-2E-6)+1E-6</f>
        <v/>
      </c>
      <c r="E987" s="30">
        <f>RAND()*(1-2E-6)+1E-6</f>
        <v/>
      </c>
      <c r="F987" s="30">
        <f>RAND()*(1-2E-6)+1E-6</f>
        <v/>
      </c>
      <c r="G987" s="30">
        <f>RAND()*(1-2E-6)+1E-6</f>
        <v/>
      </c>
      <c r="H987" s="30">
        <f>RAND()*(1-2E-6)+1E-6</f>
        <v/>
      </c>
      <c r="I987" s="31">
        <f>MIN(IF(Supuestos!$H$5="",1E+99,Supuestos!$H$5),MAX(IF(Supuestos!$G$5="",-1E+99,Supuestos!$G$5),IF(Supuestos!$C$5="Normal",NORMINV(B987,Supuestos!$D$5,Supuestos!$E$5),IF(Supuestos!$C$5="Triangular",IF(B987&lt;(Supuestos!$E$5-Supuestos!$D$5)/(Supuestos!$F$5-Supuestos!$D$5),Supuestos!$D$5+SQRT(B987*(Supuestos!$F$5-Supuestos!$D$5)*(Supuestos!$E$5-Supuestos!$D$5)),Supuestos!$F$5-SQRT((1-B987)*(Supuestos!$F$5-Supuestos!$D$5)*(Supuestos!$F$5-Supuestos!$E$5))),IF(Supuestos!$C$5="Uniforme",Supuestos!$D$5+B987*(Supuestos!$E$5-Supuestos!$D$5),IF(Supuestos!$C$5="Lognormal",LOGINV(B987,LN(Supuestos!$D$5)-LN(1+Supuestos!$E$5^2/Supuestos!$D$5^2)/2,SQRT(LN(1+Supuestos!$E$5^2/Supuestos!$D$5^2))),Supuestos!$D$5))))))</f>
        <v/>
      </c>
      <c r="J987" s="31">
        <f>MIN(IF(Supuestos!$H$6="",1E+99,Supuestos!$H$6),MAX(IF(Supuestos!$G$6="",-1E+99,Supuestos!$G$6),IF(Supuestos!$C$6="Normal",NORMINV(C987,Supuestos!$D$6,Supuestos!$E$6),IF(Supuestos!$C$6="Triangular",IF(C987&lt;(Supuestos!$E$6-Supuestos!$D$6)/(Supuestos!$F$6-Supuestos!$D$6),Supuestos!$D$6+SQRT(C987*(Supuestos!$F$6-Supuestos!$D$6)*(Supuestos!$E$6-Supuestos!$D$6)),Supuestos!$F$6-SQRT((1-C987)*(Supuestos!$F$6-Supuestos!$D$6)*(Supuestos!$F$6-Supuestos!$E$6))),IF(Supuestos!$C$6="Uniforme",Supuestos!$D$6+C987*(Supuestos!$E$6-Supuestos!$D$6),IF(Supuestos!$C$6="Lognormal",LOGINV(C987,LN(Supuestos!$D$6)-LN(1+Supuestos!$E$6^2/Supuestos!$D$6^2)/2,SQRT(LN(1+Supuestos!$E$6^2/Supuestos!$D$6^2))),Supuestos!$D$6))))))</f>
        <v/>
      </c>
      <c r="K987" s="32">
        <f>MIN(IF(Supuestos!$H$7="",1E+99,Supuestos!$H$7),MAX(IF(Supuestos!$G$7="",-1E+99,Supuestos!$G$7),IF(Supuestos!$C$7="Normal",NORMINV(D987,Supuestos!$D$7,Supuestos!$E$7),IF(Supuestos!$C$7="Triangular",IF(D987&lt;(Supuestos!$E$7-Supuestos!$D$7)/(Supuestos!$F$7-Supuestos!$D$7),Supuestos!$D$7+SQRT(D987*(Supuestos!$F$7-Supuestos!$D$7)*(Supuestos!$E$7-Supuestos!$D$7)),Supuestos!$F$7-SQRT((1-D987)*(Supuestos!$F$7-Supuestos!$D$7)*(Supuestos!$F$7-Supuestos!$E$7))),IF(Supuestos!$C$7="Uniforme",Supuestos!$D$7+D987*(Supuestos!$E$7-Supuestos!$D$7),IF(Supuestos!$C$7="Lognormal",LOGINV(D987,LN(Supuestos!$D$7)-LN(1+Supuestos!$E$7^2/Supuestos!$D$7^2)/2,SQRT(LN(1+Supuestos!$E$7^2/Supuestos!$D$7^2))),Supuestos!$D$7))))))</f>
        <v/>
      </c>
      <c r="L987" s="32">
        <f>MIN(IF(Supuestos!$H$8="",1E+99,Supuestos!$H$8),MAX(IF(Supuestos!$G$8="",-1E+99,Supuestos!$G$8),IF(Supuestos!$C$8="Normal",NORMINV(E987,Supuestos!$D$8,Supuestos!$E$8),IF(Supuestos!$C$8="Triangular",IF(E987&lt;(Supuestos!$E$8-Supuestos!$D$8)/(Supuestos!$F$8-Supuestos!$D$8),Supuestos!$D$8+SQRT(E987*(Supuestos!$F$8-Supuestos!$D$8)*(Supuestos!$E$8-Supuestos!$D$8)),Supuestos!$F$8-SQRT((1-E987)*(Supuestos!$F$8-Supuestos!$D$8)*(Supuestos!$F$8-Supuestos!$E$8))),IF(Supuestos!$C$8="Uniforme",Supuestos!$D$8+E987*(Supuestos!$E$8-Supuestos!$D$8),IF(Supuestos!$C$8="Lognormal",LOGINV(E987,LN(Supuestos!$D$8)-LN(1+Supuestos!$E$8^2/Supuestos!$D$8^2)/2,SQRT(LN(1+Supuestos!$E$8^2/Supuestos!$D$8^2))),Supuestos!$D$8))))))</f>
        <v/>
      </c>
      <c r="M987" s="32">
        <f>MIN(IF(Supuestos!$H$9="",1E+99,Supuestos!$H$9),MAX(IF(Supuestos!$G$9="",-1E+99,Supuestos!$G$9),IF(Supuestos!$C$9="Normal",NORMINV(F987,Supuestos!$D$9,Supuestos!$E$9),IF(Supuestos!$C$9="Triangular",IF(F987&lt;(Supuestos!$E$9-Supuestos!$D$9)/(Supuestos!$F$9-Supuestos!$D$9),Supuestos!$D$9+SQRT(F987*(Supuestos!$F$9-Supuestos!$D$9)*(Supuestos!$E$9-Supuestos!$D$9)),Supuestos!$F$9-SQRT((1-F987)*(Supuestos!$F$9-Supuestos!$D$9)*(Supuestos!$F$9-Supuestos!$E$9))),IF(Supuestos!$C$9="Uniforme",Supuestos!$D$9+F987*(Supuestos!$E$9-Supuestos!$D$9),IF(Supuestos!$C$9="Lognormal",LOGINV(F987,LN(Supuestos!$D$9)-LN(1+Supuestos!$E$9^2/Supuestos!$D$9^2)/2,SQRT(LN(1+Supuestos!$E$9^2/Supuestos!$D$9^2))),Supuestos!$D$9))))))</f>
        <v/>
      </c>
      <c r="N987" s="32">
        <f>MIN(IF(Supuestos!$H$10="",1E+99,Supuestos!$H$10),MAX(IF(Supuestos!$G$10="",-1E+99,Supuestos!$G$10),IF(Supuestos!$C$10="Normal",NORMINV(G987,Supuestos!$D$10,Supuestos!$E$10),IF(Supuestos!$C$10="Triangular",IF(G987&lt;(Supuestos!$E$10-Supuestos!$D$10)/(Supuestos!$F$10-Supuestos!$D$10),Supuestos!$D$10+SQRT(G987*(Supuestos!$F$10-Supuestos!$D$10)*(Supuestos!$E$10-Supuestos!$D$10)),Supuestos!$F$10-SQRT((1-G987)*(Supuestos!$F$10-Supuestos!$D$10)*(Supuestos!$F$10-Supuestos!$E$10))),IF(Supuestos!$C$10="Uniforme",Supuestos!$D$10+G987*(Supuestos!$E$10-Supuestos!$D$10),IF(Supuestos!$C$10="Lognormal",LOGINV(G987,LN(Supuestos!$D$10)-LN(1+Supuestos!$E$10^2/Supuestos!$D$10^2)/2,SQRT(LN(1+Supuestos!$E$10^2/Supuestos!$D$10^2))),Supuestos!$D$10))))))</f>
        <v/>
      </c>
      <c r="O987" s="31">
        <f>MIN(IF(Supuestos!$H$11="",1E+99,Supuestos!$H$11),MAX(IF(Supuestos!$G$11="",-1E+99,Supuestos!$G$11),IF(Supuestos!$C$11="Normal",NORMINV(H987,Supuestos!$D$11,Supuestos!$E$11),IF(Supuestos!$C$11="Triangular",IF(H987&lt;(Supuestos!$E$11-Supuestos!$D$11)/(Supuestos!$F$11-Supuestos!$D$11),Supuestos!$D$11+SQRT(H987*(Supuestos!$F$11-Supuestos!$D$11)*(Supuestos!$E$11-Supuestos!$D$11)),Supuestos!$F$11-SQRT((1-H987)*(Supuestos!$F$11-Supuestos!$D$11)*(Supuestos!$F$11-Supuestos!$E$11))),IF(Supuestos!$C$11="Uniforme",Supuestos!$D$11+H987*(Supuestos!$E$11-Supuestos!$D$11),IF(Supuestos!$C$11="Lognormal",LOGINV(H987,LN(Supuestos!$D$11)-LN(1+Supuestos!$E$11^2/Supuestos!$D$11^2)/2,SQRT(LN(1+Supuestos!$E$11^2/Supuestos!$D$11^2))),Supuestos!$D$11))))))</f>
        <v/>
      </c>
      <c r="P987" s="33">
        <f>-I987</f>
        <v/>
      </c>
      <c r="Q987" s="33">
        <f>$J987*(1+$K987)^(1-1)*(1-$L987)*(1-$M987)</f>
        <v/>
      </c>
      <c r="R987" s="33">
        <f>$J987*(1+$K987)^(2-1)*(1-$L987)*(1-$M987)</f>
        <v/>
      </c>
      <c r="S987" s="33">
        <f>$J987*(1+$K987)^(3-1)*(1-$L987)*(1-$M987)</f>
        <v/>
      </c>
      <c r="T987" s="33">
        <f>$J987*(1+$K987)^(4-1)*(1-$L987)*(1-$M987)</f>
        <v/>
      </c>
      <c r="U987" s="33">
        <f>$J987*(1+$K987)^(5-1)*(1-$L987)*(1-$M987)+$O987</f>
        <v/>
      </c>
      <c r="V987" s="33">
        <f>P987+NPV($N987,Q987:U987)</f>
        <v/>
      </c>
      <c r="W987" s="32">
        <f>IFERROR(IRR(P987:U987,0.1),"")</f>
        <v/>
      </c>
    </row>
    <row r="988">
      <c r="A988" s="14" t="n">
        <v>984</v>
      </c>
      <c r="B988" s="30">
        <f>RAND()*(1-2E-6)+1E-6</f>
        <v/>
      </c>
      <c r="C988" s="30">
        <f>RAND()*(1-2E-6)+1E-6</f>
        <v/>
      </c>
      <c r="D988" s="30">
        <f>RAND()*(1-2E-6)+1E-6</f>
        <v/>
      </c>
      <c r="E988" s="30">
        <f>RAND()*(1-2E-6)+1E-6</f>
        <v/>
      </c>
      <c r="F988" s="30">
        <f>RAND()*(1-2E-6)+1E-6</f>
        <v/>
      </c>
      <c r="G988" s="30">
        <f>RAND()*(1-2E-6)+1E-6</f>
        <v/>
      </c>
      <c r="H988" s="30">
        <f>RAND()*(1-2E-6)+1E-6</f>
        <v/>
      </c>
      <c r="I988" s="31">
        <f>MIN(IF(Supuestos!$H$5="",1E+99,Supuestos!$H$5),MAX(IF(Supuestos!$G$5="",-1E+99,Supuestos!$G$5),IF(Supuestos!$C$5="Normal",NORMINV(B988,Supuestos!$D$5,Supuestos!$E$5),IF(Supuestos!$C$5="Triangular",IF(B988&lt;(Supuestos!$E$5-Supuestos!$D$5)/(Supuestos!$F$5-Supuestos!$D$5),Supuestos!$D$5+SQRT(B988*(Supuestos!$F$5-Supuestos!$D$5)*(Supuestos!$E$5-Supuestos!$D$5)),Supuestos!$F$5-SQRT((1-B988)*(Supuestos!$F$5-Supuestos!$D$5)*(Supuestos!$F$5-Supuestos!$E$5))),IF(Supuestos!$C$5="Uniforme",Supuestos!$D$5+B988*(Supuestos!$E$5-Supuestos!$D$5),IF(Supuestos!$C$5="Lognormal",LOGINV(B988,LN(Supuestos!$D$5)-LN(1+Supuestos!$E$5^2/Supuestos!$D$5^2)/2,SQRT(LN(1+Supuestos!$E$5^2/Supuestos!$D$5^2))),Supuestos!$D$5))))))</f>
        <v/>
      </c>
      <c r="J988" s="31">
        <f>MIN(IF(Supuestos!$H$6="",1E+99,Supuestos!$H$6),MAX(IF(Supuestos!$G$6="",-1E+99,Supuestos!$G$6),IF(Supuestos!$C$6="Normal",NORMINV(C988,Supuestos!$D$6,Supuestos!$E$6),IF(Supuestos!$C$6="Triangular",IF(C988&lt;(Supuestos!$E$6-Supuestos!$D$6)/(Supuestos!$F$6-Supuestos!$D$6),Supuestos!$D$6+SQRT(C988*(Supuestos!$F$6-Supuestos!$D$6)*(Supuestos!$E$6-Supuestos!$D$6)),Supuestos!$F$6-SQRT((1-C988)*(Supuestos!$F$6-Supuestos!$D$6)*(Supuestos!$F$6-Supuestos!$E$6))),IF(Supuestos!$C$6="Uniforme",Supuestos!$D$6+C988*(Supuestos!$E$6-Supuestos!$D$6),IF(Supuestos!$C$6="Lognormal",LOGINV(C988,LN(Supuestos!$D$6)-LN(1+Supuestos!$E$6^2/Supuestos!$D$6^2)/2,SQRT(LN(1+Supuestos!$E$6^2/Supuestos!$D$6^2))),Supuestos!$D$6))))))</f>
        <v/>
      </c>
      <c r="K988" s="32">
        <f>MIN(IF(Supuestos!$H$7="",1E+99,Supuestos!$H$7),MAX(IF(Supuestos!$G$7="",-1E+99,Supuestos!$G$7),IF(Supuestos!$C$7="Normal",NORMINV(D988,Supuestos!$D$7,Supuestos!$E$7),IF(Supuestos!$C$7="Triangular",IF(D988&lt;(Supuestos!$E$7-Supuestos!$D$7)/(Supuestos!$F$7-Supuestos!$D$7),Supuestos!$D$7+SQRT(D988*(Supuestos!$F$7-Supuestos!$D$7)*(Supuestos!$E$7-Supuestos!$D$7)),Supuestos!$F$7-SQRT((1-D988)*(Supuestos!$F$7-Supuestos!$D$7)*(Supuestos!$F$7-Supuestos!$E$7))),IF(Supuestos!$C$7="Uniforme",Supuestos!$D$7+D988*(Supuestos!$E$7-Supuestos!$D$7),IF(Supuestos!$C$7="Lognormal",LOGINV(D988,LN(Supuestos!$D$7)-LN(1+Supuestos!$E$7^2/Supuestos!$D$7^2)/2,SQRT(LN(1+Supuestos!$E$7^2/Supuestos!$D$7^2))),Supuestos!$D$7))))))</f>
        <v/>
      </c>
      <c r="L988" s="32">
        <f>MIN(IF(Supuestos!$H$8="",1E+99,Supuestos!$H$8),MAX(IF(Supuestos!$G$8="",-1E+99,Supuestos!$G$8),IF(Supuestos!$C$8="Normal",NORMINV(E988,Supuestos!$D$8,Supuestos!$E$8),IF(Supuestos!$C$8="Triangular",IF(E988&lt;(Supuestos!$E$8-Supuestos!$D$8)/(Supuestos!$F$8-Supuestos!$D$8),Supuestos!$D$8+SQRT(E988*(Supuestos!$F$8-Supuestos!$D$8)*(Supuestos!$E$8-Supuestos!$D$8)),Supuestos!$F$8-SQRT((1-E988)*(Supuestos!$F$8-Supuestos!$D$8)*(Supuestos!$F$8-Supuestos!$E$8))),IF(Supuestos!$C$8="Uniforme",Supuestos!$D$8+E988*(Supuestos!$E$8-Supuestos!$D$8),IF(Supuestos!$C$8="Lognormal",LOGINV(E988,LN(Supuestos!$D$8)-LN(1+Supuestos!$E$8^2/Supuestos!$D$8^2)/2,SQRT(LN(1+Supuestos!$E$8^2/Supuestos!$D$8^2))),Supuestos!$D$8))))))</f>
        <v/>
      </c>
      <c r="M988" s="32">
        <f>MIN(IF(Supuestos!$H$9="",1E+99,Supuestos!$H$9),MAX(IF(Supuestos!$G$9="",-1E+99,Supuestos!$G$9),IF(Supuestos!$C$9="Normal",NORMINV(F988,Supuestos!$D$9,Supuestos!$E$9),IF(Supuestos!$C$9="Triangular",IF(F988&lt;(Supuestos!$E$9-Supuestos!$D$9)/(Supuestos!$F$9-Supuestos!$D$9),Supuestos!$D$9+SQRT(F988*(Supuestos!$F$9-Supuestos!$D$9)*(Supuestos!$E$9-Supuestos!$D$9)),Supuestos!$F$9-SQRT((1-F988)*(Supuestos!$F$9-Supuestos!$D$9)*(Supuestos!$F$9-Supuestos!$E$9))),IF(Supuestos!$C$9="Uniforme",Supuestos!$D$9+F988*(Supuestos!$E$9-Supuestos!$D$9),IF(Supuestos!$C$9="Lognormal",LOGINV(F988,LN(Supuestos!$D$9)-LN(1+Supuestos!$E$9^2/Supuestos!$D$9^2)/2,SQRT(LN(1+Supuestos!$E$9^2/Supuestos!$D$9^2))),Supuestos!$D$9))))))</f>
        <v/>
      </c>
      <c r="N988" s="32">
        <f>MIN(IF(Supuestos!$H$10="",1E+99,Supuestos!$H$10),MAX(IF(Supuestos!$G$10="",-1E+99,Supuestos!$G$10),IF(Supuestos!$C$10="Normal",NORMINV(G988,Supuestos!$D$10,Supuestos!$E$10),IF(Supuestos!$C$10="Triangular",IF(G988&lt;(Supuestos!$E$10-Supuestos!$D$10)/(Supuestos!$F$10-Supuestos!$D$10),Supuestos!$D$10+SQRT(G988*(Supuestos!$F$10-Supuestos!$D$10)*(Supuestos!$E$10-Supuestos!$D$10)),Supuestos!$F$10-SQRT((1-G988)*(Supuestos!$F$10-Supuestos!$D$10)*(Supuestos!$F$10-Supuestos!$E$10))),IF(Supuestos!$C$10="Uniforme",Supuestos!$D$10+G988*(Supuestos!$E$10-Supuestos!$D$10),IF(Supuestos!$C$10="Lognormal",LOGINV(G988,LN(Supuestos!$D$10)-LN(1+Supuestos!$E$10^2/Supuestos!$D$10^2)/2,SQRT(LN(1+Supuestos!$E$10^2/Supuestos!$D$10^2))),Supuestos!$D$10))))))</f>
        <v/>
      </c>
      <c r="O988" s="31">
        <f>MIN(IF(Supuestos!$H$11="",1E+99,Supuestos!$H$11),MAX(IF(Supuestos!$G$11="",-1E+99,Supuestos!$G$11),IF(Supuestos!$C$11="Normal",NORMINV(H988,Supuestos!$D$11,Supuestos!$E$11),IF(Supuestos!$C$11="Triangular",IF(H988&lt;(Supuestos!$E$11-Supuestos!$D$11)/(Supuestos!$F$11-Supuestos!$D$11),Supuestos!$D$11+SQRT(H988*(Supuestos!$F$11-Supuestos!$D$11)*(Supuestos!$E$11-Supuestos!$D$11)),Supuestos!$F$11-SQRT((1-H988)*(Supuestos!$F$11-Supuestos!$D$11)*(Supuestos!$F$11-Supuestos!$E$11))),IF(Supuestos!$C$11="Uniforme",Supuestos!$D$11+H988*(Supuestos!$E$11-Supuestos!$D$11),IF(Supuestos!$C$11="Lognormal",LOGINV(H988,LN(Supuestos!$D$11)-LN(1+Supuestos!$E$11^2/Supuestos!$D$11^2)/2,SQRT(LN(1+Supuestos!$E$11^2/Supuestos!$D$11^2))),Supuestos!$D$11))))))</f>
        <v/>
      </c>
      <c r="P988" s="33">
        <f>-I988</f>
        <v/>
      </c>
      <c r="Q988" s="33">
        <f>$J988*(1+$K988)^(1-1)*(1-$L988)*(1-$M988)</f>
        <v/>
      </c>
      <c r="R988" s="33">
        <f>$J988*(1+$K988)^(2-1)*(1-$L988)*(1-$M988)</f>
        <v/>
      </c>
      <c r="S988" s="33">
        <f>$J988*(1+$K988)^(3-1)*(1-$L988)*(1-$M988)</f>
        <v/>
      </c>
      <c r="T988" s="33">
        <f>$J988*(1+$K988)^(4-1)*(1-$L988)*(1-$M988)</f>
        <v/>
      </c>
      <c r="U988" s="33">
        <f>$J988*(1+$K988)^(5-1)*(1-$L988)*(1-$M988)+$O988</f>
        <v/>
      </c>
      <c r="V988" s="33">
        <f>P988+NPV($N988,Q988:U988)</f>
        <v/>
      </c>
      <c r="W988" s="32">
        <f>IFERROR(IRR(P988:U988,0.1),"")</f>
        <v/>
      </c>
    </row>
    <row r="989">
      <c r="A989" s="14" t="n">
        <v>985</v>
      </c>
      <c r="B989" s="30">
        <f>RAND()*(1-2E-6)+1E-6</f>
        <v/>
      </c>
      <c r="C989" s="30">
        <f>RAND()*(1-2E-6)+1E-6</f>
        <v/>
      </c>
      <c r="D989" s="30">
        <f>RAND()*(1-2E-6)+1E-6</f>
        <v/>
      </c>
      <c r="E989" s="30">
        <f>RAND()*(1-2E-6)+1E-6</f>
        <v/>
      </c>
      <c r="F989" s="30">
        <f>RAND()*(1-2E-6)+1E-6</f>
        <v/>
      </c>
      <c r="G989" s="30">
        <f>RAND()*(1-2E-6)+1E-6</f>
        <v/>
      </c>
      <c r="H989" s="30">
        <f>RAND()*(1-2E-6)+1E-6</f>
        <v/>
      </c>
      <c r="I989" s="31">
        <f>MIN(IF(Supuestos!$H$5="",1E+99,Supuestos!$H$5),MAX(IF(Supuestos!$G$5="",-1E+99,Supuestos!$G$5),IF(Supuestos!$C$5="Normal",NORMINV(B989,Supuestos!$D$5,Supuestos!$E$5),IF(Supuestos!$C$5="Triangular",IF(B989&lt;(Supuestos!$E$5-Supuestos!$D$5)/(Supuestos!$F$5-Supuestos!$D$5),Supuestos!$D$5+SQRT(B989*(Supuestos!$F$5-Supuestos!$D$5)*(Supuestos!$E$5-Supuestos!$D$5)),Supuestos!$F$5-SQRT((1-B989)*(Supuestos!$F$5-Supuestos!$D$5)*(Supuestos!$F$5-Supuestos!$E$5))),IF(Supuestos!$C$5="Uniforme",Supuestos!$D$5+B989*(Supuestos!$E$5-Supuestos!$D$5),IF(Supuestos!$C$5="Lognormal",LOGINV(B989,LN(Supuestos!$D$5)-LN(1+Supuestos!$E$5^2/Supuestos!$D$5^2)/2,SQRT(LN(1+Supuestos!$E$5^2/Supuestos!$D$5^2))),Supuestos!$D$5))))))</f>
        <v/>
      </c>
      <c r="J989" s="31">
        <f>MIN(IF(Supuestos!$H$6="",1E+99,Supuestos!$H$6),MAX(IF(Supuestos!$G$6="",-1E+99,Supuestos!$G$6),IF(Supuestos!$C$6="Normal",NORMINV(C989,Supuestos!$D$6,Supuestos!$E$6),IF(Supuestos!$C$6="Triangular",IF(C989&lt;(Supuestos!$E$6-Supuestos!$D$6)/(Supuestos!$F$6-Supuestos!$D$6),Supuestos!$D$6+SQRT(C989*(Supuestos!$F$6-Supuestos!$D$6)*(Supuestos!$E$6-Supuestos!$D$6)),Supuestos!$F$6-SQRT((1-C989)*(Supuestos!$F$6-Supuestos!$D$6)*(Supuestos!$F$6-Supuestos!$E$6))),IF(Supuestos!$C$6="Uniforme",Supuestos!$D$6+C989*(Supuestos!$E$6-Supuestos!$D$6),IF(Supuestos!$C$6="Lognormal",LOGINV(C989,LN(Supuestos!$D$6)-LN(1+Supuestos!$E$6^2/Supuestos!$D$6^2)/2,SQRT(LN(1+Supuestos!$E$6^2/Supuestos!$D$6^2))),Supuestos!$D$6))))))</f>
        <v/>
      </c>
      <c r="K989" s="32">
        <f>MIN(IF(Supuestos!$H$7="",1E+99,Supuestos!$H$7),MAX(IF(Supuestos!$G$7="",-1E+99,Supuestos!$G$7),IF(Supuestos!$C$7="Normal",NORMINV(D989,Supuestos!$D$7,Supuestos!$E$7),IF(Supuestos!$C$7="Triangular",IF(D989&lt;(Supuestos!$E$7-Supuestos!$D$7)/(Supuestos!$F$7-Supuestos!$D$7),Supuestos!$D$7+SQRT(D989*(Supuestos!$F$7-Supuestos!$D$7)*(Supuestos!$E$7-Supuestos!$D$7)),Supuestos!$F$7-SQRT((1-D989)*(Supuestos!$F$7-Supuestos!$D$7)*(Supuestos!$F$7-Supuestos!$E$7))),IF(Supuestos!$C$7="Uniforme",Supuestos!$D$7+D989*(Supuestos!$E$7-Supuestos!$D$7),IF(Supuestos!$C$7="Lognormal",LOGINV(D989,LN(Supuestos!$D$7)-LN(1+Supuestos!$E$7^2/Supuestos!$D$7^2)/2,SQRT(LN(1+Supuestos!$E$7^2/Supuestos!$D$7^2))),Supuestos!$D$7))))))</f>
        <v/>
      </c>
      <c r="L989" s="32">
        <f>MIN(IF(Supuestos!$H$8="",1E+99,Supuestos!$H$8),MAX(IF(Supuestos!$G$8="",-1E+99,Supuestos!$G$8),IF(Supuestos!$C$8="Normal",NORMINV(E989,Supuestos!$D$8,Supuestos!$E$8),IF(Supuestos!$C$8="Triangular",IF(E989&lt;(Supuestos!$E$8-Supuestos!$D$8)/(Supuestos!$F$8-Supuestos!$D$8),Supuestos!$D$8+SQRT(E989*(Supuestos!$F$8-Supuestos!$D$8)*(Supuestos!$E$8-Supuestos!$D$8)),Supuestos!$F$8-SQRT((1-E989)*(Supuestos!$F$8-Supuestos!$D$8)*(Supuestos!$F$8-Supuestos!$E$8))),IF(Supuestos!$C$8="Uniforme",Supuestos!$D$8+E989*(Supuestos!$E$8-Supuestos!$D$8),IF(Supuestos!$C$8="Lognormal",LOGINV(E989,LN(Supuestos!$D$8)-LN(1+Supuestos!$E$8^2/Supuestos!$D$8^2)/2,SQRT(LN(1+Supuestos!$E$8^2/Supuestos!$D$8^2))),Supuestos!$D$8))))))</f>
        <v/>
      </c>
      <c r="M989" s="32">
        <f>MIN(IF(Supuestos!$H$9="",1E+99,Supuestos!$H$9),MAX(IF(Supuestos!$G$9="",-1E+99,Supuestos!$G$9),IF(Supuestos!$C$9="Normal",NORMINV(F989,Supuestos!$D$9,Supuestos!$E$9),IF(Supuestos!$C$9="Triangular",IF(F989&lt;(Supuestos!$E$9-Supuestos!$D$9)/(Supuestos!$F$9-Supuestos!$D$9),Supuestos!$D$9+SQRT(F989*(Supuestos!$F$9-Supuestos!$D$9)*(Supuestos!$E$9-Supuestos!$D$9)),Supuestos!$F$9-SQRT((1-F989)*(Supuestos!$F$9-Supuestos!$D$9)*(Supuestos!$F$9-Supuestos!$E$9))),IF(Supuestos!$C$9="Uniforme",Supuestos!$D$9+F989*(Supuestos!$E$9-Supuestos!$D$9),IF(Supuestos!$C$9="Lognormal",LOGINV(F989,LN(Supuestos!$D$9)-LN(1+Supuestos!$E$9^2/Supuestos!$D$9^2)/2,SQRT(LN(1+Supuestos!$E$9^2/Supuestos!$D$9^2))),Supuestos!$D$9))))))</f>
        <v/>
      </c>
      <c r="N989" s="32">
        <f>MIN(IF(Supuestos!$H$10="",1E+99,Supuestos!$H$10),MAX(IF(Supuestos!$G$10="",-1E+99,Supuestos!$G$10),IF(Supuestos!$C$10="Normal",NORMINV(G989,Supuestos!$D$10,Supuestos!$E$10),IF(Supuestos!$C$10="Triangular",IF(G989&lt;(Supuestos!$E$10-Supuestos!$D$10)/(Supuestos!$F$10-Supuestos!$D$10),Supuestos!$D$10+SQRT(G989*(Supuestos!$F$10-Supuestos!$D$10)*(Supuestos!$E$10-Supuestos!$D$10)),Supuestos!$F$10-SQRT((1-G989)*(Supuestos!$F$10-Supuestos!$D$10)*(Supuestos!$F$10-Supuestos!$E$10))),IF(Supuestos!$C$10="Uniforme",Supuestos!$D$10+G989*(Supuestos!$E$10-Supuestos!$D$10),IF(Supuestos!$C$10="Lognormal",LOGINV(G989,LN(Supuestos!$D$10)-LN(1+Supuestos!$E$10^2/Supuestos!$D$10^2)/2,SQRT(LN(1+Supuestos!$E$10^2/Supuestos!$D$10^2))),Supuestos!$D$10))))))</f>
        <v/>
      </c>
      <c r="O989" s="31">
        <f>MIN(IF(Supuestos!$H$11="",1E+99,Supuestos!$H$11),MAX(IF(Supuestos!$G$11="",-1E+99,Supuestos!$G$11),IF(Supuestos!$C$11="Normal",NORMINV(H989,Supuestos!$D$11,Supuestos!$E$11),IF(Supuestos!$C$11="Triangular",IF(H989&lt;(Supuestos!$E$11-Supuestos!$D$11)/(Supuestos!$F$11-Supuestos!$D$11),Supuestos!$D$11+SQRT(H989*(Supuestos!$F$11-Supuestos!$D$11)*(Supuestos!$E$11-Supuestos!$D$11)),Supuestos!$F$11-SQRT((1-H989)*(Supuestos!$F$11-Supuestos!$D$11)*(Supuestos!$F$11-Supuestos!$E$11))),IF(Supuestos!$C$11="Uniforme",Supuestos!$D$11+H989*(Supuestos!$E$11-Supuestos!$D$11),IF(Supuestos!$C$11="Lognormal",LOGINV(H989,LN(Supuestos!$D$11)-LN(1+Supuestos!$E$11^2/Supuestos!$D$11^2)/2,SQRT(LN(1+Supuestos!$E$11^2/Supuestos!$D$11^2))),Supuestos!$D$11))))))</f>
        <v/>
      </c>
      <c r="P989" s="33">
        <f>-I989</f>
        <v/>
      </c>
      <c r="Q989" s="33">
        <f>$J989*(1+$K989)^(1-1)*(1-$L989)*(1-$M989)</f>
        <v/>
      </c>
      <c r="R989" s="33">
        <f>$J989*(1+$K989)^(2-1)*(1-$L989)*(1-$M989)</f>
        <v/>
      </c>
      <c r="S989" s="33">
        <f>$J989*(1+$K989)^(3-1)*(1-$L989)*(1-$M989)</f>
        <v/>
      </c>
      <c r="T989" s="33">
        <f>$J989*(1+$K989)^(4-1)*(1-$L989)*(1-$M989)</f>
        <v/>
      </c>
      <c r="U989" s="33">
        <f>$J989*(1+$K989)^(5-1)*(1-$L989)*(1-$M989)+$O989</f>
        <v/>
      </c>
      <c r="V989" s="33">
        <f>P989+NPV($N989,Q989:U989)</f>
        <v/>
      </c>
      <c r="W989" s="32">
        <f>IFERROR(IRR(P989:U989,0.1),"")</f>
        <v/>
      </c>
    </row>
    <row r="990">
      <c r="A990" s="14" t="n">
        <v>986</v>
      </c>
      <c r="B990" s="30">
        <f>RAND()*(1-2E-6)+1E-6</f>
        <v/>
      </c>
      <c r="C990" s="30">
        <f>RAND()*(1-2E-6)+1E-6</f>
        <v/>
      </c>
      <c r="D990" s="30">
        <f>RAND()*(1-2E-6)+1E-6</f>
        <v/>
      </c>
      <c r="E990" s="30">
        <f>RAND()*(1-2E-6)+1E-6</f>
        <v/>
      </c>
      <c r="F990" s="30">
        <f>RAND()*(1-2E-6)+1E-6</f>
        <v/>
      </c>
      <c r="G990" s="30">
        <f>RAND()*(1-2E-6)+1E-6</f>
        <v/>
      </c>
      <c r="H990" s="30">
        <f>RAND()*(1-2E-6)+1E-6</f>
        <v/>
      </c>
      <c r="I990" s="31">
        <f>MIN(IF(Supuestos!$H$5="",1E+99,Supuestos!$H$5),MAX(IF(Supuestos!$G$5="",-1E+99,Supuestos!$G$5),IF(Supuestos!$C$5="Normal",NORMINV(B990,Supuestos!$D$5,Supuestos!$E$5),IF(Supuestos!$C$5="Triangular",IF(B990&lt;(Supuestos!$E$5-Supuestos!$D$5)/(Supuestos!$F$5-Supuestos!$D$5),Supuestos!$D$5+SQRT(B990*(Supuestos!$F$5-Supuestos!$D$5)*(Supuestos!$E$5-Supuestos!$D$5)),Supuestos!$F$5-SQRT((1-B990)*(Supuestos!$F$5-Supuestos!$D$5)*(Supuestos!$F$5-Supuestos!$E$5))),IF(Supuestos!$C$5="Uniforme",Supuestos!$D$5+B990*(Supuestos!$E$5-Supuestos!$D$5),IF(Supuestos!$C$5="Lognormal",LOGINV(B990,LN(Supuestos!$D$5)-LN(1+Supuestos!$E$5^2/Supuestos!$D$5^2)/2,SQRT(LN(1+Supuestos!$E$5^2/Supuestos!$D$5^2))),Supuestos!$D$5))))))</f>
        <v/>
      </c>
      <c r="J990" s="31">
        <f>MIN(IF(Supuestos!$H$6="",1E+99,Supuestos!$H$6),MAX(IF(Supuestos!$G$6="",-1E+99,Supuestos!$G$6),IF(Supuestos!$C$6="Normal",NORMINV(C990,Supuestos!$D$6,Supuestos!$E$6),IF(Supuestos!$C$6="Triangular",IF(C990&lt;(Supuestos!$E$6-Supuestos!$D$6)/(Supuestos!$F$6-Supuestos!$D$6),Supuestos!$D$6+SQRT(C990*(Supuestos!$F$6-Supuestos!$D$6)*(Supuestos!$E$6-Supuestos!$D$6)),Supuestos!$F$6-SQRT((1-C990)*(Supuestos!$F$6-Supuestos!$D$6)*(Supuestos!$F$6-Supuestos!$E$6))),IF(Supuestos!$C$6="Uniforme",Supuestos!$D$6+C990*(Supuestos!$E$6-Supuestos!$D$6),IF(Supuestos!$C$6="Lognormal",LOGINV(C990,LN(Supuestos!$D$6)-LN(1+Supuestos!$E$6^2/Supuestos!$D$6^2)/2,SQRT(LN(1+Supuestos!$E$6^2/Supuestos!$D$6^2))),Supuestos!$D$6))))))</f>
        <v/>
      </c>
      <c r="K990" s="32">
        <f>MIN(IF(Supuestos!$H$7="",1E+99,Supuestos!$H$7),MAX(IF(Supuestos!$G$7="",-1E+99,Supuestos!$G$7),IF(Supuestos!$C$7="Normal",NORMINV(D990,Supuestos!$D$7,Supuestos!$E$7),IF(Supuestos!$C$7="Triangular",IF(D990&lt;(Supuestos!$E$7-Supuestos!$D$7)/(Supuestos!$F$7-Supuestos!$D$7),Supuestos!$D$7+SQRT(D990*(Supuestos!$F$7-Supuestos!$D$7)*(Supuestos!$E$7-Supuestos!$D$7)),Supuestos!$F$7-SQRT((1-D990)*(Supuestos!$F$7-Supuestos!$D$7)*(Supuestos!$F$7-Supuestos!$E$7))),IF(Supuestos!$C$7="Uniforme",Supuestos!$D$7+D990*(Supuestos!$E$7-Supuestos!$D$7),IF(Supuestos!$C$7="Lognormal",LOGINV(D990,LN(Supuestos!$D$7)-LN(1+Supuestos!$E$7^2/Supuestos!$D$7^2)/2,SQRT(LN(1+Supuestos!$E$7^2/Supuestos!$D$7^2))),Supuestos!$D$7))))))</f>
        <v/>
      </c>
      <c r="L990" s="32">
        <f>MIN(IF(Supuestos!$H$8="",1E+99,Supuestos!$H$8),MAX(IF(Supuestos!$G$8="",-1E+99,Supuestos!$G$8),IF(Supuestos!$C$8="Normal",NORMINV(E990,Supuestos!$D$8,Supuestos!$E$8),IF(Supuestos!$C$8="Triangular",IF(E990&lt;(Supuestos!$E$8-Supuestos!$D$8)/(Supuestos!$F$8-Supuestos!$D$8),Supuestos!$D$8+SQRT(E990*(Supuestos!$F$8-Supuestos!$D$8)*(Supuestos!$E$8-Supuestos!$D$8)),Supuestos!$F$8-SQRT((1-E990)*(Supuestos!$F$8-Supuestos!$D$8)*(Supuestos!$F$8-Supuestos!$E$8))),IF(Supuestos!$C$8="Uniforme",Supuestos!$D$8+E990*(Supuestos!$E$8-Supuestos!$D$8),IF(Supuestos!$C$8="Lognormal",LOGINV(E990,LN(Supuestos!$D$8)-LN(1+Supuestos!$E$8^2/Supuestos!$D$8^2)/2,SQRT(LN(1+Supuestos!$E$8^2/Supuestos!$D$8^2))),Supuestos!$D$8))))))</f>
        <v/>
      </c>
      <c r="M990" s="32">
        <f>MIN(IF(Supuestos!$H$9="",1E+99,Supuestos!$H$9),MAX(IF(Supuestos!$G$9="",-1E+99,Supuestos!$G$9),IF(Supuestos!$C$9="Normal",NORMINV(F990,Supuestos!$D$9,Supuestos!$E$9),IF(Supuestos!$C$9="Triangular",IF(F990&lt;(Supuestos!$E$9-Supuestos!$D$9)/(Supuestos!$F$9-Supuestos!$D$9),Supuestos!$D$9+SQRT(F990*(Supuestos!$F$9-Supuestos!$D$9)*(Supuestos!$E$9-Supuestos!$D$9)),Supuestos!$F$9-SQRT((1-F990)*(Supuestos!$F$9-Supuestos!$D$9)*(Supuestos!$F$9-Supuestos!$E$9))),IF(Supuestos!$C$9="Uniforme",Supuestos!$D$9+F990*(Supuestos!$E$9-Supuestos!$D$9),IF(Supuestos!$C$9="Lognormal",LOGINV(F990,LN(Supuestos!$D$9)-LN(1+Supuestos!$E$9^2/Supuestos!$D$9^2)/2,SQRT(LN(1+Supuestos!$E$9^2/Supuestos!$D$9^2))),Supuestos!$D$9))))))</f>
        <v/>
      </c>
      <c r="N990" s="32">
        <f>MIN(IF(Supuestos!$H$10="",1E+99,Supuestos!$H$10),MAX(IF(Supuestos!$G$10="",-1E+99,Supuestos!$G$10),IF(Supuestos!$C$10="Normal",NORMINV(G990,Supuestos!$D$10,Supuestos!$E$10),IF(Supuestos!$C$10="Triangular",IF(G990&lt;(Supuestos!$E$10-Supuestos!$D$10)/(Supuestos!$F$10-Supuestos!$D$10),Supuestos!$D$10+SQRT(G990*(Supuestos!$F$10-Supuestos!$D$10)*(Supuestos!$E$10-Supuestos!$D$10)),Supuestos!$F$10-SQRT((1-G990)*(Supuestos!$F$10-Supuestos!$D$10)*(Supuestos!$F$10-Supuestos!$E$10))),IF(Supuestos!$C$10="Uniforme",Supuestos!$D$10+G990*(Supuestos!$E$10-Supuestos!$D$10),IF(Supuestos!$C$10="Lognormal",LOGINV(G990,LN(Supuestos!$D$10)-LN(1+Supuestos!$E$10^2/Supuestos!$D$10^2)/2,SQRT(LN(1+Supuestos!$E$10^2/Supuestos!$D$10^2))),Supuestos!$D$10))))))</f>
        <v/>
      </c>
      <c r="O990" s="31">
        <f>MIN(IF(Supuestos!$H$11="",1E+99,Supuestos!$H$11),MAX(IF(Supuestos!$G$11="",-1E+99,Supuestos!$G$11),IF(Supuestos!$C$11="Normal",NORMINV(H990,Supuestos!$D$11,Supuestos!$E$11),IF(Supuestos!$C$11="Triangular",IF(H990&lt;(Supuestos!$E$11-Supuestos!$D$11)/(Supuestos!$F$11-Supuestos!$D$11),Supuestos!$D$11+SQRT(H990*(Supuestos!$F$11-Supuestos!$D$11)*(Supuestos!$E$11-Supuestos!$D$11)),Supuestos!$F$11-SQRT((1-H990)*(Supuestos!$F$11-Supuestos!$D$11)*(Supuestos!$F$11-Supuestos!$E$11))),IF(Supuestos!$C$11="Uniforme",Supuestos!$D$11+H990*(Supuestos!$E$11-Supuestos!$D$11),IF(Supuestos!$C$11="Lognormal",LOGINV(H990,LN(Supuestos!$D$11)-LN(1+Supuestos!$E$11^2/Supuestos!$D$11^2)/2,SQRT(LN(1+Supuestos!$E$11^2/Supuestos!$D$11^2))),Supuestos!$D$11))))))</f>
        <v/>
      </c>
      <c r="P990" s="33">
        <f>-I990</f>
        <v/>
      </c>
      <c r="Q990" s="33">
        <f>$J990*(1+$K990)^(1-1)*(1-$L990)*(1-$M990)</f>
        <v/>
      </c>
      <c r="R990" s="33">
        <f>$J990*(1+$K990)^(2-1)*(1-$L990)*(1-$M990)</f>
        <v/>
      </c>
      <c r="S990" s="33">
        <f>$J990*(1+$K990)^(3-1)*(1-$L990)*(1-$M990)</f>
        <v/>
      </c>
      <c r="T990" s="33">
        <f>$J990*(1+$K990)^(4-1)*(1-$L990)*(1-$M990)</f>
        <v/>
      </c>
      <c r="U990" s="33">
        <f>$J990*(1+$K990)^(5-1)*(1-$L990)*(1-$M990)+$O990</f>
        <v/>
      </c>
      <c r="V990" s="33">
        <f>P990+NPV($N990,Q990:U990)</f>
        <v/>
      </c>
      <c r="W990" s="32">
        <f>IFERROR(IRR(P990:U990,0.1),"")</f>
        <v/>
      </c>
    </row>
    <row r="991">
      <c r="A991" s="14" t="n">
        <v>987</v>
      </c>
      <c r="B991" s="30">
        <f>RAND()*(1-2E-6)+1E-6</f>
        <v/>
      </c>
      <c r="C991" s="30">
        <f>RAND()*(1-2E-6)+1E-6</f>
        <v/>
      </c>
      <c r="D991" s="30">
        <f>RAND()*(1-2E-6)+1E-6</f>
        <v/>
      </c>
      <c r="E991" s="30">
        <f>RAND()*(1-2E-6)+1E-6</f>
        <v/>
      </c>
      <c r="F991" s="30">
        <f>RAND()*(1-2E-6)+1E-6</f>
        <v/>
      </c>
      <c r="G991" s="30">
        <f>RAND()*(1-2E-6)+1E-6</f>
        <v/>
      </c>
      <c r="H991" s="30">
        <f>RAND()*(1-2E-6)+1E-6</f>
        <v/>
      </c>
      <c r="I991" s="31">
        <f>MIN(IF(Supuestos!$H$5="",1E+99,Supuestos!$H$5),MAX(IF(Supuestos!$G$5="",-1E+99,Supuestos!$G$5),IF(Supuestos!$C$5="Normal",NORMINV(B991,Supuestos!$D$5,Supuestos!$E$5),IF(Supuestos!$C$5="Triangular",IF(B991&lt;(Supuestos!$E$5-Supuestos!$D$5)/(Supuestos!$F$5-Supuestos!$D$5),Supuestos!$D$5+SQRT(B991*(Supuestos!$F$5-Supuestos!$D$5)*(Supuestos!$E$5-Supuestos!$D$5)),Supuestos!$F$5-SQRT((1-B991)*(Supuestos!$F$5-Supuestos!$D$5)*(Supuestos!$F$5-Supuestos!$E$5))),IF(Supuestos!$C$5="Uniforme",Supuestos!$D$5+B991*(Supuestos!$E$5-Supuestos!$D$5),IF(Supuestos!$C$5="Lognormal",LOGINV(B991,LN(Supuestos!$D$5)-LN(1+Supuestos!$E$5^2/Supuestos!$D$5^2)/2,SQRT(LN(1+Supuestos!$E$5^2/Supuestos!$D$5^2))),Supuestos!$D$5))))))</f>
        <v/>
      </c>
      <c r="J991" s="31">
        <f>MIN(IF(Supuestos!$H$6="",1E+99,Supuestos!$H$6),MAX(IF(Supuestos!$G$6="",-1E+99,Supuestos!$G$6),IF(Supuestos!$C$6="Normal",NORMINV(C991,Supuestos!$D$6,Supuestos!$E$6),IF(Supuestos!$C$6="Triangular",IF(C991&lt;(Supuestos!$E$6-Supuestos!$D$6)/(Supuestos!$F$6-Supuestos!$D$6),Supuestos!$D$6+SQRT(C991*(Supuestos!$F$6-Supuestos!$D$6)*(Supuestos!$E$6-Supuestos!$D$6)),Supuestos!$F$6-SQRT((1-C991)*(Supuestos!$F$6-Supuestos!$D$6)*(Supuestos!$F$6-Supuestos!$E$6))),IF(Supuestos!$C$6="Uniforme",Supuestos!$D$6+C991*(Supuestos!$E$6-Supuestos!$D$6),IF(Supuestos!$C$6="Lognormal",LOGINV(C991,LN(Supuestos!$D$6)-LN(1+Supuestos!$E$6^2/Supuestos!$D$6^2)/2,SQRT(LN(1+Supuestos!$E$6^2/Supuestos!$D$6^2))),Supuestos!$D$6))))))</f>
        <v/>
      </c>
      <c r="K991" s="32">
        <f>MIN(IF(Supuestos!$H$7="",1E+99,Supuestos!$H$7),MAX(IF(Supuestos!$G$7="",-1E+99,Supuestos!$G$7),IF(Supuestos!$C$7="Normal",NORMINV(D991,Supuestos!$D$7,Supuestos!$E$7),IF(Supuestos!$C$7="Triangular",IF(D991&lt;(Supuestos!$E$7-Supuestos!$D$7)/(Supuestos!$F$7-Supuestos!$D$7),Supuestos!$D$7+SQRT(D991*(Supuestos!$F$7-Supuestos!$D$7)*(Supuestos!$E$7-Supuestos!$D$7)),Supuestos!$F$7-SQRT((1-D991)*(Supuestos!$F$7-Supuestos!$D$7)*(Supuestos!$F$7-Supuestos!$E$7))),IF(Supuestos!$C$7="Uniforme",Supuestos!$D$7+D991*(Supuestos!$E$7-Supuestos!$D$7),IF(Supuestos!$C$7="Lognormal",LOGINV(D991,LN(Supuestos!$D$7)-LN(1+Supuestos!$E$7^2/Supuestos!$D$7^2)/2,SQRT(LN(1+Supuestos!$E$7^2/Supuestos!$D$7^2))),Supuestos!$D$7))))))</f>
        <v/>
      </c>
      <c r="L991" s="32">
        <f>MIN(IF(Supuestos!$H$8="",1E+99,Supuestos!$H$8),MAX(IF(Supuestos!$G$8="",-1E+99,Supuestos!$G$8),IF(Supuestos!$C$8="Normal",NORMINV(E991,Supuestos!$D$8,Supuestos!$E$8),IF(Supuestos!$C$8="Triangular",IF(E991&lt;(Supuestos!$E$8-Supuestos!$D$8)/(Supuestos!$F$8-Supuestos!$D$8),Supuestos!$D$8+SQRT(E991*(Supuestos!$F$8-Supuestos!$D$8)*(Supuestos!$E$8-Supuestos!$D$8)),Supuestos!$F$8-SQRT((1-E991)*(Supuestos!$F$8-Supuestos!$D$8)*(Supuestos!$F$8-Supuestos!$E$8))),IF(Supuestos!$C$8="Uniforme",Supuestos!$D$8+E991*(Supuestos!$E$8-Supuestos!$D$8),IF(Supuestos!$C$8="Lognormal",LOGINV(E991,LN(Supuestos!$D$8)-LN(1+Supuestos!$E$8^2/Supuestos!$D$8^2)/2,SQRT(LN(1+Supuestos!$E$8^2/Supuestos!$D$8^2))),Supuestos!$D$8))))))</f>
        <v/>
      </c>
      <c r="M991" s="32">
        <f>MIN(IF(Supuestos!$H$9="",1E+99,Supuestos!$H$9),MAX(IF(Supuestos!$G$9="",-1E+99,Supuestos!$G$9),IF(Supuestos!$C$9="Normal",NORMINV(F991,Supuestos!$D$9,Supuestos!$E$9),IF(Supuestos!$C$9="Triangular",IF(F991&lt;(Supuestos!$E$9-Supuestos!$D$9)/(Supuestos!$F$9-Supuestos!$D$9),Supuestos!$D$9+SQRT(F991*(Supuestos!$F$9-Supuestos!$D$9)*(Supuestos!$E$9-Supuestos!$D$9)),Supuestos!$F$9-SQRT((1-F991)*(Supuestos!$F$9-Supuestos!$D$9)*(Supuestos!$F$9-Supuestos!$E$9))),IF(Supuestos!$C$9="Uniforme",Supuestos!$D$9+F991*(Supuestos!$E$9-Supuestos!$D$9),IF(Supuestos!$C$9="Lognormal",LOGINV(F991,LN(Supuestos!$D$9)-LN(1+Supuestos!$E$9^2/Supuestos!$D$9^2)/2,SQRT(LN(1+Supuestos!$E$9^2/Supuestos!$D$9^2))),Supuestos!$D$9))))))</f>
        <v/>
      </c>
      <c r="N991" s="32">
        <f>MIN(IF(Supuestos!$H$10="",1E+99,Supuestos!$H$10),MAX(IF(Supuestos!$G$10="",-1E+99,Supuestos!$G$10),IF(Supuestos!$C$10="Normal",NORMINV(G991,Supuestos!$D$10,Supuestos!$E$10),IF(Supuestos!$C$10="Triangular",IF(G991&lt;(Supuestos!$E$10-Supuestos!$D$10)/(Supuestos!$F$10-Supuestos!$D$10),Supuestos!$D$10+SQRT(G991*(Supuestos!$F$10-Supuestos!$D$10)*(Supuestos!$E$10-Supuestos!$D$10)),Supuestos!$F$10-SQRT((1-G991)*(Supuestos!$F$10-Supuestos!$D$10)*(Supuestos!$F$10-Supuestos!$E$10))),IF(Supuestos!$C$10="Uniforme",Supuestos!$D$10+G991*(Supuestos!$E$10-Supuestos!$D$10),IF(Supuestos!$C$10="Lognormal",LOGINV(G991,LN(Supuestos!$D$10)-LN(1+Supuestos!$E$10^2/Supuestos!$D$10^2)/2,SQRT(LN(1+Supuestos!$E$10^2/Supuestos!$D$10^2))),Supuestos!$D$10))))))</f>
        <v/>
      </c>
      <c r="O991" s="31">
        <f>MIN(IF(Supuestos!$H$11="",1E+99,Supuestos!$H$11),MAX(IF(Supuestos!$G$11="",-1E+99,Supuestos!$G$11),IF(Supuestos!$C$11="Normal",NORMINV(H991,Supuestos!$D$11,Supuestos!$E$11),IF(Supuestos!$C$11="Triangular",IF(H991&lt;(Supuestos!$E$11-Supuestos!$D$11)/(Supuestos!$F$11-Supuestos!$D$11),Supuestos!$D$11+SQRT(H991*(Supuestos!$F$11-Supuestos!$D$11)*(Supuestos!$E$11-Supuestos!$D$11)),Supuestos!$F$11-SQRT((1-H991)*(Supuestos!$F$11-Supuestos!$D$11)*(Supuestos!$F$11-Supuestos!$E$11))),IF(Supuestos!$C$11="Uniforme",Supuestos!$D$11+H991*(Supuestos!$E$11-Supuestos!$D$11),IF(Supuestos!$C$11="Lognormal",LOGINV(H991,LN(Supuestos!$D$11)-LN(1+Supuestos!$E$11^2/Supuestos!$D$11^2)/2,SQRT(LN(1+Supuestos!$E$11^2/Supuestos!$D$11^2))),Supuestos!$D$11))))))</f>
        <v/>
      </c>
      <c r="P991" s="33">
        <f>-I991</f>
        <v/>
      </c>
      <c r="Q991" s="33">
        <f>$J991*(1+$K991)^(1-1)*(1-$L991)*(1-$M991)</f>
        <v/>
      </c>
      <c r="R991" s="33">
        <f>$J991*(1+$K991)^(2-1)*(1-$L991)*(1-$M991)</f>
        <v/>
      </c>
      <c r="S991" s="33">
        <f>$J991*(1+$K991)^(3-1)*(1-$L991)*(1-$M991)</f>
        <v/>
      </c>
      <c r="T991" s="33">
        <f>$J991*(1+$K991)^(4-1)*(1-$L991)*(1-$M991)</f>
        <v/>
      </c>
      <c r="U991" s="33">
        <f>$J991*(1+$K991)^(5-1)*(1-$L991)*(1-$M991)+$O991</f>
        <v/>
      </c>
      <c r="V991" s="33">
        <f>P991+NPV($N991,Q991:U991)</f>
        <v/>
      </c>
      <c r="W991" s="32">
        <f>IFERROR(IRR(P991:U991,0.1),"")</f>
        <v/>
      </c>
    </row>
    <row r="992">
      <c r="A992" s="14" t="n">
        <v>988</v>
      </c>
      <c r="B992" s="30">
        <f>RAND()*(1-2E-6)+1E-6</f>
        <v/>
      </c>
      <c r="C992" s="30">
        <f>RAND()*(1-2E-6)+1E-6</f>
        <v/>
      </c>
      <c r="D992" s="30">
        <f>RAND()*(1-2E-6)+1E-6</f>
        <v/>
      </c>
      <c r="E992" s="30">
        <f>RAND()*(1-2E-6)+1E-6</f>
        <v/>
      </c>
      <c r="F992" s="30">
        <f>RAND()*(1-2E-6)+1E-6</f>
        <v/>
      </c>
      <c r="G992" s="30">
        <f>RAND()*(1-2E-6)+1E-6</f>
        <v/>
      </c>
      <c r="H992" s="30">
        <f>RAND()*(1-2E-6)+1E-6</f>
        <v/>
      </c>
      <c r="I992" s="31">
        <f>MIN(IF(Supuestos!$H$5="",1E+99,Supuestos!$H$5),MAX(IF(Supuestos!$G$5="",-1E+99,Supuestos!$G$5),IF(Supuestos!$C$5="Normal",NORMINV(B992,Supuestos!$D$5,Supuestos!$E$5),IF(Supuestos!$C$5="Triangular",IF(B992&lt;(Supuestos!$E$5-Supuestos!$D$5)/(Supuestos!$F$5-Supuestos!$D$5),Supuestos!$D$5+SQRT(B992*(Supuestos!$F$5-Supuestos!$D$5)*(Supuestos!$E$5-Supuestos!$D$5)),Supuestos!$F$5-SQRT((1-B992)*(Supuestos!$F$5-Supuestos!$D$5)*(Supuestos!$F$5-Supuestos!$E$5))),IF(Supuestos!$C$5="Uniforme",Supuestos!$D$5+B992*(Supuestos!$E$5-Supuestos!$D$5),IF(Supuestos!$C$5="Lognormal",LOGINV(B992,LN(Supuestos!$D$5)-LN(1+Supuestos!$E$5^2/Supuestos!$D$5^2)/2,SQRT(LN(1+Supuestos!$E$5^2/Supuestos!$D$5^2))),Supuestos!$D$5))))))</f>
        <v/>
      </c>
      <c r="J992" s="31">
        <f>MIN(IF(Supuestos!$H$6="",1E+99,Supuestos!$H$6),MAX(IF(Supuestos!$G$6="",-1E+99,Supuestos!$G$6),IF(Supuestos!$C$6="Normal",NORMINV(C992,Supuestos!$D$6,Supuestos!$E$6),IF(Supuestos!$C$6="Triangular",IF(C992&lt;(Supuestos!$E$6-Supuestos!$D$6)/(Supuestos!$F$6-Supuestos!$D$6),Supuestos!$D$6+SQRT(C992*(Supuestos!$F$6-Supuestos!$D$6)*(Supuestos!$E$6-Supuestos!$D$6)),Supuestos!$F$6-SQRT((1-C992)*(Supuestos!$F$6-Supuestos!$D$6)*(Supuestos!$F$6-Supuestos!$E$6))),IF(Supuestos!$C$6="Uniforme",Supuestos!$D$6+C992*(Supuestos!$E$6-Supuestos!$D$6),IF(Supuestos!$C$6="Lognormal",LOGINV(C992,LN(Supuestos!$D$6)-LN(1+Supuestos!$E$6^2/Supuestos!$D$6^2)/2,SQRT(LN(1+Supuestos!$E$6^2/Supuestos!$D$6^2))),Supuestos!$D$6))))))</f>
        <v/>
      </c>
      <c r="K992" s="32">
        <f>MIN(IF(Supuestos!$H$7="",1E+99,Supuestos!$H$7),MAX(IF(Supuestos!$G$7="",-1E+99,Supuestos!$G$7),IF(Supuestos!$C$7="Normal",NORMINV(D992,Supuestos!$D$7,Supuestos!$E$7),IF(Supuestos!$C$7="Triangular",IF(D992&lt;(Supuestos!$E$7-Supuestos!$D$7)/(Supuestos!$F$7-Supuestos!$D$7),Supuestos!$D$7+SQRT(D992*(Supuestos!$F$7-Supuestos!$D$7)*(Supuestos!$E$7-Supuestos!$D$7)),Supuestos!$F$7-SQRT((1-D992)*(Supuestos!$F$7-Supuestos!$D$7)*(Supuestos!$F$7-Supuestos!$E$7))),IF(Supuestos!$C$7="Uniforme",Supuestos!$D$7+D992*(Supuestos!$E$7-Supuestos!$D$7),IF(Supuestos!$C$7="Lognormal",LOGINV(D992,LN(Supuestos!$D$7)-LN(1+Supuestos!$E$7^2/Supuestos!$D$7^2)/2,SQRT(LN(1+Supuestos!$E$7^2/Supuestos!$D$7^2))),Supuestos!$D$7))))))</f>
        <v/>
      </c>
      <c r="L992" s="32">
        <f>MIN(IF(Supuestos!$H$8="",1E+99,Supuestos!$H$8),MAX(IF(Supuestos!$G$8="",-1E+99,Supuestos!$G$8),IF(Supuestos!$C$8="Normal",NORMINV(E992,Supuestos!$D$8,Supuestos!$E$8),IF(Supuestos!$C$8="Triangular",IF(E992&lt;(Supuestos!$E$8-Supuestos!$D$8)/(Supuestos!$F$8-Supuestos!$D$8),Supuestos!$D$8+SQRT(E992*(Supuestos!$F$8-Supuestos!$D$8)*(Supuestos!$E$8-Supuestos!$D$8)),Supuestos!$F$8-SQRT((1-E992)*(Supuestos!$F$8-Supuestos!$D$8)*(Supuestos!$F$8-Supuestos!$E$8))),IF(Supuestos!$C$8="Uniforme",Supuestos!$D$8+E992*(Supuestos!$E$8-Supuestos!$D$8),IF(Supuestos!$C$8="Lognormal",LOGINV(E992,LN(Supuestos!$D$8)-LN(1+Supuestos!$E$8^2/Supuestos!$D$8^2)/2,SQRT(LN(1+Supuestos!$E$8^2/Supuestos!$D$8^2))),Supuestos!$D$8))))))</f>
        <v/>
      </c>
      <c r="M992" s="32">
        <f>MIN(IF(Supuestos!$H$9="",1E+99,Supuestos!$H$9),MAX(IF(Supuestos!$G$9="",-1E+99,Supuestos!$G$9),IF(Supuestos!$C$9="Normal",NORMINV(F992,Supuestos!$D$9,Supuestos!$E$9),IF(Supuestos!$C$9="Triangular",IF(F992&lt;(Supuestos!$E$9-Supuestos!$D$9)/(Supuestos!$F$9-Supuestos!$D$9),Supuestos!$D$9+SQRT(F992*(Supuestos!$F$9-Supuestos!$D$9)*(Supuestos!$E$9-Supuestos!$D$9)),Supuestos!$F$9-SQRT((1-F992)*(Supuestos!$F$9-Supuestos!$D$9)*(Supuestos!$F$9-Supuestos!$E$9))),IF(Supuestos!$C$9="Uniforme",Supuestos!$D$9+F992*(Supuestos!$E$9-Supuestos!$D$9),IF(Supuestos!$C$9="Lognormal",LOGINV(F992,LN(Supuestos!$D$9)-LN(1+Supuestos!$E$9^2/Supuestos!$D$9^2)/2,SQRT(LN(1+Supuestos!$E$9^2/Supuestos!$D$9^2))),Supuestos!$D$9))))))</f>
        <v/>
      </c>
      <c r="N992" s="32">
        <f>MIN(IF(Supuestos!$H$10="",1E+99,Supuestos!$H$10),MAX(IF(Supuestos!$G$10="",-1E+99,Supuestos!$G$10),IF(Supuestos!$C$10="Normal",NORMINV(G992,Supuestos!$D$10,Supuestos!$E$10),IF(Supuestos!$C$10="Triangular",IF(G992&lt;(Supuestos!$E$10-Supuestos!$D$10)/(Supuestos!$F$10-Supuestos!$D$10),Supuestos!$D$10+SQRT(G992*(Supuestos!$F$10-Supuestos!$D$10)*(Supuestos!$E$10-Supuestos!$D$10)),Supuestos!$F$10-SQRT((1-G992)*(Supuestos!$F$10-Supuestos!$D$10)*(Supuestos!$F$10-Supuestos!$E$10))),IF(Supuestos!$C$10="Uniforme",Supuestos!$D$10+G992*(Supuestos!$E$10-Supuestos!$D$10),IF(Supuestos!$C$10="Lognormal",LOGINV(G992,LN(Supuestos!$D$10)-LN(1+Supuestos!$E$10^2/Supuestos!$D$10^2)/2,SQRT(LN(1+Supuestos!$E$10^2/Supuestos!$D$10^2))),Supuestos!$D$10))))))</f>
        <v/>
      </c>
      <c r="O992" s="31">
        <f>MIN(IF(Supuestos!$H$11="",1E+99,Supuestos!$H$11),MAX(IF(Supuestos!$G$11="",-1E+99,Supuestos!$G$11),IF(Supuestos!$C$11="Normal",NORMINV(H992,Supuestos!$D$11,Supuestos!$E$11),IF(Supuestos!$C$11="Triangular",IF(H992&lt;(Supuestos!$E$11-Supuestos!$D$11)/(Supuestos!$F$11-Supuestos!$D$11),Supuestos!$D$11+SQRT(H992*(Supuestos!$F$11-Supuestos!$D$11)*(Supuestos!$E$11-Supuestos!$D$11)),Supuestos!$F$11-SQRT((1-H992)*(Supuestos!$F$11-Supuestos!$D$11)*(Supuestos!$F$11-Supuestos!$E$11))),IF(Supuestos!$C$11="Uniforme",Supuestos!$D$11+H992*(Supuestos!$E$11-Supuestos!$D$11),IF(Supuestos!$C$11="Lognormal",LOGINV(H992,LN(Supuestos!$D$11)-LN(1+Supuestos!$E$11^2/Supuestos!$D$11^2)/2,SQRT(LN(1+Supuestos!$E$11^2/Supuestos!$D$11^2))),Supuestos!$D$11))))))</f>
        <v/>
      </c>
      <c r="P992" s="33">
        <f>-I992</f>
        <v/>
      </c>
      <c r="Q992" s="33">
        <f>$J992*(1+$K992)^(1-1)*(1-$L992)*(1-$M992)</f>
        <v/>
      </c>
      <c r="R992" s="33">
        <f>$J992*(1+$K992)^(2-1)*(1-$L992)*(1-$M992)</f>
        <v/>
      </c>
      <c r="S992" s="33">
        <f>$J992*(1+$K992)^(3-1)*(1-$L992)*(1-$M992)</f>
        <v/>
      </c>
      <c r="T992" s="33">
        <f>$J992*(1+$K992)^(4-1)*(1-$L992)*(1-$M992)</f>
        <v/>
      </c>
      <c r="U992" s="33">
        <f>$J992*(1+$K992)^(5-1)*(1-$L992)*(1-$M992)+$O992</f>
        <v/>
      </c>
      <c r="V992" s="33">
        <f>P992+NPV($N992,Q992:U992)</f>
        <v/>
      </c>
      <c r="W992" s="32">
        <f>IFERROR(IRR(P992:U992,0.1),"")</f>
        <v/>
      </c>
    </row>
    <row r="993">
      <c r="A993" s="14" t="n">
        <v>989</v>
      </c>
      <c r="B993" s="30">
        <f>RAND()*(1-2E-6)+1E-6</f>
        <v/>
      </c>
      <c r="C993" s="30">
        <f>RAND()*(1-2E-6)+1E-6</f>
        <v/>
      </c>
      <c r="D993" s="30">
        <f>RAND()*(1-2E-6)+1E-6</f>
        <v/>
      </c>
      <c r="E993" s="30">
        <f>RAND()*(1-2E-6)+1E-6</f>
        <v/>
      </c>
      <c r="F993" s="30">
        <f>RAND()*(1-2E-6)+1E-6</f>
        <v/>
      </c>
      <c r="G993" s="30">
        <f>RAND()*(1-2E-6)+1E-6</f>
        <v/>
      </c>
      <c r="H993" s="30">
        <f>RAND()*(1-2E-6)+1E-6</f>
        <v/>
      </c>
      <c r="I993" s="31">
        <f>MIN(IF(Supuestos!$H$5="",1E+99,Supuestos!$H$5),MAX(IF(Supuestos!$G$5="",-1E+99,Supuestos!$G$5),IF(Supuestos!$C$5="Normal",NORMINV(B993,Supuestos!$D$5,Supuestos!$E$5),IF(Supuestos!$C$5="Triangular",IF(B993&lt;(Supuestos!$E$5-Supuestos!$D$5)/(Supuestos!$F$5-Supuestos!$D$5),Supuestos!$D$5+SQRT(B993*(Supuestos!$F$5-Supuestos!$D$5)*(Supuestos!$E$5-Supuestos!$D$5)),Supuestos!$F$5-SQRT((1-B993)*(Supuestos!$F$5-Supuestos!$D$5)*(Supuestos!$F$5-Supuestos!$E$5))),IF(Supuestos!$C$5="Uniforme",Supuestos!$D$5+B993*(Supuestos!$E$5-Supuestos!$D$5),IF(Supuestos!$C$5="Lognormal",LOGINV(B993,LN(Supuestos!$D$5)-LN(1+Supuestos!$E$5^2/Supuestos!$D$5^2)/2,SQRT(LN(1+Supuestos!$E$5^2/Supuestos!$D$5^2))),Supuestos!$D$5))))))</f>
        <v/>
      </c>
      <c r="J993" s="31">
        <f>MIN(IF(Supuestos!$H$6="",1E+99,Supuestos!$H$6),MAX(IF(Supuestos!$G$6="",-1E+99,Supuestos!$G$6),IF(Supuestos!$C$6="Normal",NORMINV(C993,Supuestos!$D$6,Supuestos!$E$6),IF(Supuestos!$C$6="Triangular",IF(C993&lt;(Supuestos!$E$6-Supuestos!$D$6)/(Supuestos!$F$6-Supuestos!$D$6),Supuestos!$D$6+SQRT(C993*(Supuestos!$F$6-Supuestos!$D$6)*(Supuestos!$E$6-Supuestos!$D$6)),Supuestos!$F$6-SQRT((1-C993)*(Supuestos!$F$6-Supuestos!$D$6)*(Supuestos!$F$6-Supuestos!$E$6))),IF(Supuestos!$C$6="Uniforme",Supuestos!$D$6+C993*(Supuestos!$E$6-Supuestos!$D$6),IF(Supuestos!$C$6="Lognormal",LOGINV(C993,LN(Supuestos!$D$6)-LN(1+Supuestos!$E$6^2/Supuestos!$D$6^2)/2,SQRT(LN(1+Supuestos!$E$6^2/Supuestos!$D$6^2))),Supuestos!$D$6))))))</f>
        <v/>
      </c>
      <c r="K993" s="32">
        <f>MIN(IF(Supuestos!$H$7="",1E+99,Supuestos!$H$7),MAX(IF(Supuestos!$G$7="",-1E+99,Supuestos!$G$7),IF(Supuestos!$C$7="Normal",NORMINV(D993,Supuestos!$D$7,Supuestos!$E$7),IF(Supuestos!$C$7="Triangular",IF(D993&lt;(Supuestos!$E$7-Supuestos!$D$7)/(Supuestos!$F$7-Supuestos!$D$7),Supuestos!$D$7+SQRT(D993*(Supuestos!$F$7-Supuestos!$D$7)*(Supuestos!$E$7-Supuestos!$D$7)),Supuestos!$F$7-SQRT((1-D993)*(Supuestos!$F$7-Supuestos!$D$7)*(Supuestos!$F$7-Supuestos!$E$7))),IF(Supuestos!$C$7="Uniforme",Supuestos!$D$7+D993*(Supuestos!$E$7-Supuestos!$D$7),IF(Supuestos!$C$7="Lognormal",LOGINV(D993,LN(Supuestos!$D$7)-LN(1+Supuestos!$E$7^2/Supuestos!$D$7^2)/2,SQRT(LN(1+Supuestos!$E$7^2/Supuestos!$D$7^2))),Supuestos!$D$7))))))</f>
        <v/>
      </c>
      <c r="L993" s="32">
        <f>MIN(IF(Supuestos!$H$8="",1E+99,Supuestos!$H$8),MAX(IF(Supuestos!$G$8="",-1E+99,Supuestos!$G$8),IF(Supuestos!$C$8="Normal",NORMINV(E993,Supuestos!$D$8,Supuestos!$E$8),IF(Supuestos!$C$8="Triangular",IF(E993&lt;(Supuestos!$E$8-Supuestos!$D$8)/(Supuestos!$F$8-Supuestos!$D$8),Supuestos!$D$8+SQRT(E993*(Supuestos!$F$8-Supuestos!$D$8)*(Supuestos!$E$8-Supuestos!$D$8)),Supuestos!$F$8-SQRT((1-E993)*(Supuestos!$F$8-Supuestos!$D$8)*(Supuestos!$F$8-Supuestos!$E$8))),IF(Supuestos!$C$8="Uniforme",Supuestos!$D$8+E993*(Supuestos!$E$8-Supuestos!$D$8),IF(Supuestos!$C$8="Lognormal",LOGINV(E993,LN(Supuestos!$D$8)-LN(1+Supuestos!$E$8^2/Supuestos!$D$8^2)/2,SQRT(LN(1+Supuestos!$E$8^2/Supuestos!$D$8^2))),Supuestos!$D$8))))))</f>
        <v/>
      </c>
      <c r="M993" s="32">
        <f>MIN(IF(Supuestos!$H$9="",1E+99,Supuestos!$H$9),MAX(IF(Supuestos!$G$9="",-1E+99,Supuestos!$G$9),IF(Supuestos!$C$9="Normal",NORMINV(F993,Supuestos!$D$9,Supuestos!$E$9),IF(Supuestos!$C$9="Triangular",IF(F993&lt;(Supuestos!$E$9-Supuestos!$D$9)/(Supuestos!$F$9-Supuestos!$D$9),Supuestos!$D$9+SQRT(F993*(Supuestos!$F$9-Supuestos!$D$9)*(Supuestos!$E$9-Supuestos!$D$9)),Supuestos!$F$9-SQRT((1-F993)*(Supuestos!$F$9-Supuestos!$D$9)*(Supuestos!$F$9-Supuestos!$E$9))),IF(Supuestos!$C$9="Uniforme",Supuestos!$D$9+F993*(Supuestos!$E$9-Supuestos!$D$9),IF(Supuestos!$C$9="Lognormal",LOGINV(F993,LN(Supuestos!$D$9)-LN(1+Supuestos!$E$9^2/Supuestos!$D$9^2)/2,SQRT(LN(1+Supuestos!$E$9^2/Supuestos!$D$9^2))),Supuestos!$D$9))))))</f>
        <v/>
      </c>
      <c r="N993" s="32">
        <f>MIN(IF(Supuestos!$H$10="",1E+99,Supuestos!$H$10),MAX(IF(Supuestos!$G$10="",-1E+99,Supuestos!$G$10),IF(Supuestos!$C$10="Normal",NORMINV(G993,Supuestos!$D$10,Supuestos!$E$10),IF(Supuestos!$C$10="Triangular",IF(G993&lt;(Supuestos!$E$10-Supuestos!$D$10)/(Supuestos!$F$10-Supuestos!$D$10),Supuestos!$D$10+SQRT(G993*(Supuestos!$F$10-Supuestos!$D$10)*(Supuestos!$E$10-Supuestos!$D$10)),Supuestos!$F$10-SQRT((1-G993)*(Supuestos!$F$10-Supuestos!$D$10)*(Supuestos!$F$10-Supuestos!$E$10))),IF(Supuestos!$C$10="Uniforme",Supuestos!$D$10+G993*(Supuestos!$E$10-Supuestos!$D$10),IF(Supuestos!$C$10="Lognormal",LOGINV(G993,LN(Supuestos!$D$10)-LN(1+Supuestos!$E$10^2/Supuestos!$D$10^2)/2,SQRT(LN(1+Supuestos!$E$10^2/Supuestos!$D$10^2))),Supuestos!$D$10))))))</f>
        <v/>
      </c>
      <c r="O993" s="31">
        <f>MIN(IF(Supuestos!$H$11="",1E+99,Supuestos!$H$11),MAX(IF(Supuestos!$G$11="",-1E+99,Supuestos!$G$11),IF(Supuestos!$C$11="Normal",NORMINV(H993,Supuestos!$D$11,Supuestos!$E$11),IF(Supuestos!$C$11="Triangular",IF(H993&lt;(Supuestos!$E$11-Supuestos!$D$11)/(Supuestos!$F$11-Supuestos!$D$11),Supuestos!$D$11+SQRT(H993*(Supuestos!$F$11-Supuestos!$D$11)*(Supuestos!$E$11-Supuestos!$D$11)),Supuestos!$F$11-SQRT((1-H993)*(Supuestos!$F$11-Supuestos!$D$11)*(Supuestos!$F$11-Supuestos!$E$11))),IF(Supuestos!$C$11="Uniforme",Supuestos!$D$11+H993*(Supuestos!$E$11-Supuestos!$D$11),IF(Supuestos!$C$11="Lognormal",LOGINV(H993,LN(Supuestos!$D$11)-LN(1+Supuestos!$E$11^2/Supuestos!$D$11^2)/2,SQRT(LN(1+Supuestos!$E$11^2/Supuestos!$D$11^2))),Supuestos!$D$11))))))</f>
        <v/>
      </c>
      <c r="P993" s="33">
        <f>-I993</f>
        <v/>
      </c>
      <c r="Q993" s="33">
        <f>$J993*(1+$K993)^(1-1)*(1-$L993)*(1-$M993)</f>
        <v/>
      </c>
      <c r="R993" s="33">
        <f>$J993*(1+$K993)^(2-1)*(1-$L993)*(1-$M993)</f>
        <v/>
      </c>
      <c r="S993" s="33">
        <f>$J993*(1+$K993)^(3-1)*(1-$L993)*(1-$M993)</f>
        <v/>
      </c>
      <c r="T993" s="33">
        <f>$J993*(1+$K993)^(4-1)*(1-$L993)*(1-$M993)</f>
        <v/>
      </c>
      <c r="U993" s="33">
        <f>$J993*(1+$K993)^(5-1)*(1-$L993)*(1-$M993)+$O993</f>
        <v/>
      </c>
      <c r="V993" s="33">
        <f>P993+NPV($N993,Q993:U993)</f>
        <v/>
      </c>
      <c r="W993" s="32">
        <f>IFERROR(IRR(P993:U993,0.1),"")</f>
        <v/>
      </c>
    </row>
    <row r="994">
      <c r="A994" s="14" t="n">
        <v>990</v>
      </c>
      <c r="B994" s="30">
        <f>RAND()*(1-2E-6)+1E-6</f>
        <v/>
      </c>
      <c r="C994" s="30">
        <f>RAND()*(1-2E-6)+1E-6</f>
        <v/>
      </c>
      <c r="D994" s="30">
        <f>RAND()*(1-2E-6)+1E-6</f>
        <v/>
      </c>
      <c r="E994" s="30">
        <f>RAND()*(1-2E-6)+1E-6</f>
        <v/>
      </c>
      <c r="F994" s="30">
        <f>RAND()*(1-2E-6)+1E-6</f>
        <v/>
      </c>
      <c r="G994" s="30">
        <f>RAND()*(1-2E-6)+1E-6</f>
        <v/>
      </c>
      <c r="H994" s="30">
        <f>RAND()*(1-2E-6)+1E-6</f>
        <v/>
      </c>
      <c r="I994" s="31">
        <f>MIN(IF(Supuestos!$H$5="",1E+99,Supuestos!$H$5),MAX(IF(Supuestos!$G$5="",-1E+99,Supuestos!$G$5),IF(Supuestos!$C$5="Normal",NORMINV(B994,Supuestos!$D$5,Supuestos!$E$5),IF(Supuestos!$C$5="Triangular",IF(B994&lt;(Supuestos!$E$5-Supuestos!$D$5)/(Supuestos!$F$5-Supuestos!$D$5),Supuestos!$D$5+SQRT(B994*(Supuestos!$F$5-Supuestos!$D$5)*(Supuestos!$E$5-Supuestos!$D$5)),Supuestos!$F$5-SQRT((1-B994)*(Supuestos!$F$5-Supuestos!$D$5)*(Supuestos!$F$5-Supuestos!$E$5))),IF(Supuestos!$C$5="Uniforme",Supuestos!$D$5+B994*(Supuestos!$E$5-Supuestos!$D$5),IF(Supuestos!$C$5="Lognormal",LOGINV(B994,LN(Supuestos!$D$5)-LN(1+Supuestos!$E$5^2/Supuestos!$D$5^2)/2,SQRT(LN(1+Supuestos!$E$5^2/Supuestos!$D$5^2))),Supuestos!$D$5))))))</f>
        <v/>
      </c>
      <c r="J994" s="31">
        <f>MIN(IF(Supuestos!$H$6="",1E+99,Supuestos!$H$6),MAX(IF(Supuestos!$G$6="",-1E+99,Supuestos!$G$6),IF(Supuestos!$C$6="Normal",NORMINV(C994,Supuestos!$D$6,Supuestos!$E$6),IF(Supuestos!$C$6="Triangular",IF(C994&lt;(Supuestos!$E$6-Supuestos!$D$6)/(Supuestos!$F$6-Supuestos!$D$6),Supuestos!$D$6+SQRT(C994*(Supuestos!$F$6-Supuestos!$D$6)*(Supuestos!$E$6-Supuestos!$D$6)),Supuestos!$F$6-SQRT((1-C994)*(Supuestos!$F$6-Supuestos!$D$6)*(Supuestos!$F$6-Supuestos!$E$6))),IF(Supuestos!$C$6="Uniforme",Supuestos!$D$6+C994*(Supuestos!$E$6-Supuestos!$D$6),IF(Supuestos!$C$6="Lognormal",LOGINV(C994,LN(Supuestos!$D$6)-LN(1+Supuestos!$E$6^2/Supuestos!$D$6^2)/2,SQRT(LN(1+Supuestos!$E$6^2/Supuestos!$D$6^2))),Supuestos!$D$6))))))</f>
        <v/>
      </c>
      <c r="K994" s="32">
        <f>MIN(IF(Supuestos!$H$7="",1E+99,Supuestos!$H$7),MAX(IF(Supuestos!$G$7="",-1E+99,Supuestos!$G$7),IF(Supuestos!$C$7="Normal",NORMINV(D994,Supuestos!$D$7,Supuestos!$E$7),IF(Supuestos!$C$7="Triangular",IF(D994&lt;(Supuestos!$E$7-Supuestos!$D$7)/(Supuestos!$F$7-Supuestos!$D$7),Supuestos!$D$7+SQRT(D994*(Supuestos!$F$7-Supuestos!$D$7)*(Supuestos!$E$7-Supuestos!$D$7)),Supuestos!$F$7-SQRT((1-D994)*(Supuestos!$F$7-Supuestos!$D$7)*(Supuestos!$F$7-Supuestos!$E$7))),IF(Supuestos!$C$7="Uniforme",Supuestos!$D$7+D994*(Supuestos!$E$7-Supuestos!$D$7),IF(Supuestos!$C$7="Lognormal",LOGINV(D994,LN(Supuestos!$D$7)-LN(1+Supuestos!$E$7^2/Supuestos!$D$7^2)/2,SQRT(LN(1+Supuestos!$E$7^2/Supuestos!$D$7^2))),Supuestos!$D$7))))))</f>
        <v/>
      </c>
      <c r="L994" s="32">
        <f>MIN(IF(Supuestos!$H$8="",1E+99,Supuestos!$H$8),MAX(IF(Supuestos!$G$8="",-1E+99,Supuestos!$G$8),IF(Supuestos!$C$8="Normal",NORMINV(E994,Supuestos!$D$8,Supuestos!$E$8),IF(Supuestos!$C$8="Triangular",IF(E994&lt;(Supuestos!$E$8-Supuestos!$D$8)/(Supuestos!$F$8-Supuestos!$D$8),Supuestos!$D$8+SQRT(E994*(Supuestos!$F$8-Supuestos!$D$8)*(Supuestos!$E$8-Supuestos!$D$8)),Supuestos!$F$8-SQRT((1-E994)*(Supuestos!$F$8-Supuestos!$D$8)*(Supuestos!$F$8-Supuestos!$E$8))),IF(Supuestos!$C$8="Uniforme",Supuestos!$D$8+E994*(Supuestos!$E$8-Supuestos!$D$8),IF(Supuestos!$C$8="Lognormal",LOGINV(E994,LN(Supuestos!$D$8)-LN(1+Supuestos!$E$8^2/Supuestos!$D$8^2)/2,SQRT(LN(1+Supuestos!$E$8^2/Supuestos!$D$8^2))),Supuestos!$D$8))))))</f>
        <v/>
      </c>
      <c r="M994" s="32">
        <f>MIN(IF(Supuestos!$H$9="",1E+99,Supuestos!$H$9),MAX(IF(Supuestos!$G$9="",-1E+99,Supuestos!$G$9),IF(Supuestos!$C$9="Normal",NORMINV(F994,Supuestos!$D$9,Supuestos!$E$9),IF(Supuestos!$C$9="Triangular",IF(F994&lt;(Supuestos!$E$9-Supuestos!$D$9)/(Supuestos!$F$9-Supuestos!$D$9),Supuestos!$D$9+SQRT(F994*(Supuestos!$F$9-Supuestos!$D$9)*(Supuestos!$E$9-Supuestos!$D$9)),Supuestos!$F$9-SQRT((1-F994)*(Supuestos!$F$9-Supuestos!$D$9)*(Supuestos!$F$9-Supuestos!$E$9))),IF(Supuestos!$C$9="Uniforme",Supuestos!$D$9+F994*(Supuestos!$E$9-Supuestos!$D$9),IF(Supuestos!$C$9="Lognormal",LOGINV(F994,LN(Supuestos!$D$9)-LN(1+Supuestos!$E$9^2/Supuestos!$D$9^2)/2,SQRT(LN(1+Supuestos!$E$9^2/Supuestos!$D$9^2))),Supuestos!$D$9))))))</f>
        <v/>
      </c>
      <c r="N994" s="32">
        <f>MIN(IF(Supuestos!$H$10="",1E+99,Supuestos!$H$10),MAX(IF(Supuestos!$G$10="",-1E+99,Supuestos!$G$10),IF(Supuestos!$C$10="Normal",NORMINV(G994,Supuestos!$D$10,Supuestos!$E$10),IF(Supuestos!$C$10="Triangular",IF(G994&lt;(Supuestos!$E$10-Supuestos!$D$10)/(Supuestos!$F$10-Supuestos!$D$10),Supuestos!$D$10+SQRT(G994*(Supuestos!$F$10-Supuestos!$D$10)*(Supuestos!$E$10-Supuestos!$D$10)),Supuestos!$F$10-SQRT((1-G994)*(Supuestos!$F$10-Supuestos!$D$10)*(Supuestos!$F$10-Supuestos!$E$10))),IF(Supuestos!$C$10="Uniforme",Supuestos!$D$10+G994*(Supuestos!$E$10-Supuestos!$D$10),IF(Supuestos!$C$10="Lognormal",LOGINV(G994,LN(Supuestos!$D$10)-LN(1+Supuestos!$E$10^2/Supuestos!$D$10^2)/2,SQRT(LN(1+Supuestos!$E$10^2/Supuestos!$D$10^2))),Supuestos!$D$10))))))</f>
        <v/>
      </c>
      <c r="O994" s="31">
        <f>MIN(IF(Supuestos!$H$11="",1E+99,Supuestos!$H$11),MAX(IF(Supuestos!$G$11="",-1E+99,Supuestos!$G$11),IF(Supuestos!$C$11="Normal",NORMINV(H994,Supuestos!$D$11,Supuestos!$E$11),IF(Supuestos!$C$11="Triangular",IF(H994&lt;(Supuestos!$E$11-Supuestos!$D$11)/(Supuestos!$F$11-Supuestos!$D$11),Supuestos!$D$11+SQRT(H994*(Supuestos!$F$11-Supuestos!$D$11)*(Supuestos!$E$11-Supuestos!$D$11)),Supuestos!$F$11-SQRT((1-H994)*(Supuestos!$F$11-Supuestos!$D$11)*(Supuestos!$F$11-Supuestos!$E$11))),IF(Supuestos!$C$11="Uniforme",Supuestos!$D$11+H994*(Supuestos!$E$11-Supuestos!$D$11),IF(Supuestos!$C$11="Lognormal",LOGINV(H994,LN(Supuestos!$D$11)-LN(1+Supuestos!$E$11^2/Supuestos!$D$11^2)/2,SQRT(LN(1+Supuestos!$E$11^2/Supuestos!$D$11^2))),Supuestos!$D$11))))))</f>
        <v/>
      </c>
      <c r="P994" s="33">
        <f>-I994</f>
        <v/>
      </c>
      <c r="Q994" s="33">
        <f>$J994*(1+$K994)^(1-1)*(1-$L994)*(1-$M994)</f>
        <v/>
      </c>
      <c r="R994" s="33">
        <f>$J994*(1+$K994)^(2-1)*(1-$L994)*(1-$M994)</f>
        <v/>
      </c>
      <c r="S994" s="33">
        <f>$J994*(1+$K994)^(3-1)*(1-$L994)*(1-$M994)</f>
        <v/>
      </c>
      <c r="T994" s="33">
        <f>$J994*(1+$K994)^(4-1)*(1-$L994)*(1-$M994)</f>
        <v/>
      </c>
      <c r="U994" s="33">
        <f>$J994*(1+$K994)^(5-1)*(1-$L994)*(1-$M994)+$O994</f>
        <v/>
      </c>
      <c r="V994" s="33">
        <f>P994+NPV($N994,Q994:U994)</f>
        <v/>
      </c>
      <c r="W994" s="32">
        <f>IFERROR(IRR(P994:U994,0.1),"")</f>
        <v/>
      </c>
    </row>
    <row r="995">
      <c r="A995" s="14" t="n">
        <v>991</v>
      </c>
      <c r="B995" s="30">
        <f>RAND()*(1-2E-6)+1E-6</f>
        <v/>
      </c>
      <c r="C995" s="30">
        <f>RAND()*(1-2E-6)+1E-6</f>
        <v/>
      </c>
      <c r="D995" s="30">
        <f>RAND()*(1-2E-6)+1E-6</f>
        <v/>
      </c>
      <c r="E995" s="30">
        <f>RAND()*(1-2E-6)+1E-6</f>
        <v/>
      </c>
      <c r="F995" s="30">
        <f>RAND()*(1-2E-6)+1E-6</f>
        <v/>
      </c>
      <c r="G995" s="30">
        <f>RAND()*(1-2E-6)+1E-6</f>
        <v/>
      </c>
      <c r="H995" s="30">
        <f>RAND()*(1-2E-6)+1E-6</f>
        <v/>
      </c>
      <c r="I995" s="31">
        <f>MIN(IF(Supuestos!$H$5="",1E+99,Supuestos!$H$5),MAX(IF(Supuestos!$G$5="",-1E+99,Supuestos!$G$5),IF(Supuestos!$C$5="Normal",NORMINV(B995,Supuestos!$D$5,Supuestos!$E$5),IF(Supuestos!$C$5="Triangular",IF(B995&lt;(Supuestos!$E$5-Supuestos!$D$5)/(Supuestos!$F$5-Supuestos!$D$5),Supuestos!$D$5+SQRT(B995*(Supuestos!$F$5-Supuestos!$D$5)*(Supuestos!$E$5-Supuestos!$D$5)),Supuestos!$F$5-SQRT((1-B995)*(Supuestos!$F$5-Supuestos!$D$5)*(Supuestos!$F$5-Supuestos!$E$5))),IF(Supuestos!$C$5="Uniforme",Supuestos!$D$5+B995*(Supuestos!$E$5-Supuestos!$D$5),IF(Supuestos!$C$5="Lognormal",LOGINV(B995,LN(Supuestos!$D$5)-LN(1+Supuestos!$E$5^2/Supuestos!$D$5^2)/2,SQRT(LN(1+Supuestos!$E$5^2/Supuestos!$D$5^2))),Supuestos!$D$5))))))</f>
        <v/>
      </c>
      <c r="J995" s="31">
        <f>MIN(IF(Supuestos!$H$6="",1E+99,Supuestos!$H$6),MAX(IF(Supuestos!$G$6="",-1E+99,Supuestos!$G$6),IF(Supuestos!$C$6="Normal",NORMINV(C995,Supuestos!$D$6,Supuestos!$E$6),IF(Supuestos!$C$6="Triangular",IF(C995&lt;(Supuestos!$E$6-Supuestos!$D$6)/(Supuestos!$F$6-Supuestos!$D$6),Supuestos!$D$6+SQRT(C995*(Supuestos!$F$6-Supuestos!$D$6)*(Supuestos!$E$6-Supuestos!$D$6)),Supuestos!$F$6-SQRT((1-C995)*(Supuestos!$F$6-Supuestos!$D$6)*(Supuestos!$F$6-Supuestos!$E$6))),IF(Supuestos!$C$6="Uniforme",Supuestos!$D$6+C995*(Supuestos!$E$6-Supuestos!$D$6),IF(Supuestos!$C$6="Lognormal",LOGINV(C995,LN(Supuestos!$D$6)-LN(1+Supuestos!$E$6^2/Supuestos!$D$6^2)/2,SQRT(LN(1+Supuestos!$E$6^2/Supuestos!$D$6^2))),Supuestos!$D$6))))))</f>
        <v/>
      </c>
      <c r="K995" s="32">
        <f>MIN(IF(Supuestos!$H$7="",1E+99,Supuestos!$H$7),MAX(IF(Supuestos!$G$7="",-1E+99,Supuestos!$G$7),IF(Supuestos!$C$7="Normal",NORMINV(D995,Supuestos!$D$7,Supuestos!$E$7),IF(Supuestos!$C$7="Triangular",IF(D995&lt;(Supuestos!$E$7-Supuestos!$D$7)/(Supuestos!$F$7-Supuestos!$D$7),Supuestos!$D$7+SQRT(D995*(Supuestos!$F$7-Supuestos!$D$7)*(Supuestos!$E$7-Supuestos!$D$7)),Supuestos!$F$7-SQRT((1-D995)*(Supuestos!$F$7-Supuestos!$D$7)*(Supuestos!$F$7-Supuestos!$E$7))),IF(Supuestos!$C$7="Uniforme",Supuestos!$D$7+D995*(Supuestos!$E$7-Supuestos!$D$7),IF(Supuestos!$C$7="Lognormal",LOGINV(D995,LN(Supuestos!$D$7)-LN(1+Supuestos!$E$7^2/Supuestos!$D$7^2)/2,SQRT(LN(1+Supuestos!$E$7^2/Supuestos!$D$7^2))),Supuestos!$D$7))))))</f>
        <v/>
      </c>
      <c r="L995" s="32">
        <f>MIN(IF(Supuestos!$H$8="",1E+99,Supuestos!$H$8),MAX(IF(Supuestos!$G$8="",-1E+99,Supuestos!$G$8),IF(Supuestos!$C$8="Normal",NORMINV(E995,Supuestos!$D$8,Supuestos!$E$8),IF(Supuestos!$C$8="Triangular",IF(E995&lt;(Supuestos!$E$8-Supuestos!$D$8)/(Supuestos!$F$8-Supuestos!$D$8),Supuestos!$D$8+SQRT(E995*(Supuestos!$F$8-Supuestos!$D$8)*(Supuestos!$E$8-Supuestos!$D$8)),Supuestos!$F$8-SQRT((1-E995)*(Supuestos!$F$8-Supuestos!$D$8)*(Supuestos!$F$8-Supuestos!$E$8))),IF(Supuestos!$C$8="Uniforme",Supuestos!$D$8+E995*(Supuestos!$E$8-Supuestos!$D$8),IF(Supuestos!$C$8="Lognormal",LOGINV(E995,LN(Supuestos!$D$8)-LN(1+Supuestos!$E$8^2/Supuestos!$D$8^2)/2,SQRT(LN(1+Supuestos!$E$8^2/Supuestos!$D$8^2))),Supuestos!$D$8))))))</f>
        <v/>
      </c>
      <c r="M995" s="32">
        <f>MIN(IF(Supuestos!$H$9="",1E+99,Supuestos!$H$9),MAX(IF(Supuestos!$G$9="",-1E+99,Supuestos!$G$9),IF(Supuestos!$C$9="Normal",NORMINV(F995,Supuestos!$D$9,Supuestos!$E$9),IF(Supuestos!$C$9="Triangular",IF(F995&lt;(Supuestos!$E$9-Supuestos!$D$9)/(Supuestos!$F$9-Supuestos!$D$9),Supuestos!$D$9+SQRT(F995*(Supuestos!$F$9-Supuestos!$D$9)*(Supuestos!$E$9-Supuestos!$D$9)),Supuestos!$F$9-SQRT((1-F995)*(Supuestos!$F$9-Supuestos!$D$9)*(Supuestos!$F$9-Supuestos!$E$9))),IF(Supuestos!$C$9="Uniforme",Supuestos!$D$9+F995*(Supuestos!$E$9-Supuestos!$D$9),IF(Supuestos!$C$9="Lognormal",LOGINV(F995,LN(Supuestos!$D$9)-LN(1+Supuestos!$E$9^2/Supuestos!$D$9^2)/2,SQRT(LN(1+Supuestos!$E$9^2/Supuestos!$D$9^2))),Supuestos!$D$9))))))</f>
        <v/>
      </c>
      <c r="N995" s="32">
        <f>MIN(IF(Supuestos!$H$10="",1E+99,Supuestos!$H$10),MAX(IF(Supuestos!$G$10="",-1E+99,Supuestos!$G$10),IF(Supuestos!$C$10="Normal",NORMINV(G995,Supuestos!$D$10,Supuestos!$E$10),IF(Supuestos!$C$10="Triangular",IF(G995&lt;(Supuestos!$E$10-Supuestos!$D$10)/(Supuestos!$F$10-Supuestos!$D$10),Supuestos!$D$10+SQRT(G995*(Supuestos!$F$10-Supuestos!$D$10)*(Supuestos!$E$10-Supuestos!$D$10)),Supuestos!$F$10-SQRT((1-G995)*(Supuestos!$F$10-Supuestos!$D$10)*(Supuestos!$F$10-Supuestos!$E$10))),IF(Supuestos!$C$10="Uniforme",Supuestos!$D$10+G995*(Supuestos!$E$10-Supuestos!$D$10),IF(Supuestos!$C$10="Lognormal",LOGINV(G995,LN(Supuestos!$D$10)-LN(1+Supuestos!$E$10^2/Supuestos!$D$10^2)/2,SQRT(LN(1+Supuestos!$E$10^2/Supuestos!$D$10^2))),Supuestos!$D$10))))))</f>
        <v/>
      </c>
      <c r="O995" s="31">
        <f>MIN(IF(Supuestos!$H$11="",1E+99,Supuestos!$H$11),MAX(IF(Supuestos!$G$11="",-1E+99,Supuestos!$G$11),IF(Supuestos!$C$11="Normal",NORMINV(H995,Supuestos!$D$11,Supuestos!$E$11),IF(Supuestos!$C$11="Triangular",IF(H995&lt;(Supuestos!$E$11-Supuestos!$D$11)/(Supuestos!$F$11-Supuestos!$D$11),Supuestos!$D$11+SQRT(H995*(Supuestos!$F$11-Supuestos!$D$11)*(Supuestos!$E$11-Supuestos!$D$11)),Supuestos!$F$11-SQRT((1-H995)*(Supuestos!$F$11-Supuestos!$D$11)*(Supuestos!$F$11-Supuestos!$E$11))),IF(Supuestos!$C$11="Uniforme",Supuestos!$D$11+H995*(Supuestos!$E$11-Supuestos!$D$11),IF(Supuestos!$C$11="Lognormal",LOGINV(H995,LN(Supuestos!$D$11)-LN(1+Supuestos!$E$11^2/Supuestos!$D$11^2)/2,SQRT(LN(1+Supuestos!$E$11^2/Supuestos!$D$11^2))),Supuestos!$D$11))))))</f>
        <v/>
      </c>
      <c r="P995" s="33">
        <f>-I995</f>
        <v/>
      </c>
      <c r="Q995" s="33">
        <f>$J995*(1+$K995)^(1-1)*(1-$L995)*(1-$M995)</f>
        <v/>
      </c>
      <c r="R995" s="33">
        <f>$J995*(1+$K995)^(2-1)*(1-$L995)*(1-$M995)</f>
        <v/>
      </c>
      <c r="S995" s="33">
        <f>$J995*(1+$K995)^(3-1)*(1-$L995)*(1-$M995)</f>
        <v/>
      </c>
      <c r="T995" s="33">
        <f>$J995*(1+$K995)^(4-1)*(1-$L995)*(1-$M995)</f>
        <v/>
      </c>
      <c r="U995" s="33">
        <f>$J995*(1+$K995)^(5-1)*(1-$L995)*(1-$M995)+$O995</f>
        <v/>
      </c>
      <c r="V995" s="33">
        <f>P995+NPV($N995,Q995:U995)</f>
        <v/>
      </c>
      <c r="W995" s="32">
        <f>IFERROR(IRR(P995:U995,0.1),"")</f>
        <v/>
      </c>
    </row>
    <row r="996">
      <c r="A996" s="14" t="n">
        <v>992</v>
      </c>
      <c r="B996" s="30">
        <f>RAND()*(1-2E-6)+1E-6</f>
        <v/>
      </c>
      <c r="C996" s="30">
        <f>RAND()*(1-2E-6)+1E-6</f>
        <v/>
      </c>
      <c r="D996" s="30">
        <f>RAND()*(1-2E-6)+1E-6</f>
        <v/>
      </c>
      <c r="E996" s="30">
        <f>RAND()*(1-2E-6)+1E-6</f>
        <v/>
      </c>
      <c r="F996" s="30">
        <f>RAND()*(1-2E-6)+1E-6</f>
        <v/>
      </c>
      <c r="G996" s="30">
        <f>RAND()*(1-2E-6)+1E-6</f>
        <v/>
      </c>
      <c r="H996" s="30">
        <f>RAND()*(1-2E-6)+1E-6</f>
        <v/>
      </c>
      <c r="I996" s="31">
        <f>MIN(IF(Supuestos!$H$5="",1E+99,Supuestos!$H$5),MAX(IF(Supuestos!$G$5="",-1E+99,Supuestos!$G$5),IF(Supuestos!$C$5="Normal",NORMINV(B996,Supuestos!$D$5,Supuestos!$E$5),IF(Supuestos!$C$5="Triangular",IF(B996&lt;(Supuestos!$E$5-Supuestos!$D$5)/(Supuestos!$F$5-Supuestos!$D$5),Supuestos!$D$5+SQRT(B996*(Supuestos!$F$5-Supuestos!$D$5)*(Supuestos!$E$5-Supuestos!$D$5)),Supuestos!$F$5-SQRT((1-B996)*(Supuestos!$F$5-Supuestos!$D$5)*(Supuestos!$F$5-Supuestos!$E$5))),IF(Supuestos!$C$5="Uniforme",Supuestos!$D$5+B996*(Supuestos!$E$5-Supuestos!$D$5),IF(Supuestos!$C$5="Lognormal",LOGINV(B996,LN(Supuestos!$D$5)-LN(1+Supuestos!$E$5^2/Supuestos!$D$5^2)/2,SQRT(LN(1+Supuestos!$E$5^2/Supuestos!$D$5^2))),Supuestos!$D$5))))))</f>
        <v/>
      </c>
      <c r="J996" s="31">
        <f>MIN(IF(Supuestos!$H$6="",1E+99,Supuestos!$H$6),MAX(IF(Supuestos!$G$6="",-1E+99,Supuestos!$G$6),IF(Supuestos!$C$6="Normal",NORMINV(C996,Supuestos!$D$6,Supuestos!$E$6),IF(Supuestos!$C$6="Triangular",IF(C996&lt;(Supuestos!$E$6-Supuestos!$D$6)/(Supuestos!$F$6-Supuestos!$D$6),Supuestos!$D$6+SQRT(C996*(Supuestos!$F$6-Supuestos!$D$6)*(Supuestos!$E$6-Supuestos!$D$6)),Supuestos!$F$6-SQRT((1-C996)*(Supuestos!$F$6-Supuestos!$D$6)*(Supuestos!$F$6-Supuestos!$E$6))),IF(Supuestos!$C$6="Uniforme",Supuestos!$D$6+C996*(Supuestos!$E$6-Supuestos!$D$6),IF(Supuestos!$C$6="Lognormal",LOGINV(C996,LN(Supuestos!$D$6)-LN(1+Supuestos!$E$6^2/Supuestos!$D$6^2)/2,SQRT(LN(1+Supuestos!$E$6^2/Supuestos!$D$6^2))),Supuestos!$D$6))))))</f>
        <v/>
      </c>
      <c r="K996" s="32">
        <f>MIN(IF(Supuestos!$H$7="",1E+99,Supuestos!$H$7),MAX(IF(Supuestos!$G$7="",-1E+99,Supuestos!$G$7),IF(Supuestos!$C$7="Normal",NORMINV(D996,Supuestos!$D$7,Supuestos!$E$7),IF(Supuestos!$C$7="Triangular",IF(D996&lt;(Supuestos!$E$7-Supuestos!$D$7)/(Supuestos!$F$7-Supuestos!$D$7),Supuestos!$D$7+SQRT(D996*(Supuestos!$F$7-Supuestos!$D$7)*(Supuestos!$E$7-Supuestos!$D$7)),Supuestos!$F$7-SQRT((1-D996)*(Supuestos!$F$7-Supuestos!$D$7)*(Supuestos!$F$7-Supuestos!$E$7))),IF(Supuestos!$C$7="Uniforme",Supuestos!$D$7+D996*(Supuestos!$E$7-Supuestos!$D$7),IF(Supuestos!$C$7="Lognormal",LOGINV(D996,LN(Supuestos!$D$7)-LN(1+Supuestos!$E$7^2/Supuestos!$D$7^2)/2,SQRT(LN(1+Supuestos!$E$7^2/Supuestos!$D$7^2))),Supuestos!$D$7))))))</f>
        <v/>
      </c>
      <c r="L996" s="32">
        <f>MIN(IF(Supuestos!$H$8="",1E+99,Supuestos!$H$8),MAX(IF(Supuestos!$G$8="",-1E+99,Supuestos!$G$8),IF(Supuestos!$C$8="Normal",NORMINV(E996,Supuestos!$D$8,Supuestos!$E$8),IF(Supuestos!$C$8="Triangular",IF(E996&lt;(Supuestos!$E$8-Supuestos!$D$8)/(Supuestos!$F$8-Supuestos!$D$8),Supuestos!$D$8+SQRT(E996*(Supuestos!$F$8-Supuestos!$D$8)*(Supuestos!$E$8-Supuestos!$D$8)),Supuestos!$F$8-SQRT((1-E996)*(Supuestos!$F$8-Supuestos!$D$8)*(Supuestos!$F$8-Supuestos!$E$8))),IF(Supuestos!$C$8="Uniforme",Supuestos!$D$8+E996*(Supuestos!$E$8-Supuestos!$D$8),IF(Supuestos!$C$8="Lognormal",LOGINV(E996,LN(Supuestos!$D$8)-LN(1+Supuestos!$E$8^2/Supuestos!$D$8^2)/2,SQRT(LN(1+Supuestos!$E$8^2/Supuestos!$D$8^2))),Supuestos!$D$8))))))</f>
        <v/>
      </c>
      <c r="M996" s="32">
        <f>MIN(IF(Supuestos!$H$9="",1E+99,Supuestos!$H$9),MAX(IF(Supuestos!$G$9="",-1E+99,Supuestos!$G$9),IF(Supuestos!$C$9="Normal",NORMINV(F996,Supuestos!$D$9,Supuestos!$E$9),IF(Supuestos!$C$9="Triangular",IF(F996&lt;(Supuestos!$E$9-Supuestos!$D$9)/(Supuestos!$F$9-Supuestos!$D$9),Supuestos!$D$9+SQRT(F996*(Supuestos!$F$9-Supuestos!$D$9)*(Supuestos!$E$9-Supuestos!$D$9)),Supuestos!$F$9-SQRT((1-F996)*(Supuestos!$F$9-Supuestos!$D$9)*(Supuestos!$F$9-Supuestos!$E$9))),IF(Supuestos!$C$9="Uniforme",Supuestos!$D$9+F996*(Supuestos!$E$9-Supuestos!$D$9),IF(Supuestos!$C$9="Lognormal",LOGINV(F996,LN(Supuestos!$D$9)-LN(1+Supuestos!$E$9^2/Supuestos!$D$9^2)/2,SQRT(LN(1+Supuestos!$E$9^2/Supuestos!$D$9^2))),Supuestos!$D$9))))))</f>
        <v/>
      </c>
      <c r="N996" s="32">
        <f>MIN(IF(Supuestos!$H$10="",1E+99,Supuestos!$H$10),MAX(IF(Supuestos!$G$10="",-1E+99,Supuestos!$G$10),IF(Supuestos!$C$10="Normal",NORMINV(G996,Supuestos!$D$10,Supuestos!$E$10),IF(Supuestos!$C$10="Triangular",IF(G996&lt;(Supuestos!$E$10-Supuestos!$D$10)/(Supuestos!$F$10-Supuestos!$D$10),Supuestos!$D$10+SQRT(G996*(Supuestos!$F$10-Supuestos!$D$10)*(Supuestos!$E$10-Supuestos!$D$10)),Supuestos!$F$10-SQRT((1-G996)*(Supuestos!$F$10-Supuestos!$D$10)*(Supuestos!$F$10-Supuestos!$E$10))),IF(Supuestos!$C$10="Uniforme",Supuestos!$D$10+G996*(Supuestos!$E$10-Supuestos!$D$10),IF(Supuestos!$C$10="Lognormal",LOGINV(G996,LN(Supuestos!$D$10)-LN(1+Supuestos!$E$10^2/Supuestos!$D$10^2)/2,SQRT(LN(1+Supuestos!$E$10^2/Supuestos!$D$10^2))),Supuestos!$D$10))))))</f>
        <v/>
      </c>
      <c r="O996" s="31">
        <f>MIN(IF(Supuestos!$H$11="",1E+99,Supuestos!$H$11),MAX(IF(Supuestos!$G$11="",-1E+99,Supuestos!$G$11),IF(Supuestos!$C$11="Normal",NORMINV(H996,Supuestos!$D$11,Supuestos!$E$11),IF(Supuestos!$C$11="Triangular",IF(H996&lt;(Supuestos!$E$11-Supuestos!$D$11)/(Supuestos!$F$11-Supuestos!$D$11),Supuestos!$D$11+SQRT(H996*(Supuestos!$F$11-Supuestos!$D$11)*(Supuestos!$E$11-Supuestos!$D$11)),Supuestos!$F$11-SQRT((1-H996)*(Supuestos!$F$11-Supuestos!$D$11)*(Supuestos!$F$11-Supuestos!$E$11))),IF(Supuestos!$C$11="Uniforme",Supuestos!$D$11+H996*(Supuestos!$E$11-Supuestos!$D$11),IF(Supuestos!$C$11="Lognormal",LOGINV(H996,LN(Supuestos!$D$11)-LN(1+Supuestos!$E$11^2/Supuestos!$D$11^2)/2,SQRT(LN(1+Supuestos!$E$11^2/Supuestos!$D$11^2))),Supuestos!$D$11))))))</f>
        <v/>
      </c>
      <c r="P996" s="33">
        <f>-I996</f>
        <v/>
      </c>
      <c r="Q996" s="33">
        <f>$J996*(1+$K996)^(1-1)*(1-$L996)*(1-$M996)</f>
        <v/>
      </c>
      <c r="R996" s="33">
        <f>$J996*(1+$K996)^(2-1)*(1-$L996)*(1-$M996)</f>
        <v/>
      </c>
      <c r="S996" s="33">
        <f>$J996*(1+$K996)^(3-1)*(1-$L996)*(1-$M996)</f>
        <v/>
      </c>
      <c r="T996" s="33">
        <f>$J996*(1+$K996)^(4-1)*(1-$L996)*(1-$M996)</f>
        <v/>
      </c>
      <c r="U996" s="33">
        <f>$J996*(1+$K996)^(5-1)*(1-$L996)*(1-$M996)+$O996</f>
        <v/>
      </c>
      <c r="V996" s="33">
        <f>P996+NPV($N996,Q996:U996)</f>
        <v/>
      </c>
      <c r="W996" s="32">
        <f>IFERROR(IRR(P996:U996,0.1),"")</f>
        <v/>
      </c>
    </row>
    <row r="997">
      <c r="A997" s="14" t="n">
        <v>993</v>
      </c>
      <c r="B997" s="30">
        <f>RAND()*(1-2E-6)+1E-6</f>
        <v/>
      </c>
      <c r="C997" s="30">
        <f>RAND()*(1-2E-6)+1E-6</f>
        <v/>
      </c>
      <c r="D997" s="30">
        <f>RAND()*(1-2E-6)+1E-6</f>
        <v/>
      </c>
      <c r="E997" s="30">
        <f>RAND()*(1-2E-6)+1E-6</f>
        <v/>
      </c>
      <c r="F997" s="30">
        <f>RAND()*(1-2E-6)+1E-6</f>
        <v/>
      </c>
      <c r="G997" s="30">
        <f>RAND()*(1-2E-6)+1E-6</f>
        <v/>
      </c>
      <c r="H997" s="30">
        <f>RAND()*(1-2E-6)+1E-6</f>
        <v/>
      </c>
      <c r="I997" s="31">
        <f>MIN(IF(Supuestos!$H$5="",1E+99,Supuestos!$H$5),MAX(IF(Supuestos!$G$5="",-1E+99,Supuestos!$G$5),IF(Supuestos!$C$5="Normal",NORMINV(B997,Supuestos!$D$5,Supuestos!$E$5),IF(Supuestos!$C$5="Triangular",IF(B997&lt;(Supuestos!$E$5-Supuestos!$D$5)/(Supuestos!$F$5-Supuestos!$D$5),Supuestos!$D$5+SQRT(B997*(Supuestos!$F$5-Supuestos!$D$5)*(Supuestos!$E$5-Supuestos!$D$5)),Supuestos!$F$5-SQRT((1-B997)*(Supuestos!$F$5-Supuestos!$D$5)*(Supuestos!$F$5-Supuestos!$E$5))),IF(Supuestos!$C$5="Uniforme",Supuestos!$D$5+B997*(Supuestos!$E$5-Supuestos!$D$5),IF(Supuestos!$C$5="Lognormal",LOGINV(B997,LN(Supuestos!$D$5)-LN(1+Supuestos!$E$5^2/Supuestos!$D$5^2)/2,SQRT(LN(1+Supuestos!$E$5^2/Supuestos!$D$5^2))),Supuestos!$D$5))))))</f>
        <v/>
      </c>
      <c r="J997" s="31">
        <f>MIN(IF(Supuestos!$H$6="",1E+99,Supuestos!$H$6),MAX(IF(Supuestos!$G$6="",-1E+99,Supuestos!$G$6),IF(Supuestos!$C$6="Normal",NORMINV(C997,Supuestos!$D$6,Supuestos!$E$6),IF(Supuestos!$C$6="Triangular",IF(C997&lt;(Supuestos!$E$6-Supuestos!$D$6)/(Supuestos!$F$6-Supuestos!$D$6),Supuestos!$D$6+SQRT(C997*(Supuestos!$F$6-Supuestos!$D$6)*(Supuestos!$E$6-Supuestos!$D$6)),Supuestos!$F$6-SQRT((1-C997)*(Supuestos!$F$6-Supuestos!$D$6)*(Supuestos!$F$6-Supuestos!$E$6))),IF(Supuestos!$C$6="Uniforme",Supuestos!$D$6+C997*(Supuestos!$E$6-Supuestos!$D$6),IF(Supuestos!$C$6="Lognormal",LOGINV(C997,LN(Supuestos!$D$6)-LN(1+Supuestos!$E$6^2/Supuestos!$D$6^2)/2,SQRT(LN(1+Supuestos!$E$6^2/Supuestos!$D$6^2))),Supuestos!$D$6))))))</f>
        <v/>
      </c>
      <c r="K997" s="32">
        <f>MIN(IF(Supuestos!$H$7="",1E+99,Supuestos!$H$7),MAX(IF(Supuestos!$G$7="",-1E+99,Supuestos!$G$7),IF(Supuestos!$C$7="Normal",NORMINV(D997,Supuestos!$D$7,Supuestos!$E$7),IF(Supuestos!$C$7="Triangular",IF(D997&lt;(Supuestos!$E$7-Supuestos!$D$7)/(Supuestos!$F$7-Supuestos!$D$7),Supuestos!$D$7+SQRT(D997*(Supuestos!$F$7-Supuestos!$D$7)*(Supuestos!$E$7-Supuestos!$D$7)),Supuestos!$F$7-SQRT((1-D997)*(Supuestos!$F$7-Supuestos!$D$7)*(Supuestos!$F$7-Supuestos!$E$7))),IF(Supuestos!$C$7="Uniforme",Supuestos!$D$7+D997*(Supuestos!$E$7-Supuestos!$D$7),IF(Supuestos!$C$7="Lognormal",LOGINV(D997,LN(Supuestos!$D$7)-LN(1+Supuestos!$E$7^2/Supuestos!$D$7^2)/2,SQRT(LN(1+Supuestos!$E$7^2/Supuestos!$D$7^2))),Supuestos!$D$7))))))</f>
        <v/>
      </c>
      <c r="L997" s="32">
        <f>MIN(IF(Supuestos!$H$8="",1E+99,Supuestos!$H$8),MAX(IF(Supuestos!$G$8="",-1E+99,Supuestos!$G$8),IF(Supuestos!$C$8="Normal",NORMINV(E997,Supuestos!$D$8,Supuestos!$E$8),IF(Supuestos!$C$8="Triangular",IF(E997&lt;(Supuestos!$E$8-Supuestos!$D$8)/(Supuestos!$F$8-Supuestos!$D$8),Supuestos!$D$8+SQRT(E997*(Supuestos!$F$8-Supuestos!$D$8)*(Supuestos!$E$8-Supuestos!$D$8)),Supuestos!$F$8-SQRT((1-E997)*(Supuestos!$F$8-Supuestos!$D$8)*(Supuestos!$F$8-Supuestos!$E$8))),IF(Supuestos!$C$8="Uniforme",Supuestos!$D$8+E997*(Supuestos!$E$8-Supuestos!$D$8),IF(Supuestos!$C$8="Lognormal",LOGINV(E997,LN(Supuestos!$D$8)-LN(1+Supuestos!$E$8^2/Supuestos!$D$8^2)/2,SQRT(LN(1+Supuestos!$E$8^2/Supuestos!$D$8^2))),Supuestos!$D$8))))))</f>
        <v/>
      </c>
      <c r="M997" s="32">
        <f>MIN(IF(Supuestos!$H$9="",1E+99,Supuestos!$H$9),MAX(IF(Supuestos!$G$9="",-1E+99,Supuestos!$G$9),IF(Supuestos!$C$9="Normal",NORMINV(F997,Supuestos!$D$9,Supuestos!$E$9),IF(Supuestos!$C$9="Triangular",IF(F997&lt;(Supuestos!$E$9-Supuestos!$D$9)/(Supuestos!$F$9-Supuestos!$D$9),Supuestos!$D$9+SQRT(F997*(Supuestos!$F$9-Supuestos!$D$9)*(Supuestos!$E$9-Supuestos!$D$9)),Supuestos!$F$9-SQRT((1-F997)*(Supuestos!$F$9-Supuestos!$D$9)*(Supuestos!$F$9-Supuestos!$E$9))),IF(Supuestos!$C$9="Uniforme",Supuestos!$D$9+F997*(Supuestos!$E$9-Supuestos!$D$9),IF(Supuestos!$C$9="Lognormal",LOGINV(F997,LN(Supuestos!$D$9)-LN(1+Supuestos!$E$9^2/Supuestos!$D$9^2)/2,SQRT(LN(1+Supuestos!$E$9^2/Supuestos!$D$9^2))),Supuestos!$D$9))))))</f>
        <v/>
      </c>
      <c r="N997" s="32">
        <f>MIN(IF(Supuestos!$H$10="",1E+99,Supuestos!$H$10),MAX(IF(Supuestos!$G$10="",-1E+99,Supuestos!$G$10),IF(Supuestos!$C$10="Normal",NORMINV(G997,Supuestos!$D$10,Supuestos!$E$10),IF(Supuestos!$C$10="Triangular",IF(G997&lt;(Supuestos!$E$10-Supuestos!$D$10)/(Supuestos!$F$10-Supuestos!$D$10),Supuestos!$D$10+SQRT(G997*(Supuestos!$F$10-Supuestos!$D$10)*(Supuestos!$E$10-Supuestos!$D$10)),Supuestos!$F$10-SQRT((1-G997)*(Supuestos!$F$10-Supuestos!$D$10)*(Supuestos!$F$10-Supuestos!$E$10))),IF(Supuestos!$C$10="Uniforme",Supuestos!$D$10+G997*(Supuestos!$E$10-Supuestos!$D$10),IF(Supuestos!$C$10="Lognormal",LOGINV(G997,LN(Supuestos!$D$10)-LN(1+Supuestos!$E$10^2/Supuestos!$D$10^2)/2,SQRT(LN(1+Supuestos!$E$10^2/Supuestos!$D$10^2))),Supuestos!$D$10))))))</f>
        <v/>
      </c>
      <c r="O997" s="31">
        <f>MIN(IF(Supuestos!$H$11="",1E+99,Supuestos!$H$11),MAX(IF(Supuestos!$G$11="",-1E+99,Supuestos!$G$11),IF(Supuestos!$C$11="Normal",NORMINV(H997,Supuestos!$D$11,Supuestos!$E$11),IF(Supuestos!$C$11="Triangular",IF(H997&lt;(Supuestos!$E$11-Supuestos!$D$11)/(Supuestos!$F$11-Supuestos!$D$11),Supuestos!$D$11+SQRT(H997*(Supuestos!$F$11-Supuestos!$D$11)*(Supuestos!$E$11-Supuestos!$D$11)),Supuestos!$F$11-SQRT((1-H997)*(Supuestos!$F$11-Supuestos!$D$11)*(Supuestos!$F$11-Supuestos!$E$11))),IF(Supuestos!$C$11="Uniforme",Supuestos!$D$11+H997*(Supuestos!$E$11-Supuestos!$D$11),IF(Supuestos!$C$11="Lognormal",LOGINV(H997,LN(Supuestos!$D$11)-LN(1+Supuestos!$E$11^2/Supuestos!$D$11^2)/2,SQRT(LN(1+Supuestos!$E$11^2/Supuestos!$D$11^2))),Supuestos!$D$11))))))</f>
        <v/>
      </c>
      <c r="P997" s="33">
        <f>-I997</f>
        <v/>
      </c>
      <c r="Q997" s="33">
        <f>$J997*(1+$K997)^(1-1)*(1-$L997)*(1-$M997)</f>
        <v/>
      </c>
      <c r="R997" s="33">
        <f>$J997*(1+$K997)^(2-1)*(1-$L997)*(1-$M997)</f>
        <v/>
      </c>
      <c r="S997" s="33">
        <f>$J997*(1+$K997)^(3-1)*(1-$L997)*(1-$M997)</f>
        <v/>
      </c>
      <c r="T997" s="33">
        <f>$J997*(1+$K997)^(4-1)*(1-$L997)*(1-$M997)</f>
        <v/>
      </c>
      <c r="U997" s="33">
        <f>$J997*(1+$K997)^(5-1)*(1-$L997)*(1-$M997)+$O997</f>
        <v/>
      </c>
      <c r="V997" s="33">
        <f>P997+NPV($N997,Q997:U997)</f>
        <v/>
      </c>
      <c r="W997" s="32">
        <f>IFERROR(IRR(P997:U997,0.1),"")</f>
        <v/>
      </c>
    </row>
    <row r="998">
      <c r="A998" s="14" t="n">
        <v>994</v>
      </c>
      <c r="B998" s="30">
        <f>RAND()*(1-2E-6)+1E-6</f>
        <v/>
      </c>
      <c r="C998" s="30">
        <f>RAND()*(1-2E-6)+1E-6</f>
        <v/>
      </c>
      <c r="D998" s="30">
        <f>RAND()*(1-2E-6)+1E-6</f>
        <v/>
      </c>
      <c r="E998" s="30">
        <f>RAND()*(1-2E-6)+1E-6</f>
        <v/>
      </c>
      <c r="F998" s="30">
        <f>RAND()*(1-2E-6)+1E-6</f>
        <v/>
      </c>
      <c r="G998" s="30">
        <f>RAND()*(1-2E-6)+1E-6</f>
        <v/>
      </c>
      <c r="H998" s="30">
        <f>RAND()*(1-2E-6)+1E-6</f>
        <v/>
      </c>
      <c r="I998" s="31">
        <f>MIN(IF(Supuestos!$H$5="",1E+99,Supuestos!$H$5),MAX(IF(Supuestos!$G$5="",-1E+99,Supuestos!$G$5),IF(Supuestos!$C$5="Normal",NORMINV(B998,Supuestos!$D$5,Supuestos!$E$5),IF(Supuestos!$C$5="Triangular",IF(B998&lt;(Supuestos!$E$5-Supuestos!$D$5)/(Supuestos!$F$5-Supuestos!$D$5),Supuestos!$D$5+SQRT(B998*(Supuestos!$F$5-Supuestos!$D$5)*(Supuestos!$E$5-Supuestos!$D$5)),Supuestos!$F$5-SQRT((1-B998)*(Supuestos!$F$5-Supuestos!$D$5)*(Supuestos!$F$5-Supuestos!$E$5))),IF(Supuestos!$C$5="Uniforme",Supuestos!$D$5+B998*(Supuestos!$E$5-Supuestos!$D$5),IF(Supuestos!$C$5="Lognormal",LOGINV(B998,LN(Supuestos!$D$5)-LN(1+Supuestos!$E$5^2/Supuestos!$D$5^2)/2,SQRT(LN(1+Supuestos!$E$5^2/Supuestos!$D$5^2))),Supuestos!$D$5))))))</f>
        <v/>
      </c>
      <c r="J998" s="31">
        <f>MIN(IF(Supuestos!$H$6="",1E+99,Supuestos!$H$6),MAX(IF(Supuestos!$G$6="",-1E+99,Supuestos!$G$6),IF(Supuestos!$C$6="Normal",NORMINV(C998,Supuestos!$D$6,Supuestos!$E$6),IF(Supuestos!$C$6="Triangular",IF(C998&lt;(Supuestos!$E$6-Supuestos!$D$6)/(Supuestos!$F$6-Supuestos!$D$6),Supuestos!$D$6+SQRT(C998*(Supuestos!$F$6-Supuestos!$D$6)*(Supuestos!$E$6-Supuestos!$D$6)),Supuestos!$F$6-SQRT((1-C998)*(Supuestos!$F$6-Supuestos!$D$6)*(Supuestos!$F$6-Supuestos!$E$6))),IF(Supuestos!$C$6="Uniforme",Supuestos!$D$6+C998*(Supuestos!$E$6-Supuestos!$D$6),IF(Supuestos!$C$6="Lognormal",LOGINV(C998,LN(Supuestos!$D$6)-LN(1+Supuestos!$E$6^2/Supuestos!$D$6^2)/2,SQRT(LN(1+Supuestos!$E$6^2/Supuestos!$D$6^2))),Supuestos!$D$6))))))</f>
        <v/>
      </c>
      <c r="K998" s="32">
        <f>MIN(IF(Supuestos!$H$7="",1E+99,Supuestos!$H$7),MAX(IF(Supuestos!$G$7="",-1E+99,Supuestos!$G$7),IF(Supuestos!$C$7="Normal",NORMINV(D998,Supuestos!$D$7,Supuestos!$E$7),IF(Supuestos!$C$7="Triangular",IF(D998&lt;(Supuestos!$E$7-Supuestos!$D$7)/(Supuestos!$F$7-Supuestos!$D$7),Supuestos!$D$7+SQRT(D998*(Supuestos!$F$7-Supuestos!$D$7)*(Supuestos!$E$7-Supuestos!$D$7)),Supuestos!$F$7-SQRT((1-D998)*(Supuestos!$F$7-Supuestos!$D$7)*(Supuestos!$F$7-Supuestos!$E$7))),IF(Supuestos!$C$7="Uniforme",Supuestos!$D$7+D998*(Supuestos!$E$7-Supuestos!$D$7),IF(Supuestos!$C$7="Lognormal",LOGINV(D998,LN(Supuestos!$D$7)-LN(1+Supuestos!$E$7^2/Supuestos!$D$7^2)/2,SQRT(LN(1+Supuestos!$E$7^2/Supuestos!$D$7^2))),Supuestos!$D$7))))))</f>
        <v/>
      </c>
      <c r="L998" s="32">
        <f>MIN(IF(Supuestos!$H$8="",1E+99,Supuestos!$H$8),MAX(IF(Supuestos!$G$8="",-1E+99,Supuestos!$G$8),IF(Supuestos!$C$8="Normal",NORMINV(E998,Supuestos!$D$8,Supuestos!$E$8),IF(Supuestos!$C$8="Triangular",IF(E998&lt;(Supuestos!$E$8-Supuestos!$D$8)/(Supuestos!$F$8-Supuestos!$D$8),Supuestos!$D$8+SQRT(E998*(Supuestos!$F$8-Supuestos!$D$8)*(Supuestos!$E$8-Supuestos!$D$8)),Supuestos!$F$8-SQRT((1-E998)*(Supuestos!$F$8-Supuestos!$D$8)*(Supuestos!$F$8-Supuestos!$E$8))),IF(Supuestos!$C$8="Uniforme",Supuestos!$D$8+E998*(Supuestos!$E$8-Supuestos!$D$8),IF(Supuestos!$C$8="Lognormal",LOGINV(E998,LN(Supuestos!$D$8)-LN(1+Supuestos!$E$8^2/Supuestos!$D$8^2)/2,SQRT(LN(1+Supuestos!$E$8^2/Supuestos!$D$8^2))),Supuestos!$D$8))))))</f>
        <v/>
      </c>
      <c r="M998" s="32">
        <f>MIN(IF(Supuestos!$H$9="",1E+99,Supuestos!$H$9),MAX(IF(Supuestos!$G$9="",-1E+99,Supuestos!$G$9),IF(Supuestos!$C$9="Normal",NORMINV(F998,Supuestos!$D$9,Supuestos!$E$9),IF(Supuestos!$C$9="Triangular",IF(F998&lt;(Supuestos!$E$9-Supuestos!$D$9)/(Supuestos!$F$9-Supuestos!$D$9),Supuestos!$D$9+SQRT(F998*(Supuestos!$F$9-Supuestos!$D$9)*(Supuestos!$E$9-Supuestos!$D$9)),Supuestos!$F$9-SQRT((1-F998)*(Supuestos!$F$9-Supuestos!$D$9)*(Supuestos!$F$9-Supuestos!$E$9))),IF(Supuestos!$C$9="Uniforme",Supuestos!$D$9+F998*(Supuestos!$E$9-Supuestos!$D$9),IF(Supuestos!$C$9="Lognormal",LOGINV(F998,LN(Supuestos!$D$9)-LN(1+Supuestos!$E$9^2/Supuestos!$D$9^2)/2,SQRT(LN(1+Supuestos!$E$9^2/Supuestos!$D$9^2))),Supuestos!$D$9))))))</f>
        <v/>
      </c>
      <c r="N998" s="32">
        <f>MIN(IF(Supuestos!$H$10="",1E+99,Supuestos!$H$10),MAX(IF(Supuestos!$G$10="",-1E+99,Supuestos!$G$10),IF(Supuestos!$C$10="Normal",NORMINV(G998,Supuestos!$D$10,Supuestos!$E$10),IF(Supuestos!$C$10="Triangular",IF(G998&lt;(Supuestos!$E$10-Supuestos!$D$10)/(Supuestos!$F$10-Supuestos!$D$10),Supuestos!$D$10+SQRT(G998*(Supuestos!$F$10-Supuestos!$D$10)*(Supuestos!$E$10-Supuestos!$D$10)),Supuestos!$F$10-SQRT((1-G998)*(Supuestos!$F$10-Supuestos!$D$10)*(Supuestos!$F$10-Supuestos!$E$10))),IF(Supuestos!$C$10="Uniforme",Supuestos!$D$10+G998*(Supuestos!$E$10-Supuestos!$D$10),IF(Supuestos!$C$10="Lognormal",LOGINV(G998,LN(Supuestos!$D$10)-LN(1+Supuestos!$E$10^2/Supuestos!$D$10^2)/2,SQRT(LN(1+Supuestos!$E$10^2/Supuestos!$D$10^2))),Supuestos!$D$10))))))</f>
        <v/>
      </c>
      <c r="O998" s="31">
        <f>MIN(IF(Supuestos!$H$11="",1E+99,Supuestos!$H$11),MAX(IF(Supuestos!$G$11="",-1E+99,Supuestos!$G$11),IF(Supuestos!$C$11="Normal",NORMINV(H998,Supuestos!$D$11,Supuestos!$E$11),IF(Supuestos!$C$11="Triangular",IF(H998&lt;(Supuestos!$E$11-Supuestos!$D$11)/(Supuestos!$F$11-Supuestos!$D$11),Supuestos!$D$11+SQRT(H998*(Supuestos!$F$11-Supuestos!$D$11)*(Supuestos!$E$11-Supuestos!$D$11)),Supuestos!$F$11-SQRT((1-H998)*(Supuestos!$F$11-Supuestos!$D$11)*(Supuestos!$F$11-Supuestos!$E$11))),IF(Supuestos!$C$11="Uniforme",Supuestos!$D$11+H998*(Supuestos!$E$11-Supuestos!$D$11),IF(Supuestos!$C$11="Lognormal",LOGINV(H998,LN(Supuestos!$D$11)-LN(1+Supuestos!$E$11^2/Supuestos!$D$11^2)/2,SQRT(LN(1+Supuestos!$E$11^2/Supuestos!$D$11^2))),Supuestos!$D$11))))))</f>
        <v/>
      </c>
      <c r="P998" s="33">
        <f>-I998</f>
        <v/>
      </c>
      <c r="Q998" s="33">
        <f>$J998*(1+$K998)^(1-1)*(1-$L998)*(1-$M998)</f>
        <v/>
      </c>
      <c r="R998" s="33">
        <f>$J998*(1+$K998)^(2-1)*(1-$L998)*(1-$M998)</f>
        <v/>
      </c>
      <c r="S998" s="33">
        <f>$J998*(1+$K998)^(3-1)*(1-$L998)*(1-$M998)</f>
        <v/>
      </c>
      <c r="T998" s="33">
        <f>$J998*(1+$K998)^(4-1)*(1-$L998)*(1-$M998)</f>
        <v/>
      </c>
      <c r="U998" s="33">
        <f>$J998*(1+$K998)^(5-1)*(1-$L998)*(1-$M998)+$O998</f>
        <v/>
      </c>
      <c r="V998" s="33">
        <f>P998+NPV($N998,Q998:U998)</f>
        <v/>
      </c>
      <c r="W998" s="32">
        <f>IFERROR(IRR(P998:U998,0.1),"")</f>
        <v/>
      </c>
    </row>
    <row r="999">
      <c r="A999" s="14" t="n">
        <v>995</v>
      </c>
      <c r="B999" s="30">
        <f>RAND()*(1-2E-6)+1E-6</f>
        <v/>
      </c>
      <c r="C999" s="30">
        <f>RAND()*(1-2E-6)+1E-6</f>
        <v/>
      </c>
      <c r="D999" s="30">
        <f>RAND()*(1-2E-6)+1E-6</f>
        <v/>
      </c>
      <c r="E999" s="30">
        <f>RAND()*(1-2E-6)+1E-6</f>
        <v/>
      </c>
      <c r="F999" s="30">
        <f>RAND()*(1-2E-6)+1E-6</f>
        <v/>
      </c>
      <c r="G999" s="30">
        <f>RAND()*(1-2E-6)+1E-6</f>
        <v/>
      </c>
      <c r="H999" s="30">
        <f>RAND()*(1-2E-6)+1E-6</f>
        <v/>
      </c>
      <c r="I999" s="31">
        <f>MIN(IF(Supuestos!$H$5="",1E+99,Supuestos!$H$5),MAX(IF(Supuestos!$G$5="",-1E+99,Supuestos!$G$5),IF(Supuestos!$C$5="Normal",NORMINV(B999,Supuestos!$D$5,Supuestos!$E$5),IF(Supuestos!$C$5="Triangular",IF(B999&lt;(Supuestos!$E$5-Supuestos!$D$5)/(Supuestos!$F$5-Supuestos!$D$5),Supuestos!$D$5+SQRT(B999*(Supuestos!$F$5-Supuestos!$D$5)*(Supuestos!$E$5-Supuestos!$D$5)),Supuestos!$F$5-SQRT((1-B999)*(Supuestos!$F$5-Supuestos!$D$5)*(Supuestos!$F$5-Supuestos!$E$5))),IF(Supuestos!$C$5="Uniforme",Supuestos!$D$5+B999*(Supuestos!$E$5-Supuestos!$D$5),IF(Supuestos!$C$5="Lognormal",LOGINV(B999,LN(Supuestos!$D$5)-LN(1+Supuestos!$E$5^2/Supuestos!$D$5^2)/2,SQRT(LN(1+Supuestos!$E$5^2/Supuestos!$D$5^2))),Supuestos!$D$5))))))</f>
        <v/>
      </c>
      <c r="J999" s="31">
        <f>MIN(IF(Supuestos!$H$6="",1E+99,Supuestos!$H$6),MAX(IF(Supuestos!$G$6="",-1E+99,Supuestos!$G$6),IF(Supuestos!$C$6="Normal",NORMINV(C999,Supuestos!$D$6,Supuestos!$E$6),IF(Supuestos!$C$6="Triangular",IF(C999&lt;(Supuestos!$E$6-Supuestos!$D$6)/(Supuestos!$F$6-Supuestos!$D$6),Supuestos!$D$6+SQRT(C999*(Supuestos!$F$6-Supuestos!$D$6)*(Supuestos!$E$6-Supuestos!$D$6)),Supuestos!$F$6-SQRT((1-C999)*(Supuestos!$F$6-Supuestos!$D$6)*(Supuestos!$F$6-Supuestos!$E$6))),IF(Supuestos!$C$6="Uniforme",Supuestos!$D$6+C999*(Supuestos!$E$6-Supuestos!$D$6),IF(Supuestos!$C$6="Lognormal",LOGINV(C999,LN(Supuestos!$D$6)-LN(1+Supuestos!$E$6^2/Supuestos!$D$6^2)/2,SQRT(LN(1+Supuestos!$E$6^2/Supuestos!$D$6^2))),Supuestos!$D$6))))))</f>
        <v/>
      </c>
      <c r="K999" s="32">
        <f>MIN(IF(Supuestos!$H$7="",1E+99,Supuestos!$H$7),MAX(IF(Supuestos!$G$7="",-1E+99,Supuestos!$G$7),IF(Supuestos!$C$7="Normal",NORMINV(D999,Supuestos!$D$7,Supuestos!$E$7),IF(Supuestos!$C$7="Triangular",IF(D999&lt;(Supuestos!$E$7-Supuestos!$D$7)/(Supuestos!$F$7-Supuestos!$D$7),Supuestos!$D$7+SQRT(D999*(Supuestos!$F$7-Supuestos!$D$7)*(Supuestos!$E$7-Supuestos!$D$7)),Supuestos!$F$7-SQRT((1-D999)*(Supuestos!$F$7-Supuestos!$D$7)*(Supuestos!$F$7-Supuestos!$E$7))),IF(Supuestos!$C$7="Uniforme",Supuestos!$D$7+D999*(Supuestos!$E$7-Supuestos!$D$7),IF(Supuestos!$C$7="Lognormal",LOGINV(D999,LN(Supuestos!$D$7)-LN(1+Supuestos!$E$7^2/Supuestos!$D$7^2)/2,SQRT(LN(1+Supuestos!$E$7^2/Supuestos!$D$7^2))),Supuestos!$D$7))))))</f>
        <v/>
      </c>
      <c r="L999" s="32">
        <f>MIN(IF(Supuestos!$H$8="",1E+99,Supuestos!$H$8),MAX(IF(Supuestos!$G$8="",-1E+99,Supuestos!$G$8),IF(Supuestos!$C$8="Normal",NORMINV(E999,Supuestos!$D$8,Supuestos!$E$8),IF(Supuestos!$C$8="Triangular",IF(E999&lt;(Supuestos!$E$8-Supuestos!$D$8)/(Supuestos!$F$8-Supuestos!$D$8),Supuestos!$D$8+SQRT(E999*(Supuestos!$F$8-Supuestos!$D$8)*(Supuestos!$E$8-Supuestos!$D$8)),Supuestos!$F$8-SQRT((1-E999)*(Supuestos!$F$8-Supuestos!$D$8)*(Supuestos!$F$8-Supuestos!$E$8))),IF(Supuestos!$C$8="Uniforme",Supuestos!$D$8+E999*(Supuestos!$E$8-Supuestos!$D$8),IF(Supuestos!$C$8="Lognormal",LOGINV(E999,LN(Supuestos!$D$8)-LN(1+Supuestos!$E$8^2/Supuestos!$D$8^2)/2,SQRT(LN(1+Supuestos!$E$8^2/Supuestos!$D$8^2))),Supuestos!$D$8))))))</f>
        <v/>
      </c>
      <c r="M999" s="32">
        <f>MIN(IF(Supuestos!$H$9="",1E+99,Supuestos!$H$9),MAX(IF(Supuestos!$G$9="",-1E+99,Supuestos!$G$9),IF(Supuestos!$C$9="Normal",NORMINV(F999,Supuestos!$D$9,Supuestos!$E$9),IF(Supuestos!$C$9="Triangular",IF(F999&lt;(Supuestos!$E$9-Supuestos!$D$9)/(Supuestos!$F$9-Supuestos!$D$9),Supuestos!$D$9+SQRT(F999*(Supuestos!$F$9-Supuestos!$D$9)*(Supuestos!$E$9-Supuestos!$D$9)),Supuestos!$F$9-SQRT((1-F999)*(Supuestos!$F$9-Supuestos!$D$9)*(Supuestos!$F$9-Supuestos!$E$9))),IF(Supuestos!$C$9="Uniforme",Supuestos!$D$9+F999*(Supuestos!$E$9-Supuestos!$D$9),IF(Supuestos!$C$9="Lognormal",LOGINV(F999,LN(Supuestos!$D$9)-LN(1+Supuestos!$E$9^2/Supuestos!$D$9^2)/2,SQRT(LN(1+Supuestos!$E$9^2/Supuestos!$D$9^2))),Supuestos!$D$9))))))</f>
        <v/>
      </c>
      <c r="N999" s="32">
        <f>MIN(IF(Supuestos!$H$10="",1E+99,Supuestos!$H$10),MAX(IF(Supuestos!$G$10="",-1E+99,Supuestos!$G$10),IF(Supuestos!$C$10="Normal",NORMINV(G999,Supuestos!$D$10,Supuestos!$E$10),IF(Supuestos!$C$10="Triangular",IF(G999&lt;(Supuestos!$E$10-Supuestos!$D$10)/(Supuestos!$F$10-Supuestos!$D$10),Supuestos!$D$10+SQRT(G999*(Supuestos!$F$10-Supuestos!$D$10)*(Supuestos!$E$10-Supuestos!$D$10)),Supuestos!$F$10-SQRT((1-G999)*(Supuestos!$F$10-Supuestos!$D$10)*(Supuestos!$F$10-Supuestos!$E$10))),IF(Supuestos!$C$10="Uniforme",Supuestos!$D$10+G999*(Supuestos!$E$10-Supuestos!$D$10),IF(Supuestos!$C$10="Lognormal",LOGINV(G999,LN(Supuestos!$D$10)-LN(1+Supuestos!$E$10^2/Supuestos!$D$10^2)/2,SQRT(LN(1+Supuestos!$E$10^2/Supuestos!$D$10^2))),Supuestos!$D$10))))))</f>
        <v/>
      </c>
      <c r="O999" s="31">
        <f>MIN(IF(Supuestos!$H$11="",1E+99,Supuestos!$H$11),MAX(IF(Supuestos!$G$11="",-1E+99,Supuestos!$G$11),IF(Supuestos!$C$11="Normal",NORMINV(H999,Supuestos!$D$11,Supuestos!$E$11),IF(Supuestos!$C$11="Triangular",IF(H999&lt;(Supuestos!$E$11-Supuestos!$D$11)/(Supuestos!$F$11-Supuestos!$D$11),Supuestos!$D$11+SQRT(H999*(Supuestos!$F$11-Supuestos!$D$11)*(Supuestos!$E$11-Supuestos!$D$11)),Supuestos!$F$11-SQRT((1-H999)*(Supuestos!$F$11-Supuestos!$D$11)*(Supuestos!$F$11-Supuestos!$E$11))),IF(Supuestos!$C$11="Uniforme",Supuestos!$D$11+H999*(Supuestos!$E$11-Supuestos!$D$11),IF(Supuestos!$C$11="Lognormal",LOGINV(H999,LN(Supuestos!$D$11)-LN(1+Supuestos!$E$11^2/Supuestos!$D$11^2)/2,SQRT(LN(1+Supuestos!$E$11^2/Supuestos!$D$11^2))),Supuestos!$D$11))))))</f>
        <v/>
      </c>
      <c r="P999" s="33">
        <f>-I999</f>
        <v/>
      </c>
      <c r="Q999" s="33">
        <f>$J999*(1+$K999)^(1-1)*(1-$L999)*(1-$M999)</f>
        <v/>
      </c>
      <c r="R999" s="33">
        <f>$J999*(1+$K999)^(2-1)*(1-$L999)*(1-$M999)</f>
        <v/>
      </c>
      <c r="S999" s="33">
        <f>$J999*(1+$K999)^(3-1)*(1-$L999)*(1-$M999)</f>
        <v/>
      </c>
      <c r="T999" s="33">
        <f>$J999*(1+$K999)^(4-1)*(1-$L999)*(1-$M999)</f>
        <v/>
      </c>
      <c r="U999" s="33">
        <f>$J999*(1+$K999)^(5-1)*(1-$L999)*(1-$M999)+$O999</f>
        <v/>
      </c>
      <c r="V999" s="33">
        <f>P999+NPV($N999,Q999:U999)</f>
        <v/>
      </c>
      <c r="W999" s="32">
        <f>IFERROR(IRR(P999:U999,0.1),"")</f>
        <v/>
      </c>
    </row>
    <row r="1000">
      <c r="A1000" s="14" t="n">
        <v>996</v>
      </c>
      <c r="B1000" s="30">
        <f>RAND()*(1-2E-6)+1E-6</f>
        <v/>
      </c>
      <c r="C1000" s="30">
        <f>RAND()*(1-2E-6)+1E-6</f>
        <v/>
      </c>
      <c r="D1000" s="30">
        <f>RAND()*(1-2E-6)+1E-6</f>
        <v/>
      </c>
      <c r="E1000" s="30">
        <f>RAND()*(1-2E-6)+1E-6</f>
        <v/>
      </c>
      <c r="F1000" s="30">
        <f>RAND()*(1-2E-6)+1E-6</f>
        <v/>
      </c>
      <c r="G1000" s="30">
        <f>RAND()*(1-2E-6)+1E-6</f>
        <v/>
      </c>
      <c r="H1000" s="30">
        <f>RAND()*(1-2E-6)+1E-6</f>
        <v/>
      </c>
      <c r="I1000" s="31">
        <f>MIN(IF(Supuestos!$H$5="",1E+99,Supuestos!$H$5),MAX(IF(Supuestos!$G$5="",-1E+99,Supuestos!$G$5),IF(Supuestos!$C$5="Normal",NORMINV(B1000,Supuestos!$D$5,Supuestos!$E$5),IF(Supuestos!$C$5="Triangular",IF(B1000&lt;(Supuestos!$E$5-Supuestos!$D$5)/(Supuestos!$F$5-Supuestos!$D$5),Supuestos!$D$5+SQRT(B1000*(Supuestos!$F$5-Supuestos!$D$5)*(Supuestos!$E$5-Supuestos!$D$5)),Supuestos!$F$5-SQRT((1-B1000)*(Supuestos!$F$5-Supuestos!$D$5)*(Supuestos!$F$5-Supuestos!$E$5))),IF(Supuestos!$C$5="Uniforme",Supuestos!$D$5+B1000*(Supuestos!$E$5-Supuestos!$D$5),IF(Supuestos!$C$5="Lognormal",LOGINV(B1000,LN(Supuestos!$D$5)-LN(1+Supuestos!$E$5^2/Supuestos!$D$5^2)/2,SQRT(LN(1+Supuestos!$E$5^2/Supuestos!$D$5^2))),Supuestos!$D$5))))))</f>
        <v/>
      </c>
      <c r="J1000" s="31">
        <f>MIN(IF(Supuestos!$H$6="",1E+99,Supuestos!$H$6),MAX(IF(Supuestos!$G$6="",-1E+99,Supuestos!$G$6),IF(Supuestos!$C$6="Normal",NORMINV(C1000,Supuestos!$D$6,Supuestos!$E$6),IF(Supuestos!$C$6="Triangular",IF(C1000&lt;(Supuestos!$E$6-Supuestos!$D$6)/(Supuestos!$F$6-Supuestos!$D$6),Supuestos!$D$6+SQRT(C1000*(Supuestos!$F$6-Supuestos!$D$6)*(Supuestos!$E$6-Supuestos!$D$6)),Supuestos!$F$6-SQRT((1-C1000)*(Supuestos!$F$6-Supuestos!$D$6)*(Supuestos!$F$6-Supuestos!$E$6))),IF(Supuestos!$C$6="Uniforme",Supuestos!$D$6+C1000*(Supuestos!$E$6-Supuestos!$D$6),IF(Supuestos!$C$6="Lognormal",LOGINV(C1000,LN(Supuestos!$D$6)-LN(1+Supuestos!$E$6^2/Supuestos!$D$6^2)/2,SQRT(LN(1+Supuestos!$E$6^2/Supuestos!$D$6^2))),Supuestos!$D$6))))))</f>
        <v/>
      </c>
      <c r="K1000" s="32">
        <f>MIN(IF(Supuestos!$H$7="",1E+99,Supuestos!$H$7),MAX(IF(Supuestos!$G$7="",-1E+99,Supuestos!$G$7),IF(Supuestos!$C$7="Normal",NORMINV(D1000,Supuestos!$D$7,Supuestos!$E$7),IF(Supuestos!$C$7="Triangular",IF(D1000&lt;(Supuestos!$E$7-Supuestos!$D$7)/(Supuestos!$F$7-Supuestos!$D$7),Supuestos!$D$7+SQRT(D1000*(Supuestos!$F$7-Supuestos!$D$7)*(Supuestos!$E$7-Supuestos!$D$7)),Supuestos!$F$7-SQRT((1-D1000)*(Supuestos!$F$7-Supuestos!$D$7)*(Supuestos!$F$7-Supuestos!$E$7))),IF(Supuestos!$C$7="Uniforme",Supuestos!$D$7+D1000*(Supuestos!$E$7-Supuestos!$D$7),IF(Supuestos!$C$7="Lognormal",LOGINV(D1000,LN(Supuestos!$D$7)-LN(1+Supuestos!$E$7^2/Supuestos!$D$7^2)/2,SQRT(LN(1+Supuestos!$E$7^2/Supuestos!$D$7^2))),Supuestos!$D$7))))))</f>
        <v/>
      </c>
      <c r="L1000" s="32">
        <f>MIN(IF(Supuestos!$H$8="",1E+99,Supuestos!$H$8),MAX(IF(Supuestos!$G$8="",-1E+99,Supuestos!$G$8),IF(Supuestos!$C$8="Normal",NORMINV(E1000,Supuestos!$D$8,Supuestos!$E$8),IF(Supuestos!$C$8="Triangular",IF(E1000&lt;(Supuestos!$E$8-Supuestos!$D$8)/(Supuestos!$F$8-Supuestos!$D$8),Supuestos!$D$8+SQRT(E1000*(Supuestos!$F$8-Supuestos!$D$8)*(Supuestos!$E$8-Supuestos!$D$8)),Supuestos!$F$8-SQRT((1-E1000)*(Supuestos!$F$8-Supuestos!$D$8)*(Supuestos!$F$8-Supuestos!$E$8))),IF(Supuestos!$C$8="Uniforme",Supuestos!$D$8+E1000*(Supuestos!$E$8-Supuestos!$D$8),IF(Supuestos!$C$8="Lognormal",LOGINV(E1000,LN(Supuestos!$D$8)-LN(1+Supuestos!$E$8^2/Supuestos!$D$8^2)/2,SQRT(LN(1+Supuestos!$E$8^2/Supuestos!$D$8^2))),Supuestos!$D$8))))))</f>
        <v/>
      </c>
      <c r="M1000" s="32">
        <f>MIN(IF(Supuestos!$H$9="",1E+99,Supuestos!$H$9),MAX(IF(Supuestos!$G$9="",-1E+99,Supuestos!$G$9),IF(Supuestos!$C$9="Normal",NORMINV(F1000,Supuestos!$D$9,Supuestos!$E$9),IF(Supuestos!$C$9="Triangular",IF(F1000&lt;(Supuestos!$E$9-Supuestos!$D$9)/(Supuestos!$F$9-Supuestos!$D$9),Supuestos!$D$9+SQRT(F1000*(Supuestos!$F$9-Supuestos!$D$9)*(Supuestos!$E$9-Supuestos!$D$9)),Supuestos!$F$9-SQRT((1-F1000)*(Supuestos!$F$9-Supuestos!$D$9)*(Supuestos!$F$9-Supuestos!$E$9))),IF(Supuestos!$C$9="Uniforme",Supuestos!$D$9+F1000*(Supuestos!$E$9-Supuestos!$D$9),IF(Supuestos!$C$9="Lognormal",LOGINV(F1000,LN(Supuestos!$D$9)-LN(1+Supuestos!$E$9^2/Supuestos!$D$9^2)/2,SQRT(LN(1+Supuestos!$E$9^2/Supuestos!$D$9^2))),Supuestos!$D$9))))))</f>
        <v/>
      </c>
      <c r="N1000" s="32">
        <f>MIN(IF(Supuestos!$H$10="",1E+99,Supuestos!$H$10),MAX(IF(Supuestos!$G$10="",-1E+99,Supuestos!$G$10),IF(Supuestos!$C$10="Normal",NORMINV(G1000,Supuestos!$D$10,Supuestos!$E$10),IF(Supuestos!$C$10="Triangular",IF(G1000&lt;(Supuestos!$E$10-Supuestos!$D$10)/(Supuestos!$F$10-Supuestos!$D$10),Supuestos!$D$10+SQRT(G1000*(Supuestos!$F$10-Supuestos!$D$10)*(Supuestos!$E$10-Supuestos!$D$10)),Supuestos!$F$10-SQRT((1-G1000)*(Supuestos!$F$10-Supuestos!$D$10)*(Supuestos!$F$10-Supuestos!$E$10))),IF(Supuestos!$C$10="Uniforme",Supuestos!$D$10+G1000*(Supuestos!$E$10-Supuestos!$D$10),IF(Supuestos!$C$10="Lognormal",LOGINV(G1000,LN(Supuestos!$D$10)-LN(1+Supuestos!$E$10^2/Supuestos!$D$10^2)/2,SQRT(LN(1+Supuestos!$E$10^2/Supuestos!$D$10^2))),Supuestos!$D$10))))))</f>
        <v/>
      </c>
      <c r="O1000" s="31">
        <f>MIN(IF(Supuestos!$H$11="",1E+99,Supuestos!$H$11),MAX(IF(Supuestos!$G$11="",-1E+99,Supuestos!$G$11),IF(Supuestos!$C$11="Normal",NORMINV(H1000,Supuestos!$D$11,Supuestos!$E$11),IF(Supuestos!$C$11="Triangular",IF(H1000&lt;(Supuestos!$E$11-Supuestos!$D$11)/(Supuestos!$F$11-Supuestos!$D$11),Supuestos!$D$11+SQRT(H1000*(Supuestos!$F$11-Supuestos!$D$11)*(Supuestos!$E$11-Supuestos!$D$11)),Supuestos!$F$11-SQRT((1-H1000)*(Supuestos!$F$11-Supuestos!$D$11)*(Supuestos!$F$11-Supuestos!$E$11))),IF(Supuestos!$C$11="Uniforme",Supuestos!$D$11+H1000*(Supuestos!$E$11-Supuestos!$D$11),IF(Supuestos!$C$11="Lognormal",LOGINV(H1000,LN(Supuestos!$D$11)-LN(1+Supuestos!$E$11^2/Supuestos!$D$11^2)/2,SQRT(LN(1+Supuestos!$E$11^2/Supuestos!$D$11^2))),Supuestos!$D$11))))))</f>
        <v/>
      </c>
      <c r="P1000" s="33">
        <f>-I1000</f>
        <v/>
      </c>
      <c r="Q1000" s="33">
        <f>$J1000*(1+$K1000)^(1-1)*(1-$L1000)*(1-$M1000)</f>
        <v/>
      </c>
      <c r="R1000" s="33">
        <f>$J1000*(1+$K1000)^(2-1)*(1-$L1000)*(1-$M1000)</f>
        <v/>
      </c>
      <c r="S1000" s="33">
        <f>$J1000*(1+$K1000)^(3-1)*(1-$L1000)*(1-$M1000)</f>
        <v/>
      </c>
      <c r="T1000" s="33">
        <f>$J1000*(1+$K1000)^(4-1)*(1-$L1000)*(1-$M1000)</f>
        <v/>
      </c>
      <c r="U1000" s="33">
        <f>$J1000*(1+$K1000)^(5-1)*(1-$L1000)*(1-$M1000)+$O1000</f>
        <v/>
      </c>
      <c r="V1000" s="33">
        <f>P1000+NPV($N1000,Q1000:U1000)</f>
        <v/>
      </c>
      <c r="W1000" s="32">
        <f>IFERROR(IRR(P1000:U1000,0.1),"")</f>
        <v/>
      </c>
    </row>
    <row r="1001">
      <c r="A1001" s="14" t="n">
        <v>997</v>
      </c>
      <c r="B1001" s="30">
        <f>RAND()*(1-2E-6)+1E-6</f>
        <v/>
      </c>
      <c r="C1001" s="30">
        <f>RAND()*(1-2E-6)+1E-6</f>
        <v/>
      </c>
      <c r="D1001" s="30">
        <f>RAND()*(1-2E-6)+1E-6</f>
        <v/>
      </c>
      <c r="E1001" s="30">
        <f>RAND()*(1-2E-6)+1E-6</f>
        <v/>
      </c>
      <c r="F1001" s="30">
        <f>RAND()*(1-2E-6)+1E-6</f>
        <v/>
      </c>
      <c r="G1001" s="30">
        <f>RAND()*(1-2E-6)+1E-6</f>
        <v/>
      </c>
      <c r="H1001" s="30">
        <f>RAND()*(1-2E-6)+1E-6</f>
        <v/>
      </c>
      <c r="I1001" s="31">
        <f>MIN(IF(Supuestos!$H$5="",1E+99,Supuestos!$H$5),MAX(IF(Supuestos!$G$5="",-1E+99,Supuestos!$G$5),IF(Supuestos!$C$5="Normal",NORMINV(B1001,Supuestos!$D$5,Supuestos!$E$5),IF(Supuestos!$C$5="Triangular",IF(B1001&lt;(Supuestos!$E$5-Supuestos!$D$5)/(Supuestos!$F$5-Supuestos!$D$5),Supuestos!$D$5+SQRT(B1001*(Supuestos!$F$5-Supuestos!$D$5)*(Supuestos!$E$5-Supuestos!$D$5)),Supuestos!$F$5-SQRT((1-B1001)*(Supuestos!$F$5-Supuestos!$D$5)*(Supuestos!$F$5-Supuestos!$E$5))),IF(Supuestos!$C$5="Uniforme",Supuestos!$D$5+B1001*(Supuestos!$E$5-Supuestos!$D$5),IF(Supuestos!$C$5="Lognormal",LOGINV(B1001,LN(Supuestos!$D$5)-LN(1+Supuestos!$E$5^2/Supuestos!$D$5^2)/2,SQRT(LN(1+Supuestos!$E$5^2/Supuestos!$D$5^2))),Supuestos!$D$5))))))</f>
        <v/>
      </c>
      <c r="J1001" s="31">
        <f>MIN(IF(Supuestos!$H$6="",1E+99,Supuestos!$H$6),MAX(IF(Supuestos!$G$6="",-1E+99,Supuestos!$G$6),IF(Supuestos!$C$6="Normal",NORMINV(C1001,Supuestos!$D$6,Supuestos!$E$6),IF(Supuestos!$C$6="Triangular",IF(C1001&lt;(Supuestos!$E$6-Supuestos!$D$6)/(Supuestos!$F$6-Supuestos!$D$6),Supuestos!$D$6+SQRT(C1001*(Supuestos!$F$6-Supuestos!$D$6)*(Supuestos!$E$6-Supuestos!$D$6)),Supuestos!$F$6-SQRT((1-C1001)*(Supuestos!$F$6-Supuestos!$D$6)*(Supuestos!$F$6-Supuestos!$E$6))),IF(Supuestos!$C$6="Uniforme",Supuestos!$D$6+C1001*(Supuestos!$E$6-Supuestos!$D$6),IF(Supuestos!$C$6="Lognormal",LOGINV(C1001,LN(Supuestos!$D$6)-LN(1+Supuestos!$E$6^2/Supuestos!$D$6^2)/2,SQRT(LN(1+Supuestos!$E$6^2/Supuestos!$D$6^2))),Supuestos!$D$6))))))</f>
        <v/>
      </c>
      <c r="K1001" s="32">
        <f>MIN(IF(Supuestos!$H$7="",1E+99,Supuestos!$H$7),MAX(IF(Supuestos!$G$7="",-1E+99,Supuestos!$G$7),IF(Supuestos!$C$7="Normal",NORMINV(D1001,Supuestos!$D$7,Supuestos!$E$7),IF(Supuestos!$C$7="Triangular",IF(D1001&lt;(Supuestos!$E$7-Supuestos!$D$7)/(Supuestos!$F$7-Supuestos!$D$7),Supuestos!$D$7+SQRT(D1001*(Supuestos!$F$7-Supuestos!$D$7)*(Supuestos!$E$7-Supuestos!$D$7)),Supuestos!$F$7-SQRT((1-D1001)*(Supuestos!$F$7-Supuestos!$D$7)*(Supuestos!$F$7-Supuestos!$E$7))),IF(Supuestos!$C$7="Uniforme",Supuestos!$D$7+D1001*(Supuestos!$E$7-Supuestos!$D$7),IF(Supuestos!$C$7="Lognormal",LOGINV(D1001,LN(Supuestos!$D$7)-LN(1+Supuestos!$E$7^2/Supuestos!$D$7^2)/2,SQRT(LN(1+Supuestos!$E$7^2/Supuestos!$D$7^2))),Supuestos!$D$7))))))</f>
        <v/>
      </c>
      <c r="L1001" s="32">
        <f>MIN(IF(Supuestos!$H$8="",1E+99,Supuestos!$H$8),MAX(IF(Supuestos!$G$8="",-1E+99,Supuestos!$G$8),IF(Supuestos!$C$8="Normal",NORMINV(E1001,Supuestos!$D$8,Supuestos!$E$8),IF(Supuestos!$C$8="Triangular",IF(E1001&lt;(Supuestos!$E$8-Supuestos!$D$8)/(Supuestos!$F$8-Supuestos!$D$8),Supuestos!$D$8+SQRT(E1001*(Supuestos!$F$8-Supuestos!$D$8)*(Supuestos!$E$8-Supuestos!$D$8)),Supuestos!$F$8-SQRT((1-E1001)*(Supuestos!$F$8-Supuestos!$D$8)*(Supuestos!$F$8-Supuestos!$E$8))),IF(Supuestos!$C$8="Uniforme",Supuestos!$D$8+E1001*(Supuestos!$E$8-Supuestos!$D$8),IF(Supuestos!$C$8="Lognormal",LOGINV(E1001,LN(Supuestos!$D$8)-LN(1+Supuestos!$E$8^2/Supuestos!$D$8^2)/2,SQRT(LN(1+Supuestos!$E$8^2/Supuestos!$D$8^2))),Supuestos!$D$8))))))</f>
        <v/>
      </c>
      <c r="M1001" s="32">
        <f>MIN(IF(Supuestos!$H$9="",1E+99,Supuestos!$H$9),MAX(IF(Supuestos!$G$9="",-1E+99,Supuestos!$G$9),IF(Supuestos!$C$9="Normal",NORMINV(F1001,Supuestos!$D$9,Supuestos!$E$9),IF(Supuestos!$C$9="Triangular",IF(F1001&lt;(Supuestos!$E$9-Supuestos!$D$9)/(Supuestos!$F$9-Supuestos!$D$9),Supuestos!$D$9+SQRT(F1001*(Supuestos!$F$9-Supuestos!$D$9)*(Supuestos!$E$9-Supuestos!$D$9)),Supuestos!$F$9-SQRT((1-F1001)*(Supuestos!$F$9-Supuestos!$D$9)*(Supuestos!$F$9-Supuestos!$E$9))),IF(Supuestos!$C$9="Uniforme",Supuestos!$D$9+F1001*(Supuestos!$E$9-Supuestos!$D$9),IF(Supuestos!$C$9="Lognormal",LOGINV(F1001,LN(Supuestos!$D$9)-LN(1+Supuestos!$E$9^2/Supuestos!$D$9^2)/2,SQRT(LN(1+Supuestos!$E$9^2/Supuestos!$D$9^2))),Supuestos!$D$9))))))</f>
        <v/>
      </c>
      <c r="N1001" s="32">
        <f>MIN(IF(Supuestos!$H$10="",1E+99,Supuestos!$H$10),MAX(IF(Supuestos!$G$10="",-1E+99,Supuestos!$G$10),IF(Supuestos!$C$10="Normal",NORMINV(G1001,Supuestos!$D$10,Supuestos!$E$10),IF(Supuestos!$C$10="Triangular",IF(G1001&lt;(Supuestos!$E$10-Supuestos!$D$10)/(Supuestos!$F$10-Supuestos!$D$10),Supuestos!$D$10+SQRT(G1001*(Supuestos!$F$10-Supuestos!$D$10)*(Supuestos!$E$10-Supuestos!$D$10)),Supuestos!$F$10-SQRT((1-G1001)*(Supuestos!$F$10-Supuestos!$D$10)*(Supuestos!$F$10-Supuestos!$E$10))),IF(Supuestos!$C$10="Uniforme",Supuestos!$D$10+G1001*(Supuestos!$E$10-Supuestos!$D$10),IF(Supuestos!$C$10="Lognormal",LOGINV(G1001,LN(Supuestos!$D$10)-LN(1+Supuestos!$E$10^2/Supuestos!$D$10^2)/2,SQRT(LN(1+Supuestos!$E$10^2/Supuestos!$D$10^2))),Supuestos!$D$10))))))</f>
        <v/>
      </c>
      <c r="O1001" s="31">
        <f>MIN(IF(Supuestos!$H$11="",1E+99,Supuestos!$H$11),MAX(IF(Supuestos!$G$11="",-1E+99,Supuestos!$G$11),IF(Supuestos!$C$11="Normal",NORMINV(H1001,Supuestos!$D$11,Supuestos!$E$11),IF(Supuestos!$C$11="Triangular",IF(H1001&lt;(Supuestos!$E$11-Supuestos!$D$11)/(Supuestos!$F$11-Supuestos!$D$11),Supuestos!$D$11+SQRT(H1001*(Supuestos!$F$11-Supuestos!$D$11)*(Supuestos!$E$11-Supuestos!$D$11)),Supuestos!$F$11-SQRT((1-H1001)*(Supuestos!$F$11-Supuestos!$D$11)*(Supuestos!$F$11-Supuestos!$E$11))),IF(Supuestos!$C$11="Uniforme",Supuestos!$D$11+H1001*(Supuestos!$E$11-Supuestos!$D$11),IF(Supuestos!$C$11="Lognormal",LOGINV(H1001,LN(Supuestos!$D$11)-LN(1+Supuestos!$E$11^2/Supuestos!$D$11^2)/2,SQRT(LN(1+Supuestos!$E$11^2/Supuestos!$D$11^2))),Supuestos!$D$11))))))</f>
        <v/>
      </c>
      <c r="P1001" s="33">
        <f>-I1001</f>
        <v/>
      </c>
      <c r="Q1001" s="33">
        <f>$J1001*(1+$K1001)^(1-1)*(1-$L1001)*(1-$M1001)</f>
        <v/>
      </c>
      <c r="R1001" s="33">
        <f>$J1001*(1+$K1001)^(2-1)*(1-$L1001)*(1-$M1001)</f>
        <v/>
      </c>
      <c r="S1001" s="33">
        <f>$J1001*(1+$K1001)^(3-1)*(1-$L1001)*(1-$M1001)</f>
        <v/>
      </c>
      <c r="T1001" s="33">
        <f>$J1001*(1+$K1001)^(4-1)*(1-$L1001)*(1-$M1001)</f>
        <v/>
      </c>
      <c r="U1001" s="33">
        <f>$J1001*(1+$K1001)^(5-1)*(1-$L1001)*(1-$M1001)+$O1001</f>
        <v/>
      </c>
      <c r="V1001" s="33">
        <f>P1001+NPV($N1001,Q1001:U1001)</f>
        <v/>
      </c>
      <c r="W1001" s="32">
        <f>IFERROR(IRR(P1001:U1001,0.1),"")</f>
        <v/>
      </c>
    </row>
    <row r="1002">
      <c r="A1002" s="14" t="n">
        <v>998</v>
      </c>
      <c r="B1002" s="30">
        <f>RAND()*(1-2E-6)+1E-6</f>
        <v/>
      </c>
      <c r="C1002" s="30">
        <f>RAND()*(1-2E-6)+1E-6</f>
        <v/>
      </c>
      <c r="D1002" s="30">
        <f>RAND()*(1-2E-6)+1E-6</f>
        <v/>
      </c>
      <c r="E1002" s="30">
        <f>RAND()*(1-2E-6)+1E-6</f>
        <v/>
      </c>
      <c r="F1002" s="30">
        <f>RAND()*(1-2E-6)+1E-6</f>
        <v/>
      </c>
      <c r="G1002" s="30">
        <f>RAND()*(1-2E-6)+1E-6</f>
        <v/>
      </c>
      <c r="H1002" s="30">
        <f>RAND()*(1-2E-6)+1E-6</f>
        <v/>
      </c>
      <c r="I1002" s="31">
        <f>MIN(IF(Supuestos!$H$5="",1E+99,Supuestos!$H$5),MAX(IF(Supuestos!$G$5="",-1E+99,Supuestos!$G$5),IF(Supuestos!$C$5="Normal",NORMINV(B1002,Supuestos!$D$5,Supuestos!$E$5),IF(Supuestos!$C$5="Triangular",IF(B1002&lt;(Supuestos!$E$5-Supuestos!$D$5)/(Supuestos!$F$5-Supuestos!$D$5),Supuestos!$D$5+SQRT(B1002*(Supuestos!$F$5-Supuestos!$D$5)*(Supuestos!$E$5-Supuestos!$D$5)),Supuestos!$F$5-SQRT((1-B1002)*(Supuestos!$F$5-Supuestos!$D$5)*(Supuestos!$F$5-Supuestos!$E$5))),IF(Supuestos!$C$5="Uniforme",Supuestos!$D$5+B1002*(Supuestos!$E$5-Supuestos!$D$5),IF(Supuestos!$C$5="Lognormal",LOGINV(B1002,LN(Supuestos!$D$5)-LN(1+Supuestos!$E$5^2/Supuestos!$D$5^2)/2,SQRT(LN(1+Supuestos!$E$5^2/Supuestos!$D$5^2))),Supuestos!$D$5))))))</f>
        <v/>
      </c>
      <c r="J1002" s="31">
        <f>MIN(IF(Supuestos!$H$6="",1E+99,Supuestos!$H$6),MAX(IF(Supuestos!$G$6="",-1E+99,Supuestos!$G$6),IF(Supuestos!$C$6="Normal",NORMINV(C1002,Supuestos!$D$6,Supuestos!$E$6),IF(Supuestos!$C$6="Triangular",IF(C1002&lt;(Supuestos!$E$6-Supuestos!$D$6)/(Supuestos!$F$6-Supuestos!$D$6),Supuestos!$D$6+SQRT(C1002*(Supuestos!$F$6-Supuestos!$D$6)*(Supuestos!$E$6-Supuestos!$D$6)),Supuestos!$F$6-SQRT((1-C1002)*(Supuestos!$F$6-Supuestos!$D$6)*(Supuestos!$F$6-Supuestos!$E$6))),IF(Supuestos!$C$6="Uniforme",Supuestos!$D$6+C1002*(Supuestos!$E$6-Supuestos!$D$6),IF(Supuestos!$C$6="Lognormal",LOGINV(C1002,LN(Supuestos!$D$6)-LN(1+Supuestos!$E$6^2/Supuestos!$D$6^2)/2,SQRT(LN(1+Supuestos!$E$6^2/Supuestos!$D$6^2))),Supuestos!$D$6))))))</f>
        <v/>
      </c>
      <c r="K1002" s="32">
        <f>MIN(IF(Supuestos!$H$7="",1E+99,Supuestos!$H$7),MAX(IF(Supuestos!$G$7="",-1E+99,Supuestos!$G$7),IF(Supuestos!$C$7="Normal",NORMINV(D1002,Supuestos!$D$7,Supuestos!$E$7),IF(Supuestos!$C$7="Triangular",IF(D1002&lt;(Supuestos!$E$7-Supuestos!$D$7)/(Supuestos!$F$7-Supuestos!$D$7),Supuestos!$D$7+SQRT(D1002*(Supuestos!$F$7-Supuestos!$D$7)*(Supuestos!$E$7-Supuestos!$D$7)),Supuestos!$F$7-SQRT((1-D1002)*(Supuestos!$F$7-Supuestos!$D$7)*(Supuestos!$F$7-Supuestos!$E$7))),IF(Supuestos!$C$7="Uniforme",Supuestos!$D$7+D1002*(Supuestos!$E$7-Supuestos!$D$7),IF(Supuestos!$C$7="Lognormal",LOGINV(D1002,LN(Supuestos!$D$7)-LN(1+Supuestos!$E$7^2/Supuestos!$D$7^2)/2,SQRT(LN(1+Supuestos!$E$7^2/Supuestos!$D$7^2))),Supuestos!$D$7))))))</f>
        <v/>
      </c>
      <c r="L1002" s="32">
        <f>MIN(IF(Supuestos!$H$8="",1E+99,Supuestos!$H$8),MAX(IF(Supuestos!$G$8="",-1E+99,Supuestos!$G$8),IF(Supuestos!$C$8="Normal",NORMINV(E1002,Supuestos!$D$8,Supuestos!$E$8),IF(Supuestos!$C$8="Triangular",IF(E1002&lt;(Supuestos!$E$8-Supuestos!$D$8)/(Supuestos!$F$8-Supuestos!$D$8),Supuestos!$D$8+SQRT(E1002*(Supuestos!$F$8-Supuestos!$D$8)*(Supuestos!$E$8-Supuestos!$D$8)),Supuestos!$F$8-SQRT((1-E1002)*(Supuestos!$F$8-Supuestos!$D$8)*(Supuestos!$F$8-Supuestos!$E$8))),IF(Supuestos!$C$8="Uniforme",Supuestos!$D$8+E1002*(Supuestos!$E$8-Supuestos!$D$8),IF(Supuestos!$C$8="Lognormal",LOGINV(E1002,LN(Supuestos!$D$8)-LN(1+Supuestos!$E$8^2/Supuestos!$D$8^2)/2,SQRT(LN(1+Supuestos!$E$8^2/Supuestos!$D$8^2))),Supuestos!$D$8))))))</f>
        <v/>
      </c>
      <c r="M1002" s="32">
        <f>MIN(IF(Supuestos!$H$9="",1E+99,Supuestos!$H$9),MAX(IF(Supuestos!$G$9="",-1E+99,Supuestos!$G$9),IF(Supuestos!$C$9="Normal",NORMINV(F1002,Supuestos!$D$9,Supuestos!$E$9),IF(Supuestos!$C$9="Triangular",IF(F1002&lt;(Supuestos!$E$9-Supuestos!$D$9)/(Supuestos!$F$9-Supuestos!$D$9),Supuestos!$D$9+SQRT(F1002*(Supuestos!$F$9-Supuestos!$D$9)*(Supuestos!$E$9-Supuestos!$D$9)),Supuestos!$F$9-SQRT((1-F1002)*(Supuestos!$F$9-Supuestos!$D$9)*(Supuestos!$F$9-Supuestos!$E$9))),IF(Supuestos!$C$9="Uniforme",Supuestos!$D$9+F1002*(Supuestos!$E$9-Supuestos!$D$9),IF(Supuestos!$C$9="Lognormal",LOGINV(F1002,LN(Supuestos!$D$9)-LN(1+Supuestos!$E$9^2/Supuestos!$D$9^2)/2,SQRT(LN(1+Supuestos!$E$9^2/Supuestos!$D$9^2))),Supuestos!$D$9))))))</f>
        <v/>
      </c>
      <c r="N1002" s="32">
        <f>MIN(IF(Supuestos!$H$10="",1E+99,Supuestos!$H$10),MAX(IF(Supuestos!$G$10="",-1E+99,Supuestos!$G$10),IF(Supuestos!$C$10="Normal",NORMINV(G1002,Supuestos!$D$10,Supuestos!$E$10),IF(Supuestos!$C$10="Triangular",IF(G1002&lt;(Supuestos!$E$10-Supuestos!$D$10)/(Supuestos!$F$10-Supuestos!$D$10),Supuestos!$D$10+SQRT(G1002*(Supuestos!$F$10-Supuestos!$D$10)*(Supuestos!$E$10-Supuestos!$D$10)),Supuestos!$F$10-SQRT((1-G1002)*(Supuestos!$F$10-Supuestos!$D$10)*(Supuestos!$F$10-Supuestos!$E$10))),IF(Supuestos!$C$10="Uniforme",Supuestos!$D$10+G1002*(Supuestos!$E$10-Supuestos!$D$10),IF(Supuestos!$C$10="Lognormal",LOGINV(G1002,LN(Supuestos!$D$10)-LN(1+Supuestos!$E$10^2/Supuestos!$D$10^2)/2,SQRT(LN(1+Supuestos!$E$10^2/Supuestos!$D$10^2))),Supuestos!$D$10))))))</f>
        <v/>
      </c>
      <c r="O1002" s="31">
        <f>MIN(IF(Supuestos!$H$11="",1E+99,Supuestos!$H$11),MAX(IF(Supuestos!$G$11="",-1E+99,Supuestos!$G$11),IF(Supuestos!$C$11="Normal",NORMINV(H1002,Supuestos!$D$11,Supuestos!$E$11),IF(Supuestos!$C$11="Triangular",IF(H1002&lt;(Supuestos!$E$11-Supuestos!$D$11)/(Supuestos!$F$11-Supuestos!$D$11),Supuestos!$D$11+SQRT(H1002*(Supuestos!$F$11-Supuestos!$D$11)*(Supuestos!$E$11-Supuestos!$D$11)),Supuestos!$F$11-SQRT((1-H1002)*(Supuestos!$F$11-Supuestos!$D$11)*(Supuestos!$F$11-Supuestos!$E$11))),IF(Supuestos!$C$11="Uniforme",Supuestos!$D$11+H1002*(Supuestos!$E$11-Supuestos!$D$11),IF(Supuestos!$C$11="Lognormal",LOGINV(H1002,LN(Supuestos!$D$11)-LN(1+Supuestos!$E$11^2/Supuestos!$D$11^2)/2,SQRT(LN(1+Supuestos!$E$11^2/Supuestos!$D$11^2))),Supuestos!$D$11))))))</f>
        <v/>
      </c>
      <c r="P1002" s="33">
        <f>-I1002</f>
        <v/>
      </c>
      <c r="Q1002" s="33">
        <f>$J1002*(1+$K1002)^(1-1)*(1-$L1002)*(1-$M1002)</f>
        <v/>
      </c>
      <c r="R1002" s="33">
        <f>$J1002*(1+$K1002)^(2-1)*(1-$L1002)*(1-$M1002)</f>
        <v/>
      </c>
      <c r="S1002" s="33">
        <f>$J1002*(1+$K1002)^(3-1)*(1-$L1002)*(1-$M1002)</f>
        <v/>
      </c>
      <c r="T1002" s="33">
        <f>$J1002*(1+$K1002)^(4-1)*(1-$L1002)*(1-$M1002)</f>
        <v/>
      </c>
      <c r="U1002" s="33">
        <f>$J1002*(1+$K1002)^(5-1)*(1-$L1002)*(1-$M1002)+$O1002</f>
        <v/>
      </c>
      <c r="V1002" s="33">
        <f>P1002+NPV($N1002,Q1002:U1002)</f>
        <v/>
      </c>
      <c r="W1002" s="32">
        <f>IFERROR(IRR(P1002:U1002,0.1),"")</f>
        <v/>
      </c>
    </row>
    <row r="1003">
      <c r="A1003" s="14" t="n">
        <v>999</v>
      </c>
      <c r="B1003" s="30">
        <f>RAND()*(1-2E-6)+1E-6</f>
        <v/>
      </c>
      <c r="C1003" s="30">
        <f>RAND()*(1-2E-6)+1E-6</f>
        <v/>
      </c>
      <c r="D1003" s="30">
        <f>RAND()*(1-2E-6)+1E-6</f>
        <v/>
      </c>
      <c r="E1003" s="30">
        <f>RAND()*(1-2E-6)+1E-6</f>
        <v/>
      </c>
      <c r="F1003" s="30">
        <f>RAND()*(1-2E-6)+1E-6</f>
        <v/>
      </c>
      <c r="G1003" s="30">
        <f>RAND()*(1-2E-6)+1E-6</f>
        <v/>
      </c>
      <c r="H1003" s="30">
        <f>RAND()*(1-2E-6)+1E-6</f>
        <v/>
      </c>
      <c r="I1003" s="31">
        <f>MIN(IF(Supuestos!$H$5="",1E+99,Supuestos!$H$5),MAX(IF(Supuestos!$G$5="",-1E+99,Supuestos!$G$5),IF(Supuestos!$C$5="Normal",NORMINV(B1003,Supuestos!$D$5,Supuestos!$E$5),IF(Supuestos!$C$5="Triangular",IF(B1003&lt;(Supuestos!$E$5-Supuestos!$D$5)/(Supuestos!$F$5-Supuestos!$D$5),Supuestos!$D$5+SQRT(B1003*(Supuestos!$F$5-Supuestos!$D$5)*(Supuestos!$E$5-Supuestos!$D$5)),Supuestos!$F$5-SQRT((1-B1003)*(Supuestos!$F$5-Supuestos!$D$5)*(Supuestos!$F$5-Supuestos!$E$5))),IF(Supuestos!$C$5="Uniforme",Supuestos!$D$5+B1003*(Supuestos!$E$5-Supuestos!$D$5),IF(Supuestos!$C$5="Lognormal",LOGINV(B1003,LN(Supuestos!$D$5)-LN(1+Supuestos!$E$5^2/Supuestos!$D$5^2)/2,SQRT(LN(1+Supuestos!$E$5^2/Supuestos!$D$5^2))),Supuestos!$D$5))))))</f>
        <v/>
      </c>
      <c r="J1003" s="31">
        <f>MIN(IF(Supuestos!$H$6="",1E+99,Supuestos!$H$6),MAX(IF(Supuestos!$G$6="",-1E+99,Supuestos!$G$6),IF(Supuestos!$C$6="Normal",NORMINV(C1003,Supuestos!$D$6,Supuestos!$E$6),IF(Supuestos!$C$6="Triangular",IF(C1003&lt;(Supuestos!$E$6-Supuestos!$D$6)/(Supuestos!$F$6-Supuestos!$D$6),Supuestos!$D$6+SQRT(C1003*(Supuestos!$F$6-Supuestos!$D$6)*(Supuestos!$E$6-Supuestos!$D$6)),Supuestos!$F$6-SQRT((1-C1003)*(Supuestos!$F$6-Supuestos!$D$6)*(Supuestos!$F$6-Supuestos!$E$6))),IF(Supuestos!$C$6="Uniforme",Supuestos!$D$6+C1003*(Supuestos!$E$6-Supuestos!$D$6),IF(Supuestos!$C$6="Lognormal",LOGINV(C1003,LN(Supuestos!$D$6)-LN(1+Supuestos!$E$6^2/Supuestos!$D$6^2)/2,SQRT(LN(1+Supuestos!$E$6^2/Supuestos!$D$6^2))),Supuestos!$D$6))))))</f>
        <v/>
      </c>
      <c r="K1003" s="32">
        <f>MIN(IF(Supuestos!$H$7="",1E+99,Supuestos!$H$7),MAX(IF(Supuestos!$G$7="",-1E+99,Supuestos!$G$7),IF(Supuestos!$C$7="Normal",NORMINV(D1003,Supuestos!$D$7,Supuestos!$E$7),IF(Supuestos!$C$7="Triangular",IF(D1003&lt;(Supuestos!$E$7-Supuestos!$D$7)/(Supuestos!$F$7-Supuestos!$D$7),Supuestos!$D$7+SQRT(D1003*(Supuestos!$F$7-Supuestos!$D$7)*(Supuestos!$E$7-Supuestos!$D$7)),Supuestos!$F$7-SQRT((1-D1003)*(Supuestos!$F$7-Supuestos!$D$7)*(Supuestos!$F$7-Supuestos!$E$7))),IF(Supuestos!$C$7="Uniforme",Supuestos!$D$7+D1003*(Supuestos!$E$7-Supuestos!$D$7),IF(Supuestos!$C$7="Lognormal",LOGINV(D1003,LN(Supuestos!$D$7)-LN(1+Supuestos!$E$7^2/Supuestos!$D$7^2)/2,SQRT(LN(1+Supuestos!$E$7^2/Supuestos!$D$7^2))),Supuestos!$D$7))))))</f>
        <v/>
      </c>
      <c r="L1003" s="32">
        <f>MIN(IF(Supuestos!$H$8="",1E+99,Supuestos!$H$8),MAX(IF(Supuestos!$G$8="",-1E+99,Supuestos!$G$8),IF(Supuestos!$C$8="Normal",NORMINV(E1003,Supuestos!$D$8,Supuestos!$E$8),IF(Supuestos!$C$8="Triangular",IF(E1003&lt;(Supuestos!$E$8-Supuestos!$D$8)/(Supuestos!$F$8-Supuestos!$D$8),Supuestos!$D$8+SQRT(E1003*(Supuestos!$F$8-Supuestos!$D$8)*(Supuestos!$E$8-Supuestos!$D$8)),Supuestos!$F$8-SQRT((1-E1003)*(Supuestos!$F$8-Supuestos!$D$8)*(Supuestos!$F$8-Supuestos!$E$8))),IF(Supuestos!$C$8="Uniforme",Supuestos!$D$8+E1003*(Supuestos!$E$8-Supuestos!$D$8),IF(Supuestos!$C$8="Lognormal",LOGINV(E1003,LN(Supuestos!$D$8)-LN(1+Supuestos!$E$8^2/Supuestos!$D$8^2)/2,SQRT(LN(1+Supuestos!$E$8^2/Supuestos!$D$8^2))),Supuestos!$D$8))))))</f>
        <v/>
      </c>
      <c r="M1003" s="32">
        <f>MIN(IF(Supuestos!$H$9="",1E+99,Supuestos!$H$9),MAX(IF(Supuestos!$G$9="",-1E+99,Supuestos!$G$9),IF(Supuestos!$C$9="Normal",NORMINV(F1003,Supuestos!$D$9,Supuestos!$E$9),IF(Supuestos!$C$9="Triangular",IF(F1003&lt;(Supuestos!$E$9-Supuestos!$D$9)/(Supuestos!$F$9-Supuestos!$D$9),Supuestos!$D$9+SQRT(F1003*(Supuestos!$F$9-Supuestos!$D$9)*(Supuestos!$E$9-Supuestos!$D$9)),Supuestos!$F$9-SQRT((1-F1003)*(Supuestos!$F$9-Supuestos!$D$9)*(Supuestos!$F$9-Supuestos!$E$9))),IF(Supuestos!$C$9="Uniforme",Supuestos!$D$9+F1003*(Supuestos!$E$9-Supuestos!$D$9),IF(Supuestos!$C$9="Lognormal",LOGINV(F1003,LN(Supuestos!$D$9)-LN(1+Supuestos!$E$9^2/Supuestos!$D$9^2)/2,SQRT(LN(1+Supuestos!$E$9^2/Supuestos!$D$9^2))),Supuestos!$D$9))))))</f>
        <v/>
      </c>
      <c r="N1003" s="32">
        <f>MIN(IF(Supuestos!$H$10="",1E+99,Supuestos!$H$10),MAX(IF(Supuestos!$G$10="",-1E+99,Supuestos!$G$10),IF(Supuestos!$C$10="Normal",NORMINV(G1003,Supuestos!$D$10,Supuestos!$E$10),IF(Supuestos!$C$10="Triangular",IF(G1003&lt;(Supuestos!$E$10-Supuestos!$D$10)/(Supuestos!$F$10-Supuestos!$D$10),Supuestos!$D$10+SQRT(G1003*(Supuestos!$F$10-Supuestos!$D$10)*(Supuestos!$E$10-Supuestos!$D$10)),Supuestos!$F$10-SQRT((1-G1003)*(Supuestos!$F$10-Supuestos!$D$10)*(Supuestos!$F$10-Supuestos!$E$10))),IF(Supuestos!$C$10="Uniforme",Supuestos!$D$10+G1003*(Supuestos!$E$10-Supuestos!$D$10),IF(Supuestos!$C$10="Lognormal",LOGINV(G1003,LN(Supuestos!$D$10)-LN(1+Supuestos!$E$10^2/Supuestos!$D$10^2)/2,SQRT(LN(1+Supuestos!$E$10^2/Supuestos!$D$10^2))),Supuestos!$D$10))))))</f>
        <v/>
      </c>
      <c r="O1003" s="31">
        <f>MIN(IF(Supuestos!$H$11="",1E+99,Supuestos!$H$11),MAX(IF(Supuestos!$G$11="",-1E+99,Supuestos!$G$11),IF(Supuestos!$C$11="Normal",NORMINV(H1003,Supuestos!$D$11,Supuestos!$E$11),IF(Supuestos!$C$11="Triangular",IF(H1003&lt;(Supuestos!$E$11-Supuestos!$D$11)/(Supuestos!$F$11-Supuestos!$D$11),Supuestos!$D$11+SQRT(H1003*(Supuestos!$F$11-Supuestos!$D$11)*(Supuestos!$E$11-Supuestos!$D$11)),Supuestos!$F$11-SQRT((1-H1003)*(Supuestos!$F$11-Supuestos!$D$11)*(Supuestos!$F$11-Supuestos!$E$11))),IF(Supuestos!$C$11="Uniforme",Supuestos!$D$11+H1003*(Supuestos!$E$11-Supuestos!$D$11),IF(Supuestos!$C$11="Lognormal",LOGINV(H1003,LN(Supuestos!$D$11)-LN(1+Supuestos!$E$11^2/Supuestos!$D$11^2)/2,SQRT(LN(1+Supuestos!$E$11^2/Supuestos!$D$11^2))),Supuestos!$D$11))))))</f>
        <v/>
      </c>
      <c r="P1003" s="33">
        <f>-I1003</f>
        <v/>
      </c>
      <c r="Q1003" s="33">
        <f>$J1003*(1+$K1003)^(1-1)*(1-$L1003)*(1-$M1003)</f>
        <v/>
      </c>
      <c r="R1003" s="33">
        <f>$J1003*(1+$K1003)^(2-1)*(1-$L1003)*(1-$M1003)</f>
        <v/>
      </c>
      <c r="S1003" s="33">
        <f>$J1003*(1+$K1003)^(3-1)*(1-$L1003)*(1-$M1003)</f>
        <v/>
      </c>
      <c r="T1003" s="33">
        <f>$J1003*(1+$K1003)^(4-1)*(1-$L1003)*(1-$M1003)</f>
        <v/>
      </c>
      <c r="U1003" s="33">
        <f>$J1003*(1+$K1003)^(5-1)*(1-$L1003)*(1-$M1003)+$O1003</f>
        <v/>
      </c>
      <c r="V1003" s="33">
        <f>P1003+NPV($N1003,Q1003:U1003)</f>
        <v/>
      </c>
      <c r="W1003" s="32">
        <f>IFERROR(IRR(P1003:U1003,0.1),"")</f>
        <v/>
      </c>
    </row>
    <row r="1004">
      <c r="A1004" s="14" t="n">
        <v>1000</v>
      </c>
      <c r="B1004" s="30">
        <f>RAND()*(1-2E-6)+1E-6</f>
        <v/>
      </c>
      <c r="C1004" s="30">
        <f>RAND()*(1-2E-6)+1E-6</f>
        <v/>
      </c>
      <c r="D1004" s="30">
        <f>RAND()*(1-2E-6)+1E-6</f>
        <v/>
      </c>
      <c r="E1004" s="30">
        <f>RAND()*(1-2E-6)+1E-6</f>
        <v/>
      </c>
      <c r="F1004" s="30">
        <f>RAND()*(1-2E-6)+1E-6</f>
        <v/>
      </c>
      <c r="G1004" s="30">
        <f>RAND()*(1-2E-6)+1E-6</f>
        <v/>
      </c>
      <c r="H1004" s="30">
        <f>RAND()*(1-2E-6)+1E-6</f>
        <v/>
      </c>
      <c r="I1004" s="31">
        <f>MIN(IF(Supuestos!$H$5="",1E+99,Supuestos!$H$5),MAX(IF(Supuestos!$G$5="",-1E+99,Supuestos!$G$5),IF(Supuestos!$C$5="Normal",NORMINV(B1004,Supuestos!$D$5,Supuestos!$E$5),IF(Supuestos!$C$5="Triangular",IF(B1004&lt;(Supuestos!$E$5-Supuestos!$D$5)/(Supuestos!$F$5-Supuestos!$D$5),Supuestos!$D$5+SQRT(B1004*(Supuestos!$F$5-Supuestos!$D$5)*(Supuestos!$E$5-Supuestos!$D$5)),Supuestos!$F$5-SQRT((1-B1004)*(Supuestos!$F$5-Supuestos!$D$5)*(Supuestos!$F$5-Supuestos!$E$5))),IF(Supuestos!$C$5="Uniforme",Supuestos!$D$5+B1004*(Supuestos!$E$5-Supuestos!$D$5),IF(Supuestos!$C$5="Lognormal",LOGINV(B1004,LN(Supuestos!$D$5)-LN(1+Supuestos!$E$5^2/Supuestos!$D$5^2)/2,SQRT(LN(1+Supuestos!$E$5^2/Supuestos!$D$5^2))),Supuestos!$D$5))))))</f>
        <v/>
      </c>
      <c r="J1004" s="31">
        <f>MIN(IF(Supuestos!$H$6="",1E+99,Supuestos!$H$6),MAX(IF(Supuestos!$G$6="",-1E+99,Supuestos!$G$6),IF(Supuestos!$C$6="Normal",NORMINV(C1004,Supuestos!$D$6,Supuestos!$E$6),IF(Supuestos!$C$6="Triangular",IF(C1004&lt;(Supuestos!$E$6-Supuestos!$D$6)/(Supuestos!$F$6-Supuestos!$D$6),Supuestos!$D$6+SQRT(C1004*(Supuestos!$F$6-Supuestos!$D$6)*(Supuestos!$E$6-Supuestos!$D$6)),Supuestos!$F$6-SQRT((1-C1004)*(Supuestos!$F$6-Supuestos!$D$6)*(Supuestos!$F$6-Supuestos!$E$6))),IF(Supuestos!$C$6="Uniforme",Supuestos!$D$6+C1004*(Supuestos!$E$6-Supuestos!$D$6),IF(Supuestos!$C$6="Lognormal",LOGINV(C1004,LN(Supuestos!$D$6)-LN(1+Supuestos!$E$6^2/Supuestos!$D$6^2)/2,SQRT(LN(1+Supuestos!$E$6^2/Supuestos!$D$6^2))),Supuestos!$D$6))))))</f>
        <v/>
      </c>
      <c r="K1004" s="32">
        <f>MIN(IF(Supuestos!$H$7="",1E+99,Supuestos!$H$7),MAX(IF(Supuestos!$G$7="",-1E+99,Supuestos!$G$7),IF(Supuestos!$C$7="Normal",NORMINV(D1004,Supuestos!$D$7,Supuestos!$E$7),IF(Supuestos!$C$7="Triangular",IF(D1004&lt;(Supuestos!$E$7-Supuestos!$D$7)/(Supuestos!$F$7-Supuestos!$D$7),Supuestos!$D$7+SQRT(D1004*(Supuestos!$F$7-Supuestos!$D$7)*(Supuestos!$E$7-Supuestos!$D$7)),Supuestos!$F$7-SQRT((1-D1004)*(Supuestos!$F$7-Supuestos!$D$7)*(Supuestos!$F$7-Supuestos!$E$7))),IF(Supuestos!$C$7="Uniforme",Supuestos!$D$7+D1004*(Supuestos!$E$7-Supuestos!$D$7),IF(Supuestos!$C$7="Lognormal",LOGINV(D1004,LN(Supuestos!$D$7)-LN(1+Supuestos!$E$7^2/Supuestos!$D$7^2)/2,SQRT(LN(1+Supuestos!$E$7^2/Supuestos!$D$7^2))),Supuestos!$D$7))))))</f>
        <v/>
      </c>
      <c r="L1004" s="32">
        <f>MIN(IF(Supuestos!$H$8="",1E+99,Supuestos!$H$8),MAX(IF(Supuestos!$G$8="",-1E+99,Supuestos!$G$8),IF(Supuestos!$C$8="Normal",NORMINV(E1004,Supuestos!$D$8,Supuestos!$E$8),IF(Supuestos!$C$8="Triangular",IF(E1004&lt;(Supuestos!$E$8-Supuestos!$D$8)/(Supuestos!$F$8-Supuestos!$D$8),Supuestos!$D$8+SQRT(E1004*(Supuestos!$F$8-Supuestos!$D$8)*(Supuestos!$E$8-Supuestos!$D$8)),Supuestos!$F$8-SQRT((1-E1004)*(Supuestos!$F$8-Supuestos!$D$8)*(Supuestos!$F$8-Supuestos!$E$8))),IF(Supuestos!$C$8="Uniforme",Supuestos!$D$8+E1004*(Supuestos!$E$8-Supuestos!$D$8),IF(Supuestos!$C$8="Lognormal",LOGINV(E1004,LN(Supuestos!$D$8)-LN(1+Supuestos!$E$8^2/Supuestos!$D$8^2)/2,SQRT(LN(1+Supuestos!$E$8^2/Supuestos!$D$8^2))),Supuestos!$D$8))))))</f>
        <v/>
      </c>
      <c r="M1004" s="32">
        <f>MIN(IF(Supuestos!$H$9="",1E+99,Supuestos!$H$9),MAX(IF(Supuestos!$G$9="",-1E+99,Supuestos!$G$9),IF(Supuestos!$C$9="Normal",NORMINV(F1004,Supuestos!$D$9,Supuestos!$E$9),IF(Supuestos!$C$9="Triangular",IF(F1004&lt;(Supuestos!$E$9-Supuestos!$D$9)/(Supuestos!$F$9-Supuestos!$D$9),Supuestos!$D$9+SQRT(F1004*(Supuestos!$F$9-Supuestos!$D$9)*(Supuestos!$E$9-Supuestos!$D$9)),Supuestos!$F$9-SQRT((1-F1004)*(Supuestos!$F$9-Supuestos!$D$9)*(Supuestos!$F$9-Supuestos!$E$9))),IF(Supuestos!$C$9="Uniforme",Supuestos!$D$9+F1004*(Supuestos!$E$9-Supuestos!$D$9),IF(Supuestos!$C$9="Lognormal",LOGINV(F1004,LN(Supuestos!$D$9)-LN(1+Supuestos!$E$9^2/Supuestos!$D$9^2)/2,SQRT(LN(1+Supuestos!$E$9^2/Supuestos!$D$9^2))),Supuestos!$D$9))))))</f>
        <v/>
      </c>
      <c r="N1004" s="32">
        <f>MIN(IF(Supuestos!$H$10="",1E+99,Supuestos!$H$10),MAX(IF(Supuestos!$G$10="",-1E+99,Supuestos!$G$10),IF(Supuestos!$C$10="Normal",NORMINV(G1004,Supuestos!$D$10,Supuestos!$E$10),IF(Supuestos!$C$10="Triangular",IF(G1004&lt;(Supuestos!$E$10-Supuestos!$D$10)/(Supuestos!$F$10-Supuestos!$D$10),Supuestos!$D$10+SQRT(G1004*(Supuestos!$F$10-Supuestos!$D$10)*(Supuestos!$E$10-Supuestos!$D$10)),Supuestos!$F$10-SQRT((1-G1004)*(Supuestos!$F$10-Supuestos!$D$10)*(Supuestos!$F$10-Supuestos!$E$10))),IF(Supuestos!$C$10="Uniforme",Supuestos!$D$10+G1004*(Supuestos!$E$10-Supuestos!$D$10),IF(Supuestos!$C$10="Lognormal",LOGINV(G1004,LN(Supuestos!$D$10)-LN(1+Supuestos!$E$10^2/Supuestos!$D$10^2)/2,SQRT(LN(1+Supuestos!$E$10^2/Supuestos!$D$10^2))),Supuestos!$D$10))))))</f>
        <v/>
      </c>
      <c r="O1004" s="31">
        <f>MIN(IF(Supuestos!$H$11="",1E+99,Supuestos!$H$11),MAX(IF(Supuestos!$G$11="",-1E+99,Supuestos!$G$11),IF(Supuestos!$C$11="Normal",NORMINV(H1004,Supuestos!$D$11,Supuestos!$E$11),IF(Supuestos!$C$11="Triangular",IF(H1004&lt;(Supuestos!$E$11-Supuestos!$D$11)/(Supuestos!$F$11-Supuestos!$D$11),Supuestos!$D$11+SQRT(H1004*(Supuestos!$F$11-Supuestos!$D$11)*(Supuestos!$E$11-Supuestos!$D$11)),Supuestos!$F$11-SQRT((1-H1004)*(Supuestos!$F$11-Supuestos!$D$11)*(Supuestos!$F$11-Supuestos!$E$11))),IF(Supuestos!$C$11="Uniforme",Supuestos!$D$11+H1004*(Supuestos!$E$11-Supuestos!$D$11),IF(Supuestos!$C$11="Lognormal",LOGINV(H1004,LN(Supuestos!$D$11)-LN(1+Supuestos!$E$11^2/Supuestos!$D$11^2)/2,SQRT(LN(1+Supuestos!$E$11^2/Supuestos!$D$11^2))),Supuestos!$D$11))))))</f>
        <v/>
      </c>
      <c r="P1004" s="33">
        <f>-I1004</f>
        <v/>
      </c>
      <c r="Q1004" s="33">
        <f>$J1004*(1+$K1004)^(1-1)*(1-$L1004)*(1-$M1004)</f>
        <v/>
      </c>
      <c r="R1004" s="33">
        <f>$J1004*(1+$K1004)^(2-1)*(1-$L1004)*(1-$M1004)</f>
        <v/>
      </c>
      <c r="S1004" s="33">
        <f>$J1004*(1+$K1004)^(3-1)*(1-$L1004)*(1-$M1004)</f>
        <v/>
      </c>
      <c r="T1004" s="33">
        <f>$J1004*(1+$K1004)^(4-1)*(1-$L1004)*(1-$M1004)</f>
        <v/>
      </c>
      <c r="U1004" s="33">
        <f>$J1004*(1+$K1004)^(5-1)*(1-$L1004)*(1-$M1004)+$O1004</f>
        <v/>
      </c>
      <c r="V1004" s="33">
        <f>P1004+NPV($N1004,Q1004:U1004)</f>
        <v/>
      </c>
      <c r="W1004" s="32">
        <f>IFERROR(IRR(P1004:U1004,0.1),"")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2026-10-05T21:16:28Z</dcterms:created>
  <dcterms:modified xmlns:dcterms="http://purl.org/dc/terms/" xmlns:xsi="http://www.w3.org/2001/XMLSchema-instance" xsi:type="dcterms:W3CDTF">2026-10-05T21:16:28Z</dcterms:modified>
</cp:coreProperties>
</file>